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Temp\"/>
    </mc:Choice>
  </mc:AlternateContent>
  <xr:revisionPtr revIDLastSave="0" documentId="13_ncr:1_{25CD7ED3-6F03-4BDE-8E12-57C072A5D076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Products" sheetId="1" r:id="rId1"/>
  </sheets>
  <calcPr calcId="191029"/>
</workbook>
</file>

<file path=xl/calcChain.xml><?xml version="1.0" encoding="utf-8"?>
<calcChain xmlns="http://schemas.openxmlformats.org/spreadsheetml/2006/main">
  <c r="C5270" i="1" l="1"/>
  <c r="C5269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1" i="1"/>
  <c r="C3470" i="1"/>
  <c r="C3469" i="1"/>
  <c r="C3468" i="1"/>
  <c r="C3467" i="1"/>
  <c r="C3466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<sst xmlns="http://schemas.openxmlformats.org/spreadsheetml/2006/main" count="48776" uniqueCount="48767">
  <si>
    <t>Product or Part number</t>
  </si>
  <si>
    <t>Description</t>
  </si>
  <si>
    <t>Subcategory</t>
  </si>
  <si>
    <t>Rating</t>
  </si>
  <si>
    <t>Topology</t>
  </si>
  <si>
    <t>Package type</t>
  </si>
  <si>
    <t>TI functional safety category</t>
  </si>
  <si>
    <t>Operating temperature range (°C)</t>
  </si>
  <si>
    <t>Pin count</t>
  </si>
  <si>
    <t>Package area (mm^2)</t>
  </si>
  <si>
    <t>Package size (L x W) (mm)</t>
  </si>
  <si>
    <t>Maximum package height (mm)</t>
  </si>
  <si>
    <t>Pitch (mm)</t>
  </si>
  <si>
    <t>Price|Quantity (USD)</t>
  </si>
  <si>
    <t>Status</t>
  </si>
  <si>
    <t>650V 25mΩ TOLL-packaged GaN FET with integrated driver, protection and zero-voltage detection</t>
  </si>
  <si>
    <t>Gallium nitride (GaN) power stages</t>
  </si>
  <si>
    <t>Catalog</t>
  </si>
  <si>
    <t>TO-OTHER</t>
  </si>
  <si>
    <t/>
  </si>
  <si>
    <t>-40 to 175</t>
  </si>
  <si>
    <t>9.9 x 11.68</t>
  </si>
  <si>
    <t>ACTIVE</t>
  </si>
  <si>
    <t>6A output current buck-boost module with integrated inductor</t>
  </si>
  <si>
    <t>Power modules (integrated inductor)</t>
  </si>
  <si>
    <t>Catalog</t>
  </si>
  <si>
    <t>Buck-Boost</t>
  </si>
  <si>
    <t>QFN-FCMOD</t>
  </si>
  <si>
    <t/>
  </si>
  <si>
    <t>-40 to 125</t>
  </si>
  <si>
    <t>7.5 x 7.7</t>
  </si>
  <si>
    <t>ACTIVE</t>
  </si>
  <si>
    <t>4V to 16V, 12A synchronous step-down converter</t>
  </si>
  <si>
    <t>AC/DC &amp; DC/DC converters (integrated FET)</t>
  </si>
  <si>
    <t>Catalog</t>
  </si>
  <si>
    <t>Buck</t>
  </si>
  <si>
    <t>WQFN-HR</t>
  </si>
  <si>
    <t/>
  </si>
  <si>
    <t>-40 to 125</t>
  </si>
  <si>
    <t>3 x 3</t>
  </si>
  <si>
    <t>ACTIVE</t>
  </si>
  <si>
    <t xml:space="preserve">Automotive 600V, 50mA isolated switch with reinforced isolation and avalanche protection
</t>
  </si>
  <si>
    <t>Solid-state relays</t>
  </si>
  <si>
    <t>Automotive</t>
  </si>
  <si>
    <t>SOIC</t>
  </si>
  <si>
    <t>Functional Safety-Capable</t>
  </si>
  <si>
    <t>-40 to 125</t>
  </si>
  <si>
    <t>10.3 x 10.3</t>
  </si>
  <si>
    <t>ACTIVE</t>
  </si>
  <si>
    <t>6V, 15A parallelable DC/DC buck module with I2C, frequency synchronization and MagPack technology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</si>
  <si>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</si>
  <si>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</si>
  <si>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</si>
  <si>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</si>
  <si>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</si>
  <si>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</si>
  <si>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8 x 3.75</t>
  </si>
  <si>
    <t>ACTIVE</t>
  </si>
  <si>
    <t>Automotive, 42V VIN, 2.2MHz dual-phase boost controller with VOUT tracking and I2C</t>
  </si>
  <si>
    <t>AC/DC &amp; DC/DC controllers (external FET)</t>
  </si>
  <si>
    <t>Automotive</t>
  </si>
  <si>
    <t>Boost Controller</t>
  </si>
  <si>
    <t>VQFN</t>
  </si>
  <si>
    <t>Functional Safety-Capable</t>
  </si>
  <si>
    <t>-40 to 150</t>
  </si>
  <si>
    <t>5 x 5</t>
  </si>
  <si>
    <t>ACTIVE</t>
  </si>
  <si>
    <t>Automotive, 42V VIN, 2.2MHz single-phase boost controller with VOUT tracking and I2C</t>
  </si>
  <si>
    <t>AC/DC &amp; DC/DC controllers (external FET)</t>
  </si>
  <si>
    <t>Automotive</t>
  </si>
  <si>
    <t>Boost Controller</t>
  </si>
  <si>
    <t>VQFN</t>
  </si>
  <si>
    <t>Functional Safety-Capable</t>
  </si>
  <si>
    <t>-40 to 150</t>
  </si>
  <si>
    <t>5 x 5</t>
  </si>
  <si>
    <t>ACTIVE</t>
  </si>
  <si>
    <t>Automotive, 42V VIN, 2.2MHz single-phase boost controller with VOUT tracking</t>
  </si>
  <si>
    <t>AC/DC &amp; DC/DC controllers (external FET)</t>
  </si>
  <si>
    <t>Automotive</t>
  </si>
  <si>
    <t>Boost Controller</t>
  </si>
  <si>
    <t>VQFN</t>
  </si>
  <si>
    <t>Functional Safety-Capable</t>
  </si>
  <si>
    <t>-40 to 150</t>
  </si>
  <si>
    <t>5 x 5</t>
  </si>
  <si>
    <t>ACTIVE</t>
  </si>
  <si>
    <t>Automotive, 36V, 6A, synchronous buck converter with reduced output capacitors</t>
  </si>
  <si>
    <t>AC/DC &amp; DC/DC converters (integrated FET)</t>
  </si>
  <si>
    <t>Automotive</t>
  </si>
  <si>
    <t>Buck</t>
  </si>
  <si>
    <t>WQFN-FCRLF</t>
  </si>
  <si>
    <t>Functional Safety-Capable</t>
  </si>
  <si>
    <t>-40 to 150</t>
  </si>
  <si>
    <t>2.5 x 2</t>
  </si>
  <si>
    <t>ACTIVE</t>
  </si>
  <si>
    <t>Automotive 2.7V to 6V input, 30A stackable dual-phase synchronous buck converter</t>
  </si>
  <si>
    <t>AC/DC &amp; DC/DC converters (integrated FET)</t>
  </si>
  <si>
    <t>Automotive</t>
  </si>
  <si>
    <t>Buck</t>
  </si>
  <si>
    <t>VQFN-HR</t>
  </si>
  <si>
    <t>Functional Safety-Compliant</t>
  </si>
  <si>
    <t>-40 to 125</t>
  </si>
  <si>
    <t>5 x 4</t>
  </si>
  <si>
    <t>ACTIVE</t>
  </si>
  <si>
    <t>Integrated power management (PMIC) for AM62L processor</t>
  </si>
  <si>
    <t>Multi-channel ICs (PMICs)</t>
  </si>
  <si>
    <t>Catalog</t>
  </si>
  <si>
    <t>WQFN-HR</t>
  </si>
  <si>
    <t/>
  </si>
  <si>
    <t>-40 to 105</t>
  </si>
  <si>
    <t>3.5 x 3.5</t>
  </si>
  <si>
    <t>ACTIVE</t>
  </si>
  <si>
    <t>Radiation-tolerant, 4.5V to 14V input 12A synchronous step-down converter</t>
  </si>
  <si>
    <t>AC/DC &amp; DC/DC converters (integrated FET)</t>
  </si>
  <si>
    <t>Space</t>
  </si>
  <si>
    <t>Buck</t>
  </si>
  <si>
    <t>HTSSOP</t>
  </si>
  <si>
    <t/>
  </si>
  <si>
    <t>-55 to 125</t>
  </si>
  <si>
    <t>14 x 8.1</t>
  </si>
  <si>
    <t>ACTIVE</t>
  </si>
  <si>
    <t>Self-biased high-frequency QR flyback converter with integrated GaN (45W)</t>
  </si>
  <si>
    <t>AC/DC &amp; DC/DC converters (integrated FET)</t>
  </si>
  <si>
    <t>Catalog</t>
  </si>
  <si>
    <t>Flyback</t>
  </si>
  <si>
    <t>VQFN</t>
  </si>
  <si>
    <t/>
  </si>
  <si>
    <t>-40 to 105</t>
  </si>
  <si>
    <t>5 x 5</t>
  </si>
  <si>
    <t>ACTIVE</t>
  </si>
  <si>
    <t>2.5V to 5.5V input, 2A high-efficiency synchronous buck converter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</si>
  <si>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</si>
  <si>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</si>
  <si>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</si>
  <si>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</si>
  <si>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</si>
  <si>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</si>
  <si>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</si>
  <si>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</si>
  <si>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2.5V to 5.5V input, 2A high-efficiency synchronous buck converter with forced PWM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</si>
  <si>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</si>
  <si>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</si>
  <si>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</si>
  <si>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</si>
  <si>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</si>
  <si>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</si>
  <si>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</si>
  <si>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</si>
  <si>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Radiation-tolerant, 4.5V to 14V input 6A synchronous step-down converter</t>
  </si>
  <si>
    <t>AC/DC &amp; DC/DC converters (integrated FET)</t>
  </si>
  <si>
    <t>Space</t>
  </si>
  <si>
    <t>Buck</t>
  </si>
  <si>
    <t>HTSSOP</t>
  </si>
  <si>
    <t/>
  </si>
  <si>
    <t>-55 to 125</t>
  </si>
  <si>
    <t>14 x 8.1</t>
  </si>
  <si>
    <t>ACTIVE</t>
  </si>
  <si>
    <t>Radiation-tolerant, 4.5V to 14V input 3A synchronous step-down converter</t>
  </si>
  <si>
    <t>AC/DC &amp; DC/DC converters (integrated FET)</t>
  </si>
  <si>
    <t>Space</t>
  </si>
  <si>
    <t>Buck</t>
  </si>
  <si>
    <t>HTSSOP</t>
  </si>
  <si>
    <t/>
  </si>
  <si>
    <t>-55 to 125</t>
  </si>
  <si>
    <t>14 x 8.1</t>
  </si>
  <si>
    <t>ACTIVE</t>
  </si>
  <si>
    <t>65V, 3A step-down buck power module with exposed inductor in an eQFN package</t>
  </si>
  <si>
    <t>Power modules (integrated inductor)</t>
  </si>
  <si>
    <t>Catalog</t>
  </si>
  <si>
    <t>Buck</t>
  </si>
  <si>
    <t>QFN-FCMOD</t>
  </si>
  <si>
    <t/>
  </si>
  <si>
    <t>-40 to 150</t>
  </si>
  <si>
    <t>5.2 x 5.8</t>
  </si>
  <si>
    <t>ACTIVE</t>
  </si>
  <si>
    <t>1A small-size high-PSRR low-dropout (LDO)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</si>
  <si>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</si>
  <si>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</si>
  <si>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</si>
  <si>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</si>
  <si>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</si>
  <si>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</si>
  <si>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</si>
  <si>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Dual-phase smart power stage with 100A peak current per phase in 5x5mm package</t>
  </si>
  <si>
    <t>-</t>
  </si>
  <si>
    <t>Si power stages</t>
  </si>
  <si>
    <t/>
  </si>
  <si>
    <t>VQFN-FCRLF</t>
  </si>
  <si>
    <t/>
  </si>
  <si>
    <t xml:space="preserve"> to </t>
  </si>
  <si>
    <t>5.25 x 5</t>
  </si>
  <si>
    <t>PREVIEW</t>
  </si>
  <si>
    <t>Automotive, 80V synchronous buck controller with constant current and constant voltage regulation</t>
  </si>
  <si>
    <t>AC/DC &amp; DC/DC controllers (external FET)</t>
  </si>
  <si>
    <t>Automotive</t>
  </si>
  <si>
    <t>Buck Controller</t>
  </si>
  <si>
    <t>VQFN</t>
  </si>
  <si>
    <t/>
  </si>
  <si>
    <t>-40 to 150</t>
  </si>
  <si>
    <t>4.5 x 3.5</t>
  </si>
  <si>
    <t>ACTIVE</t>
  </si>
  <si>
    <t>65-V, 8-A low-IQ synchronous step-down converter</t>
  </si>
  <si>
    <t>AC/DC &amp; DC/DC converters (integrated FET)</t>
  </si>
  <si>
    <t>Catalog</t>
  </si>
  <si>
    <t>WQFN-FCRLF</t>
  </si>
  <si>
    <t>Functional Safety-Capable</t>
  </si>
  <si>
    <t>-40 to 150</t>
  </si>
  <si>
    <t>4.5 x 4.5</t>
  </si>
  <si>
    <t>ACTIVE</t>
  </si>
  <si>
    <t>Automotive, 80V, 8A synchronous step-down converter with I2C</t>
  </si>
  <si>
    <t>AC/DC &amp; DC/DC converters (integrated FET)</t>
  </si>
  <si>
    <t>Automotive</t>
  </si>
  <si>
    <t>Buck</t>
  </si>
  <si>
    <t>VQFN</t>
  </si>
  <si>
    <t/>
  </si>
  <si>
    <t>-40 to 150</t>
  </si>
  <si>
    <t>6 x 6</t>
  </si>
  <si>
    <t>PREVIEW</t>
  </si>
  <si>
    <t>650V 70mΩ TOLL-packaged GaN FET with integrated driver and protection</t>
  </si>
  <si>
    <t>Gallium nitride (GaN) power stages</t>
  </si>
  <si>
    <t>Catalog</t>
  </si>
  <si>
    <t>TO-OTHER</t>
  </si>
  <si>
    <t/>
  </si>
  <si>
    <t>-40 to 150</t>
  </si>
  <si>
    <t>9.9 x 11.68</t>
  </si>
  <si>
    <t>ACTIVE</t>
  </si>
  <si>
    <t>Automotive, 5V/5V, 1.5W regulated 5kVRMS isolated DC/DC power module with integrated transformer</t>
  </si>
  <si>
    <t>Isolated power modules (integrated transformer)</t>
  </si>
  <si>
    <t>Automotive</t>
  </si>
  <si>
    <t>SO-MOD,UNKNOWN</t>
  </si>
  <si>
    <t>Functional Safety-Capable</t>
  </si>
  <si>
    <t>-40 to 125</t>
  </si>
  <si>
    <t>60.255,See data sheet</t>
  </si>
  <si>
    <t>5.85 x 10.3,See data sheet</t>
  </si>
  <si>
    <t>2.8,—</t>
  </si>
  <si>
    <t>0.65,—</t>
  </si>
  <si>
    <t>ACTIVE</t>
  </si>
  <si>
    <t xml:space="preserve">1.5A, low-input and low-output voltage, low-noise, adjustable low-dropout (LDO) voltage regulator
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</si>
  <si>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</si>
  <si>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</si>
  <si>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</si>
  <si>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</si>
  <si>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</si>
  <si>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</si>
  <si>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</si>
  <si>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3A, low-input and low-output voltage, low-noise, adjustable low-dropout (LDO) voltage regulator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</si>
  <si>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</si>
  <si>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</si>
  <si>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</si>
  <si>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</si>
  <si>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</si>
  <si>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</si>
  <si>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</si>
  <si>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Radiation-tolerant, 3V-to-7V input, 3A per channel dual synchronous step-down converter</t>
  </si>
  <si>
    <t>AC/DC &amp; DC/DC converters (integrated FET)</t>
  </si>
  <si>
    <t>Space</t>
  </si>
  <si>
    <t>Buck</t>
  </si>
  <si>
    <t>HTQFP</t>
  </si>
  <si>
    <t/>
  </si>
  <si>
    <t>-55 to 125</t>
  </si>
  <si>
    <t>12 x 12</t>
  </si>
  <si>
    <t>ACTIVE</t>
  </si>
  <si>
    <t>Radiation-tolerant, 3V to 7V input, 3A per channel quad synchronous step-down converter</t>
  </si>
  <si>
    <t>AC/DC &amp; DC/DC converters (integrated FET)</t>
  </si>
  <si>
    <t>Space</t>
  </si>
  <si>
    <t>Buck</t>
  </si>
  <si>
    <t>HTQFP</t>
  </si>
  <si>
    <t/>
  </si>
  <si>
    <t>-55 to 125</t>
  </si>
  <si>
    <t>12 x 12</t>
  </si>
  <si>
    <t>ACTIVE</t>
  </si>
  <si>
    <t>Automotive 3/3.5-A 200V half bridge gate driver without interlock</t>
  </si>
  <si>
    <t>Half-bridge drivers</t>
  </si>
  <si>
    <t>Catalog</t>
  </si>
  <si>
    <t>SOIC</t>
  </si>
  <si>
    <t/>
  </si>
  <si>
    <t>-40 to 150</t>
  </si>
  <si>
    <t>4.9 x 6</t>
  </si>
  <si>
    <t>ACTIVE</t>
  </si>
  <si>
    <t>Automotive 3/3.5-A 200V half bridge gate driver without interlock</t>
  </si>
  <si>
    <t>Half-bridge drivers</t>
  </si>
  <si>
    <t>Automotive</t>
  </si>
  <si>
    <t>SOIC</t>
  </si>
  <si>
    <t/>
  </si>
  <si>
    <t>-40 to 150</t>
  </si>
  <si>
    <t>4.9 x 6</t>
  </si>
  <si>
    <t>ACTIVE</t>
  </si>
  <si>
    <t>Automotive dual-port USB Type-C PD controller with 240W EPR and DisplayPort alternate mode</t>
  </si>
  <si>
    <t>USB Type-C &amp; USB Power Delivery ICs</t>
  </si>
  <si>
    <t>Automotive</t>
  </si>
  <si>
    <t>VQFN</t>
  </si>
  <si>
    <t/>
  </si>
  <si>
    <t>-40 to 125</t>
  </si>
  <si>
    <t>5 x 5</t>
  </si>
  <si>
    <t>ACTIVE</t>
  </si>
  <si>
    <t>Automotive, 2.7V to 6V, 2A step-down module with integrated inductor in QFN package</t>
  </si>
  <si>
    <t>Power modules (integrated inductor)</t>
  </si>
  <si>
    <t>Automotive</t>
  </si>
  <si>
    <t>Buck,Step-Down Converter,Synchronous Buck</t>
  </si>
  <si>
    <t>QFN-FCMOD</t>
  </si>
  <si>
    <t/>
  </si>
  <si>
    <t>-40 to 125</t>
  </si>
  <si>
    <t>2.7 x 3</t>
  </si>
  <si>
    <t>ACTIVE</t>
  </si>
  <si>
    <t>Automotive 1A 18V low-dropout (LDO) linear regulator with high power-supply rejection ratio</t>
  </si>
  <si>
    <t>Linear &amp; low-dropout (LDO) regulators</t>
  </si>
  <si>
    <t>Automotive</t>
  </si>
  <si>
    <t>SOT-223,TO-252</t>
  </si>
  <si>
    <t/>
  </si>
  <si>
    <t>-40 to 125</t>
  </si>
  <si>
    <t>3,4</t>
  </si>
  <si>
    <t>45.5,66.726</t>
  </si>
  <si>
    <t>6.5 x 7,6.6 x 10.11</t>
  </si>
  <si>
    <t>1.8,2.52</t>
  </si>
  <si>
    <t>2.29,2.3</t>
  </si>
  <si>
    <t>ACTIVE</t>
  </si>
  <si>
    <t>650V 95mΩ GaN half-bridge with integrated driver, protection and current sense</t>
  </si>
  <si>
    <t>Gallium nitride (GaN) power stages</t>
  </si>
  <si>
    <t>Catalog</t>
  </si>
  <si>
    <t>VQFN</t>
  </si>
  <si>
    <t/>
  </si>
  <si>
    <t>-40 to 125</t>
  </si>
  <si>
    <t>8 x 6</t>
  </si>
  <si>
    <t>ACTIVE</t>
  </si>
  <si>
    <t>Automotive 300mA, 40V, ultra-low-IQ, low-dropout voltage regulator with enable and power good</t>
  </si>
  <si>
    <t>Linear &amp; low-dropout (LDO) regulators</t>
  </si>
  <si>
    <t>Automotive</t>
  </si>
  <si>
    <t>HVSSOP</t>
  </si>
  <si>
    <t/>
  </si>
  <si>
    <t>-40 to 150</t>
  </si>
  <si>
    <t>3 x 4.9</t>
  </si>
  <si>
    <t>PREVIEW</t>
  </si>
  <si>
    <t>24.5V, 1.8A synchronous boost LED driver with 0.1% ratio PWM-controlled analog dimming</t>
  </si>
  <si>
    <t>Illumination  LED drivers,Backlight LED drivers</t>
  </si>
  <si>
    <t>Catalog</t>
  </si>
  <si>
    <t>Boost</t>
  </si>
  <si>
    <t>SOT-5X3</t>
  </si>
  <si>
    <t/>
  </si>
  <si>
    <t>-40 to 125</t>
  </si>
  <si>
    <t>1.6 x 1.6</t>
  </si>
  <si>
    <t>ACTIVE</t>
  </si>
  <si>
    <t>30V, 1.8A synchronous boost LED driver with 0.1% ratio PWM-controlled analog dimming</t>
  </si>
  <si>
    <t>Illumination  LED drivers,Backlight LED drivers</t>
  </si>
  <si>
    <t>Catalog</t>
  </si>
  <si>
    <t>Boost</t>
  </si>
  <si>
    <t>SOT-5X3</t>
  </si>
  <si>
    <t/>
  </si>
  <si>
    <t>-40 to 125</t>
  </si>
  <si>
    <t>1.6 x 1.6</t>
  </si>
  <si>
    <t>ACTIVE</t>
  </si>
  <si>
    <t>30V, 1.8A synchronous boost LED driver with 0.1% ratio PWM-controlled analog dimming</t>
  </si>
  <si>
    <t>Backlight LED drivers,Illumination  LED drivers</t>
  </si>
  <si>
    <t>Catalog</t>
  </si>
  <si>
    <t>Boost</t>
  </si>
  <si>
    <t>SOT-5X3</t>
  </si>
  <si>
    <t/>
  </si>
  <si>
    <t>-40 to 125</t>
  </si>
  <si>
    <t>1.6 x 1.6</t>
  </si>
  <si>
    <t>ACTIVE</t>
  </si>
  <si>
    <t xml:space="preserve"> 42V input low-Iq buck controller with advanced spread spectrum for low EMI</t>
  </si>
  <si>
    <t>AC/DC &amp; DC/DC controllers (external FET)</t>
  </si>
  <si>
    <t>Automotive</t>
  </si>
  <si>
    <t>VQFN</t>
  </si>
  <si>
    <t/>
  </si>
  <si>
    <t xml:space="preserve"> to </t>
  </si>
  <si>
    <t>3 x 3</t>
  </si>
  <si>
    <t>ACTIVE</t>
  </si>
  <si>
    <t>5.5V, 2A, 22mΩ load switch with 90nA I&lt;sub&gt;Q&lt;/sub&gt; and quick output discharge</t>
  </si>
  <si>
    <t>Load switches</t>
  </si>
  <si>
    <t>Catalog</t>
  </si>
  <si>
    <t>DSBGA</t>
  </si>
  <si>
    <t/>
  </si>
  <si>
    <t>-40 to 105</t>
  </si>
  <si>
    <t>0.612 x 0.612</t>
  </si>
  <si>
    <t>ACTIVE</t>
  </si>
  <si>
    <t>Automotive, 42V, 2.5A synchronous functional safety buck converter</t>
  </si>
  <si>
    <t>AC/DC &amp; DC/DC converters (integrated FET)</t>
  </si>
  <si>
    <t>Automotive</t>
  </si>
  <si>
    <t>Buck</t>
  </si>
  <si>
    <t>WQFN-FCRLF</t>
  </si>
  <si>
    <t>Functional Safety-Compliant</t>
  </si>
  <si>
    <t>-40 to 150</t>
  </si>
  <si>
    <t>3.6 x 2.6</t>
  </si>
  <si>
    <t>ACTIVE</t>
  </si>
  <si>
    <t>Automotive, 40V 300mA low-IQ (2.8µA) low-dropout (LDO) regulator</t>
  </si>
  <si>
    <t>Linear &amp; low-dropout (LDO) regulators</t>
  </si>
  <si>
    <t>Automotive</t>
  </si>
  <si>
    <t>HVSSOP,WSON</t>
  </si>
  <si>
    <t/>
  </si>
  <si>
    <t>-40 to 150</t>
  </si>
  <si>
    <t>6,8</t>
  </si>
  <si>
    <t>4,14.7</t>
  </si>
  <si>
    <t>2 x 2,3 x 4.9</t>
  </si>
  <si>
    <t>0.8,1.1</t>
  </si>
  <si>
    <t>PREVIEW</t>
  </si>
  <si>
    <t>Automotive, 65V, 2.5A synchronous functional safety buck converter</t>
  </si>
  <si>
    <t>AC/DC &amp; DC/DC converters (integrated FET)</t>
  </si>
  <si>
    <t>Automotive</t>
  </si>
  <si>
    <t>Buck</t>
  </si>
  <si>
    <t>WQFN-FCRLF</t>
  </si>
  <si>
    <t>Functional Safety-Compliant</t>
  </si>
  <si>
    <t>-40 to 150</t>
  </si>
  <si>
    <t>3.6 x 2.6</t>
  </si>
  <si>
    <t>ACTIVE</t>
  </si>
  <si>
    <t>Automotive, 65V, 3.5A synchronous functional safety buck converter</t>
  </si>
  <si>
    <t>AC/DC &amp; DC/DC converters (integrated FET)</t>
  </si>
  <si>
    <t>Automotive</t>
  </si>
  <si>
    <t>Buck</t>
  </si>
  <si>
    <t>WQFN-FCRLF</t>
  </si>
  <si>
    <t>Functional Safety-Compliant</t>
  </si>
  <si>
    <t>-40 to 150</t>
  </si>
  <si>
    <t>3.6 x 2.6</t>
  </si>
  <si>
    <t>ACTIVE</t>
  </si>
  <si>
    <t>Automotive, 65V, 4.5A synchronous functional safety buck converter</t>
  </si>
  <si>
    <t>AC/DC &amp; DC/DC converters (integrated FET)</t>
  </si>
  <si>
    <t>Automotive</t>
  </si>
  <si>
    <t>Buck</t>
  </si>
  <si>
    <t>WQFN-FCRLF</t>
  </si>
  <si>
    <t>Functional Safety-Compliant</t>
  </si>
  <si>
    <t>-40 to 150</t>
  </si>
  <si>
    <t>3.6 x 2.6</t>
  </si>
  <si>
    <t>ACTIVE</t>
  </si>
  <si>
    <t>Automotive, 36Vin, 20A synchronous step-down converter for high efficiency and low EMC</t>
  </si>
  <si>
    <t>AC/DC &amp; DC/DC converters (integrated FET)</t>
  </si>
  <si>
    <t>Automotive</t>
  </si>
  <si>
    <t>Buck</t>
  </si>
  <si>
    <t>Functional Safety-Capable</t>
  </si>
  <si>
    <t>-40 to 150</t>
  </si>
  <si>
    <t>PREVIEW</t>
  </si>
  <si>
    <t>Automotive, 40V 150mA low-IQ (2.8µA) low-dropout (LDO) regulator</t>
  </si>
  <si>
    <t>Linear &amp; low-dropout (LDO) regulators</t>
  </si>
  <si>
    <t>Automotive,Catalog</t>
  </si>
  <si>
    <t>HVSSOP,SOT-23,WSON</t>
  </si>
  <si>
    <t/>
  </si>
  <si>
    <t>-40 to 150</t>
  </si>
  <si>
    <t>5,6,8</t>
  </si>
  <si>
    <t>4,8.12,14.7</t>
  </si>
  <si>
    <t>2 x 2,2.9 x 2.8,3 x 4.9</t>
  </si>
  <si>
    <t>0.8,1.1,1.45</t>
  </si>
  <si>
    <t>0.65,0.95</t>
  </si>
  <si>
    <t>PREVIEW</t>
  </si>
  <si>
    <t>40V 150mA low-IQ (2.8µA) low-dropout (LDO) regulator</t>
  </si>
  <si>
    <t>Linear &amp; low-dropout (LDO) regulators</t>
  </si>
  <si>
    <t>Catalog</t>
  </si>
  <si>
    <t>SOT-23</t>
  </si>
  <si>
    <t/>
  </si>
  <si>
    <t>-40 to 125</t>
  </si>
  <si>
    <t>2.9 x 2.8</t>
  </si>
  <si>
    <t>PREVIEW</t>
  </si>
  <si>
    <t>40V 300mA low-IQ (2.8µA) low-dropout (LDO) regulator</t>
  </si>
  <si>
    <t>Linear &amp; low-dropout (LDO) regulators</t>
  </si>
  <si>
    <t>Catalog</t>
  </si>
  <si>
    <t>SOT-23</t>
  </si>
  <si>
    <t/>
  </si>
  <si>
    <t>-40 to 125</t>
  </si>
  <si>
    <t>2.9 x 2.8</t>
  </si>
  <si>
    <t>PREVIEW</t>
  </si>
  <si>
    <t>Radiation-tolerant, 2.25V to 14V input, 2A low-dropout (LDO) regulator</t>
  </si>
  <si>
    <t>Linear &amp; low-dropout (LDO) regulators</t>
  </si>
  <si>
    <t>Space</t>
  </si>
  <si>
    <t>HTSSOP</t>
  </si>
  <si>
    <t/>
  </si>
  <si>
    <t>-55 to 125</t>
  </si>
  <si>
    <t>7.8 x 6.4</t>
  </si>
  <si>
    <t>ACTIVE</t>
  </si>
  <si>
    <t>Automotive, 40V 150mA low-IQ (2.8µA) low-dropout LDO) regulator with power good and delay</t>
  </si>
  <si>
    <t>Linear &amp; low-dropout (LDO) regulators</t>
  </si>
  <si>
    <t>Automotive</t>
  </si>
  <si>
    <t>WSON</t>
  </si>
  <si>
    <t/>
  </si>
  <si>
    <t>-40 to 150</t>
  </si>
  <si>
    <t>2 x 2</t>
  </si>
  <si>
    <t>PREVIEW</t>
  </si>
  <si>
    <t>36VIN, 30VOUT, low-IQ, 7.5A ISW fully integrated synchronous boost converter with pass-through mode</t>
  </si>
  <si>
    <t>AC/DC &amp; DC/DC converters (integrated FET)</t>
  </si>
  <si>
    <t>Automotive</t>
  </si>
  <si>
    <t>Boost</t>
  </si>
  <si>
    <t>WQFN-HR</t>
  </si>
  <si>
    <t>Functional Safety-Capable</t>
  </si>
  <si>
    <t>-40 to 125</t>
  </si>
  <si>
    <t>3 x 2.5</t>
  </si>
  <si>
    <t>PREVIEW</t>
  </si>
  <si>
    <t>42V, 100% duty-cycle capable dual-channel synchronous buck controller</t>
  </si>
  <si>
    <t>AC/DC &amp; DC/DC controllers (external FET)</t>
  </si>
  <si>
    <t>Catalog</t>
  </si>
  <si>
    <t>VQFN</t>
  </si>
  <si>
    <t>Functional Safety-Capable</t>
  </si>
  <si>
    <t xml:space="preserve"> to </t>
  </si>
  <si>
    <t>6 x 6</t>
  </si>
  <si>
    <t>ACTIVE</t>
  </si>
  <si>
    <t>Automotive, 42V, 100% duty-cycle, dual-channel, functional safety synchronous buck controller</t>
  </si>
  <si>
    <t>AC/DC &amp; DC/DC controllers (external FET)</t>
  </si>
  <si>
    <t>Automotive</t>
  </si>
  <si>
    <t>Functional Safety-Compliant</t>
  </si>
  <si>
    <t xml:space="preserve"> to </t>
  </si>
  <si>
    <t>ACTIVE</t>
  </si>
  <si>
    <t>Automotive, 36V, 4-switch buck-boost controller with I2C interface for USB-PD</t>
  </si>
  <si>
    <t>AC/DC &amp; DC/DC controllers (external FET)</t>
  </si>
  <si>
    <t>Automotive</t>
  </si>
  <si>
    <t>Buck-Boost</t>
  </si>
  <si>
    <t>VQFN</t>
  </si>
  <si>
    <t>Functional Safety-Capable</t>
  </si>
  <si>
    <t>-40 to 150</t>
  </si>
  <si>
    <t>6 x 6</t>
  </si>
  <si>
    <t>ACTIVE</t>
  </si>
  <si>
    <t>80V, 100% duty-cycle capable dual-channel synchronous buck controller</t>
  </si>
  <si>
    <t>AC/DC &amp; DC/DC controllers (external FET)</t>
  </si>
  <si>
    <t>Catalog</t>
  </si>
  <si>
    <t>VQFN</t>
  </si>
  <si>
    <t>Functional Safety-Capable</t>
  </si>
  <si>
    <t xml:space="preserve"> to </t>
  </si>
  <si>
    <t>6 x 6</t>
  </si>
  <si>
    <t>ACTIVE</t>
  </si>
  <si>
    <t>1.6V to 5.5V input voltage, 1.5A buck-boost converter with I2C and 1.2V logic I/O</t>
  </si>
  <si>
    <t>AC/DC &amp; DC/DC converters (integrated FET)</t>
  </si>
  <si>
    <t>Catalog</t>
  </si>
  <si>
    <t>Buck-Boost</t>
  </si>
  <si>
    <t/>
  </si>
  <si>
    <t>-40 to 125</t>
  </si>
  <si>
    <t>ACTIVE</t>
  </si>
  <si>
    <t>Automotive, 2W, 5.5V-to-20V VIN, regulated 5kVRMS isolated DC-DC module with integrated transformer</t>
  </si>
  <si>
    <t>Isolated power modules (integrated transformer)</t>
  </si>
  <si>
    <t>Automotive</t>
  </si>
  <si>
    <t>Full-bridge</t>
  </si>
  <si>
    <t>SO-MOD</t>
  </si>
  <si>
    <t>Functional Safety-Capable</t>
  </si>
  <si>
    <t xml:space="preserve"> to </t>
  </si>
  <si>
    <t>5.85 x 10.3</t>
  </si>
  <si>
    <t>PREVIEW</t>
  </si>
  <si>
    <t>3 step-down converters with 0.8-A and dual 0.6-A output and 1 high PSRR LDO PMIC in 3 x 3.5mm QFN</t>
  </si>
  <si>
    <t>Multi-channel ICs (PMICs)</t>
  </si>
  <si>
    <t>Automotive</t>
  </si>
  <si>
    <t>WQFN-FCRLF</t>
  </si>
  <si>
    <t/>
  </si>
  <si>
    <t xml:space="preserve"> to </t>
  </si>
  <si>
    <t>3.5 x 3</t>
  </si>
  <si>
    <t>ACTIVE</t>
  </si>
  <si>
    <t>Automotive 5.5V PMIC with four buck converters and three LDOs for ADAS processors up to ASIL-B</t>
  </si>
  <si>
    <t>Multi-channel ICs (PMICs)</t>
  </si>
  <si>
    <t>Automotive</t>
  </si>
  <si>
    <t>VQFN-HR</t>
  </si>
  <si>
    <t>Functional Safety-Compliant</t>
  </si>
  <si>
    <t>-40 to 125</t>
  </si>
  <si>
    <t>6 x 5</t>
  </si>
  <si>
    <t>ACTIVE</t>
  </si>
  <si>
    <t>22V 8A buck-boost converter with I²C interface</t>
  </si>
  <si>
    <t>AC/DC &amp; DC/DC converters (integrated FET)</t>
  </si>
  <si>
    <t>Catalog</t>
  </si>
  <si>
    <t>Buck-Boost</t>
  </si>
  <si>
    <t>WQFN-HR</t>
  </si>
  <si>
    <t/>
  </si>
  <si>
    <t>-40 to 125</t>
  </si>
  <si>
    <t>3.5 x 2.5</t>
  </si>
  <si>
    <t>ACTIVE</t>
  </si>
  <si>
    <t>Automotive, dual-channel 11.3mΩ smart high-side switch with I2T wire protection, low-Iq mode and SPI</t>
  </si>
  <si>
    <t>Smart eFuse high-side switches</t>
  </si>
  <si>
    <t>Automotive</t>
  </si>
  <si>
    <t>HTSSOP</t>
  </si>
  <si>
    <t/>
  </si>
  <si>
    <t>-40 to 125</t>
  </si>
  <si>
    <t>5 x 6.4</t>
  </si>
  <si>
    <t>ACTIVE</t>
  </si>
  <si>
    <t>36V, 6A, functional safety compliant, stackable step-down power converter in a small eQFN package</t>
  </si>
  <si>
    <t>AC/DC &amp; DC/DC converters (integrated FET)</t>
  </si>
  <si>
    <t>Automotive</t>
  </si>
  <si>
    <t>Buck</t>
  </si>
  <si>
    <t>WQFN-FCRLF</t>
  </si>
  <si>
    <t>Functional Safety-Compliant</t>
  </si>
  <si>
    <t>-40 to 150</t>
  </si>
  <si>
    <t>3.6 x 2.6</t>
  </si>
  <si>
    <t>PREVIEW</t>
  </si>
  <si>
    <t>Automotive, 36V, 5A synchronous buck converter with low Iq and high efficiency with minimized COUT</t>
  </si>
  <si>
    <t>AC/DC &amp; DC/DC converters (integrated FET)</t>
  </si>
  <si>
    <t>Automotive</t>
  </si>
  <si>
    <t>Buck</t>
  </si>
  <si>
    <t>WQFN-FCRLF</t>
  </si>
  <si>
    <t>Functional Safety-Capable</t>
  </si>
  <si>
    <t>-40 to 150</t>
  </si>
  <si>
    <t>2.5 x 2</t>
  </si>
  <si>
    <t>PREVIEW</t>
  </si>
  <si>
    <t>Automotive lowside 3A driver with over-current protection and 12V undervoltage lockout (UVLO)</t>
  </si>
  <si>
    <t>Low-side drivers</t>
  </si>
  <si>
    <t>Automotive</t>
  </si>
  <si>
    <t>SOT-23</t>
  </si>
  <si>
    <t>Functional Safety-Capable</t>
  </si>
  <si>
    <t>-40 to 125</t>
  </si>
  <si>
    <t>2.9 x 2.8</t>
  </si>
  <si>
    <t>ACTIVE</t>
  </si>
  <si>
    <t>Automotive lowside 3A driver with over-current protection and 8V undervoltage lockout (UVLO)</t>
  </si>
  <si>
    <t>Low-side drivers</t>
  </si>
  <si>
    <t>Automotive</t>
  </si>
  <si>
    <t>SOT-23</t>
  </si>
  <si>
    <t>Functional Safety-Capable</t>
  </si>
  <si>
    <t>-40 to 125</t>
  </si>
  <si>
    <t>2.9 x 2.8</t>
  </si>
  <si>
    <t>ACTIVE</t>
  </si>
  <si>
    <t>5.5V to 90V advanced hot-swap controller with I/V/P monitoring and PMBus™ interface</t>
  </si>
  <si>
    <t>Hot-swap controllers</t>
  </si>
  <si>
    <t>Catalog</t>
  </si>
  <si>
    <t>HTSSOP</t>
  </si>
  <si>
    <t/>
  </si>
  <si>
    <t>-40 to 125</t>
  </si>
  <si>
    <t>9.7 x 6.4</t>
  </si>
  <si>
    <t>PREVIEW</t>
  </si>
  <si>
    <t>Automotive, 48V, 85-mΩ dual-channel smart high-side switch</t>
  </si>
  <si>
    <t>High-side switches</t>
  </si>
  <si>
    <t>Automotive</t>
  </si>
  <si>
    <t>VQFN-HR</t>
  </si>
  <si>
    <t>Functional Safety-Capable</t>
  </si>
  <si>
    <t>-40 to 125</t>
  </si>
  <si>
    <t>3 x 3.5</t>
  </si>
  <si>
    <t>ACTIVE</t>
  </si>
  <si>
    <t>Radiation-tolerant 100% duty cycle PWM controller for driving MOSFET or GaN FETs</t>
  </si>
  <si>
    <t>AC/DC &amp; DC/DC controllers (external FET)</t>
  </si>
  <si>
    <t>Space</t>
  </si>
  <si>
    <t>Boost,Flyback,Forward</t>
  </si>
  <si>
    <t>HTSSOP</t>
  </si>
  <si>
    <t/>
  </si>
  <si>
    <t>-55 to 125</t>
  </si>
  <si>
    <t>7.8 x 6.4</t>
  </si>
  <si>
    <t>ACTIVE</t>
  </si>
  <si>
    <t>5V to 80V, 20A synchronous step-down converter with integrated GaN FETs for ultra-high efficiency</t>
  </si>
  <si>
    <t>AC/DC &amp; DC/DC converters (integrated FET)</t>
  </si>
  <si>
    <t>Catalog</t>
  </si>
  <si>
    <t>Buck</t>
  </si>
  <si>
    <t>VQFN-FCRLF</t>
  </si>
  <si>
    <t/>
  </si>
  <si>
    <t>-40 to 125</t>
  </si>
  <si>
    <t>5.5 x 4.5</t>
  </si>
  <si>
    <t>PREVIEW</t>
  </si>
  <si>
    <t>Automotive, high density, Wide VIN and VOUT LLC controller with IPPC</t>
  </si>
  <si>
    <t>AC/DC &amp; DC/DC controllers (external FET)</t>
  </si>
  <si>
    <t>Automotive,Catalog</t>
  </si>
  <si>
    <t>Half bridge,Half-bridge,LLC,LLC full-bridge,LLC half-bridge</t>
  </si>
  <si>
    <t>SOIC</t>
  </si>
  <si>
    <t/>
  </si>
  <si>
    <t>-40 to 125</t>
  </si>
  <si>
    <t>9.9 x 6</t>
  </si>
  <si>
    <t>ACTIVE</t>
  </si>
  <si>
    <t>Low-Side Driver with positive OCP and 12V UVLO</t>
  </si>
  <si>
    <t>Low-side drivers</t>
  </si>
  <si>
    <t>Catalog</t>
  </si>
  <si>
    <t>SOIC</t>
  </si>
  <si>
    <t>Functional Safety-Capable</t>
  </si>
  <si>
    <t>-40 to 125</t>
  </si>
  <si>
    <t>4.9 x 6</t>
  </si>
  <si>
    <t>ACTIVE</t>
  </si>
  <si>
    <t>Automotive Low-Side Driver with positive OCP and 12V UVLO</t>
  </si>
  <si>
    <t>Low-side drivers</t>
  </si>
  <si>
    <t>Automotive</t>
  </si>
  <si>
    <t>SOIC</t>
  </si>
  <si>
    <t>Functional Safety-Capable</t>
  </si>
  <si>
    <t>-40 to 125</t>
  </si>
  <si>
    <t>4.9 x 6</t>
  </si>
  <si>
    <t>ACTIVE</t>
  </si>
  <si>
    <t>Low-Side Driver with positive OCP and 8V UVLO</t>
  </si>
  <si>
    <t>Low-side drivers</t>
  </si>
  <si>
    <t>Catalog</t>
  </si>
  <si>
    <t>SOIC</t>
  </si>
  <si>
    <t>Functional Safety-Capable</t>
  </si>
  <si>
    <t>-40 to 125</t>
  </si>
  <si>
    <t>4.9 x 6</t>
  </si>
  <si>
    <t>ACTIVE</t>
  </si>
  <si>
    <t>Automotive Low-Side Driver with positive OCP and 8V UVLO</t>
  </si>
  <si>
    <t>Low-side drivers</t>
  </si>
  <si>
    <t>Automotive</t>
  </si>
  <si>
    <t>SOIC</t>
  </si>
  <si>
    <t>Functional Safety-Capable</t>
  </si>
  <si>
    <t>-40 to 125</t>
  </si>
  <si>
    <t>4.9 x 6</t>
  </si>
  <si>
    <t>ACTIVE</t>
  </si>
  <si>
    <t>400kHz boost converter with 400kHz buck charger and battery health detection in back-up power</t>
  </si>
  <si>
    <t>AC/DC &amp; DC/DC converters (integrated FET)</t>
  </si>
  <si>
    <t>Automotive</t>
  </si>
  <si>
    <t>Boost,Buck,Buck/Boost</t>
  </si>
  <si>
    <t>WQFN-FCRLF</t>
  </si>
  <si>
    <t/>
  </si>
  <si>
    <t>-40 to 150</t>
  </si>
  <si>
    <t>4 x 3</t>
  </si>
  <si>
    <t>ACTIVE</t>
  </si>
  <si>
    <t>Automotive 1200V, 50mA isolated switch with reinforced isolation and avalanche protection</t>
  </si>
  <si>
    <t>Solid-state relays</t>
  </si>
  <si>
    <t>Automotive</t>
  </si>
  <si>
    <t>SOIC</t>
  </si>
  <si>
    <t>Functional Safety-Capable</t>
  </si>
  <si>
    <t>-40 to 125</t>
  </si>
  <si>
    <t>10.3 x 10.3</t>
  </si>
  <si>
    <t>PREVIEW</t>
  </si>
  <si>
    <t>Wide-VIN 2.2MHz dual-phase boost controller with VOUT tracking</t>
  </si>
  <si>
    <t>AC/DC &amp; DC/DC controllers (external FET)</t>
  </si>
  <si>
    <t>Automotive</t>
  </si>
  <si>
    <t>Boost Controller</t>
  </si>
  <si>
    <t>VQFN</t>
  </si>
  <si>
    <t>Functional Safety-Capable</t>
  </si>
  <si>
    <t>-40 to 150</t>
  </si>
  <si>
    <t>5 x 5</t>
  </si>
  <si>
    <t>ACTIVE</t>
  </si>
  <si>
    <t>Automotive, 80-V dual-channel bidirectional buck-boost controller</t>
  </si>
  <si>
    <t>AC/DC &amp; DC/DC controllers (external FET)</t>
  </si>
  <si>
    <t>Automotive</t>
  </si>
  <si>
    <t>Boost,Buck,Buck/Boost</t>
  </si>
  <si>
    <t>HTQFP</t>
  </si>
  <si>
    <t>Functional Safety-Capable</t>
  </si>
  <si>
    <t>-40 to 150</t>
  </si>
  <si>
    <t>9 x 9</t>
  </si>
  <si>
    <t>ACTIVE</t>
  </si>
  <si>
    <t>Automotive 35V PMIC with three buck converters and one LDO regulator for camera modules up to ASIL-B</t>
  </si>
  <si>
    <t>Multi-channel ICs (PMICs)</t>
  </si>
  <si>
    <t>Automotive</t>
  </si>
  <si>
    <t>VQFN-HR</t>
  </si>
  <si>
    <t>Functional Safety-Compliant</t>
  </si>
  <si>
    <t>-40 to 125</t>
  </si>
  <si>
    <t>3.5 x 3.5</t>
  </si>
  <si>
    <t>PREVIEW</t>
  </si>
  <si>
    <t>1A, low input and low output voltage, fast settling ultra-low-dropout (LDO) regulator</t>
  </si>
  <si>
    <t>Linear &amp; low-dropout (LDO) regulators</t>
  </si>
  <si>
    <t>Catalog</t>
  </si>
  <si>
    <t>DSBGA</t>
  </si>
  <si>
    <t/>
  </si>
  <si>
    <t>-40 to 125</t>
  </si>
  <si>
    <t>1.16 x 0.71</t>
  </si>
  <si>
    <t>ACTIVE</t>
  </si>
  <si>
    <t>Radiation-hardened, QMLP 100% duty cycle PWM controller for driving MOSFET or GaN FETs</t>
  </si>
  <si>
    <t>AC/DC &amp; DC/DC controllers (external FET)</t>
  </si>
  <si>
    <t>Space</t>
  </si>
  <si>
    <t>Boost,Flyback</t>
  </si>
  <si>
    <t>HTSSOP</t>
  </si>
  <si>
    <t/>
  </si>
  <si>
    <t>-55 to 125</t>
  </si>
  <si>
    <t>7.8 x 6.4</t>
  </si>
  <si>
    <t>ACTIVE</t>
  </si>
  <si>
    <t>High Frequency QR Flyback Converter with integrated GaN power FET for up to 120W output with PFC</t>
  </si>
  <si>
    <t>AC/DC &amp; DC/DC converters (integrated FET)</t>
  </si>
  <si>
    <t>Catalog</t>
  </si>
  <si>
    <t>Flyback</t>
  </si>
  <si>
    <t>VQFN</t>
  </si>
  <si>
    <t/>
  </si>
  <si>
    <t>-40 to 105</t>
  </si>
  <si>
    <t>5 x 5</t>
  </si>
  <si>
    <t>ACTIVE</t>
  </si>
  <si>
    <t>4V-to-18V input, 35A, stackable PMBus synchronous step-down converter</t>
  </si>
  <si>
    <t>AC/DC &amp; DC/DC converters (integrated FET)</t>
  </si>
  <si>
    <t>Catalog</t>
  </si>
  <si>
    <t>Buck</t>
  </si>
  <si>
    <t>WQFN-FCRLF</t>
  </si>
  <si>
    <t/>
  </si>
  <si>
    <t>-40 to 125</t>
  </si>
  <si>
    <t>5 x 4</t>
  </si>
  <si>
    <t>ACTIVE</t>
  </si>
  <si>
    <t>700V 4A Half-Bridge Driver with 8V UVLO, Enable &amp; Interlock</t>
  </si>
  <si>
    <t>Half-bridge drivers</t>
  </si>
  <si>
    <t>Catalog</t>
  </si>
  <si>
    <t>SOIC</t>
  </si>
  <si>
    <t/>
  </si>
  <si>
    <t>-40 to 150</t>
  </si>
  <si>
    <t>4.9 x 6</t>
  </si>
  <si>
    <t>ACTIVE</t>
  </si>
  <si>
    <t>Automotive 700V 4A Half-Bridge Driver with 8V UVLO, Enable &amp; Interlock</t>
  </si>
  <si>
    <t>Half-bridge drivers</t>
  </si>
  <si>
    <t>Automotive</t>
  </si>
  <si>
    <t>SOIC</t>
  </si>
  <si>
    <t/>
  </si>
  <si>
    <t>-40 to 150</t>
  </si>
  <si>
    <t>4.9 x 6</t>
  </si>
  <si>
    <t>ACTIVE</t>
  </si>
  <si>
    <t>700V 4A Half-Bridge Driver with 8V UVLO, Enable &amp; Interlock</t>
  </si>
  <si>
    <t>Half-bridge drivers</t>
  </si>
  <si>
    <t>Catalog</t>
  </si>
  <si>
    <t>SOIC</t>
  </si>
  <si>
    <t/>
  </si>
  <si>
    <t>-40 to 150</t>
  </si>
  <si>
    <t>8.65 x 6</t>
  </si>
  <si>
    <t>ACTIVE</t>
  </si>
  <si>
    <t>200-V, 4-A/4-A Half-Bridge Driver with Interlock and 7-V UVLO</t>
  </si>
  <si>
    <t>Half-bridge drivers</t>
  </si>
  <si>
    <t>Catalog</t>
  </si>
  <si>
    <t>SOIC</t>
  </si>
  <si>
    <t/>
  </si>
  <si>
    <t>-40 to 150</t>
  </si>
  <si>
    <t>4.9 x 6</t>
  </si>
  <si>
    <t>ACTIVE</t>
  </si>
  <si>
    <t>Automotive 200-V, 4-A/4-A half-bridge driver with interlock and 7-V UVLO</t>
  </si>
  <si>
    <t>Half-bridge drivers</t>
  </si>
  <si>
    <t>Automotive</t>
  </si>
  <si>
    <t>SOIC</t>
  </si>
  <si>
    <t/>
  </si>
  <si>
    <t>-40 to 150</t>
  </si>
  <si>
    <t>4.9 x 6</t>
  </si>
  <si>
    <t>ACTIVE</t>
  </si>
  <si>
    <t>105V window supervisor with low quiescent current (Iq) and fast response time</t>
  </si>
  <si>
    <t>Supply-voltage supervisors</t>
  </si>
  <si>
    <t>Automotive</t>
  </si>
  <si>
    <t>SOT-23-THN</t>
  </si>
  <si>
    <t/>
  </si>
  <si>
    <t>-40 to 125</t>
  </si>
  <si>
    <t>4.2 x 3.26</t>
  </si>
  <si>
    <t>ACTIVE</t>
  </si>
  <si>
    <t>105V window supervisor with low quiescent current for 48V and 72V power rail applications</t>
  </si>
  <si>
    <t>Supply-voltage supervisors</t>
  </si>
  <si>
    <t>Automotive</t>
  </si>
  <si>
    <t>SOT-23-THN</t>
  </si>
  <si>
    <t/>
  </si>
  <si>
    <t>-40 to 125</t>
  </si>
  <si>
    <t>4.2 x 3.26</t>
  </si>
  <si>
    <t>ACTIVE</t>
  </si>
  <si>
    <t>Automotive, 2.7V to 6V, 2A step-down converter in QFN package</t>
  </si>
  <si>
    <t>AC/DC &amp; DC/DC converters (integrated FET)</t>
  </si>
  <si>
    <t>Automotive</t>
  </si>
  <si>
    <t>Buck</t>
  </si>
  <si>
    <t>WSON-HR</t>
  </si>
  <si>
    <t>Functional Safety-Capable</t>
  </si>
  <si>
    <t>-40 to 125</t>
  </si>
  <si>
    <t>2 x 1.5</t>
  </si>
  <si>
    <t>ACTIVE</t>
  </si>
  <si>
    <t>78V wide VIN bidirectional 4-switch buck-boost controller</t>
  </si>
  <si>
    <t>AC/DC &amp; DC/DC controllers (external FET)</t>
  </si>
  <si>
    <t>Automotive</t>
  </si>
  <si>
    <t>Buck-Boost</t>
  </si>
  <si>
    <t>HTSSOP</t>
  </si>
  <si>
    <t>Functional Safety-Capable</t>
  </si>
  <si>
    <t>-40 to 150</t>
  </si>
  <si>
    <t>9.7 x 6.4</t>
  </si>
  <si>
    <t>ACTIVE</t>
  </si>
  <si>
    <t>Automotive PMIC with three buck converters and two LDOs for processor and peripheral power</t>
  </si>
  <si>
    <t>Multi-channel ICs (PMICs)</t>
  </si>
  <si>
    <t>Automotive</t>
  </si>
  <si>
    <t>VQFN</t>
  </si>
  <si>
    <t/>
  </si>
  <si>
    <t>-40 to 125</t>
  </si>
  <si>
    <t>5 x 5</t>
  </si>
  <si>
    <t>ACTIVE</t>
  </si>
  <si>
    <t>User-programmable PMIC with three buck converters and two LDOs for processor and peripheral power</t>
  </si>
  <si>
    <t>Multi-channel ICs (PMICs)</t>
  </si>
  <si>
    <t>Automotive</t>
  </si>
  <si>
    <t>VQFN</t>
  </si>
  <si>
    <t/>
  </si>
  <si>
    <t>-40 to 125</t>
  </si>
  <si>
    <t>5 x 5</t>
  </si>
  <si>
    <t>ACTIVE</t>
  </si>
  <si>
    <t>Automotive 700V 4A Half-Bridge Driver with 8V UVLO, Enable &amp; Interlock</t>
  </si>
  <si>
    <t>Half-bridge drivers</t>
  </si>
  <si>
    <t>Automotive</t>
  </si>
  <si>
    <t>SOIC</t>
  </si>
  <si>
    <t/>
  </si>
  <si>
    <t>-40 to 150</t>
  </si>
  <si>
    <t>8.65 x 6</t>
  </si>
  <si>
    <t>ACTIVE</t>
  </si>
  <si>
    <t>Automotive, 3V to 36V input, 1A synchronous buck module</t>
  </si>
  <si>
    <t>Power modules (integrated inductor)</t>
  </si>
  <si>
    <t>Automotive</t>
  </si>
  <si>
    <t>Buck,Synchronous Buck</t>
  </si>
  <si>
    <t>QFN-FCMOD</t>
  </si>
  <si>
    <t>Functional Safety-Capable</t>
  </si>
  <si>
    <t>-40 to 150</t>
  </si>
  <si>
    <t>4.5 x 3.5</t>
  </si>
  <si>
    <t>ACTIVE</t>
  </si>
  <si>
    <t>6V-to-115V wide VIN, 300mA DC/DC converter with Fly-Buck™ converter capability</t>
  </si>
  <si>
    <t>AC/DC &amp; DC/DC converters (integrated FET)</t>
  </si>
  <si>
    <t>Catalog</t>
  </si>
  <si>
    <t>Buck,Flybuck</t>
  </si>
  <si>
    <t>HSOIC</t>
  </si>
  <si>
    <t>Functional Safety-Capable</t>
  </si>
  <si>
    <t>-55 to 150</t>
  </si>
  <si>
    <t>4.9 x 6</t>
  </si>
  <si>
    <t>ACTIVE</t>
  </si>
  <si>
    <t>78V wide-VIN bidirectional 4-switch buck-boost controller</t>
  </si>
  <si>
    <t>AC/DC &amp; DC/DC controllers (external FET)</t>
  </si>
  <si>
    <t>Catalog</t>
  </si>
  <si>
    <t>Buck-Boost</t>
  </si>
  <si>
    <t/>
  </si>
  <si>
    <t>-40 to 125</t>
  </si>
  <si>
    <t>ACTIVE</t>
  </si>
  <si>
    <t>4-channel I2C interface RGBW LED driver with instant blinking and auto animation control</t>
  </si>
  <si>
    <t>RGB LED drivers</t>
  </si>
  <si>
    <t>Catalog</t>
  </si>
  <si>
    <t>Linear</t>
  </si>
  <si>
    <t>DSBGA</t>
  </si>
  <si>
    <t/>
  </si>
  <si>
    <t>-40 to 125</t>
  </si>
  <si>
    <t>1.4 x 0.7</t>
  </si>
  <si>
    <t>ACTIVE</t>
  </si>
  <si>
    <t>Temperature-controlled buried-Zener reference with 0.05ppm/°C drift and &lt;1ppm stability</t>
  </si>
  <si>
    <t>Series voltage references</t>
  </si>
  <si>
    <t>Catalog</t>
  </si>
  <si>
    <t>LCCC</t>
  </si>
  <si>
    <t/>
  </si>
  <si>
    <t>0 to 70</t>
  </si>
  <si>
    <t>8.89 x 8.89</t>
  </si>
  <si>
    <t>PREVIEW</t>
  </si>
  <si>
    <t>Dual-Channel, 8-phase, Step-down Multiphase Controller with SVID and AVSbus Interface</t>
  </si>
  <si>
    <t>AC/DC &amp; DC/DC controllers (external FET)</t>
  </si>
  <si>
    <t>Catalog</t>
  </si>
  <si>
    <t>WQFN</t>
  </si>
  <si>
    <t/>
  </si>
  <si>
    <t xml:space="preserve"> to </t>
  </si>
  <si>
    <t>5 x 5</t>
  </si>
  <si>
    <t>ACTIVE</t>
  </si>
  <si>
    <t>Automotive, 80V, 100% duty-cycle capable dual-channel synchronous buck controller</t>
  </si>
  <si>
    <t>AC/DC &amp; DC/DC controllers (external FET)</t>
  </si>
  <si>
    <t>Automotive</t>
  </si>
  <si>
    <t>Buck</t>
  </si>
  <si>
    <t>VQFN</t>
  </si>
  <si>
    <t>Functional Safety-Capable</t>
  </si>
  <si>
    <t>-40 to 150</t>
  </si>
  <si>
    <t>6 x 6</t>
  </si>
  <si>
    <t>ACTIVE</t>
  </si>
  <si>
    <t>4V to 18V input, 25A synchronous SWIFT™ step-down converter with extended temperature</t>
  </si>
  <si>
    <t>AC/DC &amp; DC/DC converters (integrated FET)</t>
  </si>
  <si>
    <t>Catalog</t>
  </si>
  <si>
    <t>Buck,Synchronous Buck</t>
  </si>
  <si>
    <t>WQFN-FCRLF</t>
  </si>
  <si>
    <t/>
  </si>
  <si>
    <t>-55 to 150</t>
  </si>
  <si>
    <t>4.5 x 2.5</t>
  </si>
  <si>
    <t>ACTIVE</t>
  </si>
  <si>
    <t>Radiation-hardened, QMLV, 3V to 14V, 4-channel supervisor with watchdog timer</t>
  </si>
  <si>
    <t>Reset &amp; watchdog ICs</t>
  </si>
  <si>
    <t>Space</t>
  </si>
  <si>
    <t>CFP</t>
  </si>
  <si>
    <t/>
  </si>
  <si>
    <t>-55 to 125</t>
  </si>
  <si>
    <t>6.211 x 9.696</t>
  </si>
  <si>
    <t>ACTIVE</t>
  </si>
  <si>
    <t>95nA quiescent current, 5.5V boost module with input current limit</t>
  </si>
  <si>
    <t>Power modules (integrated inductor)</t>
  </si>
  <si>
    <t>Catalog</t>
  </si>
  <si>
    <t>Boost</t>
  </si>
  <si>
    <t>QFN-FCMOD</t>
  </si>
  <si>
    <t/>
  </si>
  <si>
    <t>-40 to 125</t>
  </si>
  <si>
    <t>3 x 2.7</t>
  </si>
  <si>
    <t>ACTIVE</t>
  </si>
  <si>
    <t>Automotive ideal diode with circuit breaker, 200-kHz ACS, UV ,OV protection and SLEEP mode</t>
  </si>
  <si>
    <t>Ideal diode &amp; ORing controllers</t>
  </si>
  <si>
    <t>Automotive</t>
  </si>
  <si>
    <t>VQFN</t>
  </si>
  <si>
    <t>Functional Safety-Capable</t>
  </si>
  <si>
    <t>-40 to 125</t>
  </si>
  <si>
    <t>4 x 4</t>
  </si>
  <si>
    <t>ACTIVE</t>
  </si>
  <si>
    <t>4V to 18V input, 25A, stackable, PMBus synchronous step-down converter</t>
  </si>
  <si>
    <t>AC/DC &amp; DC/DC converters (integrated FET)</t>
  </si>
  <si>
    <t>Catalog</t>
  </si>
  <si>
    <t>Buck</t>
  </si>
  <si>
    <t>WQFN-FCRLF</t>
  </si>
  <si>
    <t/>
  </si>
  <si>
    <t>-40 to 85</t>
  </si>
  <si>
    <t>6 x 5</t>
  </si>
  <si>
    <t>ACTIVE</t>
  </si>
  <si>
    <t>4V to 18V input, 25A, synchronous buck converter with PMBus single-phase FCCM operation</t>
  </si>
  <si>
    <t>AC/DC &amp; DC/DC converters (integrated FET)</t>
  </si>
  <si>
    <t>Catalog</t>
  </si>
  <si>
    <t>Buck</t>
  </si>
  <si>
    <t>WQFN-FCRLF</t>
  </si>
  <si>
    <t/>
  </si>
  <si>
    <t>-40 to 125</t>
  </si>
  <si>
    <t>6 x 5</t>
  </si>
  <si>
    <t>ACTIVE</t>
  </si>
  <si>
    <t>Automotive, 48-channel, 100mA local dimming backlight LED driver with safety-zone reporting</t>
  </si>
  <si>
    <t>Automotive LED drivers</t>
  </si>
  <si>
    <t>Automotive</t>
  </si>
  <si>
    <t>HTSSOP,VQFN</t>
  </si>
  <si>
    <t>Functional Safety-Compliant</t>
  </si>
  <si>
    <t>-40 to 125</t>
  </si>
  <si>
    <t>64,113.4</t>
  </si>
  <si>
    <t>14 x 8.1,8 x 8</t>
  </si>
  <si>
    <t>1,1.2</t>
  </si>
  <si>
    <t>ACTIVE</t>
  </si>
  <si>
    <t>20 ppm°/C drift, 24uA Iq in SOT-23-3 package series voltage reference</t>
  </si>
  <si>
    <t>Series voltage references</t>
  </si>
  <si>
    <t>Catalog</t>
  </si>
  <si>
    <t>SOT-23</t>
  </si>
  <si>
    <t/>
  </si>
  <si>
    <t>-40 to 125</t>
  </si>
  <si>
    <t>2.92 x 2.37</t>
  </si>
  <si>
    <t>PREVIEW</t>
  </si>
  <si>
    <t>4.5V to 30V input, 3A, 400kHz synchronous buck converter</t>
  </si>
  <si>
    <t>AC/DC &amp; DC/DC converters (integrated FET)</t>
  </si>
  <si>
    <t>Catalog</t>
  </si>
  <si>
    <t>Buck</t>
  </si>
  <si>
    <t>SOT-5X3</t>
  </si>
  <si>
    <t/>
  </si>
  <si>
    <t>-40 to 150</t>
  </si>
  <si>
    <t>1.6 x 1.6</t>
  </si>
  <si>
    <t>PREVIEW</t>
  </si>
  <si>
    <t>Radiation-tolerant 14V 4-channel power supply sequencer</t>
  </si>
  <si>
    <t>Sequencers</t>
  </si>
  <si>
    <t>Space</t>
  </si>
  <si>
    <t>TSSOP</t>
  </si>
  <si>
    <t/>
  </si>
  <si>
    <t>-55 to 125</t>
  </si>
  <si>
    <t>7.8 x 6.4</t>
  </si>
  <si>
    <t>ACTIVE</t>
  </si>
  <si>
    <t>Automotive 42V input low-Iq buck controller with advanced spread spectrum for low EMI</t>
  </si>
  <si>
    <t>AC/DC &amp; DC/DC controllers (external FET)</t>
  </si>
  <si>
    <t>Automotive</t>
  </si>
  <si>
    <t>Buck Controller</t>
  </si>
  <si>
    <t>VQFN</t>
  </si>
  <si>
    <t/>
  </si>
  <si>
    <t>-40 to 150</t>
  </si>
  <si>
    <t>3 x 3</t>
  </si>
  <si>
    <t>ACTIVE</t>
  </si>
  <si>
    <t>Wide-voltage battery front-end DC/DC converter for single-cell Li-Ion, Ni-Rich, Si-Anode application</t>
  </si>
  <si>
    <t>AC/DC &amp; DC/DC converters (integrated FET)</t>
  </si>
  <si>
    <t>Catalog</t>
  </si>
  <si>
    <t>Boost</t>
  </si>
  <si>
    <t>DSBGA</t>
  </si>
  <si>
    <t/>
  </si>
  <si>
    <t xml:space="preserve"> to </t>
  </si>
  <si>
    <t>1.577 x 1.577</t>
  </si>
  <si>
    <t>ACTIVE</t>
  </si>
  <si>
    <t>Automotive, 2.8V to 6V input 50A fast transient stackable synchronous buck converter with telemetry</t>
  </si>
  <si>
    <t>AC/DC &amp; DC/DC converters (integrated FET)</t>
  </si>
  <si>
    <t>Automotive</t>
  </si>
  <si>
    <t>Buck</t>
  </si>
  <si>
    <t>WQFN-FCRLF</t>
  </si>
  <si>
    <t>Functional Safety-Capable</t>
  </si>
  <si>
    <t>-40 to 125</t>
  </si>
  <si>
    <t>5 x 6</t>
  </si>
  <si>
    <t>ACTIVE</t>
  </si>
  <si>
    <t>3A low-side driver with over-current protection and 12V undervoltage lockout (UVLO)</t>
  </si>
  <si>
    <t>Low-side drivers</t>
  </si>
  <si>
    <t>Catalog</t>
  </si>
  <si>
    <t>SOT-23</t>
  </si>
  <si>
    <t>Functional Safety-Capable</t>
  </si>
  <si>
    <t>-40 to 125</t>
  </si>
  <si>
    <t>2.9 x 2.8</t>
  </si>
  <si>
    <t>ACTIVE</t>
  </si>
  <si>
    <t>3A low-side driver with over-current protection and 8V undervoltage lockout (UVLO)</t>
  </si>
  <si>
    <t>Low-side drivers</t>
  </si>
  <si>
    <t>Catalog</t>
  </si>
  <si>
    <t>SOT-23</t>
  </si>
  <si>
    <t>Functional Safety-Capable</t>
  </si>
  <si>
    <t>-40 to 125</t>
  </si>
  <si>
    <t>2.9 x 2.8</t>
  </si>
  <si>
    <t>ACTIVE</t>
  </si>
  <si>
    <t>Automotive, 48-channel, local dimming backlight LED driver with safety-zone reporting</t>
  </si>
  <si>
    <t>Automotive LED drivers</t>
  </si>
  <si>
    <t>Automotive</t>
  </si>
  <si>
    <t>HTSSOP,VQFN</t>
  </si>
  <si>
    <t>Functional Safety-Compliant</t>
  </si>
  <si>
    <t>-40 to 125</t>
  </si>
  <si>
    <t>64,113.4</t>
  </si>
  <si>
    <t>14 x 8.1,8 x 8</t>
  </si>
  <si>
    <t>1,1.2</t>
  </si>
  <si>
    <t>ACTIVE</t>
  </si>
  <si>
    <t>Automotive, 150mA 40V voltage-tracking low-dropout regulator with feedback</t>
  </si>
  <si>
    <t>Linear &amp; low-dropout (LDO) regulators</t>
  </si>
  <si>
    <t>Automotive</t>
  </si>
  <si>
    <t>HSOIC</t>
  </si>
  <si>
    <t/>
  </si>
  <si>
    <t>-40 to 125</t>
  </si>
  <si>
    <t>4.9 x 6</t>
  </si>
  <si>
    <t>ACTIVE</t>
  </si>
  <si>
    <t>Automotive, 150mA, 40V voltage-tracking low-dropout regulator with independent enable and power good</t>
  </si>
  <si>
    <t>Linear &amp; low-dropout (LDO) regulators</t>
  </si>
  <si>
    <t>Automotive</t>
  </si>
  <si>
    <t>HSOIC</t>
  </si>
  <si>
    <t/>
  </si>
  <si>
    <t>-40 to 125</t>
  </si>
  <si>
    <t>4.9 x 6</t>
  </si>
  <si>
    <t>ACTIVE</t>
  </si>
  <si>
    <t>Automotive, 3.5A, 3V to 65V buck converter optimized for power density and low EMI</t>
  </si>
  <si>
    <t>AC/DC &amp; DC/DC converters (integrated FET)</t>
  </si>
  <si>
    <t>Automotive</t>
  </si>
  <si>
    <t>Buck</t>
  </si>
  <si>
    <t>WQFN-FCRLF</t>
  </si>
  <si>
    <t>Functional Safety-Capable</t>
  </si>
  <si>
    <t>-40 to 150</t>
  </si>
  <si>
    <t>3.6 x 2.6</t>
  </si>
  <si>
    <t>ACTIVE</t>
  </si>
  <si>
    <t xml:space="preserve">5.5V, 2.7A, 28mΩ small plastic load switch with low shutdown leakage
</t>
  </si>
  <si>
    <t>Load switches</t>
  </si>
  <si>
    <t>Catalog</t>
  </si>
  <si>
    <t>UQFN-HR</t>
  </si>
  <si>
    <t/>
  </si>
  <si>
    <t>-55 to 125</t>
  </si>
  <si>
    <t>0.75 x 0.85</t>
  </si>
  <si>
    <t>ACTIVE</t>
  </si>
  <si>
    <t>Automotive display LED-backlight driver with six 150mA channels</t>
  </si>
  <si>
    <t>Automotive LED drivers</t>
  </si>
  <si>
    <t>Automotive</t>
  </si>
  <si>
    <t>Boost with Current Sink,SEPIC Controller</t>
  </si>
  <si>
    <t>HTSSOP</t>
  </si>
  <si>
    <t/>
  </si>
  <si>
    <t>-40 to 125</t>
  </si>
  <si>
    <t>9.7 x 6.4</t>
  </si>
  <si>
    <t>ACTIVE</t>
  </si>
  <si>
    <t>Automotive display LED-backlight driver with four 150mA channels</t>
  </si>
  <si>
    <t>Automotive LED drivers</t>
  </si>
  <si>
    <t>Automotive</t>
  </si>
  <si>
    <t>Boost with Current Sink,SEPIC Controller</t>
  </si>
  <si>
    <t>HTSSOP</t>
  </si>
  <si>
    <t/>
  </si>
  <si>
    <t>-40 to 125</t>
  </si>
  <si>
    <t>9.7 x 6.4</t>
  </si>
  <si>
    <t>ACTIVE</t>
  </si>
  <si>
    <t xml:space="preserve">9V to 80V, 15mΩ, 10A eFuse with accurate and fast current monitor
</t>
  </si>
  <si>
    <t>eFuses (integrated hot swaps)</t>
  </si>
  <si>
    <t>Catalog</t>
  </si>
  <si>
    <t>VQFN</t>
  </si>
  <si>
    <t/>
  </si>
  <si>
    <t>-40 to 125</t>
  </si>
  <si>
    <t>5 x 6</t>
  </si>
  <si>
    <t>PREVIEW</t>
  </si>
  <si>
    <t>Automotive, 3V to 36V input, 0.6A synchronous buck module</t>
  </si>
  <si>
    <t>Power modules (integrated inductor)</t>
  </si>
  <si>
    <t>Automotive</t>
  </si>
  <si>
    <t>Buck,Synchronous Buck</t>
  </si>
  <si>
    <t>QFN-FCMOD</t>
  </si>
  <si>
    <t>Functional Safety-Capable</t>
  </si>
  <si>
    <t>-40 to 150</t>
  </si>
  <si>
    <t>4.5 x 3.5</t>
  </si>
  <si>
    <t>ACTIVE</t>
  </si>
  <si>
    <t>120V, 1.5A constant on-time buck converter</t>
  </si>
  <si>
    <t>AC/DC &amp; DC/DC converters (integrated FET)</t>
  </si>
  <si>
    <t>Catalog</t>
  </si>
  <si>
    <t>Buck</t>
  </si>
  <si>
    <t>HSOIC</t>
  </si>
  <si>
    <t>Functional Safety-Capable</t>
  </si>
  <si>
    <t>-40 to 150</t>
  </si>
  <si>
    <t>4.9 x 6</t>
  </si>
  <si>
    <t>PREVIEW</t>
  </si>
  <si>
    <t>300mA, small-size, high-PSRR adjustable low-dropout regulator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</si>
  <si>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</si>
  <si>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</si>
  <si>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</si>
  <si>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</si>
  <si>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</si>
  <si>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</si>
  <si>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</si>
  <si>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Automotive, 4A, 6A 3kVRMS dual-channel isolated gate driver with EN and DT pins for IGBT/SiC</t>
  </si>
  <si>
    <t>Isolated gate drivers</t>
  </si>
  <si>
    <t>Automotive</t>
  </si>
  <si>
    <t>SOIC</t>
  </si>
  <si>
    <t>Functional Safety-Capable</t>
  </si>
  <si>
    <t>-40 to 150</t>
  </si>
  <si>
    <t>10.3 x 10.3</t>
  </si>
  <si>
    <t>ACTIVE</t>
  </si>
  <si>
    <t>Automotive 36V, 600mA synchronous buck converter with low Iq, high-efficiency and minimized cout</t>
  </si>
  <si>
    <t>AC/DC &amp; DC/DC converters (integrated FET)</t>
  </si>
  <si>
    <t>Automotive</t>
  </si>
  <si>
    <t>Buck</t>
  </si>
  <si>
    <t>WQFN-HR</t>
  </si>
  <si>
    <t>Functional Safety-Capable</t>
  </si>
  <si>
    <t>-40 to 150</t>
  </si>
  <si>
    <t>2.5 x 2</t>
  </si>
  <si>
    <t>ACTIVE</t>
  </si>
  <si>
    <t>120V 4A half-bridge driver with 5V UVLO, enable and interlock</t>
  </si>
  <si>
    <t>Half-bridge drivers</t>
  </si>
  <si>
    <t>Catalog</t>
  </si>
  <si>
    <t>HSOIC,SOIC,VSON</t>
  </si>
  <si>
    <t/>
  </si>
  <si>
    <t>-40 to 150</t>
  </si>
  <si>
    <t>8,10</t>
  </si>
  <si>
    <t>9,29.4</t>
  </si>
  <si>
    <t>3 x 3,4.9 x 6</t>
  </si>
  <si>
    <t>1,1.7,1.75</t>
  </si>
  <si>
    <t>0.5,1.27</t>
  </si>
  <si>
    <t>ACTIVE</t>
  </si>
  <si>
    <t>Automotive, 120V 4A half-bridge driver with 5V UVLO, enable and interlock</t>
  </si>
  <si>
    <t>Half-bridge drivers</t>
  </si>
  <si>
    <t>Automotive</t>
  </si>
  <si>
    <t>HSOIC,SOIC,VSON</t>
  </si>
  <si>
    <t>Functional Safety-Capable</t>
  </si>
  <si>
    <t>-40 to 150</t>
  </si>
  <si>
    <t>8,10</t>
  </si>
  <si>
    <t>9,29.4</t>
  </si>
  <si>
    <t>3 x 3,4.9 x 6</t>
  </si>
  <si>
    <t>1,1.7,1.75</t>
  </si>
  <si>
    <t>0.5,1.27</t>
  </si>
  <si>
    <t>ACTIVE</t>
  </si>
  <si>
    <t>Automotive 36V, 4A to 8A (10A peak) stackable buck converter designed for ultra-high power density</t>
  </si>
  <si>
    <t>AC/DC &amp; DC/DC converters (integrated FET)</t>
  </si>
  <si>
    <t>Automotive</t>
  </si>
  <si>
    <t>Buck</t>
  </si>
  <si>
    <t>WQFN-FCRLF</t>
  </si>
  <si>
    <t>Functional Safety-Capable</t>
  </si>
  <si>
    <t>-40 to 150</t>
  </si>
  <si>
    <t>3.6 x 2.6</t>
  </si>
  <si>
    <t>PREVIEW</t>
  </si>
  <si>
    <t>Automotive, 36V, 1A synchronous buck converter with low Iq and high-efficiency with minimized cout</t>
  </si>
  <si>
    <t>AC/DC &amp; DC/DC converters (integrated FET)</t>
  </si>
  <si>
    <t>Automotive</t>
  </si>
  <si>
    <t>Buck</t>
  </si>
  <si>
    <t>WQFN-HR</t>
  </si>
  <si>
    <t>Functional Safety-Capable</t>
  </si>
  <si>
    <t>-40 to 150</t>
  </si>
  <si>
    <t>2.5 x 2</t>
  </si>
  <si>
    <t>ACTIVE</t>
  </si>
  <si>
    <t>Automotive, 42V, 100% duty-cycle capable dual-channel synchronous buck controller</t>
  </si>
  <si>
    <t>AC/DC &amp; DC/DC controllers (external FET)</t>
  </si>
  <si>
    <t>Automotive</t>
  </si>
  <si>
    <t>Buck</t>
  </si>
  <si>
    <t>VQFN</t>
  </si>
  <si>
    <t>Functional Safety-Capable</t>
  </si>
  <si>
    <t>-40 to 150</t>
  </si>
  <si>
    <t>6 x 6</t>
  </si>
  <si>
    <t>ACTIVE</t>
  </si>
  <si>
    <t>Automotive, 2.5A, 3V to 65V buck converter optimized for power density and low EMI</t>
  </si>
  <si>
    <t>AC/DC &amp; DC/DC converters (integrated FET)</t>
  </si>
  <si>
    <t>Automotive</t>
  </si>
  <si>
    <t>Buck</t>
  </si>
  <si>
    <t>WQFN-FCRLF</t>
  </si>
  <si>
    <t>Functional Safety-Capable</t>
  </si>
  <si>
    <t>-40 to 150</t>
  </si>
  <si>
    <t>3.6 x 2.6</t>
  </si>
  <si>
    <t>ACTIVE</t>
  </si>
  <si>
    <t>650V, 230mΩ GaN half-bridge with integrated driver, protection and current sense</t>
  </si>
  <si>
    <t>Gallium nitride (GaN) power stages</t>
  </si>
  <si>
    <t>Catalog</t>
  </si>
  <si>
    <t>VQFN</t>
  </si>
  <si>
    <t/>
  </si>
  <si>
    <t>-40 to 125</t>
  </si>
  <si>
    <t>8 x 6</t>
  </si>
  <si>
    <t>ACTIVE</t>
  </si>
  <si>
    <t>17V VIN, 6A low-noise low-ripple buck module with integrated ferrite bead filter compensation</t>
  </si>
  <si>
    <t>Power modules (integrated inductor)</t>
  </si>
  <si>
    <t>Catalog</t>
  </si>
  <si>
    <t>Buck,Synchronous Buck</t>
  </si>
  <si>
    <t>QFN-FCMOD</t>
  </si>
  <si>
    <t/>
  </si>
  <si>
    <t>-40 to 125</t>
  </si>
  <si>
    <t>4.7 x 4</t>
  </si>
  <si>
    <t>ACTIVE</t>
  </si>
  <si>
    <t>36-V, 2A, synchronous buck converter with low Iq and high-efficiency with minimized Cout</t>
  </si>
  <si>
    <t>AC/DC &amp; DC/DC converters (integrated FET)</t>
  </si>
  <si>
    <t>Automotive</t>
  </si>
  <si>
    <t>Buck</t>
  </si>
  <si>
    <t>WQFN-HR</t>
  </si>
  <si>
    <t>Functional Safety-Capable</t>
  </si>
  <si>
    <t>-40 to 150</t>
  </si>
  <si>
    <t>2.5 x 2</t>
  </si>
  <si>
    <t>ACTIVE</t>
  </si>
  <si>
    <t>Automotive, 36V, 3A synchronous buck converter with low Iq and high efficiency with minimized COUT</t>
  </si>
  <si>
    <t>AC/DC &amp; DC/DC converters (integrated FET)</t>
  </si>
  <si>
    <t>Automotive</t>
  </si>
  <si>
    <t>Buck</t>
  </si>
  <si>
    <t>WQFN-HR</t>
  </si>
  <si>
    <t>Functional Safety-Capable</t>
  </si>
  <si>
    <t>-40 to 150</t>
  </si>
  <si>
    <t>2.5 x 2</t>
  </si>
  <si>
    <t>ACTIVE</t>
  </si>
  <si>
    <t>500mA, small-size, high-PSRR low-dropout (LDO)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</si>
  <si>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</si>
  <si>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</si>
  <si>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</si>
  <si>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</si>
  <si>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</si>
  <si>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</si>
  <si>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</si>
  <si>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Automotive, 55V 4-switch buck-boost controller with I2C interface</t>
  </si>
  <si>
    <t>AC/DC &amp; DC/DC controllers (external FET)</t>
  </si>
  <si>
    <t>Automotive</t>
  </si>
  <si>
    <t>Buck-Boost</t>
  </si>
  <si>
    <t>VQFN</t>
  </si>
  <si>
    <t>Functional Safety-Capable</t>
  </si>
  <si>
    <t>-40 to 150</t>
  </si>
  <si>
    <t>6 x 6</t>
  </si>
  <si>
    <t>ACTIVE</t>
  </si>
  <si>
    <t>Automotive, 9.7mΩ, 7.5A dual-channel smart high-side switch</t>
  </si>
  <si>
    <t>High-side switches</t>
  </si>
  <si>
    <t>Automotive</t>
  </si>
  <si>
    <t>VQFN-HR</t>
  </si>
  <si>
    <t/>
  </si>
  <si>
    <t>-40 to 125</t>
  </si>
  <si>
    <t>2.2 x 3.6</t>
  </si>
  <si>
    <t>PREVIEW</t>
  </si>
  <si>
    <t>5A/5A, 5.7kVRMS, reinforced single-channel opto-compatible isolated gate driver with 12V UVLO</t>
  </si>
  <si>
    <t>Isolated gate drivers</t>
  </si>
  <si>
    <t>Catalog</t>
  </si>
  <si>
    <t>SOIC</t>
  </si>
  <si>
    <t/>
  </si>
  <si>
    <t>-40 to 125</t>
  </si>
  <si>
    <t>4.68 x 11.5</t>
  </si>
  <si>
    <t>ACTIVE</t>
  </si>
  <si>
    <t>200mA, ultra-low-I&lt;sub&gt;Q&lt;/sub&gt; (400nA) low-dropout (LDO) regulator with enable</t>
  </si>
  <si>
    <t>Linear &amp; low-dropout (LDO) regulators</t>
  </si>
  <si>
    <t>Catalog</t>
  </si>
  <si>
    <t>SOT-23,X2SON</t>
  </si>
  <si>
    <t/>
  </si>
  <si>
    <t>-40 to 125</t>
  </si>
  <si>
    <t>4,5</t>
  </si>
  <si>
    <t>1,8.12</t>
  </si>
  <si>
    <t>1 x 1,2.9 x 2.8</t>
  </si>
  <si>
    <t>0.4,1.45</t>
  </si>
  <si>
    <t>0.65,0.95</t>
  </si>
  <si>
    <t>ACTIVE</t>
  </si>
  <si>
    <t>Automotive, 3V to 36V input, 2A synchronous buck module</t>
  </si>
  <si>
    <t>Power modules (integrated inductor)</t>
  </si>
  <si>
    <t>Automotive</t>
  </si>
  <si>
    <t>Buck,Synchronous Buck</t>
  </si>
  <si>
    <t>QFN-FCMOD</t>
  </si>
  <si>
    <t>Functional Safety-Capable</t>
  </si>
  <si>
    <t>-40 to 150</t>
  </si>
  <si>
    <t>4.5 x 3.5</t>
  </si>
  <si>
    <t>ACTIVE</t>
  </si>
  <si>
    <t>Automotive, 80V, 100% duty cycle, dual-channel, functional safety synchronous buck controller</t>
  </si>
  <si>
    <t>AC/DC &amp; DC/DC controllers (external FET)</t>
  </si>
  <si>
    <t>Automotive</t>
  </si>
  <si>
    <t>Buck</t>
  </si>
  <si>
    <t>VQFN</t>
  </si>
  <si>
    <t>Functional Safety-Compliant</t>
  </si>
  <si>
    <t>-40 to 150</t>
  </si>
  <si>
    <t>6 x 6</t>
  </si>
  <si>
    <t>ACTIVE</t>
  </si>
  <si>
    <t>3V to 65V, 4.5A synchronous step-down converter optimized for power density and low EMI</t>
  </si>
  <si>
    <t>AC/DC &amp; DC/DC converters (integrated FET)</t>
  </si>
  <si>
    <t>Catalog</t>
  </si>
  <si>
    <t>Buck</t>
  </si>
  <si>
    <t>WQFN-FCRLF</t>
  </si>
  <si>
    <t>Functional Safety-Capable</t>
  </si>
  <si>
    <t>-40 to 150</t>
  </si>
  <si>
    <t>3.6 x 2.6</t>
  </si>
  <si>
    <t>ACTIVE</t>
  </si>
  <si>
    <t>Automotive, 4.5A, 3V to 65V buck converter optimized for power density and low EMI</t>
  </si>
  <si>
    <t>AC/DC &amp; DC/DC converters (integrated FET)</t>
  </si>
  <si>
    <t>Automotive</t>
  </si>
  <si>
    <t>Buck</t>
  </si>
  <si>
    <t>WQFN-FCRLF</t>
  </si>
  <si>
    <t>Functional Safety-Capable</t>
  </si>
  <si>
    <t>-40 to 150</t>
  </si>
  <si>
    <t>3.6 x 2.6</t>
  </si>
  <si>
    <t>ACTIVE</t>
  </si>
  <si>
    <t>500mA high-PSRR low-Iq low-dropout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</si>
  <si>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</si>
  <si>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</si>
  <si>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</si>
  <si>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</si>
  <si>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</si>
  <si>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</si>
  <si>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</si>
  <si>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Automotive 5kVrms, ±15A, single-channel isolated gate driver, DESAT &amp;amp; advance protections</t>
  </si>
  <si>
    <t>Isolated gate drivers</t>
  </si>
  <si>
    <t>Automotive</t>
  </si>
  <si>
    <t>SSOP</t>
  </si>
  <si>
    <t>Functional Safety Quality-Managed</t>
  </si>
  <si>
    <t>-40 to 150</t>
  </si>
  <si>
    <t>5.65 x 10.3</t>
  </si>
  <si>
    <t>PREVIEW</t>
  </si>
  <si>
    <t>4.5V to 24V, 12A continuous, (29A Imax) synchronous buck converter with remote sense</t>
  </si>
  <si>
    <t>AC/DC &amp; DC/DC converters (integrated FET)</t>
  </si>
  <si>
    <t>Catalog</t>
  </si>
  <si>
    <t>Buck</t>
  </si>
  <si>
    <t>WQFN-FCRLF</t>
  </si>
  <si>
    <t/>
  </si>
  <si>
    <t>-40 to 125</t>
  </si>
  <si>
    <t>4 x 3</t>
  </si>
  <si>
    <t>ACTIVE</t>
  </si>
  <si>
    <t>4.5V to 24V, 12A continuous (17A max) synchronous buck converter with remote sense</t>
  </si>
  <si>
    <t>AC/DC &amp; DC/DC converters (integrated FET)</t>
  </si>
  <si>
    <t>Catalog</t>
  </si>
  <si>
    <t>Buck</t>
  </si>
  <si>
    <t>WQFN-FCRLF</t>
  </si>
  <si>
    <t/>
  </si>
  <si>
    <t>-40 to 125</t>
  </si>
  <si>
    <t>4 x 3</t>
  </si>
  <si>
    <t>ACTIVE</t>
  </si>
  <si>
    <t>Automotive active pre-charge controller with 17V isolated gate driver and bias supply</t>
  </si>
  <si>
    <t>Solid-state relays</t>
  </si>
  <si>
    <t>Automotive</t>
  </si>
  <si>
    <t>SO-MOD</t>
  </si>
  <si>
    <t>Functional Safety-Capable</t>
  </si>
  <si>
    <t>-40 to 125</t>
  </si>
  <si>
    <t>5.85 x 10.3</t>
  </si>
  <si>
    <t>ACTIVE</t>
  </si>
  <si>
    <t xml:space="preserve">3V to 5.5V/5V, 1W 3kVrms DC-DC isolated power module with integrated transformer
</t>
  </si>
  <si>
    <t>Isolated power modules (integrated transformer)</t>
  </si>
  <si>
    <t>Automotive</t>
  </si>
  <si>
    <t>VSON-FCRLF</t>
  </si>
  <si>
    <t>Functional Safety-Capable</t>
  </si>
  <si>
    <t>-40 to 125</t>
  </si>
  <si>
    <t>4 x 5</t>
  </si>
  <si>
    <t>ACTIVE</t>
  </si>
  <si>
    <t>4V to 16V, 20A synchronous step-down converter</t>
  </si>
  <si>
    <t>AC/DC &amp; DC/DC converters (integrated FET)</t>
  </si>
  <si>
    <t>Catalog</t>
  </si>
  <si>
    <t>Buck</t>
  </si>
  <si>
    <t>WQFN-HR</t>
  </si>
  <si>
    <t/>
  </si>
  <si>
    <t>-40 to 150</t>
  </si>
  <si>
    <t>3 x 3</t>
  </si>
  <si>
    <t>ACTIVE</t>
  </si>
  <si>
    <t>Radiation-hardened, QMLP 22V half-bridge GaN gate driver</t>
  </si>
  <si>
    <t>Half-bridge drivers</t>
  </si>
  <si>
    <t>Space</t>
  </si>
  <si>
    <t>HTSSOP</t>
  </si>
  <si>
    <t/>
  </si>
  <si>
    <t>-55 to 125</t>
  </si>
  <si>
    <t>14 x 8.1</t>
  </si>
  <si>
    <t>ACTIVE</t>
  </si>
  <si>
    <t>Automotive multitopology 65V, 2A backlight LED driver</t>
  </si>
  <si>
    <t>Automotive LED drivers</t>
  </si>
  <si>
    <t>Automotive</t>
  </si>
  <si>
    <t>Boost,Buck,Buck-Boost</t>
  </si>
  <si>
    <t>HVSSOP</t>
  </si>
  <si>
    <t/>
  </si>
  <si>
    <t>-40 to 125</t>
  </si>
  <si>
    <t>3 x 4.9</t>
  </si>
  <si>
    <t>ACTIVE</t>
  </si>
  <si>
    <t>600V 50mΩ GaN FET with integrated driver, protection and zero-current detection</t>
  </si>
  <si>
    <t>Gallium nitride (GaN) power stages</t>
  </si>
  <si>
    <t>Catalog</t>
  </si>
  <si>
    <t/>
  </si>
  <si>
    <t>-40 to 150</t>
  </si>
  <si>
    <t>ACTIVE</t>
  </si>
  <si>
    <t>Radiation-tolerant 200V 10A GaN power stage with integrated driver</t>
  </si>
  <si>
    <t>Gallium nitride (GaN) power stages</t>
  </si>
  <si>
    <t>Space</t>
  </si>
  <si>
    <t>UNKNOWN</t>
  </si>
  <si>
    <t/>
  </si>
  <si>
    <t>-55 to 125</t>
  </si>
  <si>
    <t>See data sheet</t>
  </si>
  <si>
    <t>See data sheet</t>
  </si>
  <si>
    <t>—</t>
  </si>
  <si>
    <t>—</t>
  </si>
  <si>
    <t>PREVIEW</t>
  </si>
  <si>
    <t>Self-biased high frequency QR flyback converter with integrated GaN (65W)</t>
  </si>
  <si>
    <t>AC/DC &amp; DC/DC converters (integrated FET),Gallium nitride (GaN) power stages</t>
  </si>
  <si>
    <t>Catalog</t>
  </si>
  <si>
    <t>Flyback</t>
  </si>
  <si>
    <t>VQFN</t>
  </si>
  <si>
    <t/>
  </si>
  <si>
    <t>-40 to 105</t>
  </si>
  <si>
    <t>5 x 5</t>
  </si>
  <si>
    <t>ACTIVE</t>
  </si>
  <si>
    <t>Automotive 2.7V to 6V, 3A step-down converter in QFN package</t>
  </si>
  <si>
    <t>AC/DC &amp; DC/DC converters (integrated FET)</t>
  </si>
  <si>
    <t>Automotive</t>
  </si>
  <si>
    <t>Buck</t>
  </si>
  <si>
    <t>WSON-HR</t>
  </si>
  <si>
    <t>Functional Safety-Capable</t>
  </si>
  <si>
    <t>-40 to 125</t>
  </si>
  <si>
    <t>2 x 1.5</t>
  </si>
  <si>
    <t>ACTIVE</t>
  </si>
  <si>
    <t>Automotive 2.5V to 5.5V, 2A step-down converter SOT563 package</t>
  </si>
  <si>
    <t>AC/DC &amp; DC/DC converters (integrated FET)</t>
  </si>
  <si>
    <t>Automotive</t>
  </si>
  <si>
    <t>Buck</t>
  </si>
  <si>
    <t>SOT-5X3</t>
  </si>
  <si>
    <t/>
  </si>
  <si>
    <t>-40 to 125</t>
  </si>
  <si>
    <t>1.6 x 1.6</t>
  </si>
  <si>
    <t>ACTIVE</t>
  </si>
  <si>
    <t>Automotive 2.5V to 5.5V, 2A step-down converter SOT563 package</t>
  </si>
  <si>
    <t>AC/DC &amp; DC/DC converters (integrated FET)</t>
  </si>
  <si>
    <t>Automotive</t>
  </si>
  <si>
    <t>Buck</t>
  </si>
  <si>
    <t>SOT-5X3</t>
  </si>
  <si>
    <t/>
  </si>
  <si>
    <t>-40 to 125</t>
  </si>
  <si>
    <t>1.6 x 1.6</t>
  </si>
  <si>
    <t>ACTIVE</t>
  </si>
  <si>
    <t>Automotive, unregulated 200mA charge pump voltage inverter</t>
  </si>
  <si>
    <t>AC/DC &amp; DC/DC converters (integrated FET)</t>
  </si>
  <si>
    <t>Automotive</t>
  </si>
  <si>
    <t>SOT-5X3</t>
  </si>
  <si>
    <t>Functional Safety-Capable</t>
  </si>
  <si>
    <t>-40 to 125</t>
  </si>
  <si>
    <t>1.6 x 1.6</t>
  </si>
  <si>
    <t>ACTIVE</t>
  </si>
  <si>
    <t>Radiation-hardened, QMLP 60V half-bridge GaN gate driver</t>
  </si>
  <si>
    <t>Half-bridge drivers</t>
  </si>
  <si>
    <t>Space</t>
  </si>
  <si>
    <t>HTSSOP</t>
  </si>
  <si>
    <t/>
  </si>
  <si>
    <t>-55 to 125</t>
  </si>
  <si>
    <t>14 x 8.1</t>
  </si>
  <si>
    <t>ACTIVE</t>
  </si>
  <si>
    <t>Automotive 100V low IQ high-side driver with I2t, short circuit protection, and diagnostics</t>
  </si>
  <si>
    <t>Smart eFuse high-side switches</t>
  </si>
  <si>
    <t>Automotive</t>
  </si>
  <si>
    <t>VQFN</t>
  </si>
  <si>
    <t/>
  </si>
  <si>
    <t>-40 to 125</t>
  </si>
  <si>
    <t>4 x 4</t>
  </si>
  <si>
    <t>ACTIVE</t>
  </si>
  <si>
    <t>2.4V to 5.5V input, 6A high efficiency step-down converter in 2mm x 3mm QFN package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</si>
  <si>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</si>
  <si>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</si>
  <si>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</si>
  <si>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</si>
  <si>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</si>
  <si>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</si>
  <si>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</si>
  <si>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</si>
  <si>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Radiation-hardened, QMLP 200V half-bridge GaN gate driver</t>
  </si>
  <si>
    <t>Half-bridge drivers</t>
  </si>
  <si>
    <t>Space</t>
  </si>
  <si>
    <t>HTSSOP</t>
  </si>
  <si>
    <t/>
  </si>
  <si>
    <t>-55 to 125</t>
  </si>
  <si>
    <t>14 x 8.1</t>
  </si>
  <si>
    <t>ACTIVE</t>
  </si>
  <si>
    <t>Automotive, dual-channel 8.9mΩ smart high-side switch with I2T wire protection, low-Iq mode and SPI</t>
  </si>
  <si>
    <t>Smart eFuse high-side switches</t>
  </si>
  <si>
    <t>Automotive</t>
  </si>
  <si>
    <t>HTSSOP</t>
  </si>
  <si>
    <t/>
  </si>
  <si>
    <t>-40 to 125</t>
  </si>
  <si>
    <t>5 x 6.4</t>
  </si>
  <si>
    <t>ACTIVE</t>
  </si>
  <si>
    <t>16V 3.8A synchronous boost with load disconnect</t>
  </si>
  <si>
    <t>AC/DC &amp; DC/DC converters (integrated FET)</t>
  </si>
  <si>
    <t>Catalog</t>
  </si>
  <si>
    <t>Boost</t>
  </si>
  <si>
    <t>WQFN-HR</t>
  </si>
  <si>
    <t/>
  </si>
  <si>
    <t>-40 to 125</t>
  </si>
  <si>
    <t>2.5 x 2.5</t>
  </si>
  <si>
    <t>ACTIVE</t>
  </si>
  <si>
    <t>4.5V to 30V input, 2A, 500kHz synchronous buck converter</t>
  </si>
  <si>
    <t>AC/DC &amp; DC/DC converters (integrated FET)</t>
  </si>
  <si>
    <t>Catalog</t>
  </si>
  <si>
    <t>Buck</t>
  </si>
  <si>
    <t>SOT-23-THN</t>
  </si>
  <si>
    <t/>
  </si>
  <si>
    <t>-40 to 150</t>
  </si>
  <si>
    <t>2.9 x 2.8</t>
  </si>
  <si>
    <t>PREVIEW</t>
  </si>
  <si>
    <t>Wide VIN and VOUT 750KHz LLC controller with high-voltage startup</t>
  </si>
  <si>
    <t>AC/DC &amp; DC/DC controllers (external FET)</t>
  </si>
  <si>
    <t>Catalog</t>
  </si>
  <si>
    <t>Half bridge,Half-bridge,LLC,LLC half-bridge</t>
  </si>
  <si>
    <t>SOIC</t>
  </si>
  <si>
    <t/>
  </si>
  <si>
    <t>-40 to 125</t>
  </si>
  <si>
    <t>9.9 x 6</t>
  </si>
  <si>
    <t>ACTIVE</t>
  </si>
  <si>
    <t>Automotive 74V low-Iq high-side driver with bidirectional current monitoring, I2t and diagnostics</t>
  </si>
  <si>
    <t>High-side switch controllers</t>
  </si>
  <si>
    <t>Automotive</t>
  </si>
  <si>
    <t>VQFN</t>
  </si>
  <si>
    <t/>
  </si>
  <si>
    <t>-40 to 125</t>
  </si>
  <si>
    <t>4 x 4</t>
  </si>
  <si>
    <t>ACTIVE</t>
  </si>
  <si>
    <t>650V 30mΩ GaN FET with integrated driver, protection and zero-current detection</t>
  </si>
  <si>
    <t>Gallium nitride (GaN) power stages</t>
  </si>
  <si>
    <t>Catalog</t>
  </si>
  <si>
    <t>VQFN</t>
  </si>
  <si>
    <t/>
  </si>
  <si>
    <t>-40 to 150</t>
  </si>
  <si>
    <t>12 x 12</t>
  </si>
  <si>
    <t>ACTIVE</t>
  </si>
  <si>
    <t>9V to 80V, 3.5mΩ, 20A stackable integrated hot swap (eFuse) with accurate and fast current monitor</t>
  </si>
  <si>
    <t>eFuses (integrated hot swaps)</t>
  </si>
  <si>
    <t>Catalog</t>
  </si>
  <si>
    <t>LQFN-CLIP</t>
  </si>
  <si>
    <t/>
  </si>
  <si>
    <t>-40 to 125</t>
  </si>
  <si>
    <t>5 x 6</t>
  </si>
  <si>
    <t>ACTIVE</t>
  </si>
  <si>
    <t>Nanopower push-button controller with programmable delay</t>
  </si>
  <si>
    <t>Reset &amp; watchdog ICs</t>
  </si>
  <si>
    <t>Catalog</t>
  </si>
  <si>
    <t>SOT-5X3</t>
  </si>
  <si>
    <t/>
  </si>
  <si>
    <t>-40 to 125</t>
  </si>
  <si>
    <t>2.1 x 1.6</t>
  </si>
  <si>
    <t>ACTIVE</t>
  </si>
  <si>
    <t>Automotive 300mA 40V voltage-tracking low-dropout regulator with independent enable and power good</t>
  </si>
  <si>
    <t>Linear &amp; low-dropout (LDO) regulators</t>
  </si>
  <si>
    <t>Automotive</t>
  </si>
  <si>
    <t>HSOIC</t>
  </si>
  <si>
    <t/>
  </si>
  <si>
    <t>-40 to 125</t>
  </si>
  <si>
    <t>4.9 x 6</t>
  </si>
  <si>
    <t>ACTIVE</t>
  </si>
  <si>
    <t>4V to 18V input, 50A, stackable PMBus synchronous step-down converter</t>
  </si>
  <si>
    <t>AC/DC &amp; DC/DC converters (integrated FET)</t>
  </si>
  <si>
    <t>Catalog</t>
  </si>
  <si>
    <t>Buck</t>
  </si>
  <si>
    <t>WQFN-FCRLF</t>
  </si>
  <si>
    <t/>
  </si>
  <si>
    <t>-40 to 125</t>
  </si>
  <si>
    <t>6 x 5</t>
  </si>
  <si>
    <t>ACTIVE</t>
  </si>
  <si>
    <t>Automotive, 5.5V-to-20V VIN, 1.5W regulated 5kVRMS isolated DC/DC module with integrated transformer</t>
  </si>
  <si>
    <t>Isolated power modules (integrated transformer)</t>
  </si>
  <si>
    <t>Automotive</t>
  </si>
  <si>
    <t>Full-bridge</t>
  </si>
  <si>
    <t>SO-MOD</t>
  </si>
  <si>
    <t>Functional Safety-Capable</t>
  </si>
  <si>
    <t>-40 to 125</t>
  </si>
  <si>
    <t>5.85 x 10.3</t>
  </si>
  <si>
    <t>PREVIEW</t>
  </si>
  <si>
    <t>400kHz boost converter with LDO charger and battery health detection</t>
  </si>
  <si>
    <t>AC/DC &amp; DC/DC converters (integrated FET)</t>
  </si>
  <si>
    <t>Automotive</t>
  </si>
  <si>
    <t>Boost</t>
  </si>
  <si>
    <t>WQFN-FCRLF</t>
  </si>
  <si>
    <t/>
  </si>
  <si>
    <t>-40 to 125</t>
  </si>
  <si>
    <t>4 x 3</t>
  </si>
  <si>
    <t>ACTIVE</t>
  </si>
  <si>
    <t>Wide-VIN 2.2MHz dual-phase boost controller with VOUT tracking</t>
  </si>
  <si>
    <t>AC/DC &amp; DC/DC controllers (external FET)</t>
  </si>
  <si>
    <t>Automotive</t>
  </si>
  <si>
    <t>Boost Controller</t>
  </si>
  <si>
    <t>VQFN</t>
  </si>
  <si>
    <t>Functional Safety-Capable</t>
  </si>
  <si>
    <t>-40 to 150</t>
  </si>
  <si>
    <t>5 x 5</t>
  </si>
  <si>
    <t>ACTIVE</t>
  </si>
  <si>
    <t>3.8V to 18V input, 5A, 200kHz to 2.2MHz synchronous step-down power module</t>
  </si>
  <si>
    <t>Power modules (integrated inductor)</t>
  </si>
  <si>
    <t>Catalog</t>
  </si>
  <si>
    <t>Buck</t>
  </si>
  <si>
    <t>QFN-FCMOD</t>
  </si>
  <si>
    <t/>
  </si>
  <si>
    <t>-40 to 125</t>
  </si>
  <si>
    <t>3.3 x 4.5</t>
  </si>
  <si>
    <t>ACTIVE</t>
  </si>
  <si>
    <t>3.8V to 28V Input, 5A, 200kHz to 2.2MHz synchronous step-down power module</t>
  </si>
  <si>
    <t>Power modules (integrated inductor)</t>
  </si>
  <si>
    <t>Catalog</t>
  </si>
  <si>
    <t>Buck</t>
  </si>
  <si>
    <t>QFN-FCMOD</t>
  </si>
  <si>
    <t/>
  </si>
  <si>
    <t>-40 to 125</t>
  </si>
  <si>
    <t>3.3 x 4.5</t>
  </si>
  <si>
    <t>ACTIVE</t>
  </si>
  <si>
    <t>Automotive 1500V window supervisor with integrated buffer for DC-link measurements</t>
  </si>
  <si>
    <t>Supply-voltage supervisors</t>
  </si>
  <si>
    <t>Automotive</t>
  </si>
  <si>
    <t>SSOP</t>
  </si>
  <si>
    <t/>
  </si>
  <si>
    <t>-40 to 125</t>
  </si>
  <si>
    <t>12.8 x 10.3</t>
  </si>
  <si>
    <t>PREVIEW</t>
  </si>
  <si>
    <t>Automotive multichannel overvoltage and undervoltage supervisor with I²C and window watchdog</t>
  </si>
  <si>
    <t>Reset &amp; watchdog ICs</t>
  </si>
  <si>
    <t>Automotive</t>
  </si>
  <si>
    <t>WQFN</t>
  </si>
  <si>
    <t>Functional Safety-Compliant</t>
  </si>
  <si>
    <t>-40 to 125</t>
  </si>
  <si>
    <t>3 x 3</t>
  </si>
  <si>
    <t>ACTIVE</t>
  </si>
  <si>
    <t>Extended temperature range, isolated switch driver with integrated 10V gate supply</t>
  </si>
  <si>
    <t>Solid-state relays</t>
  </si>
  <si>
    <t>Catalog</t>
  </si>
  <si>
    <t>SO-MOD</t>
  </si>
  <si>
    <t>Functional Safety-Capable</t>
  </si>
  <si>
    <t>-55 to 125</t>
  </si>
  <si>
    <t>5.85 x 11.5</t>
  </si>
  <si>
    <t>ACTIVE</t>
  </si>
  <si>
    <t>Automotive stand-alone or I²C controlled 65V bidirectional buck-boost controller</t>
  </si>
  <si>
    <t>AC/DC &amp; DC/DC controllers (external FET)</t>
  </si>
  <si>
    <t>Automotive</t>
  </si>
  <si>
    <t>Buck Controller,Buck-Boost Controller</t>
  </si>
  <si>
    <t>VQFN</t>
  </si>
  <si>
    <t/>
  </si>
  <si>
    <t>-40 to 150</t>
  </si>
  <si>
    <t>6 x 5</t>
  </si>
  <si>
    <t>ACTIVE</t>
  </si>
  <si>
    <t>Automotive stand-alone or I²C controlled 65V bidirectional buck-boost controller</t>
  </si>
  <si>
    <t>AC/DC &amp; DC/DC controllers (external FET)</t>
  </si>
  <si>
    <t>Automotive</t>
  </si>
  <si>
    <t>Buck Controller,Buck-Boost Controller</t>
  </si>
  <si>
    <t>VQFN</t>
  </si>
  <si>
    <t/>
  </si>
  <si>
    <t>-40 to 150</t>
  </si>
  <si>
    <t>6 x 5</t>
  </si>
  <si>
    <t>ACTIVE</t>
  </si>
  <si>
    <t>5A/5A dual-channel gate driver with 8V UVLO, 30V VDD and low propagation delay</t>
  </si>
  <si>
    <t>Low-side drivers</t>
  </si>
  <si>
    <t>Catalog</t>
  </si>
  <si>
    <t>HVSSOP,SOIC</t>
  </si>
  <si>
    <t/>
  </si>
  <si>
    <t>-40 to 150</t>
  </si>
  <si>
    <t>14.7,29.4</t>
  </si>
  <si>
    <t>3 x 4.9,4.9 x 6</t>
  </si>
  <si>
    <t>1.1,1.75</t>
  </si>
  <si>
    <t>0.65,1.27</t>
  </si>
  <si>
    <t>ACTIVE</t>
  </si>
  <si>
    <t>Automotive 5A/5A dual-channel gate driver with 8V UVLO, 30V VDD and low propagation delay</t>
  </si>
  <si>
    <t>Low-side drivers</t>
  </si>
  <si>
    <t>Automotive</t>
  </si>
  <si>
    <t>HVSSOP,SOIC</t>
  </si>
  <si>
    <t/>
  </si>
  <si>
    <t>-40 to 150</t>
  </si>
  <si>
    <t>14.7,29.4</t>
  </si>
  <si>
    <t>3 x 4.9,4.9 x 6</t>
  </si>
  <si>
    <t>1.1,1.75</t>
  </si>
  <si>
    <t>0.65,1.27</t>
  </si>
  <si>
    <t>ACTIVE</t>
  </si>
  <si>
    <t>6A, low-input-voltage, low-noise, high-accuracy low-dropout (LDO) voltage regulator</t>
  </si>
  <si>
    <t>Linear &amp; low-dropout (LDO) regulators</t>
  </si>
  <si>
    <t>Catalog</t>
  </si>
  <si>
    <t>WQFN</t>
  </si>
  <si>
    <t/>
  </si>
  <si>
    <t>-40 to 125</t>
  </si>
  <si>
    <t>3 x 3</t>
  </si>
  <si>
    <t>ACTIVE</t>
  </si>
  <si>
    <t>Automotive ±10A single-channel isolated gate driver in extended package for SiC/IGBT</t>
  </si>
  <si>
    <t>Isolated gate drivers</t>
  </si>
  <si>
    <t>Automotive</t>
  </si>
  <si>
    <t>SOIC</t>
  </si>
  <si>
    <t/>
  </si>
  <si>
    <t>-40 to 125</t>
  </si>
  <si>
    <t>6.4 x 16.6</t>
  </si>
  <si>
    <t>ACTIVE</t>
  </si>
  <si>
    <t>4-channel I2C interface RGBW LED driver with  auto animation control</t>
  </si>
  <si>
    <t>RGB LED drivers</t>
  </si>
  <si>
    <t>Catalog</t>
  </si>
  <si>
    <t>Linear</t>
  </si>
  <si>
    <t>DSBGA,SOT-5X3</t>
  </si>
  <si>
    <t/>
  </si>
  <si>
    <t>-40 to 125</t>
  </si>
  <si>
    <t>0.98,3.36</t>
  </si>
  <si>
    <t>1.4 x 0.7,2.1 x 1.6</t>
  </si>
  <si>
    <t>0.4,0.6</t>
  </si>
  <si>
    <t>0.35,0.5</t>
  </si>
  <si>
    <t>ACTIVE</t>
  </si>
  <si>
    <t>3-channel I2C interface RGB LED driver with instant blinking and auto animation control</t>
  </si>
  <si>
    <t>RGB LED drivers</t>
  </si>
  <si>
    <t>Catalog</t>
  </si>
  <si>
    <t>Linear</t>
  </si>
  <si>
    <t>DSBGA,SOT-5X3</t>
  </si>
  <si>
    <t/>
  </si>
  <si>
    <t>-40 to 125</t>
  </si>
  <si>
    <t>0.98,3.36</t>
  </si>
  <si>
    <t>1.4 x 0.7,2.1 x 1.6</t>
  </si>
  <si>
    <t>0.4,0.6</t>
  </si>
  <si>
    <t>0.35,0.5</t>
  </si>
  <si>
    <t>ACTIVE</t>
  </si>
  <si>
    <t>4-channel I2C interface RGBW LED driver</t>
  </si>
  <si>
    <t>RGB LED drivers</t>
  </si>
  <si>
    <t>Catalog</t>
  </si>
  <si>
    <t>Linear</t>
  </si>
  <si>
    <t>DSBGA,SOT-5X3</t>
  </si>
  <si>
    <t/>
  </si>
  <si>
    <t>-40 to 125</t>
  </si>
  <si>
    <t>0.98,3.36</t>
  </si>
  <si>
    <t>1.4 x 0.7,2.1 x 1.6</t>
  </si>
  <si>
    <t>0.4,0.6</t>
  </si>
  <si>
    <t>0.35,0.5</t>
  </si>
  <si>
    <t>ACTIVE</t>
  </si>
  <si>
    <t>3-channel I2C interface RGB LED driver</t>
  </si>
  <si>
    <t>RGB LED drivers</t>
  </si>
  <si>
    <t>Catalog</t>
  </si>
  <si>
    <t>Linear</t>
  </si>
  <si>
    <t>DSBGA,SOT-5X3</t>
  </si>
  <si>
    <t/>
  </si>
  <si>
    <t>-40 to 125</t>
  </si>
  <si>
    <t>0.98,3.36</t>
  </si>
  <si>
    <t>1.4 x 0.7,2.1 x 1.6</t>
  </si>
  <si>
    <t>0.4,0.6</t>
  </si>
  <si>
    <t>0.35,0.5</t>
  </si>
  <si>
    <t>ACTIVE</t>
  </si>
  <si>
    <t>300mA high-PSRR low-IQ adjustable LDO</t>
  </si>
  <si>
    <t>Linear &amp; low-dropout (LDO) regulators</t>
  </si>
  <si>
    <t>Catalog</t>
  </si>
  <si>
    <t>SOT-23,X2SON</t>
  </si>
  <si>
    <t/>
  </si>
  <si>
    <t>-40 to 125</t>
  </si>
  <si>
    <t>4,5</t>
  </si>
  <si>
    <t>1,8.12</t>
  </si>
  <si>
    <t>1 x 1,2.9 x 2.8</t>
  </si>
  <si>
    <t>0.4,1.45</t>
  </si>
  <si>
    <t>0.65,0.95</t>
  </si>
  <si>
    <t>ACTIVE</t>
  </si>
  <si>
    <t>Temperature-controlled buried-Zener reference with 0.05ppm/°C drift and &lt;1ppm stability</t>
  </si>
  <si>
    <t>Series voltage references</t>
  </si>
  <si>
    <t>Catalog</t>
  </si>
  <si>
    <t>LCCC</t>
  </si>
  <si>
    <t/>
  </si>
  <si>
    <t>-55 to 125</t>
  </si>
  <si>
    <t>8.89 x 8.89</t>
  </si>
  <si>
    <t>ACTIVE</t>
  </si>
  <si>
    <t>36V, 1A, 500KHz current mode PWM controller with 16V and 10V UVLO 100% duty cycle</t>
  </si>
  <si>
    <t>AC/DC &amp; DC/DC controllers (external FET)</t>
  </si>
  <si>
    <t>Catalog</t>
  </si>
  <si>
    <t>Boost,Buck,Buck boost,Flyback,Forward</t>
  </si>
  <si>
    <t>SOIC</t>
  </si>
  <si>
    <t>Functional Safety-Capable</t>
  </si>
  <si>
    <t>-40 to 125</t>
  </si>
  <si>
    <t>4.9 x 6</t>
  </si>
  <si>
    <t>ACTIVE</t>
  </si>
  <si>
    <t>36V, 1A, 500KHz current mode PWM controller with 8.4V and 7.6V UVLO 100% duty cycle</t>
  </si>
  <si>
    <t>AC/DC &amp; DC/DC controllers (external FET)</t>
  </si>
  <si>
    <t>Catalog</t>
  </si>
  <si>
    <t>Boost,Buck,Buck boost,Flyback,Forward</t>
  </si>
  <si>
    <t>SOIC</t>
  </si>
  <si>
    <t>Functional Safety-Capable</t>
  </si>
  <si>
    <t>-40 to 125</t>
  </si>
  <si>
    <t>4.9 x 6</t>
  </si>
  <si>
    <t>ACTIVE</t>
  </si>
  <si>
    <t>Automotive, 36V, 1A, 500KHz current mode PWM controller with 8.4V and 7.6V UVLO 100% duty cycle</t>
  </si>
  <si>
    <t>AC/DC &amp; DC/DC controllers (external FET)</t>
  </si>
  <si>
    <t>Automotive</t>
  </si>
  <si>
    <t>Boost,Buck,Buck boost,Flyback,Forward</t>
  </si>
  <si>
    <t>SOIC</t>
  </si>
  <si>
    <t>Functional Safety-Capable</t>
  </si>
  <si>
    <t>-40 to 125</t>
  </si>
  <si>
    <t>4.9 x 6</t>
  </si>
  <si>
    <t>ACTIVE</t>
  </si>
  <si>
    <t>36V, 1A, 500KHz current mode PWM controller with 16V and 10V UVLO 50% duty cycle</t>
  </si>
  <si>
    <t>AC/DC &amp; DC/DC controllers (external FET)</t>
  </si>
  <si>
    <t>Catalog</t>
  </si>
  <si>
    <t>Boost,Buck,Flyback,Forward</t>
  </si>
  <si>
    <t>SOIC</t>
  </si>
  <si>
    <t>Functional Safety-Capable</t>
  </si>
  <si>
    <t>-40 to 125</t>
  </si>
  <si>
    <t>4.9 x 6</t>
  </si>
  <si>
    <t>ACTIVE</t>
  </si>
  <si>
    <t>Automotive, 36V, 1A, 500KHz current mode PWM controller with 16V and 10V UVLO 50% duty cycle</t>
  </si>
  <si>
    <t>AC/DC &amp; DC/DC controllers (external FET)</t>
  </si>
  <si>
    <t>Automotive</t>
  </si>
  <si>
    <t>Boost,Buck,Buck boost,Flyback,Forward</t>
  </si>
  <si>
    <t>SOIC</t>
  </si>
  <si>
    <t>Functional Safety-Capable</t>
  </si>
  <si>
    <t>-40 to 125</t>
  </si>
  <si>
    <t>4.9 x 6</t>
  </si>
  <si>
    <t>ACTIVE</t>
  </si>
  <si>
    <t>36V, 1A, 500KHz current mode PWM controller with 8.4V and 7.6V UVLO 50% duty cycle</t>
  </si>
  <si>
    <t>AC/DC &amp; DC/DC controllers (external FET)</t>
  </si>
  <si>
    <t>Catalog</t>
  </si>
  <si>
    <t>Boost,Buck,Flyback,Forward</t>
  </si>
  <si>
    <t>SOIC</t>
  </si>
  <si>
    <t>Functional Safety-Capable</t>
  </si>
  <si>
    <t>-40 to 125</t>
  </si>
  <si>
    <t>4.9 x 6</t>
  </si>
  <si>
    <t>ACTIVE</t>
  </si>
  <si>
    <t>Automotive, 36V, 1A, 500KHz current mode PWM controller with 8.4V and 7.6V UVLO 50% duty cycle</t>
  </si>
  <si>
    <t>AC/DC &amp; DC/DC controllers (external FET)</t>
  </si>
  <si>
    <t>Automotive</t>
  </si>
  <si>
    <t>Boost,Buck,Buck boost,Flyback,Forward</t>
  </si>
  <si>
    <t>SOIC</t>
  </si>
  <si>
    <t>Functional Safety-Capable</t>
  </si>
  <si>
    <t>-40 to 125</t>
  </si>
  <si>
    <t>4.9 x 6</t>
  </si>
  <si>
    <t>ACTIVE</t>
  </si>
  <si>
    <t>3.8V to 18V Input, 3A, 200kHz to 2.2MHz synchronous buck converter</t>
  </si>
  <si>
    <t>AC/DC &amp; DC/DC converters (integrated FET)</t>
  </si>
  <si>
    <t>Catalog</t>
  </si>
  <si>
    <t>Buck</t>
  </si>
  <si>
    <t>VQFN-HR</t>
  </si>
  <si>
    <t/>
  </si>
  <si>
    <t>-40 to 150</t>
  </si>
  <si>
    <t>2 x 1.5</t>
  </si>
  <si>
    <t>ACTIVE</t>
  </si>
  <si>
    <t>3.8V to 28V Input, 3A, 200kHz to 2.2MHz synchronous buck converter</t>
  </si>
  <si>
    <t>AC/DC &amp; DC/DC converters (integrated FET)</t>
  </si>
  <si>
    <t>Catalog</t>
  </si>
  <si>
    <t>Buck</t>
  </si>
  <si>
    <t>VQFN-HR</t>
  </si>
  <si>
    <t/>
  </si>
  <si>
    <t>-40 to 150</t>
  </si>
  <si>
    <t>2 x 1.5</t>
  </si>
  <si>
    <t>ACTIVE</t>
  </si>
  <si>
    <t>3.8V to 18V Input, 4A, 200kHz to 2.2MHz synchronous buck converter</t>
  </si>
  <si>
    <t>AC/DC &amp; DC/DC converters (integrated FET)</t>
  </si>
  <si>
    <t>Catalog</t>
  </si>
  <si>
    <t>Buck</t>
  </si>
  <si>
    <t>VQFN-HR</t>
  </si>
  <si>
    <t/>
  </si>
  <si>
    <t>-40 to 150</t>
  </si>
  <si>
    <t>2 x 1.5</t>
  </si>
  <si>
    <t>ACTIVE</t>
  </si>
  <si>
    <t>3.8V to 18V Input, 5A, 200kHz to 2.2MHz synchronous buck converter</t>
  </si>
  <si>
    <t>AC/DC &amp; DC/DC converters (integrated FET)</t>
  </si>
  <si>
    <t>Catalog</t>
  </si>
  <si>
    <t>Buck</t>
  </si>
  <si>
    <t>VQFN-HR</t>
  </si>
  <si>
    <t/>
  </si>
  <si>
    <t>-40 to 150</t>
  </si>
  <si>
    <t>2 x 1.5</t>
  </si>
  <si>
    <t>ACTIVE</t>
  </si>
  <si>
    <t>3.8V to 28V Input, 4A, 200kHz to 2.2MHz synchronous buck converter</t>
  </si>
  <si>
    <t>AC/DC &amp; DC/DC converters (integrated FET)</t>
  </si>
  <si>
    <t>Catalog</t>
  </si>
  <si>
    <t>Buck</t>
  </si>
  <si>
    <t>VQFN-HR</t>
  </si>
  <si>
    <t/>
  </si>
  <si>
    <t>-40 to 150</t>
  </si>
  <si>
    <t>2 x 1.5</t>
  </si>
  <si>
    <t>ACTIVE</t>
  </si>
  <si>
    <t>Automotive 300mA 40V voltage-tracking low-dropout regulator with feedback and 6mV tracking tolerance</t>
  </si>
  <si>
    <t>Linear &amp; low-dropout (LDO) regulators</t>
  </si>
  <si>
    <t>Automotive</t>
  </si>
  <si>
    <t>HSOIC</t>
  </si>
  <si>
    <t/>
  </si>
  <si>
    <t>-40 to 125</t>
  </si>
  <si>
    <t>4.9 x 6</t>
  </si>
  <si>
    <t>ACTIVE</t>
  </si>
  <si>
    <t>Automotive, 65V synchronous boost controller and 2A single channel synchronous CC/CV buck converter</t>
  </si>
  <si>
    <t>Automotive LED drivers</t>
  </si>
  <si>
    <t>Automotive</t>
  </si>
  <si>
    <t>Boost Controller,Buck Controller</t>
  </si>
  <si>
    <t>HTQFP</t>
  </si>
  <si>
    <t>Functional Safety-Capable</t>
  </si>
  <si>
    <t>-40 to 125</t>
  </si>
  <si>
    <t>9 x 9</t>
  </si>
  <si>
    <t>ACTIVE</t>
  </si>
  <si>
    <t>Automotive, two-channel 120mΩ smart high-side switch with low-power mode</t>
  </si>
  <si>
    <t>High-side switches</t>
  </si>
  <si>
    <t>Automotive</t>
  </si>
  <si>
    <t>HVSSOP</t>
  </si>
  <si>
    <t/>
  </si>
  <si>
    <t>-40 to 125</t>
  </si>
  <si>
    <t>7.1 x 4.9</t>
  </si>
  <si>
    <t>ACTIVE</t>
  </si>
  <si>
    <t>Radiation-tolerant 60V half-bridge GaN gate driver</t>
  </si>
  <si>
    <t>Half-bridge drivers</t>
  </si>
  <si>
    <t>Space</t>
  </si>
  <si>
    <t>HTSSOP</t>
  </si>
  <si>
    <t/>
  </si>
  <si>
    <t>-55 to 125</t>
  </si>
  <si>
    <t>14 x 8.1</t>
  </si>
  <si>
    <t>ACTIVE</t>
  </si>
  <si>
    <t xml:space="preserve">Automotive 65V sync boost controller 2A synch CC buck and stepper motor trapezoidal motion control </t>
  </si>
  <si>
    <t>Automotive LED drivers</t>
  </si>
  <si>
    <t>Automotive</t>
  </si>
  <si>
    <t>Boost Controller,Buck</t>
  </si>
  <si>
    <t>HTQFP</t>
  </si>
  <si>
    <t>Functional Safety-Capable</t>
  </si>
  <si>
    <t>-40 to 125</t>
  </si>
  <si>
    <t>9 x 9</t>
  </si>
  <si>
    <t>ACTIVE</t>
  </si>
  <si>
    <t xml:space="preserve">Automotive, 5.5V PMIC with four buck converters and three LDOs for ADAS processors up to ASIL-B
</t>
  </si>
  <si>
    <t>Multi-channel ICs (PMICs)</t>
  </si>
  <si>
    <t>Automotive</t>
  </si>
  <si>
    <t>VQFN-HR</t>
  </si>
  <si>
    <t>Functional Safety-Compliant</t>
  </si>
  <si>
    <t>-40 to 125</t>
  </si>
  <si>
    <t>6 x 5</t>
  </si>
  <si>
    <t>ACTIVE</t>
  </si>
  <si>
    <t>6V, 30A parallelable DC/DC buck module with I2C, frequency synchronization and MagPack technology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</si>
  <si>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</si>
  <si>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</si>
  <si>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</si>
  <si>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</si>
  <si>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</si>
  <si>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</si>
  <si>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8 x 3.75</t>
  </si>
  <si>
    <t>PREVIEW</t>
  </si>
  <si>
    <t xml:space="preserve"> 42V-in synchronous buck controller with constant current and constant voltage regulation</t>
  </si>
  <si>
    <t>AC/DC &amp; DC/DC controllers (external FET)</t>
  </si>
  <si>
    <t>Automotive</t>
  </si>
  <si>
    <t>Buck Controller</t>
  </si>
  <si>
    <t>VQFN</t>
  </si>
  <si>
    <t/>
  </si>
  <si>
    <t>-40 to 150</t>
  </si>
  <si>
    <t>4.5 x 3.5</t>
  </si>
  <si>
    <t>ACTIVE</t>
  </si>
  <si>
    <t>Low-Side Driver with DESAT and fault mute</t>
  </si>
  <si>
    <t>Low-side drivers</t>
  </si>
  <si>
    <t>Catalog</t>
  </si>
  <si>
    <t>SOIC</t>
  </si>
  <si>
    <t/>
  </si>
  <si>
    <t>-40 to 125</t>
  </si>
  <si>
    <t>4.9 x 6</t>
  </si>
  <si>
    <t>ACTIVE</t>
  </si>
  <si>
    <t>9V to 80V, 3.65mΩ, 20A stackable integrated hot swap (eFuse) with PMBus digital telemetry</t>
  </si>
  <si>
    <t>eFuses (integrated hot swaps)</t>
  </si>
  <si>
    <t>Catalog</t>
  </si>
  <si>
    <t>LQFN-CLIP</t>
  </si>
  <si>
    <t/>
  </si>
  <si>
    <t>-40 to 125</t>
  </si>
  <si>
    <t>5 x 6</t>
  </si>
  <si>
    <t>PREVIEW</t>
  </si>
  <si>
    <t>Radiation-tolerant 22V half-bridge GaN gate driver</t>
  </si>
  <si>
    <t>Half-bridge drivers</t>
  </si>
  <si>
    <t>Space</t>
  </si>
  <si>
    <t>HTSSOP</t>
  </si>
  <si>
    <t/>
  </si>
  <si>
    <t>-55 to 125</t>
  </si>
  <si>
    <t>14 x 8.1</t>
  </si>
  <si>
    <t>ACTIVE</t>
  </si>
  <si>
    <t>3.8V to 18V input, 3A, 200kHz to 2.2MHz synchronous step-down power module</t>
  </si>
  <si>
    <t>Power modules (integrated inductor)</t>
  </si>
  <si>
    <t>Catalog</t>
  </si>
  <si>
    <t>Buck</t>
  </si>
  <si>
    <t>QFN-FCMOD</t>
  </si>
  <si>
    <t/>
  </si>
  <si>
    <t>-40 to 125</t>
  </si>
  <si>
    <t>3.3 x 4.5</t>
  </si>
  <si>
    <t>ACTIVE</t>
  </si>
  <si>
    <t>2.4V-to-5.5V input, 8A high-frequency step-down converter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</si>
  <si>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</si>
  <si>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</si>
  <si>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</si>
  <si>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</si>
  <si>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</si>
  <si>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</si>
  <si>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</si>
  <si>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</si>
  <si>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2.4V-to-5.5V input, 10A high-frequency step-down converter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</si>
  <si>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</si>
  <si>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</si>
  <si>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</si>
  <si>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</si>
  <si>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</si>
  <si>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</si>
  <si>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</si>
  <si>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</si>
  <si>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2.4V-to-5.5V input, 8A high-efficiency step-down converter with I²C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</si>
  <si>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</si>
  <si>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</si>
  <si>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</si>
  <si>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</si>
  <si>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</si>
  <si>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</si>
  <si>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</si>
  <si>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</si>
  <si>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Automotive, 48-channel, local dimming backlight LED driver</t>
  </si>
  <si>
    <t>Automotive LED drivers</t>
  </si>
  <si>
    <t>Automotive</t>
  </si>
  <si>
    <t>HTSSOP,VQFN</t>
  </si>
  <si>
    <t/>
  </si>
  <si>
    <t>-40 to 125</t>
  </si>
  <si>
    <t>64,113.4</t>
  </si>
  <si>
    <t>14 x 8.1,8 x 8</t>
  </si>
  <si>
    <t>1,1.2</t>
  </si>
  <si>
    <t>ACTIVE</t>
  </si>
  <si>
    <t>Automotive, 48-channel, functional safety-compliant local dimming backlight LED driver</t>
  </si>
  <si>
    <t>Automotive LED drivers</t>
  </si>
  <si>
    <t>Automotive</t>
  </si>
  <si>
    <t>HTSSOP,VQFN</t>
  </si>
  <si>
    <t>Functional Safety-Compliant</t>
  </si>
  <si>
    <t>-40 to 125</t>
  </si>
  <si>
    <t>64,113.4</t>
  </si>
  <si>
    <t>14 x 8.1,8 x 8</t>
  </si>
  <si>
    <t>1,1.2</t>
  </si>
  <si>
    <t>ACTIVE</t>
  </si>
  <si>
    <t>Automotive, 48-channel, 100mA, local dimming backlight LED driver</t>
  </si>
  <si>
    <t>Automotive LED drivers</t>
  </si>
  <si>
    <t>Automotive</t>
  </si>
  <si>
    <t>HTSSOP,VQFN</t>
  </si>
  <si>
    <t/>
  </si>
  <si>
    <t>-40 to 125</t>
  </si>
  <si>
    <t>64,113.4</t>
  </si>
  <si>
    <t>14 x 8.1,8 x 8</t>
  </si>
  <si>
    <t>1,1.2</t>
  </si>
  <si>
    <t>ACTIVE</t>
  </si>
  <si>
    <t>Automotive, 48-channel, 100mA, functional safety-compliant local dimming backlight LED driver</t>
  </si>
  <si>
    <t>Automotive LED drivers</t>
  </si>
  <si>
    <t>Automotive</t>
  </si>
  <si>
    <t>HTSSOP,VQFN</t>
  </si>
  <si>
    <t>Functional Safety-Compliant</t>
  </si>
  <si>
    <t>-40 to 125</t>
  </si>
  <si>
    <t>64,113.4</t>
  </si>
  <si>
    <t>14 x 8.1,8 x 8</t>
  </si>
  <si>
    <t>1,1.2</t>
  </si>
  <si>
    <t>ACTIVE</t>
  </si>
  <si>
    <t>Automotive 1200V configurable precision resistor divider with integrated switch</t>
  </si>
  <si>
    <t>Solid-state relays</t>
  </si>
  <si>
    <t>Automotive</t>
  </si>
  <si>
    <t>SOIC</t>
  </si>
  <si>
    <t/>
  </si>
  <si>
    <t>-40 to 125</t>
  </si>
  <si>
    <t>10.3 x 10.3</t>
  </si>
  <si>
    <t>PREVIEW</t>
  </si>
  <si>
    <t>4.5V to 30V input, 1A, 1.2MHz synchronous buck converter</t>
  </si>
  <si>
    <t>AC/DC &amp; DC/DC converters (integrated FET)</t>
  </si>
  <si>
    <t>Catalog</t>
  </si>
  <si>
    <t>Buck</t>
  </si>
  <si>
    <t>SOT-23-THN</t>
  </si>
  <si>
    <t/>
  </si>
  <si>
    <t>-40 to 150</t>
  </si>
  <si>
    <t>2.9 x 2.8</t>
  </si>
  <si>
    <t>PREVIEW</t>
  </si>
  <si>
    <t xml:space="preserve">Automotive, 5.5V PMIC with four buck converters and three LDOs for ADAS processors up to ASIL-B
</t>
  </si>
  <si>
    <t>Multi-channel ICs (PMICs)</t>
  </si>
  <si>
    <t>Automotive</t>
  </si>
  <si>
    <t>VQFN-HR</t>
  </si>
  <si>
    <t>Functional Safety-Compliant</t>
  </si>
  <si>
    <t>-40 to 125</t>
  </si>
  <si>
    <t>6 x 5</t>
  </si>
  <si>
    <t>ACTIVE</t>
  </si>
  <si>
    <t>5V/5V 1.5W 3kVrms isolated DC-DC module with integrated transformer</t>
  </si>
  <si>
    <t>Isolated power modules (integrated transformer)</t>
  </si>
  <si>
    <t>Automotive,Catalog</t>
  </si>
  <si>
    <t>VSON-FCRLF</t>
  </si>
  <si>
    <t>Functional Safety-Capable</t>
  </si>
  <si>
    <t>-40 to 125</t>
  </si>
  <si>
    <t>4 x 5</t>
  </si>
  <si>
    <t>ACTIVE</t>
  </si>
  <si>
    <t>650V, 140mΩ GaN half-bridge with integrated driver, protection and current sense</t>
  </si>
  <si>
    <t>Gallium nitride (GaN) power stages</t>
  </si>
  <si>
    <t>Catalog</t>
  </si>
  <si>
    <t>VQFN</t>
  </si>
  <si>
    <t/>
  </si>
  <si>
    <t>-40 to 125</t>
  </si>
  <si>
    <t>8 x 6</t>
  </si>
  <si>
    <t>ACTIVE</t>
  </si>
  <si>
    <t>Automotive, high current 48x16 LED matrix driver with 16-bits PWM dimming and ultra low power</t>
  </si>
  <si>
    <t>LED display drivers</t>
  </si>
  <si>
    <t>Automotive</t>
  </si>
  <si>
    <t>VQFN</t>
  </si>
  <si>
    <t/>
  </si>
  <si>
    <t>-40 to 125</t>
  </si>
  <si>
    <t>9 x 9</t>
  </si>
  <si>
    <t>ACTIVE</t>
  </si>
  <si>
    <t>Isolated switch driver with 17V gate supply and dual isolated comparators</t>
  </si>
  <si>
    <t>Solid-state relays</t>
  </si>
  <si>
    <t>Automotive,Catalog</t>
  </si>
  <si>
    <t>SO-MOD</t>
  </si>
  <si>
    <t>Functional Safety-Capable</t>
  </si>
  <si>
    <t>-40 to 125</t>
  </si>
  <si>
    <t>5.85 x 10.3</t>
  </si>
  <si>
    <t>ACTIVE</t>
  </si>
  <si>
    <t>Multichannel overvoltage and undervoltage I²C programmable voltage supervisor</t>
  </si>
  <si>
    <t>Reset &amp; watchdog ICs</t>
  </si>
  <si>
    <t>Catalog</t>
  </si>
  <si>
    <t>WQFN</t>
  </si>
  <si>
    <t/>
  </si>
  <si>
    <t>-40 to 125</t>
  </si>
  <si>
    <t>3 x 3</t>
  </si>
  <si>
    <t>ACTIVE</t>
  </si>
  <si>
    <t>Automotive, 3V to 17V input, 4.5A low-noise buck converter with integrated ferrite bead filter</t>
  </si>
  <si>
    <t>AC/DC &amp; DC/DC converters (integrated FET)</t>
  </si>
  <si>
    <t>Automotive</t>
  </si>
  <si>
    <t>Buck</t>
  </si>
  <si>
    <t>VQFN-HR</t>
  </si>
  <si>
    <t>Functional Safety-Capable</t>
  </si>
  <si>
    <t>-55 to 150</t>
  </si>
  <si>
    <t>2.5 x 3</t>
  </si>
  <si>
    <t>ACTIVE</t>
  </si>
  <si>
    <t>SIMPLE SWITCHER® synchronous buck converter with 4.3V-to-60V, 2.5A and low quiescent current</t>
  </si>
  <si>
    <t>AC/DC &amp; DC/DC converters (integrated FET)</t>
  </si>
  <si>
    <t>Catalog</t>
  </si>
  <si>
    <t>Buck</t>
  </si>
  <si>
    <t>SOT-23-THN</t>
  </si>
  <si>
    <t>Functional Safety-Capable</t>
  </si>
  <si>
    <t>-40 to 150</t>
  </si>
  <si>
    <t>2.9 x 2.8</t>
  </si>
  <si>
    <t>ACTIVE</t>
  </si>
  <si>
    <t>4.5V to 30V input, 2A, 500kHz synchronous buck converter</t>
  </si>
  <si>
    <t>AC/DC &amp; DC/DC converters (integrated FET)</t>
  </si>
  <si>
    <t>Catalog</t>
  </si>
  <si>
    <t>Buck</t>
  </si>
  <si>
    <t>SOT-23-THN,SOT-5X3</t>
  </si>
  <si>
    <t/>
  </si>
  <si>
    <t>-40 to 150</t>
  </si>
  <si>
    <t>2.56,8.12</t>
  </si>
  <si>
    <t>1.6 x 1.6,2.9 x 2.8</t>
  </si>
  <si>
    <t>0.6,1.1</t>
  </si>
  <si>
    <t>0.5,0.95</t>
  </si>
  <si>
    <t>PREVIEW</t>
  </si>
  <si>
    <t>Automotive, 3V to 17V input, 6A low-noise buck converter with integrated ferrite bead filter</t>
  </si>
  <si>
    <t>AC/DC &amp; DC/DC converters (integrated FET)</t>
  </si>
  <si>
    <t>Automotive</t>
  </si>
  <si>
    <t>Buck</t>
  </si>
  <si>
    <t>VQFN-HR</t>
  </si>
  <si>
    <t>Functional Safety-Capable</t>
  </si>
  <si>
    <t>-55 to 150</t>
  </si>
  <si>
    <t>2.5 x 3</t>
  </si>
  <si>
    <t>ACTIVE</t>
  </si>
  <si>
    <t>Automotive, 3V to 17V input, 8A low-noise buck converter with integrated ferrite bead filter</t>
  </si>
  <si>
    <t>AC/DC &amp; DC/DC converters (integrated FET)</t>
  </si>
  <si>
    <t>Automotive</t>
  </si>
  <si>
    <t>Buck</t>
  </si>
  <si>
    <t>VQFN-HR</t>
  </si>
  <si>
    <t>Functional Safety-Capable</t>
  </si>
  <si>
    <t>-55 to 150</t>
  </si>
  <si>
    <t>2.5 x 3</t>
  </si>
  <si>
    <t>ACTIVE</t>
  </si>
  <si>
    <t>2.4V-to-5.5V input, 10A high-efficiency step-down converter with I²C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</si>
  <si>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</si>
  <si>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</si>
  <si>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</si>
  <si>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</si>
  <si>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</si>
  <si>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</si>
  <si>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</si>
  <si>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</si>
  <si>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65V 1A buck LED driver with analog or PWM dimming options</t>
  </si>
  <si>
    <t>Illumination  LED drivers</t>
  </si>
  <si>
    <t>Catalog</t>
  </si>
  <si>
    <t>Buck</t>
  </si>
  <si>
    <t>HVSSOP,SOT-5X3,WSON</t>
  </si>
  <si>
    <t/>
  </si>
  <si>
    <t>-40 to 85</t>
  </si>
  <si>
    <t>3.36,4,14.7</t>
  </si>
  <si>
    <t>2 x 2,2.1 x 1.6,3 x 4.9</t>
  </si>
  <si>
    <t>0.6,0.8,1.1</t>
  </si>
  <si>
    <t>0.5,0.65</t>
  </si>
  <si>
    <t>ACTIVE</t>
  </si>
  <si>
    <t>65V, 2A boost or buck-boost LED driver with analog or PWM dimming options</t>
  </si>
  <si>
    <t>Illumination  LED drivers</t>
  </si>
  <si>
    <t>Catalog</t>
  </si>
  <si>
    <t>Boost,Buck-Boost</t>
  </si>
  <si>
    <t>HVSSOP,WSON</t>
  </si>
  <si>
    <t/>
  </si>
  <si>
    <t>-40 to 85</t>
  </si>
  <si>
    <t>4,14.7</t>
  </si>
  <si>
    <t>2 x 2,3 x 4.9</t>
  </si>
  <si>
    <t>0.8,1.1</t>
  </si>
  <si>
    <t>0.5,0.65</t>
  </si>
  <si>
    <t>ACTIVE</t>
  </si>
  <si>
    <t>100V 1.7mΩ GaN FET with integrated driver</t>
  </si>
  <si>
    <t>Gallium nitride (GaN) power stages</t>
  </si>
  <si>
    <t>Catalog</t>
  </si>
  <si>
    <t>VQFN-FCRLF</t>
  </si>
  <si>
    <t/>
  </si>
  <si>
    <t>-40 to 175</t>
  </si>
  <si>
    <t>6.5 x 4</t>
  </si>
  <si>
    <t>ACTIVE</t>
  </si>
  <si>
    <t>Bridge between SPI and LP589x display LED matrix driver</t>
  </si>
  <si>
    <t>LED display drivers</t>
  </si>
  <si>
    <t>Catalog</t>
  </si>
  <si>
    <t>SOT-23-THN,WSON</t>
  </si>
  <si>
    <t/>
  </si>
  <si>
    <t>-40 to 85</t>
  </si>
  <si>
    <t>12,14</t>
  </si>
  <si>
    <t>9,13.692</t>
  </si>
  <si>
    <t>3 x 3,4.2 x 3.26</t>
  </si>
  <si>
    <t>0.8,1.1</t>
  </si>
  <si>
    <t>ACTIVE</t>
  </si>
  <si>
    <t>Bridge between SPI and local dimming TLC696xx LED drivers</t>
  </si>
  <si>
    <t>Backlight LED drivers</t>
  </si>
  <si>
    <t>Catalog</t>
  </si>
  <si>
    <t>SOT-23-THN,WSON</t>
  </si>
  <si>
    <t/>
  </si>
  <si>
    <t>-40 to 85</t>
  </si>
  <si>
    <t>12,14</t>
  </si>
  <si>
    <t>9,13.692</t>
  </si>
  <si>
    <t>3 x 3,4.2 x 3.26</t>
  </si>
  <si>
    <t>0.8,1.1</t>
  </si>
  <si>
    <t>ACTIVE</t>
  </si>
  <si>
    <t>Bridge between SPI and TLC698x matrix mini and micro-LED display drivers</t>
  </si>
  <si>
    <t>LED display drivers</t>
  </si>
  <si>
    <t>Catalog</t>
  </si>
  <si>
    <t>SOT-23-THN,WSON</t>
  </si>
  <si>
    <t/>
  </si>
  <si>
    <t>-40 to 85</t>
  </si>
  <si>
    <t>12,14</t>
  </si>
  <si>
    <t>9,13.692</t>
  </si>
  <si>
    <t>3 x 3,4.2 x 3.26</t>
  </si>
  <si>
    <t>0.8,1.1</t>
  </si>
  <si>
    <t>ACTIVE</t>
  </si>
  <si>
    <t>Automotive, 35V PMIC with three buck converters and one LDO regulator for radar up to ASIL-B</t>
  </si>
  <si>
    <t>Multi-channel ICs (PMICs)</t>
  </si>
  <si>
    <t>Automotive</t>
  </si>
  <si>
    <t>VQFN-HR</t>
  </si>
  <si>
    <t>Functional Safety-Compliant</t>
  </si>
  <si>
    <t>-40 to 125</t>
  </si>
  <si>
    <t>3.5 x 3.5</t>
  </si>
  <si>
    <t>PREVIEW</t>
  </si>
  <si>
    <t>17V VIN, 4A low-noise low-ripple buck converter with 0.6V VOUT</t>
  </si>
  <si>
    <t>AC/DC &amp; DC/DC converters (integrated FET)</t>
  </si>
  <si>
    <t>Catalog</t>
  </si>
  <si>
    <t>VQFN-HR</t>
  </si>
  <si>
    <t/>
  </si>
  <si>
    <t>-40 to 150</t>
  </si>
  <si>
    <t>2.5 x 3</t>
  </si>
  <si>
    <t>ACTIVE</t>
  </si>
  <si>
    <t>Automotive, 45V low-Iq high side driver with protection and diagnostics</t>
  </si>
  <si>
    <t>High-side switch controllers</t>
  </si>
  <si>
    <t>Automotive</t>
  </si>
  <si>
    <t>VSSOP</t>
  </si>
  <si>
    <t/>
  </si>
  <si>
    <t>-40 to 125</t>
  </si>
  <si>
    <t>5.1 x 3</t>
  </si>
  <si>
    <t>ACTIVE</t>
  </si>
  <si>
    <t>Automotive, 45V low-Iq dual high-side driver with short circuit protection and diagnostics</t>
  </si>
  <si>
    <t>High-side switch controllers</t>
  </si>
  <si>
    <t>Automotive</t>
  </si>
  <si>
    <t>VSSOP</t>
  </si>
  <si>
    <t/>
  </si>
  <si>
    <t>-40 to 125</t>
  </si>
  <si>
    <t>5.1 x 3</t>
  </si>
  <si>
    <t>ACTIVE</t>
  </si>
  <si>
    <t>Automotive, 100V low-Iq high side driver with protection and diagnostics</t>
  </si>
  <si>
    <t>High-side switch controllers</t>
  </si>
  <si>
    <t>Automotive</t>
  </si>
  <si>
    <t>VSSOP</t>
  </si>
  <si>
    <t/>
  </si>
  <si>
    <t>-40 to 125</t>
  </si>
  <si>
    <t>5.1 x 3</t>
  </si>
  <si>
    <t>ACTIVE</t>
  </si>
  <si>
    <t>Automotive, 100V low-Iq dual high-side driver with short circuit protection and diagnostics</t>
  </si>
  <si>
    <t>High-side switch controllers</t>
  </si>
  <si>
    <t>Automotive</t>
  </si>
  <si>
    <t>VSSOP</t>
  </si>
  <si>
    <t/>
  </si>
  <si>
    <t>-40 to 125</t>
  </si>
  <si>
    <t>5.1 x 3</t>
  </si>
  <si>
    <t>ACTIVE</t>
  </si>
  <si>
    <t>3A high-PSRR ultra-low-dropout linear regulator</t>
  </si>
  <si>
    <t>Linear &amp; low-dropout (LDO) regulators</t>
  </si>
  <si>
    <t>Catalog</t>
  </si>
  <si>
    <t>WQFN</t>
  </si>
  <si>
    <t/>
  </si>
  <si>
    <t>-40 to 125</t>
  </si>
  <si>
    <t>3 x 3</t>
  </si>
  <si>
    <t>ACTIVE</t>
  </si>
  <si>
    <t>Automotive, 3V to 5.5V/5V, 1W 3kVrms DC-DC isolated power module with integrated transformer</t>
  </si>
  <si>
    <t>Isolated power modules (integrated transformer)</t>
  </si>
  <si>
    <t>Automotive</t>
  </si>
  <si>
    <t>VSON-FCRLF</t>
  </si>
  <si>
    <t>Functional Safety-Capable</t>
  </si>
  <si>
    <t>-40 to 125</t>
  </si>
  <si>
    <t>4 x 5</t>
  </si>
  <si>
    <t>ACTIVE</t>
  </si>
  <si>
    <t>36V, 4A, synchronous buck converter with low Iq and high efficiency with minimized COUT</t>
  </si>
  <si>
    <t>AC/DC &amp; DC/DC converters (integrated FET)</t>
  </si>
  <si>
    <t>Catalog</t>
  </si>
  <si>
    <t>Buck</t>
  </si>
  <si>
    <t>WQFN-HR</t>
  </si>
  <si>
    <t>Functional Safety-Capable</t>
  </si>
  <si>
    <t>-40 to 150</t>
  </si>
  <si>
    <t>2.5 x 2</t>
  </si>
  <si>
    <t>ACTIVE</t>
  </si>
  <si>
    <t>Automotive, 20A, real-time variable IGBT/SiC MOSFET isolated gate driver with advanced protection</t>
  </si>
  <si>
    <t>Isolated gate drivers</t>
  </si>
  <si>
    <t>Automotive</t>
  </si>
  <si>
    <t>SSOP</t>
  </si>
  <si>
    <t>Functional Safety-Compliant</t>
  </si>
  <si>
    <t>-40 to 125</t>
  </si>
  <si>
    <t>10.3 x 10.3</t>
  </si>
  <si>
    <t>ACTIVE</t>
  </si>
  <si>
    <t>36-V, 2A, synchronous buck converter with low Iq and high-efficiency with minimized C&lt;sub&gt;out&lt;/su</t>
  </si>
  <si>
    <t>AC/DC &amp; DC/DC converters (integrated FET)</t>
  </si>
  <si>
    <t>Catalog</t>
  </si>
  <si>
    <t>Buck</t>
  </si>
  <si>
    <t>WQFN-HR</t>
  </si>
  <si>
    <t>Functional Safety-Capable</t>
  </si>
  <si>
    <t>-40 to 150</t>
  </si>
  <si>
    <t>2.5 x 2</t>
  </si>
  <si>
    <t>ACTIVE</t>
  </si>
  <si>
    <t>Automotive, 5V/5V 1.5W 3kVrms isolated DC-DC module with integrated transformer</t>
  </si>
  <si>
    <t>Isolated power modules (integrated transformer)</t>
  </si>
  <si>
    <t>Automotive</t>
  </si>
  <si>
    <t>VSON-FCRLF</t>
  </si>
  <si>
    <t>Functional Safety-Capable</t>
  </si>
  <si>
    <t>-40 to 125</t>
  </si>
  <si>
    <t>4 x 5</t>
  </si>
  <si>
    <t>ACTIVE</t>
  </si>
  <si>
    <t>Low-side 3A/3A driver with desaturation protection and 12V undervoltage lockout</t>
  </si>
  <si>
    <t>Low-side drivers</t>
  </si>
  <si>
    <t>Automotive</t>
  </si>
  <si>
    <t>SOIC</t>
  </si>
  <si>
    <t/>
  </si>
  <si>
    <t>-40 to 125</t>
  </si>
  <si>
    <t>4.9 x 6</t>
  </si>
  <si>
    <t>ACTIVE</t>
  </si>
  <si>
    <t>Automotive, 36V, 12A, low-Iq dual-output synchronous step-down converter with top exposed pad</t>
  </si>
  <si>
    <t>AC/DC &amp; DC/DC converters (integrated FET)</t>
  </si>
  <si>
    <t>Automotive</t>
  </si>
  <si>
    <t>Buck</t>
  </si>
  <si>
    <t>WQFN-FCRLF</t>
  </si>
  <si>
    <t/>
  </si>
  <si>
    <t>-40 to 150</t>
  </si>
  <si>
    <t>5 x 4</t>
  </si>
  <si>
    <t>ACTIVE</t>
  </si>
  <si>
    <t>Automotive 100V low IQ high-side driver with bi-directional current monitoring, I2t, and diagnost</t>
  </si>
  <si>
    <t>Smart eFuse high-side switches</t>
  </si>
  <si>
    <t>Automotive</t>
  </si>
  <si>
    <t>VQFN</t>
  </si>
  <si>
    <t/>
  </si>
  <si>
    <t>-40 to 125</t>
  </si>
  <si>
    <t>4 x 4</t>
  </si>
  <si>
    <t>ACTIVE</t>
  </si>
  <si>
    <t>Radiation-tolerant 200V half-bridge GaN gate driver</t>
  </si>
  <si>
    <t>Half-bridge drivers</t>
  </si>
  <si>
    <t>Space</t>
  </si>
  <si>
    <t>HTSSOP</t>
  </si>
  <si>
    <t/>
  </si>
  <si>
    <t>-55 to 125</t>
  </si>
  <si>
    <t>14 x 8.1</t>
  </si>
  <si>
    <t>ACTIVE</t>
  </si>
  <si>
    <t>36V 1A synchronous buck converter with low Iq and high efficiency with minimized COUT</t>
  </si>
  <si>
    <t>AC/DC &amp; DC/DC converters (integrated FET)</t>
  </si>
  <si>
    <t>Catalog</t>
  </si>
  <si>
    <t>Buck</t>
  </si>
  <si>
    <t>WQFN-HR</t>
  </si>
  <si>
    <t>Functional Safety-Capable</t>
  </si>
  <si>
    <t>-40 to 150</t>
  </si>
  <si>
    <t>2.5 x 2</t>
  </si>
  <si>
    <t>ACTIVE</t>
  </si>
  <si>
    <t>Automotive, 36V, 4A synchronous buck converter with low Iq and high efficiency with minimized COUT</t>
  </si>
  <si>
    <t>AC/DC &amp; DC/DC converters (integrated FET)</t>
  </si>
  <si>
    <t>Automotive</t>
  </si>
  <si>
    <t>Buck</t>
  </si>
  <si>
    <t>WQFN-HR</t>
  </si>
  <si>
    <t>Functional Safety-Capable</t>
  </si>
  <si>
    <t>-40 to 125</t>
  </si>
  <si>
    <t>2.5 x 2</t>
  </si>
  <si>
    <t>PREVIEW</t>
  </si>
  <si>
    <t>0.7V low input voltage step-up converter with 5uA Iq and SOT-23 package</t>
  </si>
  <si>
    <t>AC/DC &amp; DC/DC converters (integrated FET)</t>
  </si>
  <si>
    <t>Catalog</t>
  </si>
  <si>
    <t>Boost</t>
  </si>
  <si>
    <t>SOT-23</t>
  </si>
  <si>
    <t/>
  </si>
  <si>
    <t>-40 to 85</t>
  </si>
  <si>
    <t>2.9 x 2.8</t>
  </si>
  <si>
    <t>ACTIVE</t>
  </si>
  <si>
    <t>300mA, small size, high-PSRR, low-dropout regulator with enable</t>
  </si>
  <si>
    <t>Linear &amp; low-dropout (LDO) regulators</t>
  </si>
  <si>
    <t>Catalog</t>
  </si>
  <si>
    <t>X2SON</t>
  </si>
  <si>
    <t/>
  </si>
  <si>
    <t>-40 to 125</t>
  </si>
  <si>
    <t>1 x 1</t>
  </si>
  <si>
    <t>ACTIVE</t>
  </si>
  <si>
    <t>Nano-power dual push-button controller with short and long press differentiation</t>
  </si>
  <si>
    <t>Reset &amp; watchdog ICs</t>
  </si>
  <si>
    <t>Catalog</t>
  </si>
  <si>
    <t>SOT-5X3</t>
  </si>
  <si>
    <t/>
  </si>
  <si>
    <t>-40 to 125</t>
  </si>
  <si>
    <t>2.1 x 1.6</t>
  </si>
  <si>
    <t>ACTIVE</t>
  </si>
  <si>
    <t>100V Ideal diode bridge controller for PoE powered applications</t>
  </si>
  <si>
    <t>Ideal diode &amp; ORing controllers</t>
  </si>
  <si>
    <t>Catalog</t>
  </si>
  <si>
    <t>WSON</t>
  </si>
  <si>
    <t/>
  </si>
  <si>
    <t>-40 to 125</t>
  </si>
  <si>
    <t>3 x 3</t>
  </si>
  <si>
    <t>ACTIVE</t>
  </si>
  <si>
    <t>Automotive 150mA 40V low-dropout linear regulator with power good and wide output voltage range</t>
  </si>
  <si>
    <t>Linear &amp; low-dropout (LDO) regulators</t>
  </si>
  <si>
    <t>Automotive</t>
  </si>
  <si>
    <t>SOIC</t>
  </si>
  <si>
    <t/>
  </si>
  <si>
    <t>-40 to 125</t>
  </si>
  <si>
    <t>4.9 x 6</t>
  </si>
  <si>
    <t>ACTIVE</t>
  </si>
  <si>
    <t>Automotive, 65V synchronous boost controller and two-channel 2A synchronous CC/CV buck converter</t>
  </si>
  <si>
    <t>Automotive LED drivers</t>
  </si>
  <si>
    <t>Automotive</t>
  </si>
  <si>
    <t>Boost Controller,Buck</t>
  </si>
  <si>
    <t>HTQFP</t>
  </si>
  <si>
    <t>Functional Safety-Capable</t>
  </si>
  <si>
    <t>-40 to 125</t>
  </si>
  <si>
    <t>9 x 9</t>
  </si>
  <si>
    <t>ACTIVE</t>
  </si>
  <si>
    <t>78V wide-VIN bidirectional 4-switch buck-boost controller</t>
  </si>
  <si>
    <t>AC/DC &amp; DC/DC controllers (external FET)</t>
  </si>
  <si>
    <t>Catalog</t>
  </si>
  <si>
    <t>Buck-Boost</t>
  </si>
  <si>
    <t>HTSSOP</t>
  </si>
  <si>
    <t/>
  </si>
  <si>
    <t>-40 to 125</t>
  </si>
  <si>
    <t>9.7 x 6.4</t>
  </si>
  <si>
    <t>ACTIVE</t>
  </si>
  <si>
    <t>Automotive 8A low-EMI buck converter with thermally enhanced package for dual-side cooling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</si>
  <si>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</si>
  <si>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</si>
  <si>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</si>
  <si>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</si>
  <si>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</si>
  <si>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</si>
  <si>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4.5 x 3.5</t>
  </si>
  <si>
    <t>ACTIVE</t>
  </si>
  <si>
    <t>Automotive, 10A low EMI buck converter with thermally enhanced package for dual-side cooling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</si>
  <si>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</si>
  <si>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</si>
  <si>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</si>
  <si>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</si>
  <si>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</si>
  <si>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</si>
  <si>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4.5 x 3.5</t>
  </si>
  <si>
    <t>ACTIVE</t>
  </si>
  <si>
    <t>650V 105mΩ GaN half-bridge with integrated driver, protection and current sense</t>
  </si>
  <si>
    <t>Gallium nitride (GaN) power stages</t>
  </si>
  <si>
    <t>Catalog</t>
  </si>
  <si>
    <t>VQFN</t>
  </si>
  <si>
    <t/>
  </si>
  <si>
    <t>-40 to 125</t>
  </si>
  <si>
    <t>9 x 7</t>
  </si>
  <si>
    <t>ACTIVE</t>
  </si>
  <si>
    <t>650-V 170-m&amp;Omega;&amp;nbsp;GaN FET with integrated driver and protection</t>
  </si>
  <si>
    <t>Gallium nitride (GaN) power stages</t>
  </si>
  <si>
    <t>Catalog</t>
  </si>
  <si>
    <t>VQFN</t>
  </si>
  <si>
    <t/>
  </si>
  <si>
    <t>-40 to 125</t>
  </si>
  <si>
    <t>8 x 5.3</t>
  </si>
  <si>
    <t>ACTIVE</t>
  </si>
  <si>
    <t>Enhanced low-noise (0.5µVpp/V), low-drift (2.5ppm°/C), wide-VIN (42V) precision voltage reference</t>
  </si>
  <si>
    <t>Series voltage references</t>
  </si>
  <si>
    <t>Catalog</t>
  </si>
  <si>
    <t>SOIC</t>
  </si>
  <si>
    <t/>
  </si>
  <si>
    <t>-40 to 125</t>
  </si>
  <si>
    <t>4.9 x 6</t>
  </si>
  <si>
    <t>ACTIVE</t>
  </si>
  <si>
    <t>Automotive, four-channel 120mΩ smart high-side switch with low power mode</t>
  </si>
  <si>
    <t>High-side switches</t>
  </si>
  <si>
    <t>Automotive</t>
  </si>
  <si>
    <t>HVSSOP</t>
  </si>
  <si>
    <t/>
  </si>
  <si>
    <t>-40 to 125</t>
  </si>
  <si>
    <t>7.1 x 4.9</t>
  </si>
  <si>
    <t>ACTIVE</t>
  </si>
  <si>
    <t>65V, 1A boost or buck-boost LED driver with analog or PWM dimming options</t>
  </si>
  <si>
    <t>Illumination  LED drivers</t>
  </si>
  <si>
    <t>Catalog</t>
  </si>
  <si>
    <t>Boost,Buck-Boost</t>
  </si>
  <si>
    <t>HVSSOP,SOT-5X3,WSON</t>
  </si>
  <si>
    <t/>
  </si>
  <si>
    <t xml:space="preserve"> to </t>
  </si>
  <si>
    <t>3.36,4,14.7</t>
  </si>
  <si>
    <t>2 x 2,2.1 x 1.6,3 x 4.9</t>
  </si>
  <si>
    <t>0.6,0.8,1.1</t>
  </si>
  <si>
    <t>0.5,0.65</t>
  </si>
  <si>
    <t>ACTIVE</t>
  </si>
  <si>
    <t>80V synchronous buck controller with constant current and constant voltage regulation</t>
  </si>
  <si>
    <t>AC/DC &amp; DC/DC controllers (external FET)</t>
  </si>
  <si>
    <t>Automotive</t>
  </si>
  <si>
    <t>Buck Controller</t>
  </si>
  <si>
    <t>VQFN</t>
  </si>
  <si>
    <t/>
  </si>
  <si>
    <t>-40 to 150</t>
  </si>
  <si>
    <t>4.5 x 3.5</t>
  </si>
  <si>
    <t>ACTIVE</t>
  </si>
  <si>
    <t>65V, 2A buck LED driver with analog or PWM dimming options</t>
  </si>
  <si>
    <t>Illumination  LED drivers</t>
  </si>
  <si>
    <t>Catalog</t>
  </si>
  <si>
    <t>Buck</t>
  </si>
  <si>
    <t>HVSSOP,WSON</t>
  </si>
  <si>
    <t/>
  </si>
  <si>
    <t>-40 to 85</t>
  </si>
  <si>
    <t>4,14.7</t>
  </si>
  <si>
    <t>2 x 2,3 x 4.9</t>
  </si>
  <si>
    <t>0.8,1.1</t>
  </si>
  <si>
    <t>0.5,0.65</t>
  </si>
  <si>
    <t>ACTIVE</t>
  </si>
  <si>
    <t>5.5V, 2A, 2.4MHz synchronous boost power module with MagPack™ packaging technology and power good</t>
  </si>
  <si>
    <t>Power modules (integrated inductor)</t>
  </si>
  <si>
    <t>Catalog</t>
  </si>
  <si>
    <t>Boost</t>
  </si>
  <si>
    <t>QFN-FCMOD</t>
  </si>
  <si>
    <t/>
  </si>
  <si>
    <t>-40 to 125</t>
  </si>
  <si>
    <t>2.6 x 2.5</t>
  </si>
  <si>
    <t>ACTIVE</t>
  </si>
  <si>
    <t>3.8-V to 28-V Input, 3A, 200kHz-2.2MHz synchronous step-down power module</t>
  </si>
  <si>
    <t>Power modules (integrated inductor)</t>
  </si>
  <si>
    <t>Catalog</t>
  </si>
  <si>
    <t>Buck</t>
  </si>
  <si>
    <t>QFN-FCMOD</t>
  </si>
  <si>
    <t/>
  </si>
  <si>
    <t>-40 to 125</t>
  </si>
  <si>
    <t>3.3 x 4.5</t>
  </si>
  <si>
    <t>ACTIVE</t>
  </si>
  <si>
    <t>100V Ideal diode bridge controller for low loss rectification</t>
  </si>
  <si>
    <t>Ideal diode &amp; ORing controllers</t>
  </si>
  <si>
    <t>Catalog</t>
  </si>
  <si>
    <t>WSON</t>
  </si>
  <si>
    <t/>
  </si>
  <si>
    <t>-40 to 125</t>
  </si>
  <si>
    <t>3 x 3</t>
  </si>
  <si>
    <t>ACTIVE</t>
  </si>
  <si>
    <t>Automotive 65-V window supervisor with ultra-low quiescent current and built-in self-test</t>
  </si>
  <si>
    <t>Supply-voltage supervisors</t>
  </si>
  <si>
    <t>Automotive</t>
  </si>
  <si>
    <t>SOT-23-THN</t>
  </si>
  <si>
    <t>Functional Safety-Compliant</t>
  </si>
  <si>
    <t>-40 to 125</t>
  </si>
  <si>
    <t>2.9 x 2.8</t>
  </si>
  <si>
    <t>ACTIVE</t>
  </si>
  <si>
    <t>Automotive 100V low-Iq high-side driver with low-power mode and adjustable short-circuit protection</t>
  </si>
  <si>
    <t>High-side switch controllers</t>
  </si>
  <si>
    <t>Automotive</t>
  </si>
  <si>
    <t>VSSOP</t>
  </si>
  <si>
    <t/>
  </si>
  <si>
    <t>-40 to 125</t>
  </si>
  <si>
    <t>5.1 x 3</t>
  </si>
  <si>
    <t>ACTIVE</t>
  </si>
  <si>
    <t>3.8-V to 28-V, 5-A, 200-kHz to 2.2-MHz, synchronous buck converter</t>
  </si>
  <si>
    <t>AC/DC &amp; DC/DC converters (integrated FET)</t>
  </si>
  <si>
    <t>Catalog</t>
  </si>
  <si>
    <t>Buck</t>
  </si>
  <si>
    <t>VQFN-HR</t>
  </si>
  <si>
    <t/>
  </si>
  <si>
    <t>-40 to 150</t>
  </si>
  <si>
    <t>2 x 1.5</t>
  </si>
  <si>
    <t>ACTIVE</t>
  </si>
  <si>
    <t>42V VIN, 2.5MHz synchronous GaN boost converter with output voltage tracking</t>
  </si>
  <si>
    <t>AC/DC &amp; DC/DC converters (integrated FET)</t>
  </si>
  <si>
    <t>Catalog</t>
  </si>
  <si>
    <t>Boost</t>
  </si>
  <si>
    <t>VQFN-FCRLF</t>
  </si>
  <si>
    <t/>
  </si>
  <si>
    <t>-40 to 125</t>
  </si>
  <si>
    <t>5.5 x 4.5</t>
  </si>
  <si>
    <t>PREVIEW</t>
  </si>
  <si>
    <t>4.5V to 16V, 0.8mΩ, 70A stackable eFuse with accurate and fast current monitor</t>
  </si>
  <si>
    <t>eFuses (integrated hot swaps)</t>
  </si>
  <si>
    <t>Catalog</t>
  </si>
  <si>
    <t>WQFN-FCRLF</t>
  </si>
  <si>
    <t/>
  </si>
  <si>
    <t>-40 to 125</t>
  </si>
  <si>
    <t>5 x 5</t>
  </si>
  <si>
    <t>ACTIVE</t>
  </si>
  <si>
    <t>Automotive, multichannel overvoltage and undervoltage voltage supervisor with I²C and timeout reset</t>
  </si>
  <si>
    <t>Reset &amp; watchdog ICs</t>
  </si>
  <si>
    <t>Automotive</t>
  </si>
  <si>
    <t>WQFN</t>
  </si>
  <si>
    <t>Functional Safety-Compliant</t>
  </si>
  <si>
    <t>-40 to 125</t>
  </si>
  <si>
    <t>3 x 3</t>
  </si>
  <si>
    <t>ACTIVE</t>
  </si>
  <si>
    <t>17V VIN, 6A low-noise low-ripple buck converter with 0.6V VOUT</t>
  </si>
  <si>
    <t>AC/DC &amp; DC/DC converters (integrated FET)</t>
  </si>
  <si>
    <t>Catalog</t>
  </si>
  <si>
    <t>Buck</t>
  </si>
  <si>
    <t>VQFN-HR</t>
  </si>
  <si>
    <t/>
  </si>
  <si>
    <t>-40 to 150</t>
  </si>
  <si>
    <t>2.5 x 3</t>
  </si>
  <si>
    <t>ACTIVE</t>
  </si>
  <si>
    <t>17V VIN, 8A low-noise low-ripple buck converter with 0.6V VOUT</t>
  </si>
  <si>
    <t>AC/DC &amp; DC/DC converters (integrated FET)</t>
  </si>
  <si>
    <t>Catalog</t>
  </si>
  <si>
    <t>VQFN-HR</t>
  </si>
  <si>
    <t/>
  </si>
  <si>
    <t>-40 to 150</t>
  </si>
  <si>
    <t>2.5 x 3</t>
  </si>
  <si>
    <t>ACTIVE</t>
  </si>
  <si>
    <t>Automotive, two-channel, 5.5V 4A 14mΩ load switch with adjustable rise time</t>
  </si>
  <si>
    <t>Load switches</t>
  </si>
  <si>
    <t>Automotive</t>
  </si>
  <si>
    <t>SOT-5X3</t>
  </si>
  <si>
    <t/>
  </si>
  <si>
    <t>-40 to 125</t>
  </si>
  <si>
    <t>2.1 x 1.2</t>
  </si>
  <si>
    <t>ACTIVE</t>
  </si>
  <si>
    <t>Automotive, 5-V/3.3-V, 1-W, 5-kVrms isolated DC-DC module with integrated transformer</t>
  </si>
  <si>
    <t>Isolated power modules (integrated transformer)</t>
  </si>
  <si>
    <t>Automotive</t>
  </si>
  <si>
    <t>SO-MOD,UNKNOWN</t>
  </si>
  <si>
    <t>Functional Safety-Capable</t>
  </si>
  <si>
    <t xml:space="preserve"> to </t>
  </si>
  <si>
    <t>60.255,See data sheet</t>
  </si>
  <si>
    <t>5.85 x 10.3,See data sheet</t>
  </si>
  <si>
    <t>2.8,—</t>
  </si>
  <si>
    <t>0.65,—</t>
  </si>
  <si>
    <t>PREVIEW</t>
  </si>
  <si>
    <t>4.5V-to-65V 0.3A synchronous buck converter with 25µA quiescent current</t>
  </si>
  <si>
    <t>AC/DC &amp; DC/DC converters (integrated FET)</t>
  </si>
  <si>
    <t>Catalog</t>
  </si>
  <si>
    <t>Buck</t>
  </si>
  <si>
    <t>SOT-23</t>
  </si>
  <si>
    <t>Functional Safety-Capable</t>
  </si>
  <si>
    <t>-40 to 150</t>
  </si>
  <si>
    <t>2.9 x 2.8</t>
  </si>
  <si>
    <t>ACTIVE</t>
  </si>
  <si>
    <t>Automotive reinforced isolated switch driver with 17V gate supply and dual isolated comparators</t>
  </si>
  <si>
    <t>Solid-state relays</t>
  </si>
  <si>
    <t>Automotive</t>
  </si>
  <si>
    <t>SO-MOD</t>
  </si>
  <si>
    <t>Functional Safety-Capable</t>
  </si>
  <si>
    <t>-40 to 125</t>
  </si>
  <si>
    <t>5.85 x 10.3</t>
  </si>
  <si>
    <t>ACTIVE</t>
  </si>
  <si>
    <t>20VIN, 28VOUT, 2.2A non-synchronous boost converter with SOT23-5 DDC package</t>
  </si>
  <si>
    <t>AC/DC &amp; DC/DC converters (integrated FET)</t>
  </si>
  <si>
    <t>Catalog</t>
  </si>
  <si>
    <t>Boost</t>
  </si>
  <si>
    <t>SOT-23-THN</t>
  </si>
  <si>
    <t/>
  </si>
  <si>
    <t>-40 to 125</t>
  </si>
  <si>
    <t>2.9 x 2.8</t>
  </si>
  <si>
    <t>ACTIVE</t>
  </si>
  <si>
    <t>Automotive 74V high-side switch controller with low Iq, low power, load wakeup, I2t and diagnostics</t>
  </si>
  <si>
    <t>Smart eFuse high-side switches</t>
  </si>
  <si>
    <t>Automotive</t>
  </si>
  <si>
    <t>VQFN</t>
  </si>
  <si>
    <t/>
  </si>
  <si>
    <t>-40 to 125</t>
  </si>
  <si>
    <t>4 x 4</t>
  </si>
  <si>
    <t>ACTIVE</t>
  </si>
  <si>
    <t>5.5V input, 6A step-down power module with integrated inductor and I2C interface in QFN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</si>
  <si>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</si>
  <si>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</si>
  <si>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</si>
  <si>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</si>
  <si>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</si>
  <si>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</si>
  <si>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2.3 x 3</t>
  </si>
  <si>
    <t>ACTIVE</t>
  </si>
  <si>
    <t>4.5V-to-42V 0.3A synchronous buck converter with 25µA quiescent current</t>
  </si>
  <si>
    <t>AC/DC &amp; DC/DC converters (integrated FET)</t>
  </si>
  <si>
    <t>Catalog</t>
  </si>
  <si>
    <t>Buck</t>
  </si>
  <si>
    <t>SOT-23</t>
  </si>
  <si>
    <t>Functional Safety-Capable</t>
  </si>
  <si>
    <t>-40 to 150</t>
  </si>
  <si>
    <t>2.9 x 2.8</t>
  </si>
  <si>
    <t>ACTIVE</t>
  </si>
  <si>
    <t>Automotive SPI universal plug-in augmented connectivity for LP589x-Q1 display LED matrix driver</t>
  </si>
  <si>
    <t>Automotive LED drivers</t>
  </si>
  <si>
    <t>Automotive</t>
  </si>
  <si>
    <t>SOT-23-THN,WSON</t>
  </si>
  <si>
    <t/>
  </si>
  <si>
    <t>-40 to 125</t>
  </si>
  <si>
    <t>12,14</t>
  </si>
  <si>
    <t>9,13.692</t>
  </si>
  <si>
    <t>3 x 3,4.2 x 3.26</t>
  </si>
  <si>
    <t>0.8,1.1</t>
  </si>
  <si>
    <t>ACTIVE</t>
  </si>
  <si>
    <t>Automotive SPI universal plug-in augmented connectivity for local dimming TLC696xx-Q1 LED drivers</t>
  </si>
  <si>
    <t>Automotive LED drivers</t>
  </si>
  <si>
    <t>Automotive</t>
  </si>
  <si>
    <t>SOT-23-THN,WSON</t>
  </si>
  <si>
    <t>Functional Safety-Capable</t>
  </si>
  <si>
    <t>-40 to 125</t>
  </si>
  <si>
    <t>12,14</t>
  </si>
  <si>
    <t>9,13.692</t>
  </si>
  <si>
    <t>3 x 3,4.2 x 3.26</t>
  </si>
  <si>
    <t>0.8,1.1</t>
  </si>
  <si>
    <t>ACTIVE</t>
  </si>
  <si>
    <t>275nA IQ, 0.4V to 3.6V selectable VOUT, 600mA step-down converter module with integrated inductor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</si>
  <si>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</si>
  <si>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</si>
  <si>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</si>
  <si>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</si>
  <si>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</si>
  <si>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</si>
  <si>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2.45 x 2.7</t>
  </si>
  <si>
    <t>ACTIVE</t>
  </si>
  <si>
    <t>Automotive 18V PMIC with three buck converters and one LDO for camera modules</t>
  </si>
  <si>
    <t>Multi-channel ICs (PMICs)</t>
  </si>
  <si>
    <t>Automotive</t>
  </si>
  <si>
    <t>WQFN-FCRLF</t>
  </si>
  <si>
    <t>Functional Safety-Compliant</t>
  </si>
  <si>
    <t>-40 to 125</t>
  </si>
  <si>
    <t>3.5 x 3</t>
  </si>
  <si>
    <t>ACTIVE</t>
  </si>
  <si>
    <t>100V 4.4mΩ GaN FET with integrated driver</t>
  </si>
  <si>
    <t>Gallium nitride (GaN) power stages</t>
  </si>
  <si>
    <t>Catalog</t>
  </si>
  <si>
    <t>VQFN-FCRLF</t>
  </si>
  <si>
    <t/>
  </si>
  <si>
    <t>-40 to 125</t>
  </si>
  <si>
    <t>6.5 x 4</t>
  </si>
  <si>
    <t>ACTIVE</t>
  </si>
  <si>
    <t>4-Channel 5-A LED Dot-Controller with Integrated FET and Oscillator</t>
  </si>
  <si>
    <t>Illumination  LED drivers</t>
  </si>
  <si>
    <t>Catalog</t>
  </si>
  <si>
    <t>Floating Switch</t>
  </si>
  <si>
    <t>VQFN</t>
  </si>
  <si>
    <t/>
  </si>
  <si>
    <t>-40 to 85</t>
  </si>
  <si>
    <t>6 x 5</t>
  </si>
  <si>
    <t>ACTIVE</t>
  </si>
  <si>
    <t>2.4V-to-5.5V input, 6A high-frequency step-down converter</t>
  </si>
  <si>
    <t>AC/DC &amp; DC/DC converters (integrated FET)</t>
  </si>
  <si>
    <t>Catalog</t>
  </si>
  <si>
    <t>Buck,Step-Down Converter,Synchronous Buck</t>
  </si>
  <si>
    <t>VQFN-HR</t>
  </si>
  <si>
    <t/>
  </si>
  <si>
    <t>-40 to 125</t>
  </si>
  <si>
    <t>3 x 2</t>
  </si>
  <si>
    <t>ACTIVE</t>
  </si>
  <si>
    <t>Automotive, 65V synchronous boost controller, 2A synchronous CC buck and bypass FET controller</t>
  </si>
  <si>
    <t>Automotive LED drivers</t>
  </si>
  <si>
    <t>Automotive</t>
  </si>
  <si>
    <t>Boost Controller,Floating Switch,Synchronous Buck</t>
  </si>
  <si>
    <t>HTQFP</t>
  </si>
  <si>
    <t>Functional Safety-Capable</t>
  </si>
  <si>
    <t>-40 to 125</t>
  </si>
  <si>
    <t>9 x 9</t>
  </si>
  <si>
    <t>ACTIVE</t>
  </si>
  <si>
    <t>SIMPLE SWITCHER® synchronous buck converter with 4.3V-to-60V, 3.5A and low quiescent current</t>
  </si>
  <si>
    <t>AC/DC &amp; DC/DC converters (integrated FET)</t>
  </si>
  <si>
    <t>Catalog</t>
  </si>
  <si>
    <t>Buck</t>
  </si>
  <si>
    <t>SOT-23-THN</t>
  </si>
  <si>
    <t>Functional Safety-Capable</t>
  </si>
  <si>
    <t>-40 to 150</t>
  </si>
  <si>
    <t>2.9 x 2.8</t>
  </si>
  <si>
    <t>ACTIVE</t>
  </si>
  <si>
    <t>All-capacitor stable precision programmable reference with RKA pin layout</t>
  </si>
  <si>
    <t>Shunt voltage references</t>
  </si>
  <si>
    <t>Catalog</t>
  </si>
  <si>
    <t>SOT-23</t>
  </si>
  <si>
    <t/>
  </si>
  <si>
    <t>-40 to 125</t>
  </si>
  <si>
    <t>2.92 x 2.37</t>
  </si>
  <si>
    <t>ACTIVE</t>
  </si>
  <si>
    <t>23V VIN, 25V VOUT 20A synchronous boost converter with stackable multiphase function</t>
  </si>
  <si>
    <t>AC/DC &amp; DC/DC converters (integrated FET)</t>
  </si>
  <si>
    <t>Catalog</t>
  </si>
  <si>
    <t>Boost</t>
  </si>
  <si>
    <t>VQFN-HR</t>
  </si>
  <si>
    <t/>
  </si>
  <si>
    <t>-40 to 125</t>
  </si>
  <si>
    <t>3 x 2.5</t>
  </si>
  <si>
    <t>ACTIVE</t>
  </si>
  <si>
    <t>Automotive single-port USB Type-C® PD controller with buck-boost regulator and DisplayPort Alt mode</t>
  </si>
  <si>
    <t>USB Type-C &amp; USB Power Delivery ICs</t>
  </si>
  <si>
    <t>Automotive</t>
  </si>
  <si>
    <t>VQFN-HR</t>
  </si>
  <si>
    <t/>
  </si>
  <si>
    <t>-40 to 125</t>
  </si>
  <si>
    <t>6 x 5</t>
  </si>
  <si>
    <t>ACTIVE</t>
  </si>
  <si>
    <t>Automotive 65V, 8A low-EMI synchronous converter optimized for safety-relevant applications</t>
  </si>
  <si>
    <t>AC/DC &amp; DC/DC converters (integrated FET)</t>
  </si>
  <si>
    <t>Automotive</t>
  </si>
  <si>
    <t>Buck</t>
  </si>
  <si>
    <t>WQFN-FCRLF</t>
  </si>
  <si>
    <t>Functional Safety-Compliant</t>
  </si>
  <si>
    <t>-40 to 150</t>
  </si>
  <si>
    <t>4.5 x 4.5</t>
  </si>
  <si>
    <t>PREVIEW</t>
  </si>
  <si>
    <t>All-capacitor stable precision programmable reference with KRA pin layout</t>
  </si>
  <si>
    <t>Shunt voltage references</t>
  </si>
  <si>
    <t>Catalog</t>
  </si>
  <si>
    <t>SOT-23</t>
  </si>
  <si>
    <t/>
  </si>
  <si>
    <t>-40 to 125</t>
  </si>
  <si>
    <t>2.92 x 2.37</t>
  </si>
  <si>
    <t>ACTIVE</t>
  </si>
  <si>
    <t xml:space="preserve">Synchronous boost quad LED flash driver with 2A high-side current sources </t>
  </si>
  <si>
    <t>Illumination  LED drivers</t>
  </si>
  <si>
    <t>Catalog</t>
  </si>
  <si>
    <t>Boost,Current Source</t>
  </si>
  <si>
    <t>DSBGA</t>
  </si>
  <si>
    <t/>
  </si>
  <si>
    <t>-40 to 85</t>
  </si>
  <si>
    <t>1.75 x 1.75</t>
  </si>
  <si>
    <t>ACTIVE</t>
  </si>
  <si>
    <t>Automotive 65V, 8A synchronous buck converter optimized for low-EMI</t>
  </si>
  <si>
    <t>AC/DC &amp; DC/DC converters (integrated FET)</t>
  </si>
  <si>
    <t>Automotive</t>
  </si>
  <si>
    <t>Buck</t>
  </si>
  <si>
    <t>WQFN-FCRLF</t>
  </si>
  <si>
    <t>Functional Safety-Capable</t>
  </si>
  <si>
    <t>-40 to 150</t>
  </si>
  <si>
    <t>4.5 x 4.5</t>
  </si>
  <si>
    <t>PREVIEW</t>
  </si>
  <si>
    <t>5.5V PMIC with four buck converters and three LDOs for ADAS processors up to ASIL-B</t>
  </si>
  <si>
    <t>Multi-channel ICs (PMICs)</t>
  </si>
  <si>
    <t>Automotive</t>
  </si>
  <si>
    <t>VQFN-HR</t>
  </si>
  <si>
    <t>Functional Safety-Compliant</t>
  </si>
  <si>
    <t>-40 to 125</t>
  </si>
  <si>
    <t>6 x 5</t>
  </si>
  <si>
    <t>ACTIVE</t>
  </si>
  <si>
    <t>2.5V to 5.5V input, 3A high-efficiency synchronous buck converter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</si>
  <si>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</si>
  <si>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</si>
  <si>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</si>
  <si>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</si>
  <si>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</si>
  <si>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</si>
  <si>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</si>
  <si>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</si>
  <si>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2.5V to 5.5V input, 3A high-efficiency synchronous buck converter with forced PWM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</si>
  <si>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</si>
  <si>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</si>
  <si>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</si>
  <si>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</si>
  <si>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</si>
  <si>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</si>
  <si>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</si>
  <si>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</si>
  <si>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Multichannel overvoltage and undervoltage I²C programmable voltage supervisor with separate reset</t>
  </si>
  <si>
    <t>Reset &amp; watchdog ICs</t>
  </si>
  <si>
    <t>Automotive</t>
  </si>
  <si>
    <t>WQFN</t>
  </si>
  <si>
    <t>Functional Safety-Compliant</t>
  </si>
  <si>
    <t>-40 to 125</t>
  </si>
  <si>
    <t>3 x 3</t>
  </si>
  <si>
    <t>PREVIEW</t>
  </si>
  <si>
    <t>Automotive 2.3-V to 36-V, 2.8-A power management IC (PMIC) for safety-relevant applications</t>
  </si>
  <si>
    <t>Multi-channel ICs (PMICs)</t>
  </si>
  <si>
    <t>Automotive</t>
  </si>
  <si>
    <t>Buck boost</t>
  </si>
  <si>
    <t>HTSSOP</t>
  </si>
  <si>
    <t>Functional Safety-Compliant</t>
  </si>
  <si>
    <t>-40 to 125</t>
  </si>
  <si>
    <t>12.5 x 8.1</t>
  </si>
  <si>
    <t>ACTIVE</t>
  </si>
  <si>
    <t>36V-VIN four-switch buck-boost controller with I²C for USB-PD sourcing</t>
  </si>
  <si>
    <t>AC/DC &amp; DC/DC controllers (external FET)</t>
  </si>
  <si>
    <t>Catalog</t>
  </si>
  <si>
    <t>Buck-Boost</t>
  </si>
  <si>
    <t>VQFN</t>
  </si>
  <si>
    <t/>
  </si>
  <si>
    <t>0 to 70</t>
  </si>
  <si>
    <t>6 x 6</t>
  </si>
  <si>
    <t>ACTIVE</t>
  </si>
  <si>
    <t>Enhanced product 6V, 4A adjustable-frequency step-down DC/DC converter</t>
  </si>
  <si>
    <t>AC/DC &amp; DC/DC converters (integrated FET)</t>
  </si>
  <si>
    <t>HiRel Enhanced Product</t>
  </si>
  <si>
    <t>Buck,Step-Down Converter,Synchronous Buck</t>
  </si>
  <si>
    <t>VQFN-HR</t>
  </si>
  <si>
    <t>Functional Safety-Capable</t>
  </si>
  <si>
    <t>-55 to 150</t>
  </si>
  <si>
    <t>3 x 2</t>
  </si>
  <si>
    <t>ACTIVE</t>
  </si>
  <si>
    <t>Enhanced product 6V, 1A adjustable-frequency step-down DC/DC converter</t>
  </si>
  <si>
    <t>AC/DC &amp; DC/DC converters (integrated FET)</t>
  </si>
  <si>
    <t>HiRel Enhanced Product</t>
  </si>
  <si>
    <t>VQFN-HR</t>
  </si>
  <si>
    <t>Functional Safety-Capable</t>
  </si>
  <si>
    <t>-55 to 150</t>
  </si>
  <si>
    <t>3 x 2</t>
  </si>
  <si>
    <t>ACTIVE</t>
  </si>
  <si>
    <t>Enhanced product 6V, 2A adjustable-frequency step-down DC/DC converter</t>
  </si>
  <si>
    <t>AC/DC &amp; DC/DC converters (integrated FET)</t>
  </si>
  <si>
    <t>HiRel Enhanced Product</t>
  </si>
  <si>
    <t>VQFN-HR</t>
  </si>
  <si>
    <t>Functional Safety-Capable</t>
  </si>
  <si>
    <t>-55 to 150</t>
  </si>
  <si>
    <t>3 x 2</t>
  </si>
  <si>
    <t>ACTIVE</t>
  </si>
  <si>
    <t>Enhanced product 6V, 3A adjustable-frequency step-down DC/DC converter</t>
  </si>
  <si>
    <t>AC/DC &amp; DC/DC converters (integrated FET)</t>
  </si>
  <si>
    <t>HiRel Enhanced Product</t>
  </si>
  <si>
    <t>VQFN-HR</t>
  </si>
  <si>
    <t>Functional Safety-Capable</t>
  </si>
  <si>
    <t>-55 to 150</t>
  </si>
  <si>
    <t>3 x 2</t>
  </si>
  <si>
    <t>ACTIVE</t>
  </si>
  <si>
    <t>100V 2.6mΩ half-bridge gallium nitride (GaN) power stage</t>
  </si>
  <si>
    <t>Gallium nitride (GaN) power stages</t>
  </si>
  <si>
    <t>Catalog</t>
  </si>
  <si>
    <t>UNKNOWN,VQFN-FCRLF</t>
  </si>
  <si>
    <t/>
  </si>
  <si>
    <t>-40 to 125</t>
  </si>
  <si>
    <t>16,18</t>
  </si>
  <si>
    <t>31.5,See data sheet</t>
  </si>
  <si>
    <t>7 x 4.5,See data sheet</t>
  </si>
  <si>
    <t>0.75,—</t>
  </si>
  <si>
    <t>0.5,—</t>
  </si>
  <si>
    <t>ACTIVE</t>
  </si>
  <si>
    <t>6V input, 30A parallelable synchronous buck converter with I²C and frequency synchronization option</t>
  </si>
  <si>
    <t>AC/DC &amp; DC/DC converters (integrated FET)</t>
  </si>
  <si>
    <t>Catalog</t>
  </si>
  <si>
    <t>Buck,Multiphase,Step-Down Converter,Synchronous Buck</t>
  </si>
  <si>
    <t>WQFN-FCRLF</t>
  </si>
  <si>
    <t/>
  </si>
  <si>
    <t>-40 to 125</t>
  </si>
  <si>
    <t>3.05 x 4.05</t>
  </si>
  <si>
    <t>ACTIVE</t>
  </si>
  <si>
    <t>6V Input, 12A parallelable DC-DC buck module with I2C frequency synch, remote sense and ET-grade</t>
  </si>
  <si>
    <t>Power modules (integrated inductor)</t>
  </si>
  <si>
    <t>Catalog</t>
  </si>
  <si>
    <t>Buck,Step-Down Converter,Synchronous Buck</t>
  </si>
  <si>
    <t>B0QFN</t>
  </si>
  <si>
    <t/>
  </si>
  <si>
    <t>-55 to 125</t>
  </si>
  <si>
    <t>4.5 x 6.8</t>
  </si>
  <si>
    <t>ACTIVE</t>
  </si>
  <si>
    <t>6V Input, 15A parallelable DC-DC buck module with I2C, frequency synch, remote sense and ET-grade</t>
  </si>
  <si>
    <t>Power modules (integrated inductor)</t>
  </si>
  <si>
    <t>Catalog</t>
  </si>
  <si>
    <t>Buck,Step-Down Converter,Synchronous Buck</t>
  </si>
  <si>
    <t>B3QFN</t>
  </si>
  <si>
    <t/>
  </si>
  <si>
    <t>-55 to 125</t>
  </si>
  <si>
    <t>4.5 x 6.8</t>
  </si>
  <si>
    <t>ACTIVE</t>
  </si>
  <si>
    <t>2.5V to 5.5V input, 4A high-efficiency step-down converter with forced PWM in SOT-563 package</t>
  </si>
  <si>
    <t>AC/DC &amp; DC/DC converters (integrated FET)</t>
  </si>
  <si>
    <t>Catalog</t>
  </si>
  <si>
    <t>Buck,Step-Down Converter,Synchronous Buck</t>
  </si>
  <si>
    <t>SOT-5X3</t>
  </si>
  <si>
    <t/>
  </si>
  <si>
    <t>-40 to 125</t>
  </si>
  <si>
    <t>1.6 x 1.6</t>
  </si>
  <si>
    <t>ACTIVE</t>
  </si>
  <si>
    <t>2.5V to 5.5V input, 4A high-efficiency step-down converter in SOT-563 package</t>
  </si>
  <si>
    <t>AC/DC &amp; DC/DC converters (integrated FET)</t>
  </si>
  <si>
    <t>Catalog</t>
  </si>
  <si>
    <t>Buck,Step-Down Converter,Synchronous Buck</t>
  </si>
  <si>
    <t>SOT-5X3</t>
  </si>
  <si>
    <t/>
  </si>
  <si>
    <t>-40 to 125</t>
  </si>
  <si>
    <t>1.6 x 1.6</t>
  </si>
  <si>
    <t>ACTIVE</t>
  </si>
  <si>
    <t>USB Type-C® and USB Power Delivery (PD) 3.2 controller with 240W extended power-range support</t>
  </si>
  <si>
    <t>USB Type-C &amp; USB Power Delivery ICs</t>
  </si>
  <si>
    <t>Catalog</t>
  </si>
  <si>
    <t>VQFN</t>
  </si>
  <si>
    <t/>
  </si>
  <si>
    <t>-40 to 125</t>
  </si>
  <si>
    <t>4 x 4</t>
  </si>
  <si>
    <t>ACTIVE</t>
  </si>
  <si>
    <t>Automotive, 45V low-Iq high-side driver with low power mode and adjustable short circuit protection</t>
  </si>
  <si>
    <t>High-side switch controllers</t>
  </si>
  <si>
    <t>Automotive</t>
  </si>
  <si>
    <t>VSSOP</t>
  </si>
  <si>
    <t/>
  </si>
  <si>
    <t>-40 to 125</t>
  </si>
  <si>
    <t>5.1 x 3</t>
  </si>
  <si>
    <t>ACTIVE</t>
  </si>
  <si>
    <t>Radiation-hardened, QMLV and QMLP, 2.25V to 14V input, 2A low-dropout (LDO) regulator</t>
  </si>
  <si>
    <t>Linear &amp; low-dropout (LDO) regulators</t>
  </si>
  <si>
    <t>Space</t>
  </si>
  <si>
    <t>CFP</t>
  </si>
  <si>
    <t/>
  </si>
  <si>
    <t>-55 to 125</t>
  </si>
  <si>
    <t>6.211 x 9.696</t>
  </si>
  <si>
    <t>ACTIVE</t>
  </si>
  <si>
    <t>Automotive, High-density, 4.5V to 45V input, 10A low-EMI synchronous DC/DC step-down converter</t>
  </si>
  <si>
    <t>AC/DC &amp; DC/DC converters (integrated FET)</t>
  </si>
  <si>
    <t>Automotive</t>
  </si>
  <si>
    <t>Buck</t>
  </si>
  <si>
    <t>VQFN</t>
  </si>
  <si>
    <t>Functional Safety-Capable</t>
  </si>
  <si>
    <t>-40 to 150</t>
  </si>
  <si>
    <t>6 x 6</t>
  </si>
  <si>
    <t>ACTIVE</t>
  </si>
  <si>
    <t>High-density, 4.5V to 65V input, 6A low-EMI synchronous DC/DC step-down converter</t>
  </si>
  <si>
    <t>AC/DC &amp; DC/DC converters (integrated FET)</t>
  </si>
  <si>
    <t>Catalog</t>
  </si>
  <si>
    <t>Buck</t>
  </si>
  <si>
    <t>VQFN</t>
  </si>
  <si>
    <t>Functional Safety-Capable</t>
  </si>
  <si>
    <t>-40 to 150</t>
  </si>
  <si>
    <t>6 x 6</t>
  </si>
  <si>
    <t>ACTIVE</t>
  </si>
  <si>
    <t>High-density, 4.5V to 65V input, 10A low-EMI synchronous DC/DC step-down converter</t>
  </si>
  <si>
    <t>AC/DC &amp; DC/DC converters (integrated FET)</t>
  </si>
  <si>
    <t>Catalog</t>
  </si>
  <si>
    <t>Buck</t>
  </si>
  <si>
    <t>VQFN</t>
  </si>
  <si>
    <t>Functional Safety-Capable</t>
  </si>
  <si>
    <t>-40 to 150</t>
  </si>
  <si>
    <t>6 x 6</t>
  </si>
  <si>
    <t>ACTIVE</t>
  </si>
  <si>
    <t>Automotive, High-density, 4.5V to 65V input, 10A low-EMI synchronous DC/DC step-down converter</t>
  </si>
  <si>
    <t>AC/DC &amp; DC/DC converters (integrated FET)</t>
  </si>
  <si>
    <t>Automotive</t>
  </si>
  <si>
    <t>Buck</t>
  </si>
  <si>
    <t>VQFN</t>
  </si>
  <si>
    <t>Functional Safety-Capable</t>
  </si>
  <si>
    <t>-40 to 150</t>
  </si>
  <si>
    <t>6 x 6</t>
  </si>
  <si>
    <t>ACTIVE</t>
  </si>
  <si>
    <t>High-density, 4.5V to 80V input, 4A low-EMI synchronous DC/DC step-down converter</t>
  </si>
  <si>
    <t>AC/DC &amp; DC/DC converters (integrated FET)</t>
  </si>
  <si>
    <t>Catalog</t>
  </si>
  <si>
    <t>Buck</t>
  </si>
  <si>
    <t>VQFN</t>
  </si>
  <si>
    <t>Functional Safety-Capable</t>
  </si>
  <si>
    <t>-40 to 150</t>
  </si>
  <si>
    <t>6 x 6</t>
  </si>
  <si>
    <t>ACTIVE</t>
  </si>
  <si>
    <t>High-density, 4.5V to 80V input, 6A low-EMI synchronous DC/DC step-down converter</t>
  </si>
  <si>
    <t>AC/DC &amp; DC/DC converters (integrated FET)</t>
  </si>
  <si>
    <t>Catalog</t>
  </si>
  <si>
    <t>Buck</t>
  </si>
  <si>
    <t>VQFN</t>
  </si>
  <si>
    <t>Functional Safety-Capable</t>
  </si>
  <si>
    <t>-40 to 150</t>
  </si>
  <si>
    <t>6 x 6</t>
  </si>
  <si>
    <t>ACTIVE</t>
  </si>
  <si>
    <t>High-density, 4.5V to 80V input, 8A low-EMI synchronous DC/DC step-down converter</t>
  </si>
  <si>
    <t>AC/DC &amp; DC/DC converters (integrated FET)</t>
  </si>
  <si>
    <t>Catalog</t>
  </si>
  <si>
    <t>Buck</t>
  </si>
  <si>
    <t>VQFN</t>
  </si>
  <si>
    <t>Functional Safety-Capable</t>
  </si>
  <si>
    <t>-40 to 150</t>
  </si>
  <si>
    <t>6 x 6</t>
  </si>
  <si>
    <t>ACTIVE</t>
  </si>
  <si>
    <t>36V 2.5A synchronous buck converter with low Iq</t>
  </si>
  <si>
    <t>AC/DC &amp; DC/DC converters (integrated FET)</t>
  </si>
  <si>
    <t>Catalog</t>
  </si>
  <si>
    <t>Buck</t>
  </si>
  <si>
    <t>WSON</t>
  </si>
  <si>
    <t/>
  </si>
  <si>
    <t>-40 to 125</t>
  </si>
  <si>
    <t>3 x 3</t>
  </si>
  <si>
    <t>ACTIVE</t>
  </si>
  <si>
    <t>Automotive, 36V, 2.5A Synchronous buck converter with low Iq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</si>
  <si>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</si>
  <si>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</si>
  <si>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</si>
  <si>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</si>
  <si>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</si>
  <si>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</si>
  <si>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3 x 3</t>
  </si>
  <si>
    <t>ACTIVE</t>
  </si>
  <si>
    <t>36V 3.5A synchronous buck converter with low Iq</t>
  </si>
  <si>
    <t>AC/DC &amp; DC/DC converters (integrated FET)</t>
  </si>
  <si>
    <t>Catalog</t>
  </si>
  <si>
    <t>Buck</t>
  </si>
  <si>
    <t>WSON</t>
  </si>
  <si>
    <t/>
  </si>
  <si>
    <t>-40 to 125</t>
  </si>
  <si>
    <t>3 x 3</t>
  </si>
  <si>
    <t>ACTIVE</t>
  </si>
  <si>
    <t>Automotive, 36V, 3.5A Synchronous buck converter with low Iq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</si>
  <si>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</si>
  <si>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</si>
  <si>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</si>
  <si>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</si>
  <si>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</si>
  <si>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</si>
  <si>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3 x 3</t>
  </si>
  <si>
    <t>ACTIVE</t>
  </si>
  <si>
    <t>Enhanced-product 36V 3A synchronous step-down converter with 1.5µA I&lt;sub&gt;Q&lt;/sub&gt; and low EMI</t>
  </si>
  <si>
    <t>AC/DC &amp; DC/DC converters (integrated FET)</t>
  </si>
  <si>
    <t>HiRel Enhanced Product</t>
  </si>
  <si>
    <t>Buck</t>
  </si>
  <si>
    <t>VQFN-FCRLF</t>
  </si>
  <si>
    <t>Functional Safety-Capable</t>
  </si>
  <si>
    <t>-55 to 150</t>
  </si>
  <si>
    <t>2.6 x 2.6</t>
  </si>
  <si>
    <t>ACTIVE</t>
  </si>
  <si>
    <t>75mA, ultra-low-noise low-I&lt;sub&gt;Q&lt;/sub&gt; high-PSRR low-dropout (LDO) linear regulator</t>
  </si>
  <si>
    <t>Linear &amp; low-dropout (LDO) regulators</t>
  </si>
  <si>
    <t>Catalog</t>
  </si>
  <si>
    <t>DSBGA</t>
  </si>
  <si>
    <t/>
  </si>
  <si>
    <t>-40 to 125</t>
  </si>
  <si>
    <t>0.616 x 0.616</t>
  </si>
  <si>
    <t>ACTIVE</t>
  </si>
  <si>
    <t>8-channel, 2.5A LED dot controller with high-precision dimming control via SPI interface</t>
  </si>
  <si>
    <t>Illumination  LED drivers</t>
  </si>
  <si>
    <t>Catalog</t>
  </si>
  <si>
    <t>Floating Switch</t>
  </si>
  <si>
    <t>VQFN</t>
  </si>
  <si>
    <t/>
  </si>
  <si>
    <t>-40 to 85</t>
  </si>
  <si>
    <t>6 x 5</t>
  </si>
  <si>
    <t>ACTIVE</t>
  </si>
  <si>
    <t>Low-side 3A/3A driver with desaturation protection (DESAT) and 12V undervoltage lockout (UVLO)</t>
  </si>
  <si>
    <t>Low-side drivers</t>
  </si>
  <si>
    <t>Catalog</t>
  </si>
  <si>
    <t>SOIC</t>
  </si>
  <si>
    <t>Functional Safety-Capable</t>
  </si>
  <si>
    <t>-40 to 125</t>
  </si>
  <si>
    <t>4.9 x 6</t>
  </si>
  <si>
    <t>ACTIVE</t>
  </si>
  <si>
    <t>Automotive low-side 3A/3A driver with desaturation protection and 12V undervoltage lockout</t>
  </si>
  <si>
    <t>Low-side drivers</t>
  </si>
  <si>
    <t>Automotive</t>
  </si>
  <si>
    <t>SOIC</t>
  </si>
  <si>
    <t>Functional Safety-Capable</t>
  </si>
  <si>
    <t>-40 to 125</t>
  </si>
  <si>
    <t>4.9 x 6</t>
  </si>
  <si>
    <t>ACTIVE</t>
  </si>
  <si>
    <t>4.5V-to-65V 0.3A synchronous buck converter with 25µA quiescent current</t>
  </si>
  <si>
    <t>AC/DC &amp; DC/DC converters (integrated FET)</t>
  </si>
  <si>
    <t>Automotive</t>
  </si>
  <si>
    <t>Buck</t>
  </si>
  <si>
    <t>SOT-23</t>
  </si>
  <si>
    <t>Functional Safety-Capable</t>
  </si>
  <si>
    <t>-40 to 150</t>
  </si>
  <si>
    <t>2.9 x 2.8</t>
  </si>
  <si>
    <t>ACTIVE</t>
  </si>
  <si>
    <t>42V, small size nano-power undervoltage supervisor with programmable delay and de-glitch</t>
  </si>
  <si>
    <t>Supply-voltage supervisors</t>
  </si>
  <si>
    <t>Automotive</t>
  </si>
  <si>
    <t>SOT-5X3</t>
  </si>
  <si>
    <t/>
  </si>
  <si>
    <t>-40 to 125</t>
  </si>
  <si>
    <t>1.6 x 1.6</t>
  </si>
  <si>
    <t>ACTIVE</t>
  </si>
  <si>
    <t>Automotive, 42V, small size nano-power undervoltage supervisor with programmable delay and de-glitch</t>
  </si>
  <si>
    <t>Supply-voltage supervisors</t>
  </si>
  <si>
    <t>Automotive</t>
  </si>
  <si>
    <t>SOT-5X3</t>
  </si>
  <si>
    <t/>
  </si>
  <si>
    <t>-40 to 125</t>
  </si>
  <si>
    <t>1.6 x 1.6</t>
  </si>
  <si>
    <t>ACTIVE</t>
  </si>
  <si>
    <t>4V to 18V input, 40A, PMBus and SVID synchronous step-down converter</t>
  </si>
  <si>
    <t>AC/DC &amp; DC/DC converters (integrated FET)</t>
  </si>
  <si>
    <t>Catalog</t>
  </si>
  <si>
    <t>Buck</t>
  </si>
  <si>
    <t>WQFN-FCRLF</t>
  </si>
  <si>
    <t/>
  </si>
  <si>
    <t>-40 to 125</t>
  </si>
  <si>
    <t>6 x 5</t>
  </si>
  <si>
    <t>PREVIEW</t>
  </si>
  <si>
    <t>600V 30mΩ GaN FET with integrated driver, protection and zero-current detection</t>
  </si>
  <si>
    <t>Gallium nitride (GaN) power stages</t>
  </si>
  <si>
    <t>Catalog</t>
  </si>
  <si>
    <t>VQFN</t>
  </si>
  <si>
    <t/>
  </si>
  <si>
    <t>-40 to 125</t>
  </si>
  <si>
    <t>12 x 12</t>
  </si>
  <si>
    <t>ACTIVE</t>
  </si>
  <si>
    <t>120V 4A half-bridge driver with 8V UVLO and enable</t>
  </si>
  <si>
    <t>Half-bridge drivers</t>
  </si>
  <si>
    <t>Catalog</t>
  </si>
  <si>
    <t>VSON</t>
  </si>
  <si>
    <t/>
  </si>
  <si>
    <t>-40 to 150</t>
  </si>
  <si>
    <t>3 x 3</t>
  </si>
  <si>
    <t>ACTIVE</t>
  </si>
  <si>
    <t>Automotive 120V 4A half-bridge gate driver with 8V UVLO and enable</t>
  </si>
  <si>
    <t>Half-bridge drivers</t>
  </si>
  <si>
    <t>Automotive</t>
  </si>
  <si>
    <t>VSON</t>
  </si>
  <si>
    <t>Functional Safety-Capable</t>
  </si>
  <si>
    <t>-40 to 150</t>
  </si>
  <si>
    <t>3 x 3</t>
  </si>
  <si>
    <t>ACTIVE</t>
  </si>
  <si>
    <t>4.5V to 24V input, 12A continuous, 26A (max) synchronous buck converter</t>
  </si>
  <si>
    <t>AC/DC &amp; DC/DC converters (integrated FET)</t>
  </si>
  <si>
    <t>Catalog</t>
  </si>
  <si>
    <t>Buck</t>
  </si>
  <si>
    <t>WQFN-FCRLF</t>
  </si>
  <si>
    <t/>
  </si>
  <si>
    <t>-40 to 125</t>
  </si>
  <si>
    <t>4 x 3</t>
  </si>
  <si>
    <t>ACTIVE</t>
  </si>
  <si>
    <t>4.5-V to 24-V input, 12-A synchronous buck converter with adjustable output</t>
  </si>
  <si>
    <t>AC/DC &amp; DC/DC converters (integrated FET)</t>
  </si>
  <si>
    <t>Catalog</t>
  </si>
  <si>
    <t>Buck</t>
  </si>
  <si>
    <t>VQFN-HR</t>
  </si>
  <si>
    <t/>
  </si>
  <si>
    <t>-40 to 125</t>
  </si>
  <si>
    <t>4 x 3</t>
  </si>
  <si>
    <t>ACTIVE</t>
  </si>
  <si>
    <t>Radiation-hardened, QMLV, 4.5V to 14V input 12A synchronous step-down converter</t>
  </si>
  <si>
    <t>AC/DC &amp; DC/DC converters (integrated FET)</t>
  </si>
  <si>
    <t>Space</t>
  </si>
  <si>
    <t>CFP,HTSSOP</t>
  </si>
  <si>
    <t/>
  </si>
  <si>
    <t>-55 to 125</t>
  </si>
  <si>
    <t>30,44</t>
  </si>
  <si>
    <t>113.4,151.23232</t>
  </si>
  <si>
    <t>14 x 8.1,19.28 x 7.844</t>
  </si>
  <si>
    <t>1.2,2.5296</t>
  </si>
  <si>
    <t>0.635,1.27</t>
  </si>
  <si>
    <t>ACTIVE</t>
  </si>
  <si>
    <t>High-speed dual-channel isolated gate driver with 4A source and 6A sink</t>
  </si>
  <si>
    <t>Isolated gate drivers</t>
  </si>
  <si>
    <t>Catalog</t>
  </si>
  <si>
    <t>WSON</t>
  </si>
  <si>
    <t>Functional Safety-Capable</t>
  </si>
  <si>
    <t>-40 to 125</t>
  </si>
  <si>
    <t>4 x 4</t>
  </si>
  <si>
    <t>ACTIVE</t>
  </si>
  <si>
    <t>I²C controlled 60V bi-directional buck-boost controller with USB PD EPR and PPS support</t>
  </si>
  <si>
    <t>AC/DC &amp; DC/DC controllers (external FET)</t>
  </si>
  <si>
    <t>Catalog</t>
  </si>
  <si>
    <t>Buck Controller,Buck-Boost Controller</t>
  </si>
  <si>
    <t>VQFN</t>
  </si>
  <si>
    <t/>
  </si>
  <si>
    <t>-40 to 125</t>
  </si>
  <si>
    <t>6 x 5</t>
  </si>
  <si>
    <t>ACTIVE</t>
  </si>
  <si>
    <t>I²C controlled 32V bidirectional buck-boost controller with USB PD EPR and PPS support</t>
  </si>
  <si>
    <t>AC/DC &amp; DC/DC controllers (external FET)</t>
  </si>
  <si>
    <t>Catalog</t>
  </si>
  <si>
    <t>Buck Controller,Buck-Boost Controller</t>
  </si>
  <si>
    <t>VQFN</t>
  </si>
  <si>
    <t/>
  </si>
  <si>
    <t>-40 to 125</t>
  </si>
  <si>
    <t>6 x 5</t>
  </si>
  <si>
    <t>ACTIVE</t>
  </si>
  <si>
    <t>120V 4A half-bridge driver with 8V UVLO, enable and interlock</t>
  </si>
  <si>
    <t>Half-bridge drivers</t>
  </si>
  <si>
    <t>Catalog</t>
  </si>
  <si>
    <t>SOIC,VSON</t>
  </si>
  <si>
    <t/>
  </si>
  <si>
    <t>-40 to 150</t>
  </si>
  <si>
    <t>8,10</t>
  </si>
  <si>
    <t>9,29.4</t>
  </si>
  <si>
    <t>3 x 3,4.9 x 6</t>
  </si>
  <si>
    <t>1,1.75</t>
  </si>
  <si>
    <t>0.5,1.27</t>
  </si>
  <si>
    <t>ACTIVE</t>
  </si>
  <si>
    <t>Automotive, 3V to 36V, 4A low-EMI synchronous buck converter with pin-adjustable switching frequency</t>
  </si>
  <si>
    <t>AC/DC &amp; DC/DC converters (integrated FET)</t>
  </si>
  <si>
    <t>Automotive</t>
  </si>
  <si>
    <t>Buck</t>
  </si>
  <si>
    <t>VQFN-FCRLF</t>
  </si>
  <si>
    <t>Functional Safety-Capable</t>
  </si>
  <si>
    <t>-40 to 150</t>
  </si>
  <si>
    <t>4 x 3.5</t>
  </si>
  <si>
    <t>ACTIVE</t>
  </si>
  <si>
    <t>Automotive, 3V to 36V, 4A low-EMI synchronous buck converter with pin-adjustable light-load mode</t>
  </si>
  <si>
    <t>AC/DC &amp; DC/DC converters (integrated FET)</t>
  </si>
  <si>
    <t>Automotive</t>
  </si>
  <si>
    <t>Buck</t>
  </si>
  <si>
    <t>VQFN-FCRLF</t>
  </si>
  <si>
    <t>Functional Safety-Capable</t>
  </si>
  <si>
    <t>-40 to 150</t>
  </si>
  <si>
    <t>4 x 3.5</t>
  </si>
  <si>
    <t>ACTIVE</t>
  </si>
  <si>
    <t>1.5A output current, buck-boost MicroSiP™ power module with integrated inductor with I²C</t>
  </si>
  <si>
    <t>Power modules (integrated inductor)</t>
  </si>
  <si>
    <t>Catalog</t>
  </si>
  <si>
    <t>Buck-Boost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</si>
  <si>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</si>
  <si>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</si>
  <si>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</si>
  <si>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</si>
  <si>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</si>
  <si>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</si>
  <si>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</si>
  <si>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</si>
  <si>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Automotive, 36V, 4A  Synchronous buck converter with low Iq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</si>
  <si>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</si>
  <si>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</si>
  <si>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</si>
  <si>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</si>
  <si>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</si>
  <si>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</si>
  <si>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3 x 3</t>
  </si>
  <si>
    <t>ACTIVE</t>
  </si>
  <si>
    <t>Automotive, 36V 5A synchronous buck converter with low Iq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</si>
  <si>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</si>
  <si>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</si>
  <si>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</si>
  <si>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</si>
  <si>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</si>
  <si>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</si>
  <si>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3 x 3</t>
  </si>
  <si>
    <t>ACTIVE</t>
  </si>
  <si>
    <t>Automotive, 36V 6A synchronous buck converter with low Iq</t>
  </si>
  <si>
    <t>AC/DC &amp; DC/DC controllers (external FET)</t>
  </si>
  <si>
    <t>Automotive</t>
  </si>
  <si>
    <t>Buck Controller</t>
  </si>
  <si>
    <t>WSON</t>
  </si>
  <si>
    <t>Functional Safety-Capable</t>
  </si>
  <si>
    <t>-40 to 125</t>
  </si>
  <si>
    <t>3 x 3</t>
  </si>
  <si>
    <t>ACTIVE</t>
  </si>
  <si>
    <t>Automotive 4.5V-to-65V 0.6A synchronous buck converter with 25µA quiescent current in SOT-23 package</t>
  </si>
  <si>
    <t>AC/DC &amp; DC/DC converters (integrated FET)</t>
  </si>
  <si>
    <t>Automotive</t>
  </si>
  <si>
    <t>Buck</t>
  </si>
  <si>
    <t>SOT-23</t>
  </si>
  <si>
    <t>Functional Safety-Capable</t>
  </si>
  <si>
    <t>-40 to 150</t>
  </si>
  <si>
    <t>2.9 x 2.8</t>
  </si>
  <si>
    <t>ACTIVE</t>
  </si>
  <si>
    <t>Automotive 4.5V-to-65V 1A synchronous buck converter with 25µA quiescent current in SOT-23 package</t>
  </si>
  <si>
    <t>AC/DC &amp; DC/DC converters (integrated FET)</t>
  </si>
  <si>
    <t>Automotive</t>
  </si>
  <si>
    <t>Buck</t>
  </si>
  <si>
    <t>SOT-23</t>
  </si>
  <si>
    <t>Functional Safety-Capable</t>
  </si>
  <si>
    <t>-40 to 150</t>
  </si>
  <si>
    <t>2.9 x 2.8</t>
  </si>
  <si>
    <t>ACTIVE</t>
  </si>
  <si>
    <t>36V input, dual 2A output power module</t>
  </si>
  <si>
    <t>Power modules (integrated inductor)</t>
  </si>
  <si>
    <t>Catalog</t>
  </si>
  <si>
    <t>Buck</t>
  </si>
  <si>
    <t>QFN-FCMOD</t>
  </si>
  <si>
    <t/>
  </si>
  <si>
    <t>-40 to 125</t>
  </si>
  <si>
    <t>6.5 x 7</t>
  </si>
  <si>
    <t>ACTIVE</t>
  </si>
  <si>
    <t>36V input, dual 3A output power module</t>
  </si>
  <si>
    <t>Power modules (integrated inductor)</t>
  </si>
  <si>
    <t>Catalog</t>
  </si>
  <si>
    <t>Synchronous Buck</t>
  </si>
  <si>
    <t>QFN-FCMOD</t>
  </si>
  <si>
    <t/>
  </si>
  <si>
    <t>-40 to 125</t>
  </si>
  <si>
    <t>6.5 x 7</t>
  </si>
  <si>
    <t>ACTIVE</t>
  </si>
  <si>
    <t>0.8V-to-16V output, dual 2A high-density power module</t>
  </si>
  <si>
    <t>Power modules (integrated inductor)</t>
  </si>
  <si>
    <t>Catalog</t>
  </si>
  <si>
    <t>Synchronous Buck</t>
  </si>
  <si>
    <t>QFN-FCMOD</t>
  </si>
  <si>
    <t/>
  </si>
  <si>
    <t>-40 to 125</t>
  </si>
  <si>
    <t>6.5 x 7</t>
  </si>
  <si>
    <t>ACTIVE</t>
  </si>
  <si>
    <t>36V input, 0.8V-to-16V output, dual 3A output power module</t>
  </si>
  <si>
    <t>Power modules (integrated inductor)</t>
  </si>
  <si>
    <t>Catalog</t>
  </si>
  <si>
    <t>Synchronous Buck</t>
  </si>
  <si>
    <t>QFN-FCMOD</t>
  </si>
  <si>
    <t/>
  </si>
  <si>
    <t>-55 to 125</t>
  </si>
  <si>
    <t>6.5 x 7</t>
  </si>
  <si>
    <t>ACTIVE</t>
  </si>
  <si>
    <t>Automotive, three 3A low-noise buck converter PMIC for radar MMICs</t>
  </si>
  <si>
    <t>Multi-channel ICs (PMICs)</t>
  </si>
  <si>
    <t>Automotive</t>
  </si>
  <si>
    <t>VQFN-HR</t>
  </si>
  <si>
    <t>Functional Safety-Compliant</t>
  </si>
  <si>
    <t>-40 to 125</t>
  </si>
  <si>
    <t>5 x 4.5</t>
  </si>
  <si>
    <t>ACTIVE</t>
  </si>
  <si>
    <t>Automotive, three 3A low-noise buck converters and 5V boost converter PMIC for radar MMICs</t>
  </si>
  <si>
    <t>Multi-channel ICs (PMICs)</t>
  </si>
  <si>
    <t>Automotive</t>
  </si>
  <si>
    <t>VQFN-HR</t>
  </si>
  <si>
    <t>Functional Safety-Compliant</t>
  </si>
  <si>
    <t>-40 to 125</t>
  </si>
  <si>
    <t>5 x 4.5</t>
  </si>
  <si>
    <t>ACTIVE</t>
  </si>
  <si>
    <t>300mA, ultra-low-noise low-IQ high PSRR low-dropout (LDO) linear regulator</t>
  </si>
  <si>
    <t>Linear &amp; low-dropout (LDO) regulators</t>
  </si>
  <si>
    <t>Catalog</t>
  </si>
  <si>
    <t>DSBGA</t>
  </si>
  <si>
    <t/>
  </si>
  <si>
    <t>-40 to 125</t>
  </si>
  <si>
    <t>0.616 x 0.616</t>
  </si>
  <si>
    <t>ACTIVE</t>
  </si>
  <si>
    <t>36V 4A buck-boost converter with I²C interface</t>
  </si>
  <si>
    <t>AC/DC &amp; DC/DC converters (integrated FET)</t>
  </si>
  <si>
    <t>Catalog</t>
  </si>
  <si>
    <t>Buck-Boost</t>
  </si>
  <si>
    <t>VQFN-HR</t>
  </si>
  <si>
    <t/>
  </si>
  <si>
    <t>-40 to 125</t>
  </si>
  <si>
    <t>5 x 3</t>
  </si>
  <si>
    <t>ACTIVE</t>
  </si>
  <si>
    <t>Automotive 36V 4A buck-boost converter with I²C interface</t>
  </si>
  <si>
    <t>AC/DC &amp; DC/DC converters (integrated FET)</t>
  </si>
  <si>
    <t>Automotive</t>
  </si>
  <si>
    <t>Buck-Boost</t>
  </si>
  <si>
    <t>VQFN-HR</t>
  </si>
  <si>
    <t>Functional Safety-Capable</t>
  </si>
  <si>
    <t>-40 to 125</t>
  </si>
  <si>
    <t>5 x 3</t>
  </si>
  <si>
    <t>ACTIVE</t>
  </si>
  <si>
    <t xml:space="preserve">5V, 3A, 25mΩ load switch with optional output discharge </t>
  </si>
  <si>
    <t>Load switches</t>
  </si>
  <si>
    <t>Catalog</t>
  </si>
  <si>
    <t>UQFN-HR</t>
  </si>
  <si>
    <t/>
  </si>
  <si>
    <t>-55 to 125</t>
  </si>
  <si>
    <t>0.75 x 0.85</t>
  </si>
  <si>
    <t>ACTIVE</t>
  </si>
  <si>
    <t>4V to 18V input, 35A, PMBus and SVID synchronous step-down converter</t>
  </si>
  <si>
    <t>AC/DC &amp; DC/DC converters (integrated FET)</t>
  </si>
  <si>
    <t>Catalog</t>
  </si>
  <si>
    <t>Buck</t>
  </si>
  <si>
    <t>WQFN-FCRLF</t>
  </si>
  <si>
    <t/>
  </si>
  <si>
    <t>-40 to 125</t>
  </si>
  <si>
    <t>5 x 4</t>
  </si>
  <si>
    <t>PREVIEW</t>
  </si>
  <si>
    <t>4V to 18V input, 16A synchronous SWIFT™ step-down converter with thermally enhanced packaging</t>
  </si>
  <si>
    <t>AC/DC &amp; DC/DC converters (integrated FET)</t>
  </si>
  <si>
    <t>Catalog</t>
  </si>
  <si>
    <t>Buck</t>
  </si>
  <si>
    <t>WQFN-FCRLF</t>
  </si>
  <si>
    <t/>
  </si>
  <si>
    <t>-40 to 150</t>
  </si>
  <si>
    <t>4.5 x 2.5</t>
  </si>
  <si>
    <t>ACTIVE</t>
  </si>
  <si>
    <t>Low-side 3A/3A driver with desaturation protection (DESAT) and 8V undervoltage lockout (UVLO)</t>
  </si>
  <si>
    <t>Low-side drivers</t>
  </si>
  <si>
    <t>Catalog</t>
  </si>
  <si>
    <t>SOIC</t>
  </si>
  <si>
    <t>Functional Safety-Capable</t>
  </si>
  <si>
    <t>-40 to 125</t>
  </si>
  <si>
    <t>4.9 x 6</t>
  </si>
  <si>
    <t>ACTIVE</t>
  </si>
  <si>
    <t>Automotive low-side 3A/3A driver with desaturation protection and 8V undervoltage lockout</t>
  </si>
  <si>
    <t>Low-side drivers</t>
  </si>
  <si>
    <t>Automotive</t>
  </si>
  <si>
    <t>SOIC</t>
  </si>
  <si>
    <t>Functional Safety-Capable</t>
  </si>
  <si>
    <t>-40 to 125</t>
  </si>
  <si>
    <t>4.9 x 6</t>
  </si>
  <si>
    <t>ACTIVE</t>
  </si>
  <si>
    <t>Automotive, 27V 8A fully integrated buck-boost converter</t>
  </si>
  <si>
    <t>AC/DC &amp; DC/DC converters (integrated FET)</t>
  </si>
  <si>
    <t>Automotive</t>
  </si>
  <si>
    <t>Buck-Boost</t>
  </si>
  <si>
    <t>VQFN-HR</t>
  </si>
  <si>
    <t>Functional Safety-Capable</t>
  </si>
  <si>
    <t>-40 to 125</t>
  </si>
  <si>
    <t>5 x 3</t>
  </si>
  <si>
    <t>ACTIVE</t>
  </si>
  <si>
    <t>Automotive, 36V, 8A, low-IQ dual-output synchronous step-down converter</t>
  </si>
  <si>
    <t>AC/DC &amp; DC/DC converters (integrated FET)</t>
  </si>
  <si>
    <t>Automotive</t>
  </si>
  <si>
    <t>Buck</t>
  </si>
  <si>
    <t>VQFN-FCRLF</t>
  </si>
  <si>
    <t/>
  </si>
  <si>
    <t>-40 to 150</t>
  </si>
  <si>
    <t>5 x 4</t>
  </si>
  <si>
    <t>ACTIVE</t>
  </si>
  <si>
    <t>Automotive, 36V, 10A, low-IQ dual-output synchronous step-down converter</t>
  </si>
  <si>
    <t>AC/DC &amp; DC/DC converters (integrated FET)</t>
  </si>
  <si>
    <t>Automotive</t>
  </si>
  <si>
    <t>Buck</t>
  </si>
  <si>
    <t>VQFN-FCRLF</t>
  </si>
  <si>
    <t/>
  </si>
  <si>
    <t>-40 to 150</t>
  </si>
  <si>
    <t>5 x 4</t>
  </si>
  <si>
    <t>ACTIVE</t>
  </si>
  <si>
    <t>5.5V to 24V input, 12A synchronous buck converter with fixed 5.15V output</t>
  </si>
  <si>
    <t>AC/DC &amp; DC/DC converters (integrated FET)</t>
  </si>
  <si>
    <t>Catalog</t>
  </si>
  <si>
    <t>Buck</t>
  </si>
  <si>
    <t>VQFN-HR</t>
  </si>
  <si>
    <t/>
  </si>
  <si>
    <t>-20 to 125</t>
  </si>
  <si>
    <t>4 x 3</t>
  </si>
  <si>
    <t>ACTIVE</t>
  </si>
  <si>
    <t>Automotive 120V 4A half-bridge driver with 8V UVLO, enable and&amp;nbsp;interlock</t>
  </si>
  <si>
    <t>Half-bridge drivers</t>
  </si>
  <si>
    <t>Automotive</t>
  </si>
  <si>
    <t>HSOIC,SOIC,VSON</t>
  </si>
  <si>
    <t>Functional Safety-Capable</t>
  </si>
  <si>
    <t>-40 to 150</t>
  </si>
  <si>
    <t>8,10</t>
  </si>
  <si>
    <t>9,29.4</t>
  </si>
  <si>
    <t>3 x 3,4.9 x 6</t>
  </si>
  <si>
    <t>1,1.7,1.75</t>
  </si>
  <si>
    <t>0.5,1.27</t>
  </si>
  <si>
    <t>ACTIVE</t>
  </si>
  <si>
    <t>650V 170mΩ GaN FET with integrated driver, protection and current sensing</t>
  </si>
  <si>
    <t>Gallium nitride (GaN) power stages</t>
  </si>
  <si>
    <t>Catalog</t>
  </si>
  <si>
    <t>VQFN</t>
  </si>
  <si>
    <t/>
  </si>
  <si>
    <t>-40 to 125</t>
  </si>
  <si>
    <t>8 x 5.3</t>
  </si>
  <si>
    <t>ACTIVE</t>
  </si>
  <si>
    <t>17V VIN, 6A low-noise low-ripple buck converter with extended temperature range</t>
  </si>
  <si>
    <t>AC/DC &amp; DC/DC converters (integrated FET)</t>
  </si>
  <si>
    <t>Catalog</t>
  </si>
  <si>
    <t>VQFN-HR</t>
  </si>
  <si>
    <t/>
  </si>
  <si>
    <t>-55 to 150</t>
  </si>
  <si>
    <t>2.5 x 3</t>
  </si>
  <si>
    <t>ACTIVE</t>
  </si>
  <si>
    <t>Functional Isolation, DC input, normally open output, single-channel isolated switch opto-emulator</t>
  </si>
  <si>
    <t>Solid-state relays</t>
  </si>
  <si>
    <t>Catalog</t>
  </si>
  <si>
    <t>SOIC</t>
  </si>
  <si>
    <t/>
  </si>
  <si>
    <t>-55 to 125</t>
  </si>
  <si>
    <t>3.51 x 7</t>
  </si>
  <si>
    <t>ACTIVE</t>
  </si>
  <si>
    <t>6V input, 15A parallelable synchronous buck converter with I²C and frequency synchronization option</t>
  </si>
  <si>
    <t>AC/DC &amp; DC/DC converters (integrated FET)</t>
  </si>
  <si>
    <t>Catalog</t>
  </si>
  <si>
    <t>Buck,Multiphase,Step-Down Converter,Synchronous Buck</t>
  </si>
  <si>
    <t>WQFN-FCRLF</t>
  </si>
  <si>
    <t/>
  </si>
  <si>
    <t>-40 to 125</t>
  </si>
  <si>
    <t>3.05 x 4.05</t>
  </si>
  <si>
    <t>ACTIVE</t>
  </si>
  <si>
    <t>6V input, 20A parallelable synchronous buck converter with I²C and frequency synchronization option</t>
  </si>
  <si>
    <t>AC/DC &amp; DC/DC converters (integrated FET)</t>
  </si>
  <si>
    <t>Catalog</t>
  </si>
  <si>
    <t>Buck,Multiphase,Step-Down Converter,Synchronous Buck</t>
  </si>
  <si>
    <t>WQFN-FCRLF</t>
  </si>
  <si>
    <t/>
  </si>
  <si>
    <t>-40 to 125</t>
  </si>
  <si>
    <t>3.05 x 4.05</t>
  </si>
  <si>
    <t>ACTIVE</t>
  </si>
  <si>
    <t>17V VIN, 4.5A low-noise low-ripple buck converter with integrated ferrite-bead filter compensation</t>
  </si>
  <si>
    <t>AC/DC &amp; DC/DC converters (integrated FET)</t>
  </si>
  <si>
    <t>Catalog</t>
  </si>
  <si>
    <t>VQFN-HR</t>
  </si>
  <si>
    <t/>
  </si>
  <si>
    <t>-40 to 150</t>
  </si>
  <si>
    <t>2.5 x 3</t>
  </si>
  <si>
    <t>ACTIVE</t>
  </si>
  <si>
    <t>17V VIN, 8A low-noise low-ripple buck converter with integrated ferrite-bead filter compensation</t>
  </si>
  <si>
    <t>AC/DC &amp; DC/DC converters (integrated FET)</t>
  </si>
  <si>
    <t>Catalog</t>
  </si>
  <si>
    <t>VQFN-HR</t>
  </si>
  <si>
    <t/>
  </si>
  <si>
    <t>-40 to 150</t>
  </si>
  <si>
    <t>2.5 x 3</t>
  </si>
  <si>
    <t>ACTIVE</t>
  </si>
  <si>
    <t>Automotive, 60V, 4A, 83mΩ one-channel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</si>
  <si>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</si>
  <si>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</si>
  <si>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</si>
  <si>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</si>
  <si>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</si>
  <si>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</si>
  <si>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</si>
  <si>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 xml:space="preserve">4.2V to 17V input voltage, 1A, 1.2MHz synchronous buck converter in SOT563 with Eco-mode 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</si>
  <si>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</si>
  <si>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</si>
  <si>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</si>
  <si>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</si>
  <si>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</si>
  <si>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</si>
  <si>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</si>
  <si>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</si>
  <si>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4.2V to 17V input voltage, 1A, 1.2MHz synchronous buck converter in SOT563 with FCCM mode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</si>
  <si>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</si>
  <si>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</si>
  <si>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</si>
  <si>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</si>
  <si>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</si>
  <si>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</si>
  <si>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</si>
  <si>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</si>
  <si>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4.2V to 17V input voltage, 2A, 1.2MHz synchronous buck converter in SOT563 with Eco-mode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</si>
  <si>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</si>
  <si>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</si>
  <si>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</si>
  <si>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</si>
  <si>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</si>
  <si>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</si>
  <si>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</si>
  <si>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</si>
  <si>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4.2V to 17V input voltage, 2A, 1.2MHz synchronous buck converter in SOT563 with FCCM mode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</si>
  <si>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</si>
  <si>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</si>
  <si>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</si>
  <si>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</si>
  <si>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</si>
  <si>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</si>
  <si>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</si>
  <si>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</si>
  <si>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55V wide VIN four-switch buck-boost controller with I2C interface</t>
  </si>
  <si>
    <t>AC/DC &amp; DC/DC controllers (external FET)</t>
  </si>
  <si>
    <t>Catalog</t>
  </si>
  <si>
    <t>Buck-Boost</t>
  </si>
  <si>
    <t>VQFN</t>
  </si>
  <si>
    <t/>
  </si>
  <si>
    <t>-40 to 125</t>
  </si>
  <si>
    <t>6 x 6</t>
  </si>
  <si>
    <t>ACTIVE</t>
  </si>
  <si>
    <t>5V to 3.3V, 1W, 3kVrms isolated DC-DC module with integrated transformer</t>
  </si>
  <si>
    <t>Isolated power modules (integrated transformer)</t>
  </si>
  <si>
    <t>Catalog</t>
  </si>
  <si>
    <t>VSON-FCRLF</t>
  </si>
  <si>
    <t>Functional Safety-Capable</t>
  </si>
  <si>
    <t>-40 to 125</t>
  </si>
  <si>
    <t>4 x 5</t>
  </si>
  <si>
    <t>PREVIEW</t>
  </si>
  <si>
    <t>Automotive, 5V to 3.3V, 1W, 3kVrms isolated DC-DC module with integrated transformer</t>
  </si>
  <si>
    <t>Isolated power modules (integrated transformer)</t>
  </si>
  <si>
    <t>Automotive</t>
  </si>
  <si>
    <t>VSON-FCRLF</t>
  </si>
  <si>
    <t>Functional Safety-Capable</t>
  </si>
  <si>
    <t>-40 to 125</t>
  </si>
  <si>
    <t>4 x 5</t>
  </si>
  <si>
    <t>PREVIEW</t>
  </si>
  <si>
    <t>Automotive 10A/10A single-channel gate driver with 4V UVLO, 30V VDD and low propagation delay</t>
  </si>
  <si>
    <t>Low-side drivers</t>
  </si>
  <si>
    <t>Automotive</t>
  </si>
  <si>
    <t>HVSSOP,SOIC,WSON</t>
  </si>
  <si>
    <t/>
  </si>
  <si>
    <t>-40 to 125</t>
  </si>
  <si>
    <t>4,14.7,29.4</t>
  </si>
  <si>
    <t>2 x 2,3 x 4.9,4.9 x 6</t>
  </si>
  <si>
    <t>0.8,1.1,1.75</t>
  </si>
  <si>
    <t>0.5,0.65,1.27</t>
  </si>
  <si>
    <t>ACTIVE</t>
  </si>
  <si>
    <t>DC input, normally open output, single-channel isolated switch opto-emulator</t>
  </si>
  <si>
    <t>Solid-state relays</t>
  </si>
  <si>
    <t>Catalog</t>
  </si>
  <si>
    <t>SOIC</t>
  </si>
  <si>
    <t/>
  </si>
  <si>
    <t>-55 to 125</t>
  </si>
  <si>
    <t>3.51 x 7</t>
  </si>
  <si>
    <t>ACTIVE</t>
  </si>
  <si>
    <t>80-V dual-channel bidirectional buck-boost controller</t>
  </si>
  <si>
    <t>AC/DC &amp; DC/DC controllers (external FET)</t>
  </si>
  <si>
    <t>Catalog</t>
  </si>
  <si>
    <t>Boost,Buck,Buck/Boost</t>
  </si>
  <si>
    <t>HTQFP</t>
  </si>
  <si>
    <t>Functional Safety-Capable</t>
  </si>
  <si>
    <t>-40 to 150</t>
  </si>
  <si>
    <t>9 x 9</t>
  </si>
  <si>
    <t>ACTIVE</t>
  </si>
  <si>
    <t>Automotive, high-density, 4.5V to 80V input, 4A low-EMI synchronous DC/DC step-down converter</t>
  </si>
  <si>
    <t>AC/DC &amp; DC/DC converters (integrated FET)</t>
  </si>
  <si>
    <t>Automotive</t>
  </si>
  <si>
    <t>Buck</t>
  </si>
  <si>
    <t>VQFN</t>
  </si>
  <si>
    <t>Functional Safety-Capable</t>
  </si>
  <si>
    <t>-40 to 150</t>
  </si>
  <si>
    <t>6 x 6</t>
  </si>
  <si>
    <t>ACTIVE</t>
  </si>
  <si>
    <t>Automotive, high-density, 4.5V to 80V input, 6A low-EMI synchronous DC/DC step-down converter</t>
  </si>
  <si>
    <t>AC/DC &amp; DC/DC converters (integrated FET)</t>
  </si>
  <si>
    <t>Automotive</t>
  </si>
  <si>
    <t>Buck</t>
  </si>
  <si>
    <t>VQFN</t>
  </si>
  <si>
    <t>Functional Safety-Capable</t>
  </si>
  <si>
    <t>-40 to 150</t>
  </si>
  <si>
    <t>6 x 6</t>
  </si>
  <si>
    <t>ACTIVE</t>
  </si>
  <si>
    <t>Automotive, high-density, 4.5-V to 80-V input, 8-A low-EMI synchronous DC/DC step-down converter</t>
  </si>
  <si>
    <t>AC/DC &amp; DC/DC converters (integrated FET)</t>
  </si>
  <si>
    <t>Automotive</t>
  </si>
  <si>
    <t>Buck</t>
  </si>
  <si>
    <t>VQFN</t>
  </si>
  <si>
    <t>Functional Safety-Capable</t>
  </si>
  <si>
    <t>-40 to 150</t>
  </si>
  <si>
    <t>6 x 6</t>
  </si>
  <si>
    <t>ACTIVE</t>
  </si>
  <si>
    <t>Automotive 3V-to-65V 0.3A buck converter</t>
  </si>
  <si>
    <t>AC/DC &amp; DC/DC converters (integrated FET)</t>
  </si>
  <si>
    <t>Automotive</t>
  </si>
  <si>
    <t>Buck</t>
  </si>
  <si>
    <t>VQFN-HR</t>
  </si>
  <si>
    <t>Functional Safety-Capable</t>
  </si>
  <si>
    <t>-40 to 175</t>
  </si>
  <si>
    <t>2 x 2</t>
  </si>
  <si>
    <t>ACTIVE</t>
  </si>
  <si>
    <t>50mA small-size high-PSRR low-dropout (LDO) regulator</t>
  </si>
  <si>
    <t>Linear &amp; low-dropout (LDO) regulators</t>
  </si>
  <si>
    <t>Catalog</t>
  </si>
  <si>
    <t>SOT-23,X2SON</t>
  </si>
  <si>
    <t/>
  </si>
  <si>
    <t>-40 to 125</t>
  </si>
  <si>
    <t>4,5</t>
  </si>
  <si>
    <t>1,8.12</t>
  </si>
  <si>
    <t>1 x 1,2.9 x 2.8</t>
  </si>
  <si>
    <t>0.4,1.45</t>
  </si>
  <si>
    <t>0.65,0.95</t>
  </si>
  <si>
    <t>ACTIVE</t>
  </si>
  <si>
    <t>Automotive, 27V 8A buck-boost converter with I²C interface</t>
  </si>
  <si>
    <t>AC/DC &amp; DC/DC converters (integrated FET)</t>
  </si>
  <si>
    <t>Automotive</t>
  </si>
  <si>
    <t>Buck-Boost</t>
  </si>
  <si>
    <t>VQFN-HR</t>
  </si>
  <si>
    <t>Functional Safety-Capable</t>
  </si>
  <si>
    <t>-40 to 125</t>
  </si>
  <si>
    <t>5 x 3</t>
  </si>
  <si>
    <t>ACTIVE</t>
  </si>
  <si>
    <t>Radiation-hardened, QMLV, 14V four-channel power-supply sequencer</t>
  </si>
  <si>
    <t>Sequencers</t>
  </si>
  <si>
    <t>Space</t>
  </si>
  <si>
    <t>CFP</t>
  </si>
  <si>
    <t/>
  </si>
  <si>
    <t>-55 to 125</t>
  </si>
  <si>
    <t>6.211 x 9.696</t>
  </si>
  <si>
    <t>ACTIVE</t>
  </si>
  <si>
    <t>6V input, 10A parallelable DC/DC buck module with I2C frequency synchronization and remote sense</t>
  </si>
  <si>
    <t>Power modules (integrated inductor)</t>
  </si>
  <si>
    <t>Catalog</t>
  </si>
  <si>
    <t>Buck,Step-Down Converter,Synchronous Buck</t>
  </si>
  <si>
    <t>B3QFN</t>
  </si>
  <si>
    <t/>
  </si>
  <si>
    <t>-40 to 125</t>
  </si>
  <si>
    <t>4.5 x 6.8</t>
  </si>
  <si>
    <t>ACTIVE</t>
  </si>
  <si>
    <t>6V input, 15A parallelable DC/DC buck module with I2C frequency synchronization and remote sense</t>
  </si>
  <si>
    <t>Power modules (integrated inductor)</t>
  </si>
  <si>
    <t>Catalog</t>
  </si>
  <si>
    <t>Buck,Step-Down Converter,Synchronous Buck</t>
  </si>
  <si>
    <t>B3QFN</t>
  </si>
  <si>
    <t/>
  </si>
  <si>
    <t>-40 to 125</t>
  </si>
  <si>
    <t>4.5 x 6.8</t>
  </si>
  <si>
    <t>ACTIVE</t>
  </si>
  <si>
    <t>4-V to 18-V input, 25-A synchronous SWIFT&amp;trade; step-down converter with thermally enhanced pack</t>
  </si>
  <si>
    <t>AC/DC &amp; DC/DC converters (integrated FET)</t>
  </si>
  <si>
    <t>Catalog</t>
  </si>
  <si>
    <t>WQFN-FCRLF</t>
  </si>
  <si>
    <t/>
  </si>
  <si>
    <t>-40 to 150</t>
  </si>
  <si>
    <t>4.5 x 2.5</t>
  </si>
  <si>
    <t>ACTIVE</t>
  </si>
  <si>
    <t>Type-4, four-pair, 8-channel PoE PSE controller with autonomous mode</t>
  </si>
  <si>
    <t>Power sourcing equipment</t>
  </si>
  <si>
    <t>Catalog</t>
  </si>
  <si>
    <t>VQFN</t>
  </si>
  <si>
    <t/>
  </si>
  <si>
    <t>-40 to 125</t>
  </si>
  <si>
    <t>8 x 8</t>
  </si>
  <si>
    <t>ACTIVE</t>
  </si>
  <si>
    <t>150mA small-size high-PSRR low-dropout (LDO) linear regulator</t>
  </si>
  <si>
    <t>Linear &amp; low-dropout (LDO) regulators</t>
  </si>
  <si>
    <t>Catalog</t>
  </si>
  <si>
    <t>SOT-23,X2SON</t>
  </si>
  <si>
    <t/>
  </si>
  <si>
    <t>-40 to 125</t>
  </si>
  <si>
    <t>4,5</t>
  </si>
  <si>
    <t>1,8.12</t>
  </si>
  <si>
    <t>1 x 1,2.9 x 2.8</t>
  </si>
  <si>
    <t>0.4,1.45</t>
  </si>
  <si>
    <t>0.65,0.95</t>
  </si>
  <si>
    <t>ACTIVE</t>
  </si>
  <si>
    <t>4.5V to 28V input voltage, 6A ECO mode, synchronous buck module with QFN package</t>
  </si>
  <si>
    <t>Power modules (integrated inductor)</t>
  </si>
  <si>
    <t>Catalog</t>
  </si>
  <si>
    <t>Buck</t>
  </si>
  <si>
    <t>B3QFN</t>
  </si>
  <si>
    <t/>
  </si>
  <si>
    <t>-40 to 150</t>
  </si>
  <si>
    <t>5.5 x 5</t>
  </si>
  <si>
    <t>ACTIVE</t>
  </si>
  <si>
    <t>4.5V to 28V input voltage, 6A FCCM mode, synchronous buck module with QFN package</t>
  </si>
  <si>
    <t>Power modules (integrated inductor)</t>
  </si>
  <si>
    <t>Catalog</t>
  </si>
  <si>
    <t>Buck</t>
  </si>
  <si>
    <t>B3QFN</t>
  </si>
  <si>
    <t/>
  </si>
  <si>
    <t>-40 to 150</t>
  </si>
  <si>
    <t>5.5 x 5</t>
  </si>
  <si>
    <t>ACTIVE</t>
  </si>
  <si>
    <t>4.5V to 28V input voltage, 8A ECO mode, synchronous buck module with QFN package</t>
  </si>
  <si>
    <t>Power modules (integrated inductor)</t>
  </si>
  <si>
    <t>Catalog</t>
  </si>
  <si>
    <t>Buck</t>
  </si>
  <si>
    <t>B3QFN</t>
  </si>
  <si>
    <t/>
  </si>
  <si>
    <t>-40 to 150</t>
  </si>
  <si>
    <t>5.5 x 5</t>
  </si>
  <si>
    <t>ACTIVE</t>
  </si>
  <si>
    <t>150mA 40V 1.5μA I&lt;sub&gt;Q&lt;/sub&gt; low-dropout linear regulator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</si>
  <si>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</si>
  <si>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</si>
  <si>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</si>
  <si>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</si>
  <si>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</si>
  <si>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</si>
  <si>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</si>
  <si>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300mA 40V 1.8μA I&lt;sub&gt;Q&lt;/sub&gt; low-dropout linear regulator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</si>
  <si>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</si>
  <si>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</si>
  <si>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</si>
  <si>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</si>
  <si>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</si>
  <si>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</si>
  <si>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</si>
  <si>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Enhanced high-current PMIC for DDR5 server MRDIMM</t>
  </si>
  <si>
    <t>Multi-channel ICs (PMICs)</t>
  </si>
  <si>
    <t>Catalog</t>
  </si>
  <si>
    <t>VQFN-HR</t>
  </si>
  <si>
    <t/>
  </si>
  <si>
    <t>-40 to 125</t>
  </si>
  <si>
    <t>5 x 5</t>
  </si>
  <si>
    <t>ACTIVE</t>
  </si>
  <si>
    <t>SIMPLE SWITCHER® 4V to 42V, 0.6A synchronous buck converter with 26.5uA IQ</t>
  </si>
  <si>
    <t>AC/DC &amp; DC/DC converters (integrated FET)</t>
  </si>
  <si>
    <t>Catalog</t>
  </si>
  <si>
    <t>SOT-23</t>
  </si>
  <si>
    <t>Functional Safety-Capable</t>
  </si>
  <si>
    <t>-40 to 150</t>
  </si>
  <si>
    <t>2.9 x 2.8</t>
  </si>
  <si>
    <t>ACTIVE</t>
  </si>
  <si>
    <t>SIMPLE SWITCHER® 4V to 42V, 1A synchronous buck converter with 26.5uA IQ</t>
  </si>
  <si>
    <t>AC/DC &amp; DC/DC converters (integrated FET)</t>
  </si>
  <si>
    <t>Catalog</t>
  </si>
  <si>
    <t>SOT-23</t>
  </si>
  <si>
    <t>Functional Safety-Capable</t>
  </si>
  <si>
    <t>-40 to 150</t>
  </si>
  <si>
    <t>2.9 x 2.8</t>
  </si>
  <si>
    <t>ACTIVE</t>
  </si>
  <si>
    <t>3kVRMS 4A/6A two-channel gate driver with enable logic and programmable deadtime</t>
  </si>
  <si>
    <t>Isolated gate drivers</t>
  </si>
  <si>
    <t>Automotive</t>
  </si>
  <si>
    <t>SOIC</t>
  </si>
  <si>
    <t>Functional Safety-Capable</t>
  </si>
  <si>
    <t>-40 to 150</t>
  </si>
  <si>
    <t>9.9 x 6</t>
  </si>
  <si>
    <t>ACTIVE</t>
  </si>
  <si>
    <t>Automotive, 3kVRMS 4A/6A two-channel gate driver with enable logic and programmable deadtime</t>
  </si>
  <si>
    <t>Isolated gate drivers</t>
  </si>
  <si>
    <t>Automotive</t>
  </si>
  <si>
    <t>SOIC</t>
  </si>
  <si>
    <t>Functional Safety-Capable</t>
  </si>
  <si>
    <t>-40 to 150</t>
  </si>
  <si>
    <t>9.9 x 6</t>
  </si>
  <si>
    <t>ACTIVE</t>
  </si>
  <si>
    <t>Radiation-hardened, QMLV 22V half-bridge GaN gate driver</t>
  </si>
  <si>
    <t>Half-bridge drivers</t>
  </si>
  <si>
    <t>Space</t>
  </si>
  <si>
    <t>CFP</t>
  </si>
  <si>
    <t/>
  </si>
  <si>
    <t>-55 to 125</t>
  </si>
  <si>
    <t>16.74 x 28</t>
  </si>
  <si>
    <t>ACTIVE</t>
  </si>
  <si>
    <t>17-V&lt;sub&gt;IN&lt;/sub&gt;, 6-A low-noise low-ripple buck converter with integrated ferrite-bead filter&amp;nb</t>
  </si>
  <si>
    <t>AC/DC &amp; DC/DC converters (integrated FET)</t>
  </si>
  <si>
    <t>Catalog</t>
  </si>
  <si>
    <t>Buck</t>
  </si>
  <si>
    <t>VQFN-HR</t>
  </si>
  <si>
    <t/>
  </si>
  <si>
    <t>-40 to 150</t>
  </si>
  <si>
    <t>2.5 x 3</t>
  </si>
  <si>
    <t>ACTIVE</t>
  </si>
  <si>
    <t>USB-C® Power Delivery 3.2 controller with moisture detection and programmable power-supply</t>
  </si>
  <si>
    <t>USB Type-C &amp; USB Power Delivery ICs</t>
  </si>
  <si>
    <t>Catalog</t>
  </si>
  <si>
    <t>VQFN,WQFN</t>
  </si>
  <si>
    <t/>
  </si>
  <si>
    <t>-40 to 125</t>
  </si>
  <si>
    <t>32,38</t>
  </si>
  <si>
    <t>16,24</t>
  </si>
  <si>
    <t>4 x 4,6 x 4</t>
  </si>
  <si>
    <t>0.8,1</t>
  </si>
  <si>
    <t>ACTIVE</t>
  </si>
  <si>
    <t>7 x 6 LED matrix driver with 8-bit analog and 8-bit or 16-bit PWM dimming</t>
  </si>
  <si>
    <t>RGB LED drivers</t>
  </si>
  <si>
    <t>Catalog</t>
  </si>
  <si>
    <t>Linear</t>
  </si>
  <si>
    <t>DSBGA</t>
  </si>
  <si>
    <t/>
  </si>
  <si>
    <t>-40 to 85</t>
  </si>
  <si>
    <t>2.382 x 1.582</t>
  </si>
  <si>
    <t>ACTIVE</t>
  </si>
  <si>
    <t>4V to 16V input 25A 4x stackable PMBus® power module with extended security</t>
  </si>
  <si>
    <t>AC/DC &amp; DC/DC converters (integrated FET)</t>
  </si>
  <si>
    <t>Catalog</t>
  </si>
  <si>
    <t>Buck</t>
  </si>
  <si>
    <t>QFM</t>
  </si>
  <si>
    <t/>
  </si>
  <si>
    <t>-40 to 125</t>
  </si>
  <si>
    <t>16 x 11</t>
  </si>
  <si>
    <t>ACTIVE</t>
  </si>
  <si>
    <t>3V to 17V input voltage, 1A output, synchronous buck module in QFN package</t>
  </si>
  <si>
    <t>Power modules (integrated inductor)</t>
  </si>
  <si>
    <t>Catalog</t>
  </si>
  <si>
    <t>Synchronous Buck</t>
  </si>
  <si>
    <t>QFN-FCMOD</t>
  </si>
  <si>
    <t/>
  </si>
  <si>
    <t>-40 to 125</t>
  </si>
  <si>
    <t>4 x 3.3</t>
  </si>
  <si>
    <t>ACTIVE</t>
  </si>
  <si>
    <t>3V to 17V input voltage, 1A FCCM mode, synchronous buck module with QFN package</t>
  </si>
  <si>
    <t>Power modules (integrated inductor)</t>
  </si>
  <si>
    <t>Catalog</t>
  </si>
  <si>
    <t>Synchronous Buck</t>
  </si>
  <si>
    <t>QFN-FCMOD</t>
  </si>
  <si>
    <t/>
  </si>
  <si>
    <t>-40 to 125</t>
  </si>
  <si>
    <t>4 x 3.3</t>
  </si>
  <si>
    <t>ACTIVE</t>
  </si>
  <si>
    <t>Automotive, 20A, real-time variable IGBT/SiC MOSFET isolated gate driver with advanced protection</t>
  </si>
  <si>
    <t>Isolated gate drivers</t>
  </si>
  <si>
    <t>Automotive</t>
  </si>
  <si>
    <t>SSOP</t>
  </si>
  <si>
    <t>Functional Safety-Compliant</t>
  </si>
  <si>
    <t>-40 to 125</t>
  </si>
  <si>
    <t>10.3 x 10.3</t>
  </si>
  <si>
    <t>ACTIVE</t>
  </si>
  <si>
    <t>600V 50mΩ GaN FET with integrated driver, protection and zero-voltage detection</t>
  </si>
  <si>
    <t>Gallium nitride (GaN) power stages</t>
  </si>
  <si>
    <t>Catalog</t>
  </si>
  <si>
    <t>VQFN</t>
  </si>
  <si>
    <t/>
  </si>
  <si>
    <t>-40 to 125</t>
  </si>
  <si>
    <t>12 x 12</t>
  </si>
  <si>
    <t>ACTIVE</t>
  </si>
  <si>
    <t>4-V to 16-V input, 25-A remote sense synchronous step-down converter</t>
  </si>
  <si>
    <t>AC/DC &amp; DC/DC converters (integrated FET)</t>
  </si>
  <si>
    <t>Catalog</t>
  </si>
  <si>
    <t>Buck</t>
  </si>
  <si>
    <t>WQFN-FCRLF</t>
  </si>
  <si>
    <t/>
  </si>
  <si>
    <t>-40 to 125</t>
  </si>
  <si>
    <t>3.5 x 3</t>
  </si>
  <si>
    <t>ACTIVE</t>
  </si>
  <si>
    <t>4-V to 16-V input, 30-A, remote-sense synchronous step-down converter</t>
  </si>
  <si>
    <t>AC/DC &amp; DC/DC converters (integrated FET)</t>
  </si>
  <si>
    <t>Catalog</t>
  </si>
  <si>
    <t>Buck</t>
  </si>
  <si>
    <t>WQFN-FCRLF</t>
  </si>
  <si>
    <t/>
  </si>
  <si>
    <t>-40 to 125</t>
  </si>
  <si>
    <t>3.5 x 3</t>
  </si>
  <si>
    <t>ACTIVE</t>
  </si>
  <si>
    <t>Radiation-hardened, QMLV 60-V half-bridge GaN gate driver</t>
  </si>
  <si>
    <t>Half-bridge drivers</t>
  </si>
  <si>
    <t>Space</t>
  </si>
  <si>
    <t>CFP</t>
  </si>
  <si>
    <t/>
  </si>
  <si>
    <t>-55 to 125</t>
  </si>
  <si>
    <t>16.74 x 28</t>
  </si>
  <si>
    <t>ACTIVE</t>
  </si>
  <si>
    <t>100-V 4.4-mΩ half-bridge GaN FET with integrated driver and protection</t>
  </si>
  <si>
    <t>Gallium nitride (GaN) power stages</t>
  </si>
  <si>
    <t>Catalog</t>
  </si>
  <si>
    <t>WQFN-FCRLF</t>
  </si>
  <si>
    <t/>
  </si>
  <si>
    <t>-40 to 125</t>
  </si>
  <si>
    <t>See data sheet</t>
  </si>
  <si>
    <t>See data sheet</t>
  </si>
  <si>
    <t>—</t>
  </si>
  <si>
    <t>—</t>
  </si>
  <si>
    <t>ACTIVE</t>
  </si>
  <si>
    <t>36V, 1A synchronous step-down converter with 1.5uA IQ and low EMI</t>
  </si>
  <si>
    <t>AC/DC &amp; DC/DC converters (integrated FET)</t>
  </si>
  <si>
    <t>Catalog</t>
  </si>
  <si>
    <t>Buck</t>
  </si>
  <si>
    <t>VQFN-FCRLF</t>
  </si>
  <si>
    <t>Functional Safety-Capable</t>
  </si>
  <si>
    <t>-40 to 150</t>
  </si>
  <si>
    <t>2.6 x 2.6</t>
  </si>
  <si>
    <t>ACTIVE</t>
  </si>
  <si>
    <t>Automotive, 36V, 1A synchronous step-down converter with 1.5uA IQ and low EMI</t>
  </si>
  <si>
    <t>AC/DC &amp; DC/DC converters (integrated FET)</t>
  </si>
  <si>
    <t>Automotive</t>
  </si>
  <si>
    <t>VQFN-FCRLF</t>
  </si>
  <si>
    <t>Functional Safety-Capable</t>
  </si>
  <si>
    <t>-40 to 125</t>
  </si>
  <si>
    <t>2.6 x 2.6</t>
  </si>
  <si>
    <t>ACTIVE</t>
  </si>
  <si>
    <t>36V, 2A synchronous step-down converter with 1.5uA IQ and low EMI</t>
  </si>
  <si>
    <t>AC/DC &amp; DC/DC converters (integrated FET)</t>
  </si>
  <si>
    <t>Catalog</t>
  </si>
  <si>
    <t>Buck</t>
  </si>
  <si>
    <t>VQFN-FCRLF</t>
  </si>
  <si>
    <t>Functional Safety-Capable</t>
  </si>
  <si>
    <t>-40 to 150</t>
  </si>
  <si>
    <t>2.6 x 2.6</t>
  </si>
  <si>
    <t>ACTIVE</t>
  </si>
  <si>
    <t>Automotive, 36V, 2A synchronous step-down converter with 1.5uA IQ and low EMI</t>
  </si>
  <si>
    <t>AC/DC &amp; DC/DC converters (integrated FET)</t>
  </si>
  <si>
    <t>Automotive</t>
  </si>
  <si>
    <t>VQFN-FCRLF</t>
  </si>
  <si>
    <t>Functional Safety-Capable</t>
  </si>
  <si>
    <t>-40 to 125</t>
  </si>
  <si>
    <t>2.6 x 2.6</t>
  </si>
  <si>
    <t>ACTIVE</t>
  </si>
  <si>
    <t>36V, 3A synchronous step-down converter with 1.5uA IQ and low EMI</t>
  </si>
  <si>
    <t>AC/DC &amp; DC/DC converters (integrated FET)</t>
  </si>
  <si>
    <t>Catalog</t>
  </si>
  <si>
    <t>Buck</t>
  </si>
  <si>
    <t>VQFN-FCRLF</t>
  </si>
  <si>
    <t>Functional Safety-Capable</t>
  </si>
  <si>
    <t>-40 to 150</t>
  </si>
  <si>
    <t>2.6 x 2.6</t>
  </si>
  <si>
    <t>ACTIVE</t>
  </si>
  <si>
    <t>Automotive, 36V, 3A synchronous step-down converter with 1.5uA IQ and low EMI</t>
  </si>
  <si>
    <t>AC/DC &amp; DC/DC converters (integrated FET)</t>
  </si>
  <si>
    <t>Automotive</t>
  </si>
  <si>
    <t>VQFN-FCRLF</t>
  </si>
  <si>
    <t>Functional Safety-Capable</t>
  </si>
  <si>
    <t>-40 to 125</t>
  </si>
  <si>
    <t>2.6 x 2.6</t>
  </si>
  <si>
    <t>ACTIVE</t>
  </si>
  <si>
    <t>600V 30mΩ GaN FET with integrated driver, protection and zero-voltage detection</t>
  </si>
  <si>
    <t>Gallium nitride (GaN) power stages</t>
  </si>
  <si>
    <t>Catalog</t>
  </si>
  <si>
    <t>VQFN</t>
  </si>
  <si>
    <t/>
  </si>
  <si>
    <t>-40 to 125</t>
  </si>
  <si>
    <t>12 x 12</t>
  </si>
  <si>
    <t>ACTIVE</t>
  </si>
  <si>
    <t>Radiation-tolerant 1.5V to 7V input 6A eFuse</t>
  </si>
  <si>
    <t>eFuses (integrated hot swaps)</t>
  </si>
  <si>
    <t>Space</t>
  </si>
  <si>
    <t>HTSSOP</t>
  </si>
  <si>
    <t/>
  </si>
  <si>
    <t>-55 to 125</t>
  </si>
  <si>
    <t>11 x 8.1</t>
  </si>
  <si>
    <t>ACTIVE</t>
  </si>
  <si>
    <t>2.25-V to 5.5-V, 1-A high-efficiency step-down power module with integrated inductor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</si>
  <si>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</si>
  <si>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</si>
  <si>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</si>
  <si>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</si>
  <si>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</si>
  <si>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</si>
  <si>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3 x 3</t>
  </si>
  <si>
    <t>ACTIVE</t>
  </si>
  <si>
    <t>2.25-V to 5.5-V, 2-A high-efficiency step-down power module with integrated inductor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</si>
  <si>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</si>
  <si>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</si>
  <si>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</si>
  <si>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</si>
  <si>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</si>
  <si>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</si>
  <si>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3 x 3</t>
  </si>
  <si>
    <t>ACTIVE</t>
  </si>
  <si>
    <t>4V to 18V input, 3A synchronous SWIFT™ step-down power module with extended temperature</t>
  </si>
  <si>
    <t>Power modules (integrated inductor)</t>
  </si>
  <si>
    <t>Catalog</t>
  </si>
  <si>
    <t>Buck</t>
  </si>
  <si>
    <t>uSIP</t>
  </si>
  <si>
    <t/>
  </si>
  <si>
    <t>-55 to 125</t>
  </si>
  <si>
    <t>3.5 x 3.5</t>
  </si>
  <si>
    <t>ACTIVE</t>
  </si>
  <si>
    <t>4V to 18V input, 6A synchronous SWIFT™ step-down power module with extended temperature</t>
  </si>
  <si>
    <t>Power modules (integrated inductor)</t>
  </si>
  <si>
    <t>Catalog</t>
  </si>
  <si>
    <t>Buck</t>
  </si>
  <si>
    <t>uSIP</t>
  </si>
  <si>
    <t/>
  </si>
  <si>
    <t>-55 to 125</t>
  </si>
  <si>
    <t>3.5 x 3.5</t>
  </si>
  <si>
    <t>ACTIVE</t>
  </si>
  <si>
    <t>4V to 18V input, 8A synchronous SWIFT™ step-down power module with extended temperature</t>
  </si>
  <si>
    <t>Power modules (integrated inductor)</t>
  </si>
  <si>
    <t>Catalog</t>
  </si>
  <si>
    <t>Buck,Synchronous Buck</t>
  </si>
  <si>
    <t>uSIP</t>
  </si>
  <si>
    <t/>
  </si>
  <si>
    <t>-55 to 125</t>
  </si>
  <si>
    <t>3.5 x 3.5</t>
  </si>
  <si>
    <t>ACTIVE</t>
  </si>
  <si>
    <t>4-V to 16-V, 40-A synchronous D-CAP+™ step-down converter</t>
  </si>
  <si>
    <t>AC/DC &amp; DC/DC converters (integrated FET)</t>
  </si>
  <si>
    <t>Catalog</t>
  </si>
  <si>
    <t>Buck</t>
  </si>
  <si>
    <t>WQFN-FCRLF</t>
  </si>
  <si>
    <t/>
  </si>
  <si>
    <t>-40 to 125</t>
  </si>
  <si>
    <t>6 x 5</t>
  </si>
  <si>
    <t>ACTIVE</t>
  </si>
  <si>
    <t>Radiation-tolerant 4.5-V to 14-V input 3.5-A eFuse</t>
  </si>
  <si>
    <t>eFuses (integrated hot swaps)</t>
  </si>
  <si>
    <t>Space</t>
  </si>
  <si>
    <t>HTSSOP</t>
  </si>
  <si>
    <t/>
  </si>
  <si>
    <t>-55 to 125</t>
  </si>
  <si>
    <t>11 x 8.1</t>
  </si>
  <si>
    <t>ACTIVE</t>
  </si>
  <si>
    <t>95nA Iq 5.5V boost converter with input current limit and fast transient performance</t>
  </si>
  <si>
    <t>AC/DC &amp; DC/DC converters (integrated FET)</t>
  </si>
  <si>
    <t>Automotive</t>
  </si>
  <si>
    <t>Boost</t>
  </si>
  <si>
    <t>SOT-5X3</t>
  </si>
  <si>
    <t>Functional Safety-Capable</t>
  </si>
  <si>
    <t>-40 to 125</t>
  </si>
  <si>
    <t>1.6 x 1.6</t>
  </si>
  <si>
    <t>ACTIVE</t>
  </si>
  <si>
    <t>300-mA low-noise, low-IQ voltage regulator with high PSRR and 1.2-V logic-compatible enable</t>
  </si>
  <si>
    <t>Linear &amp; low-dropout (LDO) regulators</t>
  </si>
  <si>
    <t>Catalog</t>
  </si>
  <si>
    <t>X2SON</t>
  </si>
  <si>
    <t/>
  </si>
  <si>
    <t>-40 to 125</t>
  </si>
  <si>
    <t>1 x 1</t>
  </si>
  <si>
    <t>ACTIVE</t>
  </si>
  <si>
    <t>80V input, 1.5A synchronous step-down (buck) DC/DC converter with spread spectrum</t>
  </si>
  <si>
    <t>AC/DC &amp; DC/DC converters (integrated FET)</t>
  </si>
  <si>
    <t>Catalog</t>
  </si>
  <si>
    <t>Buck</t>
  </si>
  <si>
    <t>WSON</t>
  </si>
  <si>
    <t>Functional Safety-Capable</t>
  </si>
  <si>
    <t>-40 to 150</t>
  </si>
  <si>
    <t>3 x 3</t>
  </si>
  <si>
    <t>ACTIVE</t>
  </si>
  <si>
    <t>80V input, 2.5A synchronous step-down (buck) DC/DC converter with spread spectrum</t>
  </si>
  <si>
    <t>AC/DC &amp; DC/DC converters (integrated FET)</t>
  </si>
  <si>
    <t>Catalog</t>
  </si>
  <si>
    <t>Buck</t>
  </si>
  <si>
    <t>WSON</t>
  </si>
  <si>
    <t>Functional Safety-Capable</t>
  </si>
  <si>
    <t>-40 to 150</t>
  </si>
  <si>
    <t>3 x 3</t>
  </si>
  <si>
    <t>ACTIVE</t>
  </si>
  <si>
    <t>Automotive, 600nA ultra-low quiescent current supervisor with programmable delay and manual reset</t>
  </si>
  <si>
    <t>Reset &amp; watchdog ICs</t>
  </si>
  <si>
    <t>Automotive</t>
  </si>
  <si>
    <t>SOT-23</t>
  </si>
  <si>
    <t/>
  </si>
  <si>
    <t>-40 to 125</t>
  </si>
  <si>
    <t>2.9 x 2.8</t>
  </si>
  <si>
    <t>ACTIVE</t>
  </si>
  <si>
    <t>Automotive 3.5V-to-36V 3.25A step-down voltage converter</t>
  </si>
  <si>
    <t>AC/DC &amp; DC/DC converters (integrated FET)</t>
  </si>
  <si>
    <t>Automotive</t>
  </si>
  <si>
    <t>Buck</t>
  </si>
  <si>
    <t>WSON</t>
  </si>
  <si>
    <t>Functional Safety-Capable</t>
  </si>
  <si>
    <t>-40 to 150</t>
  </si>
  <si>
    <t>3 x 3</t>
  </si>
  <si>
    <t>ACTIVE</t>
  </si>
  <si>
    <t>3V to 17V input voltage, 3.3V, 1A output synchronous buck module in QFN package</t>
  </si>
  <si>
    <t>Power modules (integrated inductor)</t>
  </si>
  <si>
    <t>Catalog</t>
  </si>
  <si>
    <t>Synchronous Buck</t>
  </si>
  <si>
    <t>QFN-FCMOD</t>
  </si>
  <si>
    <t/>
  </si>
  <si>
    <t>-40 to 125</t>
  </si>
  <si>
    <t>4 x 3.3</t>
  </si>
  <si>
    <t>ACTIVE</t>
  </si>
  <si>
    <t>3V to 17V input voltage, 3.3V, 3A output synchronous buck module in QFN package</t>
  </si>
  <si>
    <t>Power modules (integrated inductor)</t>
  </si>
  <si>
    <t>Catalog</t>
  </si>
  <si>
    <t>Synchronous Buck</t>
  </si>
  <si>
    <t>QFN-FCMOD</t>
  </si>
  <si>
    <t/>
  </si>
  <si>
    <t>-40 to 125</t>
  </si>
  <si>
    <t>4 x 3.3</t>
  </si>
  <si>
    <t>ACTIVE</t>
  </si>
  <si>
    <t>3kVRMS 4A/6A two-channel isolated gate driver with disable logic and programmable deadtime</t>
  </si>
  <si>
    <t>Isolated gate drivers</t>
  </si>
  <si>
    <t>Automotive,Catalog</t>
  </si>
  <si>
    <t>SOIC</t>
  </si>
  <si>
    <t>Functional Safety-Capable</t>
  </si>
  <si>
    <t>-40 to 150</t>
  </si>
  <si>
    <t>9.9 x 6</t>
  </si>
  <si>
    <t>ACTIVE</t>
  </si>
  <si>
    <t>Automotive, 3kVRMS 4A/6A two-channel gate driver with disable logic and programmable deadtime</t>
  </si>
  <si>
    <t>Isolated gate drivers</t>
  </si>
  <si>
    <t>Automotive</t>
  </si>
  <si>
    <t>SOIC</t>
  </si>
  <si>
    <t>Functional Safety-Capable</t>
  </si>
  <si>
    <t>-40 to 150</t>
  </si>
  <si>
    <t>9.9 x 6</t>
  </si>
  <si>
    <t>ACTIVE</t>
  </si>
  <si>
    <t>Automotive, 36V, 600mA synchronous step-down converter with 4uA IQ and high light load efficiency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</si>
  <si>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</si>
  <si>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</si>
  <si>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</si>
  <si>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</si>
  <si>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</si>
  <si>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</si>
  <si>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2 x 2</t>
  </si>
  <si>
    <t>ACTIVE</t>
  </si>
  <si>
    <t>3-A, 1.1-V, low-VIN, low-noise high-accuracy ultra-low-dropout voltage regulator with 0.5-V low VREF</t>
  </si>
  <si>
    <t>Linear &amp; low-dropout (LDO) regulators</t>
  </si>
  <si>
    <t>Catalog</t>
  </si>
  <si>
    <t>VQFN-HR</t>
  </si>
  <si>
    <t/>
  </si>
  <si>
    <t>-40 to 125</t>
  </si>
  <si>
    <t>2.5 x 2.2</t>
  </si>
  <si>
    <t>ACTIVE</t>
  </si>
  <si>
    <t>25V 20A bidirectional buck-boost converter</t>
  </si>
  <si>
    <t>AC/DC &amp; DC/DC converters (integrated FET)</t>
  </si>
  <si>
    <t>Catalog</t>
  </si>
  <si>
    <t>Boost,Buck,Buck/Boost</t>
  </si>
  <si>
    <t>VQFN-HR</t>
  </si>
  <si>
    <t/>
  </si>
  <si>
    <t>-40 to 125</t>
  </si>
  <si>
    <t>3 x 2.5</t>
  </si>
  <si>
    <t>ACTIVE</t>
  </si>
  <si>
    <t>4.5V to 28V input, 8A synchronous buck converter with Out-of-Audio™ operation</t>
  </si>
  <si>
    <t>AC/DC &amp; DC/DC converters (integrated FET)</t>
  </si>
  <si>
    <t>Catalog</t>
  </si>
  <si>
    <t>Buck</t>
  </si>
  <si>
    <t>VQFN-HR</t>
  </si>
  <si>
    <t/>
  </si>
  <si>
    <t>-40 to 150</t>
  </si>
  <si>
    <t>3 x 3</t>
  </si>
  <si>
    <t>ACTIVE</t>
  </si>
  <si>
    <t>4.5V to 28V input, 8A synchronous buck converter with FCCM operation</t>
  </si>
  <si>
    <t>AC/DC &amp; DC/DC converters (integrated FET)</t>
  </si>
  <si>
    <t>Catalog</t>
  </si>
  <si>
    <t>Buck</t>
  </si>
  <si>
    <t>VQFN-HR</t>
  </si>
  <si>
    <t/>
  </si>
  <si>
    <t>-40 to 150</t>
  </si>
  <si>
    <t>3 x 3</t>
  </si>
  <si>
    <t>ACTIVE</t>
  </si>
  <si>
    <t>4.5V to 28V input, 10A synchronous buck converter</t>
  </si>
  <si>
    <t>AC/DC &amp; DC/DC converters (integrated FET)</t>
  </si>
  <si>
    <t>Catalog</t>
  </si>
  <si>
    <t>Buck</t>
  </si>
  <si>
    <t>VQFN-HR</t>
  </si>
  <si>
    <t/>
  </si>
  <si>
    <t>-40 to 150</t>
  </si>
  <si>
    <t>3 x 3</t>
  </si>
  <si>
    <t>ACTIVE</t>
  </si>
  <si>
    <t>4.2-V to 17-V input, 2-A synchronous buck converter in SOT563 with eco-mode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</si>
  <si>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</si>
  <si>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</si>
  <si>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</si>
  <si>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</si>
  <si>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</si>
  <si>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</si>
  <si>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</si>
  <si>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</si>
  <si>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4.2-V to 17-V input, 2-A synchronous buck converter in SOT563 with FCCM mode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</si>
  <si>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</si>
  <si>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</si>
  <si>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</si>
  <si>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</si>
  <si>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</si>
  <si>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</si>
  <si>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</si>
  <si>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</si>
  <si>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4.2-V to 17-V input, 3-A synchronous buck converter in SOT563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</si>
  <si>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</si>
  <si>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</si>
  <si>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</si>
  <si>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</si>
  <si>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</si>
  <si>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</si>
  <si>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</si>
  <si>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</si>
  <si>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Automotive, 80V input, 1.5A synchronous step-down (buck) DC/DC converter with spread spectrum</t>
  </si>
  <si>
    <t>AC/DC &amp; DC/DC converters (integrated FET)</t>
  </si>
  <si>
    <t>Automotive</t>
  </si>
  <si>
    <t>Buck</t>
  </si>
  <si>
    <t>WSON</t>
  </si>
  <si>
    <t>Functional Safety-Capable</t>
  </si>
  <si>
    <t>-40 to 150</t>
  </si>
  <si>
    <t>3 x 3</t>
  </si>
  <si>
    <t>ACTIVE</t>
  </si>
  <si>
    <t>4.2-V to 17-V input, 3-A synchronous buck converter in SOT563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</si>
  <si>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</si>
  <si>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</si>
  <si>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</si>
  <si>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</si>
  <si>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</si>
  <si>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</si>
  <si>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</si>
  <si>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</si>
  <si>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4.5-V to 28-V input, 8-A FCCM mode, synchronous buck module with HotRod QFN package</t>
  </si>
  <si>
    <t>Power modules (integrated inductor)</t>
  </si>
  <si>
    <t>Catalog</t>
  </si>
  <si>
    <t>Buck</t>
  </si>
  <si>
    <t>B3QFN</t>
  </si>
  <si>
    <t/>
  </si>
  <si>
    <t>-40 to 150</t>
  </si>
  <si>
    <t>5.5 x 5</t>
  </si>
  <si>
    <t>ACTIVE</t>
  </si>
  <si>
    <t>4.5V to 28V input, 8A synchronous buck converter with output voltage range supporting USB-C</t>
  </si>
  <si>
    <t>AC/DC &amp; DC/DC converters (integrated FET)</t>
  </si>
  <si>
    <t>Catalog</t>
  </si>
  <si>
    <t>Buck</t>
  </si>
  <si>
    <t>VQFN-HR</t>
  </si>
  <si>
    <t/>
  </si>
  <si>
    <t>-40 to 150</t>
  </si>
  <si>
    <t>3 x 3</t>
  </si>
  <si>
    <t>ACTIVE</t>
  </si>
  <si>
    <t>3-V to 65-V input, 1-V to 6-V output, 0.1-A synchronous buck converter power module</t>
  </si>
  <si>
    <t>Power modules (integrated inductor)</t>
  </si>
  <si>
    <t>Catalog</t>
  </si>
  <si>
    <t>Synchronous Buck</t>
  </si>
  <si>
    <t>QFN-FCMOD</t>
  </si>
  <si>
    <t>Functional Safety-Capable</t>
  </si>
  <si>
    <t>-40 to 125</t>
  </si>
  <si>
    <t>4.5 x 3.5</t>
  </si>
  <si>
    <t>ACTIVE</t>
  </si>
  <si>
    <t>3-V to 65-V input, 1-V to 6-V output, 0.15-A synchronous buck converter power module</t>
  </si>
  <si>
    <t>Power modules (integrated inductor)</t>
  </si>
  <si>
    <t>Catalog</t>
  </si>
  <si>
    <t>Synchronous Buck</t>
  </si>
  <si>
    <t>QFN-FCMOD</t>
  </si>
  <si>
    <t>Functional Safety-Capable</t>
  </si>
  <si>
    <t>-40 to 125</t>
  </si>
  <si>
    <t>4.5 x 3.5</t>
  </si>
  <si>
    <t>ACTIVE</t>
  </si>
  <si>
    <t>3-V to 65-V input, 1-V to 15-V output, 0.1-A synchronous buck converter power module</t>
  </si>
  <si>
    <t>Power modules (integrated inductor)</t>
  </si>
  <si>
    <t>Catalog</t>
  </si>
  <si>
    <t>Synchronous Buck</t>
  </si>
  <si>
    <t>QFN-FCMOD</t>
  </si>
  <si>
    <t>Functional Safety-Capable</t>
  </si>
  <si>
    <t>-40 to 125</t>
  </si>
  <si>
    <t>4.5 x 3.5</t>
  </si>
  <si>
    <t>ACTIVE</t>
  </si>
  <si>
    <t>4-A dual-channel low-side gate driver with -5-V input capability</t>
  </si>
  <si>
    <t>Low-side drivers</t>
  </si>
  <si>
    <t>Catalog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</si>
  <si>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</si>
  <si>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</si>
  <si>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</si>
  <si>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</si>
  <si>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</si>
  <si>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</si>
  <si>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</si>
  <si>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</si>
  <si>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SIMPLE SWITCHER® power converter with 4.5V-to-65V 0.6A synchronous buck and 25µA quiescent current</t>
  </si>
  <si>
    <t>AC/DC &amp; DC/DC converters (integrated FET)</t>
  </si>
  <si>
    <t>Catalog</t>
  </si>
  <si>
    <t>Buck</t>
  </si>
  <si>
    <t>SOT-23</t>
  </si>
  <si>
    <t>Functional Safety-Capable</t>
  </si>
  <si>
    <t>-40 to 150</t>
  </si>
  <si>
    <t>2.9 x 2.8</t>
  </si>
  <si>
    <t>ACTIVE</t>
  </si>
  <si>
    <t>0.8ppm/°C drift (max), 0.11ppmp-p 1/f noise, 380μA current precision voltage reference</t>
  </si>
  <si>
    <t>Series voltage references</t>
  </si>
  <si>
    <t>Catalog</t>
  </si>
  <si>
    <t>SOIC</t>
  </si>
  <si>
    <t/>
  </si>
  <si>
    <t>-40 to 125</t>
  </si>
  <si>
    <t>4.9 x 6</t>
  </si>
  <si>
    <t>ACTIVE</t>
  </si>
  <si>
    <t>6-V Input, 6-A parallelable DC-DC buck module with I2C, frequency synch and remote sense</t>
  </si>
  <si>
    <t>Power modules (integrated inductor)</t>
  </si>
  <si>
    <t>Catalog</t>
  </si>
  <si>
    <t>Buck,Multiphase,Step-Down Converter,Synchronous Buck</t>
  </si>
  <si>
    <t>B0QFN</t>
  </si>
  <si>
    <t/>
  </si>
  <si>
    <t>-40 to 125</t>
  </si>
  <si>
    <t>4.5 x 6.8</t>
  </si>
  <si>
    <t>ACTIVE</t>
  </si>
  <si>
    <t>65-V window supervisor with built-in self-test</t>
  </si>
  <si>
    <t>Supply-voltage supervisors</t>
  </si>
  <si>
    <t>Catalog</t>
  </si>
  <si>
    <t>SOT-23-THN</t>
  </si>
  <si>
    <t>Functional Safety-Compliant</t>
  </si>
  <si>
    <t>-40 to 125</t>
  </si>
  <si>
    <t>2.9 x 2.8</t>
  </si>
  <si>
    <t>ACTIVE</t>
  </si>
  <si>
    <t>High-density, 36V, 0.8V-to-16V output, dual 3A output power module</t>
  </si>
  <si>
    <t>Power modules (integrated inductor)</t>
  </si>
  <si>
    <t>Catalog</t>
  </si>
  <si>
    <t>Synchronous Buck</t>
  </si>
  <si>
    <t>QFN-FCMOD</t>
  </si>
  <si>
    <t/>
  </si>
  <si>
    <t>-40 to 125</t>
  </si>
  <si>
    <t>6.5 x 7</t>
  </si>
  <si>
    <t>ACTIVE</t>
  </si>
  <si>
    <t>Automotive ideal diode controller with FET good output</t>
  </si>
  <si>
    <t>Ideal diode &amp; ORing controllers</t>
  </si>
  <si>
    <t>Automotive</t>
  </si>
  <si>
    <t>SOT-23-THN</t>
  </si>
  <si>
    <t>Functional Safety-Capable</t>
  </si>
  <si>
    <t>-40 to 125</t>
  </si>
  <si>
    <t>2.9 x 2.8</t>
  </si>
  <si>
    <t>ACTIVE</t>
  </si>
  <si>
    <t>Automotive ideal diode controller with FET good open-drain output</t>
  </si>
  <si>
    <t>Ideal diode &amp; ORing controllers</t>
  </si>
  <si>
    <t>Automotive</t>
  </si>
  <si>
    <t>SOT-23-THN</t>
  </si>
  <si>
    <t>Functional Safety-Capable</t>
  </si>
  <si>
    <t>-40 to 125</t>
  </si>
  <si>
    <t>2.9 x 2.8</t>
  </si>
  <si>
    <t>ACTIVE</t>
  </si>
  <si>
    <t>Automotive, three 3A low-noise buck converters, I/O LDO and load-switch PMIC for radar MMICs</t>
  </si>
  <si>
    <t>Multi-channel ICs (PMICs)</t>
  </si>
  <si>
    <t>Automotive</t>
  </si>
  <si>
    <t>VQFN-HR</t>
  </si>
  <si>
    <t>Functional Safety-Compliant</t>
  </si>
  <si>
    <t>-40 to 125</t>
  </si>
  <si>
    <t>4 x 4</t>
  </si>
  <si>
    <t>ACTIVE</t>
  </si>
  <si>
    <t>Radiation-hardened, QMLP, 2.3-V to 3.5-V input, 3-A sink and source DDR termination LDO regulator</t>
  </si>
  <si>
    <t>DDR memory power ICs</t>
  </si>
  <si>
    <t>Space</t>
  </si>
  <si>
    <t>HTSSOP</t>
  </si>
  <si>
    <t/>
  </si>
  <si>
    <t>-55 to 125</t>
  </si>
  <si>
    <t>11 x 8.1</t>
  </si>
  <si>
    <t>ACTIVE</t>
  </si>
  <si>
    <t>Automotive 3-channel, constant-current and constant-voltage synchronous buck LED driver</t>
  </si>
  <si>
    <t>Automotive LED drivers</t>
  </si>
  <si>
    <t>Automotive</t>
  </si>
  <si>
    <t>Buck</t>
  </si>
  <si>
    <t>HTQFP</t>
  </si>
  <si>
    <t>Functional Safety-Capable</t>
  </si>
  <si>
    <t>-40 to 125</t>
  </si>
  <si>
    <t>9 x 9</t>
  </si>
  <si>
    <t>ACTIVE</t>
  </si>
  <si>
    <t>6-V to 60-V, 100-mΩ, 4.5-A single-channel high-side switch</t>
  </si>
  <si>
    <t>High-side switches</t>
  </si>
  <si>
    <t>Catalog</t>
  </si>
  <si>
    <t>WSON</t>
  </si>
  <si>
    <t/>
  </si>
  <si>
    <t>-40 to 125</t>
  </si>
  <si>
    <t>4 x 4</t>
  </si>
  <si>
    <t>ACTIVE</t>
  </si>
  <si>
    <t>Current-mode flyback controller with secondary-side regulation (SSR) for offline applications</t>
  </si>
  <si>
    <t>AC/DC &amp; DC/DC controllers (external FET)</t>
  </si>
  <si>
    <t>Catalog</t>
  </si>
  <si>
    <t>Buck,Flyback</t>
  </si>
  <si>
    <t>SOT-23</t>
  </si>
  <si>
    <t/>
  </si>
  <si>
    <t>-40 to 125</t>
  </si>
  <si>
    <t>2.9 x 2.8</t>
  </si>
  <si>
    <t>ACTIVE</t>
  </si>
  <si>
    <t>2-ch, 5.5-V, 4-A, 14-m&amp;Omega; on-resistance load switch with adjustable rise time</t>
  </si>
  <si>
    <t>Load switches</t>
  </si>
  <si>
    <t>Catalog</t>
  </si>
  <si>
    <t>SOT-5X3</t>
  </si>
  <si>
    <t/>
  </si>
  <si>
    <t>-40 to 105</t>
  </si>
  <si>
    <t>2.1 x 1.6</t>
  </si>
  <si>
    <t>ACTIVE</t>
  </si>
  <si>
    <t>2.25-V to 5.5-V, 3-A, low-noise step-down module with integrated inductor in QFN package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</si>
  <si>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</si>
  <si>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</si>
  <si>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</si>
  <si>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</si>
  <si>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</si>
  <si>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</si>
  <si>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9,10</t>
  </si>
  <si>
    <t>6.5,9</t>
  </si>
  <si>
    <t>2.6 x 2.5,3 x 3</t>
  </si>
  <si>
    <t>2,2.05</t>
  </si>
  <si>
    <t>ACTIVE</t>
  </si>
  <si>
    <t>6-V input, 12-A stackable DC-DC buck module with I2C and integrated inductor</t>
  </si>
  <si>
    <t>Power modules (integrated inductor)</t>
  </si>
  <si>
    <t>Catalog</t>
  </si>
  <si>
    <t>Buck,Step-Down Converter,Synchronous Buck</t>
  </si>
  <si>
    <t>B0QFN</t>
  </si>
  <si>
    <t/>
  </si>
  <si>
    <t>-40 to 125</t>
  </si>
  <si>
    <t>4.5 x 6.8</t>
  </si>
  <si>
    <t>ACTIVE</t>
  </si>
  <si>
    <t xml:space="preserve">AEC-Q100 qualified, 36-V 8-A fully integrated buck-boost converter with I&amp;sup2;C interface 	
</t>
  </si>
  <si>
    <t>AC/DC &amp; DC/DC converters (integrated FET)</t>
  </si>
  <si>
    <t>Automotive</t>
  </si>
  <si>
    <t>Buck-Boost</t>
  </si>
  <si>
    <t>VQFN-HR</t>
  </si>
  <si>
    <t>Functional Safety-Capable</t>
  </si>
  <si>
    <t>-40 to 125</t>
  </si>
  <si>
    <t>5 x 3</t>
  </si>
  <si>
    <t>ACTIVE</t>
  </si>
  <si>
    <t>6V input, 10A parallelable synchronous buck converter with I²C and frequency synchronization option</t>
  </si>
  <si>
    <t>AC/DC &amp; DC/DC converters (integrated FET)</t>
  </si>
  <si>
    <t>Catalog</t>
  </si>
  <si>
    <t>Buck</t>
  </si>
  <si>
    <t>WQFN-FCRLF</t>
  </si>
  <si>
    <t/>
  </si>
  <si>
    <t>-40 to 125</t>
  </si>
  <si>
    <t>3.05 x 4.05</t>
  </si>
  <si>
    <t>ACTIVE</t>
  </si>
  <si>
    <t>6V input, 25A parallelable synchronous buck converter with I²C and frequency synchronization option</t>
  </si>
  <si>
    <t>AC/DC &amp; DC/DC converters (integrated FET)</t>
  </si>
  <si>
    <t>Catalog</t>
  </si>
  <si>
    <t>Buck,Multiphase,Step-Down Converter,Synchronous Buck</t>
  </si>
  <si>
    <t>WQFN-FCRLF</t>
  </si>
  <si>
    <t/>
  </si>
  <si>
    <t>-40 to 125</t>
  </si>
  <si>
    <t>3.05 x 4.05</t>
  </si>
  <si>
    <t>ACTIVE</t>
  </si>
  <si>
    <t>42-VIN primary side regulation flyback controller with low IQ and low EMI</t>
  </si>
  <si>
    <t>AC/DC &amp; DC/DC controllers (external FET)</t>
  </si>
  <si>
    <t>Catalog</t>
  </si>
  <si>
    <t>PSR flyback</t>
  </si>
  <si>
    <t>HTSSOP</t>
  </si>
  <si>
    <t>Functional Safety-Capable</t>
  </si>
  <si>
    <t>-40 to 125</t>
  </si>
  <si>
    <t>5 x 6.4</t>
  </si>
  <si>
    <t>ACTIVE</t>
  </si>
  <si>
    <t>Automotive, 42-VIN primary side regulation flyback controller with low IQ and low EMI</t>
  </si>
  <si>
    <t>AC/DC &amp; DC/DC controllers (external FET)</t>
  </si>
  <si>
    <t>Automotive</t>
  </si>
  <si>
    <t>PSR flyback</t>
  </si>
  <si>
    <t>HTSSOP</t>
  </si>
  <si>
    <t>Functional Safety-Capable</t>
  </si>
  <si>
    <t>-40 to 125</t>
  </si>
  <si>
    <t>5 x 6.4</t>
  </si>
  <si>
    <t>ACTIVE</t>
  </si>
  <si>
    <t>100-VIN primary side regulation flyback controller with low IQ and low EMI</t>
  </si>
  <si>
    <t>AC/DC &amp; DC/DC controllers (external FET)</t>
  </si>
  <si>
    <t>Catalog</t>
  </si>
  <si>
    <t>PSR flyback</t>
  </si>
  <si>
    <t>HTSSOP</t>
  </si>
  <si>
    <t>Functional Safety-Capable</t>
  </si>
  <si>
    <t>-40 to 125</t>
  </si>
  <si>
    <t>5 x 6.4</t>
  </si>
  <si>
    <t>ACTIVE</t>
  </si>
  <si>
    <t>300-mA high-PSRR low-IQ low-dropout regulator with enable</t>
  </si>
  <si>
    <t>Linear &amp; low-dropout (LDO) regulators</t>
  </si>
  <si>
    <t>Catalog</t>
  </si>
  <si>
    <t>SOT-23,X2SON</t>
  </si>
  <si>
    <t/>
  </si>
  <si>
    <t>-40 to 125</t>
  </si>
  <si>
    <t>4,5</t>
  </si>
  <si>
    <t>1,8.12</t>
  </si>
  <si>
    <t>1 x 1,2.9 x 2.8</t>
  </si>
  <si>
    <t>0.4,1.45</t>
  </si>
  <si>
    <t>0.65,0.95</t>
  </si>
  <si>
    <t>ACTIVE</t>
  </si>
  <si>
    <t>Radiation-hardened, QMLV 200-V half-bridge GaN gate driver</t>
  </si>
  <si>
    <t>Half-bridge drivers</t>
  </si>
  <si>
    <t>Space</t>
  </si>
  <si>
    <t>CFP</t>
  </si>
  <si>
    <t/>
  </si>
  <si>
    <t>-55 to 125</t>
  </si>
  <si>
    <t>16.74 x 28</t>
  </si>
  <si>
    <t>ACTIVE</t>
  </si>
  <si>
    <t>2.7-V to 6-V, 0.5-A low-noise step-down module with integrated inductor in QFN package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</si>
  <si>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</si>
  <si>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</si>
  <si>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</si>
  <si>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</si>
  <si>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</si>
  <si>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</si>
  <si>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2.7 x 3</t>
  </si>
  <si>
    <t>ACTIVE</t>
  </si>
  <si>
    <t>2.7-V to 6-V, 1-A low-noise step-down module with integrated inductor in QFN package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</si>
  <si>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</si>
  <si>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</si>
  <si>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</si>
  <si>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</si>
  <si>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</si>
  <si>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</si>
  <si>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2.7 x 3</t>
  </si>
  <si>
    <t>ACTIVE</t>
  </si>
  <si>
    <t>2.7-V to 6-V, 2-A low-noise step-down module with integrated inductor in QFN package</t>
  </si>
  <si>
    <t>Power modules (integrated inductor)</t>
  </si>
  <si>
    <t>Catalog</t>
  </si>
  <si>
    <t>Buck,Step-Down Converter,Synchronous Buck</t>
  </si>
  <si>
    <t>QFN-FCMOD</t>
  </si>
  <si>
    <t/>
  </si>
  <si>
    <t>-40 to 125</t>
  </si>
  <si>
    <t>2.7 x 3</t>
  </si>
  <si>
    <t>ACTIVE</t>
  </si>
  <si>
    <t>4-V to 18-V input, advanced current mode, 3-A synchronous SWIFT™ step-down power module</t>
  </si>
  <si>
    <t>Power modules (integrated inductor)</t>
  </si>
  <si>
    <t>Catalog</t>
  </si>
  <si>
    <t>Buck</t>
  </si>
  <si>
    <t>uSIP</t>
  </si>
  <si>
    <t/>
  </si>
  <si>
    <t>-40 to 125</t>
  </si>
  <si>
    <t>3.5 x 3.5</t>
  </si>
  <si>
    <t>ACTIVE</t>
  </si>
  <si>
    <t>4-V to 18-V input, advanced current mode, 6-A synchronous SWIFT™ step-down power module</t>
  </si>
  <si>
    <t>Power modules (integrated inductor)</t>
  </si>
  <si>
    <t>Catalog</t>
  </si>
  <si>
    <t>Buck</t>
  </si>
  <si>
    <t>uSIP</t>
  </si>
  <si>
    <t/>
  </si>
  <si>
    <t>-40 to 125</t>
  </si>
  <si>
    <t>3.5 x 3.5</t>
  </si>
  <si>
    <t>ACTIVE</t>
  </si>
  <si>
    <t>4-V to 18-V input, advanced current mode, 8-A synchronous SWIFT™ step-down power module</t>
  </si>
  <si>
    <t>Power modules (integrated inductor)</t>
  </si>
  <si>
    <t>Catalog</t>
  </si>
  <si>
    <t>Buck</t>
  </si>
  <si>
    <t>uSIP</t>
  </si>
  <si>
    <t/>
  </si>
  <si>
    <t>-40 to 125</t>
  </si>
  <si>
    <t>3.5 x 3.5</t>
  </si>
  <si>
    <t>ACTIVE</t>
  </si>
  <si>
    <t>Automotive, 3-channel, overvoltage and undervoltage I²C programmable supervisor with Q&amp;A watchdog</t>
  </si>
  <si>
    <t>Reset &amp; watchdog ICs</t>
  </si>
  <si>
    <t>Automotive</t>
  </si>
  <si>
    <t>WQFN</t>
  </si>
  <si>
    <t>Functional Safety-Compliant</t>
  </si>
  <si>
    <t>-40 to 125</t>
  </si>
  <si>
    <t>3 x 3</t>
  </si>
  <si>
    <t>ACTIVE</t>
  </si>
  <si>
    <t>6-V, 6-A, parallelable, synchronous buck converter; frequency synch option, fast transient respon</t>
  </si>
  <si>
    <t>AC/DC &amp; DC/DC converters (integrated FET)</t>
  </si>
  <si>
    <t>Automotive,Catalog</t>
  </si>
  <si>
    <t>Buck</t>
  </si>
  <si>
    <t>VQFN-FCRLF</t>
  </si>
  <si>
    <t/>
  </si>
  <si>
    <t>-40 to 125</t>
  </si>
  <si>
    <t>2.55 x 3.55</t>
  </si>
  <si>
    <t>ACTIVE</t>
  </si>
  <si>
    <t>Automotive, 5-V, 5-A boost converter with power good, output discharge and PFM/PWM control</t>
  </si>
  <si>
    <t>AC/DC &amp; DC/DC converters (integrated FET)</t>
  </si>
  <si>
    <t>Automotive</t>
  </si>
  <si>
    <t>Boost</t>
  </si>
  <si>
    <t>SOT-5X3</t>
  </si>
  <si>
    <t>Functional Safety-Capable</t>
  </si>
  <si>
    <t>-40 to 125</t>
  </si>
  <si>
    <t>2.1 x 1.6</t>
  </si>
  <si>
    <t>ACTIVE</t>
  </si>
  <si>
    <t>Automotive 5-V, 1.85-A boost converter with power good, output discharge and PFM/PWM control</t>
  </si>
  <si>
    <t>AC/DC &amp; DC/DC converters (integrated FET)</t>
  </si>
  <si>
    <t>Automotive</t>
  </si>
  <si>
    <t>Boost</t>
  </si>
  <si>
    <t>SOT-5X3</t>
  </si>
  <si>
    <t>Functional Safety-Capable</t>
  </si>
  <si>
    <t>-40 to 125</t>
  </si>
  <si>
    <t>2.1 x 1.6</t>
  </si>
  <si>
    <t>ACTIVE</t>
  </si>
  <si>
    <t>Automotive, 2.5-V to 5.5-V input, 1-A output step-down converter with forced pulse-width modulation</t>
  </si>
  <si>
    <t>AC/DC &amp; DC/DC converters (integrated FET)</t>
  </si>
  <si>
    <t>Automotive</t>
  </si>
  <si>
    <t>Buck</t>
  </si>
  <si>
    <t>SOT-5X3</t>
  </si>
  <si>
    <t/>
  </si>
  <si>
    <t>-40 to 125</t>
  </si>
  <si>
    <t>1.6 x 1.6</t>
  </si>
  <si>
    <t>ACTIVE</t>
  </si>
  <si>
    <t>Automotive, 70-mA 40-V voltage-tracking low-dropout regulator with FB and 6-mV tracking tolerance</t>
  </si>
  <si>
    <t>Linear &amp; low-dropout (LDO) regulators</t>
  </si>
  <si>
    <t>Automotive</t>
  </si>
  <si>
    <t>HSOIC,SOIC</t>
  </si>
  <si>
    <t/>
  </si>
  <si>
    <t>-40 to 125</t>
  </si>
  <si>
    <t>4.9 x 6</t>
  </si>
  <si>
    <t>1.7,1.75</t>
  </si>
  <si>
    <t>ACTIVE</t>
  </si>
  <si>
    <t>Sink-only USB Type-C® and USB Power Delivery (PD) controller with no firmware development required</t>
  </si>
  <si>
    <t>USB Type-C &amp; USB Power Delivery ICs</t>
  </si>
  <si>
    <t>Catalog</t>
  </si>
  <si>
    <t>VQFN,WQFN</t>
  </si>
  <si>
    <t/>
  </si>
  <si>
    <t>-40 to 125</t>
  </si>
  <si>
    <t>32,38</t>
  </si>
  <si>
    <t>16,24</t>
  </si>
  <si>
    <t>4 x 4,6 x 4</t>
  </si>
  <si>
    <t>0.8,1</t>
  </si>
  <si>
    <t>ACTIVE</t>
  </si>
  <si>
    <t>2.95-V to 16-V stackable 10-A synchronous SWIFT™ step-down PMBus converter with extended security</t>
  </si>
  <si>
    <t>AC/DC &amp; DC/DC converters (integrated FET)</t>
  </si>
  <si>
    <t>Catalog</t>
  </si>
  <si>
    <t>Buck</t>
  </si>
  <si>
    <t>LQFN-CLIP</t>
  </si>
  <si>
    <t/>
  </si>
  <si>
    <t>-40 to 150</t>
  </si>
  <si>
    <t>7 x 5</t>
  </si>
  <si>
    <t>ACTIVE</t>
  </si>
  <si>
    <t>2.95-V to 16-V stackable 20-A synchronous SWIFT™ step-down PMBus converter with extended security</t>
  </si>
  <si>
    <t>AC/DC &amp; DC/DC converters (integrated FET)</t>
  </si>
  <si>
    <t>Catalog</t>
  </si>
  <si>
    <t>Buck</t>
  </si>
  <si>
    <t>LQFN-CLIP</t>
  </si>
  <si>
    <t/>
  </si>
  <si>
    <t>-40 to 150</t>
  </si>
  <si>
    <t>7 x 5</t>
  </si>
  <si>
    <t>ACTIVE</t>
  </si>
  <si>
    <t>Automotive, 2.5V-to-5.5V input, 1A output high-efficiency step-down converter</t>
  </si>
  <si>
    <t>AC/DC &amp; DC/DC converters (integrated FET)</t>
  </si>
  <si>
    <t>Automotive</t>
  </si>
  <si>
    <t>Buck</t>
  </si>
  <si>
    <t>SOT-5X3</t>
  </si>
  <si>
    <t/>
  </si>
  <si>
    <t>-40 to 125</t>
  </si>
  <si>
    <t>1.6 x 1.6</t>
  </si>
  <si>
    <t>ACTIVE</t>
  </si>
  <si>
    <t>Automotive synchronous buck infrared LED driver</t>
  </si>
  <si>
    <t>Automotive LED drivers</t>
  </si>
  <si>
    <t>Automotive</t>
  </si>
  <si>
    <t>Buck</t>
  </si>
  <si>
    <t>HTSSOP</t>
  </si>
  <si>
    <t>Functional Safety-Capable</t>
  </si>
  <si>
    <t>-40 to 125</t>
  </si>
  <si>
    <t>5 x 6.4</t>
  </si>
  <si>
    <t>ACTIVE</t>
  </si>
  <si>
    <t>4A/6A, 5-kVRMS dual-channel isolated gate driver with DIS and DT pins for IGBT</t>
  </si>
  <si>
    <t>Isolated gate drivers</t>
  </si>
  <si>
    <t>Catalog</t>
  </si>
  <si>
    <t>SOIC</t>
  </si>
  <si>
    <t>Functional Safety-Capable</t>
  </si>
  <si>
    <t>-40 to 150</t>
  </si>
  <si>
    <t>14,16</t>
  </si>
  <si>
    <t>10.3 x 10.3</t>
  </si>
  <si>
    <t>ACTIVE</t>
  </si>
  <si>
    <t>Automotive, 100-VIN primary-side regulation flyback controller with low IQ and low EMI</t>
  </si>
  <si>
    <t>AC/DC &amp; DC/DC controllers (external FET)</t>
  </si>
  <si>
    <t>Automotive</t>
  </si>
  <si>
    <t>PSR flyback</t>
  </si>
  <si>
    <t>HTSSOP</t>
  </si>
  <si>
    <t>Functional Safety-Capable</t>
  </si>
  <si>
    <t>-40 to 125</t>
  </si>
  <si>
    <t>5 x 6.4</t>
  </si>
  <si>
    <t>ACTIVE</t>
  </si>
  <si>
    <t>Automotive, 65-V, 4-A backlight boost LED driver with flexible dimming option</t>
  </si>
  <si>
    <t>Backlight LED drivers,Automotive LED drivers</t>
  </si>
  <si>
    <t>Automotive</t>
  </si>
  <si>
    <t>Boost</t>
  </si>
  <si>
    <t>VSON</t>
  </si>
  <si>
    <t/>
  </si>
  <si>
    <t>-40 to 125</t>
  </si>
  <si>
    <t>4.5 x 3</t>
  </si>
  <si>
    <t>ACTIVE</t>
  </si>
  <si>
    <t>Automotive, 65-V, 4-A backlight buck-boost LED driver with flexible dimming option</t>
  </si>
  <si>
    <t>Backlight LED drivers,Automotive LED drivers</t>
  </si>
  <si>
    <t>Automotive</t>
  </si>
  <si>
    <t>Buck-Boost</t>
  </si>
  <si>
    <t>VSON</t>
  </si>
  <si>
    <t/>
  </si>
  <si>
    <t>-40 to 125</t>
  </si>
  <si>
    <t>4.5 x 3</t>
  </si>
  <si>
    <t>ACTIVE</t>
  </si>
  <si>
    <t>Automotive, 65-V, 4-A backlight buck LED driver with flexible dimming option</t>
  </si>
  <si>
    <t>Automotive LED drivers,Backlight LED drivers</t>
  </si>
  <si>
    <t>Automotive</t>
  </si>
  <si>
    <t>Buck</t>
  </si>
  <si>
    <t>VSON</t>
  </si>
  <si>
    <t/>
  </si>
  <si>
    <t>-40 to 125</t>
  </si>
  <si>
    <t>4.5 x 3</t>
  </si>
  <si>
    <t>ACTIVE</t>
  </si>
  <si>
    <t>Automotive, 65-V 4-A boost LED driver with flexible dimming option and spread spectrum</t>
  </si>
  <si>
    <t>Backlight LED drivers,Automotive LED drivers</t>
  </si>
  <si>
    <t>Automotive</t>
  </si>
  <si>
    <t>Boost</t>
  </si>
  <si>
    <t>HVSSOP,VSON</t>
  </si>
  <si>
    <t/>
  </si>
  <si>
    <t>-40 to 125</t>
  </si>
  <si>
    <t>12,14</t>
  </si>
  <si>
    <t>13.5,19.6</t>
  </si>
  <si>
    <t>4 x 4.9,4.5 x 3</t>
  </si>
  <si>
    <t>1,1.1</t>
  </si>
  <si>
    <t>ACTIVE</t>
  </si>
  <si>
    <t>Automotive, 65-V 4-A buck-boost LED driver with flexible dimming option and spread spectrum</t>
  </si>
  <si>
    <t>Backlight LED drivers,Automotive LED drivers</t>
  </si>
  <si>
    <t>Automotive</t>
  </si>
  <si>
    <t>Buck-Boost</t>
  </si>
  <si>
    <t>HVSSOP,VSON</t>
  </si>
  <si>
    <t/>
  </si>
  <si>
    <t>-40 to 125</t>
  </si>
  <si>
    <t>12,14</t>
  </si>
  <si>
    <t>13.5,19.6</t>
  </si>
  <si>
    <t>4 x 4.9,4.5 x 3</t>
  </si>
  <si>
    <t>1,1.1</t>
  </si>
  <si>
    <t>ACTIVE</t>
  </si>
  <si>
    <t xml:space="preserve">Automotive, 65-V 4-A buck LED driver with flexible dimming option and spread spectrum
</t>
  </si>
  <si>
    <t>Automotive LED drivers,Backlight LED drivers</t>
  </si>
  <si>
    <t>Automotive</t>
  </si>
  <si>
    <t>Buck</t>
  </si>
  <si>
    <t>HVSSOP,VSON</t>
  </si>
  <si>
    <t/>
  </si>
  <si>
    <t>-40 to 125</t>
  </si>
  <si>
    <t>12,14</t>
  </si>
  <si>
    <t>13.5,19.6</t>
  </si>
  <si>
    <t>4 x 4.9,4.5 x 3</t>
  </si>
  <si>
    <t>1,1.1</t>
  </si>
  <si>
    <t>ACTIVE</t>
  </si>
  <si>
    <t>4-channel RGBW LED driver with I2C and auto animation control</t>
  </si>
  <si>
    <t>RGB LED drivers</t>
  </si>
  <si>
    <t>Catalog</t>
  </si>
  <si>
    <t>Linear</t>
  </si>
  <si>
    <t>DSBGA,WSON</t>
  </si>
  <si>
    <t/>
  </si>
  <si>
    <t>-40 to 85</t>
  </si>
  <si>
    <t>8,9</t>
  </si>
  <si>
    <t>2.56,9</t>
  </si>
  <si>
    <t>1.6 x 1.6,3 x 3</t>
  </si>
  <si>
    <t>0.4,0.8</t>
  </si>
  <si>
    <t>0.4,0.65</t>
  </si>
  <si>
    <t>ACTIVE</t>
  </si>
  <si>
    <t>4 x 3 matrix RGB LED driver with I2C and auto animation control</t>
  </si>
  <si>
    <t>RGB LED drivers</t>
  </si>
  <si>
    <t>Catalog</t>
  </si>
  <si>
    <t>Linear</t>
  </si>
  <si>
    <t>DSBGA,WSON</t>
  </si>
  <si>
    <t/>
  </si>
  <si>
    <t>-40 to 85</t>
  </si>
  <si>
    <t>8,9</t>
  </si>
  <si>
    <t>2.56,9</t>
  </si>
  <si>
    <t>1.6 x 1.6,3 x 3</t>
  </si>
  <si>
    <t>0.4,0.8</t>
  </si>
  <si>
    <t>0.4,0.65</t>
  </si>
  <si>
    <t>ACTIVE</t>
  </si>
  <si>
    <t>Three 3-A low-noise buck converter, I/O LDO and 5-V boost converter PMIC for industrial radar MMICs</t>
  </si>
  <si>
    <t>Multi-channel ICs (PMICs)</t>
  </si>
  <si>
    <t>Automotive</t>
  </si>
  <si>
    <t>VQFN-HR</t>
  </si>
  <si>
    <t/>
  </si>
  <si>
    <t>-40 to 125</t>
  </si>
  <si>
    <t>5 x 4.5</t>
  </si>
  <si>
    <t>ACTIVE</t>
  </si>
  <si>
    <t>2.25-V to 5.5-V, 1-A step-down converter with 1% accuracy in small QFN and SOT583 packages</t>
  </si>
  <si>
    <t>AC/DC &amp; DC/DC converters (integrated FET)</t>
  </si>
  <si>
    <t>Catalog</t>
  </si>
  <si>
    <t>Buck</t>
  </si>
  <si>
    <t>SOT-5X3,WQFN-HR</t>
  </si>
  <si>
    <t/>
  </si>
  <si>
    <t>-40 to 125</t>
  </si>
  <si>
    <t>2,3.36</t>
  </si>
  <si>
    <t>1 x 2,2.1 x 1.6</t>
  </si>
  <si>
    <t>0.6,0.8</t>
  </si>
  <si>
    <t>ACTIVE</t>
  </si>
  <si>
    <t>2.25-V to 5.5-V, 2-A step-down converter with 1% accuracy in small QFN and SOT583 packages</t>
  </si>
  <si>
    <t>AC/DC &amp; DC/DC converters (integrated FET)</t>
  </si>
  <si>
    <t>Catalog</t>
  </si>
  <si>
    <t>Buck</t>
  </si>
  <si>
    <t>SOT-5X3,WQFN-HR</t>
  </si>
  <si>
    <t/>
  </si>
  <si>
    <t>-40 to 125</t>
  </si>
  <si>
    <t>2,3.36</t>
  </si>
  <si>
    <t>1 x 2,2.1 x 1.6</t>
  </si>
  <si>
    <t>0.6,0.8</t>
  </si>
  <si>
    <t>ACTIVE</t>
  </si>
  <si>
    <t>2.25-V to 5.5-V, 4-A step-down converter with 1% accuracy in small QFN and SOT583 packages</t>
  </si>
  <si>
    <t>AC/DC &amp; DC/DC converters (integrated FET)</t>
  </si>
  <si>
    <t>Catalog</t>
  </si>
  <si>
    <t>Buck,Step-Down Converter,Synchronous Buck</t>
  </si>
  <si>
    <t>SOT-5X3,WQFN-HR</t>
  </si>
  <si>
    <t/>
  </si>
  <si>
    <t>-40 to 125</t>
  </si>
  <si>
    <t>2,3.36</t>
  </si>
  <si>
    <t>1 x 2,2.1 x 1.6</t>
  </si>
  <si>
    <t>0.6,0.8</t>
  </si>
  <si>
    <t>ACTIVE</t>
  </si>
  <si>
    <t>3-V to 65-V, 50-mA ultra-small synchronous buck converter with 6 μA IQ</t>
  </si>
  <si>
    <t>AC/DC &amp; DC/DC converters (integrated FET)</t>
  </si>
  <si>
    <t>Catalog</t>
  </si>
  <si>
    <t>Buck</t>
  </si>
  <si>
    <t>VQFN-HR</t>
  </si>
  <si>
    <t>Functional Safety-Capable</t>
  </si>
  <si>
    <t>-40 to 125</t>
  </si>
  <si>
    <t>2 x 2</t>
  </si>
  <si>
    <t>ACTIVE</t>
  </si>
  <si>
    <t>650-V 120-m&amp;Omega;&amp;nbsp;GaN FET with integrated driver and protection</t>
  </si>
  <si>
    <t>Gallium nitride (GaN) power stages</t>
  </si>
  <si>
    <t>Catalog</t>
  </si>
  <si>
    <t>VQFN</t>
  </si>
  <si>
    <t/>
  </si>
  <si>
    <t>-40 to 125</t>
  </si>
  <si>
    <t>8 x 5.3</t>
  </si>
  <si>
    <t>ACTIVE</t>
  </si>
  <si>
    <t>650-V 270-m&amp;Omega;&amp;nbsp;GaN FET with integrated driver and protection</t>
  </si>
  <si>
    <t>Gallium nitride (GaN) power stages</t>
  </si>
  <si>
    <t>Catalog</t>
  </si>
  <si>
    <t>VQFN</t>
  </si>
  <si>
    <t/>
  </si>
  <si>
    <t>-40 to 125</t>
  </si>
  <si>
    <t>8 x 5.3</t>
  </si>
  <si>
    <t>ACTIVE</t>
  </si>
  <si>
    <t>Automotive grade 80V input 2.5A synchronous step-down (buck) DC/DC converter with spread spectrum</t>
  </si>
  <si>
    <t>AC/DC &amp; DC/DC converters (integrated FET)</t>
  </si>
  <si>
    <t>Automotive</t>
  </si>
  <si>
    <t>Buck</t>
  </si>
  <si>
    <t>WSON</t>
  </si>
  <si>
    <t>Functional Safety-Capable</t>
  </si>
  <si>
    <t>-40 to 150</t>
  </si>
  <si>
    <t>3 x 3</t>
  </si>
  <si>
    <t>ACTIVE</t>
  </si>
  <si>
    <t>6V, 9A stackable synchronous buck converter with frequency-synchronization option</t>
  </si>
  <si>
    <t>AC/DC &amp; DC/DC converters (integrated FET)</t>
  </si>
  <si>
    <t>Catalog</t>
  </si>
  <si>
    <t>Buck</t>
  </si>
  <si>
    <t>VQFN-FCRLF</t>
  </si>
  <si>
    <t/>
  </si>
  <si>
    <t>-40 to 125</t>
  </si>
  <si>
    <t>2.55 x 3.55</t>
  </si>
  <si>
    <t>ACTIVE</t>
  </si>
  <si>
    <t>Enhanced-product PMIC with three step-down DC/DC converters and four LDOs</t>
  </si>
  <si>
    <t>Multi-channel ICs (PMICs)</t>
  </si>
  <si>
    <t>HiRel Enhanced Product</t>
  </si>
  <si>
    <t>VQFN</t>
  </si>
  <si>
    <t/>
  </si>
  <si>
    <t>-55 to 125</t>
  </si>
  <si>
    <t>5 x 5</t>
  </si>
  <si>
    <t>ACTIVE</t>
  </si>
  <si>
    <t>4.5-V, 1.5-A, 7.5-mΩ on-resistance fast turn-on load switch with limited inrush current</t>
  </si>
  <si>
    <t>Load switches</t>
  </si>
  <si>
    <t>Catalog</t>
  </si>
  <si>
    <t>DSBGA</t>
  </si>
  <si>
    <t/>
  </si>
  <si>
    <t>-40 to 105</t>
  </si>
  <si>
    <t>1.4 x 0.7</t>
  </si>
  <si>
    <t>ACTIVE</t>
  </si>
  <si>
    <t>23-VIN, 25-VOUT 6-A synchronous boost converter with programmable peak current limit</t>
  </si>
  <si>
    <t>AC/DC &amp; DC/DC converters (integrated FET)</t>
  </si>
  <si>
    <t>Catalog</t>
  </si>
  <si>
    <t>Boost</t>
  </si>
  <si>
    <t>VQFN-HR</t>
  </si>
  <si>
    <t/>
  </si>
  <si>
    <t>-40 to 125</t>
  </si>
  <si>
    <t>2.5 x 2</t>
  </si>
  <si>
    <t>ACTIVE</t>
  </si>
  <si>
    <t>650V 120mΩ GaN FET with integrated driver, protection and current sensing</t>
  </si>
  <si>
    <t>Gallium nitride (GaN) power stages</t>
  </si>
  <si>
    <t>Catalog</t>
  </si>
  <si>
    <t>VQFN</t>
  </si>
  <si>
    <t/>
  </si>
  <si>
    <t>-40 to 125</t>
  </si>
  <si>
    <t>8 x 5.3</t>
  </si>
  <si>
    <t>ACTIVE</t>
  </si>
  <si>
    <t>650V 270mΩ GaN FET with integrated driver, protection and current sensing</t>
  </si>
  <si>
    <t>Gallium nitride (GaN) power stages</t>
  </si>
  <si>
    <t>Catalog</t>
  </si>
  <si>
    <t>VQFN</t>
  </si>
  <si>
    <t/>
  </si>
  <si>
    <t>-40 to 125</t>
  </si>
  <si>
    <t>8 x 5.3</t>
  </si>
  <si>
    <t>ACTIVE</t>
  </si>
  <si>
    <t>600nA ultra-low quiescent current supervisor with programmable delay and manual reset</t>
  </si>
  <si>
    <t>Reset &amp; watchdog ICs</t>
  </si>
  <si>
    <t>Catalog</t>
  </si>
  <si>
    <t>SOT-23</t>
  </si>
  <si>
    <t/>
  </si>
  <si>
    <t>-40 to 125</t>
  </si>
  <si>
    <t>2.9 x 2.8</t>
  </si>
  <si>
    <t>ACTIVE</t>
  </si>
  <si>
    <t>4.5V-to-18V input, 8A synchronous step-down voltage regulator with on-time D-CAP3™ control mode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</si>
  <si>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</si>
  <si>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</si>
  <si>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</si>
  <si>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</si>
  <si>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</si>
  <si>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</si>
  <si>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</si>
  <si>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</si>
  <si>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2.25-V to 5.5-V, 3-A step-down converter with 1% accuracy in small QFN and SOT583 packages</t>
  </si>
  <si>
    <t>AC/DC &amp; DC/DC converters (integrated FET)</t>
  </si>
  <si>
    <t>Catalog</t>
  </si>
  <si>
    <t>Buck</t>
  </si>
  <si>
    <t>SOT-5X3,WQFN-HR</t>
  </si>
  <si>
    <t/>
  </si>
  <si>
    <t>-40 to 125</t>
  </si>
  <si>
    <t>2,3.36</t>
  </si>
  <si>
    <t>1 x 2,2.1 x 1.6</t>
  </si>
  <si>
    <t>0.6,0.8</t>
  </si>
  <si>
    <t>ACTIVE</t>
  </si>
  <si>
    <t>Automotive, 65-V 2-A boost LED driver with flexible dimming option</t>
  </si>
  <si>
    <t>Backlight LED drivers,Automotive LED drivers</t>
  </si>
  <si>
    <t>Automotive</t>
  </si>
  <si>
    <t>Boost</t>
  </si>
  <si>
    <t>VSON</t>
  </si>
  <si>
    <t/>
  </si>
  <si>
    <t>-40 to 125</t>
  </si>
  <si>
    <t>4.5 x 3</t>
  </si>
  <si>
    <t>ACTIVE</t>
  </si>
  <si>
    <t>Automotive, 65-V 2-A buck-boost LED driver with flexible dimming option</t>
  </si>
  <si>
    <t>Backlight LED drivers,Automotive LED drivers</t>
  </si>
  <si>
    <t>Automotive</t>
  </si>
  <si>
    <t>Buck-Boost</t>
  </si>
  <si>
    <t>VSON</t>
  </si>
  <si>
    <t/>
  </si>
  <si>
    <t>-40 to 125</t>
  </si>
  <si>
    <t>4.5 x 3</t>
  </si>
  <si>
    <t>ACTIVE</t>
  </si>
  <si>
    <t>Automotive, 65-V 2-A buck LED driver with flexible dimming option</t>
  </si>
  <si>
    <t>Backlight LED drivers,Automotive LED drivers</t>
  </si>
  <si>
    <t>Automotive</t>
  </si>
  <si>
    <t>Buck</t>
  </si>
  <si>
    <t>VSON</t>
  </si>
  <si>
    <t/>
  </si>
  <si>
    <t>-40 to 125</t>
  </si>
  <si>
    <t>4.5 x 3</t>
  </si>
  <si>
    <t>ACTIVE</t>
  </si>
  <si>
    <t>Automotive, 65-V 2-A boost LED driver with flexible dimming option and spread spectrum</t>
  </si>
  <si>
    <t>Backlight LED drivers,Automotive LED drivers</t>
  </si>
  <si>
    <t>Automotive</t>
  </si>
  <si>
    <t>Boost</t>
  </si>
  <si>
    <t>VSON</t>
  </si>
  <si>
    <t/>
  </si>
  <si>
    <t>-40 to 125</t>
  </si>
  <si>
    <t>4.5 x 3</t>
  </si>
  <si>
    <t>ACTIVE</t>
  </si>
  <si>
    <t>Automotive, 65-V 2-A buck-boost LED driver with flexible dimming option and spread spectrum</t>
  </si>
  <si>
    <t>Backlight LED drivers,Automotive LED drivers</t>
  </si>
  <si>
    <t>Automotive</t>
  </si>
  <si>
    <t>Buck-Boost</t>
  </si>
  <si>
    <t>VSON</t>
  </si>
  <si>
    <t/>
  </si>
  <si>
    <t>-40 to 125</t>
  </si>
  <si>
    <t>4.5 x 3</t>
  </si>
  <si>
    <t>ACTIVE</t>
  </si>
  <si>
    <t xml:space="preserve">Automotive, 65-V 2-A buck LED driver with flexible dimming option and spread spectrum
</t>
  </si>
  <si>
    <t>Backlight LED drivers,Automotive LED drivers</t>
  </si>
  <si>
    <t>Automotive</t>
  </si>
  <si>
    <t>Buck</t>
  </si>
  <si>
    <t>VSON</t>
  </si>
  <si>
    <t/>
  </si>
  <si>
    <t>-40 to 125</t>
  </si>
  <si>
    <t>4.5 x 3</t>
  </si>
  <si>
    <t>ACTIVE</t>
  </si>
  <si>
    <t>Automotive 3-V to 65-V surge stopper with circuit breaker and overvoltage protection</t>
  </si>
  <si>
    <t>Ideal diode &amp; ORing controllers</t>
  </si>
  <si>
    <t>Automotive</t>
  </si>
  <si>
    <t>VQFN</t>
  </si>
  <si>
    <t>Functional Safety-Capable</t>
  </si>
  <si>
    <t>-40 to 125</t>
  </si>
  <si>
    <t>4 x 4</t>
  </si>
  <si>
    <t>ACTIVE</t>
  </si>
  <si>
    <t>Automotive, 4A/6A, 5-kVRMS dual-channel isolated gate driver with DIS and DT pins for IGBT</t>
  </si>
  <si>
    <t>Isolated gate drivers</t>
  </si>
  <si>
    <t>Automotive</t>
  </si>
  <si>
    <t>SOIC</t>
  </si>
  <si>
    <t>Functional Safety-Capable</t>
  </si>
  <si>
    <t>-40 to 150</t>
  </si>
  <si>
    <t>14,16</t>
  </si>
  <si>
    <t>10.3 x 10.3</t>
  </si>
  <si>
    <t>ACTIVE</t>
  </si>
  <si>
    <t>5V, 1A or 1.5A high-efficiency synchronous buck LED driver</t>
  </si>
  <si>
    <t>Illumination  LED drivers</t>
  </si>
  <si>
    <t>Catalog</t>
  </si>
  <si>
    <t>Synchronous Buck</t>
  </si>
  <si>
    <t>SOT-5X3,WSON</t>
  </si>
  <si>
    <t/>
  </si>
  <si>
    <t>-55 to 125</t>
  </si>
  <si>
    <t>2.56,4</t>
  </si>
  <si>
    <t>1.6 x 1.6,2 x 2</t>
  </si>
  <si>
    <t>0.6,0.8</t>
  </si>
  <si>
    <t>0.5,0.65</t>
  </si>
  <si>
    <t>ACTIVE</t>
  </si>
  <si>
    <t>4-A/4-A single-channel low-side gate driver with 5-V UVLO</t>
  </si>
  <si>
    <t>Low-side drivers</t>
  </si>
  <si>
    <t>Catalog</t>
  </si>
  <si>
    <t>SOT-23</t>
  </si>
  <si>
    <t/>
  </si>
  <si>
    <t>-40 to 140</t>
  </si>
  <si>
    <t>2.9 x 2.8</t>
  </si>
  <si>
    <t>ACTIVE</t>
  </si>
  <si>
    <t>5V, 1A or 1.5A, high-efficiency synchronous buck LED driver with power-save mode</t>
  </si>
  <si>
    <t>Illumination  LED drivers</t>
  </si>
  <si>
    <t>Catalog</t>
  </si>
  <si>
    <t>Synchronous Buck</t>
  </si>
  <si>
    <t>SOT-5X3,WSON</t>
  </si>
  <si>
    <t/>
  </si>
  <si>
    <t>-55 to 125</t>
  </si>
  <si>
    <t>2.56,4</t>
  </si>
  <si>
    <t>1.6 x 1.6,2 x 2</t>
  </si>
  <si>
    <t>0.6,0.8</t>
  </si>
  <si>
    <t>0.5,0.65</t>
  </si>
  <si>
    <t>ACTIVE</t>
  </si>
  <si>
    <t>Automotive 9-A/9-A single-channel gate driver with 20-V VDD and enable</t>
  </si>
  <si>
    <t>Low-side drivers</t>
  </si>
  <si>
    <t>Automotive</t>
  </si>
  <si>
    <t>HVSSOP</t>
  </si>
  <si>
    <t/>
  </si>
  <si>
    <t>-40 to 125</t>
  </si>
  <si>
    <t>3 x 4.9</t>
  </si>
  <si>
    <t>ACTIVE</t>
  </si>
  <si>
    <t>Automotive, 2.7V to 6V input, 15A stackable synchronous buck converter</t>
  </si>
  <si>
    <t>AC/DC &amp; DC/DC converters (integrated FET)</t>
  </si>
  <si>
    <t>Automotive</t>
  </si>
  <si>
    <t>Buck,Multiphase,Step-Down Converter,Synchronous Buck</t>
  </si>
  <si>
    <t>WQFN-FCRLF</t>
  </si>
  <si>
    <t/>
  </si>
  <si>
    <t>-40 to 125</t>
  </si>
  <si>
    <t>3.05 x 4.05</t>
  </si>
  <si>
    <t>ACTIVE</t>
  </si>
  <si>
    <t>Automotive, 2.7V to 6V input, 20A stackable synchronous buck converter</t>
  </si>
  <si>
    <t>AC/DC &amp; DC/DC converters (integrated FET)</t>
  </si>
  <si>
    <t>Automotive</t>
  </si>
  <si>
    <t>Buck,Multiphase,Step-Down Converter,Synchronous Buck</t>
  </si>
  <si>
    <t>WQFN-FCRLF</t>
  </si>
  <si>
    <t/>
  </si>
  <si>
    <t>-40 to 125</t>
  </si>
  <si>
    <t>3.05 x 4.05</t>
  </si>
  <si>
    <t>ACTIVE</t>
  </si>
  <si>
    <t>Automotive 2.7-V to 6-V input, 30-A stackable synchronous buck converter</t>
  </si>
  <si>
    <t>AC/DC &amp; DC/DC converters (integrated FET)</t>
  </si>
  <si>
    <t>Automotive</t>
  </si>
  <si>
    <t>Buck,Multiphase,Step-Down Converter,Synchronous Buck</t>
  </si>
  <si>
    <t>WQFN-FCRLF</t>
  </si>
  <si>
    <t/>
  </si>
  <si>
    <t>-40 to 125</t>
  </si>
  <si>
    <t>3.05 x 4.05</t>
  </si>
  <si>
    <t>ACTIVE</t>
  </si>
  <si>
    <t>3V-to-65V input, 1V-to-16V output, 0.15A synchronous buck converter power module</t>
  </si>
  <si>
    <t>Power modules (integrated inductor)</t>
  </si>
  <si>
    <t>Catalog</t>
  </si>
  <si>
    <t>Synchronous Buck</t>
  </si>
  <si>
    <t>QFN-FCMOD</t>
  </si>
  <si>
    <t>Functional Safety-Capable</t>
  </si>
  <si>
    <t>-40 to 125</t>
  </si>
  <si>
    <t>4.5 x 3.5</t>
  </si>
  <si>
    <t>ACTIVE</t>
  </si>
  <si>
    <t>Synchronous boost 4-channel RGBW LED driver with I2C and auto animation control</t>
  </si>
  <si>
    <t>RGB LED drivers</t>
  </si>
  <si>
    <t>Catalog</t>
  </si>
  <si>
    <t>Boost</t>
  </si>
  <si>
    <t>DSBGA,WSON</t>
  </si>
  <si>
    <t/>
  </si>
  <si>
    <t>-40 to 85</t>
  </si>
  <si>
    <t>2.5116,9</t>
  </si>
  <si>
    <t>1.82 x 1.38,3 x 3</t>
  </si>
  <si>
    <t>0.4,0.8</t>
  </si>
  <si>
    <t>0.4,0.5</t>
  </si>
  <si>
    <t>ACTIVE</t>
  </si>
  <si>
    <t>12-V to 36-V 65-mΩ four-channel high-side switch with SPI interface and integrated ADC</t>
  </si>
  <si>
    <t>High-side switches</t>
  </si>
  <si>
    <t>Catalog</t>
  </si>
  <si>
    <t>VQFN</t>
  </si>
  <si>
    <t/>
  </si>
  <si>
    <t>-40 to 125</t>
  </si>
  <si>
    <t>6 x 6</t>
  </si>
  <si>
    <t>ACTIVE</t>
  </si>
  <si>
    <t>12-V to 36-V 65-mΩ four-channel high-side switch</t>
  </si>
  <si>
    <t>High-side switches</t>
  </si>
  <si>
    <t>Catalog</t>
  </si>
  <si>
    <t>VQFN</t>
  </si>
  <si>
    <t/>
  </si>
  <si>
    <t>-40 to 125</t>
  </si>
  <si>
    <t>6 x 6</t>
  </si>
  <si>
    <t>ACTIVE</t>
  </si>
  <si>
    <t>4.5-V to 28-V input, 8-A synchronous buck converter</t>
  </si>
  <si>
    <t>AC/DC &amp; DC/DC converters (integrated FET)</t>
  </si>
  <si>
    <t>Catalog</t>
  </si>
  <si>
    <t>Buck</t>
  </si>
  <si>
    <t>VQFN-HR</t>
  </si>
  <si>
    <t/>
  </si>
  <si>
    <t>-40 to 150</t>
  </si>
  <si>
    <t>3 x 3</t>
  </si>
  <si>
    <t>ACTIVE</t>
  </si>
  <si>
    <t>4.5-V to 24-V input, 8-A synchronous buck converter 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</si>
  <si>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</si>
  <si>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</si>
  <si>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</si>
  <si>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</si>
  <si>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</si>
  <si>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</si>
  <si>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</si>
  <si>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</si>
  <si>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2.7V to 26V, 2.7mΩ 20A integrated hot-swap eFuse with current monitor and blocking FET drive</t>
  </si>
  <si>
    <t>eFuses (integrated hot swaps)</t>
  </si>
  <si>
    <t>Catalog</t>
  </si>
  <si>
    <t>VQFN</t>
  </si>
  <si>
    <t/>
  </si>
  <si>
    <t>-40 to 125</t>
  </si>
  <si>
    <t>4 x 4</t>
  </si>
  <si>
    <t>ACTIVE</t>
  </si>
  <si>
    <t>Radiation-tolerant, 4.5-V to 32-V, input 1.35-A 160-mΩ quad-channel eFuse</t>
  </si>
  <si>
    <t>eFuses (integrated hot swaps)</t>
  </si>
  <si>
    <t>Space</t>
  </si>
  <si>
    <t>HTSSOP</t>
  </si>
  <si>
    <t/>
  </si>
  <si>
    <t>-55 to 125</t>
  </si>
  <si>
    <t>9.7 x 6.4</t>
  </si>
  <si>
    <t>ACTIVE</t>
  </si>
  <si>
    <t>Automotive user-programmable power management IC (PMIC) with three buck converters and four LDOs</t>
  </si>
  <si>
    <t>Multi-channel ICs (PMICs)</t>
  </si>
  <si>
    <t>Automotive</t>
  </si>
  <si>
    <t>VQFN</t>
  </si>
  <si>
    <t/>
  </si>
  <si>
    <t>-40 to 125</t>
  </si>
  <si>
    <t>5 x 5</t>
  </si>
  <si>
    <t>ACTIVE</t>
  </si>
  <si>
    <t>Automotive, 60-V, 6-A, 30-mΩ, one-channel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</si>
  <si>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</si>
  <si>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</si>
  <si>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</si>
  <si>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</si>
  <si>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</si>
  <si>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</si>
  <si>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</si>
  <si>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107-V, 0.5-A/0.8-A half-bridge gate driver with 8-V UVLO, dead time and shutdown</t>
  </si>
  <si>
    <t>Half-bridge drivers</t>
  </si>
  <si>
    <t>Catalog</t>
  </si>
  <si>
    <t>SOIC</t>
  </si>
  <si>
    <t/>
  </si>
  <si>
    <t>-40 to 125</t>
  </si>
  <si>
    <t>4.9 x 6</t>
  </si>
  <si>
    <t>ACTIVE</t>
  </si>
  <si>
    <t>Automotive, 3.2-V to 70-V, 80-µA reverse battery protection ideal diode controller</t>
  </si>
  <si>
    <t>Ideal diode &amp; ORing controllers</t>
  </si>
  <si>
    <t>Automotive</t>
  </si>
  <si>
    <t>SOIC</t>
  </si>
  <si>
    <t>Functional Safety-Capable</t>
  </si>
  <si>
    <t>-40 to 125</t>
  </si>
  <si>
    <t>4.9 x 6</t>
  </si>
  <si>
    <t>ACTIVE</t>
  </si>
  <si>
    <t>4A/6A 5kVRMS dual-channel isolated gate driver with EN and DT pins for IGBT and SiC</t>
  </si>
  <si>
    <t>Isolated gate drivers</t>
  </si>
  <si>
    <t>Catalog</t>
  </si>
  <si>
    <t>SOIC</t>
  </si>
  <si>
    <t>Functional Safety-Capable</t>
  </si>
  <si>
    <t>-40 to 150</t>
  </si>
  <si>
    <t>14,16</t>
  </si>
  <si>
    <t>10.3 x 10.3</t>
  </si>
  <si>
    <t>ACTIVE</t>
  </si>
  <si>
    <t>Automotive ideal diode with integrated over-voltage and short circuit protection w/ fault output</t>
  </si>
  <si>
    <t>Ideal diode &amp; ORing controllers</t>
  </si>
  <si>
    <t>Automotive</t>
  </si>
  <si>
    <t>VQFN</t>
  </si>
  <si>
    <t>Functional Safety-Capable</t>
  </si>
  <si>
    <t>-40 to 125</t>
  </si>
  <si>
    <t>4 x 4</t>
  </si>
  <si>
    <t>ACTIVE</t>
  </si>
  <si>
    <t>Automotive 3-V to 36-V, 6-A, low EMI synchronous step-down converter in enhanced QFN package</t>
  </si>
  <si>
    <t>AC/DC &amp; DC/DC converters (integrated FET)</t>
  </si>
  <si>
    <t>Automotive</t>
  </si>
  <si>
    <t>Buck</t>
  </si>
  <si>
    <t>VQFN-FCRLF</t>
  </si>
  <si>
    <t>Functional Safety-Capable</t>
  </si>
  <si>
    <t>-40 to 150</t>
  </si>
  <si>
    <t>4 x 3.5</t>
  </si>
  <si>
    <t>ACTIVE</t>
  </si>
  <si>
    <t>Automotive 3-V to 36-V, 6-A, low EMI synchronous step-down converter</t>
  </si>
  <si>
    <t>AC/DC &amp; DC/DC converters (integrated FET)</t>
  </si>
  <si>
    <t>Automotive</t>
  </si>
  <si>
    <t>Buck</t>
  </si>
  <si>
    <t>VQFN-FCRLF</t>
  </si>
  <si>
    <t>Functional Safety-Capable</t>
  </si>
  <si>
    <t>-40 to 150</t>
  </si>
  <si>
    <t>4 x 3.5</t>
  </si>
  <si>
    <t>ACTIVE</t>
  </si>
  <si>
    <t>Automotive, 36V, 12A, low-IQ dual-output synchronous step-down converter</t>
  </si>
  <si>
    <t>AC/DC &amp; DC/DC converters (integrated FET)</t>
  </si>
  <si>
    <t>Automotive</t>
  </si>
  <si>
    <t>Buck</t>
  </si>
  <si>
    <t>VQFN-FCRLF</t>
  </si>
  <si>
    <t/>
  </si>
  <si>
    <t>-40 to 150</t>
  </si>
  <si>
    <t>5 x 4</t>
  </si>
  <si>
    <t>ACTIVE</t>
  </si>
  <si>
    <t>Synchronous boost 4 x 3 matrix RGB LED driver with I2C and auto animation control</t>
  </si>
  <si>
    <t>RGB LED drivers</t>
  </si>
  <si>
    <t>Catalog</t>
  </si>
  <si>
    <t>Boost</t>
  </si>
  <si>
    <t>DSBGA,WSON</t>
  </si>
  <si>
    <t/>
  </si>
  <si>
    <t>-40 to 85</t>
  </si>
  <si>
    <t>2.5116,9</t>
  </si>
  <si>
    <t>1.82 x 1.38,3 x 3</t>
  </si>
  <si>
    <t>0.4,0.8</t>
  </si>
  <si>
    <t>0.4,0.5</t>
  </si>
  <si>
    <t>ACTIVE</t>
  </si>
  <si>
    <t>65-V, 2-A buck LED driver with inductive fast dimming</t>
  </si>
  <si>
    <t>Illumination  LED drivers</t>
  </si>
  <si>
    <t>Catalog</t>
  </si>
  <si>
    <t>Buck</t>
  </si>
  <si>
    <t>SOT-23-THN,VSON,WSON</t>
  </si>
  <si>
    <t/>
  </si>
  <si>
    <t>-40 to 125</t>
  </si>
  <si>
    <t>12,14</t>
  </si>
  <si>
    <t>9,13.5,13.692</t>
  </si>
  <si>
    <t>3 x 3,4.2 x 3.26,4.5 x 3</t>
  </si>
  <si>
    <t>0.8,1,1.1</t>
  </si>
  <si>
    <t>0.5,0.65</t>
  </si>
  <si>
    <t>ACTIVE</t>
  </si>
  <si>
    <t>65-V, 2-A buck LED driver with inductive fast dimming and spread spectrum</t>
  </si>
  <si>
    <t>Illumination  LED drivers</t>
  </si>
  <si>
    <t>Catalog</t>
  </si>
  <si>
    <t>Buck</t>
  </si>
  <si>
    <t>SOT-23-THN,VSON,WSON</t>
  </si>
  <si>
    <t/>
  </si>
  <si>
    <t>-40 to 125</t>
  </si>
  <si>
    <t>12,14</t>
  </si>
  <si>
    <t>9,13.5,13.692</t>
  </si>
  <si>
    <t>3 x 3,4.2 x 3.26,4.5 x 3</t>
  </si>
  <si>
    <t>0.8,1,1.1</t>
  </si>
  <si>
    <t>0.5,0.65</t>
  </si>
  <si>
    <t>ACTIVE</t>
  </si>
  <si>
    <t>65-V, 4-A buck LED driver with inductive fast dimming</t>
  </si>
  <si>
    <t>Illumination  LED drivers</t>
  </si>
  <si>
    <t>Catalog</t>
  </si>
  <si>
    <t>Buck</t>
  </si>
  <si>
    <t>VSON,WSON</t>
  </si>
  <si>
    <t/>
  </si>
  <si>
    <t>-55 to 125</t>
  </si>
  <si>
    <t>12,14</t>
  </si>
  <si>
    <t>9,13.5</t>
  </si>
  <si>
    <t>3 x 3,4.5 x 3</t>
  </si>
  <si>
    <t>0.8,1</t>
  </si>
  <si>
    <t>0.5,0.65</t>
  </si>
  <si>
    <t>ACTIVE</t>
  </si>
  <si>
    <t>65-V, 4-A buck LED driver with inductive fast dimming and spread spectrum</t>
  </si>
  <si>
    <t>Illumination  LED drivers</t>
  </si>
  <si>
    <t>Catalog</t>
  </si>
  <si>
    <t>Buck</t>
  </si>
  <si>
    <t>VSON,WSON</t>
  </si>
  <si>
    <t/>
  </si>
  <si>
    <t>-55 to 125</t>
  </si>
  <si>
    <t>12,14</t>
  </si>
  <si>
    <t>9,13.5</t>
  </si>
  <si>
    <t>3 x 3,4.5 x 3</t>
  </si>
  <si>
    <t>0.8,1</t>
  </si>
  <si>
    <t>0.5,0.65</t>
  </si>
  <si>
    <t>ACTIVE</t>
  </si>
  <si>
    <t>65V, 2A boost or buck-boost LED driver with inductive fast dimming</t>
  </si>
  <si>
    <t>Illumination  LED drivers</t>
  </si>
  <si>
    <t>Catalog</t>
  </si>
  <si>
    <t>Boost,Buck-Boost</t>
  </si>
  <si>
    <t>SOT-23-THN,VSON,WSON</t>
  </si>
  <si>
    <t/>
  </si>
  <si>
    <t>-40 to 125</t>
  </si>
  <si>
    <t>12,14</t>
  </si>
  <si>
    <t>9,13.5,13.692</t>
  </si>
  <si>
    <t>3 x 3,4.2 x 3.26,4.5 x 3</t>
  </si>
  <si>
    <t>0.8,1,1.1</t>
  </si>
  <si>
    <t>0.5,0.65</t>
  </si>
  <si>
    <t>ACTIVE</t>
  </si>
  <si>
    <t>65V, 2A boost or buck-boost LED driver with inductive fast dimming and spread spectrum</t>
  </si>
  <si>
    <t>Illumination  LED drivers</t>
  </si>
  <si>
    <t>Catalog</t>
  </si>
  <si>
    <t>Boost,Buck-Boost</t>
  </si>
  <si>
    <t>SOT-23-THN,VSON,WSON</t>
  </si>
  <si>
    <t/>
  </si>
  <si>
    <t>-40 to 125</t>
  </si>
  <si>
    <t>12,14</t>
  </si>
  <si>
    <t>9,13.5,13.692</t>
  </si>
  <si>
    <t>3 x 3,4.2 x 3.26,4.5 x 3</t>
  </si>
  <si>
    <t>0.8,1,1.1</t>
  </si>
  <si>
    <t>0.5,0.65</t>
  </si>
  <si>
    <t>ACTIVE</t>
  </si>
  <si>
    <t>65V, 4A boost or buck-boost LED driver with inductive fast dimming</t>
  </si>
  <si>
    <t>Illumination  LED drivers</t>
  </si>
  <si>
    <t>Catalog</t>
  </si>
  <si>
    <t>Boost,Buck-Boost</t>
  </si>
  <si>
    <t>VSON,WSON</t>
  </si>
  <si>
    <t/>
  </si>
  <si>
    <t>-55 to 125</t>
  </si>
  <si>
    <t>12,14</t>
  </si>
  <si>
    <t>9,13.5</t>
  </si>
  <si>
    <t>3 x 3,4.5 x 3</t>
  </si>
  <si>
    <t>0.8,1</t>
  </si>
  <si>
    <t>0.5,0.65</t>
  </si>
  <si>
    <t>ACTIVE</t>
  </si>
  <si>
    <t>65V, 4A boost or buck-boost LED driver with inductive fast dimming and spread spectrum</t>
  </si>
  <si>
    <t>Illumination  LED drivers</t>
  </si>
  <si>
    <t>Catalog</t>
  </si>
  <si>
    <t>Boost,Buck-Boost</t>
  </si>
  <si>
    <t>VSON,WSON</t>
  </si>
  <si>
    <t/>
  </si>
  <si>
    <t>-55 to 125</t>
  </si>
  <si>
    <t>12,14</t>
  </si>
  <si>
    <t>9,13.5</t>
  </si>
  <si>
    <t>3 x 3,4.5 x 3</t>
  </si>
  <si>
    <t>0.8,1</t>
  </si>
  <si>
    <t>0.5,0.65</t>
  </si>
  <si>
    <t>ACTIVE</t>
  </si>
  <si>
    <t>Automotive, 1.5-W, 12-Vin to 15-Vin, 12-Vout to 15-Vout high-density &gt; 3-kVRMS isolated DC/DC module</t>
  </si>
  <si>
    <t>Isolated power modules (integrated transformer)</t>
  </si>
  <si>
    <t>Automotive</t>
  </si>
  <si>
    <t>Full-bridge</t>
  </si>
  <si>
    <t>SO-MOD</t>
  </si>
  <si>
    <t/>
  </si>
  <si>
    <t>-40 to 125</t>
  </si>
  <si>
    <t>12.8 x 10.3</t>
  </si>
  <si>
    <t>ACTIVE</t>
  </si>
  <si>
    <t>Automotive, 1.5-W, 12-V to 15-V VIN, 12-V to 15-V VOUT high-density &amp;gt;5-kVRMS isolated DC/DC mo</t>
  </si>
  <si>
    <t>Isolated power modules (integrated transformer)</t>
  </si>
  <si>
    <t>Automotive</t>
  </si>
  <si>
    <t>Full-bridge</t>
  </si>
  <si>
    <t>SO-MOD</t>
  </si>
  <si>
    <t/>
  </si>
  <si>
    <t>-40 to 125</t>
  </si>
  <si>
    <t>12.8 x 10.3</t>
  </si>
  <si>
    <t>ACTIVE</t>
  </si>
  <si>
    <t>Automotive 10-A single-channel isolated gate driver for SiC/IGBT, active short-circuit protection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</si>
  <si>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</si>
  <si>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</si>
  <si>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</si>
  <si>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</si>
  <si>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</si>
  <si>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</si>
  <si>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</si>
  <si>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Automotive, 2.5-W, 24-Vin, 25-Vout high-density &amp;gt; 3-kVRMS isolated DC/DC module</t>
  </si>
  <si>
    <t>Isolated power modules (integrated transformer)</t>
  </si>
  <si>
    <t>Automotive</t>
  </si>
  <si>
    <t>Full-bridge</t>
  </si>
  <si>
    <t>SO-MOD</t>
  </si>
  <si>
    <t/>
  </si>
  <si>
    <t>-40 to 125</t>
  </si>
  <si>
    <t>12.8 x 10.3</t>
  </si>
  <si>
    <t>ACTIVE</t>
  </si>
  <si>
    <t>Automotive, 2.5-W, 24-Vin, 25-Vout high-density &amp;gt; 5-kVRMS isolated DC-DC module</t>
  </si>
  <si>
    <t>Isolated power modules (integrated transformer)</t>
  </si>
  <si>
    <t>Automotive</t>
  </si>
  <si>
    <t>Full-bridge</t>
  </si>
  <si>
    <t>SO-MOD</t>
  </si>
  <si>
    <t/>
  </si>
  <si>
    <t>-40 to 125</t>
  </si>
  <si>
    <t>12.8 x 10.3</t>
  </si>
  <si>
    <t>ACTIVE</t>
  </si>
  <si>
    <t>5-V, 1.85-A boost converter with power good, output discharge and PFM/PWM control</t>
  </si>
  <si>
    <t>AC/DC &amp; DC/DC converters (integrated FET)</t>
  </si>
  <si>
    <t>Catalog</t>
  </si>
  <si>
    <t>Boost</t>
  </si>
  <si>
    <t>SOT-5X3</t>
  </si>
  <si>
    <t/>
  </si>
  <si>
    <t>-40 to 125</t>
  </si>
  <si>
    <t>2.1 x 1.6</t>
  </si>
  <si>
    <t>ACTIVE</t>
  </si>
  <si>
    <t>Automotive, 2-W, 24-V VIN, 25-V VOUT&amp;nbsp;high-density &amp;gt;5-kVRMS isolated DC/DC module</t>
  </si>
  <si>
    <t>Isolated power modules (integrated transformer)</t>
  </si>
  <si>
    <t>Automotive</t>
  </si>
  <si>
    <t>Full-bridge</t>
  </si>
  <si>
    <t>SO-MOD</t>
  </si>
  <si>
    <t/>
  </si>
  <si>
    <t>-40 to 125</t>
  </si>
  <si>
    <t>12.8 x 10.3</t>
  </si>
  <si>
    <t>ACTIVE</t>
  </si>
  <si>
    <t>Automotive, 1.5-W, 15-Vin, 25-Vout high-density &amp;gt; 3-kVRMS isolated DC-DC module</t>
  </si>
  <si>
    <t>Isolated power modules (integrated transformer)</t>
  </si>
  <si>
    <t>Automotive</t>
  </si>
  <si>
    <t>Full-bridge</t>
  </si>
  <si>
    <t>SO-MOD</t>
  </si>
  <si>
    <t/>
  </si>
  <si>
    <t>-40 to 125</t>
  </si>
  <si>
    <t>12.8 x 10.3</t>
  </si>
  <si>
    <t>ACTIVE</t>
  </si>
  <si>
    <t>Automotive, 1.5-W, 15-Vin, 25-Vout high-density &gt; 5-kVRMS isolated DC/DC module</t>
  </si>
  <si>
    <t>Isolated power modules (integrated transformer)</t>
  </si>
  <si>
    <t>Automotive</t>
  </si>
  <si>
    <t>Full-bridge</t>
  </si>
  <si>
    <t>SO-MOD</t>
  </si>
  <si>
    <t/>
  </si>
  <si>
    <t>-40 to 125</t>
  </si>
  <si>
    <t>12.8 x 10.3</t>
  </si>
  <si>
    <t>ACTIVE</t>
  </si>
  <si>
    <t>Automotive 4-A dual-channel low-side gate driver with -5-V input capability</t>
  </si>
  <si>
    <t>Low-side drivers</t>
  </si>
  <si>
    <t>Automotive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</si>
  <si>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</si>
  <si>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</si>
  <si>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</si>
  <si>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</si>
  <si>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</si>
  <si>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</si>
  <si>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</si>
  <si>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</si>
  <si>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SIMPLE SWITCHER® power converter with 4.5V-to-65V 1A synchronous buck and 25µA quiescent current</t>
  </si>
  <si>
    <t>AC/DC &amp; DC/DC converters (integrated FET)</t>
  </si>
  <si>
    <t>Catalog</t>
  </si>
  <si>
    <t>Buck</t>
  </si>
  <si>
    <t>SOT-23</t>
  </si>
  <si>
    <t>Functional Safety-Capable</t>
  </si>
  <si>
    <t>-40 to 150</t>
  </si>
  <si>
    <t>2.9 x 2.8</t>
  </si>
  <si>
    <t>ACTIVE</t>
  </si>
  <si>
    <t xml:space="preserve"> Dual-channel, 8-phase step-down digital multiphase D-CAP+™ controller with VR14 SVID and PMBus</t>
  </si>
  <si>
    <t>AC/DC &amp; DC/DC controllers (external FET)</t>
  </si>
  <si>
    <t>Catalog</t>
  </si>
  <si>
    <t>Multiphase</t>
  </si>
  <si>
    <t>WQFN</t>
  </si>
  <si>
    <t/>
  </si>
  <si>
    <t>-40 to 125</t>
  </si>
  <si>
    <t>5 x 5</t>
  </si>
  <si>
    <t>ACTIVE</t>
  </si>
  <si>
    <t>3.5-V to 23-V, 12.2-mΩ, 8-A eFuse with bi-directional power delivery</t>
  </si>
  <si>
    <t>eFuses (integrated hot swaps)</t>
  </si>
  <si>
    <t>Catalog</t>
  </si>
  <si>
    <t>POWERWCSP</t>
  </si>
  <si>
    <t/>
  </si>
  <si>
    <t>-40 to 125</t>
  </si>
  <si>
    <t>See data sheet</t>
  </si>
  <si>
    <t>See data sheet</t>
  </si>
  <si>
    <t>—</t>
  </si>
  <si>
    <t>—</t>
  </si>
  <si>
    <t>ACTIVE</t>
  </si>
  <si>
    <t xml:space="preserve"> Dual-channel, 12-phase step-down digital multiphase D-CAP+™ controller with VR14 SVID and PMBus</t>
  </si>
  <si>
    <t>AC/DC &amp; DC/DC controllers (external FET)</t>
  </si>
  <si>
    <t>Catalog</t>
  </si>
  <si>
    <t>Multiphase</t>
  </si>
  <si>
    <t>VQFN</t>
  </si>
  <si>
    <t/>
  </si>
  <si>
    <t>-40 to 125</t>
  </si>
  <si>
    <t>6 x 6</t>
  </si>
  <si>
    <t>ACTIVE</t>
  </si>
  <si>
    <t>107-V, 0.5-A/0.8-A half-bridge gate driver with 8-V UVLO and integrated bootstrap diode</t>
  </si>
  <si>
    <t>Half-bridge drivers</t>
  </si>
  <si>
    <t>Catalog</t>
  </si>
  <si>
    <t>SOIC,WSON</t>
  </si>
  <si>
    <t/>
  </si>
  <si>
    <t>-40 to 125</t>
  </si>
  <si>
    <t>4,29.4</t>
  </si>
  <si>
    <t>2 x 2,4.9 x 6</t>
  </si>
  <si>
    <t>0.8,1.75</t>
  </si>
  <si>
    <t>0.5,1.27</t>
  </si>
  <si>
    <t>ACTIVE</t>
  </si>
  <si>
    <t>107-V, 0.5-A/0.8-A half-bridge gate driver with 8-V UVLO</t>
  </si>
  <si>
    <t>Half-bridge drivers</t>
  </si>
  <si>
    <t>Catalog</t>
  </si>
  <si>
    <t>SOIC,WSON</t>
  </si>
  <si>
    <t/>
  </si>
  <si>
    <t>-40 to 125</t>
  </si>
  <si>
    <t>4,29.4</t>
  </si>
  <si>
    <t>2 x 2,4.9 x 6</t>
  </si>
  <si>
    <t>0.8,1.75</t>
  </si>
  <si>
    <t>0.5,1.27</t>
  </si>
  <si>
    <t>ACTIVE</t>
  </si>
  <si>
    <t>650-V 50-mΩ GaN FET with integrated driver, protection and temperature reporting</t>
  </si>
  <si>
    <t>Gallium nitride (GaN) power stages</t>
  </si>
  <si>
    <t>Catalog</t>
  </si>
  <si>
    <t>VQFN</t>
  </si>
  <si>
    <t/>
  </si>
  <si>
    <t>-40 to 125</t>
  </si>
  <si>
    <t>12 x 12</t>
  </si>
  <si>
    <t>ACTIVE</t>
  </si>
  <si>
    <t>650-V 50-mΩ GaN FET with integrated driver, protection and zero-voltage detection reporting</t>
  </si>
  <si>
    <t>Gallium nitride (GaN) power stages</t>
  </si>
  <si>
    <t>Catalog</t>
  </si>
  <si>
    <t>VQFN</t>
  </si>
  <si>
    <t/>
  </si>
  <si>
    <t>-40 to 125</t>
  </si>
  <si>
    <t>12 x 12</t>
  </si>
  <si>
    <t>ACTIVE</t>
  </si>
  <si>
    <t>4.5-V to 24-V input, 7-A synchronous step-down voltage regulator with on-time D-CAP3 control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</si>
  <si>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</si>
  <si>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</si>
  <si>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</si>
  <si>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</si>
  <si>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</si>
  <si>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</si>
  <si>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</si>
  <si>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</si>
  <si>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4A/5A single-channel opto-compatible isolated gate driver with functional isolation (1.2kVRMS)</t>
  </si>
  <si>
    <t>Isolated gate drivers</t>
  </si>
  <si>
    <t>Catalog</t>
  </si>
  <si>
    <t>SOIC</t>
  </si>
  <si>
    <t/>
  </si>
  <si>
    <t>-40 to 125</t>
  </si>
  <si>
    <t>4.68 x 11.5</t>
  </si>
  <si>
    <t>ACTIVE</t>
  </si>
  <si>
    <t>1.6-V to 5.5-V, 20-mΩ, 4-A low IQ power multiplexer with manual and priority switchover</t>
  </si>
  <si>
    <t>Power muxes</t>
  </si>
  <si>
    <t>Catalog</t>
  </si>
  <si>
    <t>SOT-5X3</t>
  </si>
  <si>
    <t/>
  </si>
  <si>
    <t>-40 to 125</t>
  </si>
  <si>
    <t>2.1 x 1.6</t>
  </si>
  <si>
    <t>ACTIVE</t>
  </si>
  <si>
    <t>36-V, 4-A fully integrated buck-boost converter</t>
  </si>
  <si>
    <t>AC/DC &amp; DC/DC converters (integrated FET)</t>
  </si>
  <si>
    <t>Catalog</t>
  </si>
  <si>
    <t>Buck-Boost</t>
  </si>
  <si>
    <t>VQFN-HR</t>
  </si>
  <si>
    <t/>
  </si>
  <si>
    <t>-40 to 125</t>
  </si>
  <si>
    <t>5 x 3</t>
  </si>
  <si>
    <t>ACTIVE</t>
  </si>
  <si>
    <t>Automotive, 36-V, 4-A fully integrated buck-boost converter</t>
  </si>
  <si>
    <t>AC/DC &amp; DC/DC converters (integrated FET)</t>
  </si>
  <si>
    <t>Automotive</t>
  </si>
  <si>
    <t>Buck-Boost</t>
  </si>
  <si>
    <t>VQFN-HR</t>
  </si>
  <si>
    <t>Functional Safety-Capable</t>
  </si>
  <si>
    <t>-40 to 125</t>
  </si>
  <si>
    <t>5 x 3</t>
  </si>
  <si>
    <t>ACTIVE</t>
  </si>
  <si>
    <t>1.5-A output current buck-boost converter</t>
  </si>
  <si>
    <t>AC/DC &amp; DC/DC converters (integrated FET)</t>
  </si>
  <si>
    <t>Catalog</t>
  </si>
  <si>
    <t>Buck-Boost</t>
  </si>
  <si>
    <t>DSBGA</t>
  </si>
  <si>
    <t/>
  </si>
  <si>
    <t>-40 to 125</t>
  </si>
  <si>
    <t>1.783 x 0.983</t>
  </si>
  <si>
    <t>ACTIVE</t>
  </si>
  <si>
    <t>Automotive, single-channel high-current 40-V high-side LED driver with thermal sharing</t>
  </si>
  <si>
    <t>Automotive LED drivers</t>
  </si>
  <si>
    <t>Automotive</t>
  </si>
  <si>
    <t>Current Source</t>
  </si>
  <si>
    <t>HVSSOP</t>
  </si>
  <si>
    <t/>
  </si>
  <si>
    <t>-40 to 125</t>
  </si>
  <si>
    <t>3 x 4.9</t>
  </si>
  <si>
    <t>ACTIVE</t>
  </si>
  <si>
    <t>107-V, 0.5-A/0.8-A half-bridge gate driver with 8-V UVLO, dead time and inverting input pin.</t>
  </si>
  <si>
    <t>Half-bridge drivers</t>
  </si>
  <si>
    <t>Catalog</t>
  </si>
  <si>
    <t>SOIC</t>
  </si>
  <si>
    <t/>
  </si>
  <si>
    <t>-40 to 125</t>
  </si>
  <si>
    <t>4.9 x 6</t>
  </si>
  <si>
    <t>ACTIVE</t>
  </si>
  <si>
    <t>95-V synchronous DC/DC buck controller </t>
  </si>
  <si>
    <t>AC/DC &amp; DC/DC controllers (external FET)</t>
  </si>
  <si>
    <t>Catalog</t>
  </si>
  <si>
    <t>Buck</t>
  </si>
  <si>
    <t>VQFN</t>
  </si>
  <si>
    <t>Functional Safety-Capable</t>
  </si>
  <si>
    <t>-40 to 125</t>
  </si>
  <si>
    <t>4.5 x 3.5</t>
  </si>
  <si>
    <t>ACTIVE</t>
  </si>
  <si>
    <t>95nA quiescent current, 5.5V boost converter with input current limit and fast transient performance</t>
  </si>
  <si>
    <t>AC/DC &amp; DC/DC converters (integrated FET)</t>
  </si>
  <si>
    <t>Catalog</t>
  </si>
  <si>
    <t>Boost</t>
  </si>
  <si>
    <t>DSBGA,SOT-5X3</t>
  </si>
  <si>
    <t/>
  </si>
  <si>
    <t>-40 to 125</t>
  </si>
  <si>
    <t>1.4,2.56</t>
  </si>
  <si>
    <t>1.4 x 1,1.6 x 1.6</t>
  </si>
  <si>
    <t>0.4,0.6</t>
  </si>
  <si>
    <t>0.4,0.5</t>
  </si>
  <si>
    <t>ACTIVE</t>
  </si>
  <si>
    <t>4-V to 18-V input, 12-A synchronous SWIFT™ step-down power module with extended temperature</t>
  </si>
  <si>
    <t>Power modules (integrated inductor)</t>
  </si>
  <si>
    <t>Catalog</t>
  </si>
  <si>
    <t>Buck,Synchronous Buck</t>
  </si>
  <si>
    <t>B3QFN</t>
  </si>
  <si>
    <t/>
  </si>
  <si>
    <t>-55 to 125</t>
  </si>
  <si>
    <t>7.5 x 6.5</t>
  </si>
  <si>
    <t>ACTIVE</t>
  </si>
  <si>
    <t>4-V to 18-V input, 16-A synchronous SWIFT™ step-down power module with extended temperature</t>
  </si>
  <si>
    <t>Power modules (integrated inductor)</t>
  </si>
  <si>
    <t>Catalog</t>
  </si>
  <si>
    <t>Buck,Synchronous Buck</t>
  </si>
  <si>
    <t>B3QFN</t>
  </si>
  <si>
    <t/>
  </si>
  <si>
    <t>-55 to 125</t>
  </si>
  <si>
    <t>7.5 x 6.5</t>
  </si>
  <si>
    <t>ACTIVE</t>
  </si>
  <si>
    <t>4-V to 18-V input, 20-A synchronous SWIFT&amp;trade; step-down power module with extended temperature</t>
  </si>
  <si>
    <t>Power modules (integrated inductor)</t>
  </si>
  <si>
    <t>Catalog</t>
  </si>
  <si>
    <t>Buck,Synchronous Buck</t>
  </si>
  <si>
    <t>B3QFN</t>
  </si>
  <si>
    <t/>
  </si>
  <si>
    <t>-55 to 125</t>
  </si>
  <si>
    <t>7.5 x 6.5</t>
  </si>
  <si>
    <t>ACTIVE</t>
  </si>
  <si>
    <t>Automotive, 70-mA 40-V voltage-tracking low-dropout (LDO) regulator with 5-mV tracking tolerance</t>
  </si>
  <si>
    <t>Linear &amp; low-dropout (LDO) regulators</t>
  </si>
  <si>
    <t>Automotive</t>
  </si>
  <si>
    <t>SOT-23</t>
  </si>
  <si>
    <t>Functional Safety-Capable</t>
  </si>
  <si>
    <t>-40 to 125</t>
  </si>
  <si>
    <t>7.911,8.12</t>
  </si>
  <si>
    <t>2.9 x 2.8,2.93 x 2.7</t>
  </si>
  <si>
    <t>1.1,1.45</t>
  </si>
  <si>
    <t>ACTIVE</t>
  </si>
  <si>
    <t>4-V to 18-V input, advanced current mode, 12-A synchronous SWIFT™ step-down power module</t>
  </si>
  <si>
    <t>Power modules (integrated inductor)</t>
  </si>
  <si>
    <t>Catalog</t>
  </si>
  <si>
    <t>Buck,Synchronous Buck</t>
  </si>
  <si>
    <t>B3QFN</t>
  </si>
  <si>
    <t/>
  </si>
  <si>
    <t>-40 to 125</t>
  </si>
  <si>
    <t>7.5 x 6.5</t>
  </si>
  <si>
    <t>ACTIVE</t>
  </si>
  <si>
    <t>4.8-V, 4.5-A DC/DC boost converter with true bypass and 1.2-V I/O logic</t>
  </si>
  <si>
    <t>AC/DC &amp; DC/DC converters (integrated FET)</t>
  </si>
  <si>
    <t>Catalog</t>
  </si>
  <si>
    <t>Boost</t>
  </si>
  <si>
    <t>DSBGA</t>
  </si>
  <si>
    <t/>
  </si>
  <si>
    <t>-40 to 125</t>
  </si>
  <si>
    <t>1.8 x 1.8</t>
  </si>
  <si>
    <t>ACTIVE</t>
  </si>
  <si>
    <t>Automotive, 650-nA quiescent current, 15-ppm/°C drift, ultra-low-power precision voltage reference</t>
  </si>
  <si>
    <t>Series voltage references</t>
  </si>
  <si>
    <t>Automotive</t>
  </si>
  <si>
    <t>SOT-23</t>
  </si>
  <si>
    <t/>
  </si>
  <si>
    <t>-40 to 125</t>
  </si>
  <si>
    <t>2.9 x 2.8</t>
  </si>
  <si>
    <t>ACTIVE</t>
  </si>
  <si>
    <t>11 x 18 high-current LED matrix driver with 8-bit analog and 8-/16-bit PWM dimming</t>
  </si>
  <si>
    <t>RGB LED drivers</t>
  </si>
  <si>
    <t>Catalog</t>
  </si>
  <si>
    <t>Linear</t>
  </si>
  <si>
    <t>VQFN</t>
  </si>
  <si>
    <t/>
  </si>
  <si>
    <t>-55 to 125</t>
  </si>
  <si>
    <t>5 x 5</t>
  </si>
  <si>
    <t>ACTIVE</t>
  </si>
  <si>
    <t>6 x 18 high-current LED matrix driver with 8-bit analog and 8-/16-bit PWM dimming</t>
  </si>
  <si>
    <t>RGB LED drivers</t>
  </si>
  <si>
    <t>Catalog</t>
  </si>
  <si>
    <t>Linear</t>
  </si>
  <si>
    <t>VQFN</t>
  </si>
  <si>
    <t/>
  </si>
  <si>
    <t>-55 to 125</t>
  </si>
  <si>
    <t>5 x 5</t>
  </si>
  <si>
    <t>ACTIVE</t>
  </si>
  <si>
    <t>8 x 18 high-current LED matrix driver with 8-bit analog and 8-/16-bit PWM dimming</t>
  </si>
  <si>
    <t>RGB LED drivers</t>
  </si>
  <si>
    <t>Catalog</t>
  </si>
  <si>
    <t>Linear</t>
  </si>
  <si>
    <t>VQFN</t>
  </si>
  <si>
    <t/>
  </si>
  <si>
    <t>-55 to 125</t>
  </si>
  <si>
    <t>5 x 5</t>
  </si>
  <si>
    <t>ACTIVE</t>
  </si>
  <si>
    <t>4-V to 18-V input, advanced current mode, 16-A synchronous SWIFT™ step-down power module</t>
  </si>
  <si>
    <t>Power modules (integrated inductor)</t>
  </si>
  <si>
    <t>Catalog</t>
  </si>
  <si>
    <t>Buck,Synchronous Buck</t>
  </si>
  <si>
    <t>B3QFN</t>
  </si>
  <si>
    <t/>
  </si>
  <si>
    <t>-40 to 125</t>
  </si>
  <si>
    <t>7.5 x 6.5</t>
  </si>
  <si>
    <t>ACTIVE</t>
  </si>
  <si>
    <t>18-channel high-current RGB LED driver with 8-bit analog and 8-bit or 16-bit PWM dimming</t>
  </si>
  <si>
    <t>RGB LED drivers</t>
  </si>
  <si>
    <t>Catalog</t>
  </si>
  <si>
    <t>Linear</t>
  </si>
  <si>
    <t>VQFN</t>
  </si>
  <si>
    <t/>
  </si>
  <si>
    <t>-55 to 125</t>
  </si>
  <si>
    <t>4 x 4</t>
  </si>
  <si>
    <t>ACTIVE</t>
  </si>
  <si>
    <t>3.8-MHz, 5.25-V / 4-A boost converter in 1.2-mm x 1.3-mm WCSP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</si>
  <si>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</si>
  <si>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</si>
  <si>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</si>
  <si>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</si>
  <si>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</si>
  <si>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</si>
  <si>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</si>
  <si>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</si>
  <si>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17-V, 2-A low-noise and low-ripple buck module with integrated ferrite bead filter compensation</t>
  </si>
  <si>
    <t>Power modules (integrated inductor)</t>
  </si>
  <si>
    <t>Catalog</t>
  </si>
  <si>
    <t>Buck,Synchronous Buck</t>
  </si>
  <si>
    <t>B0QFN</t>
  </si>
  <si>
    <t/>
  </si>
  <si>
    <t>-40 to 125</t>
  </si>
  <si>
    <t>5.5 x 4.5</t>
  </si>
  <si>
    <t>ACTIVE</t>
  </si>
  <si>
    <t>2.95V-to-16V input, 35A, 4x stackable PMBus® power module with extended security</t>
  </si>
  <si>
    <t>Power modules (integrated inductor)</t>
  </si>
  <si>
    <t>Catalog</t>
  </si>
  <si>
    <t>Buck</t>
  </si>
  <si>
    <t>QFM</t>
  </si>
  <si>
    <t/>
  </si>
  <si>
    <t>-40 to 125</t>
  </si>
  <si>
    <t>16 x 11</t>
  </si>
  <si>
    <t>ACTIVE</t>
  </si>
  <si>
    <t>Automotive, 500mA, low-noise ultra-low-IQ high-PSRR low-dropout (LDO) voltage regulator</t>
  </si>
  <si>
    <t>Linear &amp; low-dropout (LDO) regulators</t>
  </si>
  <si>
    <t>Automotive</t>
  </si>
  <si>
    <t>VSON,WSON</t>
  </si>
  <si>
    <t/>
  </si>
  <si>
    <t>-40 to 125</t>
  </si>
  <si>
    <t>4,9</t>
  </si>
  <si>
    <t>2 x 2,3 x 3</t>
  </si>
  <si>
    <t>0.8,1</t>
  </si>
  <si>
    <t>0.5,0.65</t>
  </si>
  <si>
    <t>ACTIVE</t>
  </si>
  <si>
    <t>Automotive, 2.7V to 6V input, 25A stackable synchronous buck converter</t>
  </si>
  <si>
    <t>AC/DC &amp; DC/DC converters (integrated FET)</t>
  </si>
  <si>
    <t>Automotive</t>
  </si>
  <si>
    <t>Buck,Multiphase,Step-Down Converter,Synchronous Buck</t>
  </si>
  <si>
    <t>WQFN-FCRLF</t>
  </si>
  <si>
    <t>Functional Safety-Capable</t>
  </si>
  <si>
    <t>-40 to 125</t>
  </si>
  <si>
    <t>3.05 x 4.05</t>
  </si>
  <si>
    <t>ACTIVE</t>
  </si>
  <si>
    <t>Automotive, nano-quiescent-current precision timeout watchdog timer</t>
  </si>
  <si>
    <t>Reset &amp; watchdog ICs</t>
  </si>
  <si>
    <t>Automotive</t>
  </si>
  <si>
    <t>SOT-23-THN</t>
  </si>
  <si>
    <t>Functional Safety-Capable</t>
  </si>
  <si>
    <t>-45 to 125</t>
  </si>
  <si>
    <t>2.9 x 2.8</t>
  </si>
  <si>
    <t>ACTIVE</t>
  </si>
  <si>
    <t>2-A, ultra-low noise ultra-high PSRR RF voltage regulator</t>
  </si>
  <si>
    <t>Linear &amp; low-dropout (LDO) regulators</t>
  </si>
  <si>
    <t>Catalog</t>
  </si>
  <si>
    <t>WSON</t>
  </si>
  <si>
    <t/>
  </si>
  <si>
    <t>-40 to 125</t>
  </si>
  <si>
    <t>3 x 3</t>
  </si>
  <si>
    <t>ACTIVE</t>
  </si>
  <si>
    <t>2.5-V to 5.5-V input, 6-A high-efficiency step-down converter with forced PWM in SOT-563 package</t>
  </si>
  <si>
    <t>AC/DC &amp; DC/DC converters (integrated FET)</t>
  </si>
  <si>
    <t>Catalog</t>
  </si>
  <si>
    <t>Buck,Step-Down Converter,Synchronous Buck</t>
  </si>
  <si>
    <t>SOT-5X3</t>
  </si>
  <si>
    <t/>
  </si>
  <si>
    <t>-40 to 125</t>
  </si>
  <si>
    <t>1.6 x 1.6</t>
  </si>
  <si>
    <t>ACTIVE</t>
  </si>
  <si>
    <t>1.6-V to 5.5-V input voltage 1.5-A buck-boost converter with I2C in wafer chip scale package</t>
  </si>
  <si>
    <t>AC/DC &amp; DC/DC converters (integrated FET)</t>
  </si>
  <si>
    <t>Catalog</t>
  </si>
  <si>
    <t>Buck-Boost</t>
  </si>
  <si>
    <t>DSBGA</t>
  </si>
  <si>
    <t/>
  </si>
  <si>
    <t>-40 to 125</t>
  </si>
  <si>
    <t>1.783 x 0.983</t>
  </si>
  <si>
    <t>ACTIVE</t>
  </si>
  <si>
    <t>1.6-V to 5.5-V input voltage 1.5-A buck-boost converter with I2C in WCSP</t>
  </si>
  <si>
    <t>AC/DC &amp; DC/DC converters (integrated FET)</t>
  </si>
  <si>
    <t>Catalog</t>
  </si>
  <si>
    <t>Buck-Boost</t>
  </si>
  <si>
    <t>DSBGA</t>
  </si>
  <si>
    <t/>
  </si>
  <si>
    <t>-40 to 125</t>
  </si>
  <si>
    <t>1.783 x 0.983</t>
  </si>
  <si>
    <t>ACTIVE</t>
  </si>
  <si>
    <t>2-A loading, 2.7-V to 5.5-V, 70-mΩ USB power switch, active low, output discharge, reverse blocking</t>
  </si>
  <si>
    <t>USB power switches &amp; charging port controllers</t>
  </si>
  <si>
    <t>Catalog</t>
  </si>
  <si>
    <t>HVSSOP,SOT-23,VSSOP</t>
  </si>
  <si>
    <t/>
  </si>
  <si>
    <t>-40 to 125</t>
  </si>
  <si>
    <t>5,8</t>
  </si>
  <si>
    <t>8.12,14.7</t>
  </si>
  <si>
    <t>2.9 x 2.8,3 x 4.9</t>
  </si>
  <si>
    <t>1.1,1.45</t>
  </si>
  <si>
    <t>0.65,0.95</t>
  </si>
  <si>
    <t>ACTIVE</t>
  </si>
  <si>
    <t>2-A loading, 2.7-V to 5.5-V, 70-mΩ USB power switch, active high, output discharge, reverse blocking</t>
  </si>
  <si>
    <t>USB power switches &amp; charging port controllers</t>
  </si>
  <si>
    <t>Catalog</t>
  </si>
  <si>
    <t>HVSSOP,SOT-23,VSSOP</t>
  </si>
  <si>
    <t/>
  </si>
  <si>
    <t>-40 to 125</t>
  </si>
  <si>
    <t>5,8</t>
  </si>
  <si>
    <t>8.12,14.7</t>
  </si>
  <si>
    <t>2.9 x 2.8,3 x 4.9</t>
  </si>
  <si>
    <t>1.1,1.45</t>
  </si>
  <si>
    <t>0.65,0.95</t>
  </si>
  <si>
    <t>ACTIVE</t>
  </si>
  <si>
    <t>1.5-A loading 2.7-V to 5.5-V 70-mΩ USB power switch, active low, output discharge, reverse blocking</t>
  </si>
  <si>
    <t>USB power switches &amp; charging port controllers</t>
  </si>
  <si>
    <t>Catalog</t>
  </si>
  <si>
    <t>HVSSOP,SOT-23</t>
  </si>
  <si>
    <t/>
  </si>
  <si>
    <t>-40 to 125</t>
  </si>
  <si>
    <t>5,8</t>
  </si>
  <si>
    <t>8.12,14.7</t>
  </si>
  <si>
    <t>2.9 x 2.8,3 x 4.9</t>
  </si>
  <si>
    <t>1.1,1.45</t>
  </si>
  <si>
    <t>0.65,0.95</t>
  </si>
  <si>
    <t>ACTIVE</t>
  </si>
  <si>
    <t>1.5-A loading 2.7-V to 5.5-V 70-mΩ USB power switch, active high, output discharge, reverse blocking</t>
  </si>
  <si>
    <t>USB power switches &amp; charging port controllers</t>
  </si>
  <si>
    <t>Catalog</t>
  </si>
  <si>
    <t>HVSSOP,SOT-23</t>
  </si>
  <si>
    <t/>
  </si>
  <si>
    <t>-40 to 125</t>
  </si>
  <si>
    <t>5,8</t>
  </si>
  <si>
    <t>8.12,14.7</t>
  </si>
  <si>
    <t>2.9 x 2.8,3 x 4.9</t>
  </si>
  <si>
    <t>1.1,1.45</t>
  </si>
  <si>
    <t>0.65,0.95</t>
  </si>
  <si>
    <t>ACTIVE</t>
  </si>
  <si>
    <t>Automotive local dimming mini-LED backlight driver with 16-channel integrated current sink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</si>
  <si>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</si>
  <si>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</si>
  <si>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</si>
  <si>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</si>
  <si>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</si>
  <si>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</si>
  <si>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</si>
  <si>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</si>
  <si>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</si>
  <si>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</si>
  <si>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</si>
  <si>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32 mini-LED matrix local dimming backlight driver with 16-channel integrated current sink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</si>
  <si>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</si>
  <si>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</si>
  <si>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</si>
  <si>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</si>
  <si>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</si>
  <si>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</si>
  <si>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</si>
  <si>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</si>
  <si>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</si>
  <si>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</si>
  <si>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</si>
  <si>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64 mini-LED matrix local dimming backlight driver with 16-channel integrated current sink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</si>
  <si>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</si>
  <si>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</si>
  <si>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</si>
  <si>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</si>
  <si>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</si>
  <si>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</si>
  <si>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</si>
  <si>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</si>
  <si>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</si>
  <si>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</si>
  <si>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</si>
  <si>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4-V to 18-V input, advanced current mode, 20-A synchronous SWIFT™ step-down power module</t>
  </si>
  <si>
    <t>Power modules (integrated inductor)</t>
  </si>
  <si>
    <t>Catalog</t>
  </si>
  <si>
    <t>Buck,Synchronous Buck</t>
  </si>
  <si>
    <t>B3QFN</t>
  </si>
  <si>
    <t/>
  </si>
  <si>
    <t>-40 to 125</t>
  </si>
  <si>
    <t>7.5 x 6.5</t>
  </si>
  <si>
    <t>ACTIVE</t>
  </si>
  <si>
    <t>4.5-V to 16-V, 0.8-mΩ 70-A stackable eFuse with accurate and fast current monitor</t>
  </si>
  <si>
    <t>eFuses (integrated hot swaps)</t>
  </si>
  <si>
    <t>Catalog</t>
  </si>
  <si>
    <t>WQFN-FCRLF</t>
  </si>
  <si>
    <t/>
  </si>
  <si>
    <t>-40 to 125</t>
  </si>
  <si>
    <t>5 x 5</t>
  </si>
  <si>
    <t>ACTIVE</t>
  </si>
  <si>
    <t>Automotive 650-V 30-mΩ GaN FET with integrated driver, protection and temperature reporting</t>
  </si>
  <si>
    <t>Gallium nitride (GaN) power stages</t>
  </si>
  <si>
    <t>Automotive</t>
  </si>
  <si>
    <t>VQFN</t>
  </si>
  <si>
    <t/>
  </si>
  <si>
    <t>-40 to 150</t>
  </si>
  <si>
    <t>12 x 12</t>
  </si>
  <si>
    <t>ACTIVE</t>
  </si>
  <si>
    <t>Automotive power-supply sequencer with I²C support for up to six-channels</t>
  </si>
  <si>
    <t>Sequencers</t>
  </si>
  <si>
    <t>Automotive</t>
  </si>
  <si>
    <t>VQFN</t>
  </si>
  <si>
    <t/>
  </si>
  <si>
    <t>-40 to 125</t>
  </si>
  <si>
    <t>4 x 4</t>
  </si>
  <si>
    <t>ACTIVE</t>
  </si>
  <si>
    <t>Automotive ideal diode with circuit breaker, under- and overvoltage protection with fault output</t>
  </si>
  <si>
    <t>Ideal diode &amp; ORing controllers</t>
  </si>
  <si>
    <t>Automotive</t>
  </si>
  <si>
    <t>VQFN</t>
  </si>
  <si>
    <t>Functional Safety-Capable</t>
  </si>
  <si>
    <t>-40 to 125</t>
  </si>
  <si>
    <t>4 x 4</t>
  </si>
  <si>
    <t>ACTIVE</t>
  </si>
  <si>
    <t>User-programmable power management IC (PMIC) with three step-down DC/DC converters and four LDOs</t>
  </si>
  <si>
    <t>Multi-channel ICs (PMICs)</t>
  </si>
  <si>
    <t>Catalog</t>
  </si>
  <si>
    <t>VQFN</t>
  </si>
  <si>
    <t/>
  </si>
  <si>
    <t>-40 to 105</t>
  </si>
  <si>
    <t>16,25</t>
  </si>
  <si>
    <t>4 x 4,5 x 5</t>
  </si>
  <si>
    <t>0.4,0.5</t>
  </si>
  <si>
    <t>ACTIVE</t>
  </si>
  <si>
    <t>2.5-V to 5.5-V PMIC with three step-down DC/DC converters &amp; four LDOs for Sitara AM64x processor</t>
  </si>
  <si>
    <t>Multi-channel ICs (PMICs)</t>
  </si>
  <si>
    <t>Catalog</t>
  </si>
  <si>
    <t>VQFN</t>
  </si>
  <si>
    <t/>
  </si>
  <si>
    <t>-40 to 125</t>
  </si>
  <si>
    <t>5 x 5</t>
  </si>
  <si>
    <t>ACTIVE</t>
  </si>
  <si>
    <t>Automotive, nano-quiescent-current precision window watchdog timer</t>
  </si>
  <si>
    <t>Reset &amp; watchdog ICs</t>
  </si>
  <si>
    <t>Automotive</t>
  </si>
  <si>
    <t>SOT-23-THN</t>
  </si>
  <si>
    <t>Functional Safety-Capable</t>
  </si>
  <si>
    <t>-45 to 125</t>
  </si>
  <si>
    <t>2.9 x 2.8</t>
  </si>
  <si>
    <t>ACTIVE</t>
  </si>
  <si>
    <t>Automotive 8-scan MOSFET controller for mini-LED matrix local dimming backlight applications</t>
  </si>
  <si>
    <t>Automotive LED drivers,Backlight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</si>
  <si>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</si>
  <si>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</si>
  <si>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</si>
  <si>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</si>
  <si>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</si>
  <si>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</si>
  <si>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</si>
  <si>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</si>
  <si>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</si>
  <si>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</si>
  <si>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128 mini-LED matrix local dimming backlight driver, 16-channel integrated current sink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</si>
  <si>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</si>
  <si>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</si>
  <si>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</si>
  <si>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</si>
  <si>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</si>
  <si>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</si>
  <si>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</si>
  <si>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</si>
  <si>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</si>
  <si>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</si>
  <si>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</si>
  <si>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8-scan MOSFET controller for mini-LED matrix local dimming backlight applications</t>
  </si>
  <si>
    <t>Automotive LED drivers,Backlight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</si>
  <si>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</si>
  <si>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</si>
  <si>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</si>
  <si>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</si>
  <si>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</si>
  <si>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</si>
  <si>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</si>
  <si>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</si>
  <si>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</si>
  <si>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</si>
  <si>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mini-LED local dimming backlight driver with 60-mA 16-channel integrated current sink</t>
  </si>
  <si>
    <t>Automotive LED drivers,Backlight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</si>
  <si>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</si>
  <si>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</si>
  <si>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</si>
  <si>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</si>
  <si>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</si>
  <si>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</si>
  <si>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</si>
  <si>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</si>
  <si>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</si>
  <si>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</si>
  <si>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32 mini-LED matrix local-dimming backlight driver with 16 channels in 60mA/20V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</si>
  <si>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</si>
  <si>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</si>
  <si>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</si>
  <si>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</si>
  <si>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</si>
  <si>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</si>
  <si>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</si>
  <si>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</si>
  <si>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</si>
  <si>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</si>
  <si>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</si>
  <si>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64 mini-LED matrix local dimming backlight driver with 16-channel in 60 mA / 20 V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</si>
  <si>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</si>
  <si>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</si>
  <si>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</si>
  <si>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</si>
  <si>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</si>
  <si>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</si>
  <si>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</si>
  <si>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</si>
  <si>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</si>
  <si>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</si>
  <si>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</si>
  <si>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128 mini-LED matrix local dimming backlight driver with 60-mA 16-channel current sink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</si>
  <si>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</si>
  <si>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</si>
  <si>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</si>
  <si>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</si>
  <si>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</si>
  <si>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</si>
  <si>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</si>
  <si>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</si>
  <si>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</si>
  <si>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</si>
  <si>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</si>
  <si>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8-scan MOSFET controller for mini-LED matrix local dimming backlight applications</t>
  </si>
  <si>
    <t>Automotive LED drivers,Backlight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</si>
  <si>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</si>
  <si>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</si>
  <si>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</si>
  <si>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</si>
  <si>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</si>
  <si>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</si>
  <si>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</si>
  <si>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</si>
  <si>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</si>
  <si>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</si>
  <si>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Nano-quiescent-current precision supervisor with timeout watchdog timer</t>
  </si>
  <si>
    <t>Reset &amp; watchdog ICs</t>
  </si>
  <si>
    <t>Automotive,Catalog</t>
  </si>
  <si>
    <t>SOT-23-THN,WSON</t>
  </si>
  <si>
    <t/>
  </si>
  <si>
    <t>-40 to 125</t>
  </si>
  <si>
    <t>6,8</t>
  </si>
  <si>
    <t>2.25,8.12</t>
  </si>
  <si>
    <t>1.5 x 1.5,2.9 x 2.8</t>
  </si>
  <si>
    <t>0.8,1.1</t>
  </si>
  <si>
    <t>0.5,0.65</t>
  </si>
  <si>
    <t>ACTIVE</t>
  </si>
  <si>
    <t>Automotive nano-quiescent-current precision supervisor with timeout watchdog timer</t>
  </si>
  <si>
    <t>Reset &amp; watchdog ICs</t>
  </si>
  <si>
    <t>Automotive</t>
  </si>
  <si>
    <t>SOT-23-THN</t>
  </si>
  <si>
    <t>Functional Safety-Capable</t>
  </si>
  <si>
    <t>-40 to 125</t>
  </si>
  <si>
    <t>2.9 x 2.8</t>
  </si>
  <si>
    <t>ACTIVE</t>
  </si>
  <si>
    <t>Automotive local dimming mini-LED backlight driver with 16-Channel integrated current sink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</si>
  <si>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</si>
  <si>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</si>
  <si>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</si>
  <si>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</si>
  <si>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</si>
  <si>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</si>
  <si>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</si>
  <si>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</si>
  <si>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</si>
  <si>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</si>
  <si>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</si>
  <si>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32 mini-LED matrix local dimming backlight driver with 16-channel integrated current sink</t>
  </si>
  <si>
    <t>Automotive LED drivers,Backlight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</si>
  <si>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</si>
  <si>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</si>
  <si>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</si>
  <si>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</si>
  <si>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</si>
  <si>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</si>
  <si>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</si>
  <si>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</si>
  <si>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</si>
  <si>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</si>
  <si>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64 mini-LED matrix local dimming backlight driver with 16-channel integrated current sink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</si>
  <si>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</si>
  <si>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</si>
  <si>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</si>
  <si>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</si>
  <si>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</si>
  <si>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</si>
  <si>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</si>
  <si>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</si>
  <si>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</si>
  <si>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</si>
  <si>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</si>
  <si>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 xml:space="preserve">Automotive 128 mini-LED matrix local dimming backlight driver with 16-channel integrated current </t>
  </si>
  <si>
    <t>Automotive LED drivers,Backlight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</si>
  <si>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</si>
  <si>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</si>
  <si>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</si>
  <si>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</si>
  <si>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</si>
  <si>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</si>
  <si>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</si>
  <si>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</si>
  <si>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</si>
  <si>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</si>
  <si>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8-scan MOSFET controller for mini-LED matrix local dimming backlight applications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</si>
  <si>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</si>
  <si>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</si>
  <si>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</si>
  <si>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</si>
  <si>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</si>
  <si>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</si>
  <si>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</si>
  <si>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</si>
  <si>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</si>
  <si>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</si>
  <si>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</si>
  <si>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mini-LED local dimming backlight driver with 60-mA 16-channel integrated current sink</t>
  </si>
  <si>
    <t>Automotive LED drivers,Backlight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</si>
  <si>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</si>
  <si>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</si>
  <si>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</si>
  <si>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</si>
  <si>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</si>
  <si>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</si>
  <si>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</si>
  <si>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</si>
  <si>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</si>
  <si>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</si>
  <si>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32 mini-LED matrix local dimming backlight driver with 16-channel in 60 mA / 50 V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</si>
  <si>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</si>
  <si>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</si>
  <si>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</si>
  <si>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</si>
  <si>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</si>
  <si>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</si>
  <si>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</si>
  <si>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</si>
  <si>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</si>
  <si>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</si>
  <si>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</si>
  <si>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Automotive 64 mini-LED matrix local dimming backlight driver with 16-channel in 60 mA / 50 V</t>
  </si>
  <si>
    <t>Backlight LED drivers,Automotive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</si>
  <si>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</si>
  <si>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</si>
  <si>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</si>
  <si>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</si>
  <si>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</si>
  <si>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</si>
  <si>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</si>
  <si>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</si>
  <si>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</si>
  <si>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</si>
  <si>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Radiation-tolerant, 1.5A, ultra-low-noise ultra-high-PSRR RF LDO regulator</t>
  </si>
  <si>
    <t>Linear &amp; low-dropout (LDO) regulators</t>
  </si>
  <si>
    <t>Space</t>
  </si>
  <si>
    <t>HTSSOP</t>
  </si>
  <si>
    <t/>
  </si>
  <si>
    <t>-55 to 125</t>
  </si>
  <si>
    <t>9.7 x 6.4</t>
  </si>
  <si>
    <t>ACTIVE</t>
  </si>
  <si>
    <t>Automotive, two-channel 600V 50mA isolated switch with 2mA avalanche rating</t>
  </si>
  <si>
    <t>Solid-state relays</t>
  </si>
  <si>
    <t>Automotive</t>
  </si>
  <si>
    <t>SOIC</t>
  </si>
  <si>
    <t>Functional Safety-Capable</t>
  </si>
  <si>
    <t>-40 to 125</t>
  </si>
  <si>
    <t>10.3 x 10.3</t>
  </si>
  <si>
    <t>ACTIVE</t>
  </si>
  <si>
    <t>Automotive, 1.5-W, 12-V VIN, 25-V VOUT high-density &amp;gt;3-kVRMS isolated DC/DC module</t>
  </si>
  <si>
    <t>Isolated power modules (integrated transformer)</t>
  </si>
  <si>
    <t>Automotive</t>
  </si>
  <si>
    <t>Full-bridge</t>
  </si>
  <si>
    <t>SO-MOD</t>
  </si>
  <si>
    <t>Functional Safety-Capable</t>
  </si>
  <si>
    <t>-40 to 125</t>
  </si>
  <si>
    <t>12.8 x 10.3</t>
  </si>
  <si>
    <t>ACTIVE</t>
  </si>
  <si>
    <t>Automotive, 1.5-W, 12-V VIN, 25-V VOUT high-density &amp;gt;5-kVRMS&amp;nbsp;isolated DC/DC module</t>
  </si>
  <si>
    <t>Isolated power modules (integrated transformer)</t>
  </si>
  <si>
    <t>Automotive</t>
  </si>
  <si>
    <t>Full-bridge</t>
  </si>
  <si>
    <t>SO-MOD</t>
  </si>
  <si>
    <t>Functional Safety-Capable</t>
  </si>
  <si>
    <t>-40 to 125</t>
  </si>
  <si>
    <t>12.8 x 10.3</t>
  </si>
  <si>
    <t>ACTIVE</t>
  </si>
  <si>
    <t>2.5-V to 5.5-V input, 6-A high-efficiency step-down converter in SOT-563 package</t>
  </si>
  <si>
    <t>AC/DC &amp; DC/DC converters (integrated FET)</t>
  </si>
  <si>
    <t>Catalog</t>
  </si>
  <si>
    <t>Buck,Step-Down Converter,Synchronous Buck</t>
  </si>
  <si>
    <t>SOT-5X3</t>
  </si>
  <si>
    <t/>
  </si>
  <si>
    <t>-40 to 125</t>
  </si>
  <si>
    <t>1.6 x 1.6</t>
  </si>
  <si>
    <t>ACTIVE</t>
  </si>
  <si>
    <t>17-V VIN, 3-A low-noise and low-ripple buck module</t>
  </si>
  <si>
    <t>Power modules (integrated inductor)</t>
  </si>
  <si>
    <t>Catalog</t>
  </si>
  <si>
    <t>Buck,Synchronous Buck</t>
  </si>
  <si>
    <t>B0QFN</t>
  </si>
  <si>
    <t/>
  </si>
  <si>
    <t>-55 to 125</t>
  </si>
  <si>
    <t>5.5 x 4.5</t>
  </si>
  <si>
    <t>ACTIVE</t>
  </si>
  <si>
    <t>Automotive, 4A/6A 5kVRMS dual-channel isolated gate driver with EN and DT pins for IGBT and SiC</t>
  </si>
  <si>
    <t>Isolated gate drivers</t>
  </si>
  <si>
    <t>Automotive</t>
  </si>
  <si>
    <t>SOIC,SSOP</t>
  </si>
  <si>
    <t>Functional Safety-Capable</t>
  </si>
  <si>
    <t>-40 to 150</t>
  </si>
  <si>
    <t>14,16,28</t>
  </si>
  <si>
    <t>106.09,109.18</t>
  </si>
  <si>
    <t>10.3 x 10.3,10.6 x 10.3</t>
  </si>
  <si>
    <t>2.3,2.65</t>
  </si>
  <si>
    <t>0.5,1.27</t>
  </si>
  <si>
    <t>ACTIVE</t>
  </si>
  <si>
    <t>Automotive 10-A source/sink single-channel isolated gate driver for SiC/IGBT with active protection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</si>
  <si>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</si>
  <si>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</si>
  <si>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</si>
  <si>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</si>
  <si>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</si>
  <si>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</si>
  <si>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</si>
  <si>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Automotive, 3-V to 18-V, 1-A low-IQ synchronous buck converter with 165°C junction temperature&lt;/p</t>
  </si>
  <si>
    <t>AC/DC &amp; DC/DC converters (integrated FET)</t>
  </si>
  <si>
    <t>Automotive</t>
  </si>
  <si>
    <t>Buck</t>
  </si>
  <si>
    <t>VQFN-HR</t>
  </si>
  <si>
    <t/>
  </si>
  <si>
    <t>-40 to 165</t>
  </si>
  <si>
    <t>2.2 x 2</t>
  </si>
  <si>
    <t>ACTIVE</t>
  </si>
  <si>
    <t>107-V 0.5-A/0.8-A half-bridge gate driver with 5-V UVLO and integrated bootstrap diode</t>
  </si>
  <si>
    <t>Half-bridge drivers</t>
  </si>
  <si>
    <t>Catalog</t>
  </si>
  <si>
    <t>SOIC,WSON</t>
  </si>
  <si>
    <t/>
  </si>
  <si>
    <t>-40 to 125</t>
  </si>
  <si>
    <t>4,29.4</t>
  </si>
  <si>
    <t>2 x 2,4.9 x 6</t>
  </si>
  <si>
    <t>0.8,1.75</t>
  </si>
  <si>
    <t>0.5,1.27</t>
  </si>
  <si>
    <t>ACTIVE</t>
  </si>
  <si>
    <t>1.5A high-efficiency buck-boost module with integrated inductor</t>
  </si>
  <si>
    <t>Power modules (integrated inductor)</t>
  </si>
  <si>
    <t>Catalog</t>
  </si>
  <si>
    <t>Buck-Boost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</si>
  <si>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</si>
  <si>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</si>
  <si>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</si>
  <si>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</si>
  <si>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</si>
  <si>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</si>
  <si>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</si>
  <si>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</si>
  <si>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36-V, 1-A low-EMI synchronous step-down converter with 1.5-µA IQ</t>
  </si>
  <si>
    <t>AC/DC &amp; DC/DC converters (integrated FET)</t>
  </si>
  <si>
    <t>Catalog</t>
  </si>
  <si>
    <t>Buck</t>
  </si>
  <si>
    <t>VQFN-FCRLF</t>
  </si>
  <si>
    <t>Functional Safety-Capable</t>
  </si>
  <si>
    <t>-40 to 150</t>
  </si>
  <si>
    <t>2.6 x 2.6</t>
  </si>
  <si>
    <t>ACTIVE</t>
  </si>
  <si>
    <t>36-V, 2-A low-EMI synchronous step-down converter with 1.5-µA IQ</t>
  </si>
  <si>
    <t>AC/DC &amp; DC/DC converters (integrated FET)</t>
  </si>
  <si>
    <t>Catalog</t>
  </si>
  <si>
    <t>Buck</t>
  </si>
  <si>
    <t>VQFN-FCRLF</t>
  </si>
  <si>
    <t>Functional Safety-Capable</t>
  </si>
  <si>
    <t>-40 to 150</t>
  </si>
  <si>
    <t>2.6 x 2.6</t>
  </si>
  <si>
    <t>ACTIVE</t>
  </si>
  <si>
    <t>Automotive ideal diode with circuit breaker, 200-kHz ACS and under- and overvoltage protection</t>
  </si>
  <si>
    <t>Ideal diode &amp; ORing controllers</t>
  </si>
  <si>
    <t>Automotive</t>
  </si>
  <si>
    <t>VQFN</t>
  </si>
  <si>
    <t>Functional Safety-Capable</t>
  </si>
  <si>
    <t>-40 to 125</t>
  </si>
  <si>
    <t>4 x 4</t>
  </si>
  <si>
    <t>ACTIVE</t>
  </si>
  <si>
    <t>3-V to 17-V input voltage, 2-A, 1.4-MHz synchronous buck converter in SOT563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</si>
  <si>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</si>
  <si>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</si>
  <si>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</si>
  <si>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</si>
  <si>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</si>
  <si>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</si>
  <si>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</si>
  <si>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</si>
  <si>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Automotive 1200-V&amp;nbsp;50-mA&amp;nbsp;isolated switch with 2-mA avalanche rating</t>
  </si>
  <si>
    <t>Solid-state relays</t>
  </si>
  <si>
    <t>Automotive</t>
  </si>
  <si>
    <t>SOIC</t>
  </si>
  <si>
    <t>Functional Safety-Capable</t>
  </si>
  <si>
    <t>-40 to 125</t>
  </si>
  <si>
    <t>10.3 x 10.3</t>
  </si>
  <si>
    <t>ACTIVE</t>
  </si>
  <si>
    <t>3-V to 17-V input voltage, 3-A Eco-mode synchronous buck module</t>
  </si>
  <si>
    <t>Power modules (integrated inductor)</t>
  </si>
  <si>
    <t>Catalog</t>
  </si>
  <si>
    <t>Synchronous Buck</t>
  </si>
  <si>
    <t>QFN-FCMOD</t>
  </si>
  <si>
    <t/>
  </si>
  <si>
    <t>-40 to 125</t>
  </si>
  <si>
    <t>4 x 3.3</t>
  </si>
  <si>
    <t>ACTIVE</t>
  </si>
  <si>
    <t>3-V to 17-V input voltage, 3-A forced-CCM synchronous buck module</t>
  </si>
  <si>
    <t>Power modules (integrated inductor)</t>
  </si>
  <si>
    <t>Catalog</t>
  </si>
  <si>
    <t>Synchronous Buck</t>
  </si>
  <si>
    <t>QFN-FCMOD</t>
  </si>
  <si>
    <t/>
  </si>
  <si>
    <t>-40 to 125</t>
  </si>
  <si>
    <t>4 x 3.3</t>
  </si>
  <si>
    <t>ACTIVE</t>
  </si>
  <si>
    <t>Automotive power management IC (PMIC) with three buck converters and four LDOs</t>
  </si>
  <si>
    <t>Multi-channel ICs (PMICs)</t>
  </si>
  <si>
    <t>Automotive</t>
  </si>
  <si>
    <t>VQFN</t>
  </si>
  <si>
    <t/>
  </si>
  <si>
    <t>-40 to 125</t>
  </si>
  <si>
    <t>5 x 5</t>
  </si>
  <si>
    <t>ACTIVE</t>
  </si>
  <si>
    <t>Automotive 128 mini-LED matrix local dimming backlight driver with 60-mA 16-channel current sink</t>
  </si>
  <si>
    <t>Automotive LED drivers</t>
  </si>
  <si>
    <t>Automotive</t>
  </si>
  <si>
    <t>HTSSOP,WQFN</t>
  </si>
  <si>
    <t/>
  </si>
  <si>
    <t>-40 to 125</t>
  </si>
  <si>
    <t>24,28</t>
  </si>
  <si>
    <t>16,62.08</t>
  </si>
  <si>
    <t>4 x 4,9.7 x 6.4</t>
  </si>
  <si>
    <t>0.8,1.2</t>
  </si>
  <si>
    <t>0.5,0.65</t>
  </si>
  <si>
    <t>ACTIVE</t>
  </si>
  <si>
    <t>2.9-V to 16-V, 0.79-mΩ, 60-A eFuse with digital telemetry controller</t>
  </si>
  <si>
    <t>eFuses (integrated hot swaps)</t>
  </si>
  <si>
    <t>Catalog</t>
  </si>
  <si>
    <t>VQFN-HR</t>
  </si>
  <si>
    <t/>
  </si>
  <si>
    <t>-40 to 125</t>
  </si>
  <si>
    <t>5 x 4.5</t>
  </si>
  <si>
    <t>ACTIVE</t>
  </si>
  <si>
    <t>2.75-V to 6-V, dual 1-A step-down converter in QFN package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</si>
  <si>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</si>
  <si>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</si>
  <si>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</si>
  <si>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</si>
  <si>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</si>
  <si>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</si>
  <si>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2.7 x 2.3</t>
  </si>
  <si>
    <t>ACTIVE</t>
  </si>
  <si>
    <t>2.75-V to 6-V, dual 2-A or 3-A and 1-A step-down converter in QFN package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</si>
  <si>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</si>
  <si>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</si>
  <si>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</si>
  <si>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</si>
  <si>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</si>
  <si>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</si>
  <si>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2.7 x 2.3</t>
  </si>
  <si>
    <t>ACTIVE</t>
  </si>
  <si>
    <t>1.8V to 5.5V input, 600mA ultra-low IQ step-down converter</t>
  </si>
  <si>
    <t>AC/DC &amp; DC/DC converters (integrated FET)</t>
  </si>
  <si>
    <t>Catalog</t>
  </si>
  <si>
    <t>Buck</t>
  </si>
  <si>
    <t>DSBGA,SOT-5X3</t>
  </si>
  <si>
    <t/>
  </si>
  <si>
    <t>-40 to 125</t>
  </si>
  <si>
    <t>0.735,2.56</t>
  </si>
  <si>
    <t>1.05 x 0.7,1.6 x 1.6</t>
  </si>
  <si>
    <t>0.4,0.6</t>
  </si>
  <si>
    <t>0.35,0.5</t>
  </si>
  <si>
    <t>ACTIVE</t>
  </si>
  <si>
    <t>Automotive, Zero-power standby PSR flyback controller</t>
  </si>
  <si>
    <t>AC/DC &amp; DC/DC controllers (external FET)</t>
  </si>
  <si>
    <t>Automotive</t>
  </si>
  <si>
    <t>Buck,Flyback</t>
  </si>
  <si>
    <t>SOIC</t>
  </si>
  <si>
    <t>Functional Safety-Capable</t>
  </si>
  <si>
    <t>-40 to 125</t>
  </si>
  <si>
    <t>4.9 x 6</t>
  </si>
  <si>
    <t>ACTIVE</t>
  </si>
  <si>
    <t>Radiation-hardened, QMLV and QMLP, 1.5A ultra-low-noise high-PSRR low-dropout (LDO) regulator</t>
  </si>
  <si>
    <t>Linear &amp; low-dropout (LDO) regulators</t>
  </si>
  <si>
    <t>Space</t>
  </si>
  <si>
    <t>CFP,HTSSOP</t>
  </si>
  <si>
    <t/>
  </si>
  <si>
    <t>-55 to 125</t>
  </si>
  <si>
    <t>14,28</t>
  </si>
  <si>
    <t>62.08,73.20624</t>
  </si>
  <si>
    <t>9.12 x 8.027,9.7 x 6.4</t>
  </si>
  <si>
    <t>1.2,2.5296</t>
  </si>
  <si>
    <t>0.65,1.27</t>
  </si>
  <si>
    <t>ACTIVE</t>
  </si>
  <si>
    <t>4-V to 18-V input, advanced current mode, 12-A, synchronous SWIFT™ step-down converter</t>
  </si>
  <si>
    <t>AC/DC &amp; DC/DC converters (integrated FET)</t>
  </si>
  <si>
    <t>Catalog</t>
  </si>
  <si>
    <t>Buck</t>
  </si>
  <si>
    <t>WQFN-FCRLF</t>
  </si>
  <si>
    <t/>
  </si>
  <si>
    <t>-40 to 150</t>
  </si>
  <si>
    <t>4.5 x 2.5</t>
  </si>
  <si>
    <t>ACTIVE</t>
  </si>
  <si>
    <t>4-V to 18-V input, advanced current mode, 25-A synchronous SWIFT™ step-down converter</t>
  </si>
  <si>
    <t>AC/DC &amp; DC/DC converters (integrated FET)</t>
  </si>
  <si>
    <t>Catalog</t>
  </si>
  <si>
    <t>Buck</t>
  </si>
  <si>
    <t>WQFN-FCRLF</t>
  </si>
  <si>
    <t/>
  </si>
  <si>
    <t>-40 to 150</t>
  </si>
  <si>
    <t>4.5 x 2.5</t>
  </si>
  <si>
    <t>ACTIVE</t>
  </si>
  <si>
    <t>60-V wide VIN synchronous 4-switch buck-boost controller with bidirectional operation</t>
  </si>
  <si>
    <t>AC/DC &amp; DC/DC controllers (external FET)</t>
  </si>
  <si>
    <t>Catalog</t>
  </si>
  <si>
    <t>Buck-Boost</t>
  </si>
  <si>
    <t>HTSSOP</t>
  </si>
  <si>
    <t/>
  </si>
  <si>
    <t>-40 to 125</t>
  </si>
  <si>
    <t>9.7 x 6.4</t>
  </si>
  <si>
    <t>ACTIVE</t>
  </si>
  <si>
    <t>Automotive, 36-V, 1-A low-EMI synchronous step-down converter with 1.5-µA IQ</t>
  </si>
  <si>
    <t>AC/DC &amp; DC/DC converters (integrated FET)</t>
  </si>
  <si>
    <t>Automotive</t>
  </si>
  <si>
    <t>Buck</t>
  </si>
  <si>
    <t>VQFN-FCRLF</t>
  </si>
  <si>
    <t>Functional Safety-Capable</t>
  </si>
  <si>
    <t>-40 to 150</t>
  </si>
  <si>
    <t>2.6 x 2.6</t>
  </si>
  <si>
    <t>ACTIVE</t>
  </si>
  <si>
    <t>Automotive, 36-V, 2-A low-EMI synchronous step-down converter with 1.5-µA IQ</t>
  </si>
  <si>
    <t>AC/DC &amp; DC/DC converters (integrated FET)</t>
  </si>
  <si>
    <t>Automotive</t>
  </si>
  <si>
    <t>Buck</t>
  </si>
  <si>
    <t>VQFN-FCRLF</t>
  </si>
  <si>
    <t>Functional Safety-Capable</t>
  </si>
  <si>
    <t>-40 to 150</t>
  </si>
  <si>
    <t>2.6 x 2.6</t>
  </si>
  <si>
    <t>ACTIVE</t>
  </si>
  <si>
    <t>Multichannel overvoltage and undervoltage I²C programmable voltage supervisor</t>
  </si>
  <si>
    <t>Reset &amp; watchdog ICs</t>
  </si>
  <si>
    <t>Automotive,Catalog</t>
  </si>
  <si>
    <t>WQFN</t>
  </si>
  <si>
    <t>Functional Safety-Compliant</t>
  </si>
  <si>
    <t>-40 to 125</t>
  </si>
  <si>
    <t>3 x 3</t>
  </si>
  <si>
    <t>ACTIVE</t>
  </si>
  <si>
    <t>Automotive multichannel overvoltage and undervoltage I²C programmable voltage supervisor and monitor</t>
  </si>
  <si>
    <t>Reset &amp; watchdog ICs</t>
  </si>
  <si>
    <t>Automotive</t>
  </si>
  <si>
    <t>WQFN</t>
  </si>
  <si>
    <t>Functional Safety-Compliant</t>
  </si>
  <si>
    <t>-40 to 125</t>
  </si>
  <si>
    <t>3 x 3</t>
  </si>
  <si>
    <t>ACTIVE</t>
  </si>
  <si>
    <t>Radiation-tolerant, 2.3-V to 3.5-V input, 3-A sink and source DDR-termination LDO regulator</t>
  </si>
  <si>
    <t>DDR memory power ICs</t>
  </si>
  <si>
    <t>Space</t>
  </si>
  <si>
    <t>HTSSOP</t>
  </si>
  <si>
    <t/>
  </si>
  <si>
    <t>-55 to 125</t>
  </si>
  <si>
    <t>11 x 8.1</t>
  </si>
  <si>
    <t>ACTIVE</t>
  </si>
  <si>
    <t>65-V, 100-mA low-IQ synchronous step-down converter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</si>
  <si>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</si>
  <si>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</si>
  <si>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</si>
  <si>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</si>
  <si>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</si>
  <si>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</si>
  <si>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2 x 2</t>
  </si>
  <si>
    <t>ACTIVE</t>
  </si>
  <si>
    <t>Automotive, 1.5-A, 0.8-V low-noise adjustable LDO voltage regulator with power good and enable</t>
  </si>
  <si>
    <t>Linear &amp; low-dropout (LDO) regulators</t>
  </si>
  <si>
    <t>Automotive</t>
  </si>
  <si>
    <t>VSON</t>
  </si>
  <si>
    <t/>
  </si>
  <si>
    <t>-40 to 150</t>
  </si>
  <si>
    <t>3 x 3</t>
  </si>
  <si>
    <t>ACTIVE</t>
  </si>
  <si>
    <t>650-V 30-mΩ GaN FET with integrated driver, protection and zero-voltage detection</t>
  </si>
  <si>
    <t>Gallium nitride (GaN) power stages</t>
  </si>
  <si>
    <t>Catalog</t>
  </si>
  <si>
    <t>VQFN</t>
  </si>
  <si>
    <t/>
  </si>
  <si>
    <t>-40 to 150</t>
  </si>
  <si>
    <t>12 x 12</t>
  </si>
  <si>
    <t>ACTIVE</t>
  </si>
  <si>
    <t>18V PMIC with three buck converters and one LDO for camera modules</t>
  </si>
  <si>
    <t>Multi-channel ICs (PMICs)</t>
  </si>
  <si>
    <t>Automotive</t>
  </si>
  <si>
    <t>WQFN-FCRLF</t>
  </si>
  <si>
    <t>Functional Safety-Compliant</t>
  </si>
  <si>
    <t>-40 to 125</t>
  </si>
  <si>
    <t>3.5 x 3</t>
  </si>
  <si>
    <t>ACTIVE</t>
  </si>
  <si>
    <t>3-V to 36-V, 1-A low-EMI synchronous buck regulator with low IQ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</si>
  <si>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</si>
  <si>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</si>
  <si>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</si>
  <si>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</si>
  <si>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</si>
  <si>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</si>
  <si>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2 x 2</t>
  </si>
  <si>
    <t>ACTIVE</t>
  </si>
  <si>
    <t>3-V to 36-V, 2-A low-EMI synchronous buck regulator with low IQ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</si>
  <si>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</si>
  <si>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</si>
  <si>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</si>
  <si>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</si>
  <si>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</si>
  <si>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</si>
  <si>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2 x 2</t>
  </si>
  <si>
    <t>ACTIVE</t>
  </si>
  <si>
    <t>Common-mode active EMI filter (AEF) for single-phase systems</t>
  </si>
  <si>
    <t>Power-supply filter ICs</t>
  </si>
  <si>
    <t>Automotive</t>
  </si>
  <si>
    <t>SOT-23-THN</t>
  </si>
  <si>
    <t>Functional Safety-Capable</t>
  </si>
  <si>
    <t>-40 to 150</t>
  </si>
  <si>
    <t>4.2 x 3.26</t>
  </si>
  <si>
    <t>ACTIVE</t>
  </si>
  <si>
    <t>Common-mode active EMI filter (AEF) for three-phase systems</t>
  </si>
  <si>
    <t>Power-supply filter ICs</t>
  </si>
  <si>
    <t>Automotive</t>
  </si>
  <si>
    <t>SOT-23-THN</t>
  </si>
  <si>
    <t>Functional Safety-Capable</t>
  </si>
  <si>
    <t>-40 to 150</t>
  </si>
  <si>
    <t>4.2 x 3.26</t>
  </si>
  <si>
    <t>ACTIVE</t>
  </si>
  <si>
    <t>3-V to 17-V input voltage, 4-A ECO mode, synchronous buck converter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</si>
  <si>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</si>
  <si>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</si>
  <si>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</si>
  <si>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</si>
  <si>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</si>
  <si>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</si>
  <si>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</si>
  <si>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</si>
  <si>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3-V to 17-V input voltage, 4-A OOA mode, synchronous buck converter with PG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</si>
  <si>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</si>
  <si>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</si>
  <si>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</si>
  <si>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</si>
  <si>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</si>
  <si>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</si>
  <si>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</si>
  <si>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</si>
  <si>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3-V to 17-V input voltage, 4-A FCCM mode, synchronous buck converter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</si>
  <si>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</si>
  <si>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</si>
  <si>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</si>
  <si>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</si>
  <si>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</si>
  <si>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</si>
  <si>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</si>
  <si>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</si>
  <si>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3-V to 17-V input voltage, 3-A, 1.2-Mhz synchronous buck converter in SOT563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</si>
  <si>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</si>
  <si>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</si>
  <si>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</si>
  <si>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</si>
  <si>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</si>
  <si>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</si>
  <si>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</si>
  <si>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</si>
  <si>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3-V to 17-V input voltage, 3-A, 1.2-MHz synchronous buck converter in SOT563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</si>
  <si>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</si>
  <si>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</si>
  <si>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</si>
  <si>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</si>
  <si>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</si>
  <si>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</si>
  <si>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</si>
  <si>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</si>
  <si>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Automotive SIMPLE SWITCHER&amp;reg; 4.2-V to 80-V, 1-A synchronous buck converter</t>
  </si>
  <si>
    <t>AC/DC &amp; DC/DC converters (integrated FET)</t>
  </si>
  <si>
    <t>Automotive</t>
  </si>
  <si>
    <t>Buck</t>
  </si>
  <si>
    <t>HSOIC</t>
  </si>
  <si>
    <t>Functional Safety-Capable</t>
  </si>
  <si>
    <t>-40 to 150</t>
  </si>
  <si>
    <t>4.9 x 6</t>
  </si>
  <si>
    <t>ACTIVE</t>
  </si>
  <si>
    <t>Automotive SIMPLE SWITCHER® power converter 4.2-V to 80-V, 2-A, synchronous buck converter</t>
  </si>
  <si>
    <t>AC/DC &amp; DC/DC converters (integrated FET)</t>
  </si>
  <si>
    <t>Automotive</t>
  </si>
  <si>
    <t>Buck</t>
  </si>
  <si>
    <t>HSOIC</t>
  </si>
  <si>
    <t>Functional Safety-Capable</t>
  </si>
  <si>
    <t>-40 to 150</t>
  </si>
  <si>
    <t>4.9 x 6</t>
  </si>
  <si>
    <t>ACTIVE</t>
  </si>
  <si>
    <t>Automotive, single-channel, high-current 40-V high-side LED driver with thermal sharing</t>
  </si>
  <si>
    <t>Automotive LED drivers</t>
  </si>
  <si>
    <t>Automotive</t>
  </si>
  <si>
    <t>Current Source</t>
  </si>
  <si>
    <t>HVSSOP</t>
  </si>
  <si>
    <t/>
  </si>
  <si>
    <t>-40 to 125</t>
  </si>
  <si>
    <t>3 x 4.9</t>
  </si>
  <si>
    <t>ACTIVE</t>
  </si>
  <si>
    <t>8-scan MOSFET controller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</si>
  <si>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</si>
  <si>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</si>
  <si>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</si>
  <si>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</si>
  <si>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</si>
  <si>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</si>
  <si>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</si>
  <si>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</si>
  <si>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</si>
  <si>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</si>
  <si>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Local dimming mini-LED backlight driver with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</si>
  <si>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</si>
  <si>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</si>
  <si>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</si>
  <si>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</si>
  <si>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</si>
  <si>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</si>
  <si>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</si>
  <si>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</si>
  <si>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</si>
  <si>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</si>
  <si>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32 mini-LED matrix local dimming backlight driver with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</si>
  <si>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</si>
  <si>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</si>
  <si>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</si>
  <si>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</si>
  <si>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</si>
  <si>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</si>
  <si>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</si>
  <si>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</si>
  <si>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</si>
  <si>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</si>
  <si>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64 mini-LED matrix local dimming backlight driver with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</si>
  <si>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</si>
  <si>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</si>
  <si>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</si>
  <si>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</si>
  <si>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</si>
  <si>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</si>
  <si>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</si>
  <si>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</si>
  <si>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</si>
  <si>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</si>
  <si>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128 mini-LED matrix local dimming backlight driver with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</si>
  <si>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</si>
  <si>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</si>
  <si>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</si>
  <si>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</si>
  <si>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</si>
  <si>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</si>
  <si>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</si>
  <si>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</si>
  <si>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</si>
  <si>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</si>
  <si>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8-scan MOSFET controller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</si>
  <si>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</si>
  <si>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</si>
  <si>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</si>
  <si>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</si>
  <si>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</si>
  <si>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</si>
  <si>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</si>
  <si>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</si>
  <si>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</si>
  <si>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</si>
  <si>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Mini-LED local dimming backlight driver with 60-mA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</si>
  <si>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</si>
  <si>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</si>
  <si>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</si>
  <si>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</si>
  <si>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</si>
  <si>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</si>
  <si>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</si>
  <si>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</si>
  <si>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</si>
  <si>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</si>
  <si>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32 mini-LED matrix local-dimming backlight driver with 16 channels in 60mA/20V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</si>
  <si>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</si>
  <si>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</si>
  <si>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</si>
  <si>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</si>
  <si>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</si>
  <si>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</si>
  <si>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</si>
  <si>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</si>
  <si>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</si>
  <si>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</si>
  <si>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64 mini-LED matrix local dimming backlight driver with 16-channel in 60 mA / 20 V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</si>
  <si>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</si>
  <si>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</si>
  <si>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</si>
  <si>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</si>
  <si>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</si>
  <si>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</si>
  <si>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</si>
  <si>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</si>
  <si>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</si>
  <si>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</si>
  <si>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128 mini-LED matrix local dimming backlight driver with 60-mA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</si>
  <si>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</si>
  <si>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</si>
  <si>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</si>
  <si>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</si>
  <si>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</si>
  <si>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</si>
  <si>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</si>
  <si>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</si>
  <si>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</si>
  <si>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</si>
  <si>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8-scan MOSFET controller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</si>
  <si>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</si>
  <si>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</si>
  <si>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</si>
  <si>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</si>
  <si>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</si>
  <si>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</si>
  <si>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</si>
  <si>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</si>
  <si>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</si>
  <si>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</si>
  <si>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Local dimming mini-LED backlight driver with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</si>
  <si>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</si>
  <si>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</si>
  <si>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</si>
  <si>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</si>
  <si>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</si>
  <si>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</si>
  <si>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</si>
  <si>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</si>
  <si>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</si>
  <si>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</si>
  <si>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32 mini-LED matrix local dimming backlight driver with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</si>
  <si>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</si>
  <si>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</si>
  <si>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</si>
  <si>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</si>
  <si>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</si>
  <si>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</si>
  <si>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</si>
  <si>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</si>
  <si>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</si>
  <si>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</si>
  <si>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64 mini-LED matrix local dimming backlight driver with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</si>
  <si>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</si>
  <si>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</si>
  <si>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</si>
  <si>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</si>
  <si>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</si>
  <si>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</si>
  <si>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</si>
  <si>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</si>
  <si>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</si>
  <si>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</si>
  <si>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128 mini-LED matrix local dimming backlight driver with 16-channel integrated current sink</t>
  </si>
  <si>
    <t>Backlight LED drivers</t>
  </si>
  <si>
    <t>Automotive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</si>
  <si>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</si>
  <si>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</si>
  <si>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</si>
  <si>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</si>
  <si>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</si>
  <si>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</si>
  <si>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</si>
  <si>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</si>
  <si>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8-scan MOSFET controller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</si>
  <si>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</si>
  <si>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</si>
  <si>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</si>
  <si>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</si>
  <si>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</si>
  <si>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</si>
  <si>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</si>
  <si>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</si>
  <si>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</si>
  <si>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</si>
  <si>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Mini-LED local dimming backlight driver with 60-mA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</si>
  <si>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</si>
  <si>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</si>
  <si>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</si>
  <si>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</si>
  <si>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</si>
  <si>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</si>
  <si>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</si>
  <si>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</si>
  <si>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</si>
  <si>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</si>
  <si>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32 mini-LED matrix local dimming backlight driver with 16-channel in 60 mA / 50 V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</si>
  <si>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</si>
  <si>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</si>
  <si>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</si>
  <si>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</si>
  <si>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</si>
  <si>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</si>
  <si>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</si>
  <si>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</si>
  <si>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</si>
  <si>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</si>
  <si>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64 mini-LED matrix local dimming backlight driver with 16-channel in 60 mA / 50 V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</si>
  <si>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</si>
  <si>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</si>
  <si>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</si>
  <si>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</si>
  <si>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</si>
  <si>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</si>
  <si>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</si>
  <si>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</si>
  <si>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</si>
  <si>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</si>
  <si>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128 mini-LED matrix local dimming backlight driver with 60-mA 16-channel integrated current sink</t>
  </si>
  <si>
    <t>Backlight LED drivers</t>
  </si>
  <si>
    <t>Catalog</t>
  </si>
  <si>
    <t>DSBGA,WQFN</t>
  </si>
  <si>
    <t/>
  </si>
  <si>
    <t>-40 to 85</t>
  </si>
  <si>
    <t>3.768324,16</t>
  </si>
  <si>
    <t>2.382 x 1.582,4 x 4</t>
  </si>
  <si>
    <t>0.4,0.8</t>
  </si>
  <si>
    <t>0.4,0.5</t>
  </si>
  <si>
    <t>ACTIVE</t>
  </si>
  <si>
    <t>150-mA 30-V low-dropout (LDO) linear regulator with 3.2-μA supply current</t>
  </si>
  <si>
    <t>Linear &amp; low-dropout (LDO) regulators</t>
  </si>
  <si>
    <t>Catalog</t>
  </si>
  <si>
    <t>SOT-23,SOT-89</t>
  </si>
  <si>
    <t/>
  </si>
  <si>
    <t>-40 to 125</t>
  </si>
  <si>
    <t>3,5</t>
  </si>
  <si>
    <t>6.9204,8.12,18.4275</t>
  </si>
  <si>
    <t>2.9 x 2.8,2.92 x 2.37,4.5 x 4.095</t>
  </si>
  <si>
    <t>1.12,1.45,1.6</t>
  </si>
  <si>
    <t>0.95,0.96,1.5</t>
  </si>
  <si>
    <t>ACTIVE</t>
  </si>
  <si>
    <t>Automotive nano-quiescent-current precision supervisor with window watchdog timer</t>
  </si>
  <si>
    <t>Reset &amp; watchdog ICs</t>
  </si>
  <si>
    <t>Automotive</t>
  </si>
  <si>
    <t>SOT-23-THN</t>
  </si>
  <si>
    <t>Functional Safety-Capable</t>
  </si>
  <si>
    <t>-40 to 125</t>
  </si>
  <si>
    <t>2.9 x 2.8</t>
  </si>
  <si>
    <t>ACTIVE</t>
  </si>
  <si>
    <t>36-V 8-A fully-integrated buck-boost converter</t>
  </si>
  <si>
    <t>AC/DC &amp; DC/DC converters (integrated FET)</t>
  </si>
  <si>
    <t>Catalog</t>
  </si>
  <si>
    <t>Buck-Boost</t>
  </si>
  <si>
    <t>VQFN-HR</t>
  </si>
  <si>
    <t/>
  </si>
  <si>
    <t>-40 to 125</t>
  </si>
  <si>
    <t>5 x 3</t>
  </si>
  <si>
    <t>ACTIVE</t>
  </si>
  <si>
    <t>Automotive 36-V, 8-A fully integrated buck-boost converter</t>
  </si>
  <si>
    <t>AC/DC &amp; DC/DC converters (integrated FET)</t>
  </si>
  <si>
    <t>Automotive</t>
  </si>
  <si>
    <t>Buck-Boost</t>
  </si>
  <si>
    <t>VQFN-HR</t>
  </si>
  <si>
    <t>Functional Safety-Capable</t>
  </si>
  <si>
    <t>-40 to 125</t>
  </si>
  <si>
    <t>5 x 3</t>
  </si>
  <si>
    <t>ACTIVE</t>
  </si>
  <si>
    <t>Automotive common-mode active EMI filter (AEF) for single-phase systems</t>
  </si>
  <si>
    <t>Power-supply filter ICs</t>
  </si>
  <si>
    <t>Automotive</t>
  </si>
  <si>
    <t>SOT-23-THN</t>
  </si>
  <si>
    <t>Functional Safety-Capable</t>
  </si>
  <si>
    <t>-40 to 150</t>
  </si>
  <si>
    <t>4.2 x 3.26</t>
  </si>
  <si>
    <t>ACTIVE</t>
  </si>
  <si>
    <t>Automotive common-mode active EMI filter (AEF) for three-phase systems</t>
  </si>
  <si>
    <t>Power-supply filter ICs</t>
  </si>
  <si>
    <t>Automotive</t>
  </si>
  <si>
    <t>SOT-23-THN</t>
  </si>
  <si>
    <t>Functional Safety-Capable</t>
  </si>
  <si>
    <t>-40 to 150</t>
  </si>
  <si>
    <t>4.2 x 3.26</t>
  </si>
  <si>
    <t>ACTIVE</t>
  </si>
  <si>
    <t>Automotive, 3-V to 18-V, 2-A low-IQ synchronous buck converter with 165°C junction temperature&lt;/p</t>
  </si>
  <si>
    <t>AC/DC &amp; DC/DC converters (integrated FET)</t>
  </si>
  <si>
    <t>Automotive</t>
  </si>
  <si>
    <t>Buck</t>
  </si>
  <si>
    <t>VQFN-HR</t>
  </si>
  <si>
    <t/>
  </si>
  <si>
    <t>-40 to 165</t>
  </si>
  <si>
    <t>2.2 x 2</t>
  </si>
  <si>
    <t>ACTIVE</t>
  </si>
  <si>
    <t>6V,&amp;nbsp;12A stackable synchronous buck converter</t>
  </si>
  <si>
    <t>AC/DC &amp; DC/DC converters (integrated FET)</t>
  </si>
  <si>
    <t>Catalog</t>
  </si>
  <si>
    <t>Buck,Multiphase,Step-Down Converter,Synchronous Buck</t>
  </si>
  <si>
    <t>VQFN-FCRLF</t>
  </si>
  <si>
    <t/>
  </si>
  <si>
    <t>-40 to 125</t>
  </si>
  <si>
    <t>2.55 x 3.55</t>
  </si>
  <si>
    <t>ACTIVE</t>
  </si>
  <si>
    <t>Automotive, &amp;plusmn;10-A &amp;nbsp;isolated single-channel gate driver with active protection and iso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</si>
  <si>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</si>
  <si>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</si>
  <si>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</si>
  <si>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</si>
  <si>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</si>
  <si>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</si>
  <si>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</si>
  <si>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Automotive 16-channel 40-V high-side LED and OLED driver</t>
  </si>
  <si>
    <t>Automotive LED drivers</t>
  </si>
  <si>
    <t>Automotive</t>
  </si>
  <si>
    <t>Current Source</t>
  </si>
  <si>
    <t>HTSSOP</t>
  </si>
  <si>
    <t>Functional Safety-Capable</t>
  </si>
  <si>
    <t>-40 to 125</t>
  </si>
  <si>
    <t>9.7 x 6.4</t>
  </si>
  <si>
    <t>ACTIVE</t>
  </si>
  <si>
    <t>Automotive 24-channel 40-V high-side LED and OLED driver</t>
  </si>
  <si>
    <t>Automotive LED drivers</t>
  </si>
  <si>
    <t>Automotive</t>
  </si>
  <si>
    <t>Current Source</t>
  </si>
  <si>
    <t>HTSSOP</t>
  </si>
  <si>
    <t>Functional Safety-Capable</t>
  </si>
  <si>
    <t>-40 to 125</t>
  </si>
  <si>
    <t>9.7 x 6.4</t>
  </si>
  <si>
    <t>ACTIVE</t>
  </si>
  <si>
    <t>Isolated switch driver with integrated 15-V gate supply</t>
  </si>
  <si>
    <t>Solid-state relays</t>
  </si>
  <si>
    <t>Catalog</t>
  </si>
  <si>
    <t>SO-MOD</t>
  </si>
  <si>
    <t>Functional Safety-Capable</t>
  </si>
  <si>
    <t>-40 to 125</t>
  </si>
  <si>
    <t>5.85 x 11.5</t>
  </si>
  <si>
    <t>ACTIVE</t>
  </si>
  <si>
    <t>Automotive, 3-V to 18-V, 3-A low-IQ synchronous buck converter with 165°C junction temperature</t>
  </si>
  <si>
    <t>AC/DC &amp; DC/DC converters (integrated FET)</t>
  </si>
  <si>
    <t>Automotive</t>
  </si>
  <si>
    <t>Buck</t>
  </si>
  <si>
    <t>VQFN-HR</t>
  </si>
  <si>
    <t/>
  </si>
  <si>
    <t>-40 to 165</t>
  </si>
  <si>
    <t>2.2 x 2</t>
  </si>
  <si>
    <t>ACTIVE</t>
  </si>
  <si>
    <t>3-V to 65-V, 150-mA ultra-small synchronous buck converter with 6 μA IQ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</si>
  <si>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</si>
  <si>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</si>
  <si>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</si>
  <si>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</si>
  <si>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</si>
  <si>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</si>
  <si>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2 x 2</t>
  </si>
  <si>
    <t>ACTIVE</t>
  </si>
  <si>
    <t>Integrated power management (PMIC) for Arm® Cortex®- A53 processors and FPGAs</t>
  </si>
  <si>
    <t>Multi-channel ICs (PMICs)</t>
  </si>
  <si>
    <t>Catalog</t>
  </si>
  <si>
    <t>VQFN</t>
  </si>
  <si>
    <t/>
  </si>
  <si>
    <t>-40 to 105</t>
  </si>
  <si>
    <t>16,25</t>
  </si>
  <si>
    <t>4 x 4,5 x 5</t>
  </si>
  <si>
    <t>0.4,0.5</t>
  </si>
  <si>
    <t>ACTIVE</t>
  </si>
  <si>
    <t>2.95-V to 16-V, stackable 40-A synchronous SWIFT™ step-down PMBus® converter with extended security</t>
  </si>
  <si>
    <t>AC/DC &amp; DC/DC converters (integrated FET)</t>
  </si>
  <si>
    <t>Catalog</t>
  </si>
  <si>
    <t>Buck</t>
  </si>
  <si>
    <t>LQFN-CLIP</t>
  </si>
  <si>
    <t/>
  </si>
  <si>
    <t>-40 to 150</t>
  </si>
  <si>
    <t>7 x 5</t>
  </si>
  <si>
    <t>ACTIVE</t>
  </si>
  <si>
    <t>5-V, 5-A boost converter with power good, output discharge and PFM/PWM control</t>
  </si>
  <si>
    <t>AC/DC &amp; DC/DC converters (integrated FET)</t>
  </si>
  <si>
    <t>Catalog</t>
  </si>
  <si>
    <t>Boost</t>
  </si>
  <si>
    <t>SOT-5X3</t>
  </si>
  <si>
    <t/>
  </si>
  <si>
    <t>-40 to 125</t>
  </si>
  <si>
    <t>2.1 x 1.6</t>
  </si>
  <si>
    <t>ACTIVE</t>
  </si>
  <si>
    <t>Commercial, 30-V, low-power current-mode PWM controller, 8.4-V/7.6-V UVLO, 50% duty cycle</t>
  </si>
  <si>
    <t>AC/DC &amp; DC/DC controllers (external FET)</t>
  </si>
  <si>
    <t>Catalog</t>
  </si>
  <si>
    <t>Boost,Buck,Flyback,Forward,SEPIC</t>
  </si>
  <si>
    <t>SOIC</t>
  </si>
  <si>
    <t/>
  </si>
  <si>
    <t>0 to 85</t>
  </si>
  <si>
    <t>4.9 x 6</t>
  </si>
  <si>
    <t>ACTIVE</t>
  </si>
  <si>
    <t>Automotive, 30-V, low-power current-mode PWM controller, 7-V/6.6-V UVLO, 100%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</si>
  <si>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</si>
  <si>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</si>
  <si>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</si>
  <si>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</si>
  <si>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</si>
  <si>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</si>
  <si>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</si>
  <si>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</si>
  <si>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Automotive, 30-V, low-power current-mode PWM controller, 18.8-V/15.5-V UVLO for SiC, 100%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</si>
  <si>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</si>
  <si>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</si>
  <si>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</si>
  <si>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</si>
  <si>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</si>
  <si>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</si>
  <si>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</si>
  <si>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</si>
  <si>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Automotive, 30-V, low-power current-mode PWM controller, 16-V/12.5-V UVLO for SiC, 100%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</si>
  <si>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</si>
  <si>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</si>
  <si>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</si>
  <si>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</si>
  <si>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</si>
  <si>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</si>
  <si>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</si>
  <si>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</si>
  <si>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36-V input, 1-V to 10-V output, 8-A power module in 7.5-mm x 6.5-mm HotRod™ QFN</t>
  </si>
  <si>
    <t>Power modules (integrated inductor)</t>
  </si>
  <si>
    <t>Catalog</t>
  </si>
  <si>
    <t>Synchronous Buck</t>
  </si>
  <si>
    <t>B3QFN</t>
  </si>
  <si>
    <t>Functional Safety-Capable</t>
  </si>
  <si>
    <t>-40 to 125</t>
  </si>
  <si>
    <t>7.5 x 6.5</t>
  </si>
  <si>
    <t>ACTIVE</t>
  </si>
  <si>
    <t>3-V to 36-V input, 1-V to 6-V output, 1.5-A synchronous buck power module</t>
  </si>
  <si>
    <t>Power modules (integrated inductor)</t>
  </si>
  <si>
    <t>Catalog</t>
  </si>
  <si>
    <t>Buck,Synchronous Buck</t>
  </si>
  <si>
    <t>QFN-FCMOD</t>
  </si>
  <si>
    <t>Functional Safety-Capable</t>
  </si>
  <si>
    <t>-40 to 125</t>
  </si>
  <si>
    <t>4.5 x 3.5</t>
  </si>
  <si>
    <t>ACTIVE</t>
  </si>
  <si>
    <t>3-V to 36-V input, 1 to 15-V output, 1.5-A synchronous buck  power module</t>
  </si>
  <si>
    <t>Power modules (integrated inductor)</t>
  </si>
  <si>
    <t>Catalog</t>
  </si>
  <si>
    <t>Buck,Synchronous Buck</t>
  </si>
  <si>
    <t>QFN-FCMOD</t>
  </si>
  <si>
    <t>Functional Safety-Capable</t>
  </si>
  <si>
    <t>-40 to 125</t>
  </si>
  <si>
    <t>4.5 x 3.5</t>
  </si>
  <si>
    <t>ACTIVE</t>
  </si>
  <si>
    <t>3-V to 65-V input, 1-V to 13-V output, 0.3-A synchronous buck converter power module</t>
  </si>
  <si>
    <t>Power modules (integrated inductor)</t>
  </si>
  <si>
    <t>Catalog</t>
  </si>
  <si>
    <t>Buck,Synchronous Buck</t>
  </si>
  <si>
    <t>QFN-FCMOD</t>
  </si>
  <si>
    <t>Functional Safety-Capable</t>
  </si>
  <si>
    <t>-40 to 125</t>
  </si>
  <si>
    <t>4.5 x 3.5</t>
  </si>
  <si>
    <t>ACTIVE</t>
  </si>
  <si>
    <t>High-density, 36-V input, 1-V to 20-V output, 6-A power module in 7.5-mm x 6.5-mm HotRod&amp;trade; QFN</t>
  </si>
  <si>
    <t>Power modules (integrated inductor)</t>
  </si>
  <si>
    <t>Catalog</t>
  </si>
  <si>
    <t>Synchronous Buck</t>
  </si>
  <si>
    <t>B3QFN</t>
  </si>
  <si>
    <t>Functional Safety-Capable</t>
  </si>
  <si>
    <t>-40 to 125</t>
  </si>
  <si>
    <t>7.5 x 6.5</t>
  </si>
  <si>
    <t>ACTIVE</t>
  </si>
  <si>
    <t>High-density, 36-V input, 1-V to 20-V output, 8-A power module</t>
  </si>
  <si>
    <t>Power modules (integrated inductor)</t>
  </si>
  <si>
    <t>Catalog</t>
  </si>
  <si>
    <t>Synchronous Buck</t>
  </si>
  <si>
    <t>B3QFN</t>
  </si>
  <si>
    <t>Functional Safety-Capable</t>
  </si>
  <si>
    <t>-55 to 125</t>
  </si>
  <si>
    <t>7.5 x 6.5</t>
  </si>
  <si>
    <t>ACTIVE</t>
  </si>
  <si>
    <t>Automotive, 3-A, low-VIN 5.6-µVRMS low-noise high-accuracy ultra-low dropout voltage regulator</t>
  </si>
  <si>
    <t>Linear &amp; low-dropout (LDO) regulators</t>
  </si>
  <si>
    <t>Automotive</t>
  </si>
  <si>
    <t>WQFN</t>
  </si>
  <si>
    <t>Functional Safety-Capable</t>
  </si>
  <si>
    <t>-40 to 150</t>
  </si>
  <si>
    <t>4 x 4</t>
  </si>
  <si>
    <t>ACTIVE</t>
  </si>
  <si>
    <t>4-V to 16-V, 35-A synchronous D-CAP+™ buck converter</t>
  </si>
  <si>
    <t>AC/DC &amp; DC/DC converters (integrated FET)</t>
  </si>
  <si>
    <t>Catalog</t>
  </si>
  <si>
    <t>Buck</t>
  </si>
  <si>
    <t>WQFN-FCRLF</t>
  </si>
  <si>
    <t/>
  </si>
  <si>
    <t>-40 to 125</t>
  </si>
  <si>
    <t>6 x 5</t>
  </si>
  <si>
    <t>ACTIVE</t>
  </si>
  <si>
    <t>Radiation-hardened QMLV and QMLP, 2MHz PWM with synchronous rectification and dead-time setting&lt;/</t>
  </si>
  <si>
    <t>AC/DC &amp; DC/DC controllers (external FET)</t>
  </si>
  <si>
    <t>Space</t>
  </si>
  <si>
    <t>Active clamp,Boost,Buck,Flyback,Forward</t>
  </si>
  <si>
    <t>CFP,DIESALE,TSSOP</t>
  </si>
  <si>
    <t/>
  </si>
  <si>
    <t>-55 to 125</t>
  </si>
  <si>
    <t>0,22,24</t>
  </si>
  <si>
    <t>49.92,60.221856,See data sheet</t>
  </si>
  <si>
    <t>6.211 x 9.696,7.8 x 6.4,See data sheet</t>
  </si>
  <si>
    <t>1.2,2.428,—</t>
  </si>
  <si>
    <t>0.635,0.65,—</t>
  </si>
  <si>
    <t>ACTIVE</t>
  </si>
  <si>
    <t>Radiation-hardened QMLV and QMLP, 2MHz PWM controller with synchronous rectification</t>
  </si>
  <si>
    <t>AC/DC &amp; DC/DC controllers (external FET)</t>
  </si>
  <si>
    <t>Space</t>
  </si>
  <si>
    <t>Active clamp,Boost,Buck,Flyback,Forward</t>
  </si>
  <si>
    <t>CFP,DIESALE,TSSOP</t>
  </si>
  <si>
    <t/>
  </si>
  <si>
    <t>-55 to 125</t>
  </si>
  <si>
    <t>0,22,24</t>
  </si>
  <si>
    <t>49.92,60.221856,See data sheet</t>
  </si>
  <si>
    <t>6.211 x 9.696,7.8 x 6.4,See data sheet</t>
  </si>
  <si>
    <t>1.2,2.428,—</t>
  </si>
  <si>
    <t>0.635,0.65,—</t>
  </si>
  <si>
    <t>ACTIVE</t>
  </si>
  <si>
    <t>Radiation-hardened QMLV and QMLP, 2MHz dual-output PWM controller</t>
  </si>
  <si>
    <t>AC/DC &amp; DC/DC controllers (external FET)</t>
  </si>
  <si>
    <t>Space</t>
  </si>
  <si>
    <t>Full bridge,Half bridge,Push pull</t>
  </si>
  <si>
    <t>CFP,DIESALE,TSSOP</t>
  </si>
  <si>
    <t/>
  </si>
  <si>
    <t>-55 to 125</t>
  </si>
  <si>
    <t>0,22,24</t>
  </si>
  <si>
    <t>49.92,60.221856,See data sheet</t>
  </si>
  <si>
    <t>6.211 x 9.696,7.8 x 6.4,See data sheet</t>
  </si>
  <si>
    <t>1.2,2.428,—</t>
  </si>
  <si>
    <t>0.635,0.65,—</t>
  </si>
  <si>
    <t>ACTIVE</t>
  </si>
  <si>
    <t>Industrial, 30-V, low-power current-mode PWM controller, 18.8-V/14.5-V UVLO for SiC, 100% duty cycle</t>
  </si>
  <si>
    <t>AC/DC &amp; DC/DC controllers (external FET)</t>
  </si>
  <si>
    <t>Catalog</t>
  </si>
  <si>
    <t>Boost,Buck,Flyback,Forward,SEPIC</t>
  </si>
  <si>
    <t>SOIC</t>
  </si>
  <si>
    <t/>
  </si>
  <si>
    <t>-40 to 125</t>
  </si>
  <si>
    <t>4.9 x 6</t>
  </si>
  <si>
    <t>ACTIVE</t>
  </si>
  <si>
    <t>Commercial, 30-V, low-power current-mode PWM controller, 8.4-V/7.6-V UVLO, 100% duty cycle</t>
  </si>
  <si>
    <t>AC/DC &amp; DC/DC controllers (external FET)</t>
  </si>
  <si>
    <t>Catalog</t>
  </si>
  <si>
    <t>Boost,Buck,Flyback,Forward,SEPIC</t>
  </si>
  <si>
    <t>SOIC,VSSOP</t>
  </si>
  <si>
    <t/>
  </si>
  <si>
    <t>0 to 85</t>
  </si>
  <si>
    <t>14.7,29.4</t>
  </si>
  <si>
    <t>3 x 4.9,4.9 x 6</t>
  </si>
  <si>
    <t>1.1,1.75</t>
  </si>
  <si>
    <t>0.65,1.27</t>
  </si>
  <si>
    <t>ACTIVE</t>
  </si>
  <si>
    <t>3.5-V to 80-V, current mode synchronous buck controller</t>
  </si>
  <si>
    <t>AC/DC &amp; DC/DC controllers (external FET)</t>
  </si>
  <si>
    <t>Catalog</t>
  </si>
  <si>
    <t>Buck</t>
  </si>
  <si>
    <t>VQFN</t>
  </si>
  <si>
    <t/>
  </si>
  <si>
    <t>-40 to 125</t>
  </si>
  <si>
    <t>5.5 x 3.5</t>
  </si>
  <si>
    <t>ACTIVE</t>
  </si>
  <si>
    <t xml:space="preserve">6-V, 15-A, stackable, synchronous buck converter </t>
  </si>
  <si>
    <t>AC/DC &amp; DC/DC converters (integrated FET)</t>
  </si>
  <si>
    <t>Catalog</t>
  </si>
  <si>
    <t>Buck,Multiphase,Step-Down Converter,Synchronous Buck</t>
  </si>
  <si>
    <t>VQFN-FCRLF</t>
  </si>
  <si>
    <t/>
  </si>
  <si>
    <t>-40 to 125</t>
  </si>
  <si>
    <t>2.55 x 3.55</t>
  </si>
  <si>
    <t>ACTIVE</t>
  </si>
  <si>
    <t>Automotive 40-V, 20-A half-bridge driver with integrated current sensing and feedback</t>
  </si>
  <si>
    <t>Half-bridge drivers</t>
  </si>
  <si>
    <t>Automotive</t>
  </si>
  <si>
    <t>Integrated FET</t>
  </si>
  <si>
    <t>HVSSOP,VQFN-HR</t>
  </si>
  <si>
    <t/>
  </si>
  <si>
    <t>-40 to 125</t>
  </si>
  <si>
    <t>14,28</t>
  </si>
  <si>
    <t>13.5,34.79</t>
  </si>
  <si>
    <t>3 x 4.5,7.1 x 4.9</t>
  </si>
  <si>
    <t>1,1.1</t>
  </si>
  <si>
    <t>ACTIVE</t>
  </si>
  <si>
    <t>Automotive 42-V synchronous buck DC/DC controller with ultra-low IQ</t>
  </si>
  <si>
    <t>AC/DC &amp; DC/DC controllers (external FET)</t>
  </si>
  <si>
    <t>Automotive</t>
  </si>
  <si>
    <t>Buck Controller</t>
  </si>
  <si>
    <t>VQFN</t>
  </si>
  <si>
    <t>Functional Safety-Capable</t>
  </si>
  <si>
    <t>-40 to 150</t>
  </si>
  <si>
    <t>5.5 x 3.5</t>
  </si>
  <si>
    <t>ACTIVE</t>
  </si>
  <si>
    <t>Automotive, 80V synchronous buck DC/DC controller with ultra-low I&lt;sub&gt;Q&lt;/sub&gt;</t>
  </si>
  <si>
    <t>AC/DC &amp; DC/DC controllers (external FET)</t>
  </si>
  <si>
    <t>Automotive</t>
  </si>
  <si>
    <t>Buck</t>
  </si>
  <si>
    <t>VQFN</t>
  </si>
  <si>
    <t/>
  </si>
  <si>
    <t>-40 to 125</t>
  </si>
  <si>
    <t>19,24</t>
  </si>
  <si>
    <t>15.75,19.25</t>
  </si>
  <si>
    <t>4.5 x 3.5,5.5 x 3.5</t>
  </si>
  <si>
    <t>ACTIVE</t>
  </si>
  <si>
    <t>Industrial, 30-V, low-power current-mode PWM controller, 7-V/6.6-V UVLO, 100%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</si>
  <si>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</si>
  <si>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</si>
  <si>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</si>
  <si>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</si>
  <si>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</si>
  <si>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</si>
  <si>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</si>
  <si>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</si>
  <si>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</si>
  <si>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</si>
  <si>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</si>
  <si>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30-V, low-power current-mode PWM controller, 7-V/6.6-V UVLO, 50% duty cycle</t>
  </si>
  <si>
    <t>AC/DC &amp; DC/DC controllers (external FET)</t>
  </si>
  <si>
    <t>Catalog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</si>
  <si>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</si>
  <si>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</si>
  <si>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</si>
  <si>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</si>
  <si>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</si>
  <si>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</si>
  <si>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</si>
  <si>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</si>
  <si>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30-V, low-power current-mode PWM controller, 14.5-V/9-V UVLO, 100%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</si>
  <si>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</si>
  <si>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</si>
  <si>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</si>
  <si>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</si>
  <si>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</si>
  <si>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</si>
  <si>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</si>
  <si>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</si>
  <si>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</si>
  <si>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</si>
  <si>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</si>
  <si>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30-V, low-power current-mode PWM controller, 8.4-V/7.6-V UVLO, 100%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</si>
  <si>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</si>
  <si>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</si>
  <si>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</si>
  <si>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</si>
  <si>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</si>
  <si>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</si>
  <si>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</si>
  <si>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</si>
  <si>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</si>
  <si>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</si>
  <si>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</si>
  <si>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30-V, low-power current-mode PWM controller, 14.5-V/9-V UVLO, 50%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</si>
  <si>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</si>
  <si>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</si>
  <si>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</si>
  <si>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</si>
  <si>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</si>
  <si>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</si>
  <si>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</si>
  <si>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</si>
  <si>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</si>
  <si>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</si>
  <si>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</si>
  <si>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30-V, low-power current-mode PWM controller, 8.4-V/7.6-V UVLO, 50%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</si>
  <si>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</si>
  <si>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</si>
  <si>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</si>
  <si>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</si>
  <si>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</si>
  <si>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</si>
  <si>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</si>
  <si>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</si>
  <si>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</si>
  <si>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</si>
  <si>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</si>
  <si>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30-V, low-power current-mode PWM controller, 18.8-V/15.5-V UVLO for SiC, 50% duty cycle</t>
  </si>
  <si>
    <t>AC/DC &amp; DC/DC controllers (external FET)</t>
  </si>
  <si>
    <t>Catalog</t>
  </si>
  <si>
    <t>Boost,Buck,Flyback,Forward,SEPIC</t>
  </si>
  <si>
    <t>SOIC</t>
  </si>
  <si>
    <t/>
  </si>
  <si>
    <t>-40 to 125</t>
  </si>
  <si>
    <t>4.9 x 6</t>
  </si>
  <si>
    <t>ACTIVE</t>
  </si>
  <si>
    <t>Industrial, 30-V, low-power current-mode PWM controller, 18.8-V/14.5-V UVLO for SiC, 50% duty cycle</t>
  </si>
  <si>
    <t>AC/DC &amp; DC/DC controllers (external FET)</t>
  </si>
  <si>
    <t>Catalog</t>
  </si>
  <si>
    <t>Boost,Buck,Flyback,Forward,SEPIC</t>
  </si>
  <si>
    <t>SOIC</t>
  </si>
  <si>
    <t/>
  </si>
  <si>
    <t>-40 to 125</t>
  </si>
  <si>
    <t>4.9 x 6</t>
  </si>
  <si>
    <t>ACTIVE</t>
  </si>
  <si>
    <t>Commercial, 30-V, low-power current-mode PWM controller, 7-V/6.6-V UVLO, 100% duty cycle</t>
  </si>
  <si>
    <t>AC/DC &amp; DC/DC controllers (external FET)</t>
  </si>
  <si>
    <t>Catalog</t>
  </si>
  <si>
    <t>Boost,Buck,Flyback,Forward,SEPIC</t>
  </si>
  <si>
    <t>SOIC</t>
  </si>
  <si>
    <t/>
  </si>
  <si>
    <t>0 to 85</t>
  </si>
  <si>
    <t>4.9 x 6</t>
  </si>
  <si>
    <t>ACTIVE</t>
  </si>
  <si>
    <t>Commercial, 30-V, low-power current-mode PWM controller, 7-V/6.6-V UVLO, 50% duty cycle</t>
  </si>
  <si>
    <t>AC/DC &amp; DC/DC controllers (external FET)</t>
  </si>
  <si>
    <t>Catalog</t>
  </si>
  <si>
    <t>Boost,Buck,Flyback,Forward,SEPIC</t>
  </si>
  <si>
    <t>SOIC</t>
  </si>
  <si>
    <t/>
  </si>
  <si>
    <t>0 to 85</t>
  </si>
  <si>
    <t>4.9 x 6</t>
  </si>
  <si>
    <t>ACTIVE</t>
  </si>
  <si>
    <t>Commercial, 30-V, low-power current-mode PWM controller, 14.5-V/9-V UVLO, 100% duty cycle</t>
  </si>
  <si>
    <t>AC/DC &amp; DC/DC controllers (external FET)</t>
  </si>
  <si>
    <t>Catalog</t>
  </si>
  <si>
    <t>Boost,Buck,Flyback,Forward,SEPIC</t>
  </si>
  <si>
    <t>SOIC</t>
  </si>
  <si>
    <t/>
  </si>
  <si>
    <t>0 to 85</t>
  </si>
  <si>
    <t>4.9 x 6</t>
  </si>
  <si>
    <t>ACTIVE</t>
  </si>
  <si>
    <t>Commercial, 30-V, low-power current-mode PWM controller, 14.5-V/9-V UVLO, 50% duty cycle</t>
  </si>
  <si>
    <t>AC/DC &amp; DC/DC controllers (external FET)</t>
  </si>
  <si>
    <t>Catalog</t>
  </si>
  <si>
    <t>Boost,Buck,Flyback,Forward,SEPIC</t>
  </si>
  <si>
    <t>SOIC</t>
  </si>
  <si>
    <t/>
  </si>
  <si>
    <t>0 to 85</t>
  </si>
  <si>
    <t>4.9 x 6</t>
  </si>
  <si>
    <t>ACTIVE</t>
  </si>
  <si>
    <t>80-V synchronous buck DC/DC controller with ultra-low IQ and integrated active EMI filter</t>
  </si>
  <si>
    <t>AC/DC &amp; DC/DC controllers (external FET)</t>
  </si>
  <si>
    <t>Catalog</t>
  </si>
  <si>
    <t>Buck</t>
  </si>
  <si>
    <t>VQFN</t>
  </si>
  <si>
    <t/>
  </si>
  <si>
    <t>-40 to 150</t>
  </si>
  <si>
    <t>5.5 x 3.5</t>
  </si>
  <si>
    <t>ACTIVE</t>
  </si>
  <si>
    <t>Automotive, 30-V, low-power current-mode PWM controller, 7-V/6.6-V UVLO, 50%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</si>
  <si>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</si>
  <si>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</si>
  <si>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</si>
  <si>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</si>
  <si>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</si>
  <si>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</si>
  <si>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</si>
  <si>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</si>
  <si>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Automotive, 30-V, low-power current-mode PWM controller, 14.5-V/9-V UVLO, 100%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</si>
  <si>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</si>
  <si>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</si>
  <si>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</si>
  <si>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</si>
  <si>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</si>
  <si>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</si>
  <si>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</si>
  <si>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</si>
  <si>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Automotive, 30-V, low-power current-mode PWM controller, 8.4-V/7.6-V UVLO, 100%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</si>
  <si>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</si>
  <si>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</si>
  <si>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</si>
  <si>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</si>
  <si>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</si>
  <si>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</si>
  <si>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</si>
  <si>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</si>
  <si>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Automotive, 30-V, low-power current-mode PWM controller, 14.5-V/9-V UVLO, 50%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</si>
  <si>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</si>
  <si>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</si>
  <si>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</si>
  <si>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</si>
  <si>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</si>
  <si>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</si>
  <si>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</si>
  <si>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</si>
  <si>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Automotive, 30-V, low-power current-mode PWM controller, 8.4-V/7.6-V UVLO, 50%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</si>
  <si>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</si>
  <si>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</si>
  <si>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</si>
  <si>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</si>
  <si>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</si>
  <si>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</si>
  <si>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</si>
  <si>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</si>
  <si>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Automotive, 30-V, low-power current-mode PWM controller, 18.8-V/14.5-V UVLO for SiC, 100%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</si>
  <si>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</si>
  <si>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</si>
  <si>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</si>
  <si>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</si>
  <si>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</si>
  <si>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</si>
  <si>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</si>
  <si>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</si>
  <si>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Automotive, 30-V, low-power current-mode PWM controller, 18.8-V/15.5-V UVLO for SiC, 50%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</si>
  <si>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</si>
  <si>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</si>
  <si>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</si>
  <si>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</si>
  <si>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</si>
  <si>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</si>
  <si>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</si>
  <si>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</si>
  <si>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Automotive, 30-V, low-power current-mode PWM controller, 18.8-V/14.5-V UVLO for SiC, 50%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</si>
  <si>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</si>
  <si>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</si>
  <si>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</si>
  <si>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</si>
  <si>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</si>
  <si>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</si>
  <si>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</si>
  <si>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</si>
  <si>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42-V automotive synchronous buck DC/DC controller with ultra-low IQ and integrated active EMI filter</t>
  </si>
  <si>
    <t>AC/DC &amp; DC/DC controllers (external FET)</t>
  </si>
  <si>
    <t>Automotive</t>
  </si>
  <si>
    <t>Buck Controller</t>
  </si>
  <si>
    <t>VQFN</t>
  </si>
  <si>
    <t>Functional Safety-Capable</t>
  </si>
  <si>
    <t>-40 to 150</t>
  </si>
  <si>
    <t>5.5 x 3.5</t>
  </si>
  <si>
    <t>ACTIVE</t>
  </si>
  <si>
    <t>3-V to 36-V input, 1-V to 6-V output, 2.5-A synchronous buck power module</t>
  </si>
  <si>
    <t>Power modules (integrated inductor)</t>
  </si>
  <si>
    <t>Catalog</t>
  </si>
  <si>
    <t>Buck,Synchronous Buck</t>
  </si>
  <si>
    <t>QFN-FCMOD</t>
  </si>
  <si>
    <t>Functional Safety-Capable</t>
  </si>
  <si>
    <t>-40 to 125</t>
  </si>
  <si>
    <t>4.5 x 3.5</t>
  </si>
  <si>
    <t>ACTIVE</t>
  </si>
  <si>
    <t>1A 16V high-PSRR linear voltage regulator</t>
  </si>
  <si>
    <t>Linear &amp; low-dropout (LDO) regulators</t>
  </si>
  <si>
    <t>Catalog</t>
  </si>
  <si>
    <t>SOT-223,TO-252</t>
  </si>
  <si>
    <t/>
  </si>
  <si>
    <t>-40 to 125</t>
  </si>
  <si>
    <t>3,4</t>
  </si>
  <si>
    <t>45.5,66.726</t>
  </si>
  <si>
    <t>6.5 x 7,6.6 x 10.11</t>
  </si>
  <si>
    <t>1.8,2.52</t>
  </si>
  <si>
    <t>2.29,2.3</t>
  </si>
  <si>
    <t>ACTIVE</t>
  </si>
  <si>
    <t>Automotive power-supply sequencer with I²C support for up to 12 channels</t>
  </si>
  <si>
    <t>Sequencers</t>
  </si>
  <si>
    <t>Automotive</t>
  </si>
  <si>
    <t>VQFN</t>
  </si>
  <si>
    <t>Functional Safety-Compliant</t>
  </si>
  <si>
    <t>-40 to 125</t>
  </si>
  <si>
    <t>4 x 4</t>
  </si>
  <si>
    <t>ACTIVE</t>
  </si>
  <si>
    <t>Automotive 40-V 30-A half bridge driver with integrated current sensing and feedback</t>
  </si>
  <si>
    <t>Half-bridge drivers</t>
  </si>
  <si>
    <t>Automotive</t>
  </si>
  <si>
    <t>Integrated FET</t>
  </si>
  <si>
    <t>VQFN-HR</t>
  </si>
  <si>
    <t/>
  </si>
  <si>
    <t>-40 to 125</t>
  </si>
  <si>
    <t>3 x 6</t>
  </si>
  <si>
    <t>ACTIVE</t>
  </si>
  <si>
    <t>Automotive 40-V 46-A half bridge driver with integrated current sensing and feedback</t>
  </si>
  <si>
    <t>Half-bridge drivers</t>
  </si>
  <si>
    <t>Automotive</t>
  </si>
  <si>
    <t>Integrated FET</t>
  </si>
  <si>
    <t>HTSSOP,VQFN-HR</t>
  </si>
  <si>
    <t/>
  </si>
  <si>
    <t>-40 to 125</t>
  </si>
  <si>
    <t>16,28</t>
  </si>
  <si>
    <t>19.25,62.08</t>
  </si>
  <si>
    <t>3.5 x 5.5,9.7 x 6.4</t>
  </si>
  <si>
    <t>1,1.2</t>
  </si>
  <si>
    <t>0.5,0.65</t>
  </si>
  <si>
    <t>ACTIVE</t>
  </si>
  <si>
    <t>60V-tolerant, 30mΩ 6A single-channel high-side switch</t>
  </si>
  <si>
    <t>High-side switches</t>
  </si>
  <si>
    <t>Catalog</t>
  </si>
  <si>
    <t>VQFN</t>
  </si>
  <si>
    <t/>
  </si>
  <si>
    <t>-40 to 125</t>
  </si>
  <si>
    <t>5 x 5</t>
  </si>
  <si>
    <t>ACTIVE</t>
  </si>
  <si>
    <t>4-V to 18-V input, advanced current mode, 16-A synchronous SWIFT™ step-down converter</t>
  </si>
  <si>
    <t>AC/DC &amp; DC/DC converters (integrated FET)</t>
  </si>
  <si>
    <t>Catalog</t>
  </si>
  <si>
    <t>Buck</t>
  </si>
  <si>
    <t>WQFN-FCRLF</t>
  </si>
  <si>
    <t/>
  </si>
  <si>
    <t>-40 to 150</t>
  </si>
  <si>
    <t>4.5 x 2.5</t>
  </si>
  <si>
    <t>ACTIVE</t>
  </si>
  <si>
    <t>4-V to 18-V input, advanced current mode, 20-A synchronous SWIFT&amp;trade; step-down converter</t>
  </si>
  <si>
    <t>AC/DC &amp; DC/DC converters (integrated FET)</t>
  </si>
  <si>
    <t>Catalog</t>
  </si>
  <si>
    <t>Buck</t>
  </si>
  <si>
    <t>WQFN-FCRLF</t>
  </si>
  <si>
    <t/>
  </si>
  <si>
    <t>-40 to 150</t>
  </si>
  <si>
    <t>4.5 x 2.5</t>
  </si>
  <si>
    <t>ACTIVE</t>
  </si>
  <si>
    <t>Automotive, 3.5V to 45V high-side driver with protection and diagnostics</t>
  </si>
  <si>
    <t>High-side switch controllers</t>
  </si>
  <si>
    <t>Automotive</t>
  </si>
  <si>
    <t>VSSOP</t>
  </si>
  <si>
    <t/>
  </si>
  <si>
    <t>-40 to 125</t>
  </si>
  <si>
    <t>5.1 x 3</t>
  </si>
  <si>
    <t>ACTIVE</t>
  </si>
  <si>
    <t>5.5-V 10-A 4-mΩ on-resistance load switch with power good</t>
  </si>
  <si>
    <t>Load switches</t>
  </si>
  <si>
    <t>Catalog</t>
  </si>
  <si>
    <t>WQFN-HR</t>
  </si>
  <si>
    <t/>
  </si>
  <si>
    <t>-40 to 125</t>
  </si>
  <si>
    <t>2 x 1.5</t>
  </si>
  <si>
    <t>ACTIVE</t>
  </si>
  <si>
    <t>Automotive, 3.5V to 100V high-side driver with protection and diagnostics</t>
  </si>
  <si>
    <t>High-side switch controllers</t>
  </si>
  <si>
    <t>Automotive</t>
  </si>
  <si>
    <t>VSSOP</t>
  </si>
  <si>
    <t/>
  </si>
  <si>
    <t>-40 to 125</t>
  </si>
  <si>
    <t>5.1 x 3</t>
  </si>
  <si>
    <t>ACTIVE</t>
  </si>
  <si>
    <t>80-V automotive synchronous buck DC/DC controller with ultra-low IQ and integrated active EMI filter</t>
  </si>
  <si>
    <t>AC/DC &amp; DC/DC controllers (external FET)</t>
  </si>
  <si>
    <t>Automotive</t>
  </si>
  <si>
    <t>Buck</t>
  </si>
  <si>
    <t>VQFN</t>
  </si>
  <si>
    <t/>
  </si>
  <si>
    <t>-40 to 150</t>
  </si>
  <si>
    <t>5.5 x 3.5</t>
  </si>
  <si>
    <t>ACTIVE</t>
  </si>
  <si>
    <t>36-V, 3-A low-EMI synchronous step-down converter with 1.5-µA IQ</t>
  </si>
  <si>
    <t>AC/DC &amp; DC/DC converters (integrated FET)</t>
  </si>
  <si>
    <t>Catalog</t>
  </si>
  <si>
    <t>Buck</t>
  </si>
  <si>
    <t>VQFN-FCRLF</t>
  </si>
  <si>
    <t>Functional Safety-Capable</t>
  </si>
  <si>
    <t>-40 to 125</t>
  </si>
  <si>
    <t>2.6 x 2.6</t>
  </si>
  <si>
    <t>ACTIVE</t>
  </si>
  <si>
    <t>Automotive 36-V, 3-A low EMI synchronous step-down converter with 1.5-µA IQ</t>
  </si>
  <si>
    <t>AC/DC &amp; DC/DC converters (integrated FET)</t>
  </si>
  <si>
    <t>Automotive</t>
  </si>
  <si>
    <t>Buck</t>
  </si>
  <si>
    <t>VQFN-FCRLF</t>
  </si>
  <si>
    <t>Functional Safety-Capable</t>
  </si>
  <si>
    <t>-40 to 150</t>
  </si>
  <si>
    <t>2.6 x 2.6</t>
  </si>
  <si>
    <t>ACTIVE</t>
  </si>
  <si>
    <t>Nano-quiescent-current precision timeout watchdog timer</t>
  </si>
  <si>
    <t>Reset &amp; watchdog ICs</t>
  </si>
  <si>
    <t>Automotive,Catalog</t>
  </si>
  <si>
    <t>SOT-23-THN,WSON</t>
  </si>
  <si>
    <t>Functional Safety-Capable</t>
  </si>
  <si>
    <t>-40 to 125</t>
  </si>
  <si>
    <t>6,8</t>
  </si>
  <si>
    <t>2.25,8.12</t>
  </si>
  <si>
    <t>1.5 x 1.5,2.9 x 2.8</t>
  </si>
  <si>
    <t>0.8,1.1</t>
  </si>
  <si>
    <t>0.5,0.65</t>
  </si>
  <si>
    <t>ACTIVE</t>
  </si>
  <si>
    <t>1.5-A 0.8-V adjustable low-dropout (LDO) voltage regulator with power good and enable</t>
  </si>
  <si>
    <t>Linear &amp; low-dropout (LDO) regulators</t>
  </si>
  <si>
    <t>Catalog</t>
  </si>
  <si>
    <t>VSON</t>
  </si>
  <si>
    <t/>
  </si>
  <si>
    <t>-40 to 125</t>
  </si>
  <si>
    <t>3 x 3</t>
  </si>
  <si>
    <t>ACTIVE</t>
  </si>
  <si>
    <t>Automotive, 30-mΩ, 5-A single-channel smart high-side switch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</si>
  <si>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</si>
  <si>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</si>
  <si>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</si>
  <si>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</si>
  <si>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</si>
  <si>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</si>
  <si>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</si>
  <si>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6-V 6-A step-down module with optional frequency synchronization, adjustable soft-start and tracking</t>
  </si>
  <si>
    <t>Power modules (integrated inductor)</t>
  </si>
  <si>
    <t>Catalog</t>
  </si>
  <si>
    <t>Buck,Inverting Buck-Boost,Synchronous Buck</t>
  </si>
  <si>
    <t>QFN-FCMOD,uSIP</t>
  </si>
  <si>
    <t/>
  </si>
  <si>
    <t>-40 to 125</t>
  </si>
  <si>
    <t>13,14</t>
  </si>
  <si>
    <t>7.5,12</t>
  </si>
  <si>
    <t>3 x 2.5,4 x 3</t>
  </si>
  <si>
    <t>1.6,2</t>
  </si>
  <si>
    <t>0.58,0.65</t>
  </si>
  <si>
    <t>ACTIVE</t>
  </si>
  <si>
    <t>17-V VIN, 3-A low-noise and low-ripple buck module with integrated ferrite bead filter compensation</t>
  </si>
  <si>
    <t>Power modules (integrated inductor)</t>
  </si>
  <si>
    <t>Catalog</t>
  </si>
  <si>
    <t>Buck,Synchronous Buck</t>
  </si>
  <si>
    <t>B0QFN</t>
  </si>
  <si>
    <t/>
  </si>
  <si>
    <t>-40 to 125</t>
  </si>
  <si>
    <t>5.5 x 4.5</t>
  </si>
  <si>
    <t>ACTIVE</t>
  </si>
  <si>
    <t>3-V to 65-V back-to-back NFET ideal diode controller, -55°C to 125°C</t>
  </si>
  <si>
    <t>Ideal diode &amp; ORing controllers</t>
  </si>
  <si>
    <t>Catalog</t>
  </si>
  <si>
    <t>WSON</t>
  </si>
  <si>
    <t/>
  </si>
  <si>
    <t>-55 to 125</t>
  </si>
  <si>
    <t>3 x 3</t>
  </si>
  <si>
    <t>ACTIVE</t>
  </si>
  <si>
    <t>3-V to 65-V back-to-back NFET ideal diode controller with high gate drive, -55°C to 125°C</t>
  </si>
  <si>
    <t>Ideal diode &amp; ORing controllers</t>
  </si>
  <si>
    <t>Catalog</t>
  </si>
  <si>
    <t>WSON</t>
  </si>
  <si>
    <t/>
  </si>
  <si>
    <t>-55 to 125</t>
  </si>
  <si>
    <t>3 x 3</t>
  </si>
  <si>
    <t>ACTIVE</t>
  </si>
  <si>
    <t>Automotive 48 x 16 matrix LED driver with 16-bits pulse width modulation dimming</t>
  </si>
  <si>
    <t>Automotive LED drivers</t>
  </si>
  <si>
    <t>Automotive</t>
  </si>
  <si>
    <t>Current Sink</t>
  </si>
  <si>
    <t>VQFN</t>
  </si>
  <si>
    <t/>
  </si>
  <si>
    <t>-40 to 125</t>
  </si>
  <si>
    <t>9 x 9</t>
  </si>
  <si>
    <t>ACTIVE</t>
  </si>
  <si>
    <t>70-mA 40-V voltage-tracking low-dropout (LDO) regulator with 5-mV tracking tolerance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</si>
  <si>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</si>
  <si>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</si>
  <si>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</si>
  <si>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</si>
  <si>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</si>
  <si>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</si>
  <si>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</si>
  <si>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Automotive reinforced isolated switch driver with integrated 15-V gate supply</t>
  </si>
  <si>
    <t>Solid-state relays</t>
  </si>
  <si>
    <t>Automotive</t>
  </si>
  <si>
    <t>SO-MOD</t>
  </si>
  <si>
    <t>Functional Safety-Capable</t>
  </si>
  <si>
    <t>-40 to 125</t>
  </si>
  <si>
    <t>5.85 x 11.5</t>
  </si>
  <si>
    <t>ACTIVE</t>
  </si>
  <si>
    <t>3-A peak current high-efficiency ultra-small solution size buck-boost converter</t>
  </si>
  <si>
    <t>AC/DC &amp; DC/DC converters (integrated FET)</t>
  </si>
  <si>
    <t>Catalog</t>
  </si>
  <si>
    <t>Buck-Boost</t>
  </si>
  <si>
    <t>DSBGA</t>
  </si>
  <si>
    <t>Functional Safety-Capable</t>
  </si>
  <si>
    <t>-40 to 125</t>
  </si>
  <si>
    <t>1.783 x 0.983</t>
  </si>
  <si>
    <t>ACTIVE</t>
  </si>
  <si>
    <t>I²C controlled 60-V bi-directional buck-boost controller with USB PD EPR and PPS support</t>
  </si>
  <si>
    <t>AC/DC &amp; DC/DC controllers (external FET)</t>
  </si>
  <si>
    <t>Catalog</t>
  </si>
  <si>
    <t>VQFN</t>
  </si>
  <si>
    <t/>
  </si>
  <si>
    <t>-40 to 85</t>
  </si>
  <si>
    <t>6 x 5</t>
  </si>
  <si>
    <t>ACTIVE</t>
  </si>
  <si>
    <t>Automotive PMIC for SoCs up to ASIL D with four 5A/20A multiphase buck converters</t>
  </si>
  <si>
    <t>Multi-channel ICs (PMICs)</t>
  </si>
  <si>
    <t>Automotive</t>
  </si>
  <si>
    <t>VQFN-HR</t>
  </si>
  <si>
    <t>Functional Safety-Compliant</t>
  </si>
  <si>
    <t>-40 to 125</t>
  </si>
  <si>
    <t>5.5 x 5</t>
  </si>
  <si>
    <t>ACTIVE</t>
  </si>
  <si>
    <t>2.7-V to 40-V 152-mΩ 1.8-A eFuse with output power limiting</t>
  </si>
  <si>
    <t>eFuses (integrated hot swaps)</t>
  </si>
  <si>
    <t>Catalog</t>
  </si>
  <si>
    <t>VSON</t>
  </si>
  <si>
    <t/>
  </si>
  <si>
    <t>-40 to 125</t>
  </si>
  <si>
    <t>3 x 3</t>
  </si>
  <si>
    <t>ACTIVE</t>
  </si>
  <si>
    <t>5.5-V  3.5-A 20-mΩ on-resistance load switch with adjustable rise time</t>
  </si>
  <si>
    <t>Load switches</t>
  </si>
  <si>
    <t>Catalog</t>
  </si>
  <si>
    <t>WQFN-HR</t>
  </si>
  <si>
    <t/>
  </si>
  <si>
    <t>-40 to 125</t>
  </si>
  <si>
    <t>1.0625,1.125</t>
  </si>
  <si>
    <t>1.25 x 0.85,1.5 x 0.75</t>
  </si>
  <si>
    <t>0.4,0.5</t>
  </si>
  <si>
    <t>ACTIVE</t>
  </si>
  <si>
    <t>Automotive, 5.5-V, 3-A, 19-mΩ load switch with adjustable rise time</t>
  </si>
  <si>
    <t>Load switches</t>
  </si>
  <si>
    <t>Automotive</t>
  </si>
  <si>
    <t>SOT-23-THN</t>
  </si>
  <si>
    <t/>
  </si>
  <si>
    <t>-40 to 125</t>
  </si>
  <si>
    <t>2.9 x 2.8</t>
  </si>
  <si>
    <t>ACTIVE</t>
  </si>
  <si>
    <t>650-V 170/248-mΩ GaN half-bridge for ACF with integrated driver, protection and current sense</t>
  </si>
  <si>
    <t>Gallium nitride (GaN) power stages</t>
  </si>
  <si>
    <t>Catalog</t>
  </si>
  <si>
    <t>VQFN</t>
  </si>
  <si>
    <t/>
  </si>
  <si>
    <t>-40 to 150</t>
  </si>
  <si>
    <t>9 x 7</t>
  </si>
  <si>
    <t>ACTIVE</t>
  </si>
  <si>
    <t>Automotive, 5.5-V 2.7-A 34-mΩ load switch with adjustable current limit</t>
  </si>
  <si>
    <t>Load switches</t>
  </si>
  <si>
    <t>Automotive</t>
  </si>
  <si>
    <t>SOT-23-THN</t>
  </si>
  <si>
    <t/>
  </si>
  <si>
    <t>-40 to 125</t>
  </si>
  <si>
    <t>2.9 x 2.8</t>
  </si>
  <si>
    <t>ACTIVE</t>
  </si>
  <si>
    <t>Eight-phase digital step-down multiphase controller with SVI3 and PMBus for AMD platform</t>
  </si>
  <si>
    <t>AC/DC &amp; DC/DC controllers (external FET)</t>
  </si>
  <si>
    <t>Catalog</t>
  </si>
  <si>
    <t>Multiphase</t>
  </si>
  <si>
    <t>WQFN</t>
  </si>
  <si>
    <t/>
  </si>
  <si>
    <t>-40 to 105</t>
  </si>
  <si>
    <t>5 x 5</t>
  </si>
  <si>
    <t>ACTIVE</t>
  </si>
  <si>
    <t>12-phase digital step-down multiphase controller with SVI3 and PMBus for AMD platform</t>
  </si>
  <si>
    <t>AC/DC &amp; DC/DC controllers (external FET)</t>
  </si>
  <si>
    <t>Catalog</t>
  </si>
  <si>
    <t>Multiphase</t>
  </si>
  <si>
    <t>VQFN</t>
  </si>
  <si>
    <t/>
  </si>
  <si>
    <t>-40 to 105</t>
  </si>
  <si>
    <t>6 x 6</t>
  </si>
  <si>
    <t>ACTIVE</t>
  </si>
  <si>
    <t>2.7-V to 19-V 100-mΩ eFuse with overvoltage, overcurrent and short-circuit protection</t>
  </si>
  <si>
    <t>eFuses (integrated hot swaps)</t>
  </si>
  <si>
    <t>Catalog</t>
  </si>
  <si>
    <t>WSON</t>
  </si>
  <si>
    <t/>
  </si>
  <si>
    <t>-40 to 125</t>
  </si>
  <si>
    <t>2 x 2</t>
  </si>
  <si>
    <t>ACTIVE</t>
  </si>
  <si>
    <t>3-V to 65-V input, 1-V to 13-V output, 0.6-A synchronous buck converter power module</t>
  </si>
  <si>
    <t>Power modules (integrated inductor)</t>
  </si>
  <si>
    <t>Catalog</t>
  </si>
  <si>
    <t>Buck,Synchronous Buck</t>
  </si>
  <si>
    <t>QFN-FCMOD</t>
  </si>
  <si>
    <t>Functional Safety-Capable</t>
  </si>
  <si>
    <t>-40 to 125</t>
  </si>
  <si>
    <t>4.5 x 3.5</t>
  </si>
  <si>
    <t>ACTIVE</t>
  </si>
  <si>
    <t>Automotive, 2.0-W, 24-Vin, 25-Vout high-density&amp;nbsp;&amp;gt; 3-kVRMS isolated DC/DC module</t>
  </si>
  <si>
    <t>Isolated power modules (integrated transformer)</t>
  </si>
  <si>
    <t>Automotive</t>
  </si>
  <si>
    <t>Full-bridge</t>
  </si>
  <si>
    <t>SO-MOD</t>
  </si>
  <si>
    <t>Functional Safety-Capable</t>
  </si>
  <si>
    <t>-40 to 125</t>
  </si>
  <si>
    <t>12.8 x 10.3</t>
  </si>
  <si>
    <t>ACTIVE</t>
  </si>
  <si>
    <t>3-V to 36-V input, 1-V to 15-V output, 2.5-A synchronous buck power module</t>
  </si>
  <si>
    <t>Power modules (integrated inductor)</t>
  </si>
  <si>
    <t>Catalog</t>
  </si>
  <si>
    <t>Buck,Synchronous Buck</t>
  </si>
  <si>
    <t>QFN-FCMOD</t>
  </si>
  <si>
    <t>Functional Safety-Capable</t>
  </si>
  <si>
    <t>-40 to 125</t>
  </si>
  <si>
    <t>4.5 x 3.5</t>
  </si>
  <si>
    <t>ACTIVE</t>
  </si>
  <si>
    <t>36-V, 4-A  synchronous buck converter</t>
  </si>
  <si>
    <t>AC/DC &amp; DC/DC converters (integrated FET)</t>
  </si>
  <si>
    <t>Catalog</t>
  </si>
  <si>
    <t>Buck</t>
  </si>
  <si>
    <t>WSON</t>
  </si>
  <si>
    <t>Functional Safety-Capable</t>
  </si>
  <si>
    <t>-40 to 150</t>
  </si>
  <si>
    <t>3 x 3</t>
  </si>
  <si>
    <t>ACTIVE</t>
  </si>
  <si>
    <t>36-V, 5-A synchronous buck converter</t>
  </si>
  <si>
    <t>AC/DC &amp; DC/DC converters (integrated FET)</t>
  </si>
  <si>
    <t>Catalog</t>
  </si>
  <si>
    <t>Buck</t>
  </si>
  <si>
    <t>WSON</t>
  </si>
  <si>
    <t>Functional Safety-Capable</t>
  </si>
  <si>
    <t>-40 to 150</t>
  </si>
  <si>
    <t>3 x 3</t>
  </si>
  <si>
    <t>ACTIVE</t>
  </si>
  <si>
    <t>Automotive, 2.7V to 6V input, 9A stackable synchronous buck converter</t>
  </si>
  <si>
    <t>AC/DC &amp; DC/DC converters (integrated FET)</t>
  </si>
  <si>
    <t>Automotive</t>
  </si>
  <si>
    <t>Buck</t>
  </si>
  <si>
    <t>VQFN-FCRLF</t>
  </si>
  <si>
    <t>Functional Safety-Capable</t>
  </si>
  <si>
    <t>-40 to 125</t>
  </si>
  <si>
    <t>2.55 x 3.55</t>
  </si>
  <si>
    <t>ACTIVE</t>
  </si>
  <si>
    <t>Automotive 30-A isolated 5.7-kV VRMS IGBT/SiC MOSFET gate driver with advanced protection features</t>
  </si>
  <si>
    <t>Isolated gate drivers</t>
  </si>
  <si>
    <t>Automotive</t>
  </si>
  <si>
    <t>SSOP</t>
  </si>
  <si>
    <t>Functional Safety-Compliant</t>
  </si>
  <si>
    <t>-40 to 125</t>
  </si>
  <si>
    <t>12.8 x 10.3</t>
  </si>
  <si>
    <t>ACTIVE</t>
  </si>
  <si>
    <t>Automotive low-noise 16-channel LED matrix manager with advanced diagnostics</t>
  </si>
  <si>
    <t>Automotive LED drivers</t>
  </si>
  <si>
    <t>Automotive</t>
  </si>
  <si>
    <t>Floating Switch</t>
  </si>
  <si>
    <t>HTQFP</t>
  </si>
  <si>
    <t>Functional Safety-Capable</t>
  </si>
  <si>
    <t>-40 to 125</t>
  </si>
  <si>
    <t>9 x 9</t>
  </si>
  <si>
    <t>ACTIVE</t>
  </si>
  <si>
    <t>3-V to 17-V, 1-A high efficiency, low IQ synchronous buck converter module with integrated inductor</t>
  </si>
  <si>
    <t>Power modules (integrated inductor)</t>
  </si>
  <si>
    <t>Catalog</t>
  </si>
  <si>
    <t>Buck,Synchronous Buck</t>
  </si>
  <si>
    <t>uSIP</t>
  </si>
  <si>
    <t/>
  </si>
  <si>
    <t>-40 to 125</t>
  </si>
  <si>
    <t>3 x 2.8</t>
  </si>
  <si>
    <t>ACTIVE</t>
  </si>
  <si>
    <t>3-V to 17-V, 2-A high efficiency, low IQ synchronous buck converter module with integrated inductor</t>
  </si>
  <si>
    <t>Power modules (integrated inductor)</t>
  </si>
  <si>
    <t>Catalog</t>
  </si>
  <si>
    <t>Buck,Synchronous Buck</t>
  </si>
  <si>
    <t>uSIP</t>
  </si>
  <si>
    <t/>
  </si>
  <si>
    <t>-40 to 125</t>
  </si>
  <si>
    <t>3 x 2.8</t>
  </si>
  <si>
    <t>ACTIVE</t>
  </si>
  <si>
    <t>Automotive three 3-A low-noise buck converter, IO LDO &amp; 5-V boost converter PMIC for radar MMICs</t>
  </si>
  <si>
    <t>Multi-channel ICs (PMICs)</t>
  </si>
  <si>
    <t>Automotive</t>
  </si>
  <si>
    <t>VQFN-HR</t>
  </si>
  <si>
    <t>Functional Safety-Compliant</t>
  </si>
  <si>
    <t>-40 to 125</t>
  </si>
  <si>
    <t>5 x 4.5</t>
  </si>
  <si>
    <t>ACTIVE</t>
  </si>
  <si>
    <t>Isolated switch driver with integrated 10-V gate supply</t>
  </si>
  <si>
    <t>Solid-state relays</t>
  </si>
  <si>
    <t>Catalog</t>
  </si>
  <si>
    <t>SO-MOD</t>
  </si>
  <si>
    <t>Functional Safety-Capable</t>
  </si>
  <si>
    <t>-40 to 125</t>
  </si>
  <si>
    <t>5.85 x 11.5</t>
  </si>
  <si>
    <t>ACTIVE</t>
  </si>
  <si>
    <t>Automotive 5A/5A dual-channel gate driver with 4V UVLO, 30V VDD and low propagation delay</t>
  </si>
  <si>
    <t>Low-side drivers</t>
  </si>
  <si>
    <t>Automotive</t>
  </si>
  <si>
    <t>HVSSOP,SOIC,WSON</t>
  </si>
  <si>
    <t/>
  </si>
  <si>
    <t>-40 to 150</t>
  </si>
  <si>
    <t>9,14.7,29.4</t>
  </si>
  <si>
    <t>3 x 3,3 x 4.9,4.9 x 6</t>
  </si>
  <si>
    <t>0.8,1.1,1.75</t>
  </si>
  <si>
    <t>0.65,1.27</t>
  </si>
  <si>
    <t>ACTIVE</t>
  </si>
  <si>
    <t>650-V 30-mΩ GaN FET with integrated driver, protection and temperature reporting</t>
  </si>
  <si>
    <t>Gallium nitride (GaN) power stages</t>
  </si>
  <si>
    <t>Catalog</t>
  </si>
  <si>
    <t>VQFN</t>
  </si>
  <si>
    <t/>
  </si>
  <si>
    <t>-40 to 150</t>
  </si>
  <si>
    <t>12 x 12</t>
  </si>
  <si>
    <t>ACTIVE</t>
  </si>
  <si>
    <t>Automotive, two-channel, high-current 40-V high-side LED driver with thermal sharing</t>
  </si>
  <si>
    <t>Automotive LED drivers</t>
  </si>
  <si>
    <t>Automotive</t>
  </si>
  <si>
    <t>Current Source</t>
  </si>
  <si>
    <t>HVSSOP,WSON</t>
  </si>
  <si>
    <t/>
  </si>
  <si>
    <t>-40 to 125</t>
  </si>
  <si>
    <t>9,19.6</t>
  </si>
  <si>
    <t>3 x 3,4 x 4.9</t>
  </si>
  <si>
    <t>0.8,1.1</t>
  </si>
  <si>
    <t>0.5,0.65</t>
  </si>
  <si>
    <t>ACTIVE</t>
  </si>
  <si>
    <t>Automotive, two-channel 40-V high-side LED driver with thermal sharing</t>
  </si>
  <si>
    <t>Automotive LED drivers</t>
  </si>
  <si>
    <t>Automotive</t>
  </si>
  <si>
    <t>Current Source</t>
  </si>
  <si>
    <t>HVSSOP,WSON</t>
  </si>
  <si>
    <t/>
  </si>
  <si>
    <t>-40 to 125</t>
  </si>
  <si>
    <t>9,19.6</t>
  </si>
  <si>
    <t>3 x 3,4 x 4.9</t>
  </si>
  <si>
    <t>0.8,1.1</t>
  </si>
  <si>
    <t>0.5,0.65</t>
  </si>
  <si>
    <t>ACTIVE</t>
  </si>
  <si>
    <t>High-current PMIC for DDR5 server DIMMS with logging auto-clear function</t>
  </si>
  <si>
    <t>DDR memory power ICs,Multi-channel ICs (PMICs)</t>
  </si>
  <si>
    <t>Catalog</t>
  </si>
  <si>
    <t>VQFN-HR</t>
  </si>
  <si>
    <t/>
  </si>
  <si>
    <t>-40 to 105</t>
  </si>
  <si>
    <t>5 x 5</t>
  </si>
  <si>
    <t>ACTIVE</t>
  </si>
  <si>
    <t>Low-current PMIC for DDR5 server DIMMS with logging auto-clear function</t>
  </si>
  <si>
    <t>Multi-channel ICs (PMICs),DDR memory power ICs</t>
  </si>
  <si>
    <t>Catalog</t>
  </si>
  <si>
    <t>VQFN-HR</t>
  </si>
  <si>
    <t/>
  </si>
  <si>
    <t>-40 to 105</t>
  </si>
  <si>
    <t>5 x 5</t>
  </si>
  <si>
    <t>ACTIVE</t>
  </si>
  <si>
    <t>3-V to 17-V, 3-A, high-efficiency, low-IQ synchronous buck converter module with integrated inductor</t>
  </si>
  <si>
    <t>Power modules (integrated inductor)</t>
  </si>
  <si>
    <t>Catalog</t>
  </si>
  <si>
    <t>Buck,Synchronous Buck</t>
  </si>
  <si>
    <t>uSIP</t>
  </si>
  <si>
    <t/>
  </si>
  <si>
    <t>-40 to 125</t>
  </si>
  <si>
    <t>3 x 2.8</t>
  </si>
  <si>
    <t>ACTIVE</t>
  </si>
  <si>
    <t>High-density, 36-V input, 1-V to 20-V output, 8-A power module 7.5-mm x 6.5-mm enhanced HotRod™ QFN</t>
  </si>
  <si>
    <t>Power modules (integrated inductor)</t>
  </si>
  <si>
    <t>Catalog</t>
  </si>
  <si>
    <t>Synchronous Buck</t>
  </si>
  <si>
    <t>B3QFN</t>
  </si>
  <si>
    <t>Functional Safety-Capable</t>
  </si>
  <si>
    <t>-40 to 125</t>
  </si>
  <si>
    <t>7.5 x 6.5</t>
  </si>
  <si>
    <t>ACTIVE</t>
  </si>
  <si>
    <t>2.2-MHz wide-VIN, synchronous boost controller with output voltage tracking</t>
  </si>
  <si>
    <t>AC/DC &amp; DC/DC controllers (external FET)</t>
  </si>
  <si>
    <t>Automotive</t>
  </si>
  <si>
    <t>Boost</t>
  </si>
  <si>
    <t>VQFN</t>
  </si>
  <si>
    <t>Functional Safety-Capable</t>
  </si>
  <si>
    <t>-40 to 125</t>
  </si>
  <si>
    <t>3.5 x 3.5</t>
  </si>
  <si>
    <t>ACTIVE</t>
  </si>
  <si>
    <t>Power-supply sequencer with I²C support for up to 12 channels</t>
  </si>
  <si>
    <t>Sequencers</t>
  </si>
  <si>
    <t>Catalog</t>
  </si>
  <si>
    <t>VQFN</t>
  </si>
  <si>
    <t>Functional Safety-Compliant</t>
  </si>
  <si>
    <t>-40 to 125</t>
  </si>
  <si>
    <t>4 x 4</t>
  </si>
  <si>
    <t>ACTIVE</t>
  </si>
  <si>
    <t>Industrial, 30-V, low-power current-mode PWM controller, 18.8-V/15.5-V UVLO for SiC, 100% duty cycle</t>
  </si>
  <si>
    <t>AC/DC &amp; DC/DC controllers (external FET)</t>
  </si>
  <si>
    <t>Catalog</t>
  </si>
  <si>
    <t>Boost,Buck,Flyback,Forward,SEPIC</t>
  </si>
  <si>
    <t>SOIC</t>
  </si>
  <si>
    <t>Functional Safety-Capable</t>
  </si>
  <si>
    <t>-40 to 125</t>
  </si>
  <si>
    <t>4.9 x 6</t>
  </si>
  <si>
    <t>ACTIVE</t>
  </si>
  <si>
    <t>Industrial, 30-V, low-power current-mode PWM controller, 16-V/12.5-V UVLO for SiC, 100% duty cycle</t>
  </si>
  <si>
    <t>AC/DC &amp; DC/DC controllers (external FET)</t>
  </si>
  <si>
    <t>Catalog</t>
  </si>
  <si>
    <t>Boost,Buck,Flyback,Forward,SEPIC</t>
  </si>
  <si>
    <t>SOIC</t>
  </si>
  <si>
    <t>Functional Safety-Capable</t>
  </si>
  <si>
    <t>-40 to 125</t>
  </si>
  <si>
    <t>4.9 x 6</t>
  </si>
  <si>
    <t>ACTIVE</t>
  </si>
  <si>
    <t>Industrial, 30-V, low-power current-mode PWM controller, 16-V/12.5-V UVLO for SiC, 50% duty cycle</t>
  </si>
  <si>
    <t>AC/DC &amp; DC/DC controllers (external FET)</t>
  </si>
  <si>
    <t>Catalog</t>
  </si>
  <si>
    <t>Boost,Buck,Flyback,Forward,SEPIC</t>
  </si>
  <si>
    <t>SOIC</t>
  </si>
  <si>
    <t>Functional Safety-Capable</t>
  </si>
  <si>
    <t>-40 to 125</t>
  </si>
  <si>
    <t>4.9 x 6</t>
  </si>
  <si>
    <t>ACTIVE</t>
  </si>
  <si>
    <t>Automotive, 30-V, low-power current-mode PWM controller, 16-V/12.5-V UVLO for SiC, 50%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</si>
  <si>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</si>
  <si>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</si>
  <si>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</si>
  <si>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</si>
  <si>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</si>
  <si>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150</t>
  </si>
  <si>
    <t>4.9 x 6</t>
  </si>
  <si>
    <t>ACTIVE</t>
  </si>
  <si>
    <t>3.8-V to 17-V, 8-A synchronous buck converter with D-CAP3 control</t>
  </si>
  <si>
    <t>AC/DC &amp; DC/DC converters (integrated FET)</t>
  </si>
  <si>
    <t>Catalog</t>
  </si>
  <si>
    <t>Buck</t>
  </si>
  <si>
    <t>VQFN-HR</t>
  </si>
  <si>
    <t/>
  </si>
  <si>
    <t>-40 to 125</t>
  </si>
  <si>
    <t>3.5 x 3.5</t>
  </si>
  <si>
    <t>ACTIVE</t>
  </si>
  <si>
    <t>Radiation-tolerant 1.6-V to 5.5-V input 1.25-A load switch</t>
  </si>
  <si>
    <t>Load switches</t>
  </si>
  <si>
    <t>Space</t>
  </si>
  <si>
    <t>SOT-SC70</t>
  </si>
  <si>
    <t/>
  </si>
  <si>
    <t>-55 to 125</t>
  </si>
  <si>
    <t>2 x 2.1</t>
  </si>
  <si>
    <t>ACTIVE</t>
  </si>
  <si>
    <t>Automotive, 3-V to 10-V, 2-A low-IQ synchronous buck converter with 165°C junction temperature&lt;/p</t>
  </si>
  <si>
    <t>AC/DC &amp; DC/DC converters (integrated FET)</t>
  </si>
  <si>
    <t>Automotive</t>
  </si>
  <si>
    <t>Buck</t>
  </si>
  <si>
    <t>VQFN-HR</t>
  </si>
  <si>
    <t>Functional Safety-Capable</t>
  </si>
  <si>
    <t>-40 to 165</t>
  </si>
  <si>
    <t>2.2 x 2</t>
  </si>
  <si>
    <t>ACTIVE</t>
  </si>
  <si>
    <t>Automotive, 3-V to 10-V, 3-A low-IQ synchronous buck converter with 165°C junction temperature&lt;/p</t>
  </si>
  <si>
    <t>AC/DC &amp; DC/DC converters (integrated FET)</t>
  </si>
  <si>
    <t>Automotive</t>
  </si>
  <si>
    <t>Buck</t>
  </si>
  <si>
    <t>VQFN-HR</t>
  </si>
  <si>
    <t>Functional Safety-Capable</t>
  </si>
  <si>
    <t>-40 to 165</t>
  </si>
  <si>
    <t>2.2 x 2</t>
  </si>
  <si>
    <t>ACTIVE</t>
  </si>
  <si>
    <t>6-V to 100-V input, 2.5-A non-synchronous buck DC/DC converter with ultra-low IQ</t>
  </si>
  <si>
    <t>AC/DC &amp; DC/DC converters (integrated FET)</t>
  </si>
  <si>
    <t>Catalog</t>
  </si>
  <si>
    <t>Buck</t>
  </si>
  <si>
    <t>HSOIC</t>
  </si>
  <si>
    <t>Functional Safety-Capable</t>
  </si>
  <si>
    <t>-40 to 150</t>
  </si>
  <si>
    <t>4.9 x 6</t>
  </si>
  <si>
    <t>ACTIVE</t>
  </si>
  <si>
    <t>Automotive, 6-V to 100-V input, 2.5-A non-synchronous buck DC/DC converter</t>
  </si>
  <si>
    <t>AC/DC &amp; DC/DC converters (integrated FET)</t>
  </si>
  <si>
    <t>Automotive</t>
  </si>
  <si>
    <t>Buck</t>
  </si>
  <si>
    <t>HSOIC</t>
  </si>
  <si>
    <t>Functional Safety-Capable</t>
  </si>
  <si>
    <t>-40 to 150</t>
  </si>
  <si>
    <t>4.9 x 6</t>
  </si>
  <si>
    <t>ACTIVE</t>
  </si>
  <si>
    <t>6-V to 100-V input, 3.5-A non-synchronous buck DC/DC converter with ultra-low quiescent current (IQ)</t>
  </si>
  <si>
    <t>AC/DC &amp; DC/DC converters (integrated FET)</t>
  </si>
  <si>
    <t>Catalog</t>
  </si>
  <si>
    <t>Buck</t>
  </si>
  <si>
    <t>HSOIC</t>
  </si>
  <si>
    <t>Functional Safety-Capable</t>
  </si>
  <si>
    <t>-40 to 150</t>
  </si>
  <si>
    <t>4.9 x 6</t>
  </si>
  <si>
    <t>ACTIVE</t>
  </si>
  <si>
    <t>6V to 120V Wide VIN, 650-mA DC/DC converter with Fly-Buck™ capability</t>
  </si>
  <si>
    <t>AC/DC &amp; DC/DC converters (integrated FET)</t>
  </si>
  <si>
    <t>Catalog</t>
  </si>
  <si>
    <t>Buck,Flybuck</t>
  </si>
  <si>
    <t>HSOIC,WSON</t>
  </si>
  <si>
    <t>Functional Safety-Capable</t>
  </si>
  <si>
    <t>-40 to 150</t>
  </si>
  <si>
    <t>16,29.4</t>
  </si>
  <si>
    <t>4 x 4,4.9 x 6</t>
  </si>
  <si>
    <t>0.8,1.7</t>
  </si>
  <si>
    <t>0.8,1.27</t>
  </si>
  <si>
    <t>ACTIVE</t>
  </si>
  <si>
    <t>4.5-V to 24-V input, 8-A synchronous buck converter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</si>
  <si>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</si>
  <si>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</si>
  <si>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</si>
  <si>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</si>
  <si>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</si>
  <si>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</si>
  <si>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</si>
  <si>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</si>
  <si>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25-V, 4.5-A, boost converter with 2.5% accuracy input average current limit &amp; true disconnection</t>
  </si>
  <si>
    <t>AC/DC &amp; DC/DC converters (integrated FET)</t>
  </si>
  <si>
    <t>Catalog</t>
  </si>
  <si>
    <t>Boost</t>
  </si>
  <si>
    <t>VQFN-HR</t>
  </si>
  <si>
    <t/>
  </si>
  <si>
    <t>-40 to 125</t>
  </si>
  <si>
    <t>2.5 x 2</t>
  </si>
  <si>
    <t>ACTIVE</t>
  </si>
  <si>
    <t>Automotive four 8.8-MHz buck converters for AWR and IWR MMICs</t>
  </si>
  <si>
    <t>Multi-channel ICs (PMICs)</t>
  </si>
  <si>
    <t>Automotive</t>
  </si>
  <si>
    <t>VQFN-HR</t>
  </si>
  <si>
    <t>Functional Safety-Compliant</t>
  </si>
  <si>
    <t>-40 to 125</t>
  </si>
  <si>
    <t>5.5 x 5</t>
  </si>
  <si>
    <t>ACTIVE</t>
  </si>
  <si>
    <t>4.5-V to 16-V, 0.59-mΩ, 80-A stackable compact eFuse with accurate and fast current monitor</t>
  </si>
  <si>
    <t>eFuses (integrated hot swaps)</t>
  </si>
  <si>
    <t>Catalog</t>
  </si>
  <si>
    <t>VQFN-HR</t>
  </si>
  <si>
    <t/>
  </si>
  <si>
    <t>-40 to 125</t>
  </si>
  <si>
    <t>5 x 4.5</t>
  </si>
  <si>
    <t>ACTIVE</t>
  </si>
  <si>
    <t>Automotive reinforced isolated switch driver with integrated 10-V gate supply</t>
  </si>
  <si>
    <t>Solid-state relays</t>
  </si>
  <si>
    <t>Automotive</t>
  </si>
  <si>
    <t>SO-MOD</t>
  </si>
  <si>
    <t>Functional Safety-Capable</t>
  </si>
  <si>
    <t>-40 to 125</t>
  </si>
  <si>
    <t>5.85 x 11.5</t>
  </si>
  <si>
    <t>ACTIVE</t>
  </si>
  <si>
    <t>Automotive ±10-A isolated single-channel gate driver with active protection, and isolated sensing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</si>
  <si>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</si>
  <si>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</si>
  <si>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</si>
  <si>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</si>
  <si>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</si>
  <si>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</si>
  <si>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</si>
  <si>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50-mA, 85-V, ultra-low IQ, dual low-dropout voltage regulator with power good and precision enable</t>
  </si>
  <si>
    <t>Linear &amp; low-dropout (LDO) regulators</t>
  </si>
  <si>
    <t>Catalog</t>
  </si>
  <si>
    <t>HVSSOP</t>
  </si>
  <si>
    <t/>
  </si>
  <si>
    <t>-40 to 125</t>
  </si>
  <si>
    <t>3 x 4.9</t>
  </si>
  <si>
    <t>ACTIVE</t>
  </si>
  <si>
    <t>5-V 2-A boost converter with 0.5-V minimum input voltage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</si>
  <si>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</si>
  <si>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</si>
  <si>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</si>
  <si>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</si>
  <si>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</si>
  <si>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</si>
  <si>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</si>
  <si>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</si>
  <si>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Automotive 2.7-V to 6-V input, 15-A, stackable, synchronous buck converter</t>
  </si>
  <si>
    <t>AC/DC &amp; DC/DC converters (integrated FET)</t>
  </si>
  <si>
    <t>Automotive</t>
  </si>
  <si>
    <t>Buck,Multiphase,Step-Down Converter,Synchronous Buck</t>
  </si>
  <si>
    <t>VQFN-FCRLF</t>
  </si>
  <si>
    <t>Functional Safety-Capable</t>
  </si>
  <si>
    <t>-40 to 125</t>
  </si>
  <si>
    <t>2.55 x 3.55</t>
  </si>
  <si>
    <t>ACTIVE</t>
  </si>
  <si>
    <t>4-V to 16-V, 35-A SVID and I&amp;sup2;C&amp;nbsp;synchronous step-down converter</t>
  </si>
  <si>
    <t>AC/DC &amp; DC/DC converters (integrated FET)</t>
  </si>
  <si>
    <t>Catalog</t>
  </si>
  <si>
    <t>Buck</t>
  </si>
  <si>
    <t>WQFN-FCRLF</t>
  </si>
  <si>
    <t/>
  </si>
  <si>
    <t>-40 to 125</t>
  </si>
  <si>
    <t>6 x 5</t>
  </si>
  <si>
    <t>ACTIVE</t>
  </si>
  <si>
    <t>16-channel low noise LED matrix manager with internal clock</t>
  </si>
  <si>
    <t>Automotive LED drivers</t>
  </si>
  <si>
    <t>Automotive</t>
  </si>
  <si>
    <t>Floating Switch</t>
  </si>
  <si>
    <t>HTQFP</t>
  </si>
  <si>
    <t>Functional Safety-Capable</t>
  </si>
  <si>
    <t>125 to -40</t>
  </si>
  <si>
    <t>9 x 9</t>
  </si>
  <si>
    <t>ACTIVE</t>
  </si>
  <si>
    <t>Enhanced-product, 500-mA&amp;nbsp;low-noise low-IQ&amp;nbsp;low-dropout regulator with reverse current pr</t>
  </si>
  <si>
    <t>Linear &amp; low-dropout (LDO) regulators</t>
  </si>
  <si>
    <t>HiRel Enhanced Product</t>
  </si>
  <si>
    <t>WSON</t>
  </si>
  <si>
    <t/>
  </si>
  <si>
    <t>-55 to 125</t>
  </si>
  <si>
    <t>2 x 2</t>
  </si>
  <si>
    <t>ACTIVE</t>
  </si>
  <si>
    <t>30-V 8-A buck-boost converter with I²C interface</t>
  </si>
  <si>
    <t>AC/DC &amp; DC/DC converters (integrated FET)</t>
  </si>
  <si>
    <t>Catalog</t>
  </si>
  <si>
    <t>Buck-Boost</t>
  </si>
  <si>
    <t>VQFN-HR</t>
  </si>
  <si>
    <t/>
  </si>
  <si>
    <t>-40 to 125</t>
  </si>
  <si>
    <t>5 x 3</t>
  </si>
  <si>
    <t>ACTIVE</t>
  </si>
  <si>
    <t>Automotive 6-V to 120-V Wide VIN, 300-mA DC-DC converter with Fly-Buck™ capability</t>
  </si>
  <si>
    <t>AC/DC &amp; DC/DC converters (integrated FET)</t>
  </si>
  <si>
    <t>Automotive</t>
  </si>
  <si>
    <t>Buck,Flybuck</t>
  </si>
  <si>
    <t>HSOIC</t>
  </si>
  <si>
    <t>Functional Safety-Capable</t>
  </si>
  <si>
    <t>-40 to 150</t>
  </si>
  <si>
    <t>4.9 x 6</t>
  </si>
  <si>
    <t>ACTIVE</t>
  </si>
  <si>
    <t>Automotive 6-V to 120-V Wide VIN, 650-mA DC-DC converter with Fly-Buck™ capability</t>
  </si>
  <si>
    <t>AC/DC &amp; DC/DC converters (integrated FET)</t>
  </si>
  <si>
    <t>Automotive</t>
  </si>
  <si>
    <t>Buck,Flybuck</t>
  </si>
  <si>
    <t>HSOIC</t>
  </si>
  <si>
    <t>Functional Safety-Capable</t>
  </si>
  <si>
    <t>-40 to 150</t>
  </si>
  <si>
    <t>4.9 x 6</t>
  </si>
  <si>
    <t>ACTIVE</t>
  </si>
  <si>
    <t>Radiation-tolerant, 2-MHz, dual-output PWM controller with synchronous rectification</t>
  </si>
  <si>
    <t>AC/DC &amp; DC/DC controllers (external FET)</t>
  </si>
  <si>
    <t>Space</t>
  </si>
  <si>
    <t>Active clamp,Boost,Buck,Forward,Full bridge,Half bridge,Push pull</t>
  </si>
  <si>
    <t>TSSOP</t>
  </si>
  <si>
    <t/>
  </si>
  <si>
    <t>-55 to 125</t>
  </si>
  <si>
    <t>7.8 x 6.4</t>
  </si>
  <si>
    <t>ACTIVE</t>
  </si>
  <si>
    <t>Radiation-tolerant 2-MHz PWM controller with synchronous rectification and dead-time setting</t>
  </si>
  <si>
    <t>AC/DC &amp; DC/DC controllers (external FET)</t>
  </si>
  <si>
    <t>Space</t>
  </si>
  <si>
    <t>Active clamp,Boost,Buck,Flyback,Forward</t>
  </si>
  <si>
    <t>TSSOP</t>
  </si>
  <si>
    <t/>
  </si>
  <si>
    <t>-55 to 125</t>
  </si>
  <si>
    <t>7.8 x 6.4</t>
  </si>
  <si>
    <t>ACTIVE</t>
  </si>
  <si>
    <t>Radiation-tolerant 2-MHz PWM controller with synchronous rectification</t>
  </si>
  <si>
    <t>AC/DC &amp; DC/DC controllers (external FET)</t>
  </si>
  <si>
    <t>Space</t>
  </si>
  <si>
    <t>Active clamp,Boost,Buck,Flyback,Forward</t>
  </si>
  <si>
    <t>TSSOP</t>
  </si>
  <si>
    <t/>
  </si>
  <si>
    <t>-55 to 125</t>
  </si>
  <si>
    <t>7.8 x 6.4</t>
  </si>
  <si>
    <t>ACTIVE</t>
  </si>
  <si>
    <t>Radiation-tolerant, 2-MHz, dual-output PWM controller</t>
  </si>
  <si>
    <t>AC/DC &amp; DC/DC controllers (external FET)</t>
  </si>
  <si>
    <t>Space</t>
  </si>
  <si>
    <t>Full bridge,Half bridge,Push pull</t>
  </si>
  <si>
    <t>TSSOP</t>
  </si>
  <si>
    <t/>
  </si>
  <si>
    <t>-55 to 125</t>
  </si>
  <si>
    <t>7.8 x 6.4</t>
  </si>
  <si>
    <t>ACTIVE</t>
  </si>
  <si>
    <t>2.95V-to-16V input, dual 25A or single 50A PMBus® power module</t>
  </si>
  <si>
    <t>Power modules (integrated inductor)</t>
  </si>
  <si>
    <t>Catalog</t>
  </si>
  <si>
    <t>Buck</t>
  </si>
  <si>
    <t>QFM</t>
  </si>
  <si>
    <t/>
  </si>
  <si>
    <t>-40 to 125</t>
  </si>
  <si>
    <t>16 x 20</t>
  </si>
  <si>
    <t>ACTIVE</t>
  </si>
  <si>
    <t>3.8-V to 17-V, 12-A synchronous buck converter with D-CAP3 control</t>
  </si>
  <si>
    <t>AC/DC &amp; DC/DC converters (integrated FET)</t>
  </si>
  <si>
    <t>Catalog</t>
  </si>
  <si>
    <t>Buck</t>
  </si>
  <si>
    <t>VQFN-HR</t>
  </si>
  <si>
    <t/>
  </si>
  <si>
    <t>-40 to 125</t>
  </si>
  <si>
    <t>3.5 x 3.5</t>
  </si>
  <si>
    <t>ACTIVE</t>
  </si>
  <si>
    <t>Automotive, low IQ ideal diode controller with 200-khz active rectification and load dump protection</t>
  </si>
  <si>
    <t>Ideal diode &amp; ORing controllers</t>
  </si>
  <si>
    <t>Automotive</t>
  </si>
  <si>
    <t>WSON</t>
  </si>
  <si>
    <t>Functional Safety-Capable</t>
  </si>
  <si>
    <t>-40 to 125</t>
  </si>
  <si>
    <t>3 x 3</t>
  </si>
  <si>
    <t>ACTIVE</t>
  </si>
  <si>
    <t>Automotive, 2.7V-to-6V input, 12A stackable synchronous buck converter</t>
  </si>
  <si>
    <t>AC/DC &amp; DC/DC converters (integrated FET)</t>
  </si>
  <si>
    <t>Automotive</t>
  </si>
  <si>
    <t>Buck,Multiphase,Step-Down Converter,Synchronous Buck</t>
  </si>
  <si>
    <t>VQFN-FCRLF</t>
  </si>
  <si>
    <t>Functional Safety-Capable</t>
  </si>
  <si>
    <t>-40 to 125</t>
  </si>
  <si>
    <t>2.55 x 3.55</t>
  </si>
  <si>
    <t>ACTIVE</t>
  </si>
  <si>
    <t>3.8-V to 30-V, 3-A, 200-kHz to 2.2-MHz, synchronous buck converter with out-of-audio mode in SOT583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</si>
  <si>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</si>
  <si>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</si>
  <si>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</si>
  <si>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</si>
  <si>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</si>
  <si>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</si>
  <si>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</si>
  <si>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</si>
  <si>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2.5V to 5.5V input, 2A high-efficiency step-down converter with forced PWM in SOT package</t>
  </si>
  <si>
    <t>AC/DC &amp; DC/DC converters (integrated FET)</t>
  </si>
  <si>
    <t>Catalog</t>
  </si>
  <si>
    <t>Buck</t>
  </si>
  <si>
    <t>SOT-23-THN,SOT-5X3</t>
  </si>
  <si>
    <t/>
  </si>
  <si>
    <t>-40 to 125</t>
  </si>
  <si>
    <t>2.56,8.12</t>
  </si>
  <si>
    <t>1.6 x 1.6,2.9 x 2.8</t>
  </si>
  <si>
    <t>0.6,1.1</t>
  </si>
  <si>
    <t>0.5,0.95</t>
  </si>
  <si>
    <t>ACTIVE</t>
  </si>
  <si>
    <t>1.5-A low-dropout (LDO) linear regulator with programmable soft start</t>
  </si>
  <si>
    <t>Linear &amp; low-dropout (LDO) regulators</t>
  </si>
  <si>
    <t>Catalog</t>
  </si>
  <si>
    <t>WSON</t>
  </si>
  <si>
    <t/>
  </si>
  <si>
    <t>-40 to 125</t>
  </si>
  <si>
    <t>3 x 3</t>
  </si>
  <si>
    <t>ACTIVE</t>
  </si>
  <si>
    <t>Automotive 10-A isolated single-channel gate driver for SiC/IGBT, active short-circuit protection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</si>
  <si>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</si>
  <si>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</si>
  <si>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</si>
  <si>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</si>
  <si>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</si>
  <si>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</si>
  <si>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</si>
  <si>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650-nA quiescent current, 12-ppm/°C drift, ultra-low-power precision voltage reference</t>
  </si>
  <si>
    <t>Series voltage references</t>
  </si>
  <si>
    <t>Catalog</t>
  </si>
  <si>
    <t>DSBGA,SOT-23</t>
  </si>
  <si>
    <t/>
  </si>
  <si>
    <t>-40 to 125</t>
  </si>
  <si>
    <t>4,6</t>
  </si>
  <si>
    <t>0.64,8.12</t>
  </si>
  <si>
    <t>0.8 x 0.8,2.9 x 2.8</t>
  </si>
  <si>
    <t>0.4,1.45</t>
  </si>
  <si>
    <t>0.4,0.95</t>
  </si>
  <si>
    <t>ACTIVE</t>
  </si>
  <si>
    <t>2.7-V to 6-V, 3-A, fixed-frequency, step-down converter in SOT-583 package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</si>
  <si>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</si>
  <si>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</si>
  <si>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</si>
  <si>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</si>
  <si>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</si>
  <si>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</si>
  <si>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</si>
  <si>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</si>
  <si>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50-V, eight-channel darlington array</t>
  </si>
  <si>
    <t>Low-side switches</t>
  </si>
  <si>
    <t>Catalog</t>
  </si>
  <si>
    <t>SOIC</t>
  </si>
  <si>
    <t/>
  </si>
  <si>
    <t>-40 to 85</t>
  </si>
  <si>
    <t>12.8 x 10.3</t>
  </si>
  <si>
    <t>ACTIVE</t>
  </si>
  <si>
    <t>SIMPLE SWITCHER® power converter 4.5V-to-36V, 2A, synchronous buck with 40µA IQ</t>
  </si>
  <si>
    <t>AC/DC &amp; DC/DC converters (integrated FET)</t>
  </si>
  <si>
    <t>Catalog</t>
  </si>
  <si>
    <t>Buck</t>
  </si>
  <si>
    <t>SOT-23-THN</t>
  </si>
  <si>
    <t>Functional Safety-Capable</t>
  </si>
  <si>
    <t>-40 to 150</t>
  </si>
  <si>
    <t>2.9 x 2.8</t>
  </si>
  <si>
    <t>ACTIVE</t>
  </si>
  <si>
    <t>100-mA, 60-V, 5-μA quiescent current, low-dropout (LDO) voltage regulator with power good and enable</t>
  </si>
  <si>
    <t>Linear &amp; low-dropout (LDO) regulators</t>
  </si>
  <si>
    <t>Catalog</t>
  </si>
  <si>
    <t>HVSSOP</t>
  </si>
  <si>
    <t>Functional Safety-Capable</t>
  </si>
  <si>
    <t>-40 to 150</t>
  </si>
  <si>
    <t>3 x 4.9</t>
  </si>
  <si>
    <t>ACTIVE</t>
  </si>
  <si>
    <t>2.5V to 5.5V input, 2A high-efficiency step-down converter in SOT563 and SOT23 packages</t>
  </si>
  <si>
    <t>AC/DC &amp; DC/DC converters (integrated FET)</t>
  </si>
  <si>
    <t>Catalog</t>
  </si>
  <si>
    <t>Buck</t>
  </si>
  <si>
    <t>SOT-23-THN,SOT-5X3</t>
  </si>
  <si>
    <t/>
  </si>
  <si>
    <t>-40 to 125</t>
  </si>
  <si>
    <t>2.56,8.12</t>
  </si>
  <si>
    <t>1.6 x 1.6,2.9 x 2.8</t>
  </si>
  <si>
    <t>0.6,1.1</t>
  </si>
  <si>
    <t>0.5,0.95</t>
  </si>
  <si>
    <t>ACTIVE</t>
  </si>
  <si>
    <t>2.7-V to 16-V, 10-A, 6-mΩ load switch with fast overvoltage protection and current monitoring</t>
  </si>
  <si>
    <t>Load switches</t>
  </si>
  <si>
    <t>Catalog</t>
  </si>
  <si>
    <t>VQFN-HR</t>
  </si>
  <si>
    <t/>
  </si>
  <si>
    <t>-40 to 125</t>
  </si>
  <si>
    <t>2 x 2</t>
  </si>
  <si>
    <t>ACTIVE</t>
  </si>
  <si>
    <t>Automotive 5.7-V, 5-A, 14-mΩ load switch with adj. rise time, voltage monitoring</t>
  </si>
  <si>
    <t>Load switches</t>
  </si>
  <si>
    <t>Automotive</t>
  </si>
  <si>
    <t>WSON</t>
  </si>
  <si>
    <t/>
  </si>
  <si>
    <t>-40 to 125</t>
  </si>
  <si>
    <t>3 x 2</t>
  </si>
  <si>
    <t>ACTIVE</t>
  </si>
  <si>
    <t>Automotive 5.7-V, 5-A, 14-mΩ load switch w/ adj. rise time, voltage monitoring &amp; output diagnostics</t>
  </si>
  <si>
    <t>Load switches</t>
  </si>
  <si>
    <t>Automotive</t>
  </si>
  <si>
    <t>WSON</t>
  </si>
  <si>
    <t/>
  </si>
  <si>
    <t>-40 to 125</t>
  </si>
  <si>
    <t>3 x 2</t>
  </si>
  <si>
    <t>ACTIVE</t>
  </si>
  <si>
    <t>Automotive 2.7-V to 6-V input, 6-A, stackable, synchronous buck converter</t>
  </si>
  <si>
    <t>AC/DC &amp; DC/DC converters (integrated FET)</t>
  </si>
  <si>
    <t>Automotive</t>
  </si>
  <si>
    <t>Buck</t>
  </si>
  <si>
    <t>VQFN-FCRLF</t>
  </si>
  <si>
    <t>Functional Safety-Capable</t>
  </si>
  <si>
    <t>-40 to 125</t>
  </si>
  <si>
    <t>2.55 x 3.55</t>
  </si>
  <si>
    <t>ACTIVE</t>
  </si>
  <si>
    <t>16-channel low noise LED matrix manager with internal clock and EEPROM</t>
  </si>
  <si>
    <t>Automotive LED drivers</t>
  </si>
  <si>
    <t>Automotive</t>
  </si>
  <si>
    <t>Floating Switch</t>
  </si>
  <si>
    <t>HTQFP</t>
  </si>
  <si>
    <t>Functional Safety-Compliant</t>
  </si>
  <si>
    <t>-40 to 125</t>
  </si>
  <si>
    <t>9 x 9</t>
  </si>
  <si>
    <t>ACTIVE</t>
  </si>
  <si>
    <t>3.8-V to 28-V Input, 3-A synchronous buck converter in SOT-583 package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</si>
  <si>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</si>
  <si>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</si>
  <si>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</si>
  <si>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</si>
  <si>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</si>
  <si>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</si>
  <si>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</si>
  <si>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</si>
  <si>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3.8-V to 30-V input, 3-A, 200-kHz to 2.2-MHz synchronous buck converter in SOT-583 package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</si>
  <si>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</si>
  <si>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</si>
  <si>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</si>
  <si>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</si>
  <si>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</si>
  <si>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</si>
  <si>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</si>
  <si>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</si>
  <si>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3.8-V to 30-V, 3-A, 200-kHz to 2.2-MHz, low-IQ synchronous buck converter in SOT-583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</si>
  <si>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</si>
  <si>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</si>
  <si>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</si>
  <si>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</si>
  <si>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</si>
  <si>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</si>
  <si>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</si>
  <si>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</si>
  <si>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5-A, low-input-voltage, low-noise, high-accuracy low-dropout (LDO) voltage regulator</t>
  </si>
  <si>
    <t>Linear &amp; low-dropout (LDO) regulators</t>
  </si>
  <si>
    <t>Catalog</t>
  </si>
  <si>
    <t>WQFN</t>
  </si>
  <si>
    <t/>
  </si>
  <si>
    <t>-40 to 125</t>
  </si>
  <si>
    <t>3 x 3</t>
  </si>
  <si>
    <t>ACTIVE</t>
  </si>
  <si>
    <t>Automotive, TVS less low IQ reverse battery protection ideal diode controller, active rectification</t>
  </si>
  <si>
    <t>Ideal diode &amp; ORing controllers</t>
  </si>
  <si>
    <t>Automotive</t>
  </si>
  <si>
    <t>WSON</t>
  </si>
  <si>
    <t>Functional Safety-Capable</t>
  </si>
  <si>
    <t>-40 to 125</t>
  </si>
  <si>
    <t>3 x 3</t>
  </si>
  <si>
    <t>ACTIVE</t>
  </si>
  <si>
    <t>2.7-V to 16-V, 10-A, 6-mΩ eFuse with transient overcurrent blanking timer</t>
  </si>
  <si>
    <t>eFuses (integrated hot swaps)</t>
  </si>
  <si>
    <t>Catalog</t>
  </si>
  <si>
    <t>VQFN-HR</t>
  </si>
  <si>
    <t/>
  </si>
  <si>
    <t>-40 to 125</t>
  </si>
  <si>
    <t>2 x 2</t>
  </si>
  <si>
    <t>ACTIVE</t>
  </si>
  <si>
    <t>400-mA, low input and output voltage, ultra-low dropout (LDO) voltage regulator</t>
  </si>
  <si>
    <t>Linear &amp; low-dropout (LDO) regulators</t>
  </si>
  <si>
    <t>Catalog</t>
  </si>
  <si>
    <t>DSBGA,WSON</t>
  </si>
  <si>
    <t/>
  </si>
  <si>
    <t>-40 to 125</t>
  </si>
  <si>
    <t>0.71,4</t>
  </si>
  <si>
    <t>0.71 x 1,2 x 2</t>
  </si>
  <si>
    <t>0.33,0.8</t>
  </si>
  <si>
    <t>0.35,0.65</t>
  </si>
  <si>
    <t>ACTIVE</t>
  </si>
  <si>
    <t>Automotive three-channel high-side LED driver with thermal sharing</t>
  </si>
  <si>
    <t>Automotive LED drivers</t>
  </si>
  <si>
    <t>Automotive</t>
  </si>
  <si>
    <t>Current Source</t>
  </si>
  <si>
    <t>HTSSOP</t>
  </si>
  <si>
    <t/>
  </si>
  <si>
    <t>-40 to 125</t>
  </si>
  <si>
    <t>5 x 6.4</t>
  </si>
  <si>
    <t>ACTIVE</t>
  </si>
  <si>
    <t>5.5-V buck-boost converter with 75-nA operating IQ in WCSP package</t>
  </si>
  <si>
    <t>AC/DC &amp; DC/DC converters (integrated FET)</t>
  </si>
  <si>
    <t>Catalog</t>
  </si>
  <si>
    <t>Buck-Boost</t>
  </si>
  <si>
    <t>DSBGA</t>
  </si>
  <si>
    <t/>
  </si>
  <si>
    <t>-40 to 125</t>
  </si>
  <si>
    <t>1.448 x 1.016</t>
  </si>
  <si>
    <t>ACTIVE</t>
  </si>
  <si>
    <t>Automotive PMIC for SoCs up to ASIL D with four 3A/12A multiphase buck converters</t>
  </si>
  <si>
    <t>Multi-channel ICs (PMICs)</t>
  </si>
  <si>
    <t>Automotive</t>
  </si>
  <si>
    <t>VQFN-HR</t>
  </si>
  <si>
    <t>Functional Safety-Compliant</t>
  </si>
  <si>
    <t>-40 to 125</t>
  </si>
  <si>
    <t>5.5 x 5</t>
  </si>
  <si>
    <t>ACTIVE</t>
  </si>
  <si>
    <t>Automotive, 2.75-V to 6-V, dual 1-A output, step-down converter with adjustable frequency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</si>
  <si>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</si>
  <si>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</si>
  <si>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</si>
  <si>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</si>
  <si>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</si>
  <si>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</si>
  <si>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2.7 x 2.3</t>
  </si>
  <si>
    <t>ACTIVE</t>
  </si>
  <si>
    <t>Automotive 2.75-V to 6-V, dual 2-A or 3-A and 1-A output, adjustable frequency,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</si>
  <si>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</si>
  <si>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</si>
  <si>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</si>
  <si>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</si>
  <si>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</si>
  <si>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</si>
  <si>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2.7 x 2.3</t>
  </si>
  <si>
    <t>ACTIVE</t>
  </si>
  <si>
    <t>SIMPLE SWITCHER&amp;reg; 4.5-V to 36-V, 3-A synchronous buck converter with 40-&amp;micro;A IQ</t>
  </si>
  <si>
    <t>AC/DC &amp; DC/DC converters (integrated FET)</t>
  </si>
  <si>
    <t>Catalog</t>
  </si>
  <si>
    <t>Buck</t>
  </si>
  <si>
    <t>SOT-23-THN</t>
  </si>
  <si>
    <t>Functional Safety-Capable</t>
  </si>
  <si>
    <t>-40 to 150</t>
  </si>
  <si>
    <t>2.9 x 2.8</t>
  </si>
  <si>
    <t>ACTIVE</t>
  </si>
  <si>
    <t>18-V PMIC with 3 buck converters and 1 LDO for camera modules up to ASIL B</t>
  </si>
  <si>
    <t>Multi-channel ICs (PMICs)</t>
  </si>
  <si>
    <t>Automotive</t>
  </si>
  <si>
    <t>VQFN</t>
  </si>
  <si>
    <t>Functional Safety-Compliant</t>
  </si>
  <si>
    <t>-40 to 125</t>
  </si>
  <si>
    <t>4 x 4</t>
  </si>
  <si>
    <t>ACTIVE</t>
  </si>
  <si>
    <t>1-A, ultra-low noise, ultra-high PSRR, RF voltage regulator</t>
  </si>
  <si>
    <t>Linear &amp; low-dropout (LDO) regulators</t>
  </si>
  <si>
    <t>Catalog</t>
  </si>
  <si>
    <t>WSON</t>
  </si>
  <si>
    <t/>
  </si>
  <si>
    <t>-40 to 125</t>
  </si>
  <si>
    <t>3 x 3</t>
  </si>
  <si>
    <t>ACTIVE</t>
  </si>
  <si>
    <t>2.7-V to 6-V, 3-A, adjustable-frequency, step-down converter in SOT-583 package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</si>
  <si>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</si>
  <si>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</si>
  <si>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</si>
  <si>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</si>
  <si>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</si>
  <si>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</si>
  <si>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</si>
  <si>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</si>
  <si>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Automotive 3-A synchronous buck LED driver</t>
  </si>
  <si>
    <t>Automotive LED drivers</t>
  </si>
  <si>
    <t>Automotive</t>
  </si>
  <si>
    <t>Buck</t>
  </si>
  <si>
    <t>HTSSOP</t>
  </si>
  <si>
    <t/>
  </si>
  <si>
    <t>-40 to 125</t>
  </si>
  <si>
    <t>5 x 6.4</t>
  </si>
  <si>
    <t>ACTIVE</t>
  </si>
  <si>
    <t>Automotive, 3.5-V to 42-V low-Iq, dual output, stackable synchronous buck DC-DC controller</t>
  </si>
  <si>
    <t>AC/DC &amp; DC/DC controllers (external FET)</t>
  </si>
  <si>
    <t>Automotive</t>
  </si>
  <si>
    <t>Buck Controller</t>
  </si>
  <si>
    <t>VQFN</t>
  </si>
  <si>
    <t>Functional Safety-Capable</t>
  </si>
  <si>
    <t>-40 to 150</t>
  </si>
  <si>
    <t>6 x 6</t>
  </si>
  <si>
    <t>ACTIVE</t>
  </si>
  <si>
    <t>Automotive, 3.5-V to 65-V low-IQ, dual output, stackable synchronous buck DC-DC controller</t>
  </si>
  <si>
    <t>AC/DC &amp; DC/DC controllers (external FET)</t>
  </si>
  <si>
    <t>Automotive</t>
  </si>
  <si>
    <t>Buck</t>
  </si>
  <si>
    <t>VQFN</t>
  </si>
  <si>
    <t>Functional Safety-Capable</t>
  </si>
  <si>
    <t>-40 to 150</t>
  </si>
  <si>
    <t>6 x 6</t>
  </si>
  <si>
    <t>ACTIVE</t>
  </si>
  <si>
    <t>3.6-V to 36-V input, 1-V to 6-V output, 2-A step-down module in 4-mm x 6-mm x 1.8-mm package</t>
  </si>
  <si>
    <t>Power modules (integrated inductor)</t>
  </si>
  <si>
    <t>Catalog</t>
  </si>
  <si>
    <t>Buck,Inverting Buck-Boost,Synchronous Buck</t>
  </si>
  <si>
    <t>B0QFN</t>
  </si>
  <si>
    <t/>
  </si>
  <si>
    <t>-40 to 125</t>
  </si>
  <si>
    <t>6 x 4</t>
  </si>
  <si>
    <t>ACTIVE</t>
  </si>
  <si>
    <t>3V to 36V input, 1V to 16V output, 2A step-down module in 4-mm x 6-mm x 1.8-mm package</t>
  </si>
  <si>
    <t>Power modules (integrated inductor)</t>
  </si>
  <si>
    <t>Catalog</t>
  </si>
  <si>
    <t>Buck,Inverting Buck-Boost,Synchronous Buck</t>
  </si>
  <si>
    <t>B0QFN</t>
  </si>
  <si>
    <t/>
  </si>
  <si>
    <t>-40 to 125</t>
  </si>
  <si>
    <t>6 x 4</t>
  </si>
  <si>
    <t>ACTIVE</t>
  </si>
  <si>
    <t>36-V, 3-A step-down power module in small 4-mm x 6-mm x 1.8-mm with -55°C extended temperature range</t>
  </si>
  <si>
    <t>Power modules (integrated inductor)</t>
  </si>
  <si>
    <t>Catalog</t>
  </si>
  <si>
    <t>Buck,Inverting Buck-Boost,Synchronous Buck</t>
  </si>
  <si>
    <t>B0QFN</t>
  </si>
  <si>
    <t/>
  </si>
  <si>
    <t>-55 to 125</t>
  </si>
  <si>
    <t>6 x 4</t>
  </si>
  <si>
    <t>ACTIVE</t>
  </si>
  <si>
    <t>Automotive multichannel window supervisor with high accuracy and compact form factor</t>
  </si>
  <si>
    <t>Reset &amp; watchdog ICs</t>
  </si>
  <si>
    <t>Automotive</t>
  </si>
  <si>
    <t>SOT-23-THN</t>
  </si>
  <si>
    <t>Functional Safety-Compliant</t>
  </si>
  <si>
    <t>-40 to 125</t>
  </si>
  <si>
    <t>2.9 x 2.8</t>
  </si>
  <si>
    <t>ACTIVE</t>
  </si>
  <si>
    <t>2.5V-to-5.5V input, 1A output step-down converter with forced pulse-width modulation</t>
  </si>
  <si>
    <t>AC/DC &amp; DC/DC converters (integrated FET)</t>
  </si>
  <si>
    <t>Catalog</t>
  </si>
  <si>
    <t>Buck</t>
  </si>
  <si>
    <t>SOT-23-THN,SOT-5X3</t>
  </si>
  <si>
    <t/>
  </si>
  <si>
    <t>-40 to 125</t>
  </si>
  <si>
    <t>2.56,8.12</t>
  </si>
  <si>
    <t>1.6 x 1.6,2.9 x 2.8</t>
  </si>
  <si>
    <t>0.6,1.1</t>
  </si>
  <si>
    <t>0.5,0.95</t>
  </si>
  <si>
    <t>ACTIVE</t>
  </si>
  <si>
    <t>600-V 50-mΩ GaN FET with integrated driver, protection and temperature reporting</t>
  </si>
  <si>
    <t>Gallium nitride (GaN) power stages</t>
  </si>
  <si>
    <t>Catalog</t>
  </si>
  <si>
    <t>VQFN</t>
  </si>
  <si>
    <t/>
  </si>
  <si>
    <t>-40 to 150</t>
  </si>
  <si>
    <t>12 x 12</t>
  </si>
  <si>
    <t>ACTIVE</t>
  </si>
  <si>
    <t>600-V 50-mΩ GaN FET with integrated driver, protection, temperature reporting and ideal diode mode</t>
  </si>
  <si>
    <t>Gallium nitride (GaN) power stages</t>
  </si>
  <si>
    <t>Catalog</t>
  </si>
  <si>
    <t>VQFN</t>
  </si>
  <si>
    <t/>
  </si>
  <si>
    <t>-40 to 150</t>
  </si>
  <si>
    <t>12 x 12</t>
  </si>
  <si>
    <t>ACTIVE</t>
  </si>
  <si>
    <t>3-V to 16-V input voltage, 4-A ECO mode, synchronous buck converter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</si>
  <si>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</si>
  <si>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</si>
  <si>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</si>
  <si>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</si>
  <si>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</si>
  <si>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</si>
  <si>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</si>
  <si>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</si>
  <si>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3-V to 16-V input voltage, 4-A FCCM mode, synchronous buck converter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</si>
  <si>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</si>
  <si>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</si>
  <si>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</si>
  <si>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</si>
  <si>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</si>
  <si>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</si>
  <si>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</si>
  <si>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</si>
  <si>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3-V to 16-V input voltage, 5-A ECO mode, synchronous buck converter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</si>
  <si>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</si>
  <si>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</si>
  <si>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</si>
  <si>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</si>
  <si>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</si>
  <si>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</si>
  <si>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</si>
  <si>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</si>
  <si>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3-V to 16-V input voltage, 5-A FCCM mode, synchronous buck converter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</si>
  <si>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</si>
  <si>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</si>
  <si>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</si>
  <si>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</si>
  <si>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</si>
  <si>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</si>
  <si>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</si>
  <si>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</si>
  <si>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Automotive reverse polarity protection controller, overvoltage protection, gate drive strength 60 μA</t>
  </si>
  <si>
    <t>Ideal diode &amp; ORing controllers</t>
  </si>
  <si>
    <t>Automotive</t>
  </si>
  <si>
    <t>SOT-23-THN</t>
  </si>
  <si>
    <t>Functional Safety-Capable</t>
  </si>
  <si>
    <t>-40 to 125</t>
  </si>
  <si>
    <t>2.9 x 2.8</t>
  </si>
  <si>
    <t>ACTIVE</t>
  </si>
  <si>
    <t>3.2-V to 65-V industrial RPP controller with load disconnect, OVP, and high gate drive</t>
  </si>
  <si>
    <t>Ideal diode &amp; ORing controllers</t>
  </si>
  <si>
    <t>Catalog</t>
  </si>
  <si>
    <t>SOT-23-THN</t>
  </si>
  <si>
    <t/>
  </si>
  <si>
    <t>-40 to 125</t>
  </si>
  <si>
    <t>2.9 x 2.8</t>
  </si>
  <si>
    <t>ACTIVE</t>
  </si>
  <si>
    <t>Automotive reverse polarity protection controller, overvoltage protection, gate drive strength 11 mA</t>
  </si>
  <si>
    <t>Ideal diode &amp; ORing controllers</t>
  </si>
  <si>
    <t>Automotive</t>
  </si>
  <si>
    <t>SOT-23-THN</t>
  </si>
  <si>
    <t>Functional Safety-Capable</t>
  </si>
  <si>
    <t>-40 to 125</t>
  </si>
  <si>
    <t>2.9 x 2.8</t>
  </si>
  <si>
    <t>ACTIVE</t>
  </si>
  <si>
    <t>3-V to 16-V input voltage, 6-A ECO mode, synchronous buck converter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</si>
  <si>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</si>
  <si>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</si>
  <si>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</si>
  <si>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</si>
  <si>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</si>
  <si>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</si>
  <si>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</si>
  <si>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</si>
  <si>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3-V to 16-V input voltage, 6-A FCCM mode, synchronous buck converter in SOT-563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</si>
  <si>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</si>
  <si>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</si>
  <si>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</si>
  <si>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</si>
  <si>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</si>
  <si>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</si>
  <si>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</si>
  <si>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</si>
  <si>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36-V input, 1-V to 6-V output, 4-A buck power module in 5-mm x 5.5-mm enhanced HotRod™ QFN</t>
  </si>
  <si>
    <t>Power modules (integrated inductor)</t>
  </si>
  <si>
    <t>Catalog</t>
  </si>
  <si>
    <t>Buck,Inverting Buck-Boost,Synchronous Buck</t>
  </si>
  <si>
    <t>B3QFN</t>
  </si>
  <si>
    <t>Functional Safety-Capable</t>
  </si>
  <si>
    <t>-40 to 125</t>
  </si>
  <si>
    <t>5.5 x 5</t>
  </si>
  <si>
    <t>ACTIVE</t>
  </si>
  <si>
    <t>36-V input, 1-V to 6-V output, 6-A buck power module in 5-mm x 5.5-mm enhanced HotRod™ QFN</t>
  </si>
  <si>
    <t>Power modules (integrated inductor)</t>
  </si>
  <si>
    <t>Catalog</t>
  </si>
  <si>
    <t>Buck,Inverting Buck-Boost,Synchronous Buck</t>
  </si>
  <si>
    <t>B3QFN</t>
  </si>
  <si>
    <t>Functional Safety-Capable</t>
  </si>
  <si>
    <t>-40 to 125</t>
  </si>
  <si>
    <t>5.5 x 5</t>
  </si>
  <si>
    <t>ACTIVE</t>
  </si>
  <si>
    <t>36-V input, 16-V output, 4-A synchronous step-down DC-DC power module</t>
  </si>
  <si>
    <t>Power modules (integrated inductor)</t>
  </si>
  <si>
    <t>Catalog</t>
  </si>
  <si>
    <t>Buck,Inverting Buck-Boost,Synchronous Buck</t>
  </si>
  <si>
    <t>B3QFN</t>
  </si>
  <si>
    <t>Functional Safety-Capable</t>
  </si>
  <si>
    <t>-40 to 125</t>
  </si>
  <si>
    <t>5.5 x 5</t>
  </si>
  <si>
    <t>ACTIVE</t>
  </si>
  <si>
    <t>High-density, 36-V input, 1-V to 16-V output, 6-A power module with -55°C enhanced temperature range</t>
  </si>
  <si>
    <t>Power modules (integrated inductor)</t>
  </si>
  <si>
    <t>Catalog</t>
  </si>
  <si>
    <t>Buck,Inverting Buck-Boost,Synchronous Buck</t>
  </si>
  <si>
    <t>B3QFN</t>
  </si>
  <si>
    <t>Functional Safety-Capable</t>
  </si>
  <si>
    <t>-55 to 125</t>
  </si>
  <si>
    <t>5.5 x 5</t>
  </si>
  <si>
    <t>ACTIVE</t>
  </si>
  <si>
    <t>Automotive 65-V overvoltage or undervoltage supervisor with sense, ultra-low IQ and delay</t>
  </si>
  <si>
    <t>Supply-voltage supervisors</t>
  </si>
  <si>
    <t>Automotive</t>
  </si>
  <si>
    <t>SOT-23-THN</t>
  </si>
  <si>
    <t>Functional Safety-Capable</t>
  </si>
  <si>
    <t>-40 to 125</t>
  </si>
  <si>
    <t>4.2 x 3.26</t>
  </si>
  <si>
    <t>ACTIVE</t>
  </si>
  <si>
    <t>Automotive 2.2 MHz wide VIN low IQ synchronous boost controller</t>
  </si>
  <si>
    <t>AC/DC &amp; DC/DC controllers (external FET)</t>
  </si>
  <si>
    <t>Automotive</t>
  </si>
  <si>
    <t>Boost</t>
  </si>
  <si>
    <t>VQFN</t>
  </si>
  <si>
    <t>Functional Safety-Capable</t>
  </si>
  <si>
    <t>-40 to 150</t>
  </si>
  <si>
    <t>3.5 x 3.5</t>
  </si>
  <si>
    <t>ACTIVE</t>
  </si>
  <si>
    <t>Automotive 2.2-MHz wide V&lt;sub&gt;IN&lt;/sub&gt; low IQ synchronous boost controller with disabled bypass mode</t>
  </si>
  <si>
    <t>AC/DC &amp; DC/DC controllers (external FET)</t>
  </si>
  <si>
    <t>Automotive</t>
  </si>
  <si>
    <t>Boost</t>
  </si>
  <si>
    <t>VQFN</t>
  </si>
  <si>
    <t>Functional Safety-Capable</t>
  </si>
  <si>
    <t>-40 to 150</t>
  </si>
  <si>
    <t>3.5 x 3.5</t>
  </si>
  <si>
    <t>ACTIVE</t>
  </si>
  <si>
    <t>65-V dual-channel supervisor with ultra-low quiescent current and time-delay function</t>
  </si>
  <si>
    <t>Supply-voltage supervisors</t>
  </si>
  <si>
    <t>Catalog</t>
  </si>
  <si>
    <t>WSON</t>
  </si>
  <si>
    <t>Functional Safety-Capable</t>
  </si>
  <si>
    <t>-40 to 125</t>
  </si>
  <si>
    <t>2.5 x 2.5</t>
  </si>
  <si>
    <t>ACTIVE</t>
  </si>
  <si>
    <t>Automotive four-channel high-side LED driver with thermal sharing</t>
  </si>
  <si>
    <t>Automotive LED drivers</t>
  </si>
  <si>
    <t>Automotive</t>
  </si>
  <si>
    <t>Current Source</t>
  </si>
  <si>
    <t>HTSSOP</t>
  </si>
  <si>
    <t/>
  </si>
  <si>
    <t>-40 to 125</t>
  </si>
  <si>
    <t>6.5 x 6.4</t>
  </si>
  <si>
    <t>ACTIVE</t>
  </si>
  <si>
    <t>48 × 16 LED matrix driver with 16-bits PWM dimming and ultra low power</t>
  </si>
  <si>
    <t>RGB LED drivers</t>
  </si>
  <si>
    <t>Catalog</t>
  </si>
  <si>
    <t>Linear</t>
  </si>
  <si>
    <t>NFBGA,VQFN</t>
  </si>
  <si>
    <t/>
  </si>
  <si>
    <t>-55 to 125</t>
  </si>
  <si>
    <t>76,96</t>
  </si>
  <si>
    <t>36,81</t>
  </si>
  <si>
    <t>6 x 6,9 x 9</t>
  </si>
  <si>
    <t>1,1.1</t>
  </si>
  <si>
    <t>0.4,0.5</t>
  </si>
  <si>
    <t>ACTIVE</t>
  </si>
  <si>
    <t>48 current sources, 64 scans, common cathode matrix LED display driver</t>
  </si>
  <si>
    <t>LED display drivers</t>
  </si>
  <si>
    <t>Catalog</t>
  </si>
  <si>
    <t>NFBGA,VQFN</t>
  </si>
  <si>
    <t/>
  </si>
  <si>
    <t>-40 to 85</t>
  </si>
  <si>
    <t>76,96</t>
  </si>
  <si>
    <t>36,81</t>
  </si>
  <si>
    <t>6 x 6,9 x 9</t>
  </si>
  <si>
    <t>1,1.1</t>
  </si>
  <si>
    <t>0.4,0.5</t>
  </si>
  <si>
    <t>ACTIVE</t>
  </si>
  <si>
    <t>Automotive 3-V to 17-V, 0.3-A, low-IQ, synchronous buck converter in SOT-583 package</t>
  </si>
  <si>
    <t>AC/DC &amp; DC/DC converters (integrated FET)</t>
  </si>
  <si>
    <t>Automotive</t>
  </si>
  <si>
    <t>Buck</t>
  </si>
  <si>
    <t>SOT-5X3</t>
  </si>
  <si>
    <t/>
  </si>
  <si>
    <t>-40 to 150</t>
  </si>
  <si>
    <t>2.1 x 1.6</t>
  </si>
  <si>
    <t>ACTIVE</t>
  </si>
  <si>
    <t>6-V to 100-V input, 3.5-A non-synchronous buck DC/DC converter with ultra-low quiescent current (IQ)</t>
  </si>
  <si>
    <t>AC/DC &amp; DC/DC converters (integrated FET)</t>
  </si>
  <si>
    <t>Automotive</t>
  </si>
  <si>
    <t>Buck</t>
  </si>
  <si>
    <t>HSOIC</t>
  </si>
  <si>
    <t>Functional Safety-Capable</t>
  </si>
  <si>
    <t>-40 to 150</t>
  </si>
  <si>
    <t>4.9 x 6</t>
  </si>
  <si>
    <t>ACTIVE</t>
  </si>
  <si>
    <t>Automotive, low IQ ideal diode controller with active rectification and load dump protection</t>
  </si>
  <si>
    <t>Ideal diode &amp; ORing controllers</t>
  </si>
  <si>
    <t>Automotive</t>
  </si>
  <si>
    <t>WSON</t>
  </si>
  <si>
    <t>Functional Safety-Capable</t>
  </si>
  <si>
    <t>-40 to 125</t>
  </si>
  <si>
    <t>3 x 3</t>
  </si>
  <si>
    <t>ACTIVE</t>
  </si>
  <si>
    <t>600-V 30-mΩ GaN FET with integrated driver, protection, temperature reporting and ideal diode mode</t>
  </si>
  <si>
    <t>Gallium nitride (GaN) power stages</t>
  </si>
  <si>
    <t>Catalog</t>
  </si>
  <si>
    <t>VQFN</t>
  </si>
  <si>
    <t/>
  </si>
  <si>
    <t>-40 to 150</t>
  </si>
  <si>
    <t>12 x 12</t>
  </si>
  <si>
    <t>ACTIVE</t>
  </si>
  <si>
    <t>Automotive 3-V to 36-V, 1-A, low-EMI&amp;nbsp;synchronous buck regulator with low IQ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</si>
  <si>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</si>
  <si>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</si>
  <si>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</si>
  <si>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</si>
  <si>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</si>
  <si>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</si>
  <si>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2 x 2</t>
  </si>
  <si>
    <t>ACTIVE</t>
  </si>
  <si>
    <t>2.5V-to-5.5V input, 1A output high-efficiency step-down converter</t>
  </si>
  <si>
    <t>AC/DC &amp; DC/DC converters (integrated FET)</t>
  </si>
  <si>
    <t>Catalog</t>
  </si>
  <si>
    <t>Buck</t>
  </si>
  <si>
    <t>SOT-23-THN,SOT-5X3</t>
  </si>
  <si>
    <t/>
  </si>
  <si>
    <t>-40 to 125</t>
  </si>
  <si>
    <t>2.56,8.12</t>
  </si>
  <si>
    <t>1.6 x 1.6,2.9 x 2.8</t>
  </si>
  <si>
    <t>0.6,1.1</t>
  </si>
  <si>
    <t>0.5,0.95</t>
  </si>
  <si>
    <t>ACTIVE</t>
  </si>
  <si>
    <t>3-V to 17-V, 0.3-A, low-IQ, synchronous buck converter in SOT-583 package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</si>
  <si>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</si>
  <si>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</si>
  <si>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</si>
  <si>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</si>
  <si>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</si>
  <si>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</si>
  <si>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</si>
  <si>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</si>
  <si>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3-V to 17-V, 0.6-A, low-IQ, synchronous buck converter in SOT-583 package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</si>
  <si>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</si>
  <si>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</si>
  <si>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</si>
  <si>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</si>
  <si>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</si>
  <si>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</si>
  <si>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</si>
  <si>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</si>
  <si>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Automotive 3-V to 17-V, 0.6-A, low-IQ, synchronous buck converter in SOT-583 package</t>
  </si>
  <si>
    <t>AC/DC &amp; DC/DC converters (integrated FET)</t>
  </si>
  <si>
    <t>Automotive</t>
  </si>
  <si>
    <t>Buck</t>
  </si>
  <si>
    <t>SOT-5X3</t>
  </si>
  <si>
    <t/>
  </si>
  <si>
    <t>-40 to 150</t>
  </si>
  <si>
    <t>2.1 x 1.6</t>
  </si>
  <si>
    <t>ACTIVE</t>
  </si>
  <si>
    <t>3-V to 17-V, 1-A, high-efficiency, synchronous buck converter with -55°C to 150°C temperature range</t>
  </si>
  <si>
    <t>AC/DC &amp; DC/DC converters (integrated FET)</t>
  </si>
  <si>
    <t>Automotive</t>
  </si>
  <si>
    <t>Buck</t>
  </si>
  <si>
    <t>SOT-5X3</t>
  </si>
  <si>
    <t/>
  </si>
  <si>
    <t>-55 to 150</t>
  </si>
  <si>
    <t>2.1 x 1.6</t>
  </si>
  <si>
    <t>ACTIVE</t>
  </si>
  <si>
    <t>Automotive 3-V to 10-V, 1-A, high-efficiency, low-IQ, synchronous buck converter in SOT-583 package</t>
  </si>
  <si>
    <t>AC/DC &amp; DC/DC converters (integrated FET)</t>
  </si>
  <si>
    <t>Automotive</t>
  </si>
  <si>
    <t>Buck</t>
  </si>
  <si>
    <t>SOT-5X3</t>
  </si>
  <si>
    <t>Functional Safety-Capable</t>
  </si>
  <si>
    <t>-40 to 150</t>
  </si>
  <si>
    <t>2.52,3.36</t>
  </si>
  <si>
    <t>2.1 x 1.2,2.1 x 1.6</t>
  </si>
  <si>
    <t>ACTIVE</t>
  </si>
  <si>
    <t>65-V overvoltage or undervoltage supervisor with sense, ultra-low quiescent current and delay</t>
  </si>
  <si>
    <t>Supply-voltage supervisors</t>
  </si>
  <si>
    <t>Catalog</t>
  </si>
  <si>
    <t>SOT-23-THN</t>
  </si>
  <si>
    <t>Functional Safety-Capable</t>
  </si>
  <si>
    <t>-40 to 125</t>
  </si>
  <si>
    <t>4.2 x 3.26</t>
  </si>
  <si>
    <t>ACTIVE</t>
  </si>
  <si>
    <t>3.5-V to 42-V, dual-output, stackable, synchronous buck DC/DC controller with ultra-low IQ</t>
  </si>
  <si>
    <t>AC/DC &amp; DC/DC controllers (external FET)</t>
  </si>
  <si>
    <t>Catalog</t>
  </si>
  <si>
    <t>Buck Controller</t>
  </si>
  <si>
    <t>VQFN</t>
  </si>
  <si>
    <t>Functional Safety-Capable</t>
  </si>
  <si>
    <t>-40 to 150</t>
  </si>
  <si>
    <t>6 x 6</t>
  </si>
  <si>
    <t>ACTIVE</t>
  </si>
  <si>
    <t>3.5-V to 65-V, dual-output, stackable, synchronous buck DC/DC controller with ultra-low IQ</t>
  </si>
  <si>
    <t>AC/DC &amp; DC/DC controllers (external FET)</t>
  </si>
  <si>
    <t>Catalog</t>
  </si>
  <si>
    <t>Buck</t>
  </si>
  <si>
    <t>VQFN</t>
  </si>
  <si>
    <t>Functional Safety-Capable</t>
  </si>
  <si>
    <t>-40 to 150</t>
  </si>
  <si>
    <t>6 x 6</t>
  </si>
  <si>
    <t>ACTIVE</t>
  </si>
  <si>
    <t>Automotive 1.5-V to 5.5-V, 1.5-A, 0.5-µA IQ ideal diode with integrated FET</t>
  </si>
  <si>
    <t>Ideal diode &amp; ORing controllers</t>
  </si>
  <si>
    <t>Automotive</t>
  </si>
  <si>
    <t>SOT-SC70</t>
  </si>
  <si>
    <t/>
  </si>
  <si>
    <t>-40 to 125</t>
  </si>
  <si>
    <t>2 x 2.1</t>
  </si>
  <si>
    <t>ACTIVE</t>
  </si>
  <si>
    <t>4 5-A/20-A multiphase buck converters PMIC for automotive SoCs</t>
  </si>
  <si>
    <t>Multi-channel ICs (PMICs)</t>
  </si>
  <si>
    <t>Automotive</t>
  </si>
  <si>
    <t>VQFN-HR</t>
  </si>
  <si>
    <t>Functional Safety-Compliant</t>
  </si>
  <si>
    <t>-40 to 125</t>
  </si>
  <si>
    <t>5.5 x 5</t>
  </si>
  <si>
    <t>ACTIVE</t>
  </si>
  <si>
    <t>Automotive 3.2-V to 65-V reverse polarity protection controller with integrated VDS clamp</t>
  </si>
  <si>
    <t>Ideal diode &amp; ORing controllers</t>
  </si>
  <si>
    <t>Automotive</t>
  </si>
  <si>
    <t>SOT-23-THN</t>
  </si>
  <si>
    <t>Functional Safety-Capable</t>
  </si>
  <si>
    <t>-40 to 125</t>
  </si>
  <si>
    <t>2.9 x 2.8</t>
  </si>
  <si>
    <t>ACTIVE</t>
  </si>
  <si>
    <t>3.8-V to 30-V input, 2-A, 200-kHz to 2.2-MHz, low-IQ synchronous buck converter in SOT-583 package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</si>
  <si>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</si>
  <si>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</si>
  <si>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</si>
  <si>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</si>
  <si>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</si>
  <si>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</si>
  <si>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</si>
  <si>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</si>
  <si>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2.4-V to 5.5-V input, 1-A step-down converter with 1% accuracy in 1.5-mm x 1.5-mm QFN</t>
  </si>
  <si>
    <t>AC/DC &amp; DC/DC converters (integrated FET)</t>
  </si>
  <si>
    <t>Catalog</t>
  </si>
  <si>
    <t>Buck</t>
  </si>
  <si>
    <t>VSON-HR</t>
  </si>
  <si>
    <t/>
  </si>
  <si>
    <t>-40 to 125</t>
  </si>
  <si>
    <t>1.5 x 1.5</t>
  </si>
  <si>
    <t>ACTIVE</t>
  </si>
  <si>
    <t>Radiation-hardened, QMLV and QMLP 2-MHz dual-output PWM controller with synchronous rectification</t>
  </si>
  <si>
    <t>AC/DC &amp; DC/DC controllers (external FET)</t>
  </si>
  <si>
    <t>Space</t>
  </si>
  <si>
    <t>Active clamp,Boost,Buck,Flyback,Forward,Full bridge,Half bridge,Push pull</t>
  </si>
  <si>
    <t>CFP,DIESALE,TSSOP</t>
  </si>
  <si>
    <t/>
  </si>
  <si>
    <t>-55 to 125</t>
  </si>
  <si>
    <t>0,22,24</t>
  </si>
  <si>
    <t>49.92,60.221856,See data sheet</t>
  </si>
  <si>
    <t>6.211 x 9.696,7.8 x 6.4,See data sheet</t>
  </si>
  <si>
    <t>1.2,2.428,—</t>
  </si>
  <si>
    <t>0.635,0.65,—</t>
  </si>
  <si>
    <t>ACTIVE</t>
  </si>
  <si>
    <t>High-density, 3-V to 36-V input, 1-V to 6-V output, 3-A step-down power module</t>
  </si>
  <si>
    <t>Power modules (integrated inductor)</t>
  </si>
  <si>
    <t>Catalog</t>
  </si>
  <si>
    <t>Buck,Inverting Buck-Boost,Synchronous Buck</t>
  </si>
  <si>
    <t>B0QFN</t>
  </si>
  <si>
    <t/>
  </si>
  <si>
    <t>-40 to 125</t>
  </si>
  <si>
    <t>6 x 4</t>
  </si>
  <si>
    <t>ACTIVE</t>
  </si>
  <si>
    <t>Radiation-tolerant, 3-V to 7-V, 18-A, synchronous step-down converter in space-enhanced plastic</t>
  </si>
  <si>
    <t>AC/DC &amp; DC/DC converters (integrated FET)</t>
  </si>
  <si>
    <t>Space</t>
  </si>
  <si>
    <t>Buck</t>
  </si>
  <si>
    <t>HTSSOP</t>
  </si>
  <si>
    <t/>
  </si>
  <si>
    <t>-55 to 125</t>
  </si>
  <si>
    <t>14 x 8.1</t>
  </si>
  <si>
    <t>ACTIVE</t>
  </si>
  <si>
    <t>SIMPLE SWITCHER® 80-V, 1.0-A, 2.2-MHz step-down converter with 40-µA IQ</t>
  </si>
  <si>
    <t>AC/DC &amp; DC/DC converters (integrated FET)</t>
  </si>
  <si>
    <t>Catalog</t>
  </si>
  <si>
    <t>Buck</t>
  </si>
  <si>
    <t>HSOIC</t>
  </si>
  <si>
    <t>Functional Safety-Capable</t>
  </si>
  <si>
    <t>-40 to 150</t>
  </si>
  <si>
    <t>4.9 x 6</t>
  </si>
  <si>
    <t>ACTIVE</t>
  </si>
  <si>
    <t>3-A, 120-V half bridge gate driver with 5-V UVLO and enable</t>
  </si>
  <si>
    <t>Half-bridge drivers</t>
  </si>
  <si>
    <t>Catalog</t>
  </si>
  <si>
    <t>VSON</t>
  </si>
  <si>
    <t/>
  </si>
  <si>
    <t>-40 to 125</t>
  </si>
  <si>
    <t>8,10</t>
  </si>
  <si>
    <t>9,16</t>
  </si>
  <si>
    <t>3 x 3,4 x 4</t>
  </si>
  <si>
    <t>0.5,0.8</t>
  </si>
  <si>
    <t>ACTIVE</t>
  </si>
  <si>
    <t>3-V to 17-V, 1-A, high-efficiency, low-IQ, synchronous buck converter in SOT-583 package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</si>
  <si>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</si>
  <si>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</si>
  <si>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</si>
  <si>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</si>
  <si>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</si>
  <si>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</si>
  <si>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</si>
  <si>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</si>
  <si>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4.5-V to 15-V input, dual 6-A, single 12-A, output power module with -55°C operating temperature</t>
  </si>
  <si>
    <t>Power modules (integrated inductor)</t>
  </si>
  <si>
    <t>Catalog</t>
  </si>
  <si>
    <t>Synchronous Buck</t>
  </si>
  <si>
    <t>B0QFN</t>
  </si>
  <si>
    <t/>
  </si>
  <si>
    <t>-55 to 125</t>
  </si>
  <si>
    <t>8 x 5.5</t>
  </si>
  <si>
    <t>ACTIVE</t>
  </si>
  <si>
    <t>18-channel RGB LED driver with 8-bit analog and 8-/16-bit PWM dimming</t>
  </si>
  <si>
    <t>RGB LED drivers</t>
  </si>
  <si>
    <t>Catalog</t>
  </si>
  <si>
    <t>Linear</t>
  </si>
  <si>
    <t>VQFN</t>
  </si>
  <si>
    <t/>
  </si>
  <si>
    <t>-40 to 85</t>
  </si>
  <si>
    <t>4 x 4</t>
  </si>
  <si>
    <t>ACTIVE</t>
  </si>
  <si>
    <t>2 × 18 LED matrix driver with 8-bit analog and 8-/16-bit PWM dimming</t>
  </si>
  <si>
    <t>RGB LED drivers</t>
  </si>
  <si>
    <t>Catalog</t>
  </si>
  <si>
    <t>Linear</t>
  </si>
  <si>
    <t>TSSOP,VQFN</t>
  </si>
  <si>
    <t/>
  </si>
  <si>
    <t>-40 to 85</t>
  </si>
  <si>
    <t>32,38</t>
  </si>
  <si>
    <t>16,62.08</t>
  </si>
  <si>
    <t>4 x 4,9.7 x 6.4</t>
  </si>
  <si>
    <t>1,1.2</t>
  </si>
  <si>
    <t>0.4,0.5</t>
  </si>
  <si>
    <t>ACTIVE</t>
  </si>
  <si>
    <t>4 × 18 LED matrix driver with 8-bit analog and 8-/16-bit PWM dimming</t>
  </si>
  <si>
    <t>RGB LED drivers</t>
  </si>
  <si>
    <t>Catalog</t>
  </si>
  <si>
    <t>Linear</t>
  </si>
  <si>
    <t>VQFN</t>
  </si>
  <si>
    <t/>
  </si>
  <si>
    <t>-55 to 125</t>
  </si>
  <si>
    <t>4 x 4</t>
  </si>
  <si>
    <t>ACTIVE</t>
  </si>
  <si>
    <t>1.5-A output current, high-power-density buck-boost converter</t>
  </si>
  <si>
    <t>AC/DC &amp; DC/DC converters (integrated FET)</t>
  </si>
  <si>
    <t>Catalog</t>
  </si>
  <si>
    <t>Buck-Boost</t>
  </si>
  <si>
    <t>SOT-5X3</t>
  </si>
  <si>
    <t/>
  </si>
  <si>
    <t>-40 to 125</t>
  </si>
  <si>
    <t>2.1 x 1.6</t>
  </si>
  <si>
    <t>ACTIVE</t>
  </si>
  <si>
    <t>4V to 36V, 0.6A, 80-µA Iq synchronous buck SIMPLE SWITCHER® power converter</t>
  </si>
  <si>
    <t>AC/DC &amp; DC/DC converters (integrated FET)</t>
  </si>
  <si>
    <t>Catalog</t>
  </si>
  <si>
    <t>Buck</t>
  </si>
  <si>
    <t>SOT-23</t>
  </si>
  <si>
    <t/>
  </si>
  <si>
    <t>-40 to 150</t>
  </si>
  <si>
    <t>2.9 x 2.8</t>
  </si>
  <si>
    <t>ACTIVE</t>
  </si>
  <si>
    <t>Automotive low-drift, low-power, series voltage reference</t>
  </si>
  <si>
    <t>Series voltage references</t>
  </si>
  <si>
    <t>Automotive</t>
  </si>
  <si>
    <t>SOT-23-THN</t>
  </si>
  <si>
    <t>Functional Safety-Capable</t>
  </si>
  <si>
    <t>-40 to 125</t>
  </si>
  <si>
    <t>2.9 x 2.8</t>
  </si>
  <si>
    <t>ACTIVE</t>
  </si>
  <si>
    <t>500mA, low-noise ultra-low-IQ high-PSRR low-dropout (LDO) voltage regulator</t>
  </si>
  <si>
    <t>Linear &amp; low-dropout (LDO) regulators</t>
  </si>
  <si>
    <t>Catalog</t>
  </si>
  <si>
    <t>POWERWCSP</t>
  </si>
  <si>
    <t/>
  </si>
  <si>
    <t>-40 to 125</t>
  </si>
  <si>
    <t>See data sheet</t>
  </si>
  <si>
    <t>See data sheet</t>
  </si>
  <si>
    <t>—</t>
  </si>
  <si>
    <t>—</t>
  </si>
  <si>
    <t>ACTIVE</t>
  </si>
  <si>
    <t>5.5V 6A 8.7mΩ load switch with adjustable rise time and adjustable output discharge</t>
  </si>
  <si>
    <t>Load switches</t>
  </si>
  <si>
    <t>Catalog</t>
  </si>
  <si>
    <t>WQFN-HR</t>
  </si>
  <si>
    <t/>
  </si>
  <si>
    <t>-40 to 125</t>
  </si>
  <si>
    <t>1.5625,1.875</t>
  </si>
  <si>
    <t>1.25 x 1.25,1.5 x 1.25</t>
  </si>
  <si>
    <t>0.4,0.5</t>
  </si>
  <si>
    <t>ACTIVE</t>
  </si>
  <si>
    <t>3.2-V to 65-V industrial RPP controller with load disconnect and OVP</t>
  </si>
  <si>
    <t>Ideal diode &amp; ORing controllers</t>
  </si>
  <si>
    <t>Catalog</t>
  </si>
  <si>
    <t>SOT-23-THN</t>
  </si>
  <si>
    <t/>
  </si>
  <si>
    <t>-40 to 125</t>
  </si>
  <si>
    <t>2.9 x 2.8</t>
  </si>
  <si>
    <t>ACTIVE</t>
  </si>
  <si>
    <t>2.7-V–23-V, 7-A, 9.8-mΩ eFuse with accurate current monitor and transient overcurrent blanking</t>
  </si>
  <si>
    <t>eFuses (integrated hot swaps)</t>
  </si>
  <si>
    <t>Catalog</t>
  </si>
  <si>
    <t>VQFN-HR</t>
  </si>
  <si>
    <t/>
  </si>
  <si>
    <t>-40 to 125</t>
  </si>
  <si>
    <t>2 x 2</t>
  </si>
  <si>
    <t>ACTIVE</t>
  </si>
  <si>
    <t>2.75-V to 6-V, 4-A step-down converter in a 2-mm x 3-mm QFN package with -55C extended temperature</t>
  </si>
  <si>
    <t>AC/DC &amp; DC/DC converters (integrated FET)</t>
  </si>
  <si>
    <t>Catalog</t>
  </si>
  <si>
    <t>Buck,Step-Down Converter,Synchronous Buck</t>
  </si>
  <si>
    <t>VQFN-HR</t>
  </si>
  <si>
    <t>Functional Safety-Capable</t>
  </si>
  <si>
    <t>-55 to 150</t>
  </si>
  <si>
    <t>3 x 2</t>
  </si>
  <si>
    <t>ACTIVE</t>
  </si>
  <si>
    <t>2.75-V to 6-V, 2-A step-down converter in a 2-mm x 3-mm QFN package with -55C extended temperature</t>
  </si>
  <si>
    <t>AC/DC &amp; DC/DC converters (integrated FET)</t>
  </si>
  <si>
    <t>Catalog</t>
  </si>
  <si>
    <t>Buck</t>
  </si>
  <si>
    <t>VQFN-HR</t>
  </si>
  <si>
    <t>Functional Safety-Capable</t>
  </si>
  <si>
    <t>-55 to 150</t>
  </si>
  <si>
    <t>3 x 2</t>
  </si>
  <si>
    <t>ACTIVE</t>
  </si>
  <si>
    <t>2.95-V to 16-V input, dual 35-A, PMBus® power module</t>
  </si>
  <si>
    <t>Power modules (integrated inductor)</t>
  </si>
  <si>
    <t>Catalog</t>
  </si>
  <si>
    <t>Buck</t>
  </si>
  <si>
    <t>QFM</t>
  </si>
  <si>
    <t/>
  </si>
  <si>
    <t>-40 to 125</t>
  </si>
  <si>
    <t>16 x 20</t>
  </si>
  <si>
    <t>ACTIVE</t>
  </si>
  <si>
    <t>5.5-V, 10-A, 4-m&amp;Omega;&amp;nbsp;On-Resistance load switch</t>
  </si>
  <si>
    <t>Load switches</t>
  </si>
  <si>
    <t>Catalog</t>
  </si>
  <si>
    <t>WQFN-HR</t>
  </si>
  <si>
    <t/>
  </si>
  <si>
    <t>-40 to 105</t>
  </si>
  <si>
    <t>2 x 1.5</t>
  </si>
  <si>
    <t>ACTIVE</t>
  </si>
  <si>
    <t>65-V window supervisor with ultra-low quiescent current and time-delay function</t>
  </si>
  <si>
    <t>Supply-voltage supervisors</t>
  </si>
  <si>
    <t>Catalog</t>
  </si>
  <si>
    <t>WSON</t>
  </si>
  <si>
    <t>Functional Safety-Capable</t>
  </si>
  <si>
    <t>-40 to 125</t>
  </si>
  <si>
    <t>2.5 x 2.5</t>
  </si>
  <si>
    <t>ACTIVE</t>
  </si>
  <si>
    <t>Automotive 65-V window supervisor with ultra-low quiescent current and time-delay function</t>
  </si>
  <si>
    <t>Supply-voltage supervisors</t>
  </si>
  <si>
    <t>Automotive</t>
  </si>
  <si>
    <t>SOT-23-THN,WSON</t>
  </si>
  <si>
    <t>Functional Safety-Capable</t>
  </si>
  <si>
    <t>-40 to 125</t>
  </si>
  <si>
    <t>10,14</t>
  </si>
  <si>
    <t>6.25,13.692</t>
  </si>
  <si>
    <t>2.5 x 2.5,4.2 x 3.26</t>
  </si>
  <si>
    <t>0.8,1.1</t>
  </si>
  <si>
    <t>ACTIVE</t>
  </si>
  <si>
    <t>Automotive 2.75-V to 6-V, 6-A step-down converter in 2-mm x 3-mm wettable-flanks QFN package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</si>
  <si>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</si>
  <si>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</si>
  <si>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</si>
  <si>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</si>
  <si>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</si>
  <si>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</si>
  <si>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</si>
  <si>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</si>
  <si>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2.2MHz wide VIN low IQ synchronous boost controller</t>
  </si>
  <si>
    <t>AC/DC &amp; DC/DC controllers (external FET)</t>
  </si>
  <si>
    <t>Automotive</t>
  </si>
  <si>
    <t>Boost</t>
  </si>
  <si>
    <t>VQFN</t>
  </si>
  <si>
    <t>Functional Safety-Capable</t>
  </si>
  <si>
    <t>-40 to 150</t>
  </si>
  <si>
    <t>3.5 x 3.5</t>
  </si>
  <si>
    <t>ACTIVE</t>
  </si>
  <si>
    <t>36-V, 45-mΩ, 3-A, 2-ch, Industrial high-side switch with adjustable current limit</t>
  </si>
  <si>
    <t>High-side switches</t>
  </si>
  <si>
    <t>Catalog</t>
  </si>
  <si>
    <t>VQFN</t>
  </si>
  <si>
    <t>Functional Safety-Capable</t>
  </si>
  <si>
    <t>-40 to 125</t>
  </si>
  <si>
    <t>5 x 4</t>
  </si>
  <si>
    <t>ACTIVE</t>
  </si>
  <si>
    <t>300-mA, low input and output voltage, ultra-low-dropout (LDO) voltage regulator</t>
  </si>
  <si>
    <t>Linear &amp; low-dropout (LDO) regulators</t>
  </si>
  <si>
    <t>Catalog</t>
  </si>
  <si>
    <t>DSBGA</t>
  </si>
  <si>
    <t/>
  </si>
  <si>
    <t>-40 to 125</t>
  </si>
  <si>
    <t>0.71 x 1</t>
  </si>
  <si>
    <t>ACTIVE</t>
  </si>
  <si>
    <t>2.4-V to 5.5-V Input, 4-A thin step-down power module with integrated inductor in 3.5-mm x 4-mm QFN</t>
  </si>
  <si>
    <t>Power modules (integrated inductor)</t>
  </si>
  <si>
    <t>Catalog</t>
  </si>
  <si>
    <t>Buck,Step-Down Converter,Synchronous Buck</t>
  </si>
  <si>
    <t>B0QFN</t>
  </si>
  <si>
    <t/>
  </si>
  <si>
    <t>-40 to 125</t>
  </si>
  <si>
    <t>3.5 x 4</t>
  </si>
  <si>
    <t>1.45,1.8</t>
  </si>
  <si>
    <t>ACTIVE</t>
  </si>
  <si>
    <t>2.4V to 5.5V input 6A step-down power module with integrated inductor</t>
  </si>
  <si>
    <t>Power modules (integrated inductor)</t>
  </si>
  <si>
    <t>Catalog</t>
  </si>
  <si>
    <t>Buck,Step-Down Converter,Synchronous Buck</t>
  </si>
  <si>
    <t>B0QFN,QFN-FCMOD</t>
  </si>
  <si>
    <t/>
  </si>
  <si>
    <t>-40 to 125</t>
  </si>
  <si>
    <t>15,23</t>
  </si>
  <si>
    <t>6.9,14</t>
  </si>
  <si>
    <t>2.3 x 3,3.5 x 4</t>
  </si>
  <si>
    <t>1.45,1.8,2</t>
  </si>
  <si>
    <t>ACTIVE</t>
  </si>
  <si>
    <t>Automotive 3.2-V to 65-V reverse battery protection ideal diode controller with integrated VDS clamp</t>
  </si>
  <si>
    <t>Ideal diode &amp; ORing controllers</t>
  </si>
  <si>
    <t>Automotive</t>
  </si>
  <si>
    <t>SOT-23-THN</t>
  </si>
  <si>
    <t>Functional Safety-Capable</t>
  </si>
  <si>
    <t>-40 to 125</t>
  </si>
  <si>
    <t>2.9 x 2.8</t>
  </si>
  <si>
    <t>ACTIVE</t>
  </si>
  <si>
    <t>Dual-channel, 12 phase step-down, digital multiphase D-CAP+™ controller with VR14 SVID and PMBus</t>
  </si>
  <si>
    <t>AC/DC &amp; DC/DC controllers (external FET)</t>
  </si>
  <si>
    <t>Catalog</t>
  </si>
  <si>
    <t>Multiphase</t>
  </si>
  <si>
    <t>VQFN</t>
  </si>
  <si>
    <t/>
  </si>
  <si>
    <t>-40 to 125</t>
  </si>
  <si>
    <t>6 x 6</t>
  </si>
  <si>
    <t>ACTIVE</t>
  </si>
  <si>
    <t>1-A, low input and output voltage, ultra-low-dropout (LDO) voltage regulator</t>
  </si>
  <si>
    <t>Linear &amp; low-dropout (LDO) regulators</t>
  </si>
  <si>
    <t>Catalog</t>
  </si>
  <si>
    <t>DSBGA,WSON</t>
  </si>
  <si>
    <t/>
  </si>
  <si>
    <t>-40 to 125</t>
  </si>
  <si>
    <t>0.8236,4</t>
  </si>
  <si>
    <t>1.16 x 0.71,2 x 2</t>
  </si>
  <si>
    <t>0.33,0.8</t>
  </si>
  <si>
    <t>0.4,0.65</t>
  </si>
  <si>
    <t>ACTIVE</t>
  </si>
  <si>
    <t>Automotive, 100-mΩ, 2.5-A, one-channel smart high-side switch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</si>
  <si>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</si>
  <si>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</si>
  <si>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</si>
  <si>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</si>
  <si>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</si>
  <si>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</si>
  <si>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</si>
  <si>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Automotive 65-V dual-channel supervisor with ultra-low quiescent current and time-delay function</t>
  </si>
  <si>
    <t>Supply-voltage supervisors</t>
  </si>
  <si>
    <t>Automotive</t>
  </si>
  <si>
    <t>SOT-23-THN,WSON</t>
  </si>
  <si>
    <t>Functional Safety-Capable</t>
  </si>
  <si>
    <t>-40 to 125</t>
  </si>
  <si>
    <t>10,14</t>
  </si>
  <si>
    <t>6.25,13.692</t>
  </si>
  <si>
    <t>2.5 x 2.5,4.2 x 3.26</t>
  </si>
  <si>
    <t>0.8,1.1</t>
  </si>
  <si>
    <t>ACTIVE</t>
  </si>
  <si>
    <t>42-V synchronous buck DC/DC controller with ultra-low IQ</t>
  </si>
  <si>
    <t>AC/DC &amp; DC/DC controllers (external FET)</t>
  </si>
  <si>
    <t>Catalog</t>
  </si>
  <si>
    <t>Buck Controller</t>
  </si>
  <si>
    <t>VQFN</t>
  </si>
  <si>
    <t/>
  </si>
  <si>
    <t>-40 to 150</t>
  </si>
  <si>
    <t>5.5 x 3.5</t>
  </si>
  <si>
    <t>ACTIVE</t>
  </si>
  <si>
    <t>42-V synchronous buck DC/DC controller with ultra-low IQ and integrated active EMI filter</t>
  </si>
  <si>
    <t>AC/DC &amp; DC/DC controllers (external FET)</t>
  </si>
  <si>
    <t>Catalog</t>
  </si>
  <si>
    <t>Buck Controller</t>
  </si>
  <si>
    <t>VQFN</t>
  </si>
  <si>
    <t/>
  </si>
  <si>
    <t>-40 to 150</t>
  </si>
  <si>
    <t>5.5 x 3.5</t>
  </si>
  <si>
    <t>ACTIVE</t>
  </si>
  <si>
    <t>11 &amp;times; 18 LED matrix driver with 8-bit analog and 8-/16-bit PWM dimming</t>
  </si>
  <si>
    <t>RGB LED drivers</t>
  </si>
  <si>
    <t>Catalog</t>
  </si>
  <si>
    <t>Linear</t>
  </si>
  <si>
    <t>VQFN</t>
  </si>
  <si>
    <t/>
  </si>
  <si>
    <t>-55 to 125</t>
  </si>
  <si>
    <t>5 x 5</t>
  </si>
  <si>
    <t>ACTIVE</t>
  </si>
  <si>
    <t>6 × 18 LED matrix driver with 8-bit analog and 8-/16-bit PWM dimming</t>
  </si>
  <si>
    <t>RGB LED drivers</t>
  </si>
  <si>
    <t>Catalog</t>
  </si>
  <si>
    <t>Linear</t>
  </si>
  <si>
    <t>TSSOP,VQFN</t>
  </si>
  <si>
    <t/>
  </si>
  <si>
    <t>-55 to 125</t>
  </si>
  <si>
    <t>38,40</t>
  </si>
  <si>
    <t>25,62.08</t>
  </si>
  <si>
    <t>5 x 5,9.7 x 6.4</t>
  </si>
  <si>
    <t>1,1.2</t>
  </si>
  <si>
    <t>0.4,0.5</t>
  </si>
  <si>
    <t>ACTIVE</t>
  </si>
  <si>
    <t>8 × 18 LED matrix driver with 8-bit analog and 8-/16-bit PWM dimming</t>
  </si>
  <si>
    <t>RGB LED drivers</t>
  </si>
  <si>
    <t>Catalog</t>
  </si>
  <si>
    <t>Linear</t>
  </si>
  <si>
    <t>VQFN</t>
  </si>
  <si>
    <t/>
  </si>
  <si>
    <t>-40 to 85</t>
  </si>
  <si>
    <t>5 x 5</t>
  </si>
  <si>
    <t>ACTIVE</t>
  </si>
  <si>
    <t>65-A peak continuous current synchronous buck NexFET™ power stage</t>
  </si>
  <si>
    <t>Si power stages</t>
  </si>
  <si>
    <t>Catalog</t>
  </si>
  <si>
    <t>Multiphase</t>
  </si>
  <si>
    <t>VQFN-CLIP</t>
  </si>
  <si>
    <t/>
  </si>
  <si>
    <t>-40 to 125</t>
  </si>
  <si>
    <t>6 x 5</t>
  </si>
  <si>
    <t>ACTIVE</t>
  </si>
  <si>
    <t>Automotive, 3-V to 36-V, 2-A low-EMI synchronous buck regulator with low IQ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</si>
  <si>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</si>
  <si>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</si>
  <si>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</si>
  <si>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</si>
  <si>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</si>
  <si>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</si>
  <si>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2 x 2</t>
  </si>
  <si>
    <t>ACTIVE</t>
  </si>
  <si>
    <t>High-density, 36-V input, 1-V to 16-V output, 6-A power module in 5-mm x 5.5-mm enhanced HotRod™ QFN</t>
  </si>
  <si>
    <t>Power modules (integrated inductor)</t>
  </si>
  <si>
    <t>Catalog</t>
  </si>
  <si>
    <t>Buck,Inverting Buck-Boost,Synchronous Buck</t>
  </si>
  <si>
    <t>B3QFN</t>
  </si>
  <si>
    <t>Functional Safety-Capable</t>
  </si>
  <si>
    <t>-40 to 125</t>
  </si>
  <si>
    <t>5.5 x 5</t>
  </si>
  <si>
    <t>ACTIVE</t>
  </si>
  <si>
    <t>2.7-V to 16-V input, 12-A buck power module with differential remote sense</t>
  </si>
  <si>
    <t>Power modules (integrated inductor)</t>
  </si>
  <si>
    <t>Catalog</t>
  </si>
  <si>
    <t>Buck</t>
  </si>
  <si>
    <t>B3QFN</t>
  </si>
  <si>
    <t/>
  </si>
  <si>
    <t>-40 to 125</t>
  </si>
  <si>
    <t>7.5 x 6.5</t>
  </si>
  <si>
    <t>ACTIVE</t>
  </si>
  <si>
    <t>2.7-V to 16-V input, 15-A buck power module with differential remote sense</t>
  </si>
  <si>
    <t>Power modules (integrated inductor)</t>
  </si>
  <si>
    <t>Catalog</t>
  </si>
  <si>
    <t>Buck</t>
  </si>
  <si>
    <t>B3QFN</t>
  </si>
  <si>
    <t/>
  </si>
  <si>
    <t>-40 to 125</t>
  </si>
  <si>
    <t>7.5 x 6.5</t>
  </si>
  <si>
    <t>ACTIVE</t>
  </si>
  <si>
    <t>3.8-V to 30-V, 3-A, 200-kHz to 2.2-MHz, low-IQ synchronous buck converter in SOT-583 package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</si>
  <si>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</si>
  <si>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</si>
  <si>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</si>
  <si>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</si>
  <si>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</si>
  <si>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</si>
  <si>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</si>
  <si>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</si>
  <si>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Radiation-tolerant, -3-V to -16.5-V input, 1-A, negative linear regulator in space-enhanced plastic</t>
  </si>
  <si>
    <t>Linear &amp; low-dropout (LDO) regulators</t>
  </si>
  <si>
    <t>Space</t>
  </si>
  <si>
    <t>VQFN</t>
  </si>
  <si>
    <t/>
  </si>
  <si>
    <t>-55 to 125</t>
  </si>
  <si>
    <t>5 x 5</t>
  </si>
  <si>
    <t>ACTIVE</t>
  </si>
  <si>
    <t>Automotive 2-A dual synchronous buck LED driver</t>
  </si>
  <si>
    <t>Automotive LED drivers</t>
  </si>
  <si>
    <t>Automotive</t>
  </si>
  <si>
    <t>Buck</t>
  </si>
  <si>
    <t>HTSSOP</t>
  </si>
  <si>
    <t/>
  </si>
  <si>
    <t>125 to -40</t>
  </si>
  <si>
    <t>11 x 8.1</t>
  </si>
  <si>
    <t>ACTIVE</t>
  </si>
  <si>
    <t>5A/5A dual-channel gate driver with 4V UVLO, 30V VDD and low propagation delay</t>
  </si>
  <si>
    <t>Low-side drivers</t>
  </si>
  <si>
    <t>Catalog</t>
  </si>
  <si>
    <t>HVSSOP,SOIC,WSON</t>
  </si>
  <si>
    <t/>
  </si>
  <si>
    <t>-40 to 150</t>
  </si>
  <si>
    <t>9,14.7,29.4</t>
  </si>
  <si>
    <t>3 x 3,3 x 4.9,4.9 x 6</t>
  </si>
  <si>
    <t>0.8,1.1,1.75</t>
  </si>
  <si>
    <t>0.65,1.27</t>
  </si>
  <si>
    <t>ACTIVE</t>
  </si>
  <si>
    <t>High-density, zero-voltage switching (ZVS) flyback controller with integrated SR control</t>
  </si>
  <si>
    <t>AC/DC &amp; DC/DC controllers (external FET)</t>
  </si>
  <si>
    <t>Catalog</t>
  </si>
  <si>
    <t>Flyback</t>
  </si>
  <si>
    <t>WQFN</t>
  </si>
  <si>
    <t/>
  </si>
  <si>
    <t>-40 to 125</t>
  </si>
  <si>
    <t>4 x 4</t>
  </si>
  <si>
    <t>ACTIVE</t>
  </si>
  <si>
    <t>6-V to 120-V wide VIN, 300-mA DC-DC converter with Fly-Buck™ capability</t>
  </si>
  <si>
    <t>AC/DC &amp; DC/DC converters (integrated FET)</t>
  </si>
  <si>
    <t>Catalog</t>
  </si>
  <si>
    <t>Buck,Flybuck</t>
  </si>
  <si>
    <t>HSOIC,WSON</t>
  </si>
  <si>
    <t>Functional Safety-Capable</t>
  </si>
  <si>
    <t>-40 to 150</t>
  </si>
  <si>
    <t>16,29.4</t>
  </si>
  <si>
    <t>4 x 4,4.9 x 6</t>
  </si>
  <si>
    <t>0.8,1.7</t>
  </si>
  <si>
    <t>0.8,1.27</t>
  </si>
  <si>
    <t>ACTIVE</t>
  </si>
  <si>
    <t>600-V 30-mΩ GaN FET with integrated driver, protection and temperature reporting</t>
  </si>
  <si>
    <t>Gallium nitride (GaN) power stages</t>
  </si>
  <si>
    <t>Catalog</t>
  </si>
  <si>
    <t>VQFN</t>
  </si>
  <si>
    <t/>
  </si>
  <si>
    <t>-40 to 150</t>
  </si>
  <si>
    <t>12 x 12</t>
  </si>
  <si>
    <t>ACTIVE</t>
  </si>
  <si>
    <t>50-mA, 65-V, low-IQ, LDO linear voltage regulator with power good and selectable mid-output rail</t>
  </si>
  <si>
    <t>Linear &amp; low-dropout (LDO) regulators</t>
  </si>
  <si>
    <t>Catalog</t>
  </si>
  <si>
    <t>HVSSOP</t>
  </si>
  <si>
    <t/>
  </si>
  <si>
    <t>-40 to 125</t>
  </si>
  <si>
    <t>3 x 4.9</t>
  </si>
  <si>
    <t>ACTIVE</t>
  </si>
  <si>
    <t>18-V PMIC with 3 buck converters and 1 LDO for camera modules up to ASIL B</t>
  </si>
  <si>
    <t>Multi-channel ICs (PMICs)</t>
  </si>
  <si>
    <t>Automotive</t>
  </si>
  <si>
    <t>VQFN</t>
  </si>
  <si>
    <t>Functional Safety-Compliant</t>
  </si>
  <si>
    <t>-40 to 125</t>
  </si>
  <si>
    <t>4 x 4</t>
  </si>
  <si>
    <t>ACTIVE</t>
  </si>
  <si>
    <t>Multichannel window supervisor with high accuracy and compact form factor</t>
  </si>
  <si>
    <t>Reset &amp; watchdog ICs</t>
  </si>
  <si>
    <t>Catalog</t>
  </si>
  <si>
    <t>SOT-23-THN</t>
  </si>
  <si>
    <t>Functional Safety-Compliant</t>
  </si>
  <si>
    <t>-40 to 125</t>
  </si>
  <si>
    <t>2.9 x 2.8</t>
  </si>
  <si>
    <t>ACTIVE</t>
  </si>
  <si>
    <t>8-A buck converter optimized for power density and low EMI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</si>
  <si>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</si>
  <si>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</si>
  <si>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</si>
  <si>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</si>
  <si>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</si>
  <si>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</si>
  <si>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4.5 x 3.5</t>
  </si>
  <si>
    <t>ACTIVE</t>
  </si>
  <si>
    <t>10-A buck converter optimized for power density and low EMI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</si>
  <si>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</si>
  <si>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</si>
  <si>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</si>
  <si>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</si>
  <si>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</si>
  <si>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</si>
  <si>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4.5 x 3.5</t>
  </si>
  <si>
    <t>ACTIVE</t>
  </si>
  <si>
    <t>6-A buck converter optimized for power density and low EMI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</si>
  <si>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</si>
  <si>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</si>
  <si>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</si>
  <si>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</si>
  <si>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</si>
  <si>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</si>
  <si>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4.5 x 3.5</t>
  </si>
  <si>
    <t>ACTIVE</t>
  </si>
  <si>
    <t>2.4-V to 5.5-V input, 2-A, step-down converter in 1.2-mm x 0.8-mm WCS package with forced-PWM</t>
  </si>
  <si>
    <t>AC/DC &amp; DC/DC converters (integrated FET)</t>
  </si>
  <si>
    <t>Catalog</t>
  </si>
  <si>
    <t>Buck</t>
  </si>
  <si>
    <t>DSBGA</t>
  </si>
  <si>
    <t/>
  </si>
  <si>
    <t>-40 to 125</t>
  </si>
  <si>
    <t>1 x 1.4000000000000001</t>
  </si>
  <si>
    <t>ACTIVE</t>
  </si>
  <si>
    <t>Automotive 3-V to 17-V, 1-A, high-efficiency and low-IQ, synchronous buck converter in SOT-583</t>
  </si>
  <si>
    <t>AC/DC &amp; DC/DC converters (integrated FET)</t>
  </si>
  <si>
    <t>Automotive</t>
  </si>
  <si>
    <t>Buck</t>
  </si>
  <si>
    <t>SOT-5X3</t>
  </si>
  <si>
    <t>Functional Safety-Capable</t>
  </si>
  <si>
    <t>-40 to 150</t>
  </si>
  <si>
    <t>2.52,3.36</t>
  </si>
  <si>
    <t>2.1 x 1.2,2.1 x 1.6</t>
  </si>
  <si>
    <t>ACTIVE</t>
  </si>
  <si>
    <t>High-density, 3-V to 36-V input, 1-V to 16-V output, 3-A power module</t>
  </si>
  <si>
    <t>Power modules (integrated inductor)</t>
  </si>
  <si>
    <t>Catalog</t>
  </si>
  <si>
    <t>Buck,Inverting Buck-Boost,Synchronous Buck</t>
  </si>
  <si>
    <t>B0QFN</t>
  </si>
  <si>
    <t/>
  </si>
  <si>
    <t>-40 to 125</t>
  </si>
  <si>
    <t>6 x 4</t>
  </si>
  <si>
    <t>ACTIVE</t>
  </si>
  <si>
    <t>4V to 36V, 1A, 80-µA Iq synchronous SIMPLE SWITCHER® power converter</t>
  </si>
  <si>
    <t>AC/DC &amp; DC/DC converters (integrated FET)</t>
  </si>
  <si>
    <t>Catalog</t>
  </si>
  <si>
    <t>Buck</t>
  </si>
  <si>
    <t>SOT-23</t>
  </si>
  <si>
    <t>Functional Safety-Capable</t>
  </si>
  <si>
    <t>-40 to 150</t>
  </si>
  <si>
    <t>2.9 x 2.8</t>
  </si>
  <si>
    <t>ACTIVE</t>
  </si>
  <si>
    <t>5.5-V input, 1-A step-down converter with integrated inductor and forced PWM mode in µSiP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</si>
  <si>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</si>
  <si>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</si>
  <si>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</si>
  <si>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</si>
  <si>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</si>
  <si>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</si>
  <si>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</si>
  <si>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</si>
  <si>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</si>
  <si>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</si>
  <si>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</si>
  <si>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5.5-V input, 2-A step-down converter with integrated inductor and forced PWM mode in µSiP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</si>
  <si>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</si>
  <si>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</si>
  <si>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</si>
  <si>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</si>
  <si>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</si>
  <si>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</si>
  <si>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</si>
  <si>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</si>
  <si>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</si>
  <si>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</si>
  <si>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</si>
  <si>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5.5-V input, 3-A step-down converter with integrated inductor and forced PWM mode in µSiP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</si>
  <si>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</si>
  <si>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</si>
  <si>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</si>
  <si>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</si>
  <si>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</si>
  <si>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</si>
  <si>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</si>
  <si>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</si>
  <si>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</si>
  <si>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</si>
  <si>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</si>
  <si>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90-A peak continuous-current synchronous-buck NexFET™ smart power stage</t>
  </si>
  <si>
    <t>Si power stages</t>
  </si>
  <si>
    <t>Catalog</t>
  </si>
  <si>
    <t>VQFN-CLIP</t>
  </si>
  <si>
    <t/>
  </si>
  <si>
    <t>-40 to 125</t>
  </si>
  <si>
    <t>6 x 5</t>
  </si>
  <si>
    <t>ACTIVE</t>
  </si>
  <si>
    <t>Automotive, high-density, zero-voltage switching (ZVS) flyback controller with integrated SR control</t>
  </si>
  <si>
    <t>AC/DC &amp; DC/DC controllers (external FET)</t>
  </si>
  <si>
    <t>Automotive</t>
  </si>
  <si>
    <t>Flyback</t>
  </si>
  <si>
    <t>WQFN</t>
  </si>
  <si>
    <t>Functional Safety-Capable</t>
  </si>
  <si>
    <t>-40 to 125</t>
  </si>
  <si>
    <t>4 x 4</t>
  </si>
  <si>
    <t>ACTIVE</t>
  </si>
  <si>
    <t>SIMPLE SWITCHER® power converter 4.2-V to 80-V, 2-A, synchronous buck with 40-µA IQ</t>
  </si>
  <si>
    <t>AC/DC &amp; DC/DC converters (integrated FET)</t>
  </si>
  <si>
    <t>Catalog</t>
  </si>
  <si>
    <t>Buck</t>
  </si>
  <si>
    <t>HSOIC</t>
  </si>
  <si>
    <t>Functional Safety-Capable</t>
  </si>
  <si>
    <t>-40 to 150</t>
  </si>
  <si>
    <t>4.9 x 6</t>
  </si>
  <si>
    <t>ACTIVE</t>
  </si>
  <si>
    <t>2.4-V to 5.5-V input, 3-A, step-down converter in 1.2-mm x 0.8-mm WCS package with forced-PWM</t>
  </si>
  <si>
    <t>AC/DC &amp; DC/DC converters (integrated FET)</t>
  </si>
  <si>
    <t>Catalog</t>
  </si>
  <si>
    <t>Buck</t>
  </si>
  <si>
    <t>DSBGA</t>
  </si>
  <si>
    <t/>
  </si>
  <si>
    <t>-40 to 125</t>
  </si>
  <si>
    <t>1 x 1.4000000000000001</t>
  </si>
  <si>
    <t>ACTIVE</t>
  </si>
  <si>
    <t>High power 8-bit phase-shift high-reliability driver for avionic applications</t>
  </si>
  <si>
    <t>RGB LED drivers</t>
  </si>
  <si>
    <t>Catalog</t>
  </si>
  <si>
    <t>SOIC</t>
  </si>
  <si>
    <t/>
  </si>
  <si>
    <t>-55 to 125</t>
  </si>
  <si>
    <t>15.5 x 10.3</t>
  </si>
  <si>
    <t>ACTIVE</t>
  </si>
  <si>
    <t>10-A/10-A single-channel gate driver with 4-V UVLO, 30-V VDD and low prop delay</t>
  </si>
  <si>
    <t>Low-side drivers</t>
  </si>
  <si>
    <t>Catalog</t>
  </si>
  <si>
    <t>SOIC,WSON</t>
  </si>
  <si>
    <t/>
  </si>
  <si>
    <t>-40 to 150</t>
  </si>
  <si>
    <t>4,29.4</t>
  </si>
  <si>
    <t>2 x 2,4.9 x 6</t>
  </si>
  <si>
    <t>0.8,1.75</t>
  </si>
  <si>
    <t>0.5,1.27</t>
  </si>
  <si>
    <t>ACTIVE</t>
  </si>
  <si>
    <t>Automotive 3-V to 36-V, 3-A, low-noise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</si>
  <si>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</si>
  <si>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</si>
  <si>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</si>
  <si>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</si>
  <si>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</si>
  <si>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</si>
  <si>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 x 3.5</t>
  </si>
  <si>
    <t>ACTIVE</t>
  </si>
  <si>
    <t>Ultra-low EMI transformer driver for isolated bias supplies</t>
  </si>
  <si>
    <t>AC/DC &amp; DC/DC converters (integrated FET)</t>
  </si>
  <si>
    <t>Automotive</t>
  </si>
  <si>
    <t>Resonant LLC</t>
  </si>
  <si>
    <t>HVSSOP</t>
  </si>
  <si>
    <t>Functional Safety-Capable</t>
  </si>
  <si>
    <t>-40 to 125</t>
  </si>
  <si>
    <t>3 x 4.9</t>
  </si>
  <si>
    <t>ACTIVE</t>
  </si>
  <si>
    <t>1.6-V to 5.5-V, 40-mΩ, 2.5-A, low-IQ, dual ideal diode</t>
  </si>
  <si>
    <t>Ideal diode &amp; ORing controllers</t>
  </si>
  <si>
    <t>Catalog</t>
  </si>
  <si>
    <t>SOT-5X3</t>
  </si>
  <si>
    <t/>
  </si>
  <si>
    <t>-40 to 125</t>
  </si>
  <si>
    <t>2.1 x 1.6</t>
  </si>
  <si>
    <t>ACTIVE</t>
  </si>
  <si>
    <t>4.2-V to 18-V, 2-A, 1.2-MHz, synchronous buck converter with eco-mode and selectable FCCM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</si>
  <si>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</si>
  <si>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</si>
  <si>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</si>
  <si>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</si>
  <si>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</si>
  <si>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</si>
  <si>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</si>
  <si>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</si>
  <si>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60-nA quiescent current boost converter with supercap management</t>
  </si>
  <si>
    <t>AC/DC &amp; DC/DC converters (integrated FET)</t>
  </si>
  <si>
    <t>Catalog</t>
  </si>
  <si>
    <t>Boost,Buck,Buck/Boost</t>
  </si>
  <si>
    <t>WSON</t>
  </si>
  <si>
    <t/>
  </si>
  <si>
    <t>-40 to 125</t>
  </si>
  <si>
    <t>3 x 2</t>
  </si>
  <si>
    <t>ACTIVE</t>
  </si>
  <si>
    <t>4.2-V to 18-V, 3-A, 1.2-MHz, synchronous buck converter with eco-mode and selectable FCCM</t>
  </si>
  <si>
    <t>AC/DC &amp; DC/DC converters (integrated FET)</t>
  </si>
  <si>
    <t>Catalog</t>
  </si>
  <si>
    <t>Buck</t>
  </si>
  <si>
    <t>SOT-5X3</t>
  </si>
  <si>
    <t/>
  </si>
  <si>
    <t>-40 to 150</t>
  </si>
  <si>
    <t>2.1 x 1.6</t>
  </si>
  <si>
    <t>ACTIVE</t>
  </si>
  <si>
    <t>3-A, 85-V,  2.2-MHz wide VIN boost, flyback, &amp; SEPIC converter with dual random spread spectrum</t>
  </si>
  <si>
    <t>AC/DC &amp; DC/DC converters (integrated FET)</t>
  </si>
  <si>
    <t>Catalog</t>
  </si>
  <si>
    <t>Boost,Flyback,SEPIC</t>
  </si>
  <si>
    <t>WQFN</t>
  </si>
  <si>
    <t/>
  </si>
  <si>
    <t>-40 to 125</t>
  </si>
  <si>
    <t>3 x 3</t>
  </si>
  <si>
    <t>ACTIVE</t>
  </si>
  <si>
    <t>3-A, 85-V, 2.2-MHz wide VIN boost, flyback, &amp; SEPIC converter with dual random spread spectrum</t>
  </si>
  <si>
    <t>AC/DC &amp; DC/DC converters (integrated FET)</t>
  </si>
  <si>
    <t>Automotive</t>
  </si>
  <si>
    <t>Boost,Flyback,SEPIC</t>
  </si>
  <si>
    <t>WQFN</t>
  </si>
  <si>
    <t>Functional Safety-Capable</t>
  </si>
  <si>
    <t>-40 to 125</t>
  </si>
  <si>
    <t>3 x 3</t>
  </si>
  <si>
    <t>ACTIVE</t>
  </si>
  <si>
    <t>1.5-A, 85-V, 2.2-MHz wide VIN boost, flyback, &amp; SEPIC converter with dual random spread spectrum</t>
  </si>
  <si>
    <t>AC/DC &amp; DC/DC converters (integrated FET)</t>
  </si>
  <si>
    <t>Catalog</t>
  </si>
  <si>
    <t>Boost,Flyback,SEPIC</t>
  </si>
  <si>
    <t>WQFN</t>
  </si>
  <si>
    <t/>
  </si>
  <si>
    <t>-40 to 125</t>
  </si>
  <si>
    <t>3 x 3</t>
  </si>
  <si>
    <t>ACTIVE</t>
  </si>
  <si>
    <t>1.5-A, 85-V, 2.2-MHz wide VIN boost, flyback, &amp; SEPIC converter with dual random spread spectrum</t>
  </si>
  <si>
    <t>AC/DC &amp; DC/DC converters (integrated FET)</t>
  </si>
  <si>
    <t>Automotive</t>
  </si>
  <si>
    <t>Boost,Flyback,SEPIC</t>
  </si>
  <si>
    <t>WQFN</t>
  </si>
  <si>
    <t>Functional Safety-Capable</t>
  </si>
  <si>
    <t>-40 to 125</t>
  </si>
  <si>
    <t>3 x 3</t>
  </si>
  <si>
    <t>ACTIVE</t>
  </si>
  <si>
    <t>2A,11-uA quiescent current buck-boost converter</t>
  </si>
  <si>
    <t>AC/DC &amp; DC/DC converters (integrated FET)</t>
  </si>
  <si>
    <t>Catalog</t>
  </si>
  <si>
    <t>Buck-Boost</t>
  </si>
  <si>
    <t>DSBGA</t>
  </si>
  <si>
    <t/>
  </si>
  <si>
    <t>-40 to 125</t>
  </si>
  <si>
    <t>1.4000000000000001 x 2.2</t>
  </si>
  <si>
    <t>ACTIVE</t>
  </si>
  <si>
    <t>Dual 3-A USB Type-C® charging ports controller with load shedding &amp; plug polarity detection, 2.2 MHz</t>
  </si>
  <si>
    <t>USB Type-C &amp; USB Power Delivery ICs</t>
  </si>
  <si>
    <t>Automotive</t>
  </si>
  <si>
    <t>VQFN-HR</t>
  </si>
  <si>
    <t/>
  </si>
  <si>
    <t>-45 to 125</t>
  </si>
  <si>
    <t>4.5 x 3.5</t>
  </si>
  <si>
    <t>ACTIVE</t>
  </si>
  <si>
    <t>Dual 3-A USB Type-C® charging ports controller with USB ports ON/OFF control, 2.2 MHz</t>
  </si>
  <si>
    <t>USB Type-C &amp; USB Power Delivery ICs</t>
  </si>
  <si>
    <t>Automotive</t>
  </si>
  <si>
    <t>VQFN-HR</t>
  </si>
  <si>
    <t/>
  </si>
  <si>
    <t>-45 to 125</t>
  </si>
  <si>
    <t>4.5 x 3.5</t>
  </si>
  <si>
    <t>ACTIVE</t>
  </si>
  <si>
    <t>Single 3-A USB Type-C® charging ports controller with load shedding</t>
  </si>
  <si>
    <t>USB Type-C &amp; USB Power Delivery ICs</t>
  </si>
  <si>
    <t>Automotive</t>
  </si>
  <si>
    <t>VQFN-HR</t>
  </si>
  <si>
    <t/>
  </si>
  <si>
    <t>-45 to 125</t>
  </si>
  <si>
    <t>4.5 x 3.5</t>
  </si>
  <si>
    <t>ACTIVE</t>
  </si>
  <si>
    <t>Single 3-A USB Type-C® charging ports controller with load shedding, 2.2 MHz</t>
  </si>
  <si>
    <t>USB Type-C &amp; USB Power Delivery ICs</t>
  </si>
  <si>
    <t>Automotive</t>
  </si>
  <si>
    <t>VQFN-HR</t>
  </si>
  <si>
    <t/>
  </si>
  <si>
    <t>-45 to 125</t>
  </si>
  <si>
    <t>4.5 x 3.5</t>
  </si>
  <si>
    <t>ACTIVE</t>
  </si>
  <si>
    <t>Dual 3-A USB Type-C® charging ports controller with load shedding and USB ON/OFF control</t>
  </si>
  <si>
    <t>USB Type-C &amp; USB Power Delivery ICs</t>
  </si>
  <si>
    <t>Automotive</t>
  </si>
  <si>
    <t>VQFN-HR</t>
  </si>
  <si>
    <t/>
  </si>
  <si>
    <t>-45 to 125</t>
  </si>
  <si>
    <t>4.5 x 3.5</t>
  </si>
  <si>
    <t>ACTIVE</t>
  </si>
  <si>
    <t>USB Type-C® + Type-A dual charging ports controller with load shedding, 2.2 MHz</t>
  </si>
  <si>
    <t>USB Type-C &amp; USB Power Delivery ICs</t>
  </si>
  <si>
    <t>Automotive</t>
  </si>
  <si>
    <t>VQFN-HR</t>
  </si>
  <si>
    <t/>
  </si>
  <si>
    <t>-45 to 125</t>
  </si>
  <si>
    <t>4.5 x 3.5</t>
  </si>
  <si>
    <t>ACTIVE</t>
  </si>
  <si>
    <t>USB Type-C® + Type-A dual charging ports controller with load shedding &amp; USB ON/OFF control, 2.2 MHz</t>
  </si>
  <si>
    <t>USB Type-C &amp; USB Power Delivery ICs</t>
  </si>
  <si>
    <t>Automotive</t>
  </si>
  <si>
    <t>VQFN-HR</t>
  </si>
  <si>
    <t/>
  </si>
  <si>
    <t>-45 to 125</t>
  </si>
  <si>
    <t>4.5 x 3.5</t>
  </si>
  <si>
    <t>ACTIVE</t>
  </si>
  <si>
    <t>Automotive dual 2.4-A USB Type-A charging ports controller with load shedding, 2.2 MHz</t>
  </si>
  <si>
    <t>USB power switches &amp; charging port controllers</t>
  </si>
  <si>
    <t>Automotive</t>
  </si>
  <si>
    <t>VQFN-HR</t>
  </si>
  <si>
    <t/>
  </si>
  <si>
    <t>-45 to 125</t>
  </si>
  <si>
    <t>4.5 x 3.5</t>
  </si>
  <si>
    <t>ACTIVE</t>
  </si>
  <si>
    <t>USB Type-C® + Type-A dual charging ports controller with programmable current limit &amp; load shedding</t>
  </si>
  <si>
    <t>USB Type-C &amp; USB Power Delivery ICs</t>
  </si>
  <si>
    <t>Automotive</t>
  </si>
  <si>
    <t>VQFN-HR</t>
  </si>
  <si>
    <t/>
  </si>
  <si>
    <t>-45 to 125</t>
  </si>
  <si>
    <t>4.5 x 3.5</t>
  </si>
  <si>
    <t>ACTIVE</t>
  </si>
  <si>
    <t>USB Type-C® + Type-A dual charging ports controller with load shedding and USB ON/OFF control</t>
  </si>
  <si>
    <t>USB Type-C &amp; USB Power Delivery ICs</t>
  </si>
  <si>
    <t>Automotive</t>
  </si>
  <si>
    <t>VQFN-HR</t>
  </si>
  <si>
    <t/>
  </si>
  <si>
    <t>-45 to 125</t>
  </si>
  <si>
    <t>4.5 x 3.5</t>
  </si>
  <si>
    <t>ACTIVE</t>
  </si>
  <si>
    <t>2.7-V to 6-V, 3-A automotive step-down converter in SOT583 package</t>
  </si>
  <si>
    <t>AC/DC &amp; DC/DC converters (integrated FET)</t>
  </si>
  <si>
    <t>Automotive</t>
  </si>
  <si>
    <t>Buck</t>
  </si>
  <si>
    <t>SOT-5X3</t>
  </si>
  <si>
    <t/>
  </si>
  <si>
    <t>-40 to 125</t>
  </si>
  <si>
    <t>2.1 x 1.6</t>
  </si>
  <si>
    <t>ACTIVE</t>
  </si>
  <si>
    <t>Dual-channel, 8 phase step-down, digital multiphase D-CAP+™ controller with VR14 SVID and PMBus</t>
  </si>
  <si>
    <t>AC/DC &amp; DC/DC controllers (external FET)</t>
  </si>
  <si>
    <t>Catalog</t>
  </si>
  <si>
    <t>Multiphase</t>
  </si>
  <si>
    <t>WQFN</t>
  </si>
  <si>
    <t/>
  </si>
  <si>
    <t>-40 to 125</t>
  </si>
  <si>
    <t>5 x 5</t>
  </si>
  <si>
    <t>ACTIVE</t>
  </si>
  <si>
    <t>4.2-V to 60-V input, 1-V to 6-V output, 1.5-A step-down module in 5-mm x 5.5-mm x 4-mm QFN</t>
  </si>
  <si>
    <t>Power modules (integrated inductor)</t>
  </si>
  <si>
    <t>Catalog</t>
  </si>
  <si>
    <t>Buck,Inverting Buck-Boost,Synchronous Buck</t>
  </si>
  <si>
    <t>B3QFN</t>
  </si>
  <si>
    <t/>
  </si>
  <si>
    <t>-40 to 125</t>
  </si>
  <si>
    <t>5.5 x 5</t>
  </si>
  <si>
    <t>ACTIVE</t>
  </si>
  <si>
    <t>4.2-V to 60-V input, 1-V to 6-V output, 0.6-A step-down module in 5-mm x 5.5-mm x 4-mm QFN</t>
  </si>
  <si>
    <t>Power modules (integrated inductor)</t>
  </si>
  <si>
    <t>Catalog</t>
  </si>
  <si>
    <t>Buck,Inverting Buck-Boost,Synchronous Buck</t>
  </si>
  <si>
    <t>B3QFN</t>
  </si>
  <si>
    <t/>
  </si>
  <si>
    <t>-40 to 125</t>
  </si>
  <si>
    <t>5.5 x 5</t>
  </si>
  <si>
    <t>ACTIVE</t>
  </si>
  <si>
    <t>4.2-V to 60-V input, 1-V to 16-V output, 0.6-A step-down module in 5-mm x 5.5-mm x 4-mm QFN</t>
  </si>
  <si>
    <t>Power modules (integrated inductor)</t>
  </si>
  <si>
    <t>Catalog</t>
  </si>
  <si>
    <t>Buck,Inverting Buck-Boost,Synchronous Buck</t>
  </si>
  <si>
    <t>B3QFN</t>
  </si>
  <si>
    <t/>
  </si>
  <si>
    <t>-40 to 125</t>
  </si>
  <si>
    <t>5.5 x 5</t>
  </si>
  <si>
    <t>ACTIVE</t>
  </si>
  <si>
    <t>High current PMIC for DDR5 server DIMMs</t>
  </si>
  <si>
    <t>Multi-channel ICs (PMICs),DDR memory power ICs</t>
  </si>
  <si>
    <t>Catalog</t>
  </si>
  <si>
    <t>VQFN-HR</t>
  </si>
  <si>
    <t/>
  </si>
  <si>
    <t>-40 to 105</t>
  </si>
  <si>
    <t>5 x 5</t>
  </si>
  <si>
    <t>ACTIVE</t>
  </si>
  <si>
    <t>PMIC for DDR5 server DIMMs</t>
  </si>
  <si>
    <t>DDR memory power ICs,Multi-channel ICs (PMICs)</t>
  </si>
  <si>
    <t>Catalog</t>
  </si>
  <si>
    <t>VQFN-HR</t>
  </si>
  <si>
    <t/>
  </si>
  <si>
    <t>-40 to 105</t>
  </si>
  <si>
    <t>5 x 5</t>
  </si>
  <si>
    <t>ACTIVE</t>
  </si>
  <si>
    <t>2.75-V to 6-V, 1-A step-down converter in a 2-mm x 3-mm QFN package with -55C extended temperature</t>
  </si>
  <si>
    <t>AC/DC &amp; DC/DC converters (integrated FET)</t>
  </si>
  <si>
    <t>Catalog</t>
  </si>
  <si>
    <t>Buck</t>
  </si>
  <si>
    <t>VQFN-HR</t>
  </si>
  <si>
    <t>Functional Safety-Capable</t>
  </si>
  <si>
    <t>-55 to 150</t>
  </si>
  <si>
    <t>3 x 2</t>
  </si>
  <si>
    <t>ACTIVE</t>
  </si>
  <si>
    <t>2.75-V to 6-V, 3-A step-down converter in a 2-mm x 3-mm QFN package with -55C extended temperature</t>
  </si>
  <si>
    <t>AC/DC &amp; DC/DC converters (integrated FET)</t>
  </si>
  <si>
    <t>Catalog</t>
  </si>
  <si>
    <t>Buck</t>
  </si>
  <si>
    <t>VQFN-HR</t>
  </si>
  <si>
    <t>Functional Safety-Capable</t>
  </si>
  <si>
    <t>-55 to 150</t>
  </si>
  <si>
    <t>3 x 2</t>
  </si>
  <si>
    <t>ACTIVE</t>
  </si>
  <si>
    <t>Automotive nanopower supervisor with programmable sense and reset delay</t>
  </si>
  <si>
    <t>Reset &amp; watchdog ICs</t>
  </si>
  <si>
    <t>Automotive</t>
  </si>
  <si>
    <t>WSON</t>
  </si>
  <si>
    <t>Functional Safety-Capable</t>
  </si>
  <si>
    <t>-40 to 125</t>
  </si>
  <si>
    <t>1.5 x 1.5</t>
  </si>
  <si>
    <t>ACTIVE</t>
  </si>
  <si>
    <t>4.2-V to 18-V, 2-A, synchronous buck converter with 1% accuracy, PG/SS and PFM/forced-PWM in SOT583</t>
  </si>
  <si>
    <t>AC/DC &amp; DC/DC converters (integrated FET)</t>
  </si>
  <si>
    <t>Catalog</t>
  </si>
  <si>
    <t>Buck</t>
  </si>
  <si>
    <t>SOT-5X3</t>
  </si>
  <si>
    <t/>
  </si>
  <si>
    <t>-40 to 125</t>
  </si>
  <si>
    <t>2.1 x 1.6</t>
  </si>
  <si>
    <t>ACTIVE</t>
  </si>
  <si>
    <t>4.2-V to 18-V, 3-A, synchronous buck converter with 1% accuracy, PG/SS and PFM/forced-PWM in SOT583</t>
  </si>
  <si>
    <t>AC/DC &amp; DC/DC converters (integrated FET)</t>
  </si>
  <si>
    <t>Catalog</t>
  </si>
  <si>
    <t>Buck</t>
  </si>
  <si>
    <t>SOT-5X3</t>
  </si>
  <si>
    <t/>
  </si>
  <si>
    <t>-40 to 125</t>
  </si>
  <si>
    <t>2.1 x 1.6</t>
  </si>
  <si>
    <t>ACTIVE</t>
  </si>
  <si>
    <t>Enhanced low IQ ideal diode controller</t>
  </si>
  <si>
    <t>Ideal diode &amp; ORing controllers</t>
  </si>
  <si>
    <t>HiRel Enhanced Product</t>
  </si>
  <si>
    <t>SOT-23-THN</t>
  </si>
  <si>
    <t/>
  </si>
  <si>
    <t>-50 to 125</t>
  </si>
  <si>
    <t>2.9 x 2.8</t>
  </si>
  <si>
    <t>ACTIVE</t>
  </si>
  <si>
    <t>Radiation-hardened, QMLV and QMLP 4.5-V to 14-V input 3.5-A eFuse</t>
  </si>
  <si>
    <t>eFuses (integrated hot swaps)</t>
  </si>
  <si>
    <t>Space</t>
  </si>
  <si>
    <t>CFP,DIESALE,HTSSOP</t>
  </si>
  <si>
    <t/>
  </si>
  <si>
    <t>-55 to 125</t>
  </si>
  <si>
    <t>0,16,32</t>
  </si>
  <si>
    <t>89.1,105.6,See data sheet</t>
  </si>
  <si>
    <t>11 x 8.1,11 x 9.6,See data sheet</t>
  </si>
  <si>
    <t>1.2,2.34,—</t>
  </si>
  <si>
    <t>0.65,1.27,—</t>
  </si>
  <si>
    <t>ACTIVE</t>
  </si>
  <si>
    <t>Radiation-hardened QMLV, 3-V to 5.5-V input, 3-A, synchronous step-down converter</t>
  </si>
  <si>
    <t>AC/DC &amp; DC/DC converters (integrated FET)</t>
  </si>
  <si>
    <t>Space</t>
  </si>
  <si>
    <t>Buck</t>
  </si>
  <si>
    <t>CFP,DIESALE</t>
  </si>
  <si>
    <t/>
  </si>
  <si>
    <t>-55 to 125</t>
  </si>
  <si>
    <t>0,20</t>
  </si>
  <si>
    <t>93.726,See data sheet</t>
  </si>
  <si>
    <t>12.7 x 7.38,See data sheet</t>
  </si>
  <si>
    <t>2.54,—</t>
  </si>
  <si>
    <t>1.27,—</t>
  </si>
  <si>
    <t>ACTIVE</t>
  </si>
  <si>
    <t>50-A peak continuous current synchronous buck NexFET™ smart power stage</t>
  </si>
  <si>
    <t>Si power stages</t>
  </si>
  <si>
    <t>Catalog</t>
  </si>
  <si>
    <t>VQFN-CLIP</t>
  </si>
  <si>
    <t/>
  </si>
  <si>
    <t>-40 to 125</t>
  </si>
  <si>
    <t>6 x 5</t>
  </si>
  <si>
    <t>ACTIVE</t>
  </si>
  <si>
    <t>2.7-V to 6-V, 0.5-A, fixed-frequency, step-down converter in SOT583 package</t>
  </si>
  <si>
    <t>AC/DC &amp; DC/DC converters (integrated FET)</t>
  </si>
  <si>
    <t>Catalog</t>
  </si>
  <si>
    <t>Buck</t>
  </si>
  <si>
    <t>SOT-5X3</t>
  </si>
  <si>
    <t>Functional Safety-Capable</t>
  </si>
  <si>
    <t>-40 to 150</t>
  </si>
  <si>
    <t>2.1 x 1.6</t>
  </si>
  <si>
    <t>ACTIVE</t>
  </si>
  <si>
    <t>2.7-V to 6-V, 1-A, fixed-frequency, step-down converter in SOT583 package</t>
  </si>
  <si>
    <t>AC/DC &amp; DC/DC converters (integrated FET)</t>
  </si>
  <si>
    <t>Catalog</t>
  </si>
  <si>
    <t>Buck</t>
  </si>
  <si>
    <t>SOT-5X3</t>
  </si>
  <si>
    <t>Functional Safety-Capable</t>
  </si>
  <si>
    <t>-40 to 150</t>
  </si>
  <si>
    <t>2.1 x 1.6</t>
  </si>
  <si>
    <t>ACTIVE</t>
  </si>
  <si>
    <t>2.7-V to 6-V, 2-A, fixed-frequency, step-down converter in SOT583 package</t>
  </si>
  <si>
    <t>AC/DC &amp; DC/DC converters (integrated FET)</t>
  </si>
  <si>
    <t>Catalog</t>
  </si>
  <si>
    <t>Buck</t>
  </si>
  <si>
    <t>SOT-5X3</t>
  </si>
  <si>
    <t>Functional Safety-Capable</t>
  </si>
  <si>
    <t>-40 to 150</t>
  </si>
  <si>
    <t>2.1 x 1.6</t>
  </si>
  <si>
    <t>ACTIVE</t>
  </si>
  <si>
    <t>Automotive 2.8-V to 5.5-V PMIC with 5 bucks and 4 LDOs</t>
  </si>
  <si>
    <t>Multi-channel ICs (PMICs)</t>
  </si>
  <si>
    <t>Automotive</t>
  </si>
  <si>
    <t>VQFNP</t>
  </si>
  <si>
    <t>Functional Safety-Compliant</t>
  </si>
  <si>
    <t>-40 to 125</t>
  </si>
  <si>
    <t>8 x 8</t>
  </si>
  <si>
    <t>ACTIVE</t>
  </si>
  <si>
    <t>Automotive 8A buck converter optimized for power density and low EMI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</si>
  <si>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</si>
  <si>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</si>
  <si>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</si>
  <si>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</si>
  <si>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</si>
  <si>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</si>
  <si>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4.5 x 3.5</t>
  </si>
  <si>
    <t>ACTIVE</t>
  </si>
  <si>
    <t>58-V 4.5-A eFuse with pulse current support</t>
  </si>
  <si>
    <t>eFuses (integrated hot swaps)</t>
  </si>
  <si>
    <t>Catalog</t>
  </si>
  <si>
    <t>HTSSOP,VQFN</t>
  </si>
  <si>
    <t/>
  </si>
  <si>
    <t>-40 to 125</t>
  </si>
  <si>
    <t>20,24</t>
  </si>
  <si>
    <t>16,41.6</t>
  </si>
  <si>
    <t>4 x 4,6.5 x 6.4</t>
  </si>
  <si>
    <t>1,1.2</t>
  </si>
  <si>
    <t>0.5,0.65</t>
  </si>
  <si>
    <t>ACTIVE</t>
  </si>
  <si>
    <t>Automotive USB Type-C® PD controller with integrated buck-boost regulator</t>
  </si>
  <si>
    <t>USB Type-C &amp; USB Power Delivery ICs</t>
  </si>
  <si>
    <t>Automotive</t>
  </si>
  <si>
    <t>VQFN-HR</t>
  </si>
  <si>
    <t/>
  </si>
  <si>
    <t>-40 to 125</t>
  </si>
  <si>
    <t>6 x 5</t>
  </si>
  <si>
    <t>ACTIVE</t>
  </si>
  <si>
    <t>2.7V-to-6V 1A adjustable-frequency step-down converter in SOT-583 package</t>
  </si>
  <si>
    <t>AC/DC &amp; DC/DC converters (integrated FET)</t>
  </si>
  <si>
    <t>Automotive,Catalog</t>
  </si>
  <si>
    <t>Buck</t>
  </si>
  <si>
    <t>SOT-5X3</t>
  </si>
  <si>
    <t>Functional Safety-Capable</t>
  </si>
  <si>
    <t>-40 to 150</t>
  </si>
  <si>
    <t>2.1 x 1.6</t>
  </si>
  <si>
    <t>ACTIVE</t>
  </si>
  <si>
    <t>2.7-V to 6-V, 2-A, adjustable-frequency, step-down converter in SOT583 package</t>
  </si>
  <si>
    <t>AC/DC &amp; DC/DC converters (integrated FET)</t>
  </si>
  <si>
    <t>Automotive,Catalog</t>
  </si>
  <si>
    <t>Buck</t>
  </si>
  <si>
    <t>SOT-5X3</t>
  </si>
  <si>
    <t>Functional Safety-Capable</t>
  </si>
  <si>
    <t>-40 to 150</t>
  </si>
  <si>
    <t>2.1 x 1.6</t>
  </si>
  <si>
    <t>ACTIVE</t>
  </si>
  <si>
    <t>Automotive dual-port USB Type-C® PD controller with buck-boost regulator and smart power management</t>
  </si>
  <si>
    <t>USB Type-C &amp; USB Power Delivery ICs</t>
  </si>
  <si>
    <t>Automotive</t>
  </si>
  <si>
    <t>VQFN-HR</t>
  </si>
  <si>
    <t/>
  </si>
  <si>
    <t>-40 to 125</t>
  </si>
  <si>
    <t>6 x 5</t>
  </si>
  <si>
    <t>ACTIVE</t>
  </si>
  <si>
    <t>Ultra-low-voltage nanopower supervisor with adjustable release delay in wafer chip-scale package</t>
  </si>
  <si>
    <t>Reset &amp; watchdog ICs</t>
  </si>
  <si>
    <t>Catalog</t>
  </si>
  <si>
    <t>DSBGA</t>
  </si>
  <si>
    <t/>
  </si>
  <si>
    <t>-40 to 125</t>
  </si>
  <si>
    <t>0.8 x 0.8</t>
  </si>
  <si>
    <t>ACTIVE</t>
  </si>
  <si>
    <t>48x16 LED matrix driver with 16-bits PWM dimming and ultra low power</t>
  </si>
  <si>
    <t>RGB LED drivers</t>
  </si>
  <si>
    <t>Catalog</t>
  </si>
  <si>
    <t>Current Sink,Linear</t>
  </si>
  <si>
    <t>NFBGA,VQFN</t>
  </si>
  <si>
    <t/>
  </si>
  <si>
    <t>-40 to 85</t>
  </si>
  <si>
    <t>76,96</t>
  </si>
  <si>
    <t>36,81</t>
  </si>
  <si>
    <t>6 x 6,9 x 9</t>
  </si>
  <si>
    <t>1,1.1</t>
  </si>
  <si>
    <t>0.4,0.5</t>
  </si>
  <si>
    <t>ACTIVE</t>
  </si>
  <si>
    <t>8V-14V input, 120A + 40A dual output PMBus module with AVS and monitoring</t>
  </si>
  <si>
    <t>Power modules (integrated inductor)</t>
  </si>
  <si>
    <t>Catalog</t>
  </si>
  <si>
    <t>Buck,Synchronous Buck</t>
  </si>
  <si>
    <t>QFM</t>
  </si>
  <si>
    <t/>
  </si>
  <si>
    <t>-40 to 105</t>
  </si>
  <si>
    <t>48 x 15</t>
  </si>
  <si>
    <t>ACTIVE</t>
  </si>
  <si>
    <t>2.7-V to 16-V, 20-A synchronous step-down converter with differential remote sense</t>
  </si>
  <si>
    <t>AC/DC &amp; DC/DC converters (integrated FET)</t>
  </si>
  <si>
    <t>Catalog</t>
  </si>
  <si>
    <t>Buck</t>
  </si>
  <si>
    <t>VQFN-FCRLF</t>
  </si>
  <si>
    <t/>
  </si>
  <si>
    <t>-40 to 125</t>
  </si>
  <si>
    <t>4 x 3</t>
  </si>
  <si>
    <t>ACTIVE</t>
  </si>
  <si>
    <t>1.6-V to 5.5-V, 40-mΩ, 2.5-A, low-IQ, priority power multiplexer</t>
  </si>
  <si>
    <t>Power muxes</t>
  </si>
  <si>
    <t>Catalog</t>
  </si>
  <si>
    <t>SOT-5X3</t>
  </si>
  <si>
    <t/>
  </si>
  <si>
    <t>-40 to 125</t>
  </si>
  <si>
    <t>2.1 x 1.6</t>
  </si>
  <si>
    <t>ACTIVE</t>
  </si>
  <si>
    <t>Automotive 18V PMIC with three buck converters and one LDO regulator for camera modules</t>
  </si>
  <si>
    <t>Multi-channel ICs (PMICs)</t>
  </si>
  <si>
    <t>Automotive</t>
  </si>
  <si>
    <t>VQFN</t>
  </si>
  <si>
    <t>Functional Safety-Compliant</t>
  </si>
  <si>
    <t>-40 to 125</t>
  </si>
  <si>
    <t>4 x 4</t>
  </si>
  <si>
    <t>ACTIVE</t>
  </si>
  <si>
    <t>6A/4A, 50-V, 2.2-MHz wide VIN boost, flyback, &amp; SEPIC converter with dual random spread spectrum</t>
  </si>
  <si>
    <t>AC/DC &amp; DC/DC converters (integrated FET)</t>
  </si>
  <si>
    <t>Catalog</t>
  </si>
  <si>
    <t>Boost,Flyback,SEPIC</t>
  </si>
  <si>
    <t>WQFN</t>
  </si>
  <si>
    <t>Functional Safety-Capable</t>
  </si>
  <si>
    <t>-40 to 125</t>
  </si>
  <si>
    <t>3 x 3</t>
  </si>
  <si>
    <t>ACTIVE</t>
  </si>
  <si>
    <t>Automotive 3.8-V to 36-V, 2-A synchronous step-down voltage converter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</si>
  <si>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</si>
  <si>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</si>
  <si>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</si>
  <si>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</si>
  <si>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</si>
  <si>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</si>
  <si>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</si>
  <si>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</si>
  <si>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Automotive 3.8-V to 36-V, 3-A synchronous step-down voltage converter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</si>
  <si>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</si>
  <si>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</si>
  <si>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</si>
  <si>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</si>
  <si>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</si>
  <si>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</si>
  <si>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</si>
  <si>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</si>
  <si>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Automotive 18V 800mA PMIC with three buck converters and one LDO regulator for camera modules</t>
  </si>
  <si>
    <t>Multi-channel ICs (PMICs)</t>
  </si>
  <si>
    <t>Automotive</t>
  </si>
  <si>
    <t>VQFN</t>
  </si>
  <si>
    <t/>
  </si>
  <si>
    <t>-40 to 125</t>
  </si>
  <si>
    <t>4 x 4</t>
  </si>
  <si>
    <t>ACTIVE</t>
  </si>
  <si>
    <t>45-V LED backlight driver with three channels 120-mA output</t>
  </si>
  <si>
    <t>Backlight LED drivers</t>
  </si>
  <si>
    <t>Catalog</t>
  </si>
  <si>
    <t>Boost,Current Sink</t>
  </si>
  <si>
    <t>HTSSOP</t>
  </si>
  <si>
    <t>Functional Safety-Capable</t>
  </si>
  <si>
    <t>-40 to 125</t>
  </si>
  <si>
    <t>6.5 x 6.4</t>
  </si>
  <si>
    <t>ACTIVE</t>
  </si>
  <si>
    <t>45-V LED backlight driver with four channels 120-mA output</t>
  </si>
  <si>
    <t>Backlight LED drivers</t>
  </si>
  <si>
    <t>Catalog</t>
  </si>
  <si>
    <t>Boost,Current Sink</t>
  </si>
  <si>
    <t>HTSSOP</t>
  </si>
  <si>
    <t/>
  </si>
  <si>
    <t>-40 to 125</t>
  </si>
  <si>
    <t>6.5 x 6.4</t>
  </si>
  <si>
    <t>ACTIVE</t>
  </si>
  <si>
    <t>80-A peak continuous current synchronous buck NexFET™ power stage</t>
  </si>
  <si>
    <t>Si power stages</t>
  </si>
  <si>
    <t>Catalog</t>
  </si>
  <si>
    <t>VQFN-CLIP</t>
  </si>
  <si>
    <t/>
  </si>
  <si>
    <t>-40 to 125</t>
  </si>
  <si>
    <t>6 x 5</t>
  </si>
  <si>
    <t>ACTIVE</t>
  </si>
  <si>
    <t>Automotive, 500-mW, 3-kVrms isolated DC/DC module with integrated transformer</t>
  </si>
  <si>
    <t>Isolated power modules (integrated transformer)</t>
  </si>
  <si>
    <t>Automotive</t>
  </si>
  <si>
    <t>Full-bridge</t>
  </si>
  <si>
    <t>SO-MOD</t>
  </si>
  <si>
    <t>Functional Safety-Capable</t>
  </si>
  <si>
    <t>-40 to 125</t>
  </si>
  <si>
    <t>10.3 x 10.3</t>
  </si>
  <si>
    <t>ACTIVE</t>
  </si>
  <si>
    <t>Automotive, 500-mW, 5-kVrms isolated DC/DC module with integrated transformer</t>
  </si>
  <si>
    <t>Isolated power modules (integrated transformer)</t>
  </si>
  <si>
    <t>Automotive</t>
  </si>
  <si>
    <t>Full-bridge</t>
  </si>
  <si>
    <t>SO-MOD</t>
  </si>
  <si>
    <t>Functional Safety-Capable</t>
  </si>
  <si>
    <t>-40 to 125</t>
  </si>
  <si>
    <t>10.3 x 10.3</t>
  </si>
  <si>
    <t>ACTIVE</t>
  </si>
  <si>
    <t>Three-channel high-side LED driver with thermal sharing and off-board binning</t>
  </si>
  <si>
    <t>Illumination  LED drivers</t>
  </si>
  <si>
    <t>Catalog</t>
  </si>
  <si>
    <t>Current Source</t>
  </si>
  <si>
    <t>HTSSOP</t>
  </si>
  <si>
    <t/>
  </si>
  <si>
    <t>-55 to 125</t>
  </si>
  <si>
    <t>6.5 x 6.4</t>
  </si>
  <si>
    <t>ACTIVE</t>
  </si>
  <si>
    <t>6-A, 50-V, 2.2-MHz wide VIN boost, flyback, &amp; SEPIC converter with dual random spread spectrum</t>
  </si>
  <si>
    <t>AC/DC &amp; DC/DC converters (integrated FET)</t>
  </si>
  <si>
    <t>Automotive</t>
  </si>
  <si>
    <t>Boost,Flyback,SEPIC</t>
  </si>
  <si>
    <t>WQFN</t>
  </si>
  <si>
    <t>Functional Safety-Capable</t>
  </si>
  <si>
    <t>-40 to 150</t>
  </si>
  <si>
    <t>3 x 3</t>
  </si>
  <si>
    <t>ACTIVE</t>
  </si>
  <si>
    <t>Automotive 75-V synchronous buck DC/DC controller with wide duty-cycle range</t>
  </si>
  <si>
    <t>AC/DC &amp; DC/DC controllers (external FET)</t>
  </si>
  <si>
    <t>Automotive</t>
  </si>
  <si>
    <t>Buck</t>
  </si>
  <si>
    <t>VQFN</t>
  </si>
  <si>
    <t>Functional Safety-Capable</t>
  </si>
  <si>
    <t>-40 to 150</t>
  </si>
  <si>
    <t>4.5 x 3.5</t>
  </si>
  <si>
    <t>ACTIVE</t>
  </si>
  <si>
    <t>100-V synchronous buck DC/DC controller with wide duty-cycle range</t>
  </si>
  <si>
    <t>AC/DC &amp; DC/DC controllers (external FET)</t>
  </si>
  <si>
    <t>Catalog</t>
  </si>
  <si>
    <t>Buck</t>
  </si>
  <si>
    <t>VQFN</t>
  </si>
  <si>
    <t>Functional Safety-Capable</t>
  </si>
  <si>
    <t>-40 to 150</t>
  </si>
  <si>
    <t>4.5 x 3.5</t>
  </si>
  <si>
    <t>ACTIVE</t>
  </si>
  <si>
    <t>6-A automotive buck converter optimized for power density and low EMI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</si>
  <si>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</si>
  <si>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</si>
  <si>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</si>
  <si>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</si>
  <si>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</si>
  <si>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</si>
  <si>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4.5 x 3.5</t>
  </si>
  <si>
    <t>ACTIVE</t>
  </si>
  <si>
    <t>Type-3, two-pair, 8-channel PoE PSE controller with autonomous mode, SRAM and 200-mΩ RSENSE</t>
  </si>
  <si>
    <t>Power sourcing equipment</t>
  </si>
  <si>
    <t>Catalog</t>
  </si>
  <si>
    <t>VQFN</t>
  </si>
  <si>
    <t/>
  </si>
  <si>
    <t>-40 to 125</t>
  </si>
  <si>
    <t>8 x 8</t>
  </si>
  <si>
    <t>ACTIVE</t>
  </si>
  <si>
    <t>Automotive three-channel high-side LED driver with thermal sharing and off-board binning</t>
  </si>
  <si>
    <t>Automotive LED drivers</t>
  </si>
  <si>
    <t>Automotive</t>
  </si>
  <si>
    <t>Current Source</t>
  </si>
  <si>
    <t>HTSSOP</t>
  </si>
  <si>
    <t/>
  </si>
  <si>
    <t>-40 to 125</t>
  </si>
  <si>
    <t>6.5 x 6.4</t>
  </si>
  <si>
    <t>ACTIVE</t>
  </si>
  <si>
    <t>USB Type-C® and SDP/CDP charge port converter with short to BATT protection and MFi functionality</t>
  </si>
  <si>
    <t>USB Type-C &amp; USB Power Delivery ICs</t>
  </si>
  <si>
    <t>Automotive</t>
  </si>
  <si>
    <t>VQFN</t>
  </si>
  <si>
    <t>Functional Safety-Capable</t>
  </si>
  <si>
    <t>-40 to 125</t>
  </si>
  <si>
    <t>5 x 5</t>
  </si>
  <si>
    <t>ACTIVE</t>
  </si>
  <si>
    <t>USB Type-C® and SDP/CDP charge port converter with cable compensation and MFi functionality</t>
  </si>
  <si>
    <t>USB Type-C &amp; USB Power Delivery ICs</t>
  </si>
  <si>
    <t>Automotive</t>
  </si>
  <si>
    <t>VQFN</t>
  </si>
  <si>
    <t>Functional Safety-Capable</t>
  </si>
  <si>
    <t>-40 to 125</t>
  </si>
  <si>
    <t>5 x 5</t>
  </si>
  <si>
    <t>ACTIVE</t>
  </si>
  <si>
    <t>Four, single-phase 4-A output DC-DC step-down converter</t>
  </si>
  <si>
    <t>Multi-channel ICs (PMICs)</t>
  </si>
  <si>
    <t>Catalog</t>
  </si>
  <si>
    <t>DSBGA</t>
  </si>
  <si>
    <t/>
  </si>
  <si>
    <t>-40 to 105</t>
  </si>
  <si>
    <t>2.2 x 3</t>
  </si>
  <si>
    <t>ACTIVE</t>
  </si>
  <si>
    <t>Power Management IC (PMIC) for TI AM64x</t>
  </si>
  <si>
    <t>Multi-channel ICs (PMICs)</t>
  </si>
  <si>
    <t>Catalog</t>
  </si>
  <si>
    <t>VQFN</t>
  </si>
  <si>
    <t/>
  </si>
  <si>
    <t>-40 to 105</t>
  </si>
  <si>
    <t>6 x 6</t>
  </si>
  <si>
    <t>ACTIVE</t>
  </si>
  <si>
    <t>2.7-V to 23-V, 5.5-A, 28-mΩ eFuse with bi-directional current support</t>
  </si>
  <si>
    <t>eFuses (integrated hot swaps)</t>
  </si>
  <si>
    <t>Catalog</t>
  </si>
  <si>
    <t>VQFN-HR</t>
  </si>
  <si>
    <t/>
  </si>
  <si>
    <t>-40 to 125</t>
  </si>
  <si>
    <t>2 x 2</t>
  </si>
  <si>
    <t>ACTIVE</t>
  </si>
  <si>
    <t>5.5-V input, 3-A step-down module with integrated inductor in 2.0-mm × 2.5-mm × 1.1-mm uSiP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</si>
  <si>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</si>
  <si>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</si>
  <si>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</si>
  <si>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</si>
  <si>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</si>
  <si>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</si>
  <si>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</si>
  <si>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</si>
  <si>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</si>
  <si>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</si>
  <si>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</si>
  <si>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Ultra-high-precision voltage reference with low noise and low drift</t>
  </si>
  <si>
    <t>Series voltage references</t>
  </si>
  <si>
    <t>Catalog</t>
  </si>
  <si>
    <t>LCCC,VSSOP</t>
  </si>
  <si>
    <t/>
  </si>
  <si>
    <t>-40 to 125</t>
  </si>
  <si>
    <t>14.7,25</t>
  </si>
  <si>
    <t>3 x 4.9,5 x 5</t>
  </si>
  <si>
    <t>1.1,1.37</t>
  </si>
  <si>
    <t>0.65,1.27</t>
  </si>
  <si>
    <t>ACTIVE</t>
  </si>
  <si>
    <t>25&amp;micro;A quiescent current synchronous boost converter</t>
  </si>
  <si>
    <t>AC/DC &amp; DC/DC converters (integrated FET)</t>
  </si>
  <si>
    <t>Automotive</t>
  </si>
  <si>
    <t>Boost</t>
  </si>
  <si>
    <t>WQFN</t>
  </si>
  <si>
    <t>Functional Safety-Capable</t>
  </si>
  <si>
    <t>-40 to 125</t>
  </si>
  <si>
    <t>3 x 3</t>
  </si>
  <si>
    <t>ACTIVE</t>
  </si>
  <si>
    <t>Automotive low-voltage supervisor with adjustable-reset time delay and manual reset</t>
  </si>
  <si>
    <t>Reset &amp; watchdog ICs</t>
  </si>
  <si>
    <t>Automotive</t>
  </si>
  <si>
    <t>SOT-23</t>
  </si>
  <si>
    <t>Functional Safety-Capable</t>
  </si>
  <si>
    <t>-40 to 125</t>
  </si>
  <si>
    <t>2.9 x 2.8</t>
  </si>
  <si>
    <t>ACTIVE</t>
  </si>
  <si>
    <t>Automotive 2.8-V to 5.5-V PMIC with five buck regulators and four low-dropout regulators</t>
  </si>
  <si>
    <t>Multi-channel ICs (PMICs)</t>
  </si>
  <si>
    <t>Automotive</t>
  </si>
  <si>
    <t>VQFNP</t>
  </si>
  <si>
    <t>Functional Safety-Compliant</t>
  </si>
  <si>
    <t>-40 to 125</t>
  </si>
  <si>
    <t>8 x 8</t>
  </si>
  <si>
    <t>ACTIVE</t>
  </si>
  <si>
    <t>38-V 1.2-A single channel LED backlight driver</t>
  </si>
  <si>
    <t>Backlight LED drivers</t>
  </si>
  <si>
    <t>Catalog</t>
  </si>
  <si>
    <t>Boost</t>
  </si>
  <si>
    <t>SOT-SC70</t>
  </si>
  <si>
    <t/>
  </si>
  <si>
    <t>-40 to 85</t>
  </si>
  <si>
    <t>2 x 2.1</t>
  </si>
  <si>
    <t>ACTIVE</t>
  </si>
  <si>
    <t>48x16 common cathode matrix LED display driver with ultra low power</t>
  </si>
  <si>
    <t>LED display drivers</t>
  </si>
  <si>
    <t>Catalog</t>
  </si>
  <si>
    <t>NFBGA,VQFN</t>
  </si>
  <si>
    <t/>
  </si>
  <si>
    <t>-40 to 85</t>
  </si>
  <si>
    <t>76,96</t>
  </si>
  <si>
    <t>36,81</t>
  </si>
  <si>
    <t>6 x 6,9 x 9</t>
  </si>
  <si>
    <t>1,1.1</t>
  </si>
  <si>
    <t>0.4,0.5</t>
  </si>
  <si>
    <t>ACTIVE</t>
  </si>
  <si>
    <t>Automotive, 1-A high-accuracy adjustable low-dropout (LDO) linear regulator</t>
  </si>
  <si>
    <t>Linear &amp; low-dropout (LDO) regulators</t>
  </si>
  <si>
    <t>Automotive</t>
  </si>
  <si>
    <t>TO-252,VSON</t>
  </si>
  <si>
    <t>Functional Safety-Capable</t>
  </si>
  <si>
    <t>-40 to 150</t>
  </si>
  <si>
    <t>5,8</t>
  </si>
  <si>
    <t>9,66.726</t>
  </si>
  <si>
    <t>3 x 3,6.6 x 10.11</t>
  </si>
  <si>
    <t>1,2.52</t>
  </si>
  <si>
    <t>0.65,1.14</t>
  </si>
  <si>
    <t>ACTIVE</t>
  </si>
  <si>
    <t>2.4-V to 5.5-V input, 4-A synchronous step-down converter in 1.5-mm x 2.5-mm QFN package</t>
  </si>
  <si>
    <t>AC/DC &amp; DC/DC converters (integrated FET)</t>
  </si>
  <si>
    <t>Catalog</t>
  </si>
  <si>
    <t>Buck,Step-Down Converter,Synchronous Buck</t>
  </si>
  <si>
    <t>VQFN-HR</t>
  </si>
  <si>
    <t/>
  </si>
  <si>
    <t>-40 to 125</t>
  </si>
  <si>
    <t>2.5 x 1.5</t>
  </si>
  <si>
    <t>ACTIVE</t>
  </si>
  <si>
    <t>2.4-V to 5.5-V input, 6-A synchronous step-down converter in 1.5-mm x 2.5-mm QFN package</t>
  </si>
  <si>
    <t>AC/DC &amp; DC/DC converters (integrated FET)</t>
  </si>
  <si>
    <t>Catalog</t>
  </si>
  <si>
    <t>Buck,Step-Down Converter,Synchronous Buck</t>
  </si>
  <si>
    <t>VQFN-HR</t>
  </si>
  <si>
    <t/>
  </si>
  <si>
    <t>-40 to 125</t>
  </si>
  <si>
    <t>2.5 x 1.5</t>
  </si>
  <si>
    <t>ACTIVE</t>
  </si>
  <si>
    <t>2.7-V to 5.7-V, 31-mΩ, 4-A eFuse with integrated reverse polarity protection</t>
  </si>
  <si>
    <t>eFuses (integrated hot swaps)</t>
  </si>
  <si>
    <t>Catalog</t>
  </si>
  <si>
    <t>VQFN-HR</t>
  </si>
  <si>
    <t/>
  </si>
  <si>
    <t>-40 to 125</t>
  </si>
  <si>
    <t>2 x 2</t>
  </si>
  <si>
    <t>ACTIVE</t>
  </si>
  <si>
    <t>2.7-V to 23-V, 28-mΩ, 5.5-A eFuse with integrated reverse polarity protection</t>
  </si>
  <si>
    <t>eFuses (integrated hot swaps)</t>
  </si>
  <si>
    <t>Catalog</t>
  </si>
  <si>
    <t>VQFN-HR</t>
  </si>
  <si>
    <t/>
  </si>
  <si>
    <t>-40 to 125</t>
  </si>
  <si>
    <t>2 x 2</t>
  </si>
  <si>
    <t>ACTIVE</t>
  </si>
  <si>
    <t>Boost/SEPIC high dimming performance LED driver with four 200-mA channels</t>
  </si>
  <si>
    <t>Backlight LED drivers</t>
  </si>
  <si>
    <t>Catalog</t>
  </si>
  <si>
    <t>Boost,Current Sink</t>
  </si>
  <si>
    <t>VQFN</t>
  </si>
  <si>
    <t/>
  </si>
  <si>
    <t>-40 to 125</t>
  </si>
  <si>
    <t>5 x 5</t>
  </si>
  <si>
    <t>ACTIVE</t>
  </si>
  <si>
    <t>Boost/SEPIC high dimming performance LED driver with six 200-mA channels</t>
  </si>
  <si>
    <t>Backlight LED drivers</t>
  </si>
  <si>
    <t>Catalog</t>
  </si>
  <si>
    <t>Boost,Current Sink</t>
  </si>
  <si>
    <t>VQFN</t>
  </si>
  <si>
    <t/>
  </si>
  <si>
    <t>-40 to 125</t>
  </si>
  <si>
    <t>5 x 5</t>
  </si>
  <si>
    <t>ACTIVE</t>
  </si>
  <si>
    <t>10-A automotive buck converter optimized for power density and low EMI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</si>
  <si>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</si>
  <si>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</si>
  <si>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</si>
  <si>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</si>
  <si>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</si>
  <si>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</si>
  <si>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4.5 x 3.5</t>
  </si>
  <si>
    <t>ACTIVE</t>
  </si>
  <si>
    <t>Dual buck converter and 5-V boost with diagnostic functions for industrial radar</t>
  </si>
  <si>
    <t>Multi-channel ICs (PMICs)</t>
  </si>
  <si>
    <t>Catalog</t>
  </si>
  <si>
    <t>VQFN</t>
  </si>
  <si>
    <t>Functional Safety Quality-Managed</t>
  </si>
  <si>
    <t>-40 to 105</t>
  </si>
  <si>
    <t>5 x 5</t>
  </si>
  <si>
    <t>ACTIVE</t>
  </si>
  <si>
    <t>4.5-V to 15-V, advanced current mode, dual 6-A synchronous SWIFT™ step-down converter</t>
  </si>
  <si>
    <t>AC/DC &amp; DC/DC converters (integrated FET)</t>
  </si>
  <si>
    <t>Catalog</t>
  </si>
  <si>
    <t>Buck</t>
  </si>
  <si>
    <t>VQFN-HR</t>
  </si>
  <si>
    <t/>
  </si>
  <si>
    <t>-40 to 150</t>
  </si>
  <si>
    <t>5 x 3</t>
  </si>
  <si>
    <t>ACTIVE</t>
  </si>
  <si>
    <t>3-V to 17-V, 1-A&amp;nbsp;high-efficiency low-IQ buck converter in 1.5-mm &amp;times; 2-mm QFN package&lt;/p</t>
  </si>
  <si>
    <t>AC/DC &amp; DC/DC converters (integrated FET)</t>
  </si>
  <si>
    <t>Catalog</t>
  </si>
  <si>
    <t>Buck</t>
  </si>
  <si>
    <t>VQFN-HR</t>
  </si>
  <si>
    <t/>
  </si>
  <si>
    <t>-40 to 150</t>
  </si>
  <si>
    <t>2 x 1.5</t>
  </si>
  <si>
    <t>ACTIVE</t>
  </si>
  <si>
    <t>3-V to 17-V, 2-A&amp;nbsp;high-efficiency low-IQ buck converter in 1.5-mm &amp;times; 2-mm QFN package&lt;/p</t>
  </si>
  <si>
    <t>AC/DC &amp; DC/DC converters (integrated FET)</t>
  </si>
  <si>
    <t>Catalog</t>
  </si>
  <si>
    <t>Buck</t>
  </si>
  <si>
    <t>VQFN-HR</t>
  </si>
  <si>
    <t/>
  </si>
  <si>
    <t>-40 to 165</t>
  </si>
  <si>
    <t>2 x 1.5</t>
  </si>
  <si>
    <t>ACTIVE</t>
  </si>
  <si>
    <t>3-V to 17-V, 3-A&amp;nbsp;high-efficiency low-IQ buck converter in 1.5-mm &amp;times; 2-mm QFN package&lt;/p</t>
  </si>
  <si>
    <t>AC/DC &amp; DC/DC converters (integrated FET)</t>
  </si>
  <si>
    <t>Catalog</t>
  </si>
  <si>
    <t>Buck</t>
  </si>
  <si>
    <t>VQFN-HR</t>
  </si>
  <si>
    <t/>
  </si>
  <si>
    <t>-40 to 150</t>
  </si>
  <si>
    <t>2 x 1.5</t>
  </si>
  <si>
    <t>ACTIVE</t>
  </si>
  <si>
    <t>17-VIN, 2-A low-noise and low-ripple buck converter with integrated ferrite bead filter compensation</t>
  </si>
  <si>
    <t>AC/DC &amp; DC/DC converters (integrated FET)</t>
  </si>
  <si>
    <t>Catalog</t>
  </si>
  <si>
    <t>Buck</t>
  </si>
  <si>
    <t>VQFN-HR</t>
  </si>
  <si>
    <t/>
  </si>
  <si>
    <t>-40 to 150</t>
  </si>
  <si>
    <t>2 x 2</t>
  </si>
  <si>
    <t>ACTIVE</t>
  </si>
  <si>
    <t>17-VIN, 3-A low-noise and low-ripple buck converter with integrated ferrite bead filter compensation</t>
  </si>
  <si>
    <t>AC/DC &amp; DC/DC converters (integrated FET)</t>
  </si>
  <si>
    <t>Catalog</t>
  </si>
  <si>
    <t>Buck</t>
  </si>
  <si>
    <t>VQFN-HR</t>
  </si>
  <si>
    <t/>
  </si>
  <si>
    <t>-40 to 150</t>
  </si>
  <si>
    <t>2 x 2</t>
  </si>
  <si>
    <t>ACTIVE</t>
  </si>
  <si>
    <t>4.5-V to 15-V input, dual 6-A, single 12-A, output power module</t>
  </si>
  <si>
    <t>Power modules (integrated inductor)</t>
  </si>
  <si>
    <t>Catalog</t>
  </si>
  <si>
    <t>Synchronous Buck</t>
  </si>
  <si>
    <t>B0QFN</t>
  </si>
  <si>
    <t/>
  </si>
  <si>
    <t>-40 to 125</t>
  </si>
  <si>
    <t>8 x 5.5</t>
  </si>
  <si>
    <t>ACTIVE</t>
  </si>
  <si>
    <t>Automotive 3.75kVrms, 4A/5A single-channel opto-compatible isolated gate driver with 8V/12V UVLO</t>
  </si>
  <si>
    <t>Isolated gate drivers</t>
  </si>
  <si>
    <t>Automotive</t>
  </si>
  <si>
    <t>SOIC</t>
  </si>
  <si>
    <t>Functional Safety-Capable</t>
  </si>
  <si>
    <t>-40 to 125</t>
  </si>
  <si>
    <t>4.68 x 11.5</t>
  </si>
  <si>
    <t>ACTIVE</t>
  </si>
  <si>
    <t>Automotive 5.7kVrms,1.5A/2A single-channel opto-compatible isolated gate driver with 12V UVLO</t>
  </si>
  <si>
    <t>Isolated gate drivers</t>
  </si>
  <si>
    <t>Automotive</t>
  </si>
  <si>
    <t>SOIC</t>
  </si>
  <si>
    <t>Functional Safety-Capable</t>
  </si>
  <si>
    <t>-40 to 125</t>
  </si>
  <si>
    <t>4.68 x 11.5</t>
  </si>
  <si>
    <t>ACTIVE</t>
  </si>
  <si>
    <t>Automotive 5.7kVrms,4A/5A single-channel opto-compatible isolated gate driver with 8V/12V UVLO</t>
  </si>
  <si>
    <t>Isolated gate drivers</t>
  </si>
  <si>
    <t>Automotive</t>
  </si>
  <si>
    <t>SOIC</t>
  </si>
  <si>
    <t>Functional Safety-Capable</t>
  </si>
  <si>
    <t>-40 to 125</t>
  </si>
  <si>
    <t>4.68 x 11.5</t>
  </si>
  <si>
    <t>ACTIVE</t>
  </si>
  <si>
    <t>SIMPLE SWITCHER® 5-V to 36-V, 4-A high-output voltage power module</t>
  </si>
  <si>
    <t>Power modules (integrated inductor)</t>
  </si>
  <si>
    <t>Catalog</t>
  </si>
  <si>
    <t>Buck</t>
  </si>
  <si>
    <t>TO-PMOD</t>
  </si>
  <si>
    <t/>
  </si>
  <si>
    <t>-40 to 125</t>
  </si>
  <si>
    <t>10.16 x 13.77</t>
  </si>
  <si>
    <t>ACTIVE</t>
  </si>
  <si>
    <t>60-V input, 1-V to 16-V output, 1.5-A power module in enhanced HotRod™ QFN package</t>
  </si>
  <si>
    <t>Power modules (integrated inductor)</t>
  </si>
  <si>
    <t>Catalog</t>
  </si>
  <si>
    <t>Buck,Inverting Buck-Boost,Synchronous Buck</t>
  </si>
  <si>
    <t>B3QFN</t>
  </si>
  <si>
    <t>Functional Safety-Capable</t>
  </si>
  <si>
    <t>-40 to 125</t>
  </si>
  <si>
    <t>5.5 x 5</t>
  </si>
  <si>
    <t>ACTIVE</t>
  </si>
  <si>
    <t>-55°C junction, 60-V input, 1-V to 16-V output, 1.5-A power module in enhanced HotRod™ QFN package</t>
  </si>
  <si>
    <t>Power modules (integrated inductor)</t>
  </si>
  <si>
    <t>Catalog</t>
  </si>
  <si>
    <t>Buck,Inverting Buck-Boost,Synchronous Buck</t>
  </si>
  <si>
    <t>B3QFN</t>
  </si>
  <si>
    <t>Functional Safety-Capable</t>
  </si>
  <si>
    <t>-55 to 125</t>
  </si>
  <si>
    <t>5.5 x 5</t>
  </si>
  <si>
    <t>ACTIVE</t>
  </si>
  <si>
    <t>50-V, universal 4-20-mA, ±20-mA current loop protector</t>
  </si>
  <si>
    <t>eFuses (integrated hot swaps)</t>
  </si>
  <si>
    <t>Catalog</t>
  </si>
  <si>
    <t>SOT-23-THN</t>
  </si>
  <si>
    <t/>
  </si>
  <si>
    <t>-40 to 125</t>
  </si>
  <si>
    <t>2.9 x 2.8</t>
  </si>
  <si>
    <t>ACTIVE</t>
  </si>
  <si>
    <t>4-A, 50-V, 2.2-MHz wide VIN boost, flyback, &amp; SEPIC converter with dual random spread spectrum</t>
  </si>
  <si>
    <t>AC/DC &amp; DC/DC converters (integrated FET)</t>
  </si>
  <si>
    <t>Automotive</t>
  </si>
  <si>
    <t>Boost,Flyback,SEPIC</t>
  </si>
  <si>
    <t>WQFN</t>
  </si>
  <si>
    <t>Functional Safety-Capable</t>
  </si>
  <si>
    <t>-40 to 150</t>
  </si>
  <si>
    <t>3 x 3</t>
  </si>
  <si>
    <t>ACTIVE</t>
  </si>
  <si>
    <t>2.4-V to 5.5-V input, 1-A step-down converter with forced PWM in 1.5-mm×1.5-mm QFN package</t>
  </si>
  <si>
    <t>AC/DC &amp; DC/DC converters (integrated FET)</t>
  </si>
  <si>
    <t>Catalog</t>
  </si>
  <si>
    <t>Buck</t>
  </si>
  <si>
    <t>VSON-HR</t>
  </si>
  <si>
    <t/>
  </si>
  <si>
    <t>-40 to 125</t>
  </si>
  <si>
    <t>1.5 x 1.5</t>
  </si>
  <si>
    <t>ACTIVE</t>
  </si>
  <si>
    <t>2.4-V to 5.5-V input, 4-A step-down converter with forced PWM in 1.5-mm × 1.5-mm VSON-HR package</t>
  </si>
  <si>
    <t>AC/DC &amp; DC/DC converters (integrated FET)</t>
  </si>
  <si>
    <t>Catalog</t>
  </si>
  <si>
    <t>Buck,Step-Down Converter,Synchronous Buck</t>
  </si>
  <si>
    <t>VSON-HR</t>
  </si>
  <si>
    <t/>
  </si>
  <si>
    <t>-40 to 125</t>
  </si>
  <si>
    <t>1.5 x 1.5</t>
  </si>
  <si>
    <t>ACTIVE</t>
  </si>
  <si>
    <t>2.2-MHz wide VIN nonsynchronous boost, flyback, &amp; SEPIC controller with dual random spread spectrum</t>
  </si>
  <si>
    <t>AC/DC &amp; DC/DC controllers (external FET)</t>
  </si>
  <si>
    <t>Catalog</t>
  </si>
  <si>
    <t>Boost,Flyback,SEPIC</t>
  </si>
  <si>
    <t>WSON</t>
  </si>
  <si>
    <t>Functional Safety-Capable</t>
  </si>
  <si>
    <t>-40 to 125</t>
  </si>
  <si>
    <t>3 x 2</t>
  </si>
  <si>
    <t>ACTIVE</t>
  </si>
  <si>
    <t>2.2MHz Wide Input Nonsynchronous Boost,SEPIC,Flyback Controller with Spread Spectrum</t>
  </si>
  <si>
    <t>AC/DC &amp; DC/DC controllers (external FET)</t>
  </si>
  <si>
    <t>Catalog</t>
  </si>
  <si>
    <t>Boost,Flyback,SEPIC</t>
  </si>
  <si>
    <t>WSON</t>
  </si>
  <si>
    <t>Functional Safety-Capable</t>
  </si>
  <si>
    <t>-40 to 125</t>
  </si>
  <si>
    <t>3 x 2</t>
  </si>
  <si>
    <t>ACTIVE</t>
  </si>
  <si>
    <t>5.7kVrms,4A/6A dual-channel isolated gate driver w/ 8V UVLO, 3.3mm channel to channel spacing option</t>
  </si>
  <si>
    <t>Isolated gate drivers</t>
  </si>
  <si>
    <t>Catalog</t>
  </si>
  <si>
    <t>SOIC</t>
  </si>
  <si>
    <t/>
  </si>
  <si>
    <t>-40 to 125</t>
  </si>
  <si>
    <t>14,16</t>
  </si>
  <si>
    <t>10.3 x 10.3</t>
  </si>
  <si>
    <t>ACTIVE</t>
  </si>
  <si>
    <t>Automotive 5.7kVrms, 4A/6A dual-channel isolated gate driver with 5V UVLO &amp; 3.3mm ch-to-ch spacing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</si>
  <si>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</si>
  <si>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</si>
  <si>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</si>
  <si>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</si>
  <si>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</si>
  <si>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</si>
  <si>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</si>
  <si>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Reverse polarity protection controller</t>
  </si>
  <si>
    <t>Ideal diode &amp; ORing controllers</t>
  </si>
  <si>
    <t>Automotive</t>
  </si>
  <si>
    <t>SOT-23-THN</t>
  </si>
  <si>
    <t>Functional Safety-Capable</t>
  </si>
  <si>
    <t>-40 to 125</t>
  </si>
  <si>
    <t>2.9 x 2.8</t>
  </si>
  <si>
    <t>ACTIVE</t>
  </si>
  <si>
    <t>12-channel automotive 40-V high-side LED driver with FlexWire interface</t>
  </si>
  <si>
    <t>Automotive LED drivers</t>
  </si>
  <si>
    <t>Automotive</t>
  </si>
  <si>
    <t>Current Source</t>
  </si>
  <si>
    <t>HTSSOP</t>
  </si>
  <si>
    <t>Functional Safety-Capable</t>
  </si>
  <si>
    <t>-40 to 125</t>
  </si>
  <si>
    <t>7.8 x 6.4</t>
  </si>
  <si>
    <t>ACTIVE</t>
  </si>
  <si>
    <t>3-V to 18-V input, 6-A synchronous step-down voltage regulator with pulse skip mode</t>
  </si>
  <si>
    <t>AC/DC &amp; DC/DC converters (integrated FET)</t>
  </si>
  <si>
    <t>Catalog</t>
  </si>
  <si>
    <t>Buck</t>
  </si>
  <si>
    <t>VQFN-HR</t>
  </si>
  <si>
    <t/>
  </si>
  <si>
    <t>-40 to 125</t>
  </si>
  <si>
    <t>2 x 1.5</t>
  </si>
  <si>
    <t>ACTIVE</t>
  </si>
  <si>
    <t>3-V to 18-V input, 6-A synchronous step-down regulator with forced continuous conduction mode</t>
  </si>
  <si>
    <t>AC/DC &amp; DC/DC converters (integrated FET)</t>
  </si>
  <si>
    <t>Catalog</t>
  </si>
  <si>
    <t>Buck</t>
  </si>
  <si>
    <t>VQFN-HR</t>
  </si>
  <si>
    <t/>
  </si>
  <si>
    <t>-40 to 125</t>
  </si>
  <si>
    <t>2 x 1.5</t>
  </si>
  <si>
    <t>ACTIVE</t>
  </si>
  <si>
    <t>5.5-V 4-A synchronous step-down converter with I²C interface in 1.5-mm x 2.5-mm QFN package</t>
  </si>
  <si>
    <t>AC/DC &amp; DC/DC converters (integrated FET)</t>
  </si>
  <si>
    <t>Catalog</t>
  </si>
  <si>
    <t>Buck,Step-Down Converter,Synchronous Buck</t>
  </si>
  <si>
    <t>VQFN-HR</t>
  </si>
  <si>
    <t/>
  </si>
  <si>
    <t>-40 to 125</t>
  </si>
  <si>
    <t>2.5 x 1.5</t>
  </si>
  <si>
    <t>ACTIVE</t>
  </si>
  <si>
    <t>Automotive 500-mA, 40-V, low-dropout (LDO) linear regulator with fast transient response</t>
  </si>
  <si>
    <t>Linear &amp; low-dropout (LDO) regulators</t>
  </si>
  <si>
    <t>Automotive</t>
  </si>
  <si>
    <t>TO-252</t>
  </si>
  <si>
    <t>Functional Safety-Capable</t>
  </si>
  <si>
    <t>-40 to 150</t>
  </si>
  <si>
    <t>6.6 x 10.11</t>
  </si>
  <si>
    <t>ACTIVE</t>
  </si>
  <si>
    <t>4.2-V to 60-V, 1.5-A ultra-small synchronous step-down converter with extended temperature</t>
  </si>
  <si>
    <t>AC/DC &amp; DC/DC converters (integrated FET)</t>
  </si>
  <si>
    <t>Catalog</t>
  </si>
  <si>
    <t>Buck</t>
  </si>
  <si>
    <t>VQFN-HR</t>
  </si>
  <si>
    <t>Functional Safety-Capable</t>
  </si>
  <si>
    <t>-55 to 150</t>
  </si>
  <si>
    <t>3 x 2</t>
  </si>
  <si>
    <t>ACTIVE</t>
  </si>
  <si>
    <t>3-V to 65-V, 0.3-A ultra-small synchronous buck converter with 6 μA IQ</t>
  </si>
  <si>
    <t>AC/DC &amp; DC/DC converters (integrated FET)</t>
  </si>
  <si>
    <t>Catalog</t>
  </si>
  <si>
    <t>Buck</t>
  </si>
  <si>
    <t>VQFN-HR</t>
  </si>
  <si>
    <t/>
  </si>
  <si>
    <t>-40 to 150</t>
  </si>
  <si>
    <t>2 x 2</t>
  </si>
  <si>
    <t>ACTIVE</t>
  </si>
  <si>
    <t>3-V to 65-V, 0.6-A ultra-small synchronous buck converter with 4 μA IQ</t>
  </si>
  <si>
    <t>AC/DC &amp; DC/DC converters (integrated FET)</t>
  </si>
  <si>
    <t>Catalog</t>
  </si>
  <si>
    <t>Buck</t>
  </si>
  <si>
    <t>VQFN-HR</t>
  </si>
  <si>
    <t/>
  </si>
  <si>
    <t>-40 to 150</t>
  </si>
  <si>
    <t>2 x 2</t>
  </si>
  <si>
    <t>ACTIVE</t>
  </si>
  <si>
    <t>2.5-V to 5.5-V input, 4-A step-down converter with 1% output accuracy in 1.5-mm x 1.5-mm QFN package</t>
  </si>
  <si>
    <t>AC/DC &amp; DC/DC converters (integrated FET)</t>
  </si>
  <si>
    <t>Catalog</t>
  </si>
  <si>
    <t>Buck</t>
  </si>
  <si>
    <t>VSON-HR</t>
  </si>
  <si>
    <t/>
  </si>
  <si>
    <t>-40 to 125</t>
  </si>
  <si>
    <t>1.5 x 1.5</t>
  </si>
  <si>
    <t>ACTIVE</t>
  </si>
  <si>
    <t>Four-phase 3-Mhz 1-V 16-A DC/DC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</si>
  <si>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</si>
  <si>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</si>
  <si>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</si>
  <si>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</si>
  <si>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</si>
  <si>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</si>
  <si>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</si>
  <si>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4-V to 18-V, 8-A, synchronous step-down converter extended temperature</t>
  </si>
  <si>
    <t>AC/DC &amp; DC/DC converters (integrated FET)</t>
  </si>
  <si>
    <t>Catalog</t>
  </si>
  <si>
    <t>Buck</t>
  </si>
  <si>
    <t>VQFN-HR</t>
  </si>
  <si>
    <t/>
  </si>
  <si>
    <t>-55 to 150</t>
  </si>
  <si>
    <t>2.5 x 3</t>
  </si>
  <si>
    <t>ACTIVE</t>
  </si>
  <si>
    <t>5.5V, 3.2A, 34mΩ load switch with adjustable current limit</t>
  </si>
  <si>
    <t>Load switches</t>
  </si>
  <si>
    <t>Catalog</t>
  </si>
  <si>
    <t>DSBGA,SOT-23-THN</t>
  </si>
  <si>
    <t/>
  </si>
  <si>
    <t>-40 to 125</t>
  </si>
  <si>
    <t>1.4,8.12</t>
  </si>
  <si>
    <t>1.4 x 1,2.9 x 2.8</t>
  </si>
  <si>
    <t>0.4,1.1</t>
  </si>
  <si>
    <t>0.4,0.95</t>
  </si>
  <si>
    <t>ACTIVE</t>
  </si>
  <si>
    <t>Nanopower supervisor with programmable sense and reset delay</t>
  </si>
  <si>
    <t>Reset &amp; watchdog ICs</t>
  </si>
  <si>
    <t>Catalog</t>
  </si>
  <si>
    <t>WSON</t>
  </si>
  <si>
    <t>Functional Safety-Capable</t>
  </si>
  <si>
    <t>-40 to 125</t>
  </si>
  <si>
    <t>1.5 x 1.5</t>
  </si>
  <si>
    <t>ACTIVE</t>
  </si>
  <si>
    <t>Automotive 18V 1.5A PMIC with three buck converters and one LDO regulator for camera modules</t>
  </si>
  <si>
    <t>Multi-channel ICs (PMICs)</t>
  </si>
  <si>
    <t>Automotive</t>
  </si>
  <si>
    <t>VQFN</t>
  </si>
  <si>
    <t>Functional Safety-Compliant</t>
  </si>
  <si>
    <t>-40 to 125</t>
  </si>
  <si>
    <t>4 x 4</t>
  </si>
  <si>
    <t>ACTIVE</t>
  </si>
  <si>
    <t>42V wide-Vin triple buck and boost controller for automotive applications</t>
  </si>
  <si>
    <t>Multi-channel ICs (PMICs)</t>
  </si>
  <si>
    <t>Automotive</t>
  </si>
  <si>
    <t>VQFN</t>
  </si>
  <si>
    <t>Functional Safety-Capable</t>
  </si>
  <si>
    <t>-40 to 150</t>
  </si>
  <si>
    <t>7 x 7</t>
  </si>
  <si>
    <t>ACTIVE</t>
  </si>
  <si>
    <t>48-channel, 16-bit, PWM LED driver with internal current settings</t>
  </si>
  <si>
    <t>Backlight LED drivers,Automotive LED drivers</t>
  </si>
  <si>
    <t>Automotive</t>
  </si>
  <si>
    <t>Current Sink</t>
  </si>
  <si>
    <t>HTSSOP</t>
  </si>
  <si>
    <t>Functional Safety-Capable</t>
  </si>
  <si>
    <t>-40 to 125</t>
  </si>
  <si>
    <t>14 x 8.1</t>
  </si>
  <si>
    <t>ACTIVE</t>
  </si>
  <si>
    <t>Dual-channel D-CAP+, dual-channel (N+M&amp;lt;= 7 phases) step-down, multiphase controller with AVSBus</t>
  </si>
  <si>
    <t>AC/DC &amp; DC/DC controllers (external FET)</t>
  </si>
  <si>
    <t>Catalog</t>
  </si>
  <si>
    <t>Multiphase</t>
  </si>
  <si>
    <t>VQFN</t>
  </si>
  <si>
    <t/>
  </si>
  <si>
    <t>-40 to 125</t>
  </si>
  <si>
    <t>6 x 6</t>
  </si>
  <si>
    <t>ACTIVE</t>
  </si>
  <si>
    <t>4-V to 18-V, 8-A synchronous SWIFT™ step-down converter</t>
  </si>
  <si>
    <t>AC/DC &amp; DC/DC converters (integrated FET)</t>
  </si>
  <si>
    <t>Catalog</t>
  </si>
  <si>
    <t>Buck</t>
  </si>
  <si>
    <t>VQFN-HR</t>
  </si>
  <si>
    <t/>
  </si>
  <si>
    <t>-40 to 150</t>
  </si>
  <si>
    <t>2.5 x 3</t>
  </si>
  <si>
    <t>ACTIVE</t>
  </si>
  <si>
    <t>Automotive 2.7V-to-6V 1A step-down converter in SOT-583 package</t>
  </si>
  <si>
    <t>AC/DC &amp; DC/DC converters (integrated FET)</t>
  </si>
  <si>
    <t>Automotive</t>
  </si>
  <si>
    <t>Buck</t>
  </si>
  <si>
    <t>SOT-5X3</t>
  </si>
  <si>
    <t>Functional Safety-Capable</t>
  </si>
  <si>
    <t>-40 to 125</t>
  </si>
  <si>
    <t>2.52,3.36</t>
  </si>
  <si>
    <t>2.1 x 1.2,2.1 x 1.6</t>
  </si>
  <si>
    <t>ACTIVE</t>
  </si>
  <si>
    <t>Automotive 3.0kVrms, ±10A single-channel isolated gate driver w/ DESAT &amp; internal clamp for IGBT/SiC</t>
  </si>
  <si>
    <t>Isolated gate drivers</t>
  </si>
  <si>
    <t>Automotive</t>
  </si>
  <si>
    <t>SOIC</t>
  </si>
  <si>
    <t/>
  </si>
  <si>
    <t>-40 to 150</t>
  </si>
  <si>
    <t>10.3 x 10.3</t>
  </si>
  <si>
    <t>ACTIVE</t>
  </si>
  <si>
    <t>2.7-V to 23-V, 28-mΩ, 5.5-A load switch with integrated ideal diode &amp; overvoltage protection</t>
  </si>
  <si>
    <t>Ideal diode &amp; ORing controllers,Load switches</t>
  </si>
  <si>
    <t>Catalog</t>
  </si>
  <si>
    <t>VQFN-HR</t>
  </si>
  <si>
    <t/>
  </si>
  <si>
    <t>-40 to 125</t>
  </si>
  <si>
    <t>2 x 2</t>
  </si>
  <si>
    <t>ACTIVE</t>
  </si>
  <si>
    <t>Automotive, adjustable- and fixed-output, 500-mA, 16-V, positive-voltage, LDO linear regulator</t>
  </si>
  <si>
    <t>Linear &amp; low-dropout (LDO) regulators</t>
  </si>
  <si>
    <t>Automotive</t>
  </si>
  <si>
    <t>VSON</t>
  </si>
  <si>
    <t>Functional Safety-Capable</t>
  </si>
  <si>
    <t>-40 to 150</t>
  </si>
  <si>
    <t>3 x 3</t>
  </si>
  <si>
    <t>ACTIVE</t>
  </si>
  <si>
    <t>Automotive adjustable- and fixed-output, 1-A, 16-V, positive-voltage low-dropout linear regulator</t>
  </si>
  <si>
    <t>Linear &amp; low-dropout (LDO) regulators</t>
  </si>
  <si>
    <t>Automotive</t>
  </si>
  <si>
    <t>VSON</t>
  </si>
  <si>
    <t/>
  </si>
  <si>
    <t>-40 to 150</t>
  </si>
  <si>
    <t>3 x 3</t>
  </si>
  <si>
    <t>ACTIVE</t>
  </si>
  <si>
    <t>42-V, 2-A industrial eFuse with integrated reverse input polarity protection</t>
  </si>
  <si>
    <t>eFuses (integrated hot swaps)</t>
  </si>
  <si>
    <t>Catalog</t>
  </si>
  <si>
    <t>HTSSOP,VQFN</t>
  </si>
  <si>
    <t/>
  </si>
  <si>
    <t>-40 to 125</t>
  </si>
  <si>
    <t>16,24</t>
  </si>
  <si>
    <t>20,32</t>
  </si>
  <si>
    <t>5 x 4,5 x 6.4</t>
  </si>
  <si>
    <t>1,1.2</t>
  </si>
  <si>
    <t>0.5,0.65</t>
  </si>
  <si>
    <t>ACTIVE</t>
  </si>
  <si>
    <t>36-V, 16-A buck-boost converter with I2C control, AEC-Q100 qualified</t>
  </si>
  <si>
    <t>AC/DC &amp; DC/DC converters (integrated FET)</t>
  </si>
  <si>
    <t>Automotive</t>
  </si>
  <si>
    <t>Buck-Boost</t>
  </si>
  <si>
    <t>VQFN-HR</t>
  </si>
  <si>
    <t>Functional Safety-Capable</t>
  </si>
  <si>
    <t>-40 to 150</t>
  </si>
  <si>
    <t>4 x 3.5</t>
  </si>
  <si>
    <t>ACTIVE</t>
  </si>
  <si>
    <t>36-V, 16-A buck-boost converter, AEC-Q100 qualified</t>
  </si>
  <si>
    <t>AC/DC &amp; DC/DC converters (integrated FET)</t>
  </si>
  <si>
    <t>Automotive</t>
  </si>
  <si>
    <t>Buck-Boost</t>
  </si>
  <si>
    <t>VQFN-HR</t>
  </si>
  <si>
    <t>Functional Safety-Capable</t>
  </si>
  <si>
    <t>-40 to 150</t>
  </si>
  <si>
    <t>4 x 3.5</t>
  </si>
  <si>
    <t>ACTIVE</t>
  </si>
  <si>
    <t>Dual-channel D-CAP+&amp;trade;, PMBus (N+M &amp;le; 12 phases) step-down, multiphase PWM controller</t>
  </si>
  <si>
    <t>AC/DC &amp; DC/DC controllers (external FET)</t>
  </si>
  <si>
    <t>Catalog</t>
  </si>
  <si>
    <t>Multiphase</t>
  </si>
  <si>
    <t>VQFN</t>
  </si>
  <si>
    <t/>
  </si>
  <si>
    <t>-40 to 125</t>
  </si>
  <si>
    <t>6 x 6</t>
  </si>
  <si>
    <t>ACTIVE</t>
  </si>
  <si>
    <t>4-V to 18-V, 3-A synchronous SWIFT™ step-down converter</t>
  </si>
  <si>
    <t>AC/DC &amp; DC/DC converters (integrated FET)</t>
  </si>
  <si>
    <t>Catalog</t>
  </si>
  <si>
    <t>Buck</t>
  </si>
  <si>
    <t>VQFN-HR</t>
  </si>
  <si>
    <t/>
  </si>
  <si>
    <t>-40 to 150</t>
  </si>
  <si>
    <t>2.5 x 3</t>
  </si>
  <si>
    <t>ACTIVE</t>
  </si>
  <si>
    <t>18-V, 15-A synchronous boost converter</t>
  </si>
  <si>
    <t>AC/DC &amp; DC/DC converters (integrated FET)</t>
  </si>
  <si>
    <t>Catalog</t>
  </si>
  <si>
    <t>Boost</t>
  </si>
  <si>
    <t>VQFN-HR</t>
  </si>
  <si>
    <t/>
  </si>
  <si>
    <t>-40 to 125</t>
  </si>
  <si>
    <t>3 x 2</t>
  </si>
  <si>
    <t>ACTIVE</t>
  </si>
  <si>
    <t>Automotive 150-mA, 40-V, low-dropout voltage regulator with integrated voltage monitoring</t>
  </si>
  <si>
    <t>Linear &amp; low-dropout (LDO) regulators</t>
  </si>
  <si>
    <t>Automotive</t>
  </si>
  <si>
    <t>VSON</t>
  </si>
  <si>
    <t>Functional Safety-Capable</t>
  </si>
  <si>
    <t>-40 to 150</t>
  </si>
  <si>
    <t>3 x 3</t>
  </si>
  <si>
    <t>ACTIVE</t>
  </si>
  <si>
    <t>IEEE 802.3bt type 3 class 1-4 PoE PD with no-opto flyback DC-DC controller</t>
  </si>
  <si>
    <t>Powered devices</t>
  </si>
  <si>
    <t>Catalog</t>
  </si>
  <si>
    <t>VQFN</t>
  </si>
  <si>
    <t/>
  </si>
  <si>
    <t>-40 to 125</t>
  </si>
  <si>
    <t>7 x 5</t>
  </si>
  <si>
    <t>ACTIVE</t>
  </si>
  <si>
    <t>Enhanced product 17-V, 6-A synchronous step-down switcher</t>
  </si>
  <si>
    <t>AC/DC &amp; DC/DC converters (integrated FET)</t>
  </si>
  <si>
    <t>HiRel Enhanced Product</t>
  </si>
  <si>
    <t>Buck</t>
  </si>
  <si>
    <t>VQFN</t>
  </si>
  <si>
    <t/>
  </si>
  <si>
    <t>-55 to 125</t>
  </si>
  <si>
    <t>3.5 x 3.5</t>
  </si>
  <si>
    <t>ACTIVE</t>
  </si>
  <si>
    <t>2.7-V to 16-V input, 20-A synchronous step-down converter with remote sense and hiccup current limit</t>
  </si>
  <si>
    <t>AC/DC &amp; DC/DC converters (integrated FET)</t>
  </si>
  <si>
    <t>Catalog</t>
  </si>
  <si>
    <t>Buck</t>
  </si>
  <si>
    <t>VQFN-HR</t>
  </si>
  <si>
    <t/>
  </si>
  <si>
    <t>-40 to 125</t>
  </si>
  <si>
    <t>4 x 3</t>
  </si>
  <si>
    <t>ACTIVE</t>
  </si>
  <si>
    <t>Automotive 3-V to 36-V, 4-A, low-noise fixed frequency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</si>
  <si>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</si>
  <si>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</si>
  <si>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</si>
  <si>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</si>
  <si>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</si>
  <si>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</si>
  <si>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 x 3.5</t>
  </si>
  <si>
    <t>ACTIVE</t>
  </si>
  <si>
    <t>5.5-V 6-A synchronous step-down converter with I²C interface in 1.5-mm x 2.5-mm QFN package</t>
  </si>
  <si>
    <t>AC/DC &amp; DC/DC converters (integrated FET)</t>
  </si>
  <si>
    <t>Catalog</t>
  </si>
  <si>
    <t>Buck,Step-Down Converter,Synchronous Buck</t>
  </si>
  <si>
    <t>VQFN-HR</t>
  </si>
  <si>
    <t/>
  </si>
  <si>
    <t>-40 to 125</t>
  </si>
  <si>
    <t>2.5 x 1.5</t>
  </si>
  <si>
    <t>ACTIVE</t>
  </si>
  <si>
    <t>5kVrms 4A/5A, single-channel opto-compatible isolated gate driver w/ clamp &amp; split output options</t>
  </si>
  <si>
    <t>Isolated gate drivers</t>
  </si>
  <si>
    <t>Catalog</t>
  </si>
  <si>
    <t>SOIC</t>
  </si>
  <si>
    <t/>
  </si>
  <si>
    <t>-40 to 125</t>
  </si>
  <si>
    <t>5.85 x 11.5</t>
  </si>
  <si>
    <t>ACTIVE</t>
  </si>
  <si>
    <t>Automotive ideal diode controller with active rectification driving B2B NFETs</t>
  </si>
  <si>
    <t>Ideal diode &amp; ORing controllers</t>
  </si>
  <si>
    <t>Automotive</t>
  </si>
  <si>
    <t>WSON</t>
  </si>
  <si>
    <t>Functional Safety-Capable</t>
  </si>
  <si>
    <t>-40 to 125</t>
  </si>
  <si>
    <t>3 x 3</t>
  </si>
  <si>
    <t>ACTIVE</t>
  </si>
  <si>
    <t>3-V to 65-V input, 100-mA, step-down power module in 2.8 x 3.7 mm package</t>
  </si>
  <si>
    <t>Power modules (integrated inductor)</t>
  </si>
  <si>
    <t>Catalog</t>
  </si>
  <si>
    <t>Buck,Inverting Buck-Boost,Synchronous Buck</t>
  </si>
  <si>
    <t>uSIP</t>
  </si>
  <si>
    <t/>
  </si>
  <si>
    <t>-40 to 125</t>
  </si>
  <si>
    <t>3.7 x 2.8</t>
  </si>
  <si>
    <t>ACTIVE</t>
  </si>
  <si>
    <t>4-V to 16-V, 15-A, stackable power module</t>
  </si>
  <si>
    <t>Power modules (integrated inductor)</t>
  </si>
  <si>
    <t>Catalog</t>
  </si>
  <si>
    <t>Synchronous Buck</t>
  </si>
  <si>
    <t>QFM</t>
  </si>
  <si>
    <t/>
  </si>
  <si>
    <t>-40 to 125</t>
  </si>
  <si>
    <t>16 x 11</t>
  </si>
  <si>
    <t>ACTIVE</t>
  </si>
  <si>
    <t>4-V to 16-V, 25-A, stackable power module</t>
  </si>
  <si>
    <t>Power modules (integrated inductor)</t>
  </si>
  <si>
    <t>Catalog</t>
  </si>
  <si>
    <t>Buck,Synchronous Buck</t>
  </si>
  <si>
    <t>QFM</t>
  </si>
  <si>
    <t/>
  </si>
  <si>
    <t>-40 to 125</t>
  </si>
  <si>
    <t>16 x 11</t>
  </si>
  <si>
    <t>ACTIVE</t>
  </si>
  <si>
    <t>40-V, 35-mΩ, 1-ch automotive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</si>
  <si>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</si>
  <si>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</si>
  <si>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</si>
  <si>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</si>
  <si>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</si>
  <si>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</si>
  <si>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</si>
  <si>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40-V, 50-mΩ, 1-ch automotive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</si>
  <si>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</si>
  <si>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</si>
  <si>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</si>
  <si>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</si>
  <si>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</si>
  <si>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</si>
  <si>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</si>
  <si>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36-V, 8-mΩ, 10-A, 1-ch automotive smart high-side switch with current monitoring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</si>
  <si>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</si>
  <si>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</si>
  <si>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</si>
  <si>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</si>
  <si>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</si>
  <si>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</si>
  <si>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</si>
  <si>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2.75-V to 6-V, 4-A step-down module with adjustable-frequency &amp; tracking in 3 x 4-mm μSIP package</t>
  </si>
  <si>
    <t>Power modules (integrated inductor)</t>
  </si>
  <si>
    <t>Catalog</t>
  </si>
  <si>
    <t>Buck,Step-Down Converter,Synchronous Buck</t>
  </si>
  <si>
    <t>USIP,uSIP</t>
  </si>
  <si>
    <t/>
  </si>
  <si>
    <t>-40 to 125</t>
  </si>
  <si>
    <t>12,See data sheet</t>
  </si>
  <si>
    <t>4 x 3,See data sheet</t>
  </si>
  <si>
    <t>2.4,—</t>
  </si>
  <si>
    <t>0.65,—</t>
  </si>
  <si>
    <t>ACTIVE</t>
  </si>
  <si>
    <t>6V 3A step-down module with optional frequency synchronization, adjustable soft-start and tracking</t>
  </si>
  <si>
    <t>Power modules (integrated inductor)</t>
  </si>
  <si>
    <t>Catalog</t>
  </si>
  <si>
    <t>Buck,Step-Down Converter,Synchronous Buck</t>
  </si>
  <si>
    <t>QFN-FCMOD,USIP,uSIP</t>
  </si>
  <si>
    <t/>
  </si>
  <si>
    <t>-40 to 125</t>
  </si>
  <si>
    <t>13,14</t>
  </si>
  <si>
    <t>7.5,12,See data sheet</t>
  </si>
  <si>
    <t>3 x 2.5,4 x 3,See data sheet</t>
  </si>
  <si>
    <t>2,2.4,—</t>
  </si>
  <si>
    <t>0.58,0.65,—</t>
  </si>
  <si>
    <t>ACTIVE</t>
  </si>
  <si>
    <t>Dual 3-A USB Type-C® charging ports controller with programmable current limit and load shedding</t>
  </si>
  <si>
    <t>USB Type-C &amp; USB Power Delivery ICs</t>
  </si>
  <si>
    <t>Automotive</t>
  </si>
  <si>
    <t>VQFN-HR</t>
  </si>
  <si>
    <t/>
  </si>
  <si>
    <t>-40 to 125</t>
  </si>
  <si>
    <t>4.5 x 3.5</t>
  </si>
  <si>
    <t>ACTIVE</t>
  </si>
  <si>
    <t>Dual 2.4-A USB Type-A charging ports controller with load shedding</t>
  </si>
  <si>
    <t>USB power switches &amp; charging port controllers</t>
  </si>
  <si>
    <t>Automotive</t>
  </si>
  <si>
    <t>VQFN-HR</t>
  </si>
  <si>
    <t/>
  </si>
  <si>
    <t>-40 to 125</t>
  </si>
  <si>
    <t>4.5 x 3.5</t>
  </si>
  <si>
    <t>ACTIVE</t>
  </si>
  <si>
    <t>Automotive 500-mA, 40-V, low dropout (LDO) regulator with power good</t>
  </si>
  <si>
    <t>Linear &amp; low-dropout (LDO) regulators</t>
  </si>
  <si>
    <t>Automotive</t>
  </si>
  <si>
    <t>HSOIC,TO-252</t>
  </si>
  <si>
    <t>Functional Safety-Capable</t>
  </si>
  <si>
    <t>-40 to 150</t>
  </si>
  <si>
    <t>5,8</t>
  </si>
  <si>
    <t>29.4,66.726</t>
  </si>
  <si>
    <t>4.9 x 6,6.6 x 10.11</t>
  </si>
  <si>
    <t>1.7,2.52</t>
  </si>
  <si>
    <t>1.14,1.27</t>
  </si>
  <si>
    <t>ACTIVE</t>
  </si>
  <si>
    <t>2.5-A to 3.5-A, 120-V half bridge gate driver with 8-V UVLO and enable</t>
  </si>
  <si>
    <t>Half-bridge drivers</t>
  </si>
  <si>
    <t>Catalog</t>
  </si>
  <si>
    <t>SOIC,VSON</t>
  </si>
  <si>
    <t>Functional Safety-Capable</t>
  </si>
  <si>
    <t>-40 to 125</t>
  </si>
  <si>
    <t>8,10</t>
  </si>
  <si>
    <t>9,16,29.4</t>
  </si>
  <si>
    <t>3 x 3,4 x 4,4.9 x 6</t>
  </si>
  <si>
    <t>1,1.75</t>
  </si>
  <si>
    <t>0.5,0.8,1.27</t>
  </si>
  <si>
    <t>ACTIVE</t>
  </si>
  <si>
    <t>Automotive, 40V, half-bridge smart gate driver w/offline diagnostics and inline current sense amp</t>
  </si>
  <si>
    <t>Half-bridge drivers</t>
  </si>
  <si>
    <t>Automotive</t>
  </si>
  <si>
    <t>External FET</t>
  </si>
  <si>
    <t>VQFN</t>
  </si>
  <si>
    <t/>
  </si>
  <si>
    <t>-40 to 125</t>
  </si>
  <si>
    <t>5 x 5</t>
  </si>
  <si>
    <t>ACTIVE</t>
  </si>
  <si>
    <t>Automotive 500-mA, 40-V, ultra-low-IQ, low-dropout (LDO) linear regulator with power good</t>
  </si>
  <si>
    <t>Linear &amp; low-dropout (LDO) regulators</t>
  </si>
  <si>
    <t>Automotive</t>
  </si>
  <si>
    <t>HSOIC,TO-252</t>
  </si>
  <si>
    <t>Functional Safety-Capable</t>
  </si>
  <si>
    <t>-40 to 150</t>
  </si>
  <si>
    <t>5,8</t>
  </si>
  <si>
    <t>29.4,66.726</t>
  </si>
  <si>
    <t>4.9 x 6,6.6 x 10.11</t>
  </si>
  <si>
    <t>1.7,2.52</t>
  </si>
  <si>
    <t>1.14,1.27</t>
  </si>
  <si>
    <t>ACTIVE</t>
  </si>
  <si>
    <t>2.4-V to 5.5-V input, 2-A step-down converter with forced PWM in 1.5-mm × 1.5-mm VSON-HR package</t>
  </si>
  <si>
    <t>AC/DC &amp; DC/DC converters (integrated FET)</t>
  </si>
  <si>
    <t>Catalog</t>
  </si>
  <si>
    <t>Buck</t>
  </si>
  <si>
    <t>VSON-HR</t>
  </si>
  <si>
    <t/>
  </si>
  <si>
    <t>-40 to 125</t>
  </si>
  <si>
    <t>1.5 x 1.5</t>
  </si>
  <si>
    <t>ACTIVE</t>
  </si>
  <si>
    <t>2.4-V to 5.5-V input, 3-A step-down converter with forced PWM in 1.5-mm×1.5-mm VSON-HR package</t>
  </si>
  <si>
    <t>AC/DC &amp; DC/DC converters (integrated FET)</t>
  </si>
  <si>
    <t>Catalog</t>
  </si>
  <si>
    <t>Buck</t>
  </si>
  <si>
    <t>VSON-HR</t>
  </si>
  <si>
    <t/>
  </si>
  <si>
    <t>-40 to 125</t>
  </si>
  <si>
    <t>1.5 x 1.5</t>
  </si>
  <si>
    <t>ACTIVE</t>
  </si>
  <si>
    <t>Industrial 3-V to 36-V, 6-A, low-noise synchronous step-down converter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</si>
  <si>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</si>
  <si>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</si>
  <si>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</si>
  <si>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</si>
  <si>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</si>
  <si>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</si>
  <si>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4 x 3.5</t>
  </si>
  <si>
    <t>ACTIVE</t>
  </si>
  <si>
    <t>36-V, 16-A buck-boost converter</t>
  </si>
  <si>
    <t>AC/DC &amp; DC/DC converters (integrated FET)</t>
  </si>
  <si>
    <t>Catalog</t>
  </si>
  <si>
    <t>Buck-Boost</t>
  </si>
  <si>
    <t>VQFN-HR</t>
  </si>
  <si>
    <t/>
  </si>
  <si>
    <t>-40 to 125</t>
  </si>
  <si>
    <t>4 x 3.5</t>
  </si>
  <si>
    <t>ACTIVE</t>
  </si>
  <si>
    <t>5.5-V input, 1-A step-down module with integrated inductor in 2 x 2.5 x 1.1-mm μSIP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</si>
  <si>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</si>
  <si>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</si>
  <si>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</si>
  <si>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</si>
  <si>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</si>
  <si>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</si>
  <si>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</si>
  <si>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</si>
  <si>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</si>
  <si>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</si>
  <si>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</si>
  <si>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5.5-V input, 2-A step-down module with integrated inductor in 2 x 2.5 x 1.1-mm μSIP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</si>
  <si>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</si>
  <si>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</si>
  <si>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</si>
  <si>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</si>
  <si>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</si>
  <si>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</si>
  <si>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</si>
  <si>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</si>
  <si>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</si>
  <si>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</si>
  <si>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</si>
  <si>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Radiation-tolerant, 3.5-V to 32-V input, 6-A synchronous step-down converter in a plastic package</t>
  </si>
  <si>
    <t>AC/DC &amp; DC/DC converters (integrated FET)</t>
  </si>
  <si>
    <t>Space</t>
  </si>
  <si>
    <t>Buck</t>
  </si>
  <si>
    <t>DIESALE,WQFN</t>
  </si>
  <si>
    <t/>
  </si>
  <si>
    <t>-55 to 125</t>
  </si>
  <si>
    <t>0,30</t>
  </si>
  <si>
    <t>24,See data sheet</t>
  </si>
  <si>
    <t>6 x 4,See data sheet</t>
  </si>
  <si>
    <t>0.8,—</t>
  </si>
  <si>
    <t>0.5,—</t>
  </si>
  <si>
    <t>ACTIVE</t>
  </si>
  <si>
    <t>42-VIN no-opto flyback converter with 65-V, 2.5-A integrated MOSFET</t>
  </si>
  <si>
    <t>AC/DC &amp; DC/DC converters (integrated FET)</t>
  </si>
  <si>
    <t>Catalog</t>
  </si>
  <si>
    <t>PSR flyback</t>
  </si>
  <si>
    <t>WSON</t>
  </si>
  <si>
    <t>Functional Safety-Capable</t>
  </si>
  <si>
    <t>-40 to 150</t>
  </si>
  <si>
    <t>4 x 4</t>
  </si>
  <si>
    <t>ACTIVE</t>
  </si>
  <si>
    <t>4-V to 18-V input, voltage mode, 15-A synchronous SWIFT™ step-down converter with remote sense</t>
  </si>
  <si>
    <t>AC/DC &amp; DC/DC converters (integrated FET)</t>
  </si>
  <si>
    <t>Catalog</t>
  </si>
  <si>
    <t>Buck</t>
  </si>
  <si>
    <t>VQFN-HR</t>
  </si>
  <si>
    <t/>
  </si>
  <si>
    <t>-40 to 150</t>
  </si>
  <si>
    <t>4 x 4.5</t>
  </si>
  <si>
    <t>ACTIVE</t>
  </si>
  <si>
    <t>Automotive 150-mA, 40-V, low-dropout (LDO) linear regulator with fast transient response</t>
  </si>
  <si>
    <t>Linear &amp; low-dropout (LDO) regulators</t>
  </si>
  <si>
    <t>Automotive</t>
  </si>
  <si>
    <t>SOT-223</t>
  </si>
  <si>
    <t>Functional Safety-Capable</t>
  </si>
  <si>
    <t>-40 to 125</t>
  </si>
  <si>
    <t>6.5 x 7</t>
  </si>
  <si>
    <t>ACTIVE</t>
  </si>
  <si>
    <t>Automotive 150-mA, 40-V, low-dropout (LDO) linear regulator with enable and fast transient response</t>
  </si>
  <si>
    <t>Linear &amp; low-dropout (LDO) regulators</t>
  </si>
  <si>
    <t>Automotive</t>
  </si>
  <si>
    <t>SOT-223,VSON</t>
  </si>
  <si>
    <t>Functional Safety-Capable</t>
  </si>
  <si>
    <t>-40 to 125</t>
  </si>
  <si>
    <t>4,8</t>
  </si>
  <si>
    <t>9,45.5</t>
  </si>
  <si>
    <t>3 x 3,6.5 x 7</t>
  </si>
  <si>
    <t>1,1.8</t>
  </si>
  <si>
    <t>0.65,2.3</t>
  </si>
  <si>
    <t>ACTIVE</t>
  </si>
  <si>
    <t>5.7kVrms ±10A, single-channel-isolated gate driver with OC detection, internal clamp for IGBT/SiC</t>
  </si>
  <si>
    <t>Isolated gate drivers</t>
  </si>
  <si>
    <t>Catalog</t>
  </si>
  <si>
    <t>SOIC</t>
  </si>
  <si>
    <t/>
  </si>
  <si>
    <t>-40 to 125</t>
  </si>
  <si>
    <t>10.3 x 10.3</t>
  </si>
  <si>
    <t>ACTIVE</t>
  </si>
  <si>
    <t>Power Management IC (PMIC) for NXP i.MX 6ULL/ 6UltraLite</t>
  </si>
  <si>
    <t>Multi-channel ICs (PMICs)</t>
  </si>
  <si>
    <t>Catalog</t>
  </si>
  <si>
    <t>VQFN</t>
  </si>
  <si>
    <t/>
  </si>
  <si>
    <t>-40 to 105</t>
  </si>
  <si>
    <t>6 x 6</t>
  </si>
  <si>
    <t>ACTIVE</t>
  </si>
  <si>
    <t>Power Management IC (PMIC) for NXP i.MX 6Solo/ 6DualLite</t>
  </si>
  <si>
    <t>Multi-channel ICs (PMICs)</t>
  </si>
  <si>
    <t>Catalog</t>
  </si>
  <si>
    <t>VQFN</t>
  </si>
  <si>
    <t/>
  </si>
  <si>
    <t>-40 to 105</t>
  </si>
  <si>
    <t>6 x 6</t>
  </si>
  <si>
    <t>ACTIVE</t>
  </si>
  <si>
    <t>Automotive, 3.75kVrms 30A single-channel functional safety isolated gate driver for IGBT/SiC</t>
  </si>
  <si>
    <t>Isolated gate drivers</t>
  </si>
  <si>
    <t>Automotive</t>
  </si>
  <si>
    <t>SSOP</t>
  </si>
  <si>
    <t>Functional Safety-Compliant</t>
  </si>
  <si>
    <t>-40 to 125</t>
  </si>
  <si>
    <t>12.8 x 10.3</t>
  </si>
  <si>
    <t>ACTIVE</t>
  </si>
  <si>
    <t>4-V to 18-V input, advanced current mode, 6-A synchronous SWIFT™ step-down converter</t>
  </si>
  <si>
    <t>AC/DC &amp; DC/DC converters (integrated FET)</t>
  </si>
  <si>
    <t>Catalog</t>
  </si>
  <si>
    <t>Buck</t>
  </si>
  <si>
    <t>VQFN-HR</t>
  </si>
  <si>
    <t/>
  </si>
  <si>
    <t>-40 to 150</t>
  </si>
  <si>
    <t>2.5 x 3</t>
  </si>
  <si>
    <t>ACTIVE</t>
  </si>
  <si>
    <t>2.7-V to 6-V, 2-A automotive step-down converter in SOT583 package</t>
  </si>
  <si>
    <t>AC/DC &amp; DC/DC converters (integrated FET)</t>
  </si>
  <si>
    <t>Automotive</t>
  </si>
  <si>
    <t>Buck</t>
  </si>
  <si>
    <t>SOT-5X3</t>
  </si>
  <si>
    <t>Functional Safety-Capable</t>
  </si>
  <si>
    <t>-40 to 150</t>
  </si>
  <si>
    <t>2.52,3.36</t>
  </si>
  <si>
    <t>2.1 x 1.2,2.1 x 1.6</t>
  </si>
  <si>
    <t>ACTIVE</t>
  </si>
  <si>
    <t>Automotive 3-A, 120-V half bridge gate driver with 5-V UVLO</t>
  </si>
  <si>
    <t>Half-bridge drivers</t>
  </si>
  <si>
    <t>Automotive</t>
  </si>
  <si>
    <t>SOIC</t>
  </si>
  <si>
    <t>Functional Safety-Capable</t>
  </si>
  <si>
    <t>-40 to 125</t>
  </si>
  <si>
    <t>4.9 x 6</t>
  </si>
  <si>
    <t>ACTIVE</t>
  </si>
  <si>
    <t>36-V, 160-mΩ, 1.35-A, 4-ch, Industrial high-side switch with adjustable current limit</t>
  </si>
  <si>
    <t>High-side switches</t>
  </si>
  <si>
    <t>Catalog</t>
  </si>
  <si>
    <t>WQFN</t>
  </si>
  <si>
    <t>Functional Safety-Capable</t>
  </si>
  <si>
    <t>-40 to 125</t>
  </si>
  <si>
    <t>4 x 5</t>
  </si>
  <si>
    <t>ACTIVE</t>
  </si>
  <si>
    <t>4.3-V to 17-V input, 2-A FCCM mode synchronous buck converter in SOT563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</si>
  <si>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</si>
  <si>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</si>
  <si>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</si>
  <si>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</si>
  <si>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</si>
  <si>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</si>
  <si>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</si>
  <si>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</si>
  <si>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4V to 36V, 1A synchronous step-down SIMPLE SWITCHER® power converter</t>
  </si>
  <si>
    <t>AC/DC &amp; DC/DC converters (integrated FET)</t>
  </si>
  <si>
    <t>Catalog</t>
  </si>
  <si>
    <t>Buck</t>
  </si>
  <si>
    <t>SOT-23</t>
  </si>
  <si>
    <t>Functional Safety-Capable</t>
  </si>
  <si>
    <t>-40 to 150</t>
  </si>
  <si>
    <t>2.9 x 2.8</t>
  </si>
  <si>
    <t>ACTIVE</t>
  </si>
  <si>
    <t>Automotive, 300-mA, low-IQ, high-PSRR, LDO voltage regulator with high accuracy and enable</t>
  </si>
  <si>
    <t>Linear &amp; low-dropout (LDO) regulators</t>
  </si>
  <si>
    <t>Automotive</t>
  </si>
  <si>
    <t>SOT-23,VSON</t>
  </si>
  <si>
    <t>Functional Safety-Capable</t>
  </si>
  <si>
    <t>-40 to 150</t>
  </si>
  <si>
    <t>5,8</t>
  </si>
  <si>
    <t>8.12,9</t>
  </si>
  <si>
    <t>2.9 x 2.8,3 x 3</t>
  </si>
  <si>
    <t>1,1.45</t>
  </si>
  <si>
    <t>0.65,0.95</t>
  </si>
  <si>
    <t>ACTIVE</t>
  </si>
  <si>
    <t>50-A peak continuous synchronous buck NexFET™ smart power stage</t>
  </si>
  <si>
    <t>Si power stages</t>
  </si>
  <si>
    <t>Catalog</t>
  </si>
  <si>
    <t>VQFN-CLIP</t>
  </si>
  <si>
    <t/>
  </si>
  <si>
    <t>-40 to 125</t>
  </si>
  <si>
    <t>5 x 4</t>
  </si>
  <si>
    <t>ACTIVE</t>
  </si>
  <si>
    <t>36-V, 8-m&amp;Omega;, 10-A, 1-ch, Industrial high-side switch with current sense</t>
  </si>
  <si>
    <t>High-side switches</t>
  </si>
  <si>
    <t>Catalog</t>
  </si>
  <si>
    <t>HTSSOP</t>
  </si>
  <si>
    <t>Functional Safety-Capable</t>
  </si>
  <si>
    <t>-40 to 125</t>
  </si>
  <si>
    <t>5 x 6.4</t>
  </si>
  <si>
    <t>ACTIVE</t>
  </si>
  <si>
    <t>4-V to 18-V input, voltage mode, 15-A synchronous SWIFT™ step-down converter with I2C interface</t>
  </si>
  <si>
    <t>AC/DC &amp; DC/DC converters (integrated FET)</t>
  </si>
  <si>
    <t>Catalog</t>
  </si>
  <si>
    <t>Buck</t>
  </si>
  <si>
    <t>VQFN-HR</t>
  </si>
  <si>
    <t/>
  </si>
  <si>
    <t>-40 to 150</t>
  </si>
  <si>
    <t>4 x 4.5</t>
  </si>
  <si>
    <t>ACTIVE</t>
  </si>
  <si>
    <t>2.95-V to 18-V, stackable 10-A synchronous SWIFT™ buck converter with pin-strapping and PMBus</t>
  </si>
  <si>
    <t>AC/DC &amp; DC/DC converters (integrated FET)</t>
  </si>
  <si>
    <t>Catalog</t>
  </si>
  <si>
    <t>Buck</t>
  </si>
  <si>
    <t>LQFN-CLIP</t>
  </si>
  <si>
    <t/>
  </si>
  <si>
    <t>-40 to 150</t>
  </si>
  <si>
    <t>7 x 5</t>
  </si>
  <si>
    <t>ACTIVE</t>
  </si>
  <si>
    <t>4-V to 16-V input, 6-A synchronous buck converter, 600-mV reference voltage and hiccup current limit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</si>
  <si>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</si>
  <si>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</si>
  <si>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</si>
  <si>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</si>
  <si>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</si>
  <si>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</si>
  <si>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</si>
  <si>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</si>
  <si>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4.3-V to 17-V input, 2-A, ECO mode synchronous buck converter in SOT563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</si>
  <si>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</si>
  <si>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</si>
  <si>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</si>
  <si>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</si>
  <si>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</si>
  <si>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</si>
  <si>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</si>
  <si>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</si>
  <si>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4.3-V to 17-V input, 3-A ECO mode synchronous buck converter in SOT563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</si>
  <si>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</si>
  <si>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</si>
  <si>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</si>
  <si>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</si>
  <si>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</si>
  <si>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</si>
  <si>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</si>
  <si>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</si>
  <si>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4.3-V to 17-V input, 3-A, FCCM mode synchronous buck converter in SOT563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</si>
  <si>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</si>
  <si>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</si>
  <si>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</si>
  <si>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</si>
  <si>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</si>
  <si>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</si>
  <si>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</si>
  <si>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</si>
  <si>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5.7kVrms, ±10A single-channel isolated gate driver with 2-level turn off for IGBT/SiC FETs</t>
  </si>
  <si>
    <t>Isolated gate drivers</t>
  </si>
  <si>
    <t>Catalog</t>
  </si>
  <si>
    <t>SOIC</t>
  </si>
  <si>
    <t/>
  </si>
  <si>
    <t>-40 to 125</t>
  </si>
  <si>
    <t>10.3 x 10.3</t>
  </si>
  <si>
    <t>ACTIVE</t>
  </si>
  <si>
    <t>Automotive 3-V to 36-V, 6-A low EMI synchronous step-down quiet converter with integrated capacitors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</si>
  <si>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</si>
  <si>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</si>
  <si>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</si>
  <si>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</si>
  <si>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</si>
  <si>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</si>
  <si>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 x 3.5</t>
  </si>
  <si>
    <t>ACTIVE</t>
  </si>
  <si>
    <t>1.8-V to 5.5-V, 75-nA IQ buck-boost converter with input current limit and Dynamic Voltage Scaling</t>
  </si>
  <si>
    <t>AC/DC &amp; DC/DC converters (integrated FET)</t>
  </si>
  <si>
    <t>Catalog</t>
  </si>
  <si>
    <t>Buck-Boost</t>
  </si>
  <si>
    <t>WSON</t>
  </si>
  <si>
    <t/>
  </si>
  <si>
    <t>-40 to 125</t>
  </si>
  <si>
    <t>2.5 x 2.5</t>
  </si>
  <si>
    <t>ACTIVE</t>
  </si>
  <si>
    <t>High-brightness LED matrix manager for automotive headlight systems</t>
  </si>
  <si>
    <t>Automotive LED drivers</t>
  </si>
  <si>
    <t>Automotive</t>
  </si>
  <si>
    <t>Floating Switch</t>
  </si>
  <si>
    <t>HTSSOP</t>
  </si>
  <si>
    <t>Functional Safety-Capable</t>
  </si>
  <si>
    <t>-40 to 125</t>
  </si>
  <si>
    <t>7.8 x 6.4</t>
  </si>
  <si>
    <t>ACTIVE</t>
  </si>
  <si>
    <t>4.5-V to 24-V input, 10-A, synchronous step-down regulator</t>
  </si>
  <si>
    <t>AC/DC &amp; DC/DC converters (integrated FET)</t>
  </si>
  <si>
    <t>Catalog</t>
  </si>
  <si>
    <t>Buck</t>
  </si>
  <si>
    <t>VQFN-HR</t>
  </si>
  <si>
    <t/>
  </si>
  <si>
    <t>-40 to 125</t>
  </si>
  <si>
    <t>3 x 3</t>
  </si>
  <si>
    <t>ACTIVE</t>
  </si>
  <si>
    <t>3-V to 65-V, automotive ideal diode controller driving back to back NFETs</t>
  </si>
  <si>
    <t>Ideal diode &amp; ORing controllers</t>
  </si>
  <si>
    <t>Automotive</t>
  </si>
  <si>
    <t>WSON</t>
  </si>
  <si>
    <t>Functional Safety-Capable</t>
  </si>
  <si>
    <t>-40 to 125</t>
  </si>
  <si>
    <t>3 x 3</t>
  </si>
  <si>
    <t>ACTIVE</t>
  </si>
  <si>
    <t>4.3-V to 17-V input, 2-A output, synchronous step-down voltage converter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</si>
  <si>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</si>
  <si>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</si>
  <si>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</si>
  <si>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</si>
  <si>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</si>
  <si>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</si>
  <si>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</si>
  <si>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</si>
  <si>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USB BC1.2 5-V 3.5-A output, 36-V input synchronous step-down converter with client mode support</t>
  </si>
  <si>
    <t>USB power switches &amp; charging port controllers</t>
  </si>
  <si>
    <t>Automotive</t>
  </si>
  <si>
    <t>VQFN</t>
  </si>
  <si>
    <t/>
  </si>
  <si>
    <t>-40 to 125</t>
  </si>
  <si>
    <t>5 x 5</t>
  </si>
  <si>
    <t>ACTIVE</t>
  </si>
  <si>
    <t>2.5-A to 3.5-A 120-V half-bridge driver with 8-V UVLO and no internal bootstrap diode</t>
  </si>
  <si>
    <t>Half-bridge drivers</t>
  </si>
  <si>
    <t>Catalog</t>
  </si>
  <si>
    <t>SOIC</t>
  </si>
  <si>
    <t/>
  </si>
  <si>
    <t>-40 to 125</t>
  </si>
  <si>
    <t>4.9 x 6</t>
  </si>
  <si>
    <t>ACTIVE</t>
  </si>
  <si>
    <t>2.2-MHz, low-EMI, dual, 3-A USB Type-C charging ports converter with thermal management</t>
  </si>
  <si>
    <t>USB Type-C &amp; USB Power Delivery ICs</t>
  </si>
  <si>
    <t>Automotive</t>
  </si>
  <si>
    <t>VQFN-HR</t>
  </si>
  <si>
    <t/>
  </si>
  <si>
    <t>-40 to 125</t>
  </si>
  <si>
    <t>4.5 x 3.5</t>
  </si>
  <si>
    <t>ACTIVE</t>
  </si>
  <si>
    <t>4.3-V to 17-V input, 3-A synchronous buck converter in SOT563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</si>
  <si>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</si>
  <si>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</si>
  <si>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</si>
  <si>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</si>
  <si>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</si>
  <si>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</si>
  <si>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</si>
  <si>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</si>
  <si>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500-kHz wide VIN nonsynchronous boost, flyback, &amp; SEPIC controller</t>
  </si>
  <si>
    <t>AC/DC &amp; DC/DC controllers (external FET)</t>
  </si>
  <si>
    <t>Automotive</t>
  </si>
  <si>
    <t>Boost,Flyback,SEPIC</t>
  </si>
  <si>
    <t>HTSSOP</t>
  </si>
  <si>
    <t>Functional Safety-Capable</t>
  </si>
  <si>
    <t>-40 to 150</t>
  </si>
  <si>
    <t>5 x 6.4</t>
  </si>
  <si>
    <t>ACTIVE</t>
  </si>
  <si>
    <t>18.5V output, 4.8A synchronous boost converter with load disconnect</t>
  </si>
  <si>
    <t>AC/DC &amp; DC/DC converters (integrated FET)</t>
  </si>
  <si>
    <t>Automotive</t>
  </si>
  <si>
    <t>Boost</t>
  </si>
  <si>
    <t>WQFN</t>
  </si>
  <si>
    <t>Functional Safety-Capable</t>
  </si>
  <si>
    <t>-40 to 125</t>
  </si>
  <si>
    <t>3 x 3</t>
  </si>
  <si>
    <t>ACTIVE</t>
  </si>
  <si>
    <t>2.2-MHz wide VIN nonsynchronous boost, flyback, &amp; SEPIC controller with spread spectrum and hiccup</t>
  </si>
  <si>
    <t>AC/DC &amp; DC/DC controllers (external FET)</t>
  </si>
  <si>
    <t>Catalog</t>
  </si>
  <si>
    <t>Boost,Flyback,SEPIC</t>
  </si>
  <si>
    <t>HTSSOP</t>
  </si>
  <si>
    <t>Functional Safety-Capable</t>
  </si>
  <si>
    <t>-40 to 150</t>
  </si>
  <si>
    <t>5 x 6.4</t>
  </si>
  <si>
    <t>ACTIVE</t>
  </si>
  <si>
    <t>2.2-MHz wide VIN nonsynchronous boost, flyback, &amp; SEPIC controller with spread spectrum and hiccup</t>
  </si>
  <si>
    <t>AC/DC &amp; DC/DC controllers (external FET)</t>
  </si>
  <si>
    <t>Automotive</t>
  </si>
  <si>
    <t>Boost,Flyback,SEPIC</t>
  </si>
  <si>
    <t>HTSSOP</t>
  </si>
  <si>
    <t>Functional Safety-Capable</t>
  </si>
  <si>
    <t>-40 to 150</t>
  </si>
  <si>
    <t>5 x 6.4</t>
  </si>
  <si>
    <t>ACTIVE</t>
  </si>
  <si>
    <t>2.2-MHz wide VIN nonsynchronous boost, flyback, &amp; SEPIC controller with dual random spread spectrum</t>
  </si>
  <si>
    <t>AC/DC &amp; DC/DC controllers (external FET)</t>
  </si>
  <si>
    <t>Catalog</t>
  </si>
  <si>
    <t>Boost,Flyback,SEPIC</t>
  </si>
  <si>
    <t>HTSSOP</t>
  </si>
  <si>
    <t>Functional Safety-Capable</t>
  </si>
  <si>
    <t>-40 to 150</t>
  </si>
  <si>
    <t>5 x 6.4</t>
  </si>
  <si>
    <t>ACTIVE</t>
  </si>
  <si>
    <t>2.2-MHz wide VIN nonsynchronous boost, flyback, &amp; SEPIC controller with dual random spread spectrum</t>
  </si>
  <si>
    <t>AC/DC &amp; DC/DC controllers (external FET)</t>
  </si>
  <si>
    <t>Automotive</t>
  </si>
  <si>
    <t>Boost,Flyback,SEPIC</t>
  </si>
  <si>
    <t>HTSSOP</t>
  </si>
  <si>
    <t>Functional Safety-Capable</t>
  </si>
  <si>
    <t>-40 to 150</t>
  </si>
  <si>
    <t>5 x 6.4</t>
  </si>
  <si>
    <t>ACTIVE</t>
  </si>
  <si>
    <t>1.75-V to 5.5-V, 0.6-A ultra-low IQ step-down buck converter with I2C/VSEL interface</t>
  </si>
  <si>
    <t>AC/DC &amp; DC/DC converters (integrated FET)</t>
  </si>
  <si>
    <t>Catalog</t>
  </si>
  <si>
    <t>Buck</t>
  </si>
  <si>
    <t>DSBGA</t>
  </si>
  <si>
    <t/>
  </si>
  <si>
    <t>-40 to 125</t>
  </si>
  <si>
    <t>1.4 x 0.7</t>
  </si>
  <si>
    <t>ACTIVE</t>
  </si>
  <si>
    <t>Dock management controller</t>
  </si>
  <si>
    <t>USB Type-C &amp; USB Power Delivery ICs</t>
  </si>
  <si>
    <t>Catalog</t>
  </si>
  <si>
    <t>NFBGA</t>
  </si>
  <si>
    <t/>
  </si>
  <si>
    <t>-10 to 85</t>
  </si>
  <si>
    <t>6 x 6</t>
  </si>
  <si>
    <t>ACTIVE</t>
  </si>
  <si>
    <t>Automotive 42-VIN no-opto flyback converter with 65-V, 2.5-A integrated MOSFET</t>
  </si>
  <si>
    <t>AC/DC &amp; DC/DC converters (integrated FET)</t>
  </si>
  <si>
    <t>Automotive</t>
  </si>
  <si>
    <t>PSR flyback</t>
  </si>
  <si>
    <t>WSON</t>
  </si>
  <si>
    <t>Functional Safety-Capable</t>
  </si>
  <si>
    <t>-40 to 150</t>
  </si>
  <si>
    <t>4 x 4</t>
  </si>
  <si>
    <t>ACTIVE</t>
  </si>
  <si>
    <t>Dual-channel, 8 phase step-down, digital multiphase D-CAP+™ controller with VR13.HC SVID and PMBus</t>
  </si>
  <si>
    <t>AC/DC &amp; DC/DC controllers (external FET)</t>
  </si>
  <si>
    <t>Catalog</t>
  </si>
  <si>
    <t>Multiphase</t>
  </si>
  <si>
    <t>WQFN</t>
  </si>
  <si>
    <t/>
  </si>
  <si>
    <t>-40 to 125</t>
  </si>
  <si>
    <t>5 x 5</t>
  </si>
  <si>
    <t>ACTIVE</t>
  </si>
  <si>
    <t>2.95-V to 18-V, stackable 20-A synchronous SWIFT™ buck converter with pin-strapping and PMBus</t>
  </si>
  <si>
    <t>AC/DC &amp; DC/DC converters (integrated FET)</t>
  </si>
  <si>
    <t>Catalog</t>
  </si>
  <si>
    <t>Buck</t>
  </si>
  <si>
    <t>LQFN-CLIP</t>
  </si>
  <si>
    <t/>
  </si>
  <si>
    <t>-40 to 150</t>
  </si>
  <si>
    <t>7 x 5</t>
  </si>
  <si>
    <t>ACTIVE</t>
  </si>
  <si>
    <t>90-A peak continuous synchronous buck NexFET™ smart power stage</t>
  </si>
  <si>
    <t>Si power stages</t>
  </si>
  <si>
    <t>Catalog</t>
  </si>
  <si>
    <t>VQFN-CLIP</t>
  </si>
  <si>
    <t/>
  </si>
  <si>
    <t>-40 to 125</t>
  </si>
  <si>
    <t>6 x 5</t>
  </si>
  <si>
    <t>ACTIVE</t>
  </si>
  <si>
    <t>Automotive 3-V to 65-V, 0.3-A buck converter optimized for size and light load efficiency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</si>
  <si>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</si>
  <si>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</si>
  <si>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</si>
  <si>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</si>
  <si>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</si>
  <si>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</si>
  <si>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2 x 2</t>
  </si>
  <si>
    <t>ACTIVE</t>
  </si>
  <si>
    <t>Low-voltage supervisor with adjustable-reset time delay and manual reset</t>
  </si>
  <si>
    <t>Reset &amp; watchdog ICs</t>
  </si>
  <si>
    <t>Catalog</t>
  </si>
  <si>
    <t>SOT-23</t>
  </si>
  <si>
    <t/>
  </si>
  <si>
    <t>-40 to 125</t>
  </si>
  <si>
    <t>2.9 x 2.8</t>
  </si>
  <si>
    <t>ACTIVE</t>
  </si>
  <si>
    <t>IEEE 802.3bt type-3 class 1-6 PoE 2 PD with high efficiency DC-DC controller</t>
  </si>
  <si>
    <t>Powered devices</t>
  </si>
  <si>
    <t>Catalog</t>
  </si>
  <si>
    <t>VQFN</t>
  </si>
  <si>
    <t/>
  </si>
  <si>
    <t>-40 to 125</t>
  </si>
  <si>
    <t>7 x 5</t>
  </si>
  <si>
    <t>ACTIVE</t>
  </si>
  <si>
    <t>IEEE 802.3bt type 3 class 1-4 PoE PD with high efficiency DC-DC control</t>
  </si>
  <si>
    <t>Powered devices</t>
  </si>
  <si>
    <t>Catalog</t>
  </si>
  <si>
    <t>VQFN</t>
  </si>
  <si>
    <t/>
  </si>
  <si>
    <t>-40 to 125</t>
  </si>
  <si>
    <t>7 x 5</t>
  </si>
  <si>
    <t>ACTIVE</t>
  </si>
  <si>
    <t>Automotive display LED-backlight driver with four 200-mA channels</t>
  </si>
  <si>
    <t>Automotive LED drivers,Backlight LED drivers</t>
  </si>
  <si>
    <t>Automotive</t>
  </si>
  <si>
    <t>Boost with Current Sink,SEPIC Controller</t>
  </si>
  <si>
    <t>HTSSOP,VQFN</t>
  </si>
  <si>
    <t/>
  </si>
  <si>
    <t>-40 to 125</t>
  </si>
  <si>
    <t>32,38</t>
  </si>
  <si>
    <t>25,62.08</t>
  </si>
  <si>
    <t>5 x 5,9.7 x 6.4</t>
  </si>
  <si>
    <t>1,1.2</t>
  </si>
  <si>
    <t>ACTIVE</t>
  </si>
  <si>
    <t>Automotive display LED-backlight with four 150-mA channels</t>
  </si>
  <si>
    <t>Backlight LED drivers,Automotive LED drivers</t>
  </si>
  <si>
    <t>Automotive</t>
  </si>
  <si>
    <t>Boost with Current Sink,SEPIC</t>
  </si>
  <si>
    <t>HTSSOP,VQFN</t>
  </si>
  <si>
    <t/>
  </si>
  <si>
    <t>-40 to 125</t>
  </si>
  <si>
    <t>32,38</t>
  </si>
  <si>
    <t>25,62.08</t>
  </si>
  <si>
    <t>5 x 5,9.7 x 6.4</t>
  </si>
  <si>
    <t>1,1.2</t>
  </si>
  <si>
    <t>ACTIVE</t>
  </si>
  <si>
    <t>Automotive display LED-backlight driver with six 200-mA channels</t>
  </si>
  <si>
    <t>Automotive LED drivers,Backlight LED drivers</t>
  </si>
  <si>
    <t>Automotive</t>
  </si>
  <si>
    <t>Boost with Current Sink,SEPIC Controller</t>
  </si>
  <si>
    <t>HTSSOP,VQFN</t>
  </si>
  <si>
    <t/>
  </si>
  <si>
    <t>-40 to 125</t>
  </si>
  <si>
    <t>32,38</t>
  </si>
  <si>
    <t>25,62.08</t>
  </si>
  <si>
    <t>5 x 5,9.7 x 6.4</t>
  </si>
  <si>
    <t>1,1.2</t>
  </si>
  <si>
    <t>ACTIVE</t>
  </si>
  <si>
    <t>Automotive display LED-backlight with six 150-mA channels</t>
  </si>
  <si>
    <t>Automotive LED drivers,Backlight LED drivers</t>
  </si>
  <si>
    <t>Automotive</t>
  </si>
  <si>
    <t>Boost with Current Sink,SEPIC</t>
  </si>
  <si>
    <t>HTSSOP,VQFN</t>
  </si>
  <si>
    <t/>
  </si>
  <si>
    <t>-40 to 125</t>
  </si>
  <si>
    <t>32,38</t>
  </si>
  <si>
    <t>25,62.08</t>
  </si>
  <si>
    <t>5 x 5,9.7 x 6.4</t>
  </si>
  <si>
    <t>1,1.2</t>
  </si>
  <si>
    <t>ACTIVE</t>
  </si>
  <si>
    <t>300mA ultra-low-noise low-IQ low-dropout (LDO) linear regulator with high PSRR</t>
  </si>
  <si>
    <t>Linear &amp; low-dropout (LDO) regulators</t>
  </si>
  <si>
    <t>Catalog</t>
  </si>
  <si>
    <t>DSBGA,SOT-23,X2SON</t>
  </si>
  <si>
    <t/>
  </si>
  <si>
    <t>-40 to 125</t>
  </si>
  <si>
    <t>4,5</t>
  </si>
  <si>
    <t>0.374544,0.379456,1,8.12</t>
  </si>
  <si>
    <t>0.612 x 0.612,0.616 x 0.616,1 x 1,2.9 x 2.8</t>
  </si>
  <si>
    <t>0.33,0.35,0.4,1.45</t>
  </si>
  <si>
    <t>0.35,0.65,0.95</t>
  </si>
  <si>
    <t>ACTIVE</t>
  </si>
  <si>
    <t>4.3-V to 17-V input, 2-A synchronous buck converter in SOT563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</si>
  <si>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</si>
  <si>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</si>
  <si>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</si>
  <si>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</si>
  <si>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</si>
  <si>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</si>
  <si>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</si>
  <si>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</si>
  <si>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Automotive 2.95-V to 6-V, 6-A, 2-MHz synchronous buck converter</t>
  </si>
  <si>
    <t>AC/DC &amp; DC/DC converters (integrated FET)</t>
  </si>
  <si>
    <t>Automotive</t>
  </si>
  <si>
    <t>Buck</t>
  </si>
  <si>
    <t>WQFN</t>
  </si>
  <si>
    <t>Functional Safety-Capable</t>
  </si>
  <si>
    <t>-40 to 125</t>
  </si>
  <si>
    <t>3 x 3</t>
  </si>
  <si>
    <t>ACTIVE</t>
  </si>
  <si>
    <t>36V, 16A buck-boost converter with PPS control</t>
  </si>
  <si>
    <t>AC/DC &amp; DC/DC converters (integrated FET)</t>
  </si>
  <si>
    <t>Catalog</t>
  </si>
  <si>
    <t>Buck-Boost</t>
  </si>
  <si>
    <t>VQFN-HR</t>
  </si>
  <si>
    <t/>
  </si>
  <si>
    <t>-40 to 150</t>
  </si>
  <si>
    <t>4 x 3.5</t>
  </si>
  <si>
    <t>ACTIVE</t>
  </si>
  <si>
    <t>3.8-V to 36-V, 3-A, ultra-small synchronous step-down converter</t>
  </si>
  <si>
    <t>AC/DC &amp; DC/DC converters (integrated FET)</t>
  </si>
  <si>
    <t>Catalog</t>
  </si>
  <si>
    <t>Buck</t>
  </si>
  <si>
    <t>WQFN-FCRLF</t>
  </si>
  <si>
    <t/>
  </si>
  <si>
    <t>-40 to 150</t>
  </si>
  <si>
    <t>3 x 2</t>
  </si>
  <si>
    <t>ACTIVE</t>
  </si>
  <si>
    <t>36-V, 4-A synchronous converter in an enhanced EMI QFN package with wettable flank and external pad</t>
  </si>
  <si>
    <t>AC/DC &amp; DC/DC converters (integrated FET)</t>
  </si>
  <si>
    <t>Catalog</t>
  </si>
  <si>
    <t>Buck</t>
  </si>
  <si>
    <t>WQFN-FCRLF</t>
  </si>
  <si>
    <t/>
  </si>
  <si>
    <t>-40 to 150</t>
  </si>
  <si>
    <t>3 x 2</t>
  </si>
  <si>
    <t>ACTIVE</t>
  </si>
  <si>
    <t>4.5-V to 17-V input, 3-A synchronous buck converter in SOT563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</si>
  <si>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</si>
  <si>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</si>
  <si>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</si>
  <si>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</si>
  <si>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</si>
  <si>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</si>
  <si>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</si>
  <si>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</si>
  <si>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Automotive 3-A, 120-V half bridge driver with 5-V UVLO, interlock and enable</t>
  </si>
  <si>
    <t>Half-bridge drivers</t>
  </si>
  <si>
    <t>Automotive</t>
  </si>
  <si>
    <t>HSOIC,SOIC,VSON</t>
  </si>
  <si>
    <t>Functional Safety-Capable</t>
  </si>
  <si>
    <t>-40 to 125</t>
  </si>
  <si>
    <t>8,10</t>
  </si>
  <si>
    <t>9,29.4</t>
  </si>
  <si>
    <t>3 x 3,4.9 x 6</t>
  </si>
  <si>
    <t>1,1.7,1.75</t>
  </si>
  <si>
    <t>0.5,1.27</t>
  </si>
  <si>
    <t>ACTIVE</t>
  </si>
  <si>
    <t>42-VIN no-opto flyback converter with 65-V, 4.1-A integrated MOSFET</t>
  </si>
  <si>
    <t>AC/DC &amp; DC/DC converters (integrated FET)</t>
  </si>
  <si>
    <t>Catalog</t>
  </si>
  <si>
    <t>PSR flyback</t>
  </si>
  <si>
    <t>WSON</t>
  </si>
  <si>
    <t>Functional Safety-Capable</t>
  </si>
  <si>
    <t>-40 to 150</t>
  </si>
  <si>
    <t>4 x 4</t>
  </si>
  <si>
    <t>ACTIVE</t>
  </si>
  <si>
    <t>Automotive 42-VIN no-opto flyback converter with 65-V, 4.1-A integrated MOSFET</t>
  </si>
  <si>
    <t>AC/DC &amp; DC/DC converters (integrated FET)</t>
  </si>
  <si>
    <t>Automotive</t>
  </si>
  <si>
    <t>PSR flyback</t>
  </si>
  <si>
    <t>WSON</t>
  </si>
  <si>
    <t>Functional Safety-Capable</t>
  </si>
  <si>
    <t>-40 to 150</t>
  </si>
  <si>
    <t>4 x 4</t>
  </si>
  <si>
    <t>ACTIVE</t>
  </si>
  <si>
    <t>1.75-V to 5.5-V, 1-A ultra-low IQ step-down converter with I2C/VSEL interface</t>
  </si>
  <si>
    <t>AC/DC &amp; DC/DC converters (integrated FET)</t>
  </si>
  <si>
    <t>Catalog</t>
  </si>
  <si>
    <t>Buck</t>
  </si>
  <si>
    <t>DSBGA</t>
  </si>
  <si>
    <t/>
  </si>
  <si>
    <t>-40 to 125</t>
  </si>
  <si>
    <t>1.4 x 0.7</t>
  </si>
  <si>
    <t>ACTIVE</t>
  </si>
  <si>
    <t>2.7-V to 24-V, 8-A, 3-mΩ smart eFuse with adjustable transient fault management</t>
  </si>
  <si>
    <t>eFuses (integrated hot swaps)</t>
  </si>
  <si>
    <t>Catalog</t>
  </si>
  <si>
    <t>VQFN</t>
  </si>
  <si>
    <t/>
  </si>
  <si>
    <t>-40 to 125</t>
  </si>
  <si>
    <t>4 x 4</t>
  </si>
  <si>
    <t>ACTIVE</t>
  </si>
  <si>
    <t>300-mA, low-IQ, high-PSRR, low-dropout (LDO) voltage regulator with high accuracy and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</si>
  <si>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</si>
  <si>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</si>
  <si>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</si>
  <si>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</si>
  <si>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</si>
  <si>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</si>
  <si>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</si>
  <si>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High-density flyback controller for active-clamp (ACF) and zero-voltage switching (ZVS) topologies</t>
  </si>
  <si>
    <t>AC/DC &amp; DC/DC controllers (external FET)</t>
  </si>
  <si>
    <t>Catalog</t>
  </si>
  <si>
    <t>Flyback</t>
  </si>
  <si>
    <t>WQFN</t>
  </si>
  <si>
    <t/>
  </si>
  <si>
    <t>-40 to 125</t>
  </si>
  <si>
    <t>4 x 4</t>
  </si>
  <si>
    <t>ACTIVE</t>
  </si>
  <si>
    <t>Automotive 5.7kVRMS, 4A/6A dual-channel isolated gate driver with 8V UVLO &amp; 3.3mm ch-to-ch spacing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</si>
  <si>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</si>
  <si>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</si>
  <si>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</si>
  <si>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</si>
  <si>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</si>
  <si>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</si>
  <si>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</si>
  <si>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High-accuracy window supervisor with reset time delay</t>
  </si>
  <si>
    <t>Reset &amp; watchdog ICs</t>
  </si>
  <si>
    <t>Catalog</t>
  </si>
  <si>
    <t>WSON</t>
  </si>
  <si>
    <t/>
  </si>
  <si>
    <t>-45 to 125</t>
  </si>
  <si>
    <t>1.5 x 1.5</t>
  </si>
  <si>
    <t>ACTIVE</t>
  </si>
  <si>
    <t>2.7-V to 16-V input, 20-A synchronous buck converter with remote sense and latch-off current limit</t>
  </si>
  <si>
    <t>AC/DC &amp; DC/DC converters (integrated FET)</t>
  </si>
  <si>
    <t>Catalog</t>
  </si>
  <si>
    <t>Buck</t>
  </si>
  <si>
    <t>VQFN-HR</t>
  </si>
  <si>
    <t/>
  </si>
  <si>
    <t>-40 to 125</t>
  </si>
  <si>
    <t>4 x 3</t>
  </si>
  <si>
    <t>ACTIVE</t>
  </si>
  <si>
    <t>Automotive, 4V to 36V, 1A synchronous step-down SIMPLE SWITCHER® power converter</t>
  </si>
  <si>
    <t>AC/DC &amp; DC/DC converters (integrated FET)</t>
  </si>
  <si>
    <t>Automotive</t>
  </si>
  <si>
    <t>Buck</t>
  </si>
  <si>
    <t>SOT-23</t>
  </si>
  <si>
    <t>Functional Safety-Capable</t>
  </si>
  <si>
    <t>-40 to 150</t>
  </si>
  <si>
    <t>2.9 x 2.8</t>
  </si>
  <si>
    <t>ACTIVE</t>
  </si>
  <si>
    <t>3.5-V to 60-V, 5-A synchronous step-down voltage converter</t>
  </si>
  <si>
    <t>AC/DC &amp; DC/DC converters (integrated FET)</t>
  </si>
  <si>
    <t>Catalog</t>
  </si>
  <si>
    <t>Buck</t>
  </si>
  <si>
    <t>WQFN</t>
  </si>
  <si>
    <t>Functional Safety-Capable</t>
  </si>
  <si>
    <t>-40 to 125</t>
  </si>
  <si>
    <t>6 x 4</t>
  </si>
  <si>
    <t>ACTIVE</t>
  </si>
  <si>
    <t>3.5-V to 60-V, 5-A synchronous voltage regulator</t>
  </si>
  <si>
    <t>AC/DC &amp; DC/DC converters (integrated FET)</t>
  </si>
  <si>
    <t>Automotive</t>
  </si>
  <si>
    <t>Buck</t>
  </si>
  <si>
    <t>WQFN</t>
  </si>
  <si>
    <t>Functional Safety-Capable</t>
  </si>
  <si>
    <t>-40 to 125</t>
  </si>
  <si>
    <t>6 x 4</t>
  </si>
  <si>
    <t>ACTIVE</t>
  </si>
  <si>
    <t>3.5-V to 36-V, 1.0-A step-down voltage converter with spread spectrum</t>
  </si>
  <si>
    <t>AC/DC &amp; DC/DC converters (integrated FET)</t>
  </si>
  <si>
    <t>Automotive</t>
  </si>
  <si>
    <t>Buck</t>
  </si>
  <si>
    <t>HTSSOP,WSON</t>
  </si>
  <si>
    <t>Functional Safety-Capable</t>
  </si>
  <si>
    <t>-40 to 150</t>
  </si>
  <si>
    <t>12,16</t>
  </si>
  <si>
    <t>9,32</t>
  </si>
  <si>
    <t>3 x 3,5 x 6.4</t>
  </si>
  <si>
    <t>0.8,1.2</t>
  </si>
  <si>
    <t>0.5,0.65</t>
  </si>
  <si>
    <t>ACTIVE</t>
  </si>
  <si>
    <t>Automotive 12-ppm/°C low-noise low-power precision voltage reference</t>
  </si>
  <si>
    <t>Series voltage references</t>
  </si>
  <si>
    <t>Automotive</t>
  </si>
  <si>
    <t>SOT-23</t>
  </si>
  <si>
    <t/>
  </si>
  <si>
    <t>-40 to 125</t>
  </si>
  <si>
    <t>2.9 x 2.8</t>
  </si>
  <si>
    <t>ACTIVE</t>
  </si>
  <si>
    <t>USB Type-C® controller with integrated source power switch</t>
  </si>
  <si>
    <t>USB Type-C &amp; USB Power Delivery ICs</t>
  </si>
  <si>
    <t>Catalog</t>
  </si>
  <si>
    <t>VQFN</t>
  </si>
  <si>
    <t/>
  </si>
  <si>
    <t>-40 to 105</t>
  </si>
  <si>
    <t>4 x 4</t>
  </si>
  <si>
    <t>ACTIVE</t>
  </si>
  <si>
    <t>1-ch, 5.5V, 1.5A, 90mΩ self-protected AEC Q100 qualified load switch with controlled rise time&lt;/p</t>
  </si>
  <si>
    <t>Load switches</t>
  </si>
  <si>
    <t>Automotive</t>
  </si>
  <si>
    <t>SOT-SC70</t>
  </si>
  <si>
    <t/>
  </si>
  <si>
    <t>-40 to 125</t>
  </si>
  <si>
    <t>2 x 2.1</t>
  </si>
  <si>
    <t>ACTIVE</t>
  </si>
  <si>
    <t>Automotive ±5A single-channel isolated gate driver with Miller clamp or split outputs for SiC/IGBT</t>
  </si>
  <si>
    <t>Isolated gate drivers</t>
  </si>
  <si>
    <t>Automotive,Catalog</t>
  </si>
  <si>
    <t>SOIC</t>
  </si>
  <si>
    <t>Functional Safety-Capable</t>
  </si>
  <si>
    <t>-40 to 125</t>
  </si>
  <si>
    <t>29.4,67.275</t>
  </si>
  <si>
    <t>4.9 x 6,5.85 x 11.5</t>
  </si>
  <si>
    <t>1.75,2.8</t>
  </si>
  <si>
    <t>ACTIVE</t>
  </si>
  <si>
    <t>Automotive, 20-V, low-power current-mode PWM controller, 7-V/6.6-V UVLO, 100%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</si>
  <si>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</si>
  <si>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</si>
  <si>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</si>
  <si>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</si>
  <si>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</si>
  <si>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125</t>
  </si>
  <si>
    <t>4.9 x 6</t>
  </si>
  <si>
    <t>ACTIVE</t>
  </si>
  <si>
    <t>Integrated step-down converter with SVID for Intel CPU power</t>
  </si>
  <si>
    <t>Multi-channel ICs (PMICs)</t>
  </si>
  <si>
    <t>Catalog</t>
  </si>
  <si>
    <t>VQFN-HR</t>
  </si>
  <si>
    <t/>
  </si>
  <si>
    <t>-40 to 125</t>
  </si>
  <si>
    <t>5 x 5</t>
  </si>
  <si>
    <t>ACTIVE</t>
  </si>
  <si>
    <t>2.7-V to 16-V, 15-A synchronous buck converter with remote sense and 3-V LDO</t>
  </si>
  <si>
    <t>AC/DC &amp; DC/DC converters (integrated FET)</t>
  </si>
  <si>
    <t>Catalog</t>
  </si>
  <si>
    <t>Buck</t>
  </si>
  <si>
    <t>VQFN-HR</t>
  </si>
  <si>
    <t/>
  </si>
  <si>
    <t>-40 to 125</t>
  </si>
  <si>
    <t>4 x 3</t>
  </si>
  <si>
    <t>ACTIVE</t>
  </si>
  <si>
    <t>2.7-V to 16-V, 15-A synchronous buck converter with remote sense and 4.5-V LDO</t>
  </si>
  <si>
    <t>AC/DC &amp; DC/DC converters (integrated FET)</t>
  </si>
  <si>
    <t>Catalog</t>
  </si>
  <si>
    <t>Buck</t>
  </si>
  <si>
    <t>VQFN-HR</t>
  </si>
  <si>
    <t/>
  </si>
  <si>
    <t>-40 to 125</t>
  </si>
  <si>
    <t>4 x 3</t>
  </si>
  <si>
    <t>ACTIVE</t>
  </si>
  <si>
    <t>3-V to 65-V, 0.6-A buck converter optimized for size and light load efficiency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</si>
  <si>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</si>
  <si>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</si>
  <si>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</si>
  <si>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</si>
  <si>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</si>
  <si>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</si>
  <si>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2 x 2</t>
  </si>
  <si>
    <t>ACTIVE</t>
  </si>
  <si>
    <t>300-mA low-dropout (LDO) regulator with foldback current limit</t>
  </si>
  <si>
    <t>Linear &amp; low-dropout (LDO) regulators</t>
  </si>
  <si>
    <t>Catalog</t>
  </si>
  <si>
    <t>SOT-23,X2SON</t>
  </si>
  <si>
    <t/>
  </si>
  <si>
    <t>-40 to 85</t>
  </si>
  <si>
    <t>4,5</t>
  </si>
  <si>
    <t>1,8.12</t>
  </si>
  <si>
    <t>1 x 1,2.9 x 2.8</t>
  </si>
  <si>
    <t>0.4,1.45</t>
  </si>
  <si>
    <t>0.65,0.95</t>
  </si>
  <si>
    <t>ACTIVE</t>
  </si>
  <si>
    <t>Automotive 36-V, 3-A synchronous converter in a QFN package with wettable flank and external pad</t>
  </si>
  <si>
    <t>AC/DC &amp; DC/DC converters (integrated FET)</t>
  </si>
  <si>
    <t>Automotive</t>
  </si>
  <si>
    <t>Buck</t>
  </si>
  <si>
    <t>WQFN-FCRLF</t>
  </si>
  <si>
    <t>Functional Safety-Capable</t>
  </si>
  <si>
    <t>-40 to 150</t>
  </si>
  <si>
    <t>3 x 2</t>
  </si>
  <si>
    <t>ACTIVE</t>
  </si>
  <si>
    <t>Automotive 36-V, 4-A synchronous converter in an enhanced EMI QFN package with wettable flank</t>
  </si>
  <si>
    <t>AC/DC &amp; DC/DC converters (integrated FET)</t>
  </si>
  <si>
    <t>Automotive</t>
  </si>
  <si>
    <t>Buck</t>
  </si>
  <si>
    <t>WQFN-FCRLF</t>
  </si>
  <si>
    <t>Functional Safety-Capable</t>
  </si>
  <si>
    <t>-40 to 150</t>
  </si>
  <si>
    <t>3 x 2</t>
  </si>
  <si>
    <t>ACTIVE</t>
  </si>
  <si>
    <t>2.2-MHz wide VIN nonsynchronous boost, flyback, &amp; SEPIC controller with dual random spread spectrum</t>
  </si>
  <si>
    <t>AC/DC &amp; DC/DC controllers (external FET)</t>
  </si>
  <si>
    <t>Automotive</t>
  </si>
  <si>
    <t>Boost,Flyback,SEPIC</t>
  </si>
  <si>
    <t>WSON</t>
  </si>
  <si>
    <t>Functional Safety-Capable</t>
  </si>
  <si>
    <t>-40 to 150</t>
  </si>
  <si>
    <t>3 x 2</t>
  </si>
  <si>
    <t>ACTIVE</t>
  </si>
  <si>
    <t>2.2-MHz wide VIN nonsynchronous boost, flyback, &amp; SEPIC controller with spread spectrum and hiccup</t>
  </si>
  <si>
    <t>AC/DC &amp; DC/DC controllers (external FET)</t>
  </si>
  <si>
    <t>Automotive</t>
  </si>
  <si>
    <t>Boost,Flyback,SEPIC</t>
  </si>
  <si>
    <t>WSON</t>
  </si>
  <si>
    <t>Functional Safety-Capable</t>
  </si>
  <si>
    <t>-40 to 150</t>
  </si>
  <si>
    <t>3 x 2</t>
  </si>
  <si>
    <t>ACTIVE</t>
  </si>
  <si>
    <t>3-V to 28-V input, single phase D-CAP2 controller with 2-bit VID</t>
  </si>
  <si>
    <t>AC/DC &amp; DC/DC controllers (external FET)</t>
  </si>
  <si>
    <t>Catalog</t>
  </si>
  <si>
    <t>Buck</t>
  </si>
  <si>
    <t>WQFN</t>
  </si>
  <si>
    <t/>
  </si>
  <si>
    <t>-40 to 125</t>
  </si>
  <si>
    <t>3 x 3</t>
  </si>
  <si>
    <t>ACTIVE</t>
  </si>
  <si>
    <t>4-V to 30-V input voltage, 1.5-A output current, synchronous buck LED driver with dimming options</t>
  </si>
  <si>
    <t>Illumination  LED drivers</t>
  </si>
  <si>
    <t>Catalog</t>
  </si>
  <si>
    <t>Buck,Inductive</t>
  </si>
  <si>
    <t>SOT-23-THN,VQFN-HR</t>
  </si>
  <si>
    <t/>
  </si>
  <si>
    <t>-40 to 85</t>
  </si>
  <si>
    <t>3,8.12</t>
  </si>
  <si>
    <t>2 x 1.5,2.9 x 2.8</t>
  </si>
  <si>
    <t>1,1.1</t>
  </si>
  <si>
    <t>0.5,0.95</t>
  </si>
  <si>
    <t>ACTIVE</t>
  </si>
  <si>
    <t>2.8-V to 22-V priority power MUX with seamless switchover</t>
  </si>
  <si>
    <t>Power muxes</t>
  </si>
  <si>
    <t>Catalog</t>
  </si>
  <si>
    <t>DSBGA</t>
  </si>
  <si>
    <t/>
  </si>
  <si>
    <t>-40 to 125</t>
  </si>
  <si>
    <t>1.8 x 2.2</t>
  </si>
  <si>
    <t>ACTIVE</t>
  </si>
  <si>
    <t>12-ppm/°C low-noise low-power precision voltage reference</t>
  </si>
  <si>
    <t>Series voltage references</t>
  </si>
  <si>
    <t>Catalog</t>
  </si>
  <si>
    <t>SOT-23</t>
  </si>
  <si>
    <t/>
  </si>
  <si>
    <t>-40 to 125</t>
  </si>
  <si>
    <t>2.9 x 2.8</t>
  </si>
  <si>
    <t>ACTIVE</t>
  </si>
  <si>
    <t>Automotive 3-V to 36-V, 3.5-A, low EMI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</si>
  <si>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</si>
  <si>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</si>
  <si>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</si>
  <si>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</si>
  <si>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</si>
  <si>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</si>
  <si>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 x 3.5</t>
  </si>
  <si>
    <t>ACTIVE</t>
  </si>
  <si>
    <t>1.6-A dual synchronous buck LED driver with SPI</t>
  </si>
  <si>
    <t>Automotive LED drivers</t>
  </si>
  <si>
    <t>Automotive</t>
  </si>
  <si>
    <t>Buck</t>
  </si>
  <si>
    <t>HTSSOP</t>
  </si>
  <si>
    <t>Functional Safety-Capable</t>
  </si>
  <si>
    <t>-40 to 125</t>
  </si>
  <si>
    <t>11 x 8.1</t>
  </si>
  <si>
    <t>ACTIVE</t>
  </si>
  <si>
    <t>USB Type-C® supporting USB 3.2 data rates alt-mode redriver/MUX with adaptive EQ</t>
  </si>
  <si>
    <t>USB Type-C &amp; USB Power Delivery ICs</t>
  </si>
  <si>
    <t>Catalog</t>
  </si>
  <si>
    <t>WQFN</t>
  </si>
  <si>
    <t/>
  </si>
  <si>
    <t>-40 to 85</t>
  </si>
  <si>
    <t>6 x 4</t>
  </si>
  <si>
    <t>ACTIVE</t>
  </si>
  <si>
    <t>Automotive 3-V to 36-V, 4-A, low-noise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</si>
  <si>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</si>
  <si>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</si>
  <si>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</si>
  <si>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</si>
  <si>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</si>
  <si>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</si>
  <si>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 x 3.5</t>
  </si>
  <si>
    <t>ACTIVE</t>
  </si>
  <si>
    <t>Natural Interleaving™ transition-mode PFC controller with high-frequency switching</t>
  </si>
  <si>
    <t>AC/DC &amp; DC/DC controllers (external FET)</t>
  </si>
  <si>
    <t>Catalog</t>
  </si>
  <si>
    <t>Boost,PFC controller</t>
  </si>
  <si>
    <t>SOIC</t>
  </si>
  <si>
    <t/>
  </si>
  <si>
    <t>-40 to 125</t>
  </si>
  <si>
    <t>9.9 x 6</t>
  </si>
  <si>
    <t>ACTIVE</t>
  </si>
  <si>
    <t>40-V, 16-mΩ, 1-ch automotive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</si>
  <si>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</si>
  <si>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</si>
  <si>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</si>
  <si>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</si>
  <si>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</si>
  <si>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</si>
  <si>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</si>
  <si>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4-A synchronous step-down converter with I2C interface in 1.05-mm x 1.78-mm WCSP package</t>
  </si>
  <si>
    <t>AC/DC &amp; DC/DC converters (integrated FET)</t>
  </si>
  <si>
    <t>Catalog</t>
  </si>
  <si>
    <t>Buck,Step-Down Converter,Synchronous Buck</t>
  </si>
  <si>
    <t>DSBGA</t>
  </si>
  <si>
    <t/>
  </si>
  <si>
    <t>-40 to 125</t>
  </si>
  <si>
    <t>1.75 x 1.05</t>
  </si>
  <si>
    <t>ACTIVE</t>
  </si>
  <si>
    <t>5.5-V, 6-A synchronous step-down converter with I2C interface in 1.05-mm × 1.78-mm WCSP package</t>
  </si>
  <si>
    <t>AC/DC &amp; DC/DC converters (integrated FET)</t>
  </si>
  <si>
    <t>Catalog</t>
  </si>
  <si>
    <t>Buck,Step-Down Converter,Synchronous Buck</t>
  </si>
  <si>
    <t>DSBGA</t>
  </si>
  <si>
    <t/>
  </si>
  <si>
    <t>-40 to 125</t>
  </si>
  <si>
    <t>1.75 x 1.05</t>
  </si>
  <si>
    <t>ACTIVE</t>
  </si>
  <si>
    <t>Radiation-hardened, QMLV and QMLP, 3-V to 7-V input 18-A synchronous step-down converter</t>
  </si>
  <si>
    <t>AC/DC &amp; DC/DC converters (integrated FET)</t>
  </si>
  <si>
    <t>Space</t>
  </si>
  <si>
    <t>Buck</t>
  </si>
  <si>
    <t>CFP,DIESALE,HTSSOP</t>
  </si>
  <si>
    <t/>
  </si>
  <si>
    <t>-55 to 125</t>
  </si>
  <si>
    <t>0,34,44</t>
  </si>
  <si>
    <t>113.4,164.5158,See data sheet</t>
  </si>
  <si>
    <t>14 x 8.1,21.59 x 7.62,See data sheet</t>
  </si>
  <si>
    <t>1.2,2.55,—</t>
  </si>
  <si>
    <t>0.635,1.27,—</t>
  </si>
  <si>
    <t>ACTIVE</t>
  </si>
  <si>
    <t>150-mA, off-battery (40-V), ultra-low-IQ, low-dropout (LDO) voltage regulator with enable</t>
  </si>
  <si>
    <t>Linear &amp; low-dropout (LDO) regulators</t>
  </si>
  <si>
    <t>Catalog</t>
  </si>
  <si>
    <t>HVSSOP,WSON</t>
  </si>
  <si>
    <t/>
  </si>
  <si>
    <t>-40 to 125</t>
  </si>
  <si>
    <t>6,8</t>
  </si>
  <si>
    <t>4,14.7</t>
  </si>
  <si>
    <t>2 x 2,3 x 4.9</t>
  </si>
  <si>
    <t>0.8,1.1</t>
  </si>
  <si>
    <t>ACTIVE</t>
  </si>
  <si>
    <t>Automotive 3kVrms, ±10A single-channel isolated gate driver w/ isolated analog sensing for IGBT/SiC</t>
  </si>
  <si>
    <t>Isolated gate drivers</t>
  </si>
  <si>
    <t>Automotive</t>
  </si>
  <si>
    <t>SOIC</t>
  </si>
  <si>
    <t/>
  </si>
  <si>
    <t>-40 to 125</t>
  </si>
  <si>
    <t>10.3 x 10.3</t>
  </si>
  <si>
    <t>ACTIVE</t>
  </si>
  <si>
    <t>5kVrms, 4A/6A single-channel isolated gate driver with 5V UVLO for GaNFETs &amp; MOSFETs</t>
  </si>
  <si>
    <t>Isolated gate drivers</t>
  </si>
  <si>
    <t>Catalog</t>
  </si>
  <si>
    <t>SOIC</t>
  </si>
  <si>
    <t/>
  </si>
  <si>
    <t>-40 to 125</t>
  </si>
  <si>
    <t>5.85 x 11.5</t>
  </si>
  <si>
    <t>ACTIVE</t>
  </si>
  <si>
    <t>Low-power voltage supervisor (reset IC) with active-high push-pull output</t>
  </si>
  <si>
    <t>Reset &amp; watchdog ICs</t>
  </si>
  <si>
    <t>Catalog</t>
  </si>
  <si>
    <t>SOT-23,X2SON</t>
  </si>
  <si>
    <t/>
  </si>
  <si>
    <t>-40 to 125</t>
  </si>
  <si>
    <t>3,5</t>
  </si>
  <si>
    <t>0.64,6.9204</t>
  </si>
  <si>
    <t>0.8 x 0.8,2.92 x 2.37</t>
  </si>
  <si>
    <t>0.4,1.12</t>
  </si>
  <si>
    <t>0.48,0.96</t>
  </si>
  <si>
    <t>ACTIVE</t>
  </si>
  <si>
    <t>65-VIN no-opto flyback converter with 100-V, 0.75-A integrated MOSFET</t>
  </si>
  <si>
    <t>AC/DC &amp; DC/DC converters (integrated FET)</t>
  </si>
  <si>
    <t>Catalog</t>
  </si>
  <si>
    <t>PSR flyback</t>
  </si>
  <si>
    <t>WSON</t>
  </si>
  <si>
    <t>Functional Safety-Capable</t>
  </si>
  <si>
    <t>-40 to 150</t>
  </si>
  <si>
    <t>4 x 4</t>
  </si>
  <si>
    <t>ACTIVE</t>
  </si>
  <si>
    <t>Automotive 65-VIN no-opto flyback DC/DC converter with 100-V, 0.75-A integrated MOSFET</t>
  </si>
  <si>
    <t>AC/DC &amp; DC/DC converters (integrated FET)</t>
  </si>
  <si>
    <t>Automotive</t>
  </si>
  <si>
    <t>PSR flyback</t>
  </si>
  <si>
    <t>WSON</t>
  </si>
  <si>
    <t>Functional Safety-Capable</t>
  </si>
  <si>
    <t>-40 to 150</t>
  </si>
  <si>
    <t>4 x 4</t>
  </si>
  <si>
    <t>ACTIVE</t>
  </si>
  <si>
    <t>150-mA single-channel linear LED driver</t>
  </si>
  <si>
    <t>Illumination  LED drivers</t>
  </si>
  <si>
    <t>Catalog</t>
  </si>
  <si>
    <t>current mode</t>
  </si>
  <si>
    <t>SOT-23</t>
  </si>
  <si>
    <t/>
  </si>
  <si>
    <t>-40 to 125</t>
  </si>
  <si>
    <t>2.9 x 2.8</t>
  </si>
  <si>
    <t>ACTIVE</t>
  </si>
  <si>
    <t>4-V to 16-V input, 6-A synchronous buck converter, 900-mV reference voltage, latch-off current limit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</si>
  <si>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</si>
  <si>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</si>
  <si>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</si>
  <si>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</si>
  <si>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</si>
  <si>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</si>
  <si>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</si>
  <si>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</si>
  <si>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3-V to 36-V, 4-A, low-noise synchronous step-down converter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</si>
  <si>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</si>
  <si>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</si>
  <si>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</si>
  <si>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</si>
  <si>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</si>
  <si>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</si>
  <si>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4 x 3.5</t>
  </si>
  <si>
    <t>ACTIVE</t>
  </si>
  <si>
    <t>High-voltage PMIC for automotive applications</t>
  </si>
  <si>
    <t>Multi-channel ICs (PMICs)</t>
  </si>
  <si>
    <t>Automotive</t>
  </si>
  <si>
    <t>VQFNP</t>
  </si>
  <si>
    <t>Functional Safety-Compliant</t>
  </si>
  <si>
    <t>-40 to 125</t>
  </si>
  <si>
    <t>6 x 6</t>
  </si>
  <si>
    <t>ACTIVE</t>
  </si>
  <si>
    <t>SafeTI-ISO26262 ASIL-D multi-rail power supply for MCUs with 500mA I/O rail</t>
  </si>
  <si>
    <t>Multi-channel ICs (PMICs)</t>
  </si>
  <si>
    <t>Automotive</t>
  </si>
  <si>
    <t>HTSSOP</t>
  </si>
  <si>
    <t>Functional Safety-Compliant</t>
  </si>
  <si>
    <t>-40 to 125</t>
  </si>
  <si>
    <t>12.5 x 8.1</t>
  </si>
  <si>
    <t>ACTIVE</t>
  </si>
  <si>
    <t>ISO26262 ASIL-D multi-rail power supply for MCUs with 500-mA I/O rail and rotation counter</t>
  </si>
  <si>
    <t>Multi-channel ICs (PMICs)</t>
  </si>
  <si>
    <t>Automotive</t>
  </si>
  <si>
    <t>HTSSOP</t>
  </si>
  <si>
    <t>Functional Safety-Compliant</t>
  </si>
  <si>
    <t>-40 to 125</t>
  </si>
  <si>
    <t>12.5 x 8.1</t>
  </si>
  <si>
    <t>ACTIVE</t>
  </si>
  <si>
    <t>2-A, low-VIN (1.1-V), low-noise, high-accuracy, ultra-low-dropout (LDO) voltage regulator</t>
  </si>
  <si>
    <t>Linear &amp; low-dropout (LDO) regulators</t>
  </si>
  <si>
    <t>Catalog</t>
  </si>
  <si>
    <t>VQFN-HR</t>
  </si>
  <si>
    <t/>
  </si>
  <si>
    <t>-40 to 125</t>
  </si>
  <si>
    <t>2.5 x 2.2</t>
  </si>
  <si>
    <t>ACTIVE</t>
  </si>
  <si>
    <t>3-A, low-VIN (1.1 V) low-noise high-accuracy ultra-low-dropout (LDO) voltage regulator</t>
  </si>
  <si>
    <t>Linear &amp; low-dropout (LDO) regulators</t>
  </si>
  <si>
    <t>Catalog</t>
  </si>
  <si>
    <t>VQFN-HR</t>
  </si>
  <si>
    <t/>
  </si>
  <si>
    <t>-40 to 125</t>
  </si>
  <si>
    <t>2.5 x 2.2</t>
  </si>
  <si>
    <t>ACTIVE</t>
  </si>
  <si>
    <t>4-A, low-VIN (1.1-V), low-noise, high-accuracy, ultra-low-dropout (LDO) voltage regulator</t>
  </si>
  <si>
    <t>Linear &amp; low-dropout (LDO) regulators</t>
  </si>
  <si>
    <t>Catalog</t>
  </si>
  <si>
    <t>VQFN-HR</t>
  </si>
  <si>
    <t/>
  </si>
  <si>
    <t>-40 to 125</t>
  </si>
  <si>
    <t>2.5 x 2.2</t>
  </si>
  <si>
    <t>ACTIVE</t>
  </si>
  <si>
    <t>2.7-V to 16-V input, 12-A synchronous buck converter with remote sense and latch-off current limit</t>
  </si>
  <si>
    <t>AC/DC &amp; DC/DC converters (integrated FET)</t>
  </si>
  <si>
    <t>Catalog</t>
  </si>
  <si>
    <t>Buck</t>
  </si>
  <si>
    <t>VQFN-HR</t>
  </si>
  <si>
    <t/>
  </si>
  <si>
    <t>-40 to 125</t>
  </si>
  <si>
    <t>4 x 3</t>
  </si>
  <si>
    <t>ACTIVE</t>
  </si>
  <si>
    <t>Automotive 3-V to 36-V, 4-A, low-noise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</si>
  <si>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</si>
  <si>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</si>
  <si>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</si>
  <si>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</si>
  <si>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</si>
  <si>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</si>
  <si>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 x 3.5</t>
  </si>
  <si>
    <t>ACTIVE</t>
  </si>
  <si>
    <t>Synchronous buck FET driver for high-frequency CPU core power in automotive applications</t>
  </si>
  <si>
    <t>AC/DC &amp; DC/DC controllers (external FET)</t>
  </si>
  <si>
    <t>Automotive</t>
  </si>
  <si>
    <t>WSON</t>
  </si>
  <si>
    <t/>
  </si>
  <si>
    <t>-40 to 125</t>
  </si>
  <si>
    <t>2 x 2</t>
  </si>
  <si>
    <t>ACTIVE</t>
  </si>
  <si>
    <t>Automotive 3.75kVrms, 4A/6A dual-channel isolated gate driver w/ programmable deadtime in DWK pkg</t>
  </si>
  <si>
    <t>Isolated gate drivers</t>
  </si>
  <si>
    <t>Automotive</t>
  </si>
  <si>
    <t>SOIC</t>
  </si>
  <si>
    <t/>
  </si>
  <si>
    <t>-40 to 125</t>
  </si>
  <si>
    <t>10.3 x 10.3</t>
  </si>
  <si>
    <t>ACTIVE</t>
  </si>
  <si>
    <t>2.5-V to 24-V, 3-, 2-, and 1-phase step-down driverless controller</t>
  </si>
  <si>
    <t>AC/DC &amp; DC/DC controllers (external FET)</t>
  </si>
  <si>
    <t>Automotive</t>
  </si>
  <si>
    <t>Multiphase</t>
  </si>
  <si>
    <t>VQFN</t>
  </si>
  <si>
    <t/>
  </si>
  <si>
    <t>-40 to 125</t>
  </si>
  <si>
    <t>5 x 5</t>
  </si>
  <si>
    <t>ACTIVE</t>
  </si>
  <si>
    <t>Automotive 5.7kVrms, ±10A single-channel isolated gate driver w/ DESAT &amp; internal clamp for IGBT/SiC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</si>
  <si>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</si>
  <si>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</si>
  <si>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</si>
  <si>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</si>
  <si>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</si>
  <si>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</si>
  <si>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</si>
  <si>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Automotive 3-V to 36-V, 3.5-A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</si>
  <si>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</si>
  <si>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</si>
  <si>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</si>
  <si>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</si>
  <si>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</si>
  <si>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</si>
  <si>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 x 3.5</t>
  </si>
  <si>
    <t>ACTIVE</t>
  </si>
  <si>
    <t>3-V to 36-V, 6-A, Low-EMI synchronous step-down converter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</si>
  <si>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</si>
  <si>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</si>
  <si>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</si>
  <si>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</si>
  <si>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</si>
  <si>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</si>
  <si>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4 x 3.5</t>
  </si>
  <si>
    <t>ACTIVE</t>
  </si>
  <si>
    <t>12-channel automotive 40-V high-side LED driver with FlexWire interface</t>
  </si>
  <si>
    <t>Automotive LED drivers</t>
  </si>
  <si>
    <t>Automotive</t>
  </si>
  <si>
    <t>Current Source</t>
  </si>
  <si>
    <t>HTSSOP</t>
  </si>
  <si>
    <t>Functional Safety-Capable</t>
  </si>
  <si>
    <t>-40 to 125</t>
  </si>
  <si>
    <t>7.8 x 6.4</t>
  </si>
  <si>
    <t>ACTIVE</t>
  </si>
  <si>
    <t>SIMPLE SWITCHER&amp;reg; 4.2-V to 65-V, 1-A synchronous step-down converter with 26-uA IQ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</si>
  <si>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</si>
  <si>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</si>
  <si>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</si>
  <si>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</si>
  <si>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</si>
  <si>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</si>
  <si>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</si>
  <si>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</si>
  <si>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600-V 150-mΩ GaN with integrated driver and overcurrent protection</t>
  </si>
  <si>
    <t>Gallium nitride (GaN) power stages</t>
  </si>
  <si>
    <t>Catalog</t>
  </si>
  <si>
    <t>VQFN</t>
  </si>
  <si>
    <t/>
  </si>
  <si>
    <t>-40 to 150</t>
  </si>
  <si>
    <t>8 x 8</t>
  </si>
  <si>
    <t>ACTIVE</t>
  </si>
  <si>
    <t>600-V 150-mΩ GaN with integrated driver and cycle-by-cycle overcurrent protection</t>
  </si>
  <si>
    <t>Gallium nitride (GaN) power stages</t>
  </si>
  <si>
    <t>Catalog</t>
  </si>
  <si>
    <t>VQFN</t>
  </si>
  <si>
    <t/>
  </si>
  <si>
    <t>-40 to 150</t>
  </si>
  <si>
    <t>8 x 8</t>
  </si>
  <si>
    <t>ACTIVE</t>
  </si>
  <si>
    <t>SIMPLE SWITCHER&amp;reg; 4.2-V to 65-V, 2-A synchronous step-down converter with 26-uA IQ</t>
  </si>
  <si>
    <t>AC/DC &amp; DC/DC converters (integrated FET)</t>
  </si>
  <si>
    <t>Catalog</t>
  </si>
  <si>
    <t>Buck,Flybuck</t>
  </si>
  <si>
    <t>HSOIC</t>
  </si>
  <si>
    <t/>
  </si>
  <si>
    <t>-40 to 125</t>
  </si>
  <si>
    <t>4.9 x 6</t>
  </si>
  <si>
    <t>ACTIVE</t>
  </si>
  <si>
    <t>Automotive 7-A/5-A single-channel low-side gate driver with 5-V UVLO for narrow pulse applications</t>
  </si>
  <si>
    <t>Low-side drivers</t>
  </si>
  <si>
    <t>Automotive</t>
  </si>
  <si>
    <t>WSON</t>
  </si>
  <si>
    <t/>
  </si>
  <si>
    <t>-40 to 125</t>
  </si>
  <si>
    <t>2 x 2</t>
  </si>
  <si>
    <t>ACTIVE</t>
  </si>
  <si>
    <t>Functional safety compliant multi-rail power supply for safety MCUs with 350mA I/O rail</t>
  </si>
  <si>
    <t>Multi-channel ICs (PMICs)</t>
  </si>
  <si>
    <t>Automotive</t>
  </si>
  <si>
    <t>HTSSOP</t>
  </si>
  <si>
    <t>Functional Safety-Compliant</t>
  </si>
  <si>
    <t>-40 to 125</t>
  </si>
  <si>
    <t>12.5 x 8.1</t>
  </si>
  <si>
    <t>ACTIVE</t>
  </si>
  <si>
    <t>Functional safety-compliant multi-rail power supply for safety MCUs for Q100 grade-0 applications</t>
  </si>
  <si>
    <t>Multi-channel ICs (PMICs)</t>
  </si>
  <si>
    <t>Automotive</t>
  </si>
  <si>
    <t>HTSSOP</t>
  </si>
  <si>
    <t>Functional Safety-Compliant</t>
  </si>
  <si>
    <t>-40 to 150</t>
  </si>
  <si>
    <t>12.5 x 8.1</t>
  </si>
  <si>
    <t>ACTIVE</t>
  </si>
  <si>
    <t>Functional safety compliant multi-rail power supply for safety MCUs with 350mA I/O, rotation counter</t>
  </si>
  <si>
    <t>Multi-channel ICs (PMICs)</t>
  </si>
  <si>
    <t>Automotive</t>
  </si>
  <si>
    <t>HTSSOP</t>
  </si>
  <si>
    <t>Functional Safety-Compliant</t>
  </si>
  <si>
    <t>-40 to 125</t>
  </si>
  <si>
    <t>12.5 x 8.1</t>
  </si>
  <si>
    <t>ACTIVE</t>
  </si>
  <si>
    <t>12-Channel high-brightness LED matrix manager for automotive headlight systems</t>
  </si>
  <si>
    <t>Automotive LED drivers</t>
  </si>
  <si>
    <t>Automotive</t>
  </si>
  <si>
    <t>Floating Switch</t>
  </si>
  <si>
    <t>HTQFP</t>
  </si>
  <si>
    <t>Functional Safety-Capable</t>
  </si>
  <si>
    <t>-40 to 125</t>
  </si>
  <si>
    <t>9 x 9</t>
  </si>
  <si>
    <t>ACTIVE</t>
  </si>
  <si>
    <t>40-V, 50-mΩ, 2-ch automotive smart high-side switch with adjustable current limit</t>
  </si>
  <si>
    <t>High-side switches</t>
  </si>
  <si>
    <t>Automotive</t>
  </si>
  <si>
    <t>HTSSOP</t>
  </si>
  <si>
    <t/>
  </si>
  <si>
    <t>-40 to 125</t>
  </si>
  <si>
    <t>5 x 6.4</t>
  </si>
  <si>
    <t>ACTIVE</t>
  </si>
  <si>
    <t>600-V 50mΩ GaN with integrated driver and cycle-by-cycle overcurrent protection</t>
  </si>
  <si>
    <t>Gallium nitride (GaN) power stages</t>
  </si>
  <si>
    <t>Catalog</t>
  </si>
  <si>
    <t>VQFN</t>
  </si>
  <si>
    <t/>
  </si>
  <si>
    <t>-40 to 150</t>
  </si>
  <si>
    <t>8 x 8</t>
  </si>
  <si>
    <t>ACTIVE</t>
  </si>
  <si>
    <t>Automotive, 3.5V to 36V, 3.25A step-down voltage converter with spread spectrum</t>
  </si>
  <si>
    <t>AC/DC &amp; DC/DC converters (integrated FET)</t>
  </si>
  <si>
    <t>Automotive</t>
  </si>
  <si>
    <t>Buck</t>
  </si>
  <si>
    <t>HTSSOP,WSON</t>
  </si>
  <si>
    <t>Functional Safety-Capable</t>
  </si>
  <si>
    <t>-40 to 150</t>
  </si>
  <si>
    <t>12,16</t>
  </si>
  <si>
    <t>9,32</t>
  </si>
  <si>
    <t>3 x 3,5 x 6.4</t>
  </si>
  <si>
    <t>0.8,1.2</t>
  </si>
  <si>
    <t>0.5,0.65</t>
  </si>
  <si>
    <t>ACTIVE</t>
  </si>
  <si>
    <t>Automotive 6V-100-V input, 0.5-A synchronous high-temperature buck DC/DC converter with ultra-low IQ</t>
  </si>
  <si>
    <t>AC/DC &amp; DC/DC converters (integrated FET)</t>
  </si>
  <si>
    <t>Automotive</t>
  </si>
  <si>
    <t>Buck</t>
  </si>
  <si>
    <t>HSOIC</t>
  </si>
  <si>
    <t>Functional Safety-Capable</t>
  </si>
  <si>
    <t>-40 to 165</t>
  </si>
  <si>
    <t>4.9 x 6</t>
  </si>
  <si>
    <t>ACTIVE</t>
  </si>
  <si>
    <t>200-mA, 18-V, ultra-low-IQ, low-dropout (LDO)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</si>
  <si>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</si>
  <si>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</si>
  <si>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</si>
  <si>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</si>
  <si>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</si>
  <si>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</si>
  <si>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</si>
  <si>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Automotive single-channel LED driver with  600mA output, open and short detection</t>
  </si>
  <si>
    <t>Automotive LED drivers</t>
  </si>
  <si>
    <t>Automotive</t>
  </si>
  <si>
    <t>Current Source</t>
  </si>
  <si>
    <t>TO-263</t>
  </si>
  <si>
    <t>Functional Safety-Capable</t>
  </si>
  <si>
    <t>-40 to 125</t>
  </si>
  <si>
    <t>10.16 x 14.01</t>
  </si>
  <si>
    <t>ACTIVE</t>
  </si>
  <si>
    <t>LNB voltage regulator with I2C interface</t>
  </si>
  <si>
    <t>AC/DC &amp; DC/DC converters (integrated FET)</t>
  </si>
  <si>
    <t>Catalog</t>
  </si>
  <si>
    <t>Boost</t>
  </si>
  <si>
    <t>WQFN</t>
  </si>
  <si>
    <t/>
  </si>
  <si>
    <t>-40 to 125</t>
  </si>
  <si>
    <t>3 x 3</t>
  </si>
  <si>
    <t>ACTIVE</t>
  </si>
  <si>
    <t>600-V 50-mΩ GaN with integrated driver and protection</t>
  </si>
  <si>
    <t>Gallium nitride (GaN) power stages</t>
  </si>
  <si>
    <t>Catalog</t>
  </si>
  <si>
    <t>VQFN</t>
  </si>
  <si>
    <t/>
  </si>
  <si>
    <t>-40 to 150</t>
  </si>
  <si>
    <t>8 x 8</t>
  </si>
  <si>
    <t>ACTIVE</t>
  </si>
  <si>
    <t>500-mA, low-IQ, high-PSRR, dual-channel low-dropout (LDO) voltage regulator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</si>
  <si>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</si>
  <si>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</si>
  <si>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</si>
  <si>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</si>
  <si>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</si>
  <si>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</si>
  <si>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</si>
  <si>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1-A, low-IQ, high-PSRR, adjustable, dual-channel low-dropout (LDO) voltage regulator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</si>
  <si>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</si>
  <si>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</si>
  <si>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</si>
  <si>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</si>
  <si>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</si>
  <si>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</si>
  <si>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</si>
  <si>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Automotive 3-V to 36-V, 6-A, low-noise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</si>
  <si>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</si>
  <si>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</si>
  <si>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</si>
  <si>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</si>
  <si>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</si>
  <si>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</si>
  <si>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4 x 3.5</t>
  </si>
  <si>
    <t>ACTIVE</t>
  </si>
  <si>
    <t>2.95-V to 16-V, stackable 40-A synchronous SWIFT™ step-down converter with pin-strapping and PMBus®</t>
  </si>
  <si>
    <t>AC/DC &amp; DC/DC converters (integrated FET)</t>
  </si>
  <si>
    <t>Catalog</t>
  </si>
  <si>
    <t>Buck</t>
  </si>
  <si>
    <t>LQFN-CLIP</t>
  </si>
  <si>
    <t/>
  </si>
  <si>
    <t>-40 to 150</t>
  </si>
  <si>
    <t>7 x 5</t>
  </si>
  <si>
    <t>ACTIVE</t>
  </si>
  <si>
    <t>Automotive 5.7kVrms 10A single-channel isolated gate driver with overcurrent protection for IGBT/SiC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</si>
  <si>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</si>
  <si>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</si>
  <si>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</si>
  <si>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</si>
  <si>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</si>
  <si>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</si>
  <si>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</si>
  <si>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5.7kVrms ±10A, single-channel isolated gate driver w/ DESAT &amp; internal miller clamp for IGBT/SiCFETs</t>
  </si>
  <si>
    <t>Isolated gate drivers</t>
  </si>
  <si>
    <t>Catalog</t>
  </si>
  <si>
    <t>SOIC</t>
  </si>
  <si>
    <t/>
  </si>
  <si>
    <t>-40 to 125</t>
  </si>
  <si>
    <t>10.3 x 10.3</t>
  </si>
  <si>
    <t>ACTIVE</t>
  </si>
  <si>
    <t>200mA, nanopower-IQ (25 nA), low-dropout (LDO) voltage regulator with enable</t>
  </si>
  <si>
    <t>Linear &amp; low-dropout (LDO) regulators</t>
  </si>
  <si>
    <t>Catalog</t>
  </si>
  <si>
    <t>DSBGA,SOT-23,X2SON</t>
  </si>
  <si>
    <t/>
  </si>
  <si>
    <t>-40 to 125</t>
  </si>
  <si>
    <t>4,5</t>
  </si>
  <si>
    <t>0.405769,1,8.12</t>
  </si>
  <si>
    <t>0.637 x 0.637,1 x 1,2.9 x 2.8</t>
  </si>
  <si>
    <t>0.4,1.45</t>
  </si>
  <si>
    <t>0.35,0.65,0.95</t>
  </si>
  <si>
    <t>ACTIVE</t>
  </si>
  <si>
    <t>Nanopower-IQ 200nA 200mA low-dropout (LDO) voltage regulator with fast transient response</t>
  </si>
  <si>
    <t>Linear &amp; low-dropout (LDO) regulators</t>
  </si>
  <si>
    <t>Catalog</t>
  </si>
  <si>
    <t>DSBGA,SOT-23,X2SON</t>
  </si>
  <si>
    <t/>
  </si>
  <si>
    <t>-40 to 125</t>
  </si>
  <si>
    <t>4,5</t>
  </si>
  <si>
    <t>0.405769,1,8.12</t>
  </si>
  <si>
    <t>0.637 x 0.637,1 x 1,2.9 x 2.8</t>
  </si>
  <si>
    <t>0.4,1.45</t>
  </si>
  <si>
    <t>0.35,0.65,0.95</t>
  </si>
  <si>
    <t>ACTIVE</t>
  </si>
  <si>
    <t>500 mW, high efficiency 3 kVrms isolated DC-DC converter</t>
  </si>
  <si>
    <t>Isolated power modules (integrated transformer)</t>
  </si>
  <si>
    <t>Catalog</t>
  </si>
  <si>
    <t>Full-bridge</t>
  </si>
  <si>
    <t>SO-MOD</t>
  </si>
  <si>
    <t/>
  </si>
  <si>
    <t>-40 to 125</t>
  </si>
  <si>
    <t>10.3 x 10.3</t>
  </si>
  <si>
    <t>ACTIVE</t>
  </si>
  <si>
    <t>500-mW, high-efficiency, 5-kVRMS isolated DC/DC converter</t>
  </si>
  <si>
    <t>Isolated power modules (integrated transformer)</t>
  </si>
  <si>
    <t>Catalog</t>
  </si>
  <si>
    <t>Full-bridge</t>
  </si>
  <si>
    <t>SO-MOD</t>
  </si>
  <si>
    <t/>
  </si>
  <si>
    <t>-40 to 125</t>
  </si>
  <si>
    <t>10.3 x 10.3</t>
  </si>
  <si>
    <t>ACTIVE</t>
  </si>
  <si>
    <t>Multiphase bidirectional current controller</t>
  </si>
  <si>
    <t>AC/DC &amp; DC/DC controllers (external FET)</t>
  </si>
  <si>
    <t>Catalog</t>
  </si>
  <si>
    <t>Boost,Buck,Buck/Boost</t>
  </si>
  <si>
    <t>HTQFP</t>
  </si>
  <si>
    <t>Functional Safety-Capable</t>
  </si>
  <si>
    <t>-40 to 125</t>
  </si>
  <si>
    <t>9 x 9</t>
  </si>
  <si>
    <t>ACTIVE</t>
  </si>
  <si>
    <t>40-V, 8-mΩ, 1-ch automotive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</si>
  <si>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</si>
  <si>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</si>
  <si>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</si>
  <si>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</si>
  <si>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</si>
  <si>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</si>
  <si>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</si>
  <si>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USB-C® Power Delivery high voltage power switch for sink with 3.3V dead battery LDO</t>
  </si>
  <si>
    <t>USB Type-C &amp; USB Power Delivery ICs</t>
  </si>
  <si>
    <t>Catalog</t>
  </si>
  <si>
    <t>DSBGA</t>
  </si>
  <si>
    <t/>
  </si>
  <si>
    <t>-10 to 85</t>
  </si>
  <si>
    <t>2.806 x 1.606</t>
  </si>
  <si>
    <t>ACTIVE</t>
  </si>
  <si>
    <t>USB-C® Power Delivery high voltage power switch for sink with 5V dead battery LDO</t>
  </si>
  <si>
    <t>USB Type-C &amp; USB Power Delivery ICs</t>
  </si>
  <si>
    <t>Catalog</t>
  </si>
  <si>
    <t>DSBGA</t>
  </si>
  <si>
    <t/>
  </si>
  <si>
    <t>-10 to 85</t>
  </si>
  <si>
    <t>2.806 x 1.606</t>
  </si>
  <si>
    <t>ACTIVE</t>
  </si>
  <si>
    <t>36-V, 2-A step-down power module in small 5.5 x 5 x 4-mm Enhanced HotRod™ QFN with simple footprint</t>
  </si>
  <si>
    <t>Power modules (integrated inductor)</t>
  </si>
  <si>
    <t>Catalog</t>
  </si>
  <si>
    <t>Buck,Inverting Buck-Boost,Synchronous Buck</t>
  </si>
  <si>
    <t>B3QFN</t>
  </si>
  <si>
    <t>Functional Safety-Capable</t>
  </si>
  <si>
    <t>-40 to 125</t>
  </si>
  <si>
    <t>5.5 x 5</t>
  </si>
  <si>
    <t>ACTIVE</t>
  </si>
  <si>
    <t>36-V, 3-A step-down power module in small 5.5 x 5 x 4-mm Enhanced HotRod™ QFN with simple footprint</t>
  </si>
  <si>
    <t>Power modules (integrated inductor)</t>
  </si>
  <si>
    <t>Catalog</t>
  </si>
  <si>
    <t>Buck,Inverting Buck-Boost,Synchronous Buck</t>
  </si>
  <si>
    <t>B3QFN</t>
  </si>
  <si>
    <t>Functional Safety-Capable</t>
  </si>
  <si>
    <t>-40 to 125</t>
  </si>
  <si>
    <t>5.5 x 5</t>
  </si>
  <si>
    <t>ACTIVE</t>
  </si>
  <si>
    <t>36-V, 4-A step-down power module in small 5.5 x 5 x 4-mm Enhanced HotRod™ QFN with simple footprint</t>
  </si>
  <si>
    <t>Power modules (integrated inductor)</t>
  </si>
  <si>
    <t>Catalog</t>
  </si>
  <si>
    <t>Buck,Inverting Buck-Boost,Synchronous Buck</t>
  </si>
  <si>
    <t>B3QFN</t>
  </si>
  <si>
    <t>Functional Safety-Capable</t>
  </si>
  <si>
    <t>-40 to 125</t>
  </si>
  <si>
    <t>5.5 x 5</t>
  </si>
  <si>
    <t>ACTIVE</t>
  </si>
  <si>
    <t>USB-C® Power Delivery 20V sink &amp; 5V source power switch with 3.3V dead battery LDO</t>
  </si>
  <si>
    <t>USB Type-C &amp; USB Power Delivery ICs</t>
  </si>
  <si>
    <t>Catalog</t>
  </si>
  <si>
    <t>DSBGA</t>
  </si>
  <si>
    <t/>
  </si>
  <si>
    <t>-10 to 85</t>
  </si>
  <si>
    <t>2.806 x 1.606</t>
  </si>
  <si>
    <t>ACTIVE</t>
  </si>
  <si>
    <t>USB-C® Power Delivery 20V sink &amp; 5V source power switch with 5V dead battery LDO</t>
  </si>
  <si>
    <t>USB Type-C &amp; USB Power Delivery ICs</t>
  </si>
  <si>
    <t>Catalog</t>
  </si>
  <si>
    <t>DSBGA</t>
  </si>
  <si>
    <t/>
  </si>
  <si>
    <t>-10 to 85</t>
  </si>
  <si>
    <t>2.806 x 1.606</t>
  </si>
  <si>
    <t>ACTIVE</t>
  </si>
  <si>
    <t>3.7-A boost converter with 0.5-V ultra-low input voltage</t>
  </si>
  <si>
    <t>AC/DC &amp; DC/DC converters (integrated FET)</t>
  </si>
  <si>
    <t>Catalog</t>
  </si>
  <si>
    <t>Boost</t>
  </si>
  <si>
    <t>SOT-5X3</t>
  </si>
  <si>
    <t/>
  </si>
  <si>
    <t>-40 to 125</t>
  </si>
  <si>
    <t>1.6 x 1.6</t>
  </si>
  <si>
    <t>ACTIVE</t>
  </si>
  <si>
    <t>Low-power voltage supervisor (reset IC) with active-low open-drain output</t>
  </si>
  <si>
    <t>Reset &amp; watchdog ICs</t>
  </si>
  <si>
    <t>Catalog</t>
  </si>
  <si>
    <t>SOT-23,SOT-SC70,X2SON</t>
  </si>
  <si>
    <t/>
  </si>
  <si>
    <t>-40 to 125</t>
  </si>
  <si>
    <t>3,5</t>
  </si>
  <si>
    <t>0.64,4.2,6.9204</t>
  </si>
  <si>
    <t>0.8 x 0.8,2 x 2.1,2.92 x 2.37</t>
  </si>
  <si>
    <t>0.4,1.1,1.12</t>
  </si>
  <si>
    <t>0.48,0.65,0.96</t>
  </si>
  <si>
    <t>ACTIVE</t>
  </si>
  <si>
    <t>Low-power voltage supervisor (reset IC) with active-low&amp;nbsp;push-pull output</t>
  </si>
  <si>
    <t>Reset &amp; watchdog ICs</t>
  </si>
  <si>
    <t>Catalog</t>
  </si>
  <si>
    <t>SOT-23,SOT-SC70,X2SON</t>
  </si>
  <si>
    <t/>
  </si>
  <si>
    <t>-40 to 125</t>
  </si>
  <si>
    <t>3,5</t>
  </si>
  <si>
    <t>0.64,4.2,6.9204</t>
  </si>
  <si>
    <t>0.8 x 0.8,2 x 2.1,2.92 x 2.37</t>
  </si>
  <si>
    <t>0.4,1.1,1.12</t>
  </si>
  <si>
    <t>0.48,0.65,0.96</t>
  </si>
  <si>
    <t>ACTIVE</t>
  </si>
  <si>
    <t>40-V, 16-mΩ, 2-ch automotive smart high-side switch with adjustable current limit</t>
  </si>
  <si>
    <t>High-side switches</t>
  </si>
  <si>
    <t>Automotive</t>
  </si>
  <si>
    <t>HTSSOP</t>
  </si>
  <si>
    <t/>
  </si>
  <si>
    <t>-40 to 125</t>
  </si>
  <si>
    <t>5 x 6.4</t>
  </si>
  <si>
    <t>ACTIVE</t>
  </si>
  <si>
    <t>40-V, 35-mΩ, 2-ch automotive smart high-side switch with adjustable current limit</t>
  </si>
  <si>
    <t>High-side switches</t>
  </si>
  <si>
    <t>Automotive</t>
  </si>
  <si>
    <t>HTSSOP</t>
  </si>
  <si>
    <t/>
  </si>
  <si>
    <t>-40 to 125</t>
  </si>
  <si>
    <t>5 x 6.4</t>
  </si>
  <si>
    <t>ACTIVE</t>
  </si>
  <si>
    <t>Automotive, high-bandwidth, low-IQ programmable shunt regulator (pinout: KRA)</t>
  </si>
  <si>
    <t>Shunt voltage references</t>
  </si>
  <si>
    <t>Automotive</t>
  </si>
  <si>
    <t>SOT-23</t>
  </si>
  <si>
    <t/>
  </si>
  <si>
    <t>-40 to 125</t>
  </si>
  <si>
    <t>2.92 x 2.37</t>
  </si>
  <si>
    <t>ACTIVE</t>
  </si>
  <si>
    <t>Automotive, high-bandwidth, low-IQ programmable shunt regulator (pinout: RKA)</t>
  </si>
  <si>
    <t>Shunt voltage references</t>
  </si>
  <si>
    <t>Automotive</t>
  </si>
  <si>
    <t>SOT-23</t>
  </si>
  <si>
    <t/>
  </si>
  <si>
    <t>-40 to 125</t>
  </si>
  <si>
    <t>2.92 x 2.37</t>
  </si>
  <si>
    <t>ACTIVE</t>
  </si>
  <si>
    <t>85-VOUT Boost converter with current mirror</t>
  </si>
  <si>
    <t>AC/DC &amp; DC/DC converters (integrated FET)</t>
  </si>
  <si>
    <t>Catalog</t>
  </si>
  <si>
    <t>Boost,Flyback,SEPIC</t>
  </si>
  <si>
    <t>WQFN</t>
  </si>
  <si>
    <t/>
  </si>
  <si>
    <t>-40 to 125</t>
  </si>
  <si>
    <t>3 x 3</t>
  </si>
  <si>
    <t>ACTIVE</t>
  </si>
  <si>
    <t>SIMPLE SWITCHER® 3.8-V to 36-V, 4-A step-down converter in SOIC-8 package</t>
  </si>
  <si>
    <t>AC/DC &amp; DC/DC converters (integrated FET)</t>
  </si>
  <si>
    <t>Catalog</t>
  </si>
  <si>
    <t>Buck</t>
  </si>
  <si>
    <t>HSOIC</t>
  </si>
  <si>
    <t>Functional Safety-Capable</t>
  </si>
  <si>
    <t>-40 to 125</t>
  </si>
  <si>
    <t>4.9 x 6</t>
  </si>
  <si>
    <t>ACTIVE</t>
  </si>
  <si>
    <t>Automotive, adjustable, precision shunt regulator with optimized reference current</t>
  </si>
  <si>
    <t>Shunt voltage references</t>
  </si>
  <si>
    <t>Automotive</t>
  </si>
  <si>
    <t>SOT-23</t>
  </si>
  <si>
    <t>Functional Safety-Capable</t>
  </si>
  <si>
    <t>-40 to 150</t>
  </si>
  <si>
    <t>2.92 x 2.37</t>
  </si>
  <si>
    <t>ACTIVE</t>
  </si>
  <si>
    <t>Automotive, adjustable, precision shunt regulator with optimized reference current</t>
  </si>
  <si>
    <t>Shunt voltage references</t>
  </si>
  <si>
    <t>Automotive</t>
  </si>
  <si>
    <t>SOT-23</t>
  </si>
  <si>
    <t/>
  </si>
  <si>
    <t>-40 to 150</t>
  </si>
  <si>
    <t>2.92 x 2.37</t>
  </si>
  <si>
    <t>ACTIVE</t>
  </si>
  <si>
    <t>Automotive 500-mA, low-IQ, high-PSRR,&amp;nbsp;low-dropout (LDO) voltage regulator with power good&lt;/p</t>
  </si>
  <si>
    <t>Linear &amp; low-dropout (LDO) regulators</t>
  </si>
  <si>
    <t>Automotive</t>
  </si>
  <si>
    <t>VSON,WSON</t>
  </si>
  <si>
    <t/>
  </si>
  <si>
    <t>-40 to 125</t>
  </si>
  <si>
    <t>6,8</t>
  </si>
  <si>
    <t>4,9</t>
  </si>
  <si>
    <t>2 x 2,3 x 3</t>
  </si>
  <si>
    <t>0.8,1</t>
  </si>
  <si>
    <t>ACTIVE</t>
  </si>
  <si>
    <t>LLC resonant controller with ultra-low standby power and high voltage startup</t>
  </si>
  <si>
    <t>AC/DC &amp; DC/DC controllers (external FET)</t>
  </si>
  <si>
    <t>Catalog</t>
  </si>
  <si>
    <t>Half bridge,LLC</t>
  </si>
  <si>
    <t>SOIC</t>
  </si>
  <si>
    <t/>
  </si>
  <si>
    <t>-40 to 125</t>
  </si>
  <si>
    <t>9.9 x 6</t>
  </si>
  <si>
    <t>ACTIVE</t>
  </si>
  <si>
    <t>LLC resonant controller with ultra-low power and ultra-quiet standby operation</t>
  </si>
  <si>
    <t>AC/DC &amp; DC/DC controllers (external FET)</t>
  </si>
  <si>
    <t>Catalog</t>
  </si>
  <si>
    <t>Half bridge,LLC</t>
  </si>
  <si>
    <t>SOIC</t>
  </si>
  <si>
    <t/>
  </si>
  <si>
    <t>-40 to 125</t>
  </si>
  <si>
    <t>9.9 x 6</t>
  </si>
  <si>
    <t>ACTIVE</t>
  </si>
  <si>
    <t>LLC resonant controller with ultra-low power, ultra-quiet standby operation and high voltage startup</t>
  </si>
  <si>
    <t>AC/DC &amp; DC/DC controllers (external FET)</t>
  </si>
  <si>
    <t>Catalog</t>
  </si>
  <si>
    <t>Half bridge,LLC</t>
  </si>
  <si>
    <t>SOIC</t>
  </si>
  <si>
    <t/>
  </si>
  <si>
    <t>-40 to 125</t>
  </si>
  <si>
    <t>9.9 x 6</t>
  </si>
  <si>
    <t>ACTIVE</t>
  </si>
  <si>
    <t>Automotive ultra low standby, flyback controller with integrated HV startup and optocoupler feedback</t>
  </si>
  <si>
    <t>AC/DC &amp; DC/DC controllers (external FET)</t>
  </si>
  <si>
    <t>Automotive</t>
  </si>
  <si>
    <t>Flyback</t>
  </si>
  <si>
    <t>SOIC</t>
  </si>
  <si>
    <t>Functional Safety-Capable</t>
  </si>
  <si>
    <t>-40 to 125</t>
  </si>
  <si>
    <t>4.9 x 6</t>
  </si>
  <si>
    <t>ACTIVE</t>
  </si>
  <si>
    <t>SIMPLE SWITCHER® 3.8-V to 36-V, 1-A synchronous step-down converter in SOIC-8 package</t>
  </si>
  <si>
    <t>AC/DC &amp; DC/DC converters (integrated FET)</t>
  </si>
  <si>
    <t>Catalog</t>
  </si>
  <si>
    <t>Buck</t>
  </si>
  <si>
    <t>HSOIC</t>
  </si>
  <si>
    <t>Functional Safety-Capable</t>
  </si>
  <si>
    <t>-40 to 125</t>
  </si>
  <si>
    <t>4.9 x 6</t>
  </si>
  <si>
    <t>ACTIVE</t>
  </si>
  <si>
    <t>User-programmable Power Management IC (PMIC) with 6 DC/DC converters, 1 LDO, and 3 load switches</t>
  </si>
  <si>
    <t>Multi-channel ICs (PMICs)</t>
  </si>
  <si>
    <t>Catalog</t>
  </si>
  <si>
    <t>VQFN</t>
  </si>
  <si>
    <t/>
  </si>
  <si>
    <t>-40 to 105</t>
  </si>
  <si>
    <t>6 x 6</t>
  </si>
  <si>
    <t>ACTIVE</t>
  </si>
  <si>
    <t>Power Management IC (PMIC) for NXP i.MX 8M mini</t>
  </si>
  <si>
    <t>Multi-channel ICs (PMICs)</t>
  </si>
  <si>
    <t>Catalog</t>
  </si>
  <si>
    <t>VQFN</t>
  </si>
  <si>
    <t/>
  </si>
  <si>
    <t>-40 to 105</t>
  </si>
  <si>
    <t>6 x 6</t>
  </si>
  <si>
    <t>ACTIVE</t>
  </si>
  <si>
    <t>100-V input, 0.5-A synchronous buck DC/DC converter with ultra-low IQ</t>
  </si>
  <si>
    <t>AC/DC &amp; DC/DC converters (integrated FET)</t>
  </si>
  <si>
    <t>Catalog</t>
  </si>
  <si>
    <t>Buck</t>
  </si>
  <si>
    <t>HSOIC</t>
  </si>
  <si>
    <t>Functional Safety-Capable</t>
  </si>
  <si>
    <t>-40 to 150</t>
  </si>
  <si>
    <t>4.9 x 6</t>
  </si>
  <si>
    <t>ACTIVE</t>
  </si>
  <si>
    <t>2.5-A high-efficient buck-boost converter with I²C interface for dynamic voltage scaling</t>
  </si>
  <si>
    <t>AC/DC &amp; DC/DC converters (integrated FET)</t>
  </si>
  <si>
    <t>Catalog</t>
  </si>
  <si>
    <t>Buck-Boost</t>
  </si>
  <si>
    <t>DSBGA</t>
  </si>
  <si>
    <t/>
  </si>
  <si>
    <t>-40 to 125</t>
  </si>
  <si>
    <t>1.4000000000000001 x 2.2</t>
  </si>
  <si>
    <t>ACTIVE</t>
  </si>
  <si>
    <t>2.5-A high-efficient buck-boost converter with I²C interface for dynamic voltage scaling</t>
  </si>
  <si>
    <t>AC/DC &amp; DC/DC converters (integrated FET)</t>
  </si>
  <si>
    <t>Catalog</t>
  </si>
  <si>
    <t>Buck-Boost</t>
  </si>
  <si>
    <t>DSBGA</t>
  </si>
  <si>
    <t/>
  </si>
  <si>
    <t>-40 to 125</t>
  </si>
  <si>
    <t>1.4000000000000001 x 2.2</t>
  </si>
  <si>
    <t>ACTIVE</t>
  </si>
  <si>
    <t>4-V to 16-V, 40-A synchronous SWIFT™ buck converter with adaptive internal compensation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</si>
  <si>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</si>
  <si>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</si>
  <si>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</si>
  <si>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</si>
  <si>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</si>
  <si>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</si>
  <si>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</si>
  <si>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</si>
  <si>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5.7kVrms 1.5A/2A single-channel opto-compatible isolated gate driver with 8 &amp; 12V UVLO options</t>
  </si>
  <si>
    <t>Isolated gate drivers</t>
  </si>
  <si>
    <t>Catalog</t>
  </si>
  <si>
    <t>SOIC</t>
  </si>
  <si>
    <t/>
  </si>
  <si>
    <t>-40 to 125</t>
  </si>
  <si>
    <t>4.68 x 11.5</t>
  </si>
  <si>
    <t>ACTIVE</t>
  </si>
  <si>
    <t>Automotive 17-A 5kv RMS single channel isolated gate driver</t>
  </si>
  <si>
    <t>Isolated gate drivers</t>
  </si>
  <si>
    <t>Automotive</t>
  </si>
  <si>
    <t>SOIC</t>
  </si>
  <si>
    <t>Functional Safety-Capable</t>
  </si>
  <si>
    <t>-40 to 125</t>
  </si>
  <si>
    <t>5.85 x 11.5</t>
  </si>
  <si>
    <t>ACTIVE</t>
  </si>
  <si>
    <t>3.5-V to 36-V, 1.5-A step-down voltage converter with spread spectrum</t>
  </si>
  <si>
    <t>AC/DC &amp; DC/DC converters (integrated FET)</t>
  </si>
  <si>
    <t>Automotive</t>
  </si>
  <si>
    <t>Buck</t>
  </si>
  <si>
    <t>HTSSOP,WSON</t>
  </si>
  <si>
    <t>Functional Safety-Capable</t>
  </si>
  <si>
    <t>-40 to 150</t>
  </si>
  <si>
    <t>12,16</t>
  </si>
  <si>
    <t>9,32</t>
  </si>
  <si>
    <t>3 x 3,5 x 6.4</t>
  </si>
  <si>
    <t>0.8,1.2</t>
  </si>
  <si>
    <t>0.5,0.65</t>
  </si>
  <si>
    <t>ACTIVE</t>
  </si>
  <si>
    <t>3.5-V to 36-V, 2.5-A step-down voltage converter with spread spectrum</t>
  </si>
  <si>
    <t>AC/DC &amp; DC/DC converters (integrated FET)</t>
  </si>
  <si>
    <t>Automotive</t>
  </si>
  <si>
    <t>Buck</t>
  </si>
  <si>
    <t>HTSSOP,WSON</t>
  </si>
  <si>
    <t>Functional Safety-Capable</t>
  </si>
  <si>
    <t>-40 to 150</t>
  </si>
  <si>
    <t>12,16</t>
  </si>
  <si>
    <t>9,32</t>
  </si>
  <si>
    <t>3 x 3,5 x 6.4</t>
  </si>
  <si>
    <t>0.8,1.2</t>
  </si>
  <si>
    <t>0.5,0.65</t>
  </si>
  <si>
    <t>ACTIVE</t>
  </si>
  <si>
    <t>2-A, high-efficient, 11-µA quiescent current buck-boost converter in QFN/DFN package</t>
  </si>
  <si>
    <t>AC/DC &amp; DC/DC converters (integrated FET)</t>
  </si>
  <si>
    <t>Catalog</t>
  </si>
  <si>
    <t>Buck-Boost</t>
  </si>
  <si>
    <t>VSON-HR</t>
  </si>
  <si>
    <t/>
  </si>
  <si>
    <t>-40 to 125</t>
  </si>
  <si>
    <t>3 x 2</t>
  </si>
  <si>
    <t>ACTIVE</t>
  </si>
  <si>
    <t>3.5-V to 65-V low Iq, dual, 2-phase synchronous buck DC-DC controller</t>
  </si>
  <si>
    <t>AC/DC &amp; DC/DC controllers (external FET)</t>
  </si>
  <si>
    <t>Automotive</t>
  </si>
  <si>
    <t>Buck</t>
  </si>
  <si>
    <t>VQFNP</t>
  </si>
  <si>
    <t>Functional Safety-Capable</t>
  </si>
  <si>
    <t>-40 to 150</t>
  </si>
  <si>
    <t>6 x 6</t>
  </si>
  <si>
    <t>ACTIVE</t>
  </si>
  <si>
    <t>Ultra-low-power active-low reset IC with programmable delay and 1% reset threshold</t>
  </si>
  <si>
    <t>Reset &amp; watchdog ICs</t>
  </si>
  <si>
    <t>Catalog</t>
  </si>
  <si>
    <t>SOT-23</t>
  </si>
  <si>
    <t/>
  </si>
  <si>
    <t>-40 to 125</t>
  </si>
  <si>
    <t>2.9 x 2.8</t>
  </si>
  <si>
    <t>ACTIVE</t>
  </si>
  <si>
    <t>Automotive 1-A, low-IQ, high-PSRR, low-dropout (LDO) voltage regulator with power good</t>
  </si>
  <si>
    <t>Linear &amp; low-dropout (LDO) regulators</t>
  </si>
  <si>
    <t>Automotive</t>
  </si>
  <si>
    <t>VSON,WSON</t>
  </si>
  <si>
    <t>Functional Safety-Capable</t>
  </si>
  <si>
    <t>-40 to 125</t>
  </si>
  <si>
    <t>6,8</t>
  </si>
  <si>
    <t>4,9</t>
  </si>
  <si>
    <t>2 x 2,3 x 3</t>
  </si>
  <si>
    <t>0.8,1</t>
  </si>
  <si>
    <t>ACTIVE</t>
  </si>
  <si>
    <t>5.5-V, 0.24-A, 300-mΩ, load switch with reverse current blocking</t>
  </si>
  <si>
    <t>Load switches</t>
  </si>
  <si>
    <t>Catalog</t>
  </si>
  <si>
    <t>SOT-SC70</t>
  </si>
  <si>
    <t/>
  </si>
  <si>
    <t>-40 to 125</t>
  </si>
  <si>
    <t>2 x 2.1</t>
  </si>
  <si>
    <t>ACTIVE</t>
  </si>
  <si>
    <t>4.5-V to 18-V, 12-A synchronous SWIFT™ buck converter optimized for solution cost</t>
  </si>
  <si>
    <t>AC/DC &amp; DC/DC converters (integrated FET)</t>
  </si>
  <si>
    <t>Catalog</t>
  </si>
  <si>
    <t>Buck</t>
  </si>
  <si>
    <t>VQFN-HR</t>
  </si>
  <si>
    <t/>
  </si>
  <si>
    <t>-40 to 125</t>
  </si>
  <si>
    <t>3 x 3</t>
  </si>
  <si>
    <t>ACTIVE</t>
  </si>
  <si>
    <t>4.5-V to 28-V, 6-A synchronous buck converter with ULQ-Mode</t>
  </si>
  <si>
    <t>AC/DC &amp; DC/DC converters (integrated FET)</t>
  </si>
  <si>
    <t>Catalog</t>
  </si>
  <si>
    <t>Buck</t>
  </si>
  <si>
    <t>VQFN-HR</t>
  </si>
  <si>
    <t/>
  </si>
  <si>
    <t>-40 to 150</t>
  </si>
  <si>
    <t>3 x 3</t>
  </si>
  <si>
    <t>ACTIVE</t>
  </si>
  <si>
    <t>Dual high-current buck converters and dual linear regulators</t>
  </si>
  <si>
    <t>Multi-channel ICs (PMICs)</t>
  </si>
  <si>
    <t>Catalog</t>
  </si>
  <si>
    <t>VQFN</t>
  </si>
  <si>
    <t/>
  </si>
  <si>
    <t>-40 to 125</t>
  </si>
  <si>
    <t>5 x 5</t>
  </si>
  <si>
    <t>ACTIVE</t>
  </si>
  <si>
    <t>120-mA, smart, capacitance-drop, low-dropout (LDO) linear voltage regulator</t>
  </si>
  <si>
    <t>Linear &amp; low-dropout (LDO) regulators</t>
  </si>
  <si>
    <t>Catalog</t>
  </si>
  <si>
    <t>HTSSOP</t>
  </si>
  <si>
    <t/>
  </si>
  <si>
    <t>-40 to 125</t>
  </si>
  <si>
    <t>5 x 6.4</t>
  </si>
  <si>
    <t>ACTIVE</t>
  </si>
  <si>
    <t>Automotive 2.5kVrms, 4A/6A dual-channel isolated gate driver w/ single PWM input, 5V UVLO in LGA pkg</t>
  </si>
  <si>
    <t>Isolated gate drivers</t>
  </si>
  <si>
    <t>Automotive</t>
  </si>
  <si>
    <t>VLGA</t>
  </si>
  <si>
    <t/>
  </si>
  <si>
    <t>-40 to 125</t>
  </si>
  <si>
    <t>5 x 5</t>
  </si>
  <si>
    <t>ACTIVE</t>
  </si>
  <si>
    <t>USB Type-C&amp;reg; and SDP/CDP charge port converter with short to BATT protection and cable compens</t>
  </si>
  <si>
    <t>USB Type-C &amp; USB Power Delivery ICs</t>
  </si>
  <si>
    <t>Automotive</t>
  </si>
  <si>
    <t>VQFN</t>
  </si>
  <si>
    <t>Functional Safety-Capable</t>
  </si>
  <si>
    <t>-40 to 125</t>
  </si>
  <si>
    <t>5 x 5</t>
  </si>
  <si>
    <t>ACTIVE</t>
  </si>
  <si>
    <t>USB Type-C and SDP/CDP charge port converter with cable compensation</t>
  </si>
  <si>
    <t>USB Type-C &amp; USB Power Delivery ICs</t>
  </si>
  <si>
    <t>Automotive</t>
  </si>
  <si>
    <t>VQFN</t>
  </si>
  <si>
    <t>Functional Safety-Capable</t>
  </si>
  <si>
    <t>-40 to 125</t>
  </si>
  <si>
    <t>5 x 5</t>
  </si>
  <si>
    <t>ACTIVE</t>
  </si>
  <si>
    <t>USB-A SDP/CDP charge port converter with STB protection and cable compensation</t>
  </si>
  <si>
    <t>USB power switches &amp; charging port controllers</t>
  </si>
  <si>
    <t>Automotive</t>
  </si>
  <si>
    <t>VQFN</t>
  </si>
  <si>
    <t>Functional Safety-Capable</t>
  </si>
  <si>
    <t>-40 to 125</t>
  </si>
  <si>
    <t>5 x 5</t>
  </si>
  <si>
    <t>ACTIVE</t>
  </si>
  <si>
    <t>USB Type-A SDP/CDP automotive charge port converter cable compensation</t>
  </si>
  <si>
    <t>USB power switches &amp; charging port controllers</t>
  </si>
  <si>
    <t>Automotive</t>
  </si>
  <si>
    <t>VQFN</t>
  </si>
  <si>
    <t>Functional Safety-Capable</t>
  </si>
  <si>
    <t>-40 to 125</t>
  </si>
  <si>
    <t>5 x 5</t>
  </si>
  <si>
    <t>ACTIVE</t>
  </si>
  <si>
    <t>4.5-V to 18-V VIN complete LPDDR4 and LPDDR4X memory power solution</t>
  </si>
  <si>
    <t>DDR memory power ICs</t>
  </si>
  <si>
    <t>Catalog</t>
  </si>
  <si>
    <t>VQFN-HR</t>
  </si>
  <si>
    <t/>
  </si>
  <si>
    <t>-40 to 125</t>
  </si>
  <si>
    <t>3 x 3</t>
  </si>
  <si>
    <t>ACTIVE</t>
  </si>
  <si>
    <t>Automotive high-accuracy overvoltage reset IC with time delay and manual reset</t>
  </si>
  <si>
    <t>Reset &amp; watchdog ICs</t>
  </si>
  <si>
    <t>Automotive</t>
  </si>
  <si>
    <t>WSON</t>
  </si>
  <si>
    <t/>
  </si>
  <si>
    <t>-40 to 125</t>
  </si>
  <si>
    <t>1.5 x 1.5</t>
  </si>
  <si>
    <t>ACTIVE</t>
  </si>
  <si>
    <t>3.75kVrms, 4A/5A single-channel opto-compatible isolated gate driver with 8V or 12V UVLO options</t>
  </si>
  <si>
    <t>Isolated gate drivers</t>
  </si>
  <si>
    <t>Catalog</t>
  </si>
  <si>
    <t>SOIC</t>
  </si>
  <si>
    <t/>
  </si>
  <si>
    <t>-40 to 125</t>
  </si>
  <si>
    <t>4.68 x 11.5</t>
  </si>
  <si>
    <t>ACTIVE</t>
  </si>
  <si>
    <t>Type-3, 2-pair, 8-channel PoE PSE controller with SRAM and 200-m&amp;Omega; RSENSE</t>
  </si>
  <si>
    <t>Power sourcing equipment</t>
  </si>
  <si>
    <t>Catalog</t>
  </si>
  <si>
    <t>VQFN</t>
  </si>
  <si>
    <t/>
  </si>
  <si>
    <t>-40 to 125</t>
  </si>
  <si>
    <t>8 x 8</t>
  </si>
  <si>
    <t>ACTIVE</t>
  </si>
  <si>
    <t>5.7kVrms,4A/6A dual-channel isolated gate driver with 5V UVLO &amp; 3.3mm ch-to-ch spacing option</t>
  </si>
  <si>
    <t>Isolated gate drivers</t>
  </si>
  <si>
    <t>Catalog</t>
  </si>
  <si>
    <t>SOIC</t>
  </si>
  <si>
    <t/>
  </si>
  <si>
    <t>-40 to 125</t>
  </si>
  <si>
    <t>14,16</t>
  </si>
  <si>
    <t>10.3 x 10.3</t>
  </si>
  <si>
    <t>ACTIVE</t>
  </si>
  <si>
    <t>4.2-V to 40-V, 2.2A 300uA IQ automotive ideal diode with Integrated FET</t>
  </si>
  <si>
    <t>Ideal diode &amp; ORing controllers</t>
  </si>
  <si>
    <t>Automotive</t>
  </si>
  <si>
    <t>HTSSOP</t>
  </si>
  <si>
    <t/>
  </si>
  <si>
    <t>-40 to 125</t>
  </si>
  <si>
    <t>5 x 6.4</t>
  </si>
  <si>
    <t>ACTIVE</t>
  </si>
  <si>
    <t>4.2-V to 60-V, 2.2A 300uA IQ automotive ideal diode with Integrated FET</t>
  </si>
  <si>
    <t>Ideal diode &amp; ORing controllers</t>
  </si>
  <si>
    <t>Automotive</t>
  </si>
  <si>
    <t>HTSSOP</t>
  </si>
  <si>
    <t/>
  </si>
  <si>
    <t>-40 to 125</t>
  </si>
  <si>
    <t>5 x 6.4</t>
  </si>
  <si>
    <t>ACTIVE</t>
  </si>
  <si>
    <t>Automotive high-input voltage supervisor with manual reset and programmable-reset time delay</t>
  </si>
  <si>
    <t>Reset &amp; watchdog ICs</t>
  </si>
  <si>
    <t>Automotive</t>
  </si>
  <si>
    <t>SOT-23</t>
  </si>
  <si>
    <t>Functional Safety-Capable</t>
  </si>
  <si>
    <t>-40 to 125</t>
  </si>
  <si>
    <t>2.9 x 2.8</t>
  </si>
  <si>
    <t>ACTIVE</t>
  </si>
  <si>
    <t>Automotive, 4V to 36V, 0.6A synchronous step-down SIMPLE SWITCHER® power converter</t>
  </si>
  <si>
    <t>AC/DC &amp; DC/DC converters (integrated FET)</t>
  </si>
  <si>
    <t>Automotive</t>
  </si>
  <si>
    <t>Buck</t>
  </si>
  <si>
    <t>SOT-23</t>
  </si>
  <si>
    <t/>
  </si>
  <si>
    <t>-40 to 125</t>
  </si>
  <si>
    <t>2.9 x 2.8</t>
  </si>
  <si>
    <t>ACTIVE</t>
  </si>
  <si>
    <t>Automotive 5.7-kVrms ±10A single-channel isolated gate driver with 2-level turn off for IGBT/SiCFETs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</si>
  <si>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</si>
  <si>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</si>
  <si>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</si>
  <si>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</si>
  <si>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</si>
  <si>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</si>
  <si>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</si>
  <si>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2.5-A high-efficient buck-boost converter with optimized load step response in tiny WCSP</t>
  </si>
  <si>
    <t>AC/DC &amp; DC/DC converters (integrated FET)</t>
  </si>
  <si>
    <t>Catalog</t>
  </si>
  <si>
    <t>Buck-Boost</t>
  </si>
  <si>
    <t>DSBGA</t>
  </si>
  <si>
    <t/>
  </si>
  <si>
    <t>-40 to 125</t>
  </si>
  <si>
    <t>1.4000000000000001 x 2.2</t>
  </si>
  <si>
    <t>ACTIVE</t>
  </si>
  <si>
    <t>2.7-V to 19-V, 85mΩ, 0.13-2A eFuse with selectable over voltage protection clamp in leaded package</t>
  </si>
  <si>
    <t>eFuses (integrated hot swaps)</t>
  </si>
  <si>
    <t>Catalog</t>
  </si>
  <si>
    <t>HSOIC</t>
  </si>
  <si>
    <t/>
  </si>
  <si>
    <t>-40 to 125</t>
  </si>
  <si>
    <t>4.9 x 6</t>
  </si>
  <si>
    <t>ACTIVE</t>
  </si>
  <si>
    <t>4-pair, type-4, 8-channel PoE&amp;nbsp;PSE with 200-m&amp;Omega; RSENSE&amp;nbsp;</t>
  </si>
  <si>
    <t>Power sourcing equipment</t>
  </si>
  <si>
    <t>Catalog</t>
  </si>
  <si>
    <t>VQFN</t>
  </si>
  <si>
    <t/>
  </si>
  <si>
    <t>-40 to 125</t>
  </si>
  <si>
    <t>8 x 8</t>
  </si>
  <si>
    <t>ACTIVE</t>
  </si>
  <si>
    <t>Highly-integrated 4-channel 120-mA automotive LED driver with power line FET protection</t>
  </si>
  <si>
    <t>Automotive LED drivers,Backlight LED drivers</t>
  </si>
  <si>
    <t>Automotive</t>
  </si>
  <si>
    <t>Boost with Current Sink,SEPIC</t>
  </si>
  <si>
    <t>HTSSOP</t>
  </si>
  <si>
    <t>Functional Safety-Capable</t>
  </si>
  <si>
    <t>-40 to 125</t>
  </si>
  <si>
    <t>6.5 x 6.4</t>
  </si>
  <si>
    <t>ACTIVE</t>
  </si>
  <si>
    <t>Highly-integrated 4-channel 120-mA automotive LED driver</t>
  </si>
  <si>
    <t>Backlight LED drivers,Automotive LED drivers</t>
  </si>
  <si>
    <t>Automotive</t>
  </si>
  <si>
    <t>Boost with Current Sink</t>
  </si>
  <si>
    <t>HTSSOP</t>
  </si>
  <si>
    <t>Functional Safety-Capable</t>
  </si>
  <si>
    <t>-40 to 125</t>
  </si>
  <si>
    <t>6.5 x 6.4</t>
  </si>
  <si>
    <t>ACTIVE</t>
  </si>
  <si>
    <t>Highly-integrated 3-channel 120-mA automotive LED driver with power line FET protection</t>
  </si>
  <si>
    <t>Automotive LED drivers,Backlight LED drivers</t>
  </si>
  <si>
    <t>Automotive</t>
  </si>
  <si>
    <t>Boost with Current Sink,SEPIC</t>
  </si>
  <si>
    <t>HTSSOP</t>
  </si>
  <si>
    <t>Functional Safety-Capable</t>
  </si>
  <si>
    <t>-40 to 125</t>
  </si>
  <si>
    <t>6.5 x 6.4</t>
  </si>
  <si>
    <t>ACTIVE</t>
  </si>
  <si>
    <t>Highly-integrated 3-channel 120-mA automotive LED driver</t>
  </si>
  <si>
    <t>Backlight LED drivers,Automotive LED drivers</t>
  </si>
  <si>
    <t>Automotive</t>
  </si>
  <si>
    <t>Boost with Current Sink,SEPIC</t>
  </si>
  <si>
    <t>HTSSOP</t>
  </si>
  <si>
    <t>Functional Safety-Capable</t>
  </si>
  <si>
    <t>-40 to 125</t>
  </si>
  <si>
    <t>6.5 x 6.4</t>
  </si>
  <si>
    <t>ACTIVE</t>
  </si>
  <si>
    <t>Automotive 2.75-V to 6-V, 1-A step-down converter in a 2mm x 3mm wettable-flanks QFN package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</si>
  <si>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</si>
  <si>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</si>
  <si>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</si>
  <si>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</si>
  <si>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</si>
  <si>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</si>
  <si>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</si>
  <si>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</si>
  <si>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Automotive 2.75-V to 6-V, 2-A step-down converter in a 2mm x 3mm wettable-flanks QFN package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</si>
  <si>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</si>
  <si>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</si>
  <si>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</si>
  <si>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</si>
  <si>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</si>
  <si>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</si>
  <si>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</si>
  <si>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</si>
  <si>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Automotive, 20-V, low-power current-mode PWM controller, 14.5-V/9-V UVLO, 100%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</si>
  <si>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</si>
  <si>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</si>
  <si>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</si>
  <si>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</si>
  <si>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</si>
  <si>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125</t>
  </si>
  <si>
    <t>4.9 x 6</t>
  </si>
  <si>
    <t>ACTIVE</t>
  </si>
  <si>
    <t>Automotive, 20-V, low-power current-mode PWM controller, 14.5-V/9-V UVLO, 50%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</si>
  <si>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</si>
  <si>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</si>
  <si>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</si>
  <si>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</si>
  <si>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</si>
  <si>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125</t>
  </si>
  <si>
    <t>4.9 x 6</t>
  </si>
  <si>
    <t>ACTIVE</t>
  </si>
  <si>
    <t>Dual channel constant-Voltage and constant current controller with SPI</t>
  </si>
  <si>
    <t>Automotive LED drivers</t>
  </si>
  <si>
    <t>Automotive</t>
  </si>
  <si>
    <t>Boost Controller,Buck Controller,Buck-Boost Controller,Cuk Controller,Flyback Controller,SEPIC Controller</t>
  </si>
  <si>
    <t>HTSSOP,VQFN,VQFNP</t>
  </si>
  <si>
    <t>Functional Safety-Capable</t>
  </si>
  <si>
    <t>-40 to 125</t>
  </si>
  <si>
    <t>25,89.1</t>
  </si>
  <si>
    <t>11 x 8.1,5 x 5</t>
  </si>
  <si>
    <t>0.9,1,1.2</t>
  </si>
  <si>
    <t>0.5,0.65</t>
  </si>
  <si>
    <t>ACTIVE</t>
  </si>
  <si>
    <t>60-nA quiescent current (IQ), 1.8-V to 6.5-VIN, high-efficiency 750-mA step-down converter</t>
  </si>
  <si>
    <t>AC/DC &amp; DC/DC converters (integrated FET)</t>
  </si>
  <si>
    <t>Catalog</t>
  </si>
  <si>
    <t>Buck</t>
  </si>
  <si>
    <t>DSBGA,HVSSOP,VSON-HR</t>
  </si>
  <si>
    <t/>
  </si>
  <si>
    <t>-40 to 125</t>
  </si>
  <si>
    <t>6,8</t>
  </si>
  <si>
    <t>1.4136,3,9</t>
  </si>
  <si>
    <t>0.95 x 1.488,2 x 1.5,3 x 3</t>
  </si>
  <si>
    <t>0.543,1,1.1</t>
  </si>
  <si>
    <t>0.4,0.5,0.65</t>
  </si>
  <si>
    <t>ACTIVE</t>
  </si>
  <si>
    <t>USB Type-C,DCP charge port converter with cable compensation and thermal foldback</t>
  </si>
  <si>
    <t>USB Type-C &amp; USB Power Delivery ICs</t>
  </si>
  <si>
    <t>Automotive</t>
  </si>
  <si>
    <t>VQFN</t>
  </si>
  <si>
    <t>Functional Safety-Capable</t>
  </si>
  <si>
    <t>-40 to 125</t>
  </si>
  <si>
    <t>5 x 5</t>
  </si>
  <si>
    <t>ACTIVE</t>
  </si>
  <si>
    <t>42-Vin no-opto flyback converter with 65-V, 1.5-A integrated MOSFET</t>
  </si>
  <si>
    <t>AC/DC &amp; DC/DC converters (integrated FET)</t>
  </si>
  <si>
    <t>Catalog</t>
  </si>
  <si>
    <t>Flyback</t>
  </si>
  <si>
    <t>WSON</t>
  </si>
  <si>
    <t>Functional Safety-Capable</t>
  </si>
  <si>
    <t>-40 to 150</t>
  </si>
  <si>
    <t>4 x 4</t>
  </si>
  <si>
    <t>ACTIVE</t>
  </si>
  <si>
    <t>Automotive 42-VIN PSR flyback converter with 65-V, 1.5-A integrated power MOSFET</t>
  </si>
  <si>
    <t>AC/DC &amp; DC/DC converters (integrated FET)</t>
  </si>
  <si>
    <t>Automotive</t>
  </si>
  <si>
    <t>Flyback</t>
  </si>
  <si>
    <t>WSON</t>
  </si>
  <si>
    <t>Functional Safety-Capable</t>
  </si>
  <si>
    <t>-40 to 150</t>
  </si>
  <si>
    <t>4 x 4</t>
  </si>
  <si>
    <t>ACTIVE</t>
  </si>
  <si>
    <t>65-VIN no-opto flyback converter with 100-V, 1.5-A integrated MOSFET</t>
  </si>
  <si>
    <t>AC/DC &amp; DC/DC converters (integrated FET)</t>
  </si>
  <si>
    <t>Catalog</t>
  </si>
  <si>
    <t>PSR flyback</t>
  </si>
  <si>
    <t>WSON</t>
  </si>
  <si>
    <t>Functional Safety-Capable</t>
  </si>
  <si>
    <t>-40 to 150</t>
  </si>
  <si>
    <t>4 x 4</t>
  </si>
  <si>
    <t>ACTIVE</t>
  </si>
  <si>
    <t>3-V to 17-V, 1-A step-down converter with DCS-Control™</t>
  </si>
  <si>
    <t>AC/DC &amp; DC/DC converters (integrated FET)</t>
  </si>
  <si>
    <t>Automotive</t>
  </si>
  <si>
    <t>Buck</t>
  </si>
  <si>
    <t>VQFN</t>
  </si>
  <si>
    <t>Functional Safety-Capable</t>
  </si>
  <si>
    <t>-40 to 125</t>
  </si>
  <si>
    <t>3 x 3</t>
  </si>
  <si>
    <t>ACTIVE</t>
  </si>
  <si>
    <t>2.2-MHz wide VIN, 1.5-A MOSFET driver, non-synchronous boost controller, hiccup mode protection</t>
  </si>
  <si>
    <t>AC/DC &amp; DC/DC controllers (external FET)</t>
  </si>
  <si>
    <t>Automotive</t>
  </si>
  <si>
    <t>Boost,Flyback,SEPIC</t>
  </si>
  <si>
    <t>WSON</t>
  </si>
  <si>
    <t>Functional Safety-Capable</t>
  </si>
  <si>
    <t>-40 to 150</t>
  </si>
  <si>
    <t>3 x 2</t>
  </si>
  <si>
    <t>ACTIVE</t>
  </si>
  <si>
    <t>9-channel I2C constant-current RGB LED driver</t>
  </si>
  <si>
    <t>RGB LED drivers</t>
  </si>
  <si>
    <t>Catalog</t>
  </si>
  <si>
    <t>Current Sink</t>
  </si>
  <si>
    <t>TSSOP,WQFN</t>
  </si>
  <si>
    <t/>
  </si>
  <si>
    <t>-40 to 85</t>
  </si>
  <si>
    <t>20,24</t>
  </si>
  <si>
    <t>9,49.92</t>
  </si>
  <si>
    <t>3 x 3,7.8 x 6.4</t>
  </si>
  <si>
    <t>0.8,1.2</t>
  </si>
  <si>
    <t>0.4,0.65</t>
  </si>
  <si>
    <t>ACTIVE</t>
  </si>
  <si>
    <t>12-channel I2C constant-current RGB LED driver</t>
  </si>
  <si>
    <t>RGB LED drivers</t>
  </si>
  <si>
    <t>Catalog</t>
  </si>
  <si>
    <t>Current Sink</t>
  </si>
  <si>
    <t>TSSOP,WQFN</t>
  </si>
  <si>
    <t/>
  </si>
  <si>
    <t>-40 to 85</t>
  </si>
  <si>
    <t>20,24</t>
  </si>
  <si>
    <t>9,49.92</t>
  </si>
  <si>
    <t>3 x 3,7.8 x 6.4</t>
  </si>
  <si>
    <t>0.8,1.2</t>
  </si>
  <si>
    <t>0.4,0.65</t>
  </si>
  <si>
    <t>ACTIVE</t>
  </si>
  <si>
    <t>2.2-MHz wide VIN, 1.5-A MOSFET driver, non-synchronous boost controller, AEC-Q100 qualified</t>
  </si>
  <si>
    <t>AC/DC &amp; DC/DC controllers (external FET)</t>
  </si>
  <si>
    <t>Automotive</t>
  </si>
  <si>
    <t>Boost,Flyback,SEPIC</t>
  </si>
  <si>
    <t>WSON</t>
  </si>
  <si>
    <t>Functional Safety-Capable</t>
  </si>
  <si>
    <t>-40 to 150</t>
  </si>
  <si>
    <t>3 x 2</t>
  </si>
  <si>
    <t>ACTIVE</t>
  </si>
  <si>
    <t>14-V output voltage non-synchronous boost converter in SOT-23 package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</si>
  <si>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</si>
  <si>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</si>
  <si>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</si>
  <si>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</si>
  <si>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</si>
  <si>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</si>
  <si>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</si>
  <si>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</si>
  <si>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USB Type-C™ DCP Charge port converter with STB protection, cable comp. and thermal foldback</t>
  </si>
  <si>
    <t>USB Type-C &amp; USB Power Delivery ICs</t>
  </si>
  <si>
    <t>Automotive</t>
  </si>
  <si>
    <t>VQFN</t>
  </si>
  <si>
    <t>Functional Safety-Capable</t>
  </si>
  <si>
    <t>-40 to 125</t>
  </si>
  <si>
    <t>5 x 5</t>
  </si>
  <si>
    <t>ACTIVE</t>
  </si>
  <si>
    <t>Automotive two-channel differential 2:1 &amp; 1:2 USB3.2 mux &amp; demux</t>
  </si>
  <si>
    <t>USB Type-C &amp; USB Power Delivery ICs</t>
  </si>
  <si>
    <t>Automotive</t>
  </si>
  <si>
    <t>VQFN</t>
  </si>
  <si>
    <t/>
  </si>
  <si>
    <t>-40 to 105</t>
  </si>
  <si>
    <t>4.5 x 2.5</t>
  </si>
  <si>
    <t>ACTIVE</t>
  </si>
  <si>
    <t>User programmable power management IC (PMIC) with 3 DC/DCs, 4 LDOs, battery charger and LED driver</t>
  </si>
  <si>
    <t>Multi-channel ICs (PMICs)</t>
  </si>
  <si>
    <t>Catalog</t>
  </si>
  <si>
    <t>VQFN</t>
  </si>
  <si>
    <t/>
  </si>
  <si>
    <t>-40 to 105</t>
  </si>
  <si>
    <t>6 x 6</t>
  </si>
  <si>
    <t>ACTIVE</t>
  </si>
  <si>
    <t>85-VOUT boost converter with current mirror and sample and hold</t>
  </si>
  <si>
    <t>AC/DC &amp; DC/DC converters (integrated FET)</t>
  </si>
  <si>
    <t>Catalog</t>
  </si>
  <si>
    <t>Boost,Flyback,SEPIC</t>
  </si>
  <si>
    <t>WQFN</t>
  </si>
  <si>
    <t/>
  </si>
  <si>
    <t>-40 to 125</t>
  </si>
  <si>
    <t>3 x 3</t>
  </si>
  <si>
    <t>ACTIVE</t>
  </si>
  <si>
    <t>5.7kVrms, 4A/5A single-channel opto-compatible isolated gate driver with 8 &amp; 12V UVLO options</t>
  </si>
  <si>
    <t>Isolated gate drivers</t>
  </si>
  <si>
    <t>Catalog</t>
  </si>
  <si>
    <t>SOIC</t>
  </si>
  <si>
    <t/>
  </si>
  <si>
    <t>-40 to 125</t>
  </si>
  <si>
    <t>4.68 x 11.5</t>
  </si>
  <si>
    <t>ACTIVE</t>
  </si>
  <si>
    <t>Automotive 2.75-V to 6-V, 4-A step-down converter in a 2mm x 3mm wettable-flanks QFN package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</si>
  <si>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</si>
  <si>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</si>
  <si>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</si>
  <si>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</si>
  <si>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</si>
  <si>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</si>
  <si>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</si>
  <si>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</si>
  <si>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Automotive 2.75-V to 6-V, 3-A step-down converter with fixed Fsw and SYNC in 2x3mm wettable-flanks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</si>
  <si>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</si>
  <si>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</si>
  <si>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</si>
  <si>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</si>
  <si>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</si>
  <si>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</si>
  <si>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</si>
  <si>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</si>
  <si>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2.7-V to 24-V, 2.7-mΩ, 15-A eFuse with hot-swap protection, ±1.5% current monitor &amp; adj. fault mgmt.</t>
  </si>
  <si>
    <t>eFuses (integrated hot swaps)</t>
  </si>
  <si>
    <t>Catalog</t>
  </si>
  <si>
    <t>VQFN</t>
  </si>
  <si>
    <t/>
  </si>
  <si>
    <t>-40 to 125</t>
  </si>
  <si>
    <t>4 x 4</t>
  </si>
  <si>
    <t>ACTIVE</t>
  </si>
  <si>
    <t>Automotive 6-V to 100-V input, 0.5-A synchronous buck DC/DC converter with ultra-low IQ</t>
  </si>
  <si>
    <t>AC/DC &amp; DC/DC converters (integrated FET)</t>
  </si>
  <si>
    <t>Automotive</t>
  </si>
  <si>
    <t>Buck</t>
  </si>
  <si>
    <t>HSOIC</t>
  </si>
  <si>
    <t>Functional Safety-Capable</t>
  </si>
  <si>
    <t>-40 to 150</t>
  </si>
  <si>
    <t>4.9 x 6</t>
  </si>
  <si>
    <t>ACTIVE</t>
  </si>
  <si>
    <t>1.5-V to 5.5-V, 1.5-A, 0.5-µA IQ ideal diode with integrated FET</t>
  </si>
  <si>
    <t>Ideal diode &amp; ORing controllers</t>
  </si>
  <si>
    <t>Catalog</t>
  </si>
  <si>
    <t>SOT-SC70</t>
  </si>
  <si>
    <t/>
  </si>
  <si>
    <t>-40 to 125</t>
  </si>
  <si>
    <t>2 x 2.1</t>
  </si>
  <si>
    <t>ACTIVE</t>
  </si>
  <si>
    <t>4.5-V to 17-V, 10-A synchronous SWIFT™ buck converter</t>
  </si>
  <si>
    <t>AC/DC &amp; DC/DC converters (integrated FET)</t>
  </si>
  <si>
    <t>Catalog</t>
  </si>
  <si>
    <t>Buck</t>
  </si>
  <si>
    <t>WQFN</t>
  </si>
  <si>
    <t/>
  </si>
  <si>
    <t>-40 to 150</t>
  </si>
  <si>
    <t>4 x 4</t>
  </si>
  <si>
    <t>ACTIVE</t>
  </si>
  <si>
    <t>IEEE 802.3at PoE PD with no-opto sync flyback DC-DC controller</t>
  </si>
  <si>
    <t>Powered devices</t>
  </si>
  <si>
    <t>Catalog</t>
  </si>
  <si>
    <t>VSON</t>
  </si>
  <si>
    <t/>
  </si>
  <si>
    <t>-40 to 125</t>
  </si>
  <si>
    <t>6 x 4</t>
  </si>
  <si>
    <t>ACTIVE</t>
  </si>
  <si>
    <t>4.5-V to 24-V input, 3-A output synchronous buck converter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</si>
  <si>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</si>
  <si>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</si>
  <si>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</si>
  <si>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</si>
  <si>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</si>
  <si>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</si>
  <si>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</si>
  <si>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</si>
  <si>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Automotive 150-mA, off-battery (40-V), ultra-low-IQ, low-dropout voltage regulator with enable</t>
  </si>
  <si>
    <t>Linear &amp; low-dropout (LDO) regulators</t>
  </si>
  <si>
    <t>Automotive</t>
  </si>
  <si>
    <t>HVSSOP,TO-252,WSON</t>
  </si>
  <si>
    <t>Functional Safety-Capable</t>
  </si>
  <si>
    <t>-40 to 150</t>
  </si>
  <si>
    <t>5,6,8</t>
  </si>
  <si>
    <t>4,14.7,66.726</t>
  </si>
  <si>
    <t>2 x 2,3 x 4.9,6.6 x 10.11</t>
  </si>
  <si>
    <t>0.8,1.1,2.52</t>
  </si>
  <si>
    <t>0.65,1.14</t>
  </si>
  <si>
    <t>ACTIVE</t>
  </si>
  <si>
    <t>Automotive 2.5kVrms 4A/6A dual-channel isolated gate driver w/ single PWM input &amp; 8V UVLO in LGA pkg</t>
  </si>
  <si>
    <t>Isolated gate drivers</t>
  </si>
  <si>
    <t>Automotive</t>
  </si>
  <si>
    <t>VLGA</t>
  </si>
  <si>
    <t/>
  </si>
  <si>
    <t>-40 to 125</t>
  </si>
  <si>
    <t>5 x 5</t>
  </si>
  <si>
    <t>ACTIVE</t>
  </si>
  <si>
    <t>4.2-V to 42-V, 1.5-A ultra-small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</si>
  <si>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</si>
  <si>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</si>
  <si>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</si>
  <si>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</si>
  <si>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</si>
  <si>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</si>
  <si>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</si>
  <si>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</si>
  <si>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4.2-V to 42-V, 0.6-A ultra-small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</si>
  <si>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</si>
  <si>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</si>
  <si>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</si>
  <si>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</si>
  <si>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</si>
  <si>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</si>
  <si>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</si>
  <si>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</si>
  <si>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2.6-A, 110-V half bridge gate driver with enable and interlock</t>
  </si>
  <si>
    <t>Half-bridge drivers</t>
  </si>
  <si>
    <t>Catalog</t>
  </si>
  <si>
    <t>VSON</t>
  </si>
  <si>
    <t/>
  </si>
  <si>
    <t>-40 to 150</t>
  </si>
  <si>
    <t>3 x 3</t>
  </si>
  <si>
    <t>ACTIVE</t>
  </si>
  <si>
    <t>Automotive high-accuracy window supervisor with reset time delay</t>
  </si>
  <si>
    <t>Supply-voltage supervisors</t>
  </si>
  <si>
    <t>Automotive</t>
  </si>
  <si>
    <t>WSON</t>
  </si>
  <si>
    <t>Functional Safety-Capable</t>
  </si>
  <si>
    <t>-40 to 125</t>
  </si>
  <si>
    <t>1.5 x 1.5</t>
  </si>
  <si>
    <t>ACTIVE</t>
  </si>
  <si>
    <t>Nanopower high-input voltage supervisor with manual reset and programmable-reset time delay</t>
  </si>
  <si>
    <t>Reset &amp; watchdog ICs</t>
  </si>
  <si>
    <t>Catalog</t>
  </si>
  <si>
    <t>SOT-23</t>
  </si>
  <si>
    <t/>
  </si>
  <si>
    <t>-40 to 125</t>
  </si>
  <si>
    <t>2.9 x 2.8</t>
  </si>
  <si>
    <t>ACTIVE</t>
  </si>
  <si>
    <t>2.25MHz step-down converter with dual LDOs and SVS Power Management IC (PMIC)</t>
  </si>
  <si>
    <t>Multi-channel ICs (PMICs)</t>
  </si>
  <si>
    <t>Automotive</t>
  </si>
  <si>
    <t>WQFN</t>
  </si>
  <si>
    <t/>
  </si>
  <si>
    <t>-40 to 105</t>
  </si>
  <si>
    <t>3 x 3</t>
  </si>
  <si>
    <t>ACTIVE</t>
  </si>
  <si>
    <t>4.5-V to 18-V, 6-A synchronous buck converter in 2-mm x 3-mm QFN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</si>
  <si>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</si>
  <si>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</si>
  <si>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</si>
  <si>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</si>
  <si>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</si>
  <si>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</si>
  <si>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</si>
  <si>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</si>
  <si>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300-mA, 18-V, ultra-low-IQ, high-accuracy, adjustable low-dropout voltage regulator with power good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</si>
  <si>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</si>
  <si>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</si>
  <si>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</si>
  <si>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</si>
  <si>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</si>
  <si>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</si>
  <si>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</si>
  <si>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500-mA, 18-V, ultra-low-IQ, high-accuracy, adjustable low-dropout voltage regulator with power good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</si>
  <si>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</si>
  <si>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</si>
  <si>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</si>
  <si>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</si>
  <si>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</si>
  <si>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</si>
  <si>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</si>
  <si>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Automotive 65-VIN no-opto flyback converter with 100-V, 1.5-A integrated MOSFET</t>
  </si>
  <si>
    <t>AC/DC &amp; DC/DC converters (integrated FET)</t>
  </si>
  <si>
    <t>Automotive</t>
  </si>
  <si>
    <t>PSR flyback</t>
  </si>
  <si>
    <t>WSON</t>
  </si>
  <si>
    <t>Functional Safety-Capable</t>
  </si>
  <si>
    <t>-40 to 150</t>
  </si>
  <si>
    <t>4 x 4</t>
  </si>
  <si>
    <t>ACTIVE</t>
  </si>
  <si>
    <t>Radiation-hardened QMLV, 30-V input, 2-A dual-output 1-MHz PWM controller</t>
  </si>
  <si>
    <t>AC/DC &amp; DC/DC controllers (external FET)</t>
  </si>
  <si>
    <t>Space</t>
  </si>
  <si>
    <t>Boost,Flyback,Forward,Full bridge,Half bridge,Push pull</t>
  </si>
  <si>
    <t>CFP,DIESALE</t>
  </si>
  <si>
    <t/>
  </si>
  <si>
    <t>-55 to 125</t>
  </si>
  <si>
    <t>0,16</t>
  </si>
  <si>
    <t>72.136,See data sheet</t>
  </si>
  <si>
    <t>10.16 x 7.1,See data sheet</t>
  </si>
  <si>
    <t>2.133,—</t>
  </si>
  <si>
    <t>1.27,—</t>
  </si>
  <si>
    <t>ACTIVE</t>
  </si>
  <si>
    <t>Radiation-hardened QMLV, 30-V input, 1-A single-output 500-kHz PWM controller, 100% duty cycle</t>
  </si>
  <si>
    <t>AC/DC &amp; DC/DC controllers (external FET)</t>
  </si>
  <si>
    <t>Space</t>
  </si>
  <si>
    <t>Boost,Flyback,Forward</t>
  </si>
  <si>
    <t>CFP,DIESALE</t>
  </si>
  <si>
    <t/>
  </si>
  <si>
    <t>-55 to 125</t>
  </si>
  <si>
    <t>0,10</t>
  </si>
  <si>
    <t>45.4896,See data sheet</t>
  </si>
  <si>
    <t>7.02 x 6.48,See data sheet</t>
  </si>
  <si>
    <t>2.59,—</t>
  </si>
  <si>
    <t>1.27,—</t>
  </si>
  <si>
    <t>ACTIVE</t>
  </si>
  <si>
    <t>Radiation-tolerant, 40-V adjustable voltage supervisor in a plastic package</t>
  </si>
  <si>
    <t>Supply-voltage supervisors</t>
  </si>
  <si>
    <t>Space</t>
  </si>
  <si>
    <t>TSSOP</t>
  </si>
  <si>
    <t/>
  </si>
  <si>
    <t>-55 to 125</t>
  </si>
  <si>
    <t>3 x 6.4</t>
  </si>
  <si>
    <t>ACTIVE</t>
  </si>
  <si>
    <t>Automotive, 100-mA, off-battery (60-V), ultra-low-IQ, low-dropout voltage regulator with power good</t>
  </si>
  <si>
    <t>Linear &amp; low-dropout (LDO) regulators</t>
  </si>
  <si>
    <t>Automotive</t>
  </si>
  <si>
    <t>HVSSOP</t>
  </si>
  <si>
    <t>Functional Safety-Capable</t>
  </si>
  <si>
    <t>-40 to 125</t>
  </si>
  <si>
    <t>3 x 4.9</t>
  </si>
  <si>
    <t>ACTIVE</t>
  </si>
  <si>
    <t>4.5-V to 17-V input, 2-A output, synchronous step-down converter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</si>
  <si>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</si>
  <si>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</si>
  <si>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</si>
  <si>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</si>
  <si>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</si>
  <si>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</si>
  <si>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</si>
  <si>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</si>
  <si>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Automotive 4-MHz, dual 3-A buck converters with integrated switches</t>
  </si>
  <si>
    <t>Multi-channel ICs (PMICs)</t>
  </si>
  <si>
    <t>Automotive</t>
  </si>
  <si>
    <t>VQFN</t>
  </si>
  <si>
    <t/>
  </si>
  <si>
    <t>-40 to 125</t>
  </si>
  <si>
    <t>5 x 5</t>
  </si>
  <si>
    <t>ACTIVE</t>
  </si>
  <si>
    <t>4.5-V to 18-V, 8-A synchronous SWIFT™ buck converter optimized for solution cost</t>
  </si>
  <si>
    <t>AC/DC &amp; DC/DC converters (integrated FET)</t>
  </si>
  <si>
    <t>Catalog</t>
  </si>
  <si>
    <t>Buck</t>
  </si>
  <si>
    <t>VQFN-HR</t>
  </si>
  <si>
    <t/>
  </si>
  <si>
    <t>-40 to 125</t>
  </si>
  <si>
    <t>3 x 3</t>
  </si>
  <si>
    <t>ACTIVE</t>
  </si>
  <si>
    <t>8-A boost converter with 0.5-V ultra-low input voltage</t>
  </si>
  <si>
    <t>AC/DC &amp; DC/DC converters (integrated FET)</t>
  </si>
  <si>
    <t>Catalog</t>
  </si>
  <si>
    <t>Boost</t>
  </si>
  <si>
    <t>VQFN-HR</t>
  </si>
  <si>
    <t/>
  </si>
  <si>
    <t>-40 to 125</t>
  </si>
  <si>
    <t>2 x 2</t>
  </si>
  <si>
    <t>ACTIVE</t>
  </si>
  <si>
    <t>2.5-V to 5.5-V input, 4-A step-down converter with 1% accuracy in 1.5-mm x 1.5-mm QFN</t>
  </si>
  <si>
    <t>AC/DC &amp; DC/DC converters (integrated FET)</t>
  </si>
  <si>
    <t>Catalog</t>
  </si>
  <si>
    <t>Buck,Step-Down Converter,Synchronous Buck</t>
  </si>
  <si>
    <t>VSON-HR</t>
  </si>
  <si>
    <t/>
  </si>
  <si>
    <t>-40 to 125</t>
  </si>
  <si>
    <t>1.5 x 1.5</t>
  </si>
  <si>
    <t>ACTIVE</t>
  </si>
  <si>
    <t>5.7kVrms, 4A/6A dual-channel isolated gate driver with EN &amp;amp; DT pins in DWK pkg for IGBT/SiC F</t>
  </si>
  <si>
    <t>Isolated gate drivers</t>
  </si>
  <si>
    <t>Catalog</t>
  </si>
  <si>
    <t>SOIC</t>
  </si>
  <si>
    <t/>
  </si>
  <si>
    <t>-40 to 125</t>
  </si>
  <si>
    <t>10.3 x 10.3</t>
  </si>
  <si>
    <t>ACTIVE</t>
  </si>
  <si>
    <t>Automotive, 4A, 6A, 5.7kVRMS, isolated dual-channel gate driver with EN and DT pins for IGBT/SiC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</si>
  <si>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</si>
  <si>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</si>
  <si>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</si>
  <si>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</si>
  <si>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</si>
  <si>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</si>
  <si>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</si>
  <si>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4.5-V to 60-V, 31mΩ, 0.6-6A eFuse with output power limiting</t>
  </si>
  <si>
    <t>eFuses (integrated hot swaps)</t>
  </si>
  <si>
    <t>Catalog</t>
  </si>
  <si>
    <t>HTSSOP,VQFN</t>
  </si>
  <si>
    <t>Functional Safety-Capable</t>
  </si>
  <si>
    <t>-40 to 125</t>
  </si>
  <si>
    <t>20,24</t>
  </si>
  <si>
    <t>16,41.6</t>
  </si>
  <si>
    <t>4 x 4,6.5 x 6.4</t>
  </si>
  <si>
    <t>1,1.2</t>
  </si>
  <si>
    <t>0.5,0.65</t>
  </si>
  <si>
    <t>ACTIVE</t>
  </si>
  <si>
    <t>4.5-V to 60-V, 31mΩ, 0.6-6A eFuse with output power limiting and surge protection</t>
  </si>
  <si>
    <t>eFuses (integrated hot swaps)</t>
  </si>
  <si>
    <t>Catalog</t>
  </si>
  <si>
    <t>HTSSOP,VQFN</t>
  </si>
  <si>
    <t>Functional Safety-Capable</t>
  </si>
  <si>
    <t>-40 to 125</t>
  </si>
  <si>
    <t>20,24</t>
  </si>
  <si>
    <t>16,41.6</t>
  </si>
  <si>
    <t>4 x 4,6.5 x 6.4</t>
  </si>
  <si>
    <t>1,1.2</t>
  </si>
  <si>
    <t>0.5,0.65</t>
  </si>
  <si>
    <t>ACTIVE</t>
  </si>
  <si>
    <t>6-V to 100-V input, 1-A synchronous DC-DC buck converter with ultra-low IQ</t>
  </si>
  <si>
    <t>AC/DC &amp; DC/DC converters (integrated FET)</t>
  </si>
  <si>
    <t>Automotive</t>
  </si>
  <si>
    <t>Buck</t>
  </si>
  <si>
    <t>HSOIC</t>
  </si>
  <si>
    <t>Functional Safety-Capable</t>
  </si>
  <si>
    <t>-40 to 150</t>
  </si>
  <si>
    <t>4.9 x 6</t>
  </si>
  <si>
    <t>ACTIVE</t>
  </si>
  <si>
    <t>4.5-V to 24-V, 8-A synchronous step-down voltage regulator</t>
  </si>
  <si>
    <t>AC/DC &amp; DC/DC converters (integrated FET)</t>
  </si>
  <si>
    <t>Catalog</t>
  </si>
  <si>
    <t>Buck</t>
  </si>
  <si>
    <t>VQFN-HR</t>
  </si>
  <si>
    <t/>
  </si>
  <si>
    <t>-40 to 125</t>
  </si>
  <si>
    <t>3 x 3</t>
  </si>
  <si>
    <t>ACTIVE</t>
  </si>
  <si>
    <t>Enhanced product, 3-V, low-drift, low-power, small-footprint series voltage reference</t>
  </si>
  <si>
    <t>Series voltage references</t>
  </si>
  <si>
    <t>HiRel Enhanced Product</t>
  </si>
  <si>
    <t>SOT-23</t>
  </si>
  <si>
    <t/>
  </si>
  <si>
    <t>-55 to 125</t>
  </si>
  <si>
    <t>2.9 x 2.8</t>
  </si>
  <si>
    <t>ACTIVE</t>
  </si>
  <si>
    <t>Enhanced product, 3.3-V, low-drift, low-power, small-footprint series voltage reference</t>
  </si>
  <si>
    <t>Series voltage references</t>
  </si>
  <si>
    <t>HiRel Enhanced Product</t>
  </si>
  <si>
    <t>SOT-23</t>
  </si>
  <si>
    <t/>
  </si>
  <si>
    <t>-55 to 125</t>
  </si>
  <si>
    <t>2.9 x 2.8</t>
  </si>
  <si>
    <t>ACTIVE</t>
  </si>
  <si>
    <t>4.5-V to 17-V input, 3-A synchronous step-down voltage regulator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</si>
  <si>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</si>
  <si>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</si>
  <si>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</si>
  <si>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</si>
  <si>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</si>
  <si>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</si>
  <si>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</si>
  <si>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</si>
  <si>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4.5-V to 18-V VIN complete DDR4 memory power solution</t>
  </si>
  <si>
    <t>DDR memory power ICs</t>
  </si>
  <si>
    <t>Catalog</t>
  </si>
  <si>
    <t>VQFN-HR</t>
  </si>
  <si>
    <t/>
  </si>
  <si>
    <t>-40 to 125</t>
  </si>
  <si>
    <t>3 x 3</t>
  </si>
  <si>
    <t>ACTIVE</t>
  </si>
  <si>
    <t>5.5-V, 1.5-A, 90-mΩ load switch with adj. output discharge</t>
  </si>
  <si>
    <t>Load switches</t>
  </si>
  <si>
    <t>Catalog</t>
  </si>
  <si>
    <t>SOT-SC70</t>
  </si>
  <si>
    <t/>
  </si>
  <si>
    <t>-40 to 125</t>
  </si>
  <si>
    <t>2 x 2.1</t>
  </si>
  <si>
    <t>ACTIVE</t>
  </si>
  <si>
    <t>3.2-V to 65-V, 80-uA IQ automotive ideal diode controller</t>
  </si>
  <si>
    <t>Ideal diode &amp; ORing controllers</t>
  </si>
  <si>
    <t>Automotive</t>
  </si>
  <si>
    <t>SOT-23,SOT-23-THN</t>
  </si>
  <si>
    <t>Functional Safety-Capable</t>
  </si>
  <si>
    <t>-40 to 125</t>
  </si>
  <si>
    <t>6,8</t>
  </si>
  <si>
    <t>2.9 x 2.8</t>
  </si>
  <si>
    <t>1.1,1.45</t>
  </si>
  <si>
    <t>0.65,0.95</t>
  </si>
  <si>
    <t>ACTIVE</t>
  </si>
  <si>
    <t>2.8-V to 22-V, 62-mΩ, 3-A, power mux with seamless switchover</t>
  </si>
  <si>
    <t>Power muxes</t>
  </si>
  <si>
    <t>Catalog</t>
  </si>
  <si>
    <t>DSBGA</t>
  </si>
  <si>
    <t/>
  </si>
  <si>
    <t>-40 to 125</t>
  </si>
  <si>
    <t>1.8 x 2.2</t>
  </si>
  <si>
    <t>ACTIVE</t>
  </si>
  <si>
    <t>65A synchronous buck NexFET smart power stage with DualCool package</t>
  </si>
  <si>
    <t>Si power stages</t>
  </si>
  <si>
    <t>Catalog</t>
  </si>
  <si>
    <t>VSON-CLIP</t>
  </si>
  <si>
    <t/>
  </si>
  <si>
    <t>-55 to 150</t>
  </si>
  <si>
    <t>6 x 5</t>
  </si>
  <si>
    <t>ACTIVE</t>
  </si>
  <si>
    <t>1.5-A, 3-A, 200-V half bridge gate driver, 5-V UVLO and programmable dead-time for GaNFET and MOSFET</t>
  </si>
  <si>
    <t>Half-bridge drivers</t>
  </si>
  <si>
    <t>Catalog</t>
  </si>
  <si>
    <t>WQFN</t>
  </si>
  <si>
    <t/>
  </si>
  <si>
    <t>-40 to 125</t>
  </si>
  <si>
    <t>4 x 3</t>
  </si>
  <si>
    <t>ACTIVE</t>
  </si>
  <si>
    <t>1.75-V to 5.5-V input, 600-mA ultra-low IQ step-down converter in 0.7-mm x 1.05-mm WCSP</t>
  </si>
  <si>
    <t>AC/DC &amp; DC/DC converters (integrated FET)</t>
  </si>
  <si>
    <t>Catalog</t>
  </si>
  <si>
    <t>Buck</t>
  </si>
  <si>
    <t>DSBGA</t>
  </si>
  <si>
    <t/>
  </si>
  <si>
    <t>-40 to 125</t>
  </si>
  <si>
    <t>1.05 x 0.7</t>
  </si>
  <si>
    <t>ACTIVE</t>
  </si>
  <si>
    <t>1.75-V to 5.5-V input, 600-mA ultra-low IQ step-down converter in 0.7-mm x 1.05-mm WCSP</t>
  </si>
  <si>
    <t>AC/DC &amp; DC/DC converters (integrated FET)</t>
  </si>
  <si>
    <t>Catalog</t>
  </si>
  <si>
    <t>Buck</t>
  </si>
  <si>
    <t>DSBGA</t>
  </si>
  <si>
    <t/>
  </si>
  <si>
    <t>-40 to 125</t>
  </si>
  <si>
    <t>1.05 x 0.7</t>
  </si>
  <si>
    <t>ACTIVE</t>
  </si>
  <si>
    <t>30-channel I2C constant current RGB LED driver</t>
  </si>
  <si>
    <t>RGB LED drivers</t>
  </si>
  <si>
    <t>Catalog</t>
  </si>
  <si>
    <t>Current Sink</t>
  </si>
  <si>
    <t>VQFN</t>
  </si>
  <si>
    <t/>
  </si>
  <si>
    <t>-40 to 125</t>
  </si>
  <si>
    <t>6 x 5</t>
  </si>
  <si>
    <t>ACTIVE</t>
  </si>
  <si>
    <t>36-channel I2C constant current RGB LED driver</t>
  </si>
  <si>
    <t>RGB LED drivers</t>
  </si>
  <si>
    <t>Catalog</t>
  </si>
  <si>
    <t>Current Sink</t>
  </si>
  <si>
    <t>VQFN</t>
  </si>
  <si>
    <t/>
  </si>
  <si>
    <t>-40 to 125</t>
  </si>
  <si>
    <t>6 x 5</t>
  </si>
  <si>
    <t>ACTIVE</t>
  </si>
  <si>
    <t>16-channel, 16-bit ES-PWM constant-current LED driver with 48 multiplexing</t>
  </si>
  <si>
    <t>LED display drivers</t>
  </si>
  <si>
    <t>Catalog</t>
  </si>
  <si>
    <t>SSOP,VQFN</t>
  </si>
  <si>
    <t/>
  </si>
  <si>
    <t>-40 to 85</t>
  </si>
  <si>
    <t>16,51.9</t>
  </si>
  <si>
    <t>4 x 4,8.65 x 6</t>
  </si>
  <si>
    <t>1,1.75</t>
  </si>
  <si>
    <t>0.5,0.635</t>
  </si>
  <si>
    <t>ACTIVE</t>
  </si>
  <si>
    <t>IEEE 802.3at PoE PD with no-opto flyback DC-DC controller</t>
  </si>
  <si>
    <t>Powered devices</t>
  </si>
  <si>
    <t>Catalog</t>
  </si>
  <si>
    <t>VSON</t>
  </si>
  <si>
    <t/>
  </si>
  <si>
    <t>-40 to 125</t>
  </si>
  <si>
    <t>6 x 4</t>
  </si>
  <si>
    <t>ACTIVE</t>
  </si>
  <si>
    <t>42-V input, 3.5-A, step-down DC/DC converter with Eco-mode™</t>
  </si>
  <si>
    <t>AC/DC &amp; DC/DC converters (integrated FET)</t>
  </si>
  <si>
    <t>Catalog</t>
  </si>
  <si>
    <t>Buck</t>
  </si>
  <si>
    <t>HSOIC</t>
  </si>
  <si>
    <t/>
  </si>
  <si>
    <t>-40 to 150</t>
  </si>
  <si>
    <t>4.9 x 6</t>
  </si>
  <si>
    <t>ACTIVE</t>
  </si>
  <si>
    <t>4.5-V to 42-V input, 5-A step-down converter with Eco-mode™</t>
  </si>
  <si>
    <t>AC/DC &amp; DC/DC converters (integrated FET)</t>
  </si>
  <si>
    <t>Catalog</t>
  </si>
  <si>
    <t>Buck</t>
  </si>
  <si>
    <t>HSOIC</t>
  </si>
  <si>
    <t/>
  </si>
  <si>
    <t>-40 to 150</t>
  </si>
  <si>
    <t>4.9 x 6</t>
  </si>
  <si>
    <t>ACTIVE</t>
  </si>
  <si>
    <t>4.5-V to 60-V input, 5-A, step-down DC-DC converter with Eco-mode™</t>
  </si>
  <si>
    <t>AC/DC &amp; DC/DC converters (integrated FET)</t>
  </si>
  <si>
    <t>Catalog</t>
  </si>
  <si>
    <t>Buck</t>
  </si>
  <si>
    <t>HSOIC</t>
  </si>
  <si>
    <t/>
  </si>
  <si>
    <t>-40 to 150</t>
  </si>
  <si>
    <t>4.9 x 6</t>
  </si>
  <si>
    <t>ACTIVE</t>
  </si>
  <si>
    <t>17-V, 3-A, constant 1.4-MHz synchronous step-down voltage regulator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</si>
  <si>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</si>
  <si>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</si>
  <si>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</si>
  <si>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</si>
  <si>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</si>
  <si>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</si>
  <si>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</si>
  <si>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</si>
  <si>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17-V, 3-A, 1.4-MHz synchronous step-down voltage regulator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</si>
  <si>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</si>
  <si>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</si>
  <si>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</si>
  <si>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</si>
  <si>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</si>
  <si>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</si>
  <si>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</si>
  <si>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</si>
  <si>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6-V to 100-V input, 1-A synchronous buck DC-DC converter with ultra-low IQ</t>
  </si>
  <si>
    <t>AC/DC &amp; DC/DC converters (integrated FET)</t>
  </si>
  <si>
    <t>Catalog</t>
  </si>
  <si>
    <t>Buck</t>
  </si>
  <si>
    <t>HSOIC</t>
  </si>
  <si>
    <t>Functional Safety-Capable</t>
  </si>
  <si>
    <t>-40 to 150</t>
  </si>
  <si>
    <t>4.9 x 6</t>
  </si>
  <si>
    <t>ACTIVE</t>
  </si>
  <si>
    <t>2.4V-5.5V input, tiny 6-pin 3-A step-down converter in 1.2-mm x 0.8-mm WCSP</t>
  </si>
  <si>
    <t>AC/DC &amp; DC/DC converters (integrated FET)</t>
  </si>
  <si>
    <t>Catalog</t>
  </si>
  <si>
    <t>Buck</t>
  </si>
  <si>
    <t>DSBGA</t>
  </si>
  <si>
    <t/>
  </si>
  <si>
    <t>-40 to 125</t>
  </si>
  <si>
    <t>1 x 1.4000000000000001</t>
  </si>
  <si>
    <t>ACTIVE</t>
  </si>
  <si>
    <t>2.2-MHz wide VIN nonsynchronous boost, flyback, &amp; SEPIC controller with hiccup</t>
  </si>
  <si>
    <t>AC/DC &amp; DC/DC controllers (external FET)</t>
  </si>
  <si>
    <t>Catalog</t>
  </si>
  <si>
    <t>Boost,Flyback,SEPIC</t>
  </si>
  <si>
    <t>WSON</t>
  </si>
  <si>
    <t>Functional Safety-Capable</t>
  </si>
  <si>
    <t>-40 to 125</t>
  </si>
  <si>
    <t>3 x 2</t>
  </si>
  <si>
    <t>ACTIVE</t>
  </si>
  <si>
    <t>Automotive multiphase 16-A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</si>
  <si>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</si>
  <si>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</si>
  <si>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</si>
  <si>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</si>
  <si>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</si>
  <si>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</si>
  <si>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</si>
  <si>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Automotive multiphase 12A + 4A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</si>
  <si>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</si>
  <si>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</si>
  <si>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</si>
  <si>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</si>
  <si>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</si>
  <si>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</si>
  <si>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</si>
  <si>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Automotive multiphase 8A + 4A + 4A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</si>
  <si>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</si>
  <si>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</si>
  <si>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</si>
  <si>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</si>
  <si>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</si>
  <si>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</si>
  <si>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</si>
  <si>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16-channel, 16-bit ES-PWM constant-current LED driver with 32 multiplexing</t>
  </si>
  <si>
    <t>LED display drivers</t>
  </si>
  <si>
    <t>Catalog</t>
  </si>
  <si>
    <t>SSOP,VQFN</t>
  </si>
  <si>
    <t/>
  </si>
  <si>
    <t>-40 to 85</t>
  </si>
  <si>
    <t>16,51.9</t>
  </si>
  <si>
    <t>4 x 4,8.65 x 6</t>
  </si>
  <si>
    <t>1,1.75</t>
  </si>
  <si>
    <t>0.5,0.635</t>
  </si>
  <si>
    <t>ACTIVE</t>
  </si>
  <si>
    <t>Automotive, 30-V wide VIN synchronous 4-switch buck-boost controller</t>
  </si>
  <si>
    <t>AC/DC &amp; DC/DC controllers (external FET)</t>
  </si>
  <si>
    <t>Automotive</t>
  </si>
  <si>
    <t>Buck-Boost</t>
  </si>
  <si>
    <t>HTSSOP</t>
  </si>
  <si>
    <t/>
  </si>
  <si>
    <t>-40 to 125</t>
  </si>
  <si>
    <t>9.7 x 6.4</t>
  </si>
  <si>
    <t>ACTIVE</t>
  </si>
  <si>
    <t>Sink and Source DDR Termination Regulator</t>
  </si>
  <si>
    <t>Multi-channel ICs (PMICs),DDR memory power ICs</t>
  </si>
  <si>
    <t>Automotive</t>
  </si>
  <si>
    <t>VSON</t>
  </si>
  <si>
    <t/>
  </si>
  <si>
    <t>-40 to 125</t>
  </si>
  <si>
    <t>3 x 3</t>
  </si>
  <si>
    <t>ACTIVE</t>
  </si>
  <si>
    <t>Enhanced product, 2.5-V, low-drift, low-power series voltage reference</t>
  </si>
  <si>
    <t>Series voltage references</t>
  </si>
  <si>
    <t>HiRel Enhanced Product</t>
  </si>
  <si>
    <t>SOT-23</t>
  </si>
  <si>
    <t/>
  </si>
  <si>
    <t>-55 to 125</t>
  </si>
  <si>
    <t>2.9 x 2.8</t>
  </si>
  <si>
    <t>ACTIVE</t>
  </si>
  <si>
    <t>Enhanced product, 4.1-V, low-drift, low-power series voltage reference</t>
  </si>
  <si>
    <t>Series voltage references</t>
  </si>
  <si>
    <t>HiRel Enhanced Product</t>
  </si>
  <si>
    <t>SOT-23</t>
  </si>
  <si>
    <t/>
  </si>
  <si>
    <t>-55 to 125</t>
  </si>
  <si>
    <t>2.9 x 2.8</t>
  </si>
  <si>
    <t>ACTIVE</t>
  </si>
  <si>
    <t>Adjustable- and fixed-output, 1-A, 16-V, positive-voltage low-dropout (LDO) linear regulator</t>
  </si>
  <si>
    <t>Linear &amp; low-dropout (LDO) regulators</t>
  </si>
  <si>
    <t>Catalog</t>
  </si>
  <si>
    <t>HVSSOP,SOT-23,WSON</t>
  </si>
  <si>
    <t/>
  </si>
  <si>
    <t>-40 to 125</t>
  </si>
  <si>
    <t>5,6,8</t>
  </si>
  <si>
    <t>4,8.12,14.7</t>
  </si>
  <si>
    <t>2 x 2,2.9 x 2.8,3 x 4.9</t>
  </si>
  <si>
    <t>0.8,1.1,1.45</t>
  </si>
  <si>
    <t>0.65,0.95</t>
  </si>
  <si>
    <t>ACTIVE</t>
  </si>
  <si>
    <t>2.2-MHz wide VIN, 1.5-A MOSFET driver, non-synchronous boost controller</t>
  </si>
  <si>
    <t>AC/DC &amp; DC/DC controllers (external FET)</t>
  </si>
  <si>
    <t>Catalog</t>
  </si>
  <si>
    <t>Boost,Flyback,SEPIC</t>
  </si>
  <si>
    <t>WSON</t>
  </si>
  <si>
    <t>Functional Safety-Capable</t>
  </si>
  <si>
    <t>-40 to 125</t>
  </si>
  <si>
    <t>3 x 2</t>
  </si>
  <si>
    <t>ACTIVE</t>
  </si>
  <si>
    <t>40-V, 8-mΩ, 1-ch automotive smart high-side switch with selectable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</si>
  <si>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</si>
  <si>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</si>
  <si>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</si>
  <si>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</si>
  <si>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</si>
  <si>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</si>
  <si>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</si>
  <si>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4.2-V to 60-V, 0.6-A ultra-small synchronous step-down converter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</si>
  <si>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</si>
  <si>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</si>
  <si>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</si>
  <si>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</si>
  <si>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</si>
  <si>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</si>
  <si>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3 x 2</t>
  </si>
  <si>
    <t>ACTIVE</t>
  </si>
  <si>
    <t>Automotive multiphase 1-V, 10-A buck converter for Mobileye EyeQ4</t>
  </si>
  <si>
    <t>Multi-channel ICs (PMICs)</t>
  </si>
  <si>
    <t>Automotive</t>
  </si>
  <si>
    <t>VQFN-HR</t>
  </si>
  <si>
    <t/>
  </si>
  <si>
    <t>-40 to 125</t>
  </si>
  <si>
    <t>4.5 x 4</t>
  </si>
  <si>
    <t>ACTIVE</t>
  </si>
  <si>
    <t>500-mA, low-IQ, high-accuracy, adjustable ultra-low-dropout voltage regulator with enable</t>
  </si>
  <si>
    <t>Linear &amp; low-dropout (LDO) regulators</t>
  </si>
  <si>
    <t>Catalog</t>
  </si>
  <si>
    <t>SOT-23,WSON</t>
  </si>
  <si>
    <t/>
  </si>
  <si>
    <t>-40 to 125</t>
  </si>
  <si>
    <t>5,6</t>
  </si>
  <si>
    <t>4,8.12</t>
  </si>
  <si>
    <t>2 x 2,2.9 x 2.8</t>
  </si>
  <si>
    <t>0.8,1.45</t>
  </si>
  <si>
    <t>0.65,0.95</t>
  </si>
  <si>
    <t>ACTIVE</t>
  </si>
  <si>
    <t>500-mA, low-IQ, high-accuracy, adjustable ultra-low-dropout voltage regulator with power good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</si>
  <si>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</si>
  <si>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</si>
  <si>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</si>
  <si>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</si>
  <si>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</si>
  <si>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</si>
  <si>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</si>
  <si>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Automotive, 10A, 2-phase + 1-phase + 1-phase, three-output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</si>
  <si>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</si>
  <si>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</si>
  <si>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</si>
  <si>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</si>
  <si>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</si>
  <si>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</si>
  <si>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</si>
  <si>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Automotive multiphase 4MHz, 3A/1.0V + 3A/1.0V + 2.5A/1.8V + 1.5A/1.2V buck converters for AWR MMICs</t>
  </si>
  <si>
    <t>Multi-channel ICs (PMICs)</t>
  </si>
  <si>
    <t>Automotive</t>
  </si>
  <si>
    <t>VQFN-HR</t>
  </si>
  <si>
    <t/>
  </si>
  <si>
    <t>-40 to 125</t>
  </si>
  <si>
    <t>4.5 x 4</t>
  </si>
  <si>
    <t>ACTIVE</t>
  </si>
  <si>
    <t>2.7-V&amp;nbsp;to 22-V, 56-mΩ, 4.5-A, power mux with seamless switchover</t>
  </si>
  <si>
    <t>Power muxes</t>
  </si>
  <si>
    <t>Catalog</t>
  </si>
  <si>
    <t>VQFN-HR</t>
  </si>
  <si>
    <t/>
  </si>
  <si>
    <t>-40 to 125</t>
  </si>
  <si>
    <t>2.5 x 2</t>
  </si>
  <si>
    <t>ACTIVE</t>
  </si>
  <si>
    <t>60-V input, 3.5-A, step-down DC/DC converter with Eco-Mode™</t>
  </si>
  <si>
    <t>AC/DC &amp; DC/DC converters (integrated FET)</t>
  </si>
  <si>
    <t>Catalog</t>
  </si>
  <si>
    <t>Buck</t>
  </si>
  <si>
    <t>HSOIC</t>
  </si>
  <si>
    <t/>
  </si>
  <si>
    <t>-40 to 150</t>
  </si>
  <si>
    <t>4.9 x 6</t>
  </si>
  <si>
    <t>ACTIVE</t>
  </si>
  <si>
    <t>16V/3.6A sync boost with load disconnect</t>
  </si>
  <si>
    <t>AC/DC &amp; DC/DC converters (integrated FET)</t>
  </si>
  <si>
    <t>Catalog</t>
  </si>
  <si>
    <t>Boost</t>
  </si>
  <si>
    <t>DSBGA</t>
  </si>
  <si>
    <t/>
  </si>
  <si>
    <t>-40 to 125</t>
  </si>
  <si>
    <t>1.4 x 1.4</t>
  </si>
  <si>
    <t>ACTIVE</t>
  </si>
  <si>
    <t>2.95-V to 16-V, stackable 40-A synchronous SWIFT™ buck converter with PMBus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</si>
  <si>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</si>
  <si>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</si>
  <si>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</si>
  <si>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</si>
  <si>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</si>
  <si>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</si>
  <si>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</si>
  <si>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</si>
  <si>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10-A fully-integrated synchronous boost converter, AEC-Q100 qualified</t>
  </si>
  <si>
    <t>AC/DC &amp; DC/DC converters (integrated FET)</t>
  </si>
  <si>
    <t>Automotive</t>
  </si>
  <si>
    <t>Boost</t>
  </si>
  <si>
    <t>VQFN</t>
  </si>
  <si>
    <t>Functional Safety-Capable</t>
  </si>
  <si>
    <t>-40 to 125</t>
  </si>
  <si>
    <t>4.5 x 3.5</t>
  </si>
  <si>
    <t>ACTIVE</t>
  </si>
  <si>
    <t>1-A, low-IQ, high-accuracy, adjustable ultra-low-dropout voltage regulator with power good &amp; enable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</si>
  <si>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</si>
  <si>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</si>
  <si>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</si>
  <si>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</si>
  <si>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</si>
  <si>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</si>
  <si>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</si>
  <si>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5.7kVrms 4A/6A dual-channel isolated gate driver with dual inputs, DT pin &amp; 8V UVLO in DW or DWK pkg</t>
  </si>
  <si>
    <t>Isolated gate drivers</t>
  </si>
  <si>
    <t>Catalog</t>
  </si>
  <si>
    <t>SOIC</t>
  </si>
  <si>
    <t/>
  </si>
  <si>
    <t>-40 to 125</t>
  </si>
  <si>
    <t>14,16</t>
  </si>
  <si>
    <t>10.3 x 10.3</t>
  </si>
  <si>
    <t>ACTIVE</t>
  </si>
  <si>
    <t>5.7kVrms 1.5A/2.5A dual-channel isolated gate driver with 8V UVLO, dual input, disable pin in DW pkg</t>
  </si>
  <si>
    <t>Isolated gate drivers</t>
  </si>
  <si>
    <t>Catalog</t>
  </si>
  <si>
    <t>SOIC</t>
  </si>
  <si>
    <t/>
  </si>
  <si>
    <t>-40 to 125</t>
  </si>
  <si>
    <t>10.3 x 10.3</t>
  </si>
  <si>
    <t>ACTIVE</t>
  </si>
  <si>
    <t>Radiation-tolerant, 2.2-V to 20-V input, 1-A adjustable LDO regulator in a plastic package</t>
  </si>
  <si>
    <t>Linear &amp; low-dropout (LDO) regulators</t>
  </si>
  <si>
    <t>Space</t>
  </si>
  <si>
    <t>SOT-223</t>
  </si>
  <si>
    <t/>
  </si>
  <si>
    <t>-55 to 125</t>
  </si>
  <si>
    <t>6.5 x 7.06</t>
  </si>
  <si>
    <t>ACTIVE</t>
  </si>
  <si>
    <t>1-A, low-IQ, high-accuracy, adjustable ultra-low-dropout voltage regulator with enable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</si>
  <si>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</si>
  <si>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</si>
  <si>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</si>
  <si>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</si>
  <si>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</si>
  <si>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</si>
  <si>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</si>
  <si>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3.0kVrms, 4A/6A dual-channel isolated gate driver with disable pin &amp; 5V UVLO for MOSFETs &amp; GaNFETs</t>
  </si>
  <si>
    <t>Isolated gate drivers</t>
  </si>
  <si>
    <t>Catalog</t>
  </si>
  <si>
    <t>SOIC</t>
  </si>
  <si>
    <t/>
  </si>
  <si>
    <t>-40 to 125</t>
  </si>
  <si>
    <t>9.9 x 6</t>
  </si>
  <si>
    <t>ACTIVE</t>
  </si>
  <si>
    <t>High-frequency, dual synchronous rectifier controller for LLC converters</t>
  </si>
  <si>
    <t>AC/DC &amp; DC/DC controllers (external FET)</t>
  </si>
  <si>
    <t>Catalog</t>
  </si>
  <si>
    <t>LLC</t>
  </si>
  <si>
    <t>SOIC</t>
  </si>
  <si>
    <t/>
  </si>
  <si>
    <t>-40 to 125</t>
  </si>
  <si>
    <t>4.9 x 6</t>
  </si>
  <si>
    <t>ACTIVE</t>
  </si>
  <si>
    <t>3-A, 120-V half-bridge gate driver with 5-V UVLO, interlock and enable</t>
  </si>
  <si>
    <t>Half-bridge drivers</t>
  </si>
  <si>
    <t>Catalog</t>
  </si>
  <si>
    <t>SOIC,VSON</t>
  </si>
  <si>
    <t/>
  </si>
  <si>
    <t>-40 to 140</t>
  </si>
  <si>
    <t>8,10</t>
  </si>
  <si>
    <t>9,16,29.4</t>
  </si>
  <si>
    <t>3 x 3,4 x 4,4.9 x 6</t>
  </si>
  <si>
    <t>1,1.75</t>
  </si>
  <si>
    <t>0.5,0.8,1.27</t>
  </si>
  <si>
    <t>ACTIVE</t>
  </si>
  <si>
    <t>Automotive 100-V synchronous buck DC/DC controller with wide duty-cycle range</t>
  </si>
  <si>
    <t>AC/DC &amp; DC/DC controllers (external FET)</t>
  </si>
  <si>
    <t>Automotive</t>
  </si>
  <si>
    <t>Buck</t>
  </si>
  <si>
    <t>VQFN</t>
  </si>
  <si>
    <t>Functional Safety-Capable</t>
  </si>
  <si>
    <t>-40 to 150</t>
  </si>
  <si>
    <t>4.5 x 3.5</t>
  </si>
  <si>
    <t>ACTIVE</t>
  </si>
  <si>
    <t>4.2-V to 60-V, 1.5-A ultra-small synchronous step-down converter</t>
  </si>
  <si>
    <t>AC/DC &amp; DC/DC converters (integrated FET)</t>
  </si>
  <si>
    <t>Catalog</t>
  </si>
  <si>
    <t>Buck</t>
  </si>
  <si>
    <t>VQFN-HR</t>
  </si>
  <si>
    <t>Functional Safety-Capable</t>
  </si>
  <si>
    <t>-40 to 150</t>
  </si>
  <si>
    <t>3 x 2</t>
  </si>
  <si>
    <t>ACTIVE</t>
  </si>
  <si>
    <t>4.2-V to 60-V, 1.5-A ultra-small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</si>
  <si>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</si>
  <si>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</si>
  <si>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</si>
  <si>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</si>
  <si>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</si>
  <si>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</si>
  <si>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3 x 2</t>
  </si>
  <si>
    <t>ACTIVE</t>
  </si>
  <si>
    <t>Low-IQ programmable shunt regulator offered in an ultra-small DQN package</t>
  </si>
  <si>
    <t>Shunt voltage references</t>
  </si>
  <si>
    <t>Catalog</t>
  </si>
  <si>
    <t>SOT-23,X2SON</t>
  </si>
  <si>
    <t/>
  </si>
  <si>
    <t>-40 to 125</t>
  </si>
  <si>
    <t>3,4</t>
  </si>
  <si>
    <t>1,6.9204</t>
  </si>
  <si>
    <t>1 x 1,2.92 x 2.37</t>
  </si>
  <si>
    <t>0.4,1.12</t>
  </si>
  <si>
    <t>0.65,0.96</t>
  </si>
  <si>
    <t>ACTIVE</t>
  </si>
  <si>
    <t>High-bandwidth, low-IQ programmable shunt regulator (pinout: RKA)</t>
  </si>
  <si>
    <t>Shunt voltage references</t>
  </si>
  <si>
    <t>Catalog</t>
  </si>
  <si>
    <t>SOT-23</t>
  </si>
  <si>
    <t/>
  </si>
  <si>
    <t>-40 to 125</t>
  </si>
  <si>
    <t>2.92 x 2.37</t>
  </si>
  <si>
    <t>ACTIVE</t>
  </si>
  <si>
    <t>Adjustable precision shunt regulator with optimized reference current (pin layout: KRA)</t>
  </si>
  <si>
    <t>Shunt voltage references</t>
  </si>
  <si>
    <t>Catalog</t>
  </si>
  <si>
    <t>SOT-23</t>
  </si>
  <si>
    <t/>
  </si>
  <si>
    <t>-40 to 125</t>
  </si>
  <si>
    <t>2.92 x 2.37</t>
  </si>
  <si>
    <t>ACTIVE</t>
  </si>
  <si>
    <t>Adjustable precision shunt regulator with optimized reference current (pin layout: RKA)</t>
  </si>
  <si>
    <t>Shunt voltage references</t>
  </si>
  <si>
    <t>Catalog</t>
  </si>
  <si>
    <t>SOT-23</t>
  </si>
  <si>
    <t/>
  </si>
  <si>
    <t>-40 to 125</t>
  </si>
  <si>
    <t>2.92 x 2.37</t>
  </si>
  <si>
    <t>ACTIVE</t>
  </si>
  <si>
    <t>3-V to 65-V wide VIN, current mode synchronous boost controller with multiphase capability</t>
  </si>
  <si>
    <t>AC/DC &amp; DC/DC controllers (external FET)</t>
  </si>
  <si>
    <t>Catalog</t>
  </si>
  <si>
    <t>Boost,Flyback,Forward,SEPIC</t>
  </si>
  <si>
    <t>HTSSOP</t>
  </si>
  <si>
    <t/>
  </si>
  <si>
    <t>-40 to 125</t>
  </si>
  <si>
    <t>7.8 x 6.4</t>
  </si>
  <si>
    <t>ACTIVE</t>
  </si>
  <si>
    <t>3.8-V to 36-V, 2-A synchronous step-down voltage converter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</si>
  <si>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</si>
  <si>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</si>
  <si>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</si>
  <si>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</si>
  <si>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</si>
  <si>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</si>
  <si>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</si>
  <si>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</si>
  <si>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3.8-V to 36-V, 3-A synchronous step-down voltage converter</t>
  </si>
  <si>
    <t>AC/DC &amp; DC/DC converters (integrated FET)</t>
  </si>
  <si>
    <t>Automotive</t>
  </si>
  <si>
    <t>Buck</t>
  </si>
  <si>
    <t>VQFN-HR</t>
  </si>
  <si>
    <t>Functional Safety-Capable</t>
  </si>
  <si>
    <t>-40 to 125</t>
  </si>
  <si>
    <t>3 x 2</t>
  </si>
  <si>
    <t>ACTIVE</t>
  </si>
  <si>
    <t>4.2-V to 60-V, 0.6-A ultra-small synchronous step-down converter</t>
  </si>
  <si>
    <t>AC/DC &amp; DC/DC converters (integrated FET)</t>
  </si>
  <si>
    <t>Automotive</t>
  </si>
  <si>
    <t>Buck</t>
  </si>
  <si>
    <t>VQFN-HR</t>
  </si>
  <si>
    <t>Functional Safety-Capable</t>
  </si>
  <si>
    <t>-40 to 150</t>
  </si>
  <si>
    <t>3 x 2</t>
  </si>
  <si>
    <t>ACTIVE</t>
  </si>
  <si>
    <t>Automotive, 20-V, low-power current-mode PWM controller, 8.4-V/7.6-V UVLO, 50%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</si>
  <si>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</si>
  <si>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</si>
  <si>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</si>
  <si>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</si>
  <si>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</si>
  <si>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125</t>
  </si>
  <si>
    <t>4.9 x 6</t>
  </si>
  <si>
    <t>ACTIVE</t>
  </si>
  <si>
    <t>65-V automotive 2-A shunt-PWM dimmable LED driver with Integrated NFET</t>
  </si>
  <si>
    <t>Automotive LED drivers</t>
  </si>
  <si>
    <t>Automotive</t>
  </si>
  <si>
    <t>Buck</t>
  </si>
  <si>
    <t>HVSSOP</t>
  </si>
  <si>
    <t/>
  </si>
  <si>
    <t>-40 to 125</t>
  </si>
  <si>
    <t>3 x 4.9</t>
  </si>
  <si>
    <t>ACTIVE</t>
  </si>
  <si>
    <t>Automotive 300-mA, off-battery (40-V), low-IQ, low-dropout voltage regulator with RESET with delay</t>
  </si>
  <si>
    <t>Linear &amp; low-dropout (LDO) regulators</t>
  </si>
  <si>
    <t>Automotive</t>
  </si>
  <si>
    <t>HTSSOP</t>
  </si>
  <si>
    <t/>
  </si>
  <si>
    <t>-40 to 125</t>
  </si>
  <si>
    <t>5 x 6.4</t>
  </si>
  <si>
    <t>ACTIVE</t>
  </si>
  <si>
    <t>Automotive, multiphase quadruple 4A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</si>
  <si>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</si>
  <si>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</si>
  <si>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</si>
  <si>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</si>
  <si>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</si>
  <si>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</si>
  <si>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</si>
  <si>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3.5-V to 36-V input, 1-V to 20-V output, 4-A power module</t>
  </si>
  <si>
    <t>Power modules (integrated inductor)</t>
  </si>
  <si>
    <t>Catalog</t>
  </si>
  <si>
    <t>Buck,Inverting Buck-Boost,Synchronous Buck</t>
  </si>
  <si>
    <t>B3QFN</t>
  </si>
  <si>
    <t/>
  </si>
  <si>
    <t>-40 to 105</t>
  </si>
  <si>
    <t>16 x 10</t>
  </si>
  <si>
    <t>ACTIVE</t>
  </si>
  <si>
    <t>3.5-V to 36-V input, 1-V to 20-V output, 6-A power module</t>
  </si>
  <si>
    <t>Power modules (integrated inductor)</t>
  </si>
  <si>
    <t>Catalog</t>
  </si>
  <si>
    <t>Buck,Inverting Buck-Boost,Synchronous Buck</t>
  </si>
  <si>
    <t>B3QFN</t>
  </si>
  <si>
    <t/>
  </si>
  <si>
    <t>-40 to 105</t>
  </si>
  <si>
    <t>16 x 10</t>
  </si>
  <si>
    <t>ACTIVE</t>
  </si>
  <si>
    <t>Integrated power management (PMIC) for ARM® Cortex™-A8/A9 SOCs and FPGAs</t>
  </si>
  <si>
    <t>Multi-channel ICs (PMICs)</t>
  </si>
  <si>
    <t>Catalog</t>
  </si>
  <si>
    <t>VQFN</t>
  </si>
  <si>
    <t/>
  </si>
  <si>
    <t>-40 to 105</t>
  </si>
  <si>
    <t>6 x 6</t>
  </si>
  <si>
    <t>ACTIVE</t>
  </si>
  <si>
    <t>Automotive, low-drift, low-power, small-footprint series voltage reference</t>
  </si>
  <si>
    <t>Series voltage references</t>
  </si>
  <si>
    <t>Automotive</t>
  </si>
  <si>
    <t>SOT-23,VSSOP</t>
  </si>
  <si>
    <t>Functional Safety-Capable</t>
  </si>
  <si>
    <t>-40 to 125</t>
  </si>
  <si>
    <t>5,6,8</t>
  </si>
  <si>
    <t>8.12,14.7</t>
  </si>
  <si>
    <t>2.9 x 2.8,3 x 4.9</t>
  </si>
  <si>
    <t>1.1,1.45</t>
  </si>
  <si>
    <t>0.65,0.95</t>
  </si>
  <si>
    <t>ACTIVE</t>
  </si>
  <si>
    <t>600-V 70-mΩ GaN with integrated driver and cycle-by-cycle overcurrent protection</t>
  </si>
  <si>
    <t>Gallium nitride (GaN) power stages</t>
  </si>
  <si>
    <t>Catalog</t>
  </si>
  <si>
    <t>VQFN</t>
  </si>
  <si>
    <t/>
  </si>
  <si>
    <t>-40 to 150</t>
  </si>
  <si>
    <t>8 x 8</t>
  </si>
  <si>
    <t>ACTIVE</t>
  </si>
  <si>
    <t>2-A, high-efficient, 11-µA quiescent current buck-boost converter with tiny solution size</t>
  </si>
  <si>
    <t>AC/DC &amp; DC/DC converters (integrated FET)</t>
  </si>
  <si>
    <t>Catalog</t>
  </si>
  <si>
    <t>Buck-Boost</t>
  </si>
  <si>
    <t>DSBGA</t>
  </si>
  <si>
    <t/>
  </si>
  <si>
    <t>-40 to 125</t>
  </si>
  <si>
    <t>1.4000000000000001 x 2.2</t>
  </si>
  <si>
    <t>ACTIVE</t>
  </si>
  <si>
    <t>Natural Interleaving™ transition-mode PFC controller with high light-load efficiency</t>
  </si>
  <si>
    <t>AC/DC &amp; DC/DC controllers (external FET)</t>
  </si>
  <si>
    <t>Catalog</t>
  </si>
  <si>
    <t>Boost,PFC controller</t>
  </si>
  <si>
    <t>SOIC</t>
  </si>
  <si>
    <t/>
  </si>
  <si>
    <t>-40 to 125</t>
  </si>
  <si>
    <t>9.9 x 6</t>
  </si>
  <si>
    <t>ACTIVE</t>
  </si>
  <si>
    <t>18-channel I&lt;sup&gt;2&lt;/sup&gt;C constant-current RGB LED driver</t>
  </si>
  <si>
    <t>RGB LED drivers</t>
  </si>
  <si>
    <t>Catalog</t>
  </si>
  <si>
    <t>Current Sink</t>
  </si>
  <si>
    <t>VQFN,VSSOP</t>
  </si>
  <si>
    <t/>
  </si>
  <si>
    <t>-40 to 125</t>
  </si>
  <si>
    <t>28,32</t>
  </si>
  <si>
    <t>16,34.79</t>
  </si>
  <si>
    <t>4 x 4,7.1 x 4.9</t>
  </si>
  <si>
    <t>1,1.1</t>
  </si>
  <si>
    <t>0.4,0.5</t>
  </si>
  <si>
    <t>ACTIVE</t>
  </si>
  <si>
    <t>24-channel I2C constant-current RGB LED driver</t>
  </si>
  <si>
    <t>RGB LED drivers</t>
  </si>
  <si>
    <t>Catalog</t>
  </si>
  <si>
    <t>Current Sink</t>
  </si>
  <si>
    <t>VQFN</t>
  </si>
  <si>
    <t/>
  </si>
  <si>
    <t>-40 to 85</t>
  </si>
  <si>
    <t>4 x 4</t>
  </si>
  <si>
    <t>ACTIVE</t>
  </si>
  <si>
    <t>500-mA, low-VIN (0.75-V), ultra-low-IQ, low-dropout voltage regulator with enable</t>
  </si>
  <si>
    <t>Linear &amp; low-dropout (LDO) regulators</t>
  </si>
  <si>
    <t>Catalog</t>
  </si>
  <si>
    <t>DSBGA,WSON</t>
  </si>
  <si>
    <t/>
  </si>
  <si>
    <t>-40 to 125</t>
  </si>
  <si>
    <t>5,6</t>
  </si>
  <si>
    <t>0.8814,4</t>
  </si>
  <si>
    <t>1.13 x 0.78,2 x 2</t>
  </si>
  <si>
    <t>0.4,0.8</t>
  </si>
  <si>
    <t>0.35,0.65</t>
  </si>
  <si>
    <t>ACTIVE</t>
  </si>
  <si>
    <t>Automotive, 2.7-V to 5.5-VIN, 200-mA output current, 5-V fixed output voltage doubler</t>
  </si>
  <si>
    <t>AC/DC &amp; DC/DC converters (integrated FET)</t>
  </si>
  <si>
    <t>Automotive</t>
  </si>
  <si>
    <t>WSON</t>
  </si>
  <si>
    <t/>
  </si>
  <si>
    <t>-40 to 125</t>
  </si>
  <si>
    <t>2 x 2</t>
  </si>
  <si>
    <t>ACTIVE</t>
  </si>
  <si>
    <t>Automotive dual 2-A buck converters and dual linear regulators</t>
  </si>
  <si>
    <t>Multi-channel ICs (PMICs)</t>
  </si>
  <si>
    <t>Automotive</t>
  </si>
  <si>
    <t>VQFN</t>
  </si>
  <si>
    <t/>
  </si>
  <si>
    <t>-40 to 125</t>
  </si>
  <si>
    <t>5 x 5</t>
  </si>
  <si>
    <t>ACTIVE</t>
  </si>
  <si>
    <t>Automotive dual 3-A buck converters &amp; dual linear regulators</t>
  </si>
  <si>
    <t>Multi-channel ICs (PMICs)</t>
  </si>
  <si>
    <t>Automotive</t>
  </si>
  <si>
    <t>VQFN</t>
  </si>
  <si>
    <t/>
  </si>
  <si>
    <t>-40 to 125</t>
  </si>
  <si>
    <t>5 x 5</t>
  </si>
  <si>
    <t>ACTIVE</t>
  </si>
  <si>
    <t>4-pair, type-4, 8-channel&amp;nbsp;PoE&amp;nbsp;PSE with programmable SRAM</t>
  </si>
  <si>
    <t>Power sourcing equipment</t>
  </si>
  <si>
    <t>Catalog</t>
  </si>
  <si>
    <t>VQFN</t>
  </si>
  <si>
    <t/>
  </si>
  <si>
    <t>-40 to 125</t>
  </si>
  <si>
    <t>8 x 8</t>
  </si>
  <si>
    <t>ACTIVE</t>
  </si>
  <si>
    <t>55-V wide VIN synchronous 4-switch buck-boost controller, AEC-Q100 qualified</t>
  </si>
  <si>
    <t>AC/DC &amp; DC/DC controllers (external FET)</t>
  </si>
  <si>
    <t>Automotive</t>
  </si>
  <si>
    <t>Buck-Boost</t>
  </si>
  <si>
    <t>HTSSOP</t>
  </si>
  <si>
    <t>Functional Safety-Capable</t>
  </si>
  <si>
    <t>-40 to 125</t>
  </si>
  <si>
    <t>9.7 x 6.4</t>
  </si>
  <si>
    <t>ACTIVE</t>
  </si>
  <si>
    <t>Radiation-hardened, QMLV and QMLP 1.5-V to 7-V input 6-A eFuse</t>
  </si>
  <si>
    <t>eFuses (integrated hot swaps)</t>
  </si>
  <si>
    <t>Space</t>
  </si>
  <si>
    <t>CFP,DIESALE,HTSSOP</t>
  </si>
  <si>
    <t/>
  </si>
  <si>
    <t>-55 to 125</t>
  </si>
  <si>
    <t>0,16,32</t>
  </si>
  <si>
    <t>89.1,105.6,See data sheet</t>
  </si>
  <si>
    <t>11 x 8.1,11 x 9.6,See data sheet</t>
  </si>
  <si>
    <t>1.2,2.34,—</t>
  </si>
  <si>
    <t>0.65,1.27,—</t>
  </si>
  <si>
    <t>ACTIVE</t>
  </si>
  <si>
    <t>32 rail PMBus power sequencer and system manager with SEU detection</t>
  </si>
  <si>
    <t>Sequencers</t>
  </si>
  <si>
    <t>Catalog</t>
  </si>
  <si>
    <t>NFBGA</t>
  </si>
  <si>
    <t/>
  </si>
  <si>
    <t>-40 to 85</t>
  </si>
  <si>
    <t>12 x 12</t>
  </si>
  <si>
    <t>ACTIVE</t>
  </si>
  <si>
    <t>2.3MHz 3A synchronous boost converter with pass-through mode</t>
  </si>
  <si>
    <t>AC/DC &amp; DC/DC converters (integrated FET)</t>
  </si>
  <si>
    <t>Catalog</t>
  </si>
  <si>
    <t>Boost</t>
  </si>
  <si>
    <t>DSBGA</t>
  </si>
  <si>
    <t/>
  </si>
  <si>
    <t>-40 to 125</t>
  </si>
  <si>
    <t>1.8 x 1.8</t>
  </si>
  <si>
    <t>ACTIVE</t>
  </si>
  <si>
    <t>2.3MHz 4A synchronous boost converter with pass-through mode</t>
  </si>
  <si>
    <t>AC/DC &amp; DC/DC converters (integrated FET)</t>
  </si>
  <si>
    <t>Catalog</t>
  </si>
  <si>
    <t>Boost</t>
  </si>
  <si>
    <t>DSBGA</t>
  </si>
  <si>
    <t/>
  </si>
  <si>
    <t>-40 to 125</t>
  </si>
  <si>
    <t>1.8 x 1.8</t>
  </si>
  <si>
    <t>ACTIVE</t>
  </si>
  <si>
    <t>Green phase-shifted  full-bridge controller with SR control for Wide input voltage Range</t>
  </si>
  <si>
    <t>AC/DC &amp; DC/DC controllers (external FET)</t>
  </si>
  <si>
    <t>Catalog</t>
  </si>
  <si>
    <t>Phase-shifted full bridge</t>
  </si>
  <si>
    <t>TSSOP</t>
  </si>
  <si>
    <t/>
  </si>
  <si>
    <t>-40 to 125</t>
  </si>
  <si>
    <t>7.8 x 6.4</t>
  </si>
  <si>
    <t>ACTIVE</t>
  </si>
  <si>
    <t>30-V Wide VIN Synchronous 4-Switch Buck-Boost Controller</t>
  </si>
  <si>
    <t>AC/DC &amp; DC/DC controllers (external FET)</t>
  </si>
  <si>
    <t>Catalog</t>
  </si>
  <si>
    <t>Buck-Boost</t>
  </si>
  <si>
    <t>VQFN</t>
  </si>
  <si>
    <t/>
  </si>
  <si>
    <t>-40 to 125</t>
  </si>
  <si>
    <t>5 x 4</t>
  </si>
  <si>
    <t>ACTIVE</t>
  </si>
  <si>
    <t>600-V 70mΩ GaN with integrated driver and protection</t>
  </si>
  <si>
    <t>Gallium nitride (GaN) power stages</t>
  </si>
  <si>
    <t>Catalog</t>
  </si>
  <si>
    <t>VQFN</t>
  </si>
  <si>
    <t/>
  </si>
  <si>
    <t>-40 to 150</t>
  </si>
  <si>
    <t>8 x 8</t>
  </si>
  <si>
    <t>ACTIVE</t>
  </si>
  <si>
    <t>Automotive 16 channel Full diagnostics constant current RGB LED driver</t>
  </si>
  <si>
    <t>Automotive LED drivers</t>
  </si>
  <si>
    <t>Automotive</t>
  </si>
  <si>
    <t>Current Sink</t>
  </si>
  <si>
    <t>HTSSOP</t>
  </si>
  <si>
    <t/>
  </si>
  <si>
    <t>-40 to 125</t>
  </si>
  <si>
    <t>12.5 x 8.1</t>
  </si>
  <si>
    <t>ACTIVE</t>
  </si>
  <si>
    <t>Automotive 24 channel Full diagnostics constant current RGB LED driver</t>
  </si>
  <si>
    <t>Automotive LED drivers</t>
  </si>
  <si>
    <t>Automotive</t>
  </si>
  <si>
    <t>Current Sink</t>
  </si>
  <si>
    <t>HTSSOP</t>
  </si>
  <si>
    <t/>
  </si>
  <si>
    <t>-40 to 125</t>
  </si>
  <si>
    <t>12.5 x 8.1</t>
  </si>
  <si>
    <t>ACTIVE</t>
  </si>
  <si>
    <t>Automotive 2.25-MHz Fixed VOUT Dual 1000mA/600mA Step-Down Converter for ADAS Camera applications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</si>
  <si>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</si>
  <si>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</si>
  <si>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</si>
  <si>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</si>
  <si>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</si>
  <si>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</si>
  <si>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</si>
  <si>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</si>
  <si>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Automotive 2.25-MHz Fixed VOUT Dual 800mA Step-Down Converter for ADAS Camera applications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</si>
  <si>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</si>
  <si>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</si>
  <si>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</si>
  <si>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</si>
  <si>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</si>
  <si>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</si>
  <si>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</si>
  <si>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</si>
  <si>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Automotive 2.25-MHz Fixed VOUT Dual 800mA Step-Down Converter for ADAS Camera applications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</si>
  <si>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</si>
  <si>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</si>
  <si>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</si>
  <si>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</si>
  <si>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</si>
  <si>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</si>
  <si>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</si>
  <si>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</si>
  <si>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Automotive, multiphase dual 8A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</si>
  <si>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</si>
  <si>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</si>
  <si>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</si>
  <si>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</si>
  <si>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</si>
  <si>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</si>
  <si>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</si>
  <si>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4.5-V to 60-V, 478mΩ, 0.025-0.88A eFuse with integrated input and output reverse polarity protection</t>
  </si>
  <si>
    <t>eFuses (integrated hot swaps)</t>
  </si>
  <si>
    <t>Catalog</t>
  </si>
  <si>
    <t>VSON</t>
  </si>
  <si>
    <t/>
  </si>
  <si>
    <t>-40 to 125</t>
  </si>
  <si>
    <t>3 x 3</t>
  </si>
  <si>
    <t>ACTIVE</t>
  </si>
  <si>
    <t>Dual buck converter and 5-V&amp;nbsp;boost with diagnostic functions</t>
  </si>
  <si>
    <t>Multi-channel ICs (PMICs)</t>
  </si>
  <si>
    <t>Automotive</t>
  </si>
  <si>
    <t>VQFN</t>
  </si>
  <si>
    <t>Functional Safety Quality-Managed</t>
  </si>
  <si>
    <t>-40 to 125</t>
  </si>
  <si>
    <t>5 x 5</t>
  </si>
  <si>
    <t>ACTIVE</t>
  </si>
  <si>
    <t>Window watchdog timer with programmable reset delay</t>
  </si>
  <si>
    <t>Reset &amp; watchdog ICs</t>
  </si>
  <si>
    <t>Catalog</t>
  </si>
  <si>
    <t>VSON</t>
  </si>
  <si>
    <t/>
  </si>
  <si>
    <t>-40 to 125</t>
  </si>
  <si>
    <t>3 x 3</t>
  </si>
  <si>
    <t>ACTIVE</t>
  </si>
  <si>
    <t>Automotive, window watchdog timer with programmable reset delay</t>
  </si>
  <si>
    <t>Reset &amp; watchdog ICs</t>
  </si>
  <si>
    <t>Automotive</t>
  </si>
  <si>
    <t>VSON</t>
  </si>
  <si>
    <t>Functional Safety-Capable</t>
  </si>
  <si>
    <t>-40 to 125</t>
  </si>
  <si>
    <t>3 x 3</t>
  </si>
  <si>
    <t>ACTIVE</t>
  </si>
  <si>
    <t>Standard programmable watchdog timer with enable</t>
  </si>
  <si>
    <t>Reset &amp; watchdog ICs</t>
  </si>
  <si>
    <t>Catalog</t>
  </si>
  <si>
    <t>VSON</t>
  </si>
  <si>
    <t/>
  </si>
  <si>
    <t>-40 to 125</t>
  </si>
  <si>
    <t>3 x 3</t>
  </si>
  <si>
    <t>ACTIVE</t>
  </si>
  <si>
    <t>Automotive, standard programmable watchdog timer with enable</t>
  </si>
  <si>
    <t>Reset &amp; watchdog ICs</t>
  </si>
  <si>
    <t>Automotive</t>
  </si>
  <si>
    <t>VSON</t>
  </si>
  <si>
    <t>Functional Safety-Capable</t>
  </si>
  <si>
    <t>-40 to 125</t>
  </si>
  <si>
    <t>3 x 3</t>
  </si>
  <si>
    <t>ACTIVE</t>
  </si>
  <si>
    <t>1.75-V to 5.5-V input, 1-A ultra-low IQ step-down converter in 0.7-mm x 1.05-mm chip scale package</t>
  </si>
  <si>
    <t>AC/DC &amp; DC/DC converters (integrated FET)</t>
  </si>
  <si>
    <t>Catalog</t>
  </si>
  <si>
    <t>Buck</t>
  </si>
  <si>
    <t>DSBGA</t>
  </si>
  <si>
    <t/>
  </si>
  <si>
    <t>-40 to 125</t>
  </si>
  <si>
    <t>1.05 x 0.7</t>
  </si>
  <si>
    <t>ACTIVE</t>
  </si>
  <si>
    <t>User programmable 3 converter, 3 controller, 4 LDO, &amp; 3 load switch Power Management IC (PMIC)</t>
  </si>
  <si>
    <t>Multi-channel ICs (PMICs)</t>
  </si>
  <si>
    <t>Catalog</t>
  </si>
  <si>
    <t>VQFN</t>
  </si>
  <si>
    <t/>
  </si>
  <si>
    <t>-40 to 85</t>
  </si>
  <si>
    <t>8 x 8</t>
  </si>
  <si>
    <t>ACTIVE</t>
  </si>
  <si>
    <t>Automotive single-channel LED driver with 150mA output, short protection</t>
  </si>
  <si>
    <t>Automotive LED drivers</t>
  </si>
  <si>
    <t>Automotive</t>
  </si>
  <si>
    <t>Current Source</t>
  </si>
  <si>
    <t>SOT-23</t>
  </si>
  <si>
    <t>Functional Safety-Capable</t>
  </si>
  <si>
    <t>-40 to 125</t>
  </si>
  <si>
    <t>2.9 x 2.8</t>
  </si>
  <si>
    <t>ACTIVE</t>
  </si>
  <si>
    <t>6-channel high-Brightness LED Matrix Manager for automotive Headlight Systems</t>
  </si>
  <si>
    <t>Automotive LED drivers</t>
  </si>
  <si>
    <t>Automotive</t>
  </si>
  <si>
    <t>Floating Switch</t>
  </si>
  <si>
    <t>HTSSOP</t>
  </si>
  <si>
    <t/>
  </si>
  <si>
    <t>-40 to 125</t>
  </si>
  <si>
    <t>7.8 x 6.4</t>
  </si>
  <si>
    <t>ACTIVE</t>
  </si>
  <si>
    <t>1.75-V to 5.5-V input, 1-A ultra-low IQ step-down converter in 0.7-mm x 1.05-mm chip scale package</t>
  </si>
  <si>
    <t>AC/DC &amp; DC/DC converters (integrated FET)</t>
  </si>
  <si>
    <t>Catalog</t>
  </si>
  <si>
    <t>Buck</t>
  </si>
  <si>
    <t>DSBGA</t>
  </si>
  <si>
    <t/>
  </si>
  <si>
    <t>-40 to 125</t>
  </si>
  <si>
    <t>1.05 x 0.7</t>
  </si>
  <si>
    <t>ACTIVE</t>
  </si>
  <si>
    <t>7-A/5-A single channel gate driver with 5-V UVLO for nano second input pulses</t>
  </si>
  <si>
    <t>Low-side drivers</t>
  </si>
  <si>
    <t>Catalog</t>
  </si>
  <si>
    <t>DSBGA</t>
  </si>
  <si>
    <t/>
  </si>
  <si>
    <t>-40 to 125</t>
  </si>
  <si>
    <t>1 x 1.4000000000000001</t>
  </si>
  <si>
    <t>ACTIVE</t>
  </si>
  <si>
    <t>300-mA, low-VIN (0.75-V), ultra-low-IQ, low-dropout voltage regulator with enable</t>
  </si>
  <si>
    <t>Linear &amp; low-dropout (LDO) regulators</t>
  </si>
  <si>
    <t>Catalog</t>
  </si>
  <si>
    <t>DSBGA,WSON</t>
  </si>
  <si>
    <t/>
  </si>
  <si>
    <t>-40 to 125</t>
  </si>
  <si>
    <t>5,6</t>
  </si>
  <si>
    <t>0.8814,2.25</t>
  </si>
  <si>
    <t>1.13 x 0.78,1.5 x 1.5</t>
  </si>
  <si>
    <t>0.4,0.8</t>
  </si>
  <si>
    <t>0.35,0.5</t>
  </si>
  <si>
    <t>ACTIVE</t>
  </si>
  <si>
    <t>Four, single-phase, 4-A output DC-DC step-down converter</t>
  </si>
  <si>
    <t>Multi-channel ICs (PMICs)</t>
  </si>
  <si>
    <t>Catalog</t>
  </si>
  <si>
    <t>DSBGA</t>
  </si>
  <si>
    <t/>
  </si>
  <si>
    <t>-40 to 85</t>
  </si>
  <si>
    <t>2.2 x 3</t>
  </si>
  <si>
    <t>ACTIVE</t>
  </si>
  <si>
    <t>2-channel 10-Gbps 2:1/1:2 USB 3.1 differential mux/demux</t>
  </si>
  <si>
    <t>USB Type-C &amp; USB Power Delivery ICs</t>
  </si>
  <si>
    <t>Catalog</t>
  </si>
  <si>
    <t>UQFN</t>
  </si>
  <si>
    <t/>
  </si>
  <si>
    <t>-40 to 85</t>
  </si>
  <si>
    <t>2.6 x 1.8</t>
  </si>
  <si>
    <t>ACTIVE</t>
  </si>
  <si>
    <t>2.4-V to 5.5-V input, 3-A step-down converter with 1% accuracy in 1.5-mm x 2-mm VSON-HR package</t>
  </si>
  <si>
    <t>AC/DC &amp; DC/DC converters (integrated FET)</t>
  </si>
  <si>
    <t>Catalog</t>
  </si>
  <si>
    <t>Buck</t>
  </si>
  <si>
    <t>VSON-HR</t>
  </si>
  <si>
    <t/>
  </si>
  <si>
    <t>-40 to 125</t>
  </si>
  <si>
    <t>2 x 1.5</t>
  </si>
  <si>
    <t>ACTIVE</t>
  </si>
  <si>
    <t>Half-bridge PWM controller with integrated auxiliary bias supply and regulated pre-biased start-up</t>
  </si>
  <si>
    <t>AC/DC &amp; DC/DC controllers (external FET)</t>
  </si>
  <si>
    <t>Catalog</t>
  </si>
  <si>
    <t>Full bridge,Half bridge,Push pull</t>
  </si>
  <si>
    <t>WQFN</t>
  </si>
  <si>
    <t/>
  </si>
  <si>
    <t>-40 to 125</t>
  </si>
  <si>
    <t>5 x 5</t>
  </si>
  <si>
    <t>ACTIVE</t>
  </si>
  <si>
    <t>40-V, 200-mΩ, 1-ch automotive smart high-side switch with adjustable current limit</t>
  </si>
  <si>
    <t>High-side switches</t>
  </si>
  <si>
    <t>Automotive</t>
  </si>
  <si>
    <t>HVSSOP</t>
  </si>
  <si>
    <t>Functional Safety-Capable</t>
  </si>
  <si>
    <t>-40 to 125</t>
  </si>
  <si>
    <t>3 x 4.9</t>
  </si>
  <si>
    <t>ACTIVE</t>
  </si>
  <si>
    <t>2.4-V to 5.5-V input, 2-A step-down converter with 1% accuracy in 1.5-mm x 1.5-mm QFN</t>
  </si>
  <si>
    <t>AC/DC &amp; DC/DC converters (integrated FET)</t>
  </si>
  <si>
    <t>Catalog</t>
  </si>
  <si>
    <t>Buck</t>
  </si>
  <si>
    <t>VSON-HR</t>
  </si>
  <si>
    <t/>
  </si>
  <si>
    <t>-40 to 125</t>
  </si>
  <si>
    <t>1.5 x 1.5</t>
  </si>
  <si>
    <t>ACTIVE</t>
  </si>
  <si>
    <t>2.4-V-5.5-V input, 3-A step-down converter with 1% accuracy in 1.5-mm x 1.5-mm VSON-HR package</t>
  </si>
  <si>
    <t>AC/DC &amp; DC/DC converters (integrated FET)</t>
  </si>
  <si>
    <t>Catalog</t>
  </si>
  <si>
    <t>Buck</t>
  </si>
  <si>
    <t>VSON-HR</t>
  </si>
  <si>
    <t/>
  </si>
  <si>
    <t>-40 to 125</t>
  </si>
  <si>
    <t>1.5 x 1.5</t>
  </si>
  <si>
    <t>ACTIVE</t>
  </si>
  <si>
    <t>30-V, 7-ch automotive NMOS array low-side driver</t>
  </si>
  <si>
    <t>Low-side switches</t>
  </si>
  <si>
    <t>Automotive</t>
  </si>
  <si>
    <t>TSSOP</t>
  </si>
  <si>
    <t/>
  </si>
  <si>
    <t>-40 to 125</t>
  </si>
  <si>
    <t>5 x 6.4</t>
  </si>
  <si>
    <t>ACTIVE</t>
  </si>
  <si>
    <t>200mA, ultra-low-IQ, high-accuracy, low-dropout voltage regulator with enable</t>
  </si>
  <si>
    <t>Linear &amp; low-dropout (LDO) regulators</t>
  </si>
  <si>
    <t>Catalog</t>
  </si>
  <si>
    <t>DSBGA,SOT-23,X2SON</t>
  </si>
  <si>
    <t/>
  </si>
  <si>
    <t>-40 to 125</t>
  </si>
  <si>
    <t>3,4,5</t>
  </si>
  <si>
    <t>0.788544,1,6.9204,8.12</t>
  </si>
  <si>
    <t>0.888 x 0.888,1 x 1,2.9 x 2.8,2.92 x 2.37</t>
  </si>
  <si>
    <t>0.4,1.12,1.45</t>
  </si>
  <si>
    <t>0.35,0.65,0.95,0.96</t>
  </si>
  <si>
    <t>ACTIVE</t>
  </si>
  <si>
    <t>Automotive 1.5-V to 42-V VIN, low IQ boost controller with 6V, 6.5V, 9.5V, 11.5V output options</t>
  </si>
  <si>
    <t>AC/DC &amp; DC/DC controllers (external FET)</t>
  </si>
  <si>
    <t>Automotive</t>
  </si>
  <si>
    <t>Boost</t>
  </si>
  <si>
    <t>WQFN</t>
  </si>
  <si>
    <t>Functional Safety-Capable</t>
  </si>
  <si>
    <t>-40 to 150</t>
  </si>
  <si>
    <t>4 x 4</t>
  </si>
  <si>
    <t>ACTIVE</t>
  </si>
  <si>
    <t>500mA high-PSRR low-I&lt;sub&gt;Q&lt;/sub&gt; low-dropout voltage regulator with enable</t>
  </si>
  <si>
    <t>Linear &amp; low-dropout (LDO) regulators</t>
  </si>
  <si>
    <t>Catalog</t>
  </si>
  <si>
    <t>SOT-23,WSON,X2SON</t>
  </si>
  <si>
    <t/>
  </si>
  <si>
    <t>-40 to 125</t>
  </si>
  <si>
    <t>4,5,6</t>
  </si>
  <si>
    <t>1,4,8.12</t>
  </si>
  <si>
    <t>1 x 1,2 x 2,2.9 x 2.8</t>
  </si>
  <si>
    <t>0.4,0.8,1.45</t>
  </si>
  <si>
    <t>0.65,0.95</t>
  </si>
  <si>
    <t>ACTIVE</t>
  </si>
  <si>
    <t>High-Efficiency Flyback Controller with 1% Output regulation accuracy</t>
  </si>
  <si>
    <t>AC/DC &amp; DC/DC controllers (external FET)</t>
  </si>
  <si>
    <t>Catalog</t>
  </si>
  <si>
    <t>Flyback</t>
  </si>
  <si>
    <t>SOT-23</t>
  </si>
  <si>
    <t/>
  </si>
  <si>
    <t>-40 to 125</t>
  </si>
  <si>
    <t>2.9 x 2.8</t>
  </si>
  <si>
    <t>ACTIVE</t>
  </si>
  <si>
    <t>2.5V-5.5V input, 1A high efficiency step-down buck converter with forced PWM in small SOT563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</si>
  <si>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</si>
  <si>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</si>
  <si>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</si>
  <si>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</si>
  <si>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</si>
  <si>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</si>
  <si>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</si>
  <si>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</si>
  <si>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2A High Efficiency Step-down Buck Converter with forced PWM in SOT Package</t>
  </si>
  <si>
    <t>AC/DC &amp; DC/DC converters (integrated FET)</t>
  </si>
  <si>
    <t>Catalog</t>
  </si>
  <si>
    <t>Buck</t>
  </si>
  <si>
    <t>SOT-5X3</t>
  </si>
  <si>
    <t/>
  </si>
  <si>
    <t>-40 to 125</t>
  </si>
  <si>
    <t>1.6 x 1.6</t>
  </si>
  <si>
    <t>ACTIVE</t>
  </si>
  <si>
    <t>Automotive Single-channel LED driver with 300mA output, open and short detection</t>
  </si>
  <si>
    <t>Automotive LED drivers</t>
  </si>
  <si>
    <t>Automotive</t>
  </si>
  <si>
    <t>Current Source</t>
  </si>
  <si>
    <t>HVSSOP</t>
  </si>
  <si>
    <t>Functional Safety-Capable</t>
  </si>
  <si>
    <t>-40 to 125</t>
  </si>
  <si>
    <t>3 x 4.9</t>
  </si>
  <si>
    <t>ACTIVE</t>
  </si>
  <si>
    <t>4-V to 36-V, 600-mA synchronous step-down converter</t>
  </si>
  <si>
    <t>AC/DC &amp; DC/DC converters (integrated FET)</t>
  </si>
  <si>
    <t>Catalog</t>
  </si>
  <si>
    <t>Buck</t>
  </si>
  <si>
    <t>SOT-23</t>
  </si>
  <si>
    <t/>
  </si>
  <si>
    <t>-40 to 125</t>
  </si>
  <si>
    <t>2.9 x 2.8</t>
  </si>
  <si>
    <t>ACTIVE</t>
  </si>
  <si>
    <t>0.275-2.7A adj. ILIMIT,  2.5-5.5V, 70mΩ USB power switch, active-high, reverse blocking</t>
  </si>
  <si>
    <t>USB power switches &amp; charging port controllers</t>
  </si>
  <si>
    <t>Catalog</t>
  </si>
  <si>
    <t>SOT-23,WSON</t>
  </si>
  <si>
    <t/>
  </si>
  <si>
    <t>-40 to 125</t>
  </si>
  <si>
    <t>4,8.12</t>
  </si>
  <si>
    <t>2 x 2,2.9 x 2.8</t>
  </si>
  <si>
    <t>0.8,1.45</t>
  </si>
  <si>
    <t>0.65,0.95</t>
  </si>
  <si>
    <t>ACTIVE</t>
  </si>
  <si>
    <t>4V to 36V, 0.6A synchronous step-down SIMPLE SWITCHER® power converter</t>
  </si>
  <si>
    <t>AC/DC &amp; DC/DC converters (integrated FET)</t>
  </si>
  <si>
    <t>Catalog</t>
  </si>
  <si>
    <t>Buck</t>
  </si>
  <si>
    <t>SOT-23</t>
  </si>
  <si>
    <t/>
  </si>
  <si>
    <t>-40 to 125</t>
  </si>
  <si>
    <t>2.9 x 2.8</t>
  </si>
  <si>
    <t>ACTIVE</t>
  </si>
  <si>
    <t>1.75-V to 5.5-V input, 600-mA ultra-low IQ step-down converter in 0.7-mm x 1.05-mm WCSP</t>
  </si>
  <si>
    <t>AC/DC &amp; DC/DC converters (integrated FET)</t>
  </si>
  <si>
    <t>Catalog</t>
  </si>
  <si>
    <t>Buck</t>
  </si>
  <si>
    <t>DSBGA</t>
  </si>
  <si>
    <t/>
  </si>
  <si>
    <t>-40 to 125</t>
  </si>
  <si>
    <t>1.05 x 0.7</t>
  </si>
  <si>
    <t>ACTIVE</t>
  </si>
  <si>
    <t>2.4-V to 5.5-V input, 2-A step-down converter with 1% accuracy in 1.5-mm x 2-mm VSON-HR package</t>
  </si>
  <si>
    <t>AC/DC &amp; DC/DC converters (integrated FET)</t>
  </si>
  <si>
    <t>Catalog</t>
  </si>
  <si>
    <t>Buck</t>
  </si>
  <si>
    <t>VSON-HR</t>
  </si>
  <si>
    <t/>
  </si>
  <si>
    <t>-40 to 125</t>
  </si>
  <si>
    <t>2 x 1.5</t>
  </si>
  <si>
    <t>ACTIVE</t>
  </si>
  <si>
    <t>4.5-V to 28-V input, 1.2-V to 6-V output, 2.5-A power module</t>
  </si>
  <si>
    <t>Power modules (integrated inductor)</t>
  </si>
  <si>
    <t>Catalog</t>
  </si>
  <si>
    <t>Buck,Inverting Buck-Boost,Synchronous Buck</t>
  </si>
  <si>
    <t>QFN-FCMOD</t>
  </si>
  <si>
    <t/>
  </si>
  <si>
    <t>-40 to 85</t>
  </si>
  <si>
    <t>4.5 x 4</t>
  </si>
  <si>
    <t>ACTIVE</t>
  </si>
  <si>
    <t>36-V, 0.5-A Step-Down DC/DC Power Module in 3.8-mm × 3-mm Package</t>
  </si>
  <si>
    <t>Power modules (integrated inductor)</t>
  </si>
  <si>
    <t>Catalog</t>
  </si>
  <si>
    <t>Buck,Inverting Buck-Boost,Synchronous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</si>
  <si>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</si>
  <si>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</si>
  <si>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</si>
  <si>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</si>
  <si>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</si>
  <si>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</si>
  <si>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</si>
  <si>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</si>
  <si>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36-V, 1-A Step-Down DC-DC Power Module in 3.8-mm × 3-mm Package</t>
  </si>
  <si>
    <t>Power modules (integrated inductor)</t>
  </si>
  <si>
    <t>Catalog</t>
  </si>
  <si>
    <t>Buck,Inverting Buck-Boost,Synchronous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</si>
  <si>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</si>
  <si>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</si>
  <si>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</si>
  <si>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</si>
  <si>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</si>
  <si>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</si>
  <si>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</si>
  <si>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</si>
  <si>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3-17V 2.0A Step-Down Converter with 1% accuracy and PFM/Forced-PWM in 2x3QFN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</si>
  <si>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</si>
  <si>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</si>
  <si>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</si>
  <si>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</si>
  <si>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</si>
  <si>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</si>
  <si>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</si>
  <si>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</si>
  <si>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3-17V 2.0A Step-Down Converter with 1% accuracy and PFM/Forced-PWM in 2x3QFN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</si>
  <si>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</si>
  <si>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</si>
  <si>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</si>
  <si>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</si>
  <si>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</si>
  <si>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</si>
  <si>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</si>
  <si>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</si>
  <si>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USB Type-C™ 10-Gbps multi-protocol bi-directional linear redriver</t>
  </si>
  <si>
    <t>USB Type-C &amp; USB Power Delivery ICs</t>
  </si>
  <si>
    <t>Catalog</t>
  </si>
  <si>
    <t>WQFN</t>
  </si>
  <si>
    <t/>
  </si>
  <si>
    <t>-40 to 85</t>
  </si>
  <si>
    <t>6 x 4</t>
  </si>
  <si>
    <t>ACTIVE</t>
  </si>
  <si>
    <t>USB Type-C® DP alt mode 10Gbps linear redriver crosspoint switch for sink side</t>
  </si>
  <si>
    <t>USB Type-C &amp; USB Power Delivery ICs</t>
  </si>
  <si>
    <t>Catalog</t>
  </si>
  <si>
    <t>WQFN</t>
  </si>
  <si>
    <t/>
  </si>
  <si>
    <t>-40 to 85</t>
  </si>
  <si>
    <t>6 x 4</t>
  </si>
  <si>
    <t>ACTIVE</t>
  </si>
  <si>
    <t>3.0kVrms 4A/6A dual-channel isolated gate driver with disable pin, programmable deadtime &amp; 8V UVLO</t>
  </si>
  <si>
    <t>Isolated gate drivers</t>
  </si>
  <si>
    <t>Catalog</t>
  </si>
  <si>
    <t>SOIC</t>
  </si>
  <si>
    <t/>
  </si>
  <si>
    <t>-40 to 125</t>
  </si>
  <si>
    <t>9.9 x 6</t>
  </si>
  <si>
    <t>ACTIVE</t>
  </si>
  <si>
    <t>4.1-V, low-drift, low-power, small-footprint series voltage reference</t>
  </si>
  <si>
    <t>Series voltage references</t>
  </si>
  <si>
    <t>Catalog</t>
  </si>
  <si>
    <t>SOT-23</t>
  </si>
  <si>
    <t/>
  </si>
  <si>
    <t>-40 to 125</t>
  </si>
  <si>
    <t>2.9 x 2.8</t>
  </si>
  <si>
    <t>ACTIVE</t>
  </si>
  <si>
    <t>5-V, low-drift, low-power, small-footprint series voltage reference</t>
  </si>
  <si>
    <t>Series voltage references</t>
  </si>
  <si>
    <t>Catalog</t>
  </si>
  <si>
    <t>SOT-23</t>
  </si>
  <si>
    <t/>
  </si>
  <si>
    <t>-40 to 125</t>
  </si>
  <si>
    <t>2.9 x 2.8</t>
  </si>
  <si>
    <t>ACTIVE</t>
  </si>
  <si>
    <t>4.5V to 17V Input, 0.6V-10V Output, 6A Power Module in Compact 7.5x7.5mm Footprint</t>
  </si>
  <si>
    <t>Power modules (integrated inductor)</t>
  </si>
  <si>
    <t>Catalog</t>
  </si>
  <si>
    <t>Buck,Synchronous Buck</t>
  </si>
  <si>
    <t>QFM</t>
  </si>
  <si>
    <t/>
  </si>
  <si>
    <t>-40 to 105</t>
  </si>
  <si>
    <t>7.5 x 7.5</t>
  </si>
  <si>
    <t>ACTIVE</t>
  </si>
  <si>
    <t>25-V, N channel synchronous buck NexFET™ power MOSFET, SON 5 mm x 6 mm power block, 40 A</t>
  </si>
  <si>
    <t>MOSFETs</t>
  </si>
  <si>
    <t>Catalog</t>
  </si>
  <si>
    <t>VSON-CLIP</t>
  </si>
  <si>
    <t/>
  </si>
  <si>
    <t>-55 to 150</t>
  </si>
  <si>
    <t>6 x 5</t>
  </si>
  <si>
    <t>ACTIVE</t>
  </si>
  <si>
    <t>SIMPLE SWITCHER® 4-V to 40-V, 1-A step-down converter With high efficiency eco-mode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</si>
  <si>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</si>
  <si>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</si>
  <si>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</si>
  <si>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</si>
  <si>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</si>
  <si>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</si>
  <si>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</si>
  <si>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</si>
  <si>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Automotive 1-channel, 18-V, 2-A, 79-mΩ load switch with adj. rise time and adj. output discharge</t>
  </si>
  <si>
    <t>Load switches</t>
  </si>
  <si>
    <t>Automotive</t>
  </si>
  <si>
    <t>SOT-23</t>
  </si>
  <si>
    <t/>
  </si>
  <si>
    <t>-40 to 105</t>
  </si>
  <si>
    <t>2.9 x 2.8</t>
  </si>
  <si>
    <t>ACTIVE</t>
  </si>
  <si>
    <t>6-A, 5.5-V Input step-down power module with PG, MODE, and VSEL options</t>
  </si>
  <si>
    <t>Power modules (integrated inductor)</t>
  </si>
  <si>
    <t>Catalog</t>
  </si>
  <si>
    <t>Buck,Step-Down Converter,Synchronous Buck</t>
  </si>
  <si>
    <t>QFM</t>
  </si>
  <si>
    <t/>
  </si>
  <si>
    <t>-40 to 125</t>
  </si>
  <si>
    <t>7.9 x 3.6</t>
  </si>
  <si>
    <t>ACTIVE</t>
  </si>
  <si>
    <t>25-V, N channel synchronous buck NexFET™ power MOSFET, SON 3 mm x 3 mm power block, 20 A</t>
  </si>
  <si>
    <t>MOSFETs</t>
  </si>
  <si>
    <t>Catalog</t>
  </si>
  <si>
    <t>VSON-CLIP</t>
  </si>
  <si>
    <t/>
  </si>
  <si>
    <t>-55 to 150</t>
  </si>
  <si>
    <t>3.3 x 3.3</t>
  </si>
  <si>
    <t>ACTIVE</t>
  </si>
  <si>
    <t>Automotive 10-A, 4-phase, single output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</si>
  <si>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</si>
  <si>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</si>
  <si>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</si>
  <si>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</si>
  <si>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</si>
  <si>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</si>
  <si>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</si>
  <si>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4-A/8-A single-channel gate driver with 5-V UVLO, split outputs, 5-V IN handling</t>
  </si>
  <si>
    <t>Low-side drivers</t>
  </si>
  <si>
    <t>Catalog</t>
  </si>
  <si>
    <t>SOT-23</t>
  </si>
  <si>
    <t/>
  </si>
  <si>
    <t>-40 to 140</t>
  </si>
  <si>
    <t>2.9 x 2.8</t>
  </si>
  <si>
    <t>ACTIVE</t>
  </si>
  <si>
    <t>SIMPLE SWITCHER®, 36-V, 1.5-A Synchronous Step-Down Converter</t>
  </si>
  <si>
    <t>AC/DC &amp; DC/DC converters (integrated FET)</t>
  </si>
  <si>
    <t>Catalog</t>
  </si>
  <si>
    <t>Buck</t>
  </si>
  <si>
    <t>WSON</t>
  </si>
  <si>
    <t/>
  </si>
  <si>
    <t>-40 to 125</t>
  </si>
  <si>
    <t>3 x 3</t>
  </si>
  <si>
    <t>ACTIVE</t>
  </si>
  <si>
    <t>SIMPLE SWITCHER® 36-V, 1.5-A Synchronous Step-Down Converter</t>
  </si>
  <si>
    <t>AC/DC &amp; DC/DC converters (integrated FET)</t>
  </si>
  <si>
    <t>Automotive</t>
  </si>
  <si>
    <t>Buck</t>
  </si>
  <si>
    <t>WSON</t>
  </si>
  <si>
    <t/>
  </si>
  <si>
    <t>-40 to 125</t>
  </si>
  <si>
    <t>3 x 3</t>
  </si>
  <si>
    <t>ACTIVE</t>
  </si>
  <si>
    <t>2.25-MHz 300-mA Step-Down Converter in DDC/TSOT23 Package</t>
  </si>
  <si>
    <t>AC/DC &amp; DC/DC converters (integrated FET)</t>
  </si>
  <si>
    <t>Automotive</t>
  </si>
  <si>
    <t>Buck</t>
  </si>
  <si>
    <t>SOT-23-THN</t>
  </si>
  <si>
    <t/>
  </si>
  <si>
    <t>-40 to 125</t>
  </si>
  <si>
    <t>2.9 x 2.8</t>
  </si>
  <si>
    <t>ACTIVE</t>
  </si>
  <si>
    <t>2.25-MHz 300-mA Step-Down Converter in TSOT23 Package</t>
  </si>
  <si>
    <t>AC/DC &amp; DC/DC converters (integrated FET)</t>
  </si>
  <si>
    <t>Automotive</t>
  </si>
  <si>
    <t>Buck</t>
  </si>
  <si>
    <t>SOT-23-THN</t>
  </si>
  <si>
    <t/>
  </si>
  <si>
    <t>-40 to 125</t>
  </si>
  <si>
    <t>2.9 x 2.8</t>
  </si>
  <si>
    <t>ACTIVE</t>
  </si>
  <si>
    <t>4V to 36V, 2A Step-Down DC/DC Power Module in Compact 7x9x4mm QFN Package</t>
  </si>
  <si>
    <t>Power modules (integrated inductor)</t>
  </si>
  <si>
    <t>Catalog</t>
  </si>
  <si>
    <t>Buck,Inverting Buck-Boost,Synchronous Buck</t>
  </si>
  <si>
    <t>B3QFN</t>
  </si>
  <si>
    <t/>
  </si>
  <si>
    <t>-40 to 105</t>
  </si>
  <si>
    <t>9 x 7</t>
  </si>
  <si>
    <t>ACTIVE</t>
  </si>
  <si>
    <t>4V to 36V, 3A Step-Down DC/DC Power Module in Compact 7x9x4mm QFN Package</t>
  </si>
  <si>
    <t>Power modules (integrated inductor)</t>
  </si>
  <si>
    <t>Catalog</t>
  </si>
  <si>
    <t>Buck,Inverting Buck-Boost,Synchronous Buck</t>
  </si>
  <si>
    <t>B3QFN</t>
  </si>
  <si>
    <t/>
  </si>
  <si>
    <t>-40 to 105</t>
  </si>
  <si>
    <t>9 x 7</t>
  </si>
  <si>
    <t>ACTIVE</t>
  </si>
  <si>
    <t>1.75-V to 5.5-V input, 1-A ultra-low IQ step-down converter in 0.7-mm x 1.05-mm chip scale package</t>
  </si>
  <si>
    <t>AC/DC &amp; DC/DC converters (integrated FET)</t>
  </si>
  <si>
    <t>Catalog</t>
  </si>
  <si>
    <t>Buck</t>
  </si>
  <si>
    <t>DSBGA</t>
  </si>
  <si>
    <t/>
  </si>
  <si>
    <t>-40 to 125</t>
  </si>
  <si>
    <t>1.05 x 0.7</t>
  </si>
  <si>
    <t>ACTIVE</t>
  </si>
  <si>
    <t>Automotive 300-mA, off-battery (40-V), ultra-low-IQ LDO with enable in AEC-Q100 Grade-0 and Grade-1</t>
  </si>
  <si>
    <t>Linear &amp; low-dropout (LDO) regulators</t>
  </si>
  <si>
    <t>Automotive</t>
  </si>
  <si>
    <t>HTSSOP,HVSSOP,TO-252,WSON</t>
  </si>
  <si>
    <t>Functional Safety-Capable</t>
  </si>
  <si>
    <t>-40 to 165</t>
  </si>
  <si>
    <t>5,6,8,14</t>
  </si>
  <si>
    <t>4,14.7,32,66.726</t>
  </si>
  <si>
    <t>2 x 2,3 x 4.9,5 x 6.4,6.6 x 10.11</t>
  </si>
  <si>
    <t>0.8,1.1,1.2,2.52</t>
  </si>
  <si>
    <t>0.65,1.14</t>
  </si>
  <si>
    <t>ACTIVE</t>
  </si>
  <si>
    <t>Automotive 2-A, low-VIN (1.1-V), low-noise, high-accuracy, ultra-low-dropout (LDO) voltage regulator</t>
  </si>
  <si>
    <t>Linear &amp; low-dropout (LDO) regulators</t>
  </si>
  <si>
    <t>Automotive</t>
  </si>
  <si>
    <t>VQFN,VQFNP</t>
  </si>
  <si>
    <t>Functional Safety-Capable</t>
  </si>
  <si>
    <t>-40 to 150</t>
  </si>
  <si>
    <t>12.25,16</t>
  </si>
  <si>
    <t>3.5 x 3.5,4 x 4</t>
  </si>
  <si>
    <t>0.9,1</t>
  </si>
  <si>
    <t>ACTIVE</t>
  </si>
  <si>
    <t>Automotive, 3-A, low-VIN (1.1 V) low-noise high-accuracy ultra-low-dropout (LDO) voltage regulator</t>
  </si>
  <si>
    <t>Linear &amp; low-dropout (LDO) regulators</t>
  </si>
  <si>
    <t>Automotive</t>
  </si>
  <si>
    <t>VQFN,VQFNP</t>
  </si>
  <si>
    <t>Functional Safety-Capable</t>
  </si>
  <si>
    <t>-40 to 150</t>
  </si>
  <si>
    <t>12.25,16</t>
  </si>
  <si>
    <t>3.5 x 3.5,4 x 4</t>
  </si>
  <si>
    <t>0.9,1</t>
  </si>
  <si>
    <t>ACTIVE</t>
  </si>
  <si>
    <t>Automotive 4-A, low-VIN (1.1-V), low-noise, high-accuracy, ultra-low-dropout (LDO) voltage regulator</t>
  </si>
  <si>
    <t>Linear &amp; low-dropout (LDO) regulators</t>
  </si>
  <si>
    <t>Automotive</t>
  </si>
  <si>
    <t>VQFN</t>
  </si>
  <si>
    <t>Functional Safety-Capable</t>
  </si>
  <si>
    <t>-40 to 150</t>
  </si>
  <si>
    <t>3.5 x 3.5</t>
  </si>
  <si>
    <t>ACTIVE</t>
  </si>
  <si>
    <t>SIMPLE SWITCHER® 3.8V to 36V, 2A Synchronous Buck Converter With Ultra-Low EMI</t>
  </si>
  <si>
    <t>AC/DC &amp; DC/DC converters (integrated FET)</t>
  </si>
  <si>
    <t>Catalog</t>
  </si>
  <si>
    <t>Buck</t>
  </si>
  <si>
    <t>HSOIC,VQFN-HR</t>
  </si>
  <si>
    <t>Functional Safety-Capable</t>
  </si>
  <si>
    <t>-40 to 125</t>
  </si>
  <si>
    <t>8,12</t>
  </si>
  <si>
    <t>6,29.4</t>
  </si>
  <si>
    <t>3 x 2,4.9 x 6</t>
  </si>
  <si>
    <t>0.9,1.7</t>
  </si>
  <si>
    <t>0.5,1.27</t>
  </si>
  <si>
    <t>ACTIVE</t>
  </si>
  <si>
    <t>SIMPLE SWITCHER® 3.8V to 36V, 3A Synchronous Buck Converter With Ultra-Low EMI</t>
  </si>
  <si>
    <t>AC/DC &amp; DC/DC converters (integrated FET)</t>
  </si>
  <si>
    <t>Catalog</t>
  </si>
  <si>
    <t>Buck</t>
  </si>
  <si>
    <t>HSOIC,VQFN-HR</t>
  </si>
  <si>
    <t>Functional Safety-Capable</t>
  </si>
  <si>
    <t>-40 to 125</t>
  </si>
  <si>
    <t>8,12</t>
  </si>
  <si>
    <t>6,29.4</t>
  </si>
  <si>
    <t>3 x 2,4.9 x 6</t>
  </si>
  <si>
    <t>0.9,1.7</t>
  </si>
  <si>
    <t>0.5,1.27</t>
  </si>
  <si>
    <t>ACTIVE</t>
  </si>
  <si>
    <t>Automotive 3.0kVrms, 4A/6A 2-channel isolated gate driver w/ disable, programmable deadtime, 8V UVLO</t>
  </si>
  <si>
    <t>Isolated gate drivers</t>
  </si>
  <si>
    <t>Automotive</t>
  </si>
  <si>
    <t>SOIC</t>
  </si>
  <si>
    <t>Functional Safety-Capable</t>
  </si>
  <si>
    <t>-40 to 125</t>
  </si>
  <si>
    <t>9.9 x 6</t>
  </si>
  <si>
    <t>ACTIVE</t>
  </si>
  <si>
    <t>1-MHz High Frequency Active Clamp Flyback Controller</t>
  </si>
  <si>
    <t>AC/DC &amp; DC/DC controllers (external FET)</t>
  </si>
  <si>
    <t>Catalog</t>
  </si>
  <si>
    <t>Flyback</t>
  </si>
  <si>
    <t>SOIC,WQFN</t>
  </si>
  <si>
    <t/>
  </si>
  <si>
    <t>-40 to 125</t>
  </si>
  <si>
    <t>9,59.4</t>
  </si>
  <si>
    <t>3 x 3,9.9 x 6</t>
  </si>
  <si>
    <t>0.8,1.75</t>
  </si>
  <si>
    <t>0.5,1.27</t>
  </si>
  <si>
    <t>ACTIVE</t>
  </si>
  <si>
    <t>2.4-V to 5.5-V input, 1-A step-down converter with 1% accuracy in 1.5-mm x 2-mm VSON-HR package</t>
  </si>
  <si>
    <t>AC/DC &amp; DC/DC converters (integrated FET)</t>
  </si>
  <si>
    <t>Catalog</t>
  </si>
  <si>
    <t>Buck</t>
  </si>
  <si>
    <t>VSON-HR</t>
  </si>
  <si>
    <t/>
  </si>
  <si>
    <t>-40 to 125</t>
  </si>
  <si>
    <t>2 x 1.5</t>
  </si>
  <si>
    <t>ACTIVE</t>
  </si>
  <si>
    <t>4.5V to 17V Input, 0.6V-10V Output, 4A Power Module in Compact 7.5x7.5mm Footprint</t>
  </si>
  <si>
    <t>Power modules (integrated inductor)</t>
  </si>
  <si>
    <t>Catalog</t>
  </si>
  <si>
    <t>Buck,Synchronous Buck</t>
  </si>
  <si>
    <t>QFM</t>
  </si>
  <si>
    <t/>
  </si>
  <si>
    <t>-40 to 105</t>
  </si>
  <si>
    <t>7.5 x 7.5</t>
  </si>
  <si>
    <t>ACTIVE</t>
  </si>
  <si>
    <t>High-frequency multi-mode synchronous rectifier controller</t>
  </si>
  <si>
    <t>AC/DC &amp; DC/DC controllers (external FET)</t>
  </si>
  <si>
    <t>Catalog</t>
  </si>
  <si>
    <t>Active-clamp flyback,Active-clamp forward,CCM,DCM,Forward,Full bridge,Half bridge,LLC,Quasi resonant</t>
  </si>
  <si>
    <t>SOT-23</t>
  </si>
  <si>
    <t/>
  </si>
  <si>
    <t>-40 to 125</t>
  </si>
  <si>
    <t>2.9 x 2.8</t>
  </si>
  <si>
    <t>ACTIVE</t>
  </si>
  <si>
    <t>4.5V to 17V Input, 0.6V-10V Output, 8A Power Module in Compact 7.5x7.5mm Footprint</t>
  </si>
  <si>
    <t>Power modules (integrated inductor)</t>
  </si>
  <si>
    <t>Catalog</t>
  </si>
  <si>
    <t>Buck,Synchronous Buck</t>
  </si>
  <si>
    <t>QFM</t>
  </si>
  <si>
    <t/>
  </si>
  <si>
    <t>-40 to 105</t>
  </si>
  <si>
    <t>7.5 x 7.5</t>
  </si>
  <si>
    <t>ACTIVE</t>
  </si>
  <si>
    <t>5.5-V, 2-A, 80-mΩ , 10-nA leakage load switch adj. rise time and adj output discharge</t>
  </si>
  <si>
    <t>Load switches</t>
  </si>
  <si>
    <t>Catalog</t>
  </si>
  <si>
    <t>SOT-23</t>
  </si>
  <si>
    <t/>
  </si>
  <si>
    <t>-45 to 125</t>
  </si>
  <si>
    <t>2.9 x 2.8</t>
  </si>
  <si>
    <t>ACTIVE</t>
  </si>
  <si>
    <t>4-V to 8-V, 3-A, 2-A Triple Synchronous Step-Down Converter</t>
  </si>
  <si>
    <t>AC/DC &amp; DC/DC converters (integrated FET)</t>
  </si>
  <si>
    <t>Automotive</t>
  </si>
  <si>
    <t>Buck</t>
  </si>
  <si>
    <t>VQFN</t>
  </si>
  <si>
    <t/>
  </si>
  <si>
    <t>-40 to 125</t>
  </si>
  <si>
    <t>5 x 5</t>
  </si>
  <si>
    <t>ACTIVE</t>
  </si>
  <si>
    <t>4.5-V to 15-V Input, 0.5-V to 2.0-V output, 35-A power module</t>
  </si>
  <si>
    <t>Power modules (integrated inductor)</t>
  </si>
  <si>
    <t>Catalog</t>
  </si>
  <si>
    <t>Buck,Synchronous Buck</t>
  </si>
  <si>
    <t>QFM</t>
  </si>
  <si>
    <t/>
  </si>
  <si>
    <t>-40 to 105</t>
  </si>
  <si>
    <t>16 x 15</t>
  </si>
  <si>
    <t>ACTIVE</t>
  </si>
  <si>
    <t>4.5V to 15V Input, 0.35V to 2.0V Output, 35A PMBus Power Module</t>
  </si>
  <si>
    <t>Power modules (integrated inductor)</t>
  </si>
  <si>
    <t>Catalog</t>
  </si>
  <si>
    <t>Buck,Synchronous Buck</t>
  </si>
  <si>
    <t>QFM</t>
  </si>
  <si>
    <t/>
  </si>
  <si>
    <t>-40 to 105</t>
  </si>
  <si>
    <t>16 x 15</t>
  </si>
  <si>
    <t>ACTIVE</t>
  </si>
  <si>
    <t>Automotive USB host charger with short-to-VBATT protection</t>
  </si>
  <si>
    <t>USB power switches &amp; charging port controllers</t>
  </si>
  <si>
    <t>Automotive</t>
  </si>
  <si>
    <t>WQFN</t>
  </si>
  <si>
    <t/>
  </si>
  <si>
    <t>-40 to 85</t>
  </si>
  <si>
    <t>4 x 3</t>
  </si>
  <si>
    <t>ACTIVE</t>
  </si>
  <si>
    <t>6-uA Quiescent Current, 1.8-A Switch Current Boost Converter</t>
  </si>
  <si>
    <t>AC/DC &amp; DC/DC converters (integrated FET)</t>
  </si>
  <si>
    <t>Catalog</t>
  </si>
  <si>
    <t>Boost</t>
  </si>
  <si>
    <t>SOT-23</t>
  </si>
  <si>
    <t/>
  </si>
  <si>
    <t>-40 to 125</t>
  </si>
  <si>
    <t>3,5</t>
  </si>
  <si>
    <t>6.9204,8.12</t>
  </si>
  <si>
    <t>2.9 x 2.8,2.92 x 2.37</t>
  </si>
  <si>
    <t>1.12,1.45</t>
  </si>
  <si>
    <t>0.95,0.96</t>
  </si>
  <si>
    <t>ACTIVE</t>
  </si>
  <si>
    <t>6-pin high performance CRM/DCM PFC controller</t>
  </si>
  <si>
    <t>AC/DC &amp; DC/DC controllers (external FET)</t>
  </si>
  <si>
    <t>Catalog</t>
  </si>
  <si>
    <t>Boost,PFC controller</t>
  </si>
  <si>
    <t>SOT-23</t>
  </si>
  <si>
    <t/>
  </si>
  <si>
    <t>-40 to 125</t>
  </si>
  <si>
    <t>2.9 x 2.8</t>
  </si>
  <si>
    <t>ACTIVE</t>
  </si>
  <si>
    <t>Automotive 3.6V to 36V, 3.2A buck converter with auto-sourced 280mA LDO regulator</t>
  </si>
  <si>
    <t>Multi-channel ICs (PMICs)</t>
  </si>
  <si>
    <t>Automotive</t>
  </si>
  <si>
    <t>HTSSOP</t>
  </si>
  <si>
    <t/>
  </si>
  <si>
    <t>-40 to 125</t>
  </si>
  <si>
    <t>5 x 6.4</t>
  </si>
  <si>
    <t>ACTIVE</t>
  </si>
  <si>
    <t>2.3MHz, 3A, synchronous boost converter with pass-through mode and I2C control interface</t>
  </si>
  <si>
    <t>AC/DC &amp; DC/DC converters (integrated FET)</t>
  </si>
  <si>
    <t>Catalog</t>
  </si>
  <si>
    <t>Boost</t>
  </si>
  <si>
    <t>DSBGA</t>
  </si>
  <si>
    <t/>
  </si>
  <si>
    <t>-40 to 125</t>
  </si>
  <si>
    <t>1.8 x 1.8</t>
  </si>
  <si>
    <t>ACTIVE</t>
  </si>
  <si>
    <t>2A Automotive Step-Down Converter in 3x3 QFN With Wettable Flanks</t>
  </si>
  <si>
    <t>AC/DC &amp; DC/DC converters (integrated FET)</t>
  </si>
  <si>
    <t>Automotive</t>
  </si>
  <si>
    <t>Buck</t>
  </si>
  <si>
    <t>VQFN</t>
  </si>
  <si>
    <t/>
  </si>
  <si>
    <t>-40 to 125</t>
  </si>
  <si>
    <t>3 x 3</t>
  </si>
  <si>
    <t>ACTIVE</t>
  </si>
  <si>
    <t>High power Flyback controller with PSR, peak power mode, Adj CC limit and Frequency Dither</t>
  </si>
  <si>
    <t>AC/DC &amp; DC/DC controllers (external FET)</t>
  </si>
  <si>
    <t>Catalog</t>
  </si>
  <si>
    <t>Flyback</t>
  </si>
  <si>
    <t>SOIC</t>
  </si>
  <si>
    <t/>
  </si>
  <si>
    <t>-40 to 125</t>
  </si>
  <si>
    <t>4.9 x 6</t>
  </si>
  <si>
    <t>ACTIVE</t>
  </si>
  <si>
    <t>-10-V to -80-V hot swap controller with dual current limit, single Oring and dual gate drive</t>
  </si>
  <si>
    <t>Hot-swap controllers</t>
  </si>
  <si>
    <t>Catalog</t>
  </si>
  <si>
    <t>TSSOP</t>
  </si>
  <si>
    <t/>
  </si>
  <si>
    <t>-40 to 125</t>
  </si>
  <si>
    <t>5 x 6.4</t>
  </si>
  <si>
    <t>ACTIVE</t>
  </si>
  <si>
    <t>2-Input, 18-Channel Configurable Level Shifter with OCP for GOA/GIP Displays</t>
  </si>
  <si>
    <t>LCD &amp; OLED display power &amp; drivers</t>
  </si>
  <si>
    <t>Catalog</t>
  </si>
  <si>
    <t>WQFN</t>
  </si>
  <si>
    <t/>
  </si>
  <si>
    <t>-40 to 85</t>
  </si>
  <si>
    <t>4 x 4</t>
  </si>
  <si>
    <t>ACTIVE</t>
  </si>
  <si>
    <t>-10-V to -80-V hot swap controller with dual current limit and dual gate drive</t>
  </si>
  <si>
    <t>Hot-swap controllers</t>
  </si>
  <si>
    <t>Catalog</t>
  </si>
  <si>
    <t>TSSOP</t>
  </si>
  <si>
    <t/>
  </si>
  <si>
    <t>-40 to 125</t>
  </si>
  <si>
    <t>5 x 6.4</t>
  </si>
  <si>
    <t>ACTIVE</t>
  </si>
  <si>
    <t>Automotive dual 2-A buck converters &amp; dual linear regulators for J6 entry processors</t>
  </si>
  <si>
    <t>Multi-channel ICs (PMICs)</t>
  </si>
  <si>
    <t>Automotive</t>
  </si>
  <si>
    <t>VQFN</t>
  </si>
  <si>
    <t/>
  </si>
  <si>
    <t>-40 to 125</t>
  </si>
  <si>
    <t>5 x 5</t>
  </si>
  <si>
    <t>ACTIVE</t>
  </si>
  <si>
    <t>Industrial dual 2-A buck converters &amp; dual linear regulators for AM570x</t>
  </si>
  <si>
    <t>Multi-channel ICs (PMICs)</t>
  </si>
  <si>
    <t>Automotive,Catalog</t>
  </si>
  <si>
    <t>VQFN</t>
  </si>
  <si>
    <t/>
  </si>
  <si>
    <t>-40 to 125</t>
  </si>
  <si>
    <t>5 x 5</t>
  </si>
  <si>
    <t>ACTIVE</t>
  </si>
  <si>
    <t>Industrial dual 3-A buck converters &amp; dual linear regulators for AM570x</t>
  </si>
  <si>
    <t>Multi-channel ICs (PMICs)</t>
  </si>
  <si>
    <t>Catalog</t>
  </si>
  <si>
    <t>VQFN</t>
  </si>
  <si>
    <t/>
  </si>
  <si>
    <t>-40 to 125</t>
  </si>
  <si>
    <t>5 x 5</t>
  </si>
  <si>
    <t>ACTIVE</t>
  </si>
  <si>
    <t>Automotive dual 3-A buck converters &amp; dual linear regulators for J6 entry processors</t>
  </si>
  <si>
    <t>Multi-channel ICs (PMICs)</t>
  </si>
  <si>
    <t>Automotive</t>
  </si>
  <si>
    <t>VQFN</t>
  </si>
  <si>
    <t/>
  </si>
  <si>
    <t>-40 to 125</t>
  </si>
  <si>
    <t>5 x 5</t>
  </si>
  <si>
    <t>ACTIVE</t>
  </si>
  <si>
    <t>3-V, low-drift, low-power, small-footprint series voltage reference</t>
  </si>
  <si>
    <t>Series voltage references</t>
  </si>
  <si>
    <t>Catalog</t>
  </si>
  <si>
    <t>SOT-23</t>
  </si>
  <si>
    <t/>
  </si>
  <si>
    <t>-40 to 125</t>
  </si>
  <si>
    <t>2.9 x 2.8</t>
  </si>
  <si>
    <t>ACTIVE</t>
  </si>
  <si>
    <t>Automotive qualified 3.5-V to 36-V, 5-A synchronous step-down voltage converter</t>
  </si>
  <si>
    <t>AC/DC &amp; DC/DC converters (integrated FET)</t>
  </si>
  <si>
    <t>Automotive</t>
  </si>
  <si>
    <t>Buck</t>
  </si>
  <si>
    <t>WQFN</t>
  </si>
  <si>
    <t/>
  </si>
  <si>
    <t>-40 to 125</t>
  </si>
  <si>
    <t>6 x 4</t>
  </si>
  <si>
    <t>ACTIVE</t>
  </si>
  <si>
    <t>Automotive qualified 3.5-V to 36-V, 6-A synchronous step-down voltage converter</t>
  </si>
  <si>
    <t>AC/DC &amp; DC/DC converters (integrated FET)</t>
  </si>
  <si>
    <t>Automotive</t>
  </si>
  <si>
    <t>Buck</t>
  </si>
  <si>
    <t>WQFN</t>
  </si>
  <si>
    <t/>
  </si>
  <si>
    <t>-40 to 125</t>
  </si>
  <si>
    <t>6 x 4</t>
  </si>
  <si>
    <t>ACTIVE</t>
  </si>
  <si>
    <t>3.5V to 60V 3.5A/2.5A Synchronous Voltage Regulator</t>
  </si>
  <si>
    <t>AC/DC &amp; DC/DC converters (integrated FET)</t>
  </si>
  <si>
    <t>Automotive</t>
  </si>
  <si>
    <t>Buck</t>
  </si>
  <si>
    <t>WQFN</t>
  </si>
  <si>
    <t/>
  </si>
  <si>
    <t>-40 to 125</t>
  </si>
  <si>
    <t>6 x 4</t>
  </si>
  <si>
    <t>ACTIVE</t>
  </si>
  <si>
    <t>3.5V to 60V 3.5A/2.5A Synchronous Voltage Regulator</t>
  </si>
  <si>
    <t>AC/DC &amp; DC/DC converters (integrated FET)</t>
  </si>
  <si>
    <t>Automotive</t>
  </si>
  <si>
    <t>Buck</t>
  </si>
  <si>
    <t>WQFN</t>
  </si>
  <si>
    <t/>
  </si>
  <si>
    <t>-40 to 125</t>
  </si>
  <si>
    <t>6 x 4</t>
  </si>
  <si>
    <t>ACTIVE</t>
  </si>
  <si>
    <t>3.3-V, low-drift, low-power, small-footprint series voltage reference</t>
  </si>
  <si>
    <t>Series voltage references</t>
  </si>
  <si>
    <t>Catalog</t>
  </si>
  <si>
    <t>SOT-23</t>
  </si>
  <si>
    <t/>
  </si>
  <si>
    <t>-40 to 125</t>
  </si>
  <si>
    <t>2.9 x 2.8</t>
  </si>
  <si>
    <t>ACTIVE</t>
  </si>
  <si>
    <t>3-V to 20-V, 25-A, synchronous buck controller for cost-optimized applications</t>
  </si>
  <si>
    <t>AC/DC &amp; DC/DC controllers (external FET)</t>
  </si>
  <si>
    <t>Catalog</t>
  </si>
  <si>
    <t>Buck</t>
  </si>
  <si>
    <t>VSON</t>
  </si>
  <si>
    <t/>
  </si>
  <si>
    <t>-20 to 85</t>
  </si>
  <si>
    <t>3 x 3</t>
  </si>
  <si>
    <t>ACTIVE</t>
  </si>
  <si>
    <t>Multiphase 4MHz, 4A/1.0V + 2.5A/1.8V + 1.5A/3.3V + 1.5A/1.2V buck converters for AWR and IWR MMICs</t>
  </si>
  <si>
    <t>Multi-channel ICs (PMICs)</t>
  </si>
  <si>
    <t>Automotive</t>
  </si>
  <si>
    <t>VQFN-HR</t>
  </si>
  <si>
    <t/>
  </si>
  <si>
    <t>-40 to 125</t>
  </si>
  <si>
    <t>4.5 x 4</t>
  </si>
  <si>
    <t>ACTIVE</t>
  </si>
  <si>
    <t>3-V to 26-V, 20-A, synchronous D-CAP buck controller with eco-mode</t>
  </si>
  <si>
    <t>AC/DC &amp; DC/DC controllers (external FET)</t>
  </si>
  <si>
    <t>Catalog</t>
  </si>
  <si>
    <t>Buck</t>
  </si>
  <si>
    <t>VQFN</t>
  </si>
  <si>
    <t/>
  </si>
  <si>
    <t>-20 to 85</t>
  </si>
  <si>
    <t>3 x 3</t>
  </si>
  <si>
    <t>ACTIVE</t>
  </si>
  <si>
    <t>2.4-V to 5.5-V input, tiny 6-pin 3-A step-down converter in 1.2-mm x 0.8-mm WCSP</t>
  </si>
  <si>
    <t>AC/DC &amp; DC/DC converters (integrated FET)</t>
  </si>
  <si>
    <t>Catalog</t>
  </si>
  <si>
    <t>Buck</t>
  </si>
  <si>
    <t>DSBGA,POWERWCSP</t>
  </si>
  <si>
    <t/>
  </si>
  <si>
    <t>-40 to 125</t>
  </si>
  <si>
    <t>1.4000000000000001,See data sheet</t>
  </si>
  <si>
    <t>1 x 1.4000000000000001,See data sheet</t>
  </si>
  <si>
    <t>0.5,—</t>
  </si>
  <si>
    <t>0.4,—</t>
  </si>
  <si>
    <t>ACTIVE</t>
  </si>
  <si>
    <t>Automotive Single-channel LED driver with 450mA output, open, short and single LED short detection.</t>
  </si>
  <si>
    <t>Automotive LED drivers</t>
  </si>
  <si>
    <t>Automotive</t>
  </si>
  <si>
    <t>Current Source</t>
  </si>
  <si>
    <t>HTSSOP</t>
  </si>
  <si>
    <t>Functional Safety-Capable</t>
  </si>
  <si>
    <t>-40 to 125</t>
  </si>
  <si>
    <t>5 x 6.4</t>
  </si>
  <si>
    <t>ACTIVE</t>
  </si>
  <si>
    <t>1-A, low-IQ high-accuracy low-dropout (LDO) voltage regulator with enable</t>
  </si>
  <si>
    <t>Linear &amp; low-dropout (LDO) regulators</t>
  </si>
  <si>
    <t>Catalog</t>
  </si>
  <si>
    <t>SOT-23,WSON</t>
  </si>
  <si>
    <t/>
  </si>
  <si>
    <t>-40 to 125</t>
  </si>
  <si>
    <t>5,6</t>
  </si>
  <si>
    <t>4,8.12</t>
  </si>
  <si>
    <t>2 x 2,2.9 x 2.8</t>
  </si>
  <si>
    <t>0.8,1.45</t>
  </si>
  <si>
    <t>0.65,0.95</t>
  </si>
  <si>
    <t>ACTIVE</t>
  </si>
  <si>
    <t>Automotive 3.6V to 36V, 3.2A Buck Converter with Wide Vin 280mA LDO Regulator</t>
  </si>
  <si>
    <t>Multi-channel ICs (PMICs)</t>
  </si>
  <si>
    <t>Automotive</t>
  </si>
  <si>
    <t>HTSSOP</t>
  </si>
  <si>
    <t/>
  </si>
  <si>
    <t>-40 to 125</t>
  </si>
  <si>
    <t>5 x 6.4</t>
  </si>
  <si>
    <t>ACTIVE</t>
  </si>
  <si>
    <t>3.0kVrms, 4A/6A dual-channel isolated gate driver with disable pin &amp; 8V UVLO for MOSFETs &amp; GaNFETs</t>
  </si>
  <si>
    <t>Isolated gate drivers</t>
  </si>
  <si>
    <t>Catalog</t>
  </si>
  <si>
    <t>SOIC</t>
  </si>
  <si>
    <t/>
  </si>
  <si>
    <t>-40 to 125</t>
  </si>
  <si>
    <t>9.9 x 6</t>
  </si>
  <si>
    <t>ACTIVE</t>
  </si>
  <si>
    <t>200-mA low-IQ low-dropout (LDO) voltage regulator</t>
  </si>
  <si>
    <t>Linear &amp; low-dropout (LDO) regulators</t>
  </si>
  <si>
    <t>Catalog</t>
  </si>
  <si>
    <t>X2SON</t>
  </si>
  <si>
    <t/>
  </si>
  <si>
    <t>-40 to 125</t>
  </si>
  <si>
    <t>1 x 1</t>
  </si>
  <si>
    <t>ACTIVE</t>
  </si>
  <si>
    <t>USB Type-C® source controller and 1.5A power switch</t>
  </si>
  <si>
    <t>USB Type-C &amp; USB Power Delivery ICs</t>
  </si>
  <si>
    <t>Catalog</t>
  </si>
  <si>
    <t>WSON</t>
  </si>
  <si>
    <t/>
  </si>
  <si>
    <t>-40 to 125</t>
  </si>
  <si>
    <t>3 x 2</t>
  </si>
  <si>
    <t>ACTIVE</t>
  </si>
  <si>
    <t>2.7-V to 18-V, 34m&amp;Omega;, 0.5-4A eFuse with over voltage protection in small WSON package</t>
  </si>
  <si>
    <t>eFuses (integrated hot swaps)</t>
  </si>
  <si>
    <t>Catalog</t>
  </si>
  <si>
    <t>WSON</t>
  </si>
  <si>
    <t/>
  </si>
  <si>
    <t>-40 to 125</t>
  </si>
  <si>
    <t>2 x 2</t>
  </si>
  <si>
    <t>ACTIVE</t>
  </si>
  <si>
    <t>Automotive power logic 16-bit Shift Register LED driver with diagnostics</t>
  </si>
  <si>
    <t>Automotive LED drivers</t>
  </si>
  <si>
    <t>Automotive</t>
  </si>
  <si>
    <t>Open drain</t>
  </si>
  <si>
    <t>HTSSOP</t>
  </si>
  <si>
    <t>Functional Safety-Capable</t>
  </si>
  <si>
    <t>-40 to 125</t>
  </si>
  <si>
    <t>9.7 x 6.4</t>
  </si>
  <si>
    <t>ACTIVE</t>
  </si>
  <si>
    <t>42-V Dual buck LED controller with SPI interface, analog and PWM dimming</t>
  </si>
  <si>
    <t>Illumination  LED drivers</t>
  </si>
  <si>
    <t>Catalog</t>
  </si>
  <si>
    <t>Buck</t>
  </si>
  <si>
    <t>HTSSOP</t>
  </si>
  <si>
    <t/>
  </si>
  <si>
    <t>-40 to 125</t>
  </si>
  <si>
    <t>7.8 x 6.4</t>
  </si>
  <si>
    <t>ACTIVE</t>
  </si>
  <si>
    <t>65-V dual buck LED controller with SPI interface, analog and PWM dimming</t>
  </si>
  <si>
    <t>Illumination  LED drivers</t>
  </si>
  <si>
    <t>Catalog</t>
  </si>
  <si>
    <t>Buck</t>
  </si>
  <si>
    <t>HTSSOP</t>
  </si>
  <si>
    <t/>
  </si>
  <si>
    <t>-40 to 125</t>
  </si>
  <si>
    <t>7.8 x 6.4</t>
  </si>
  <si>
    <t>ACTIVE</t>
  </si>
  <si>
    <t>3.6-V to 36-V, 1-A output, 2-MHz, synchronous step-up and step-down converter</t>
  </si>
  <si>
    <t>AC/DC &amp; DC/DC converters (integrated FET)</t>
  </si>
  <si>
    <t>Automotive</t>
  </si>
  <si>
    <t>Buck-Boost</t>
  </si>
  <si>
    <t>HTSSOP</t>
  </si>
  <si>
    <t>Functional Safety-Capable</t>
  </si>
  <si>
    <t>-40 to 125</t>
  </si>
  <si>
    <t>6.5 x 6.4</t>
  </si>
  <si>
    <t>ACTIVE</t>
  </si>
  <si>
    <t>3.6-V to 36-V, 1-A output, 2-MHz, synchronous step-up and step-down converter, AEC-Q100 qualified</t>
  </si>
  <si>
    <t>AC/DC &amp; DC/DC converters (integrated FET)</t>
  </si>
  <si>
    <t>Automotive</t>
  </si>
  <si>
    <t>Buck-Boost</t>
  </si>
  <si>
    <t>HTSSOP</t>
  </si>
  <si>
    <t>Functional Safety-Capable</t>
  </si>
  <si>
    <t>-40 to 125</t>
  </si>
  <si>
    <t>6.5 x 6.4</t>
  </si>
  <si>
    <t>ACTIVE</t>
  </si>
  <si>
    <t>-10-V to -80-V hot swap controller with dual current limit and dual Oring</t>
  </si>
  <si>
    <t>Hot-swap controllers</t>
  </si>
  <si>
    <t>Catalog</t>
  </si>
  <si>
    <t>TSSOP</t>
  </si>
  <si>
    <t/>
  </si>
  <si>
    <t>-40 to 125</t>
  </si>
  <si>
    <t>5 x 6.4</t>
  </si>
  <si>
    <t>ACTIVE</t>
  </si>
  <si>
    <t>2-V to 36-V, 1-A output, 2-MHz, 5-V or 12-V fixed output voltage, step-up and step-down converter</t>
  </si>
  <si>
    <t>AC/DC &amp; DC/DC converters (integrated FET)</t>
  </si>
  <si>
    <t>Automotive</t>
  </si>
  <si>
    <t>Buck-Boost</t>
  </si>
  <si>
    <t>HTSSOP</t>
  </si>
  <si>
    <t>Functional Safety-Capable</t>
  </si>
  <si>
    <t>-40 to 125</t>
  </si>
  <si>
    <t>6.5 x 6.4</t>
  </si>
  <si>
    <t>ACTIVE</t>
  </si>
  <si>
    <t>40-V, 1-Ω, 1-ch automotive smart high-side switch with adjustable current limit</t>
  </si>
  <si>
    <t>High-side switches</t>
  </si>
  <si>
    <t>Automotive</t>
  </si>
  <si>
    <t>HVSSOP</t>
  </si>
  <si>
    <t/>
  </si>
  <si>
    <t>-40 to 125</t>
  </si>
  <si>
    <t>3 x 4.9</t>
  </si>
  <si>
    <t>ACTIVE</t>
  </si>
  <si>
    <t>650-kHz and 1.2-MHz, 18.5-V step-up DC/DC converter, AEC-Q100 qualified</t>
  </si>
  <si>
    <t>AC/DC &amp; DC/DC converters (integrated FET)</t>
  </si>
  <si>
    <t>Automotive</t>
  </si>
  <si>
    <t>Boost</t>
  </si>
  <si>
    <t>VSSOP</t>
  </si>
  <si>
    <t/>
  </si>
  <si>
    <t>-40 to 125</t>
  </si>
  <si>
    <t>3 x 4.9</t>
  </si>
  <si>
    <t>ACTIVE</t>
  </si>
  <si>
    <t>USB Type-C® source controller and 1.5A power switch with VCONN</t>
  </si>
  <si>
    <t>USB Type-C &amp; USB Power Delivery ICs</t>
  </si>
  <si>
    <t>Catalog</t>
  </si>
  <si>
    <t>WSON</t>
  </si>
  <si>
    <t/>
  </si>
  <si>
    <t>-40 to 125</t>
  </si>
  <si>
    <t>3 x 2</t>
  </si>
  <si>
    <t>ACTIVE</t>
  </si>
  <si>
    <t>Automotive 10-A, 3-phase + 1-phase, two output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</si>
  <si>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</si>
  <si>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</si>
  <si>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</si>
  <si>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</si>
  <si>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</si>
  <si>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</si>
  <si>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</si>
  <si>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USB Type-C™ DP ALT Mode 10-Gbps linear redriver crosspoint switch for source side</t>
  </si>
  <si>
    <t>USB Type-C &amp; USB Power Delivery ICs</t>
  </si>
  <si>
    <t>Catalog</t>
  </si>
  <si>
    <t>WQFN</t>
  </si>
  <si>
    <t/>
  </si>
  <si>
    <t>-40 to 85</t>
  </si>
  <si>
    <t>6 x 4</t>
  </si>
  <si>
    <t>ACTIVE</t>
  </si>
  <si>
    <t>PMIC for AMD™ family 17h models 10h-1Fh processors</t>
  </si>
  <si>
    <t>Multi-channel ICs (PMICs)</t>
  </si>
  <si>
    <t>Catalog</t>
  </si>
  <si>
    <t>VQFN</t>
  </si>
  <si>
    <t/>
  </si>
  <si>
    <t>-40 to 85</t>
  </si>
  <si>
    <t>8 x 8</t>
  </si>
  <si>
    <t>ACTIVE</t>
  </si>
  <si>
    <t>0.5-A/1.0-A, 620-V half bridge gate driver with interlock</t>
  </si>
  <si>
    <t>Half-bridge drivers</t>
  </si>
  <si>
    <t>Catalog</t>
  </si>
  <si>
    <t>SOIC</t>
  </si>
  <si>
    <t/>
  </si>
  <si>
    <t>-40 to 150</t>
  </si>
  <si>
    <t>4.9 x 6</t>
  </si>
  <si>
    <t>ACTIVE</t>
  </si>
  <si>
    <t>USB Type-C™ 8.1-Gbps multi-protocol linear redriver crosspoint switch for source side</t>
  </si>
  <si>
    <t>USB Type-C &amp; USB Power Delivery ICs</t>
  </si>
  <si>
    <t>Catalog</t>
  </si>
  <si>
    <t>WQFN</t>
  </si>
  <si>
    <t/>
  </si>
  <si>
    <t>-40 to 85</t>
  </si>
  <si>
    <t>6 x 4</t>
  </si>
  <si>
    <t>ACTIVE</t>
  </si>
  <si>
    <t>3.5V to 60V, 2.5A Synchronous Step-Down Voltage Converter</t>
  </si>
  <si>
    <t>AC/DC &amp; DC/DC converters (integrated FET)</t>
  </si>
  <si>
    <t>Catalog</t>
  </si>
  <si>
    <t>Buck</t>
  </si>
  <si>
    <t>WQFN</t>
  </si>
  <si>
    <t/>
  </si>
  <si>
    <t>-40 to 125</t>
  </si>
  <si>
    <t>6 x 4</t>
  </si>
  <si>
    <t>ACTIVE</t>
  </si>
  <si>
    <t>3.5V to 60V, 3.5A Synchronous Step-Down Voltage Converter</t>
  </si>
  <si>
    <t>AC/DC &amp; DC/DC converters (integrated FET)</t>
  </si>
  <si>
    <t>Catalog</t>
  </si>
  <si>
    <t>Buck</t>
  </si>
  <si>
    <t>WQFN</t>
  </si>
  <si>
    <t/>
  </si>
  <si>
    <t>-40 to 125</t>
  </si>
  <si>
    <t>6 x 4</t>
  </si>
  <si>
    <t>ACTIVE</t>
  </si>
  <si>
    <t>Automotive 3.15V to 5.25V, 4 buck &amp;amp; 4 LDO Power Management IC (PMIC)</t>
  </si>
  <si>
    <t>Multi-channel ICs (PMICs)</t>
  </si>
  <si>
    <t>Automotive</t>
  </si>
  <si>
    <t>VQFN</t>
  </si>
  <si>
    <t>Functional Safety-Compliant</t>
  </si>
  <si>
    <t>-40 to 105</t>
  </si>
  <si>
    <t>7 x 7</t>
  </si>
  <si>
    <t>ACTIVE</t>
  </si>
  <si>
    <t>Automotive 4-A, 6-A, 5.7-kVRMS isolated dual-channel gate driver with dual input, disable, deadtime</t>
  </si>
  <si>
    <t>Isolated gate drivers</t>
  </si>
  <si>
    <t>Automotive</t>
  </si>
  <si>
    <t>SOIC</t>
  </si>
  <si>
    <t>Functional Safety Quality-Managed</t>
  </si>
  <si>
    <t>-40 to 125</t>
  </si>
  <si>
    <t>10.3 x 10.3</t>
  </si>
  <si>
    <t>ACTIVE</t>
  </si>
  <si>
    <t>IEEE 802.3bt PoE high-power PD interface with automatic MPS &amp; autoclass</t>
  </si>
  <si>
    <t>Powered devices</t>
  </si>
  <si>
    <t>Catalog</t>
  </si>
  <si>
    <t>VQFN</t>
  </si>
  <si>
    <t/>
  </si>
  <si>
    <t>-40 to 125</t>
  </si>
  <si>
    <t>5 x 5</t>
  </si>
  <si>
    <t>ACTIVE</t>
  </si>
  <si>
    <t>Automotive 3-channel high-side high-power constant-current Linear LED controller</t>
  </si>
  <si>
    <t>Automotive LED drivers</t>
  </si>
  <si>
    <t>Automotive</t>
  </si>
  <si>
    <t>Current Source</t>
  </si>
  <si>
    <t>TSSOP</t>
  </si>
  <si>
    <t/>
  </si>
  <si>
    <t>-40 to 125</t>
  </si>
  <si>
    <t>9.7 x 6.4</t>
  </si>
  <si>
    <t>ACTIVE</t>
  </si>
  <si>
    <t>Automotive, 20-V, low-power current-mode PWM controller, 8.4-V/7.6-V UVLO, 100%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</si>
  <si>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</si>
  <si>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</si>
  <si>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</si>
  <si>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</si>
  <si>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</si>
  <si>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125</t>
  </si>
  <si>
    <t>4.9 x 6</t>
  </si>
  <si>
    <t>ACTIVE</t>
  </si>
  <si>
    <t>Automotive 1.5-V to 42-V VIN, low IQ boost controller with 6.8V, 7.5V, 8.5V, 10.5V output options</t>
  </si>
  <si>
    <t>AC/DC &amp; DC/DC controllers (external FET)</t>
  </si>
  <si>
    <t>Automotive</t>
  </si>
  <si>
    <t>Boost</t>
  </si>
  <si>
    <t>WQFN</t>
  </si>
  <si>
    <t>Functional Safety-Capable</t>
  </si>
  <si>
    <t>-40 to 150</t>
  </si>
  <si>
    <t>4 x 4</t>
  </si>
  <si>
    <t>ACTIVE</t>
  </si>
  <si>
    <t>40-V, 80-mΩ, 4-A, 1-ch, Industrial high-side switch with adjustable current limit</t>
  </si>
  <si>
    <t>High-side switches</t>
  </si>
  <si>
    <t>Catalog</t>
  </si>
  <si>
    <t>HTSSOP,WQFN</t>
  </si>
  <si>
    <t/>
  </si>
  <si>
    <t>-40 to 125</t>
  </si>
  <si>
    <t>14,16</t>
  </si>
  <si>
    <t>14,32</t>
  </si>
  <si>
    <t>4 x 3.5,5 x 6.4</t>
  </si>
  <si>
    <t>0.8,1.2</t>
  </si>
  <si>
    <t>0.5,0.65</t>
  </si>
  <si>
    <t>ACTIVE</t>
  </si>
  <si>
    <t>-20-V, P channel NexFET™ power MOSFET, single LGA 0.6 mm x 0.7 mm, 76 mOhm, gate ESD protection</t>
  </si>
  <si>
    <t>MOSFETs</t>
  </si>
  <si>
    <t>Catalog</t>
  </si>
  <si>
    <t>PICOSTAR</t>
  </si>
  <si>
    <t/>
  </si>
  <si>
    <t>-55 to 150</t>
  </si>
  <si>
    <t>0.69 x 0.6</t>
  </si>
  <si>
    <t>ACTIVE</t>
  </si>
  <si>
    <t>Enhanced product, 200-mA, low quiescent current (IQ), ultra-low noise, high PSRR, LDO regular</t>
  </si>
  <si>
    <t>Linear &amp; low-dropout (LDO) regulators</t>
  </si>
  <si>
    <t>HiRel Enhanced Product</t>
  </si>
  <si>
    <t>WSON</t>
  </si>
  <si>
    <t/>
  </si>
  <si>
    <t>-55 to 125</t>
  </si>
  <si>
    <t>2 x 2</t>
  </si>
  <si>
    <t>ACTIVE</t>
  </si>
  <si>
    <t>40-V, N channel NexFET™ power MOSFET, single TO-220, 2.6 mOhm</t>
  </si>
  <si>
    <t>MOSFETs</t>
  </si>
  <si>
    <t>Catalog</t>
  </si>
  <si>
    <t>TO-220</t>
  </si>
  <si>
    <t/>
  </si>
  <si>
    <t>-55 to 175</t>
  </si>
  <si>
    <t>10.16 x 4.55</t>
  </si>
  <si>
    <t>ACTIVE</t>
  </si>
  <si>
    <t>40-V, N channel NexFET™ power MOSFET, single D2PAK, 2.6 mOhm</t>
  </si>
  <si>
    <t>MOSFETs</t>
  </si>
  <si>
    <t>Catalog</t>
  </si>
  <si>
    <t>TO-263</t>
  </si>
  <si>
    <t/>
  </si>
  <si>
    <t>-55 to 175</t>
  </si>
  <si>
    <t>10.16 x 15.1</t>
  </si>
  <si>
    <t>ACTIVE</t>
  </si>
  <si>
    <t>5.5-V, 2-A, 60-mΩ, 10-nA leakage load switch with output discharge</t>
  </si>
  <si>
    <t>Load switches</t>
  </si>
  <si>
    <t>Catalog</t>
  </si>
  <si>
    <t>DSBGA</t>
  </si>
  <si>
    <t/>
  </si>
  <si>
    <t>-40 to 85</t>
  </si>
  <si>
    <t>1 x 1</t>
  </si>
  <si>
    <t>ACTIVE</t>
  </si>
  <si>
    <t>Automotive dual 2-A buck converters &amp; dual linear regulators for TDA3x processors for DDR3L</t>
  </si>
  <si>
    <t>Multi-channel ICs (PMICs)</t>
  </si>
  <si>
    <t>Automotive</t>
  </si>
  <si>
    <t>VQFN</t>
  </si>
  <si>
    <t/>
  </si>
  <si>
    <t>-40 to 125</t>
  </si>
  <si>
    <t>5 x 5</t>
  </si>
  <si>
    <t>ACTIVE</t>
  </si>
  <si>
    <t>Automotive dual 2-A buck converters &amp; dual linear regulators for TDA3x processors for DDR3</t>
  </si>
  <si>
    <t>Multi-channel ICs (PMICs)</t>
  </si>
  <si>
    <t>Automotive</t>
  </si>
  <si>
    <t>VQFN</t>
  </si>
  <si>
    <t/>
  </si>
  <si>
    <t>-40 to 125</t>
  </si>
  <si>
    <t>5 x 5</t>
  </si>
  <si>
    <t>ACTIVE</t>
  </si>
  <si>
    <t>Automotive dual 3-A buck converters &amp; dual linear regulators for TDA3x processors for DDR3x</t>
  </si>
  <si>
    <t>Multi-channel ICs (PMICs)</t>
  </si>
  <si>
    <t>Automotive</t>
  </si>
  <si>
    <t>VQFN</t>
  </si>
  <si>
    <t/>
  </si>
  <si>
    <t>-40 to 125</t>
  </si>
  <si>
    <t>5 x 5</t>
  </si>
  <si>
    <t>ACTIVE</t>
  </si>
  <si>
    <t>3.6-V, 4-A, 4.7-mΩ load switch with output discharge</t>
  </si>
  <si>
    <t>Load switches</t>
  </si>
  <si>
    <t>Catalog</t>
  </si>
  <si>
    <t>DSBGA</t>
  </si>
  <si>
    <t/>
  </si>
  <si>
    <t>-40 to 105</t>
  </si>
  <si>
    <t>2.25 x 1.25</t>
  </si>
  <si>
    <t>ACTIVE</t>
  </si>
  <si>
    <t>Low Noise, 1A Synchronous Inverting Buck Converter in 3x3 WSON Package</t>
  </si>
  <si>
    <t>AC/DC &amp; DC/DC converters (integrated FET)</t>
  </si>
  <si>
    <t>Catalog</t>
  </si>
  <si>
    <t>Inverting,Inverting Buck</t>
  </si>
  <si>
    <t>WSON</t>
  </si>
  <si>
    <t/>
  </si>
  <si>
    <t>-40 to 125</t>
  </si>
  <si>
    <t>3 x 3</t>
  </si>
  <si>
    <t>ACTIVE</t>
  </si>
  <si>
    <t>3.5V to 36V, 5A Synchronous Step-Down Voltage Converter</t>
  </si>
  <si>
    <t>AC/DC &amp; DC/DC converters (integrated FET)</t>
  </si>
  <si>
    <t>Catalog</t>
  </si>
  <si>
    <t>Buck</t>
  </si>
  <si>
    <t>WQFN</t>
  </si>
  <si>
    <t/>
  </si>
  <si>
    <t>-40 to 125</t>
  </si>
  <si>
    <t>6 x 4</t>
  </si>
  <si>
    <t>ACTIVE</t>
  </si>
  <si>
    <t>3.5V to 36V, 6A Synchronous Step-Down Voltage Converter</t>
  </si>
  <si>
    <t>AC/DC &amp; DC/DC converters (integrated FET)</t>
  </si>
  <si>
    <t>Catalog</t>
  </si>
  <si>
    <t>Buck</t>
  </si>
  <si>
    <t>WQFN</t>
  </si>
  <si>
    <t/>
  </si>
  <si>
    <t>-40 to 125</t>
  </si>
  <si>
    <t>6 x 4</t>
  </si>
  <si>
    <t>ACTIVE</t>
  </si>
  <si>
    <t>4.5V to 17V, 5A Synchronous Step-Down Voltage Regulator in SOT23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</si>
  <si>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</si>
  <si>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</si>
  <si>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</si>
  <si>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</si>
  <si>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</si>
  <si>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</si>
  <si>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</si>
  <si>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</si>
  <si>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USB Type-C™ 8.1-Gbps DP Alt Mode linear redriver crosspoint switch for sink side</t>
  </si>
  <si>
    <t>USB Type-C &amp; USB Power Delivery ICs</t>
  </si>
  <si>
    <t>Catalog</t>
  </si>
  <si>
    <t>WQFN</t>
  </si>
  <si>
    <t/>
  </si>
  <si>
    <t>-40 to 85</t>
  </si>
  <si>
    <t>6 x 4</t>
  </si>
  <si>
    <t>ACTIVE</t>
  </si>
  <si>
    <t>5.5-A, 36-V synchronous, 400-kHz, step-down converter</t>
  </si>
  <si>
    <t>AC/DC &amp; DC/DC converters (integrated FET)</t>
  </si>
  <si>
    <t>Automotive</t>
  </si>
  <si>
    <t>Buck</t>
  </si>
  <si>
    <t>VQFN-HR</t>
  </si>
  <si>
    <t/>
  </si>
  <si>
    <t>-40 to 150</t>
  </si>
  <si>
    <t>5 x 4</t>
  </si>
  <si>
    <t>ACTIVE</t>
  </si>
  <si>
    <t>Nine-channel I2C RGB LED driver with engine control and charge pump</t>
  </si>
  <si>
    <t>RGB LED drivers</t>
  </si>
  <si>
    <t>Catalog</t>
  </si>
  <si>
    <t>Charge pump,Current Sink</t>
  </si>
  <si>
    <t>WQFN</t>
  </si>
  <si>
    <t/>
  </si>
  <si>
    <t>-40 to 85</t>
  </si>
  <si>
    <t>4 x 4</t>
  </si>
  <si>
    <t>ACTIVE</t>
  </si>
  <si>
    <t>30-V, N channel NexFET™ power MOSFET, dual common source SON 3 mm x 3 mm, 21.9 mOhm</t>
  </si>
  <si>
    <t>MOSFETs</t>
  </si>
  <si>
    <t>Catalog</t>
  </si>
  <si>
    <t>VSON</t>
  </si>
  <si>
    <t/>
  </si>
  <si>
    <t>-55 to 150</t>
  </si>
  <si>
    <t>3.3 x 3.3</t>
  </si>
  <si>
    <t>ACTIVE</t>
  </si>
  <si>
    <t>3.5-A, 36-V synchronous, 400-kHz, step-down converter</t>
  </si>
  <si>
    <t>AC/DC &amp; DC/DC converters (integrated FET)</t>
  </si>
  <si>
    <t>Automotive</t>
  </si>
  <si>
    <t>Buck</t>
  </si>
  <si>
    <t>VQFN-HR</t>
  </si>
  <si>
    <t/>
  </si>
  <si>
    <t>-40 to 150</t>
  </si>
  <si>
    <t>5 x 4</t>
  </si>
  <si>
    <t>ACTIVE</t>
  </si>
  <si>
    <t>PMU for processor power</t>
  </si>
  <si>
    <t>Multi-channel ICs (PMICs)</t>
  </si>
  <si>
    <t>Catalog</t>
  </si>
  <si>
    <t>DSBGA</t>
  </si>
  <si>
    <t/>
  </si>
  <si>
    <t>-40 to 105</t>
  </si>
  <si>
    <t>4 x 4</t>
  </si>
  <si>
    <t>ACTIVE</t>
  </si>
  <si>
    <t>150-mA, 33-V, low-noise, high-PSRR, dual-channel positive &amp; negative low-dropout voltage regulator</t>
  </si>
  <si>
    <t>Linear &amp; low-dropout (LDO) regulators</t>
  </si>
  <si>
    <t>Catalog</t>
  </si>
  <si>
    <t>WSON</t>
  </si>
  <si>
    <t/>
  </si>
  <si>
    <t>-40 to 125</t>
  </si>
  <si>
    <t>3 x 3</t>
  </si>
  <si>
    <t>ACTIVE</t>
  </si>
  <si>
    <t>4.5V to 17V, 5A, Synchronous Step-Down Voltage Regulator in SOT23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</si>
  <si>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</si>
  <si>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</si>
  <si>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</si>
  <si>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</si>
  <si>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</si>
  <si>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</si>
  <si>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</si>
  <si>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</si>
  <si>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Low-drift, low-power, small-footprint series voltage reference with clean start</t>
  </si>
  <si>
    <t>Series voltage references</t>
  </si>
  <si>
    <t>Catalog</t>
  </si>
  <si>
    <t>SOT-23</t>
  </si>
  <si>
    <t/>
  </si>
  <si>
    <t>-40 to 125</t>
  </si>
  <si>
    <t>2.9 x 2.8</t>
  </si>
  <si>
    <t>ACTIVE</t>
  </si>
  <si>
    <t>2.5-V, low-drift, low-power, small-footprint series voltage reference</t>
  </si>
  <si>
    <t>Series voltage references</t>
  </si>
  <si>
    <t>Catalog</t>
  </si>
  <si>
    <t>SOT-23</t>
  </si>
  <si>
    <t/>
  </si>
  <si>
    <t>-40 to 125</t>
  </si>
  <si>
    <t>2.9 x 2.8</t>
  </si>
  <si>
    <t>ACTIVE</t>
  </si>
  <si>
    <t>Automotive 1-A, low-noise, high-accuracy, dual-channel adjustable low-dropout voltage regulator</t>
  </si>
  <si>
    <t>Linear &amp; low-dropout (LDO) regulators</t>
  </si>
  <si>
    <t>Automotive</t>
  </si>
  <si>
    <t>WQFN</t>
  </si>
  <si>
    <t>Functional Safety-Capable</t>
  </si>
  <si>
    <t>-40 to 140</t>
  </si>
  <si>
    <t>4 x 4</t>
  </si>
  <si>
    <t>ACTIVE</t>
  </si>
  <si>
    <t>2.5V-5.5V input, 3-A high efficiency step-down converter in 2x2 QFN or SOT563 package</t>
  </si>
  <si>
    <t>AC/DC &amp; DC/DC converters (integrated FET)</t>
  </si>
  <si>
    <t>Catalog</t>
  </si>
  <si>
    <t>Buck</t>
  </si>
  <si>
    <t>SOT-5X3,VQFN-HR</t>
  </si>
  <si>
    <t/>
  </si>
  <si>
    <t>-40 to 125</t>
  </si>
  <si>
    <t>6,12</t>
  </si>
  <si>
    <t>2.56,4</t>
  </si>
  <si>
    <t>1.6 x 1.6,2 x 2</t>
  </si>
  <si>
    <t>0.6,1</t>
  </si>
  <si>
    <t>ACTIVE</t>
  </si>
  <si>
    <t>4.3-V to 60-V, 3-A, step down converter with 300-µA standby IQ and +/-0.53% Vref accuracy</t>
  </si>
  <si>
    <t>AC/DC &amp; DC/DC converters (integrated FET)</t>
  </si>
  <si>
    <t>Catalog</t>
  </si>
  <si>
    <t>Buck</t>
  </si>
  <si>
    <t>HSOIC</t>
  </si>
  <si>
    <t/>
  </si>
  <si>
    <t>-40 to 150</t>
  </si>
  <si>
    <t>4.9 x 6</t>
  </si>
  <si>
    <t>ACTIVE</t>
  </si>
  <si>
    <t>Automotive 1-A, 36-V, low-noise, high-PSRR, low-dropout voltage regulator with enable</t>
  </si>
  <si>
    <t>Linear &amp; low-dropout (LDO) regulators</t>
  </si>
  <si>
    <t>Automotive</t>
  </si>
  <si>
    <t>VQFN</t>
  </si>
  <si>
    <t/>
  </si>
  <si>
    <t>-40 to 125</t>
  </si>
  <si>
    <t>5 x 5</t>
  </si>
  <si>
    <t>ACTIVE</t>
  </si>
  <si>
    <t>Automotive 1.8-A/2.8-A, 620V half bridge gate driver with interlock</t>
  </si>
  <si>
    <t>Half-bridge drivers</t>
  </si>
  <si>
    <t>Automotive</t>
  </si>
  <si>
    <t>SOIC</t>
  </si>
  <si>
    <t/>
  </si>
  <si>
    <t>-40 to 150</t>
  </si>
  <si>
    <t>4.9 x 6</t>
  </si>
  <si>
    <t>ACTIVE</t>
  </si>
  <si>
    <t>Inductorless LED flash driver</t>
  </si>
  <si>
    <t>Illumination  LED drivers</t>
  </si>
  <si>
    <t>Catalog</t>
  </si>
  <si>
    <t>current mode</t>
  </si>
  <si>
    <t>DSBGA</t>
  </si>
  <si>
    <t/>
  </si>
  <si>
    <t>-40 to 85</t>
  </si>
  <si>
    <t>1.555 x 0.805</t>
  </si>
  <si>
    <t>ACTIVE</t>
  </si>
  <si>
    <t>5.5A, 36V Synchronous, 400kHz, Step-Down Converter</t>
  </si>
  <si>
    <t>AC/DC &amp; DC/DC converters (integrated FET)</t>
  </si>
  <si>
    <t>Catalog</t>
  </si>
  <si>
    <t>Buck</t>
  </si>
  <si>
    <t>VQFN-HR</t>
  </si>
  <si>
    <t/>
  </si>
  <si>
    <t>-40 to 125</t>
  </si>
  <si>
    <t>5 x 4</t>
  </si>
  <si>
    <t>ACTIVE</t>
  </si>
  <si>
    <t>LM36010 Synchronous Boost LED flash driver</t>
  </si>
  <si>
    <t>Illumination  LED drivers</t>
  </si>
  <si>
    <t>Catalog</t>
  </si>
  <si>
    <t>Boost,current mode</t>
  </si>
  <si>
    <t>DSBGA</t>
  </si>
  <si>
    <t/>
  </si>
  <si>
    <t>-40 to 85</t>
  </si>
  <si>
    <t>1.555 x 0.805</t>
  </si>
  <si>
    <t>ACTIVE</t>
  </si>
  <si>
    <t>4.5V to 17V Input, Current Mode, 4A Synchronous SWIFT™ Step-Down Converter</t>
  </si>
  <si>
    <t>AC/DC &amp; DC/DC converters (integrated FET)</t>
  </si>
  <si>
    <t>Catalog</t>
  </si>
  <si>
    <t>Buck</t>
  </si>
  <si>
    <t>VQFN-HR</t>
  </si>
  <si>
    <t/>
  </si>
  <si>
    <t>-40 to 150</t>
  </si>
  <si>
    <t>3.5 x 3.5</t>
  </si>
  <si>
    <t>ACTIVE</t>
  </si>
  <si>
    <t>5A/5A single-channel isolated gate driver with Miller clamp or split outputs and 8V or 12V UVLO</t>
  </si>
  <si>
    <t>Isolated gate drivers</t>
  </si>
  <si>
    <t>Catalog</t>
  </si>
  <si>
    <t>SOIC</t>
  </si>
  <si>
    <t/>
  </si>
  <si>
    <t>-40 to 125</t>
  </si>
  <si>
    <t>29.4,67.275</t>
  </si>
  <si>
    <t>4.9 x 6,5.85 x 11.5</t>
  </si>
  <si>
    <t>1.75,2.8</t>
  </si>
  <si>
    <t>ACTIVE</t>
  </si>
  <si>
    <t>3kVrms/5kVrms, ±10A single-channel isolated gate driver with UVLO referenced to GND or split output</t>
  </si>
  <si>
    <t>Isolated gate drivers</t>
  </si>
  <si>
    <t>Catalog</t>
  </si>
  <si>
    <t>SOIC</t>
  </si>
  <si>
    <t/>
  </si>
  <si>
    <t>-40 to 125</t>
  </si>
  <si>
    <t>29.4,67.275</t>
  </si>
  <si>
    <t>4.9 x 6,5.85 x 11.5</t>
  </si>
  <si>
    <t>1.75,2.8</t>
  </si>
  <si>
    <t>ACTIVE</t>
  </si>
  <si>
    <t>3.6-V, 3-A, 6.7-mΩ load switch with adj. rise time, power good, and output discharge</t>
  </si>
  <si>
    <t>Load switches</t>
  </si>
  <si>
    <t>Catalog</t>
  </si>
  <si>
    <t>DSBGA</t>
  </si>
  <si>
    <t/>
  </si>
  <si>
    <t>-40 to 105</t>
  </si>
  <si>
    <t>2.25 x 1.25</t>
  </si>
  <si>
    <t>ACTIVE</t>
  </si>
  <si>
    <t>150-mA low-dropout (LDO) voltage regulator with active output discharge and enable</t>
  </si>
  <si>
    <t>Linear &amp; low-dropout (LDO) regulators</t>
  </si>
  <si>
    <t>Catalog</t>
  </si>
  <si>
    <t>SOT-23,X2SON</t>
  </si>
  <si>
    <t/>
  </si>
  <si>
    <t>-40 to 125</t>
  </si>
  <si>
    <t>4,5</t>
  </si>
  <si>
    <t>1,8.12</t>
  </si>
  <si>
    <t>1 x 1,2.9 x 2.8</t>
  </si>
  <si>
    <t>0.4,1.45</t>
  </si>
  <si>
    <t>0.65,0.95</t>
  </si>
  <si>
    <t>ACTIVE</t>
  </si>
  <si>
    <t>Automotive, wide-VIN (18-V) voltage detector</t>
  </si>
  <si>
    <t>Supply-voltage supervisors</t>
  </si>
  <si>
    <t>Automotive</t>
  </si>
  <si>
    <t>WSON</t>
  </si>
  <si>
    <t/>
  </si>
  <si>
    <t>-40 to 125</t>
  </si>
  <si>
    <t>1.5 x 1.5</t>
  </si>
  <si>
    <t>ACTIVE</t>
  </si>
  <si>
    <t>2A loading, 4.5-5.5V, 72mΩ USB power switch, active-high, output discharge, reverse blocking</t>
  </si>
  <si>
    <t>USB power switches &amp; charging port controllers</t>
  </si>
  <si>
    <t>Catalog</t>
  </si>
  <si>
    <t>SOT-23,VSSOP</t>
  </si>
  <si>
    <t/>
  </si>
  <si>
    <t>-40 to 125</t>
  </si>
  <si>
    <t>5,8</t>
  </si>
  <si>
    <t>8.12,14.7</t>
  </si>
  <si>
    <t>2.9 x 2.8,3 x 4.9</t>
  </si>
  <si>
    <t>1.1,1.45</t>
  </si>
  <si>
    <t>0.65,0.95</t>
  </si>
  <si>
    <t>ACTIVE</t>
  </si>
  <si>
    <t>300mA low-Iq low-dropout (LDO) voltage regulator with enable</t>
  </si>
  <si>
    <t>Linear &amp; low-dropout (LDO) regulators</t>
  </si>
  <si>
    <t>Catalog</t>
  </si>
  <si>
    <t>SOT-23,X2SON</t>
  </si>
  <si>
    <t/>
  </si>
  <si>
    <t>-40 to 125</t>
  </si>
  <si>
    <t>4,5</t>
  </si>
  <si>
    <t>1,8.12</t>
  </si>
  <si>
    <t>1 x 1,2.9 x 2.8</t>
  </si>
  <si>
    <t>0.4,1.45</t>
  </si>
  <si>
    <t>0.65,0.95</t>
  </si>
  <si>
    <t>ACTIVE</t>
  </si>
  <si>
    <t>30-V, N channel NexFET™ power MOSFET, single SON 2 mm x 2 mm, 16.9 mOhm</t>
  </si>
  <si>
    <t>MOSFETs</t>
  </si>
  <si>
    <t>Catalog</t>
  </si>
  <si>
    <t>WSON</t>
  </si>
  <si>
    <t/>
  </si>
  <si>
    <t>-55 to 150</t>
  </si>
  <si>
    <t>2 x 2</t>
  </si>
  <si>
    <t>ACTIVE</t>
  </si>
  <si>
    <t>1.5A, 28V Input, 3.3V Output, TO-220 Power Module</t>
  </si>
  <si>
    <t>Power modules (integrated inductor)</t>
  </si>
  <si>
    <t>Catalog</t>
  </si>
  <si>
    <t>Buck,Inverting Buck-Boost,Synchronous Buck</t>
  </si>
  <si>
    <t>SIPMODULE</t>
  </si>
  <si>
    <t/>
  </si>
  <si>
    <t>-40 to 125</t>
  </si>
  <si>
    <t>10.16 x 4.51</t>
  </si>
  <si>
    <t>ACTIVE</t>
  </si>
  <si>
    <t>1.5A, 28V Input, 5V Output TO-220 Power Module</t>
  </si>
  <si>
    <t>Power modules (integrated inductor)</t>
  </si>
  <si>
    <t>Catalog</t>
  </si>
  <si>
    <t>Buck,Inverting Buck-Boost,Synchronous Buck</t>
  </si>
  <si>
    <t>SIPMODULE</t>
  </si>
  <si>
    <t/>
  </si>
  <si>
    <t>-40 to 125</t>
  </si>
  <si>
    <t>10.16 x 4.51</t>
  </si>
  <si>
    <t>ACTIVE</t>
  </si>
  <si>
    <t>1.5A, 28V Input, 12V Output, TO-220 Power Module</t>
  </si>
  <si>
    <t>Power modules (integrated inductor)</t>
  </si>
  <si>
    <t>Catalog</t>
  </si>
  <si>
    <t>Buck,Inverting Buck-Boost,Synchronous Buck</t>
  </si>
  <si>
    <t>SIPMODULE</t>
  </si>
  <si>
    <t/>
  </si>
  <si>
    <t>-40 to 125</t>
  </si>
  <si>
    <t>10.16 x 4.51</t>
  </si>
  <si>
    <t>ACTIVE</t>
  </si>
  <si>
    <t>-8V, P channel NexFET™ power MOSFET, single LGA 1.2 mm x 1.2 mm, 9.9 mOhm, gate ESD protection</t>
  </si>
  <si>
    <t>MOSFETs</t>
  </si>
  <si>
    <t>Catalog</t>
  </si>
  <si>
    <t>PICOSTAR</t>
  </si>
  <si>
    <t/>
  </si>
  <si>
    <t>-55 to 150</t>
  </si>
  <si>
    <t>1.16 x 1.16</t>
  </si>
  <si>
    <t>ACTIVE</t>
  </si>
  <si>
    <t>1.8-A/2.8-A, 620V half bridge driver with interlock</t>
  </si>
  <si>
    <t>Half-bridge drivers</t>
  </si>
  <si>
    <t>Catalog</t>
  </si>
  <si>
    <t>SOIC</t>
  </si>
  <si>
    <t/>
  </si>
  <si>
    <t>-40 to 150</t>
  </si>
  <si>
    <t>4.9 x 6</t>
  </si>
  <si>
    <t>ACTIVE</t>
  </si>
  <si>
    <t>PMIC/LED Driver for DLP2000 (0.2 nHD) DMD</t>
  </si>
  <si>
    <t>Multi-channel ICs (PMICs)</t>
  </si>
  <si>
    <t>Catalog</t>
  </si>
  <si>
    <t>DSBGA</t>
  </si>
  <si>
    <t/>
  </si>
  <si>
    <t>-10 to 85</t>
  </si>
  <si>
    <t>3 x 3</t>
  </si>
  <si>
    <t>ACTIVE</t>
  </si>
  <si>
    <t>4-V to 19-V, 25-A synchronous SWIFT™ buck converter with adaptive internal compensation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</si>
  <si>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</si>
  <si>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</si>
  <si>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</si>
  <si>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</si>
  <si>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</si>
  <si>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</si>
  <si>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</si>
  <si>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</si>
  <si>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2-A, low-noise, high-PSRR, adjustable ultra-low-dropout voltage regulator with high-accuracy</t>
  </si>
  <si>
    <t>Linear &amp; low-dropout (LDO) regulators</t>
  </si>
  <si>
    <t>Catalog</t>
  </si>
  <si>
    <t>WSON</t>
  </si>
  <si>
    <t/>
  </si>
  <si>
    <t>-40 to 125</t>
  </si>
  <si>
    <t>2.5 x 2.5</t>
  </si>
  <si>
    <t>ACTIVE</t>
  </si>
  <si>
    <t>Automotive, 4-A , 120-V half bridge gate driver with 5-V UVLO</t>
  </si>
  <si>
    <t>Half-bridge drivers</t>
  </si>
  <si>
    <t>Automotive</t>
  </si>
  <si>
    <t>HSOIC,SOIC</t>
  </si>
  <si>
    <t>Functional Safety-Capable</t>
  </si>
  <si>
    <t>-40 to 150</t>
  </si>
  <si>
    <t>4.9 x 6</t>
  </si>
  <si>
    <t>1.7,1.75</t>
  </si>
  <si>
    <t>ACTIVE</t>
  </si>
  <si>
    <t>Zero-power standby PSR flyback controller for automotive</t>
  </si>
  <si>
    <t>AC/DC &amp; DC/DC controllers (external FET)</t>
  </si>
  <si>
    <t>Automotive</t>
  </si>
  <si>
    <t>Buck,Flyback</t>
  </si>
  <si>
    <t>SOIC</t>
  </si>
  <si>
    <t>Functional Safety-Capable</t>
  </si>
  <si>
    <t>-40 to 125</t>
  </si>
  <si>
    <t>4.9 x 6</t>
  </si>
  <si>
    <t>ACTIVE</t>
  </si>
  <si>
    <t>17V Input 2A Synchronous Step-Down Converter MicroSiP™ Module With Integrated Inductor</t>
  </si>
  <si>
    <t>Power modules (integrated inductor)</t>
  </si>
  <si>
    <t>Catalog</t>
  </si>
  <si>
    <t>Buck,Inverting Buck-Boost,Synchronous Buck</t>
  </si>
  <si>
    <t>USIP,uSIP</t>
  </si>
  <si>
    <t/>
  </si>
  <si>
    <t>-40 to 125</t>
  </si>
  <si>
    <t>8.4,See data sheet</t>
  </si>
  <si>
    <t>3 x 2.8,See data sheet</t>
  </si>
  <si>
    <t>1.7,—</t>
  </si>
  <si>
    <t>0.8,—</t>
  </si>
  <si>
    <t>ACTIVE</t>
  </si>
  <si>
    <t>17V Input 1A Synchronous Step-Down Converter MicroSiP™ Module With Integrated Inductor</t>
  </si>
  <si>
    <t>Power modules (integrated inductor)</t>
  </si>
  <si>
    <t>Catalog</t>
  </si>
  <si>
    <t>Buck,Inverting Buck-Boost,Synchronous Buck</t>
  </si>
  <si>
    <t>USIP,uSIP</t>
  </si>
  <si>
    <t/>
  </si>
  <si>
    <t>-40 to 125</t>
  </si>
  <si>
    <t>8.4,See data sheet</t>
  </si>
  <si>
    <t>3 x 2.8,See data sheet</t>
  </si>
  <si>
    <t>1.7,—</t>
  </si>
  <si>
    <t>0.8,—</t>
  </si>
  <si>
    <t>ACTIVE</t>
  </si>
  <si>
    <t>4-A, 120-V half bridge gate driver with 5-V UVLO and negative voltage handling</t>
  </si>
  <si>
    <t>Half-bridge drivers</t>
  </si>
  <si>
    <t>Catalog</t>
  </si>
  <si>
    <t>SOIC,WSON</t>
  </si>
  <si>
    <t/>
  </si>
  <si>
    <t>-40 to 150</t>
  </si>
  <si>
    <t>8,10</t>
  </si>
  <si>
    <t>16,29.4</t>
  </si>
  <si>
    <t>4 x 4,4.9 x 6</t>
  </si>
  <si>
    <t>0.8,1.75</t>
  </si>
  <si>
    <t>0.8,1.27</t>
  </si>
  <si>
    <t>ACTIVE</t>
  </si>
  <si>
    <t>Dual-Channel 6+2/5+3 D-CAP+TM Multiphase Step-Down Controller with PMBus and NVM</t>
  </si>
  <si>
    <t>AC/DC &amp; DC/DC controllers (external FET)</t>
  </si>
  <si>
    <t>Catalog</t>
  </si>
  <si>
    <t>Multiphase</t>
  </si>
  <si>
    <t>WQFN</t>
  </si>
  <si>
    <t/>
  </si>
  <si>
    <t>-40 to 125</t>
  </si>
  <si>
    <t>5 x 5</t>
  </si>
  <si>
    <t>ACTIVE</t>
  </si>
  <si>
    <t>-8V, P channel NexFET™ power MOSFET, single WLP 1.5 mm x 1.5 mm, 5.7 mOhm, gate ESD protection</t>
  </si>
  <si>
    <t>MOSFETs</t>
  </si>
  <si>
    <t>Catalog</t>
  </si>
  <si>
    <t>DSBGA</t>
  </si>
  <si>
    <t/>
  </si>
  <si>
    <t>-55 to 150</t>
  </si>
  <si>
    <t>1.75 x 1.75</t>
  </si>
  <si>
    <t>ACTIVE</t>
  </si>
  <si>
    <t>6V to 42V Synchronous Buck DC-DC Controller With Wide Duty Cycle Range</t>
  </si>
  <si>
    <t>AC/DC &amp; DC/DC controllers (external FET)</t>
  </si>
  <si>
    <t>Catalog</t>
  </si>
  <si>
    <t>Buck Controller</t>
  </si>
  <si>
    <t>VQFN</t>
  </si>
  <si>
    <t/>
  </si>
  <si>
    <t>-40 to 125</t>
  </si>
  <si>
    <t>4.5 x 3.5</t>
  </si>
  <si>
    <t>ACTIVE</t>
  </si>
  <si>
    <t>Automotive 2-A/3.36-V + 2-A/1.54-V buck converters &amp; 300-mA/3.3-V + 300-mA/1.0-V linear regulators</t>
  </si>
  <si>
    <t>Multi-channel ICs (PMICs)</t>
  </si>
  <si>
    <t>Automotive</t>
  </si>
  <si>
    <t>VQFN</t>
  </si>
  <si>
    <t/>
  </si>
  <si>
    <t>-40 to 125</t>
  </si>
  <si>
    <t>5 x 5</t>
  </si>
  <si>
    <t>ACTIVE</t>
  </si>
  <si>
    <t>Automotive 2-A/1.25-V + 2-A/3.3-V buck converters &amp; dual 300-mA/3.3-V linear regulators</t>
  </si>
  <si>
    <t>Multi-channel ICs (PMICs)</t>
  </si>
  <si>
    <t>Automotive</t>
  </si>
  <si>
    <t>VQFN</t>
  </si>
  <si>
    <t/>
  </si>
  <si>
    <t>-40 to 125</t>
  </si>
  <si>
    <t>5 x 5</t>
  </si>
  <si>
    <t>ACTIVE</t>
  </si>
  <si>
    <t>3kVrms/5kVrms, 2A/1A single-channel isolated gate driver with miller clamp, 12V UVLO &amp; D or DWV pkg</t>
  </si>
  <si>
    <t>Isolated gate drivers</t>
  </si>
  <si>
    <t>Catalog</t>
  </si>
  <si>
    <t>SOIC</t>
  </si>
  <si>
    <t/>
  </si>
  <si>
    <t>-40 to 125</t>
  </si>
  <si>
    <t>29.4,67.275</t>
  </si>
  <si>
    <t>4.9 x 6,5.85 x 11.5</t>
  </si>
  <si>
    <t>1.75,2.8</t>
  </si>
  <si>
    <t>ACTIVE</t>
  </si>
  <si>
    <t>3k/5kVrms, 2A/2A single-channel isolated gate driver with UVLO referenced to GND or split output</t>
  </si>
  <si>
    <t>Isolated gate drivers</t>
  </si>
  <si>
    <t>Automotive,Catalog</t>
  </si>
  <si>
    <t>SOIC</t>
  </si>
  <si>
    <t/>
  </si>
  <si>
    <t>-40 to 125</t>
  </si>
  <si>
    <t>29.4,67.275</t>
  </si>
  <si>
    <t>4.9 x 6,5.85 x 11.5</t>
  </si>
  <si>
    <t>1.75,2.8</t>
  </si>
  <si>
    <t>ACTIVE</t>
  </si>
  <si>
    <t>100-mA, 30-V, low-dropout voltage regulator</t>
  </si>
  <si>
    <t>Linear &amp; low-dropout (LDO) regulators</t>
  </si>
  <si>
    <t>Catalog</t>
  </si>
  <si>
    <t>SOT-23</t>
  </si>
  <si>
    <t/>
  </si>
  <si>
    <t>-40 to 125</t>
  </si>
  <si>
    <t>2.92 x 2.37</t>
  </si>
  <si>
    <t>ACTIVE</t>
  </si>
  <si>
    <t>500-mA, low-noise, high-PSRR, adjustable ultra-low-dropout voltage regulator with high-accuracy</t>
  </si>
  <si>
    <t>Linear &amp; low-dropout (LDO) regulators</t>
  </si>
  <si>
    <t>Catalog</t>
  </si>
  <si>
    <t>WSON</t>
  </si>
  <si>
    <t/>
  </si>
  <si>
    <t>-40 to 125</t>
  </si>
  <si>
    <t>2.5 x 2.5</t>
  </si>
  <si>
    <t>ACTIVE</t>
  </si>
  <si>
    <t>IEEE 802.3bt PoE high-power PD interface with advanced startup</t>
  </si>
  <si>
    <t>Powered devices</t>
  </si>
  <si>
    <t>Catalog</t>
  </si>
  <si>
    <t>VQFN</t>
  </si>
  <si>
    <t/>
  </si>
  <si>
    <t>-40 to 125</t>
  </si>
  <si>
    <t>5 x 5</t>
  </si>
  <si>
    <t>ACTIVE</t>
  </si>
  <si>
    <t>1.5-V to 18-V, 25-A synchronous SWIFT™ buck converter with differential remote sense and PMBus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</si>
  <si>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</si>
  <si>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</si>
  <si>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</si>
  <si>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</si>
  <si>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</si>
  <si>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</si>
  <si>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</si>
  <si>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</si>
  <si>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2-A, low-VIN (1.1-V), low-noise, high-accuracy, ultra-low-dropout voltage regulator with power good</t>
  </si>
  <si>
    <t>Linear &amp; low-dropout (LDO) regulators</t>
  </si>
  <si>
    <t>Catalog</t>
  </si>
  <si>
    <t>VQFN</t>
  </si>
  <si>
    <t/>
  </si>
  <si>
    <t>-40 to 125</t>
  </si>
  <si>
    <t>12.25,25</t>
  </si>
  <si>
    <t>3.5 x 3.5,5 x 5</t>
  </si>
  <si>
    <t>0.5,0.65</t>
  </si>
  <si>
    <t>ACTIVE</t>
  </si>
  <si>
    <t>55V wide VIN synchronous 4-switch buck-boost controller</t>
  </si>
  <si>
    <t>AC/DC &amp; DC/DC controllers (external FET)</t>
  </si>
  <si>
    <t>Catalog</t>
  </si>
  <si>
    <t>Buck-Boost</t>
  </si>
  <si>
    <t>HTSSOP,VQFN</t>
  </si>
  <si>
    <t>Functional Safety-Capable</t>
  </si>
  <si>
    <t>-40 to 125</t>
  </si>
  <si>
    <t>20,62.08</t>
  </si>
  <si>
    <t>5 x 4,9.7 x 6.4</t>
  </si>
  <si>
    <t>1,1.2</t>
  </si>
  <si>
    <t>0.5,0.65</t>
  </si>
  <si>
    <t>ACTIVE</t>
  </si>
  <si>
    <t>4.5-V to 28-V Input, 3-A output, synchronous 350-kHz FCCM step-down converter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</si>
  <si>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</si>
  <si>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</si>
  <si>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</si>
  <si>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</si>
  <si>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</si>
  <si>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</si>
  <si>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</si>
  <si>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</si>
  <si>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75V Synchronous Buck Controller With Wide Input Voltage and Duty Cycle Ranges</t>
  </si>
  <si>
    <t>AC/DC &amp; DC/DC controllers (external FET)</t>
  </si>
  <si>
    <t>Catalog</t>
  </si>
  <si>
    <t>Buck</t>
  </si>
  <si>
    <t>VQFN</t>
  </si>
  <si>
    <t/>
  </si>
  <si>
    <t>-40 to 125</t>
  </si>
  <si>
    <t>4.5 x 3.5</t>
  </si>
  <si>
    <t>ACTIVE</t>
  </si>
  <si>
    <t>4-A, low-VIN (1.1-V), low-noise, high-accuracy, ultra-low-dropout voltage regulator with power good</t>
  </si>
  <si>
    <t>Linear &amp; low-dropout (LDO) regulators</t>
  </si>
  <si>
    <t>Catalog</t>
  </si>
  <si>
    <t>VQFN</t>
  </si>
  <si>
    <t/>
  </si>
  <si>
    <t>-40 to 125</t>
  </si>
  <si>
    <t>3.5 x 3.5</t>
  </si>
  <si>
    <t>ACTIVE</t>
  </si>
  <si>
    <t>12-channel high-brightness LED matrix manager for automotive headlight systems</t>
  </si>
  <si>
    <t>Automotive LED drivers</t>
  </si>
  <si>
    <t>Automotive</t>
  </si>
  <si>
    <t>Floating Switch</t>
  </si>
  <si>
    <t>HTQFP</t>
  </si>
  <si>
    <t/>
  </si>
  <si>
    <t>-40 to 125</t>
  </si>
  <si>
    <t>9 x 9</t>
  </si>
  <si>
    <t>ACTIVE</t>
  </si>
  <si>
    <t>Integrated power management (PMIC) for ARM® Cortex™-A8/A9 SOCs and FPGAs</t>
  </si>
  <si>
    <t>Multi-channel ICs (PMICs)</t>
  </si>
  <si>
    <t>Catalog</t>
  </si>
  <si>
    <t>HTQFP,VQFN</t>
  </si>
  <si>
    <t/>
  </si>
  <si>
    <t>-40 to 105</t>
  </si>
  <si>
    <t>36,81</t>
  </si>
  <si>
    <t>6 x 6,9 x 9</t>
  </si>
  <si>
    <t>1,1.2</t>
  </si>
  <si>
    <t>0.4,0.5</t>
  </si>
  <si>
    <t>ACTIVE</t>
  </si>
  <si>
    <t>42-V automotive dual buck LED controller with SPI interface, analog and PWM dimming</t>
  </si>
  <si>
    <t>Automotive LED drivers</t>
  </si>
  <si>
    <t>Automotive</t>
  </si>
  <si>
    <t>Buck Controller</t>
  </si>
  <si>
    <t>HTSSOP</t>
  </si>
  <si>
    <t/>
  </si>
  <si>
    <t>-40 to 125</t>
  </si>
  <si>
    <t>7.8 x 6.4</t>
  </si>
  <si>
    <t>ACTIVE</t>
  </si>
  <si>
    <t>65-V automotive Dual buck LED controller with SPI interface, analog and PWM dimming</t>
  </si>
  <si>
    <t>Automotive LED drivers</t>
  </si>
  <si>
    <t>Automotive</t>
  </si>
  <si>
    <t>Buck Controller</t>
  </si>
  <si>
    <t>HTSSOP</t>
  </si>
  <si>
    <t/>
  </si>
  <si>
    <t>-40 to 125</t>
  </si>
  <si>
    <t>7.8 x 6.4</t>
  </si>
  <si>
    <t>ACTIVE</t>
  </si>
  <si>
    <t>USB charging port controller and 3A power switch with load detection</t>
  </si>
  <si>
    <t>USB power switches &amp; charging port controllers</t>
  </si>
  <si>
    <t>Catalog</t>
  </si>
  <si>
    <t>WQFN</t>
  </si>
  <si>
    <t/>
  </si>
  <si>
    <t>-40 to 115</t>
  </si>
  <si>
    <t>3 x 3</t>
  </si>
  <si>
    <t>ACTIVE</t>
  </si>
  <si>
    <t>4.0-V to 18-V input, triple 3-A/2-A/2-A synchronous buck converter</t>
  </si>
  <si>
    <t>AC/DC &amp; DC/DC converters (integrated FET)</t>
  </si>
  <si>
    <t>Automotive</t>
  </si>
  <si>
    <t>Buck</t>
  </si>
  <si>
    <t>VQFN</t>
  </si>
  <si>
    <t/>
  </si>
  <si>
    <t>-40 to 125</t>
  </si>
  <si>
    <t>5 x 5</t>
  </si>
  <si>
    <t>ACTIVE</t>
  </si>
  <si>
    <t>LP8863-Q1 Automotive Display LED-Backlight driver with Six 150-mA channels</t>
  </si>
  <si>
    <t>Automotive LED drivers,Backlight LED drivers</t>
  </si>
  <si>
    <t>Automotive</t>
  </si>
  <si>
    <t>Boost with Current Sink,SEPIC Controller</t>
  </si>
  <si>
    <t>HTSSOP</t>
  </si>
  <si>
    <t/>
  </si>
  <si>
    <t>-40 to 125</t>
  </si>
  <si>
    <t>9.7 x 6.4</t>
  </si>
  <si>
    <t>ACTIVE</t>
  </si>
  <si>
    <t>30-V, 7-ch NMOS array low-side driver</t>
  </si>
  <si>
    <t>Low-side switches</t>
  </si>
  <si>
    <t>Catalog</t>
  </si>
  <si>
    <t>SOIC,TSSOP</t>
  </si>
  <si>
    <t/>
  </si>
  <si>
    <t>-40 to 125</t>
  </si>
  <si>
    <t>32,59.4</t>
  </si>
  <si>
    <t>5 x 6.4,9.9 x 6</t>
  </si>
  <si>
    <t>1.2,1.75</t>
  </si>
  <si>
    <t>0.65,1.27</t>
  </si>
  <si>
    <t>ACTIVE</t>
  </si>
  <si>
    <t>2.5kVrms, 4A/6A dual-channel isolated gate driver with single PWM input, 8V UVLO &amp; LGA package</t>
  </si>
  <si>
    <t>Isolated gate drivers</t>
  </si>
  <si>
    <t>Catalog</t>
  </si>
  <si>
    <t>VLGA</t>
  </si>
  <si>
    <t/>
  </si>
  <si>
    <t>-40 to 125</t>
  </si>
  <si>
    <t>5 x 5</t>
  </si>
  <si>
    <t>ACTIVE</t>
  </si>
  <si>
    <t>1 W, 5-V input to 5-V output, 2 kVDC isolated DC/DC converter module with soft-start and Fsync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</si>
  <si>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</si>
  <si>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</si>
  <si>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</si>
  <si>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</si>
  <si>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</si>
  <si>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</si>
  <si>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</si>
  <si>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</si>
  <si>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</si>
  <si>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</si>
  <si>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</si>
  <si>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</si>
  <si>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</si>
  <si>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</si>
  <si>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</si>
  <si>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</si>
  <si>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</si>
  <si>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</si>
  <si>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</si>
  <si>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</si>
  <si>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</si>
  <si>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</si>
  <si>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</si>
  <si>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</si>
  <si>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</si>
  <si>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</si>
  <si>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</si>
  <si>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</si>
  <si>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</si>
  <si>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</si>
  <si>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</si>
  <si>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</si>
  <si>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</si>
  <si>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</si>
  <si>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</si>
  <si>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</si>
  <si>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</si>
  <si>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</si>
  <si>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</si>
  <si>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</si>
  <si>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</si>
  <si>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</si>
  <si>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</si>
  <si>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</si>
  <si>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</si>
  <si>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</si>
  <si>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</si>
  <si>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</si>
  <si>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</si>
  <si>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</si>
  <si>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</si>
  <si>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</si>
  <si>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</si>
  <si>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</si>
  <si>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</si>
  <si>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</si>
  <si>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</si>
  <si>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</si>
  <si>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</si>
  <si>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USB Type-C™ 8.1-Gbps multi-protocol linear redriver</t>
  </si>
  <si>
    <t>USB Type-C &amp; USB Power Delivery ICs</t>
  </si>
  <si>
    <t>Catalog</t>
  </si>
  <si>
    <t>WQFN</t>
  </si>
  <si>
    <t/>
  </si>
  <si>
    <t>-40 to 85</t>
  </si>
  <si>
    <t>6 x 4</t>
  </si>
  <si>
    <t>ACTIVE</t>
  </si>
  <si>
    <t>4.5V to 17V Input, 1A Synchronous Step-Down Voltage Regulator in 6-pin SOT-23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</si>
  <si>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</si>
  <si>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</si>
  <si>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</si>
  <si>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</si>
  <si>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</si>
  <si>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</si>
  <si>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</si>
  <si>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</si>
  <si>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4.5V to 17V Input, 1A Output, Synchronous Step-Down Converter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</si>
  <si>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</si>
  <si>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</si>
  <si>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</si>
  <si>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</si>
  <si>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</si>
  <si>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</si>
  <si>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</si>
  <si>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</si>
  <si>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2.5kVrms, 4A/6A dual-channel isolated gate driver with dual input, 5V UVLO &amp; LGA package</t>
  </si>
  <si>
    <t>Isolated gate drivers</t>
  </si>
  <si>
    <t>Catalog</t>
  </si>
  <si>
    <t>VLGA</t>
  </si>
  <si>
    <t/>
  </si>
  <si>
    <t>-40 to 125</t>
  </si>
  <si>
    <t>5 x 5</t>
  </si>
  <si>
    <t>ACTIVE</t>
  </si>
  <si>
    <t>28-V Output Voltage Boost Converter with Power Diode and Isolation Switch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</si>
  <si>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</si>
  <si>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</si>
  <si>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</si>
  <si>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</si>
  <si>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</si>
  <si>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</si>
  <si>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</si>
  <si>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</si>
  <si>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28-V Output Voltage Boost Converter with 1-µA Quiescent Current</t>
  </si>
  <si>
    <t>AC/DC &amp; DC/DC converters (integrated FET)</t>
  </si>
  <si>
    <t>Catalog</t>
  </si>
  <si>
    <t>Boost</t>
  </si>
  <si>
    <t>WSON</t>
  </si>
  <si>
    <t/>
  </si>
  <si>
    <t>-40 to 125</t>
  </si>
  <si>
    <t>3 x 2</t>
  </si>
  <si>
    <t>ACTIVE</t>
  </si>
  <si>
    <t>Multi-rail power supply (PMIC) for microcontrollers in safety applications</t>
  </si>
  <si>
    <t>Multi-channel ICs (PMICs)</t>
  </si>
  <si>
    <t>Automotive</t>
  </si>
  <si>
    <t>HTSSOP</t>
  </si>
  <si>
    <t>Functional Safety-Compliant</t>
  </si>
  <si>
    <t>-40 to 125</t>
  </si>
  <si>
    <t>11 x 8.1</t>
  </si>
  <si>
    <t>ACTIVE</t>
  </si>
  <si>
    <t>40-V, N channel synchronous buck NexFET™ power MOSFET, SON 5 mm x 6 mm Dual-Cool™ power block, 50 A</t>
  </si>
  <si>
    <t>MOSFETs</t>
  </si>
  <si>
    <t>Catalog</t>
  </si>
  <si>
    <t>VSON-CLIP</t>
  </si>
  <si>
    <t/>
  </si>
  <si>
    <t>-55 to 150</t>
  </si>
  <si>
    <t>6 x 5</t>
  </si>
  <si>
    <t>ACTIVE</t>
  </si>
  <si>
    <t>60-V, N channel synchronous buck NexFET™ power MOSFET, SON 5 mm x 6 mm Dual-Cool™ power block, 40 A</t>
  </si>
  <si>
    <t>MOSFETs</t>
  </si>
  <si>
    <t>Catalog</t>
  </si>
  <si>
    <t>VSON-CLIP</t>
  </si>
  <si>
    <t/>
  </si>
  <si>
    <t>-55 to 150</t>
  </si>
  <si>
    <t>6 x 5</t>
  </si>
  <si>
    <t>ACTIVE</t>
  </si>
  <si>
    <t>3-A, low-VIN (1.1-V), low-noise, high-accuracy, ultra-low-dropout voltage regulator with power good</t>
  </si>
  <si>
    <t>Linear &amp; low-dropout (LDO) regulators</t>
  </si>
  <si>
    <t>Catalog</t>
  </si>
  <si>
    <t>VQFN</t>
  </si>
  <si>
    <t/>
  </si>
  <si>
    <t>-40 to 125</t>
  </si>
  <si>
    <t>3.5 x 3.5</t>
  </si>
  <si>
    <t>ACTIVE</t>
  </si>
  <si>
    <t>Multiphase 4MHz, 4A/1.8V + 2.5A/2.3V + 1.5A/3.3V + 1.5A/1.2V buck converters for AWR and IWR MMICs</t>
  </si>
  <si>
    <t>Multi-channel ICs (PMICs)</t>
  </si>
  <si>
    <t>Automotive</t>
  </si>
  <si>
    <t>VQFN-HR</t>
  </si>
  <si>
    <t/>
  </si>
  <si>
    <t>-40 to 125</t>
  </si>
  <si>
    <t>4.5 x 4</t>
  </si>
  <si>
    <t>ACTIVE</t>
  </si>
  <si>
    <t>Automotive USB Type-C™ DFP controller and power switch</t>
  </si>
  <si>
    <t>USB Type-C &amp; USB Power Delivery ICs</t>
  </si>
  <si>
    <t>Automotive</t>
  </si>
  <si>
    <t>WQFN</t>
  </si>
  <si>
    <t/>
  </si>
  <si>
    <t>-40 to 125</t>
  </si>
  <si>
    <t>4 x 3</t>
  </si>
  <si>
    <t>ACTIVE</t>
  </si>
  <si>
    <t>Automotive 5-A/5-A dual-channel gate driver with 5-V UVLO and negative input voltage handling</t>
  </si>
  <si>
    <t>Low-side drivers</t>
  </si>
  <si>
    <t>Automotive</t>
  </si>
  <si>
    <t>HVSSOP</t>
  </si>
  <si>
    <t/>
  </si>
  <si>
    <t>-40 to 140</t>
  </si>
  <si>
    <t>3 x 4.9</t>
  </si>
  <si>
    <t>ACTIVE</t>
  </si>
  <si>
    <t>1.2-A, 5-A 90-V, half bridge gate driver with 5-V UVLO for GaNFET and MOSFET</t>
  </si>
  <si>
    <t>Half-bridge drivers</t>
  </si>
  <si>
    <t>Catalog</t>
  </si>
  <si>
    <t>DSBGA</t>
  </si>
  <si>
    <t/>
  </si>
  <si>
    <t>-40 to 125</t>
  </si>
  <si>
    <t>1.8 x 1.8</t>
  </si>
  <si>
    <t>ACTIVE</t>
  </si>
  <si>
    <t>Automotive, 20-ppm/°C (max), 100-µA, 3-pin SOT-23 series voltage reference</t>
  </si>
  <si>
    <t>Series voltage references</t>
  </si>
  <si>
    <t>Automotive</t>
  </si>
  <si>
    <t>SOT-23</t>
  </si>
  <si>
    <t>Functional Safety-Capable</t>
  </si>
  <si>
    <t>-40 to 125</t>
  </si>
  <si>
    <t>2.92 x 2.37</t>
  </si>
  <si>
    <t>ACTIVE</t>
  </si>
  <si>
    <t>30-V, N channel NexFET™ power MOSFET, dual common drain SON 3 mm x 3 mm, 5.5 mOhm</t>
  </si>
  <si>
    <t>MOSFETs</t>
  </si>
  <si>
    <t>Catalog</t>
  </si>
  <si>
    <t>WSON-CLIP</t>
  </si>
  <si>
    <t/>
  </si>
  <si>
    <t>-55 to 150</t>
  </si>
  <si>
    <t>3.3 x 3.3</t>
  </si>
  <si>
    <t>ACTIVE</t>
  </si>
  <si>
    <t>4-V to 14-V, 40-A synchronous SWIFT™ buck converter with adaptive internal compensation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</si>
  <si>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</si>
  <si>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</si>
  <si>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</si>
  <si>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</si>
  <si>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</si>
  <si>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</si>
  <si>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</si>
  <si>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</si>
  <si>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Automotive 2.95-V to 6-V, 2-A, 2-MHz synchronous buck converter</t>
  </si>
  <si>
    <t>AC/DC &amp; DC/DC converters (integrated FET)</t>
  </si>
  <si>
    <t>Automotive</t>
  </si>
  <si>
    <t>Buck</t>
  </si>
  <si>
    <t>WQFN</t>
  </si>
  <si>
    <t>Functional Safety-Capable</t>
  </si>
  <si>
    <t>-40 to 125</t>
  </si>
  <si>
    <t>3 x 3</t>
  </si>
  <si>
    <t>ACTIVE</t>
  </si>
  <si>
    <t>3.8-MHz, 5-V / 4-A Boost in 1.2-mm x 1.3-mm WCSP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</si>
  <si>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</si>
  <si>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</si>
  <si>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</si>
  <si>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</si>
  <si>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</si>
  <si>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</si>
  <si>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</si>
  <si>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</si>
  <si>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Automotive, high-accuracy voltage supervisor with Integrated watchdog timer</t>
  </si>
  <si>
    <t>Reset &amp; watchdog ICs</t>
  </si>
  <si>
    <t>Automotive</t>
  </si>
  <si>
    <t>VSON</t>
  </si>
  <si>
    <t>Functional Safety-Capable</t>
  </si>
  <si>
    <t>-40 to 125</t>
  </si>
  <si>
    <t>3 x 3</t>
  </si>
  <si>
    <t>ACTIVE</t>
  </si>
  <si>
    <t>Automotive 300-mA, off-battery (40-V), high-PSRR, low-IQ, low-dropout voltage regulator</t>
  </si>
  <si>
    <t>Linear &amp; low-dropout (LDO) regulators</t>
  </si>
  <si>
    <t>Automotive</t>
  </si>
  <si>
    <t>HTSSOP</t>
  </si>
  <si>
    <t>Functional Safety-Capable</t>
  </si>
  <si>
    <t>-40 to 125</t>
  </si>
  <si>
    <t>5 x 6.4</t>
  </si>
  <si>
    <t>ACTIVE</t>
  </si>
  <si>
    <t>3-17V 4.0A Step-Down Converter with 1% accuracy and PFM/Forced-PWM in 2x3QFN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</si>
  <si>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</si>
  <si>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</si>
  <si>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</si>
  <si>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</si>
  <si>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</si>
  <si>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</si>
  <si>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</si>
  <si>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</si>
  <si>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300-mA, high-PSRR, low-IQ, low-dropout voltage regulator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</si>
  <si>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</si>
  <si>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</si>
  <si>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</si>
  <si>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</si>
  <si>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</si>
  <si>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</si>
  <si>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</si>
  <si>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Automotive 47-V half-bridge smart gate driver with SPI control</t>
  </si>
  <si>
    <t>Half-bridge drivers</t>
  </si>
  <si>
    <t>Automotive</t>
  </si>
  <si>
    <t>External FET</t>
  </si>
  <si>
    <t>VQFN</t>
  </si>
  <si>
    <t/>
  </si>
  <si>
    <t>-40 to 125</t>
  </si>
  <si>
    <t>5 x 5</t>
  </si>
  <si>
    <t>ACTIVE</t>
  </si>
  <si>
    <t>Automotive 10-A, 2-phase + 2-phase, two output buck converters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</si>
  <si>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</si>
  <si>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</si>
  <si>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</si>
  <si>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</si>
  <si>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</si>
  <si>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</si>
  <si>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</si>
  <si>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2-Phase, D-CAP+&amp;trade; Step-Down Controller for Intel VR13 CPU VCORE and DDR Memory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</si>
  <si>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</si>
  <si>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</si>
  <si>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</si>
  <si>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</si>
  <si>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</si>
  <si>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</si>
  <si>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</si>
  <si>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</si>
  <si>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40-V, N channel NexFET™ power MOSFET, single SON 5 mm x 6 mm, 0.96 mOhm</t>
  </si>
  <si>
    <t>MOSFETs</t>
  </si>
  <si>
    <t>Catalog</t>
  </si>
  <si>
    <t>VSON-CLIP</t>
  </si>
  <si>
    <t/>
  </si>
  <si>
    <t>-55 to 150</t>
  </si>
  <si>
    <t>6 x 5</t>
  </si>
  <si>
    <t>ACTIVE</t>
  </si>
  <si>
    <t>4.5V-to-28V Input Voltage, Synchronous Buck LED driver</t>
  </si>
  <si>
    <t>Illumination  LED drivers</t>
  </si>
  <si>
    <t>Catalog</t>
  </si>
  <si>
    <t>Buck,Inductive</t>
  </si>
  <si>
    <t>SOT-23-THN</t>
  </si>
  <si>
    <t/>
  </si>
  <si>
    <t>-40 to 125</t>
  </si>
  <si>
    <t>2.9 x 2.8</t>
  </si>
  <si>
    <t>ACTIVE</t>
  </si>
  <si>
    <t>Automotive 1.2-A/5-A, 100-V half bridge gate driver for GaNFET</t>
  </si>
  <si>
    <t>Half-bridge drivers</t>
  </si>
  <si>
    <t>Automotive</t>
  </si>
  <si>
    <t>WSON</t>
  </si>
  <si>
    <t/>
  </si>
  <si>
    <t>-40 to 125</t>
  </si>
  <si>
    <t>4 x 4</t>
  </si>
  <si>
    <t>ACTIVE</t>
  </si>
  <si>
    <t>high accuracy LED controller with spread spectrum frequency modulation and internal PWM Generator</t>
  </si>
  <si>
    <t>Illumination  LED drivers</t>
  </si>
  <si>
    <t>Catalog</t>
  </si>
  <si>
    <t>Boost,Buck,Buck-Boost,Cuk,Flyback,SEPIC</t>
  </si>
  <si>
    <t>HTSSOP</t>
  </si>
  <si>
    <t/>
  </si>
  <si>
    <t>-40 to 125</t>
  </si>
  <si>
    <t>6.5 x 6.4</t>
  </si>
  <si>
    <t>ACTIVE</t>
  </si>
  <si>
    <t>high-accuracy LED controller with spread spectrum frequency modulation and internal PWM Generator</t>
  </si>
  <si>
    <t>Automotive LED drivers</t>
  </si>
  <si>
    <t>Automotive</t>
  </si>
  <si>
    <t>Boost Controller,Buck Controller,Buck-Boost Controller,Cuk Controller,Flyback Controller,SEPIC Controller</t>
  </si>
  <si>
    <t>HTSSOP</t>
  </si>
  <si>
    <t/>
  </si>
  <si>
    <t>-40 to 125</t>
  </si>
  <si>
    <t>6.5 x 6.4</t>
  </si>
  <si>
    <t>ACTIVE</t>
  </si>
  <si>
    <t>40-V, N channel NexFET™ power MOSFET, single TO-220, 1.7 mOhm</t>
  </si>
  <si>
    <t>MOSFETs</t>
  </si>
  <si>
    <t>Catalog</t>
  </si>
  <si>
    <t>TO-220</t>
  </si>
  <si>
    <t/>
  </si>
  <si>
    <t>-55 to 175</t>
  </si>
  <si>
    <t>10.16 x 4.55</t>
  </si>
  <si>
    <t>ACTIVE</t>
  </si>
  <si>
    <t>Automotive low-quiescent current 1% accuracy supervisor with programmable delay</t>
  </si>
  <si>
    <t>Reset &amp; watchdog ICs</t>
  </si>
  <si>
    <t>Automotive</t>
  </si>
  <si>
    <t>WSON</t>
  </si>
  <si>
    <t>Functional Safety-Capable</t>
  </si>
  <si>
    <t>-40 to 125</t>
  </si>
  <si>
    <t>1.5 x 1.5</t>
  </si>
  <si>
    <t>ACTIVE</t>
  </si>
  <si>
    <t>Low Iq, Wide Input Range Synchronous Buck Controller</t>
  </si>
  <si>
    <t>AC/DC &amp; DC/DC controllers (external FET)</t>
  </si>
  <si>
    <t>Catalog</t>
  </si>
  <si>
    <t>Buck Controller</t>
  </si>
  <si>
    <t>VQFN</t>
  </si>
  <si>
    <t/>
  </si>
  <si>
    <t>-40 to 125</t>
  </si>
  <si>
    <t>4 x 4</t>
  </si>
  <si>
    <t>ACTIVE</t>
  </si>
  <si>
    <t>Low Iq, Wide Input Range Synchronous Buck Controller</t>
  </si>
  <si>
    <t>AC/DC &amp; DC/DC controllers (external FET)</t>
  </si>
  <si>
    <t>Catalog</t>
  </si>
  <si>
    <t>Buck</t>
  </si>
  <si>
    <t>VQFN</t>
  </si>
  <si>
    <t/>
  </si>
  <si>
    <t>-40 to 125</t>
  </si>
  <si>
    <t>4 x 4</t>
  </si>
  <si>
    <t>ACTIVE</t>
  </si>
  <si>
    <t>4.5V to 60V Input, 5A, Step-Down DC-DC Converter with Eco-mode&amp;trade;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</si>
  <si>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</si>
  <si>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</si>
  <si>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</si>
  <si>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</si>
  <si>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</si>
  <si>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</si>
  <si>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</si>
  <si>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</si>
  <si>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80V GaN Half Bridge Power Stage</t>
  </si>
  <si>
    <t>Gallium nitride (GaN) power stages</t>
  </si>
  <si>
    <t>Catalog</t>
  </si>
  <si>
    <t>QFM</t>
  </si>
  <si>
    <t/>
  </si>
  <si>
    <t>-40 to 125</t>
  </si>
  <si>
    <t>8 x 6</t>
  </si>
  <si>
    <t>ACTIVE</t>
  </si>
  <si>
    <t>20-V, 10-A fully integrated sync boost with load disconnect</t>
  </si>
  <si>
    <t>AC/DC &amp; DC/DC converters (integrated FET)</t>
  </si>
  <si>
    <t>Catalog</t>
  </si>
  <si>
    <t>Boost</t>
  </si>
  <si>
    <t>VQFN-HR</t>
  </si>
  <si>
    <t/>
  </si>
  <si>
    <t>-40 to 125</t>
  </si>
  <si>
    <t>3.5 x 3</t>
  </si>
  <si>
    <t>ACTIVE</t>
  </si>
  <si>
    <t>Automotive 2.2-MHz, low-IQ synchronous buck controller with frequency spread spectrum</t>
  </si>
  <si>
    <t>AC/DC &amp; DC/DC controllers (external FET)</t>
  </si>
  <si>
    <t>Automotive</t>
  </si>
  <si>
    <t>Buck Controller</t>
  </si>
  <si>
    <t>VQFN</t>
  </si>
  <si>
    <t>Functional Safety-Capable</t>
  </si>
  <si>
    <t>-40 to 150</t>
  </si>
  <si>
    <t>4 x 4</t>
  </si>
  <si>
    <t>ACTIVE</t>
  </si>
  <si>
    <t>Automotive, high-accuracy voltage supervisor with integrated window watchdog timer</t>
  </si>
  <si>
    <t>Reset &amp; watchdog ICs</t>
  </si>
  <si>
    <t>Automotive</t>
  </si>
  <si>
    <t>VSON</t>
  </si>
  <si>
    <t>Functional Safety-Capable</t>
  </si>
  <si>
    <t>-40 to 125</t>
  </si>
  <si>
    <t>3 x 3</t>
  </si>
  <si>
    <t>ACTIVE</t>
  </si>
  <si>
    <t>3V - 17V 3A AUTOMOTIVE Step-Down Converter In 3X3 QFN Package</t>
  </si>
  <si>
    <t>AC/DC &amp; DC/DC converters (integrated FET)</t>
  </si>
  <si>
    <t>Automotive</t>
  </si>
  <si>
    <t>Buck</t>
  </si>
  <si>
    <t>VQFN</t>
  </si>
  <si>
    <t>Functional Safety-Capable</t>
  </si>
  <si>
    <t>-40 to 125</t>
  </si>
  <si>
    <t>3 x 3</t>
  </si>
  <si>
    <t>ACTIVE</t>
  </si>
  <si>
    <t>Configurable multi-rail PMIC for Xilinx MPSoCs and FPGAs</t>
  </si>
  <si>
    <t>Multi-channel ICs (PMICs)</t>
  </si>
  <si>
    <t>Catalog</t>
  </si>
  <si>
    <t>VQFN</t>
  </si>
  <si>
    <t/>
  </si>
  <si>
    <t>-40 to 85</t>
  </si>
  <si>
    <t>8 x 8</t>
  </si>
  <si>
    <t>ACTIVE</t>
  </si>
  <si>
    <t>1.5-A, 30-V, linear voltage regulator</t>
  </si>
  <si>
    <t>Linear &amp; low-dropout (LDO) regulators</t>
  </si>
  <si>
    <t>Catalog</t>
  </si>
  <si>
    <t>SOT-223,TO-220,TO-263</t>
  </si>
  <si>
    <t/>
  </si>
  <si>
    <t>0 to 125</t>
  </si>
  <si>
    <t>3,4</t>
  </si>
  <si>
    <t>45.5,46.5328,154.8384</t>
  </si>
  <si>
    <t>10.16 x 15.24,10.16 x 4.58,6.5 x 7</t>
  </si>
  <si>
    <t>1.8,4.83,19.55</t>
  </si>
  <si>
    <t>2.3,2.54</t>
  </si>
  <si>
    <t>ACTIVE</t>
  </si>
  <si>
    <t>Automotive, 4.5V to 42V Input, 3.5A Step-Down Converter With Eco-Mode&amp;trade;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</si>
  <si>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</si>
  <si>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</si>
  <si>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</si>
  <si>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</si>
  <si>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</si>
  <si>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</si>
  <si>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</si>
  <si>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</si>
  <si>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Automotive, 60V Input, 3.5A, Step-Down DC-DC Converter With Eco-mode&amp;trade;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</si>
  <si>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</si>
  <si>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</si>
  <si>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</si>
  <si>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</si>
  <si>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</si>
  <si>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</si>
  <si>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</si>
  <si>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</si>
  <si>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4.5-V to 42-V input, 5-A, step-down DC-DC converter with Eco-mode™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</si>
  <si>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</si>
  <si>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</si>
  <si>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</si>
  <si>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</si>
  <si>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</si>
  <si>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</si>
  <si>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</si>
  <si>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</si>
  <si>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3.5-MHz, 5-V, 900-mA load boost converter in 1.2-mm x 1.3-mm WCSP, with pass-through mode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</si>
  <si>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</si>
  <si>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</si>
  <si>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</si>
  <si>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</si>
  <si>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</si>
  <si>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</si>
  <si>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</si>
  <si>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</si>
  <si>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Automotive, window supervisor for OV &amp; UV monitoring with window watchdog timer &amp; programmable delay</t>
  </si>
  <si>
    <t>Reset &amp; watchdog ICs</t>
  </si>
  <si>
    <t>Automotive</t>
  </si>
  <si>
    <t>VSON</t>
  </si>
  <si>
    <t>Functional Safety-Capable</t>
  </si>
  <si>
    <t>-40 to 125</t>
  </si>
  <si>
    <t>3 x 3</t>
  </si>
  <si>
    <t>ACTIVE</t>
  </si>
  <si>
    <t>Enhanced product, 36-V, 1-A, 4-μVRMS, RF LDO voltage regular</t>
  </si>
  <si>
    <t>Linear &amp; low-dropout (LDO) regulators</t>
  </si>
  <si>
    <t>HiRel Enhanced Product</t>
  </si>
  <si>
    <t>VQFN</t>
  </si>
  <si>
    <t/>
  </si>
  <si>
    <t>-55 to 125</t>
  </si>
  <si>
    <t>5 x 5</t>
  </si>
  <si>
    <t>ACTIVE</t>
  </si>
  <si>
    <t>4.5-V to 17-V, 8-A synchronous SWIFT™ buck converter with D-CAP3 control and Out-of-Audio™ mode</t>
  </si>
  <si>
    <t>AC/DC &amp; DC/DC converters (integrated FET)</t>
  </si>
  <si>
    <t>Catalog</t>
  </si>
  <si>
    <t>Buck</t>
  </si>
  <si>
    <t>VQFN-HR</t>
  </si>
  <si>
    <t/>
  </si>
  <si>
    <t>-40 to 125</t>
  </si>
  <si>
    <t>3.5 x 3.5</t>
  </si>
  <si>
    <t>ACTIVE</t>
  </si>
  <si>
    <t>500-mA, 6-MHz High-Efficiency Step-Down Converter, Vout=1.5V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</si>
  <si>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</si>
  <si>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</si>
  <si>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</si>
  <si>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</si>
  <si>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</si>
  <si>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</si>
  <si>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</si>
  <si>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</si>
  <si>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1.5-V to 18-V, 25-A synchronous SWIFT™ buck converter with differential remote sense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</si>
  <si>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</si>
  <si>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</si>
  <si>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</si>
  <si>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</si>
  <si>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</si>
  <si>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</si>
  <si>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</si>
  <si>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</si>
  <si>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LNB voltage regulator with I2C interface in FCCM mode</t>
  </si>
  <si>
    <t>AC/DC &amp; DC/DC converters (integrated FET)</t>
  </si>
  <si>
    <t>Catalog</t>
  </si>
  <si>
    <t>Boost</t>
  </si>
  <si>
    <t>WQFN</t>
  </si>
  <si>
    <t/>
  </si>
  <si>
    <t>-40 to 125</t>
  </si>
  <si>
    <t>3 x 3</t>
  </si>
  <si>
    <t>ACTIVE</t>
  </si>
  <si>
    <t>3.5-V to 60-V Input, 2.5A Step-Down Converter With Eco-mode&amp;trade;</t>
  </si>
  <si>
    <t>AC/DC &amp; DC/DC converters (integrated FET)</t>
  </si>
  <si>
    <t>HiRel Enhanced Product</t>
  </si>
  <si>
    <t>Buck</t>
  </si>
  <si>
    <t>HVSSOP,VSON</t>
  </si>
  <si>
    <t/>
  </si>
  <si>
    <t>-55 to 125</t>
  </si>
  <si>
    <t>9,14.7</t>
  </si>
  <si>
    <t>3 x 3,3 x 4.9</t>
  </si>
  <si>
    <t>1,1.1</t>
  </si>
  <si>
    <t>ACTIVE</t>
  </si>
  <si>
    <t>40-V, N channel NexFET™ power MOSFET, single SON 5 mm x 6 mm, 1.6 mOhm</t>
  </si>
  <si>
    <t>MOSFETs</t>
  </si>
  <si>
    <t>Catalog</t>
  </si>
  <si>
    <t>VSON-CLIP</t>
  </si>
  <si>
    <t/>
  </si>
  <si>
    <t>-55 to 150</t>
  </si>
  <si>
    <t>6 x 5</t>
  </si>
  <si>
    <t>ACTIVE</t>
  </si>
  <si>
    <t>5.7kVrms, 2.5A/5A enhanced 1-channel isolated gate driver w/split output, active protection features</t>
  </si>
  <si>
    <t>Isolated gate drivers</t>
  </si>
  <si>
    <t>HiRel Enhanced Product</t>
  </si>
  <si>
    <t>SOIC</t>
  </si>
  <si>
    <t/>
  </si>
  <si>
    <t>-55 to 125</t>
  </si>
  <si>
    <t>10.3 x 10.3</t>
  </si>
  <si>
    <t>ACTIVE</t>
  </si>
  <si>
    <t>Enhanced Plastic 2A, 60V Step Down DC/DC Converter with Low Iq, Voltage Supervision and Reset</t>
  </si>
  <si>
    <t>AC/DC &amp; DC/DC converters (integrated FET)</t>
  </si>
  <si>
    <t>HiRel Enhanced Product</t>
  </si>
  <si>
    <t>Buck</t>
  </si>
  <si>
    <t>HTSSOP</t>
  </si>
  <si>
    <t/>
  </si>
  <si>
    <t>-55 to 125</t>
  </si>
  <si>
    <t>6.5 x 6.4</t>
  </si>
  <si>
    <t>ACTIVE</t>
  </si>
  <si>
    <t>18-V, 3-A, 79-m&amp;Omega; load switch with adj. rise time and adj. output discharge</t>
  </si>
  <si>
    <t>Load switches</t>
  </si>
  <si>
    <t>Catalog</t>
  </si>
  <si>
    <t>SOT-23,WSON</t>
  </si>
  <si>
    <t/>
  </si>
  <si>
    <t>-40 to 105</t>
  </si>
  <si>
    <t>4,8.12</t>
  </si>
  <si>
    <t>2 x 2,2.9 x 2.8</t>
  </si>
  <si>
    <t>0.8,1.45</t>
  </si>
  <si>
    <t>0.65,0.95</t>
  </si>
  <si>
    <t>ACTIVE</t>
  </si>
  <si>
    <t>8V to 14V, 0.508V to 1.35V Output, 10A Power Module with Integrated Input and Output Capacitors</t>
  </si>
  <si>
    <t>Power modules (integrated inductor)</t>
  </si>
  <si>
    <t>Catalog</t>
  </si>
  <si>
    <t>Buck,Synchronous Buck</t>
  </si>
  <si>
    <t>QFM</t>
  </si>
  <si>
    <t/>
  </si>
  <si>
    <t>-40 to 85</t>
  </si>
  <si>
    <t>15 x 9</t>
  </si>
  <si>
    <t>ACTIVE</t>
  </si>
  <si>
    <t>8V to 14V Input, 1.2V to 2.05V Output, 10A Power Module with Integrated Input and Output Capacitors</t>
  </si>
  <si>
    <t>Power modules (integrated inductor)</t>
  </si>
  <si>
    <t>Catalog</t>
  </si>
  <si>
    <t>Buck,Synchronous Buck</t>
  </si>
  <si>
    <t>QFM</t>
  </si>
  <si>
    <t/>
  </si>
  <si>
    <t>-40 to 85</t>
  </si>
  <si>
    <t>15 x 9</t>
  </si>
  <si>
    <t>ACTIVE</t>
  </si>
  <si>
    <t>Automotive Qualified SIMPLE SWITCHER®, 4V to 36V, 2.5A Synchronous Step-Down Converter</t>
  </si>
  <si>
    <t>AC/DC &amp; DC/DC converters (integrated FET)</t>
  </si>
  <si>
    <t>Automotive</t>
  </si>
  <si>
    <t>Buck</t>
  </si>
  <si>
    <t>HSOIC,WSON</t>
  </si>
  <si>
    <t/>
  </si>
  <si>
    <t>-40 to 125</t>
  </si>
  <si>
    <t>8,12</t>
  </si>
  <si>
    <t>9,29.4</t>
  </si>
  <si>
    <t>3 x 3,4.9 x 6</t>
  </si>
  <si>
    <t>0.8,1.7</t>
  </si>
  <si>
    <t>0.5,1.27</t>
  </si>
  <si>
    <t>ACTIVE</t>
  </si>
  <si>
    <t>High Efficiency 4.5A Switch Single-Inductor Buck-Boost Converter</t>
  </si>
  <si>
    <t>AC/DC &amp; DC/DC converters (integrated FET)</t>
  </si>
  <si>
    <t>Catalog</t>
  </si>
  <si>
    <t>Buck-Boost</t>
  </si>
  <si>
    <t>DSBGA</t>
  </si>
  <si>
    <t/>
  </si>
  <si>
    <t>-40 to 125</t>
  </si>
  <si>
    <t>2.2 x 2.2</t>
  </si>
  <si>
    <t>ACTIVE</t>
  </si>
  <si>
    <t>3V-65V Input, 500mA Synchronous Buck Converter With Ultra-Low Iq</t>
  </si>
  <si>
    <t>AC/DC &amp; DC/DC converters (integrated FET)</t>
  </si>
  <si>
    <t>Catalog</t>
  </si>
  <si>
    <t>Buck</t>
  </si>
  <si>
    <t>VSON</t>
  </si>
  <si>
    <t/>
  </si>
  <si>
    <t>-40 to 150</t>
  </si>
  <si>
    <t>3 x 3</t>
  </si>
  <si>
    <t>ACTIVE</t>
  </si>
  <si>
    <t>Automotive Qualified SIMPLE SWITCHER, 4V to 36V, 1A Synchronous Step-Down Converter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</si>
  <si>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</si>
  <si>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</si>
  <si>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</si>
  <si>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</si>
  <si>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</si>
  <si>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</si>
  <si>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</si>
  <si>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</si>
  <si>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Automotive Qualified SIMPLE SWITCHER® 4V to 36V,3A Synchronous Step-Down Converter</t>
  </si>
  <si>
    <t>AC/DC &amp; DC/DC converters (integrated FET)</t>
  </si>
  <si>
    <t>Automotive</t>
  </si>
  <si>
    <t>Buck</t>
  </si>
  <si>
    <t>HSOIC,WSON</t>
  </si>
  <si>
    <t/>
  </si>
  <si>
    <t>-40 to 125</t>
  </si>
  <si>
    <t>8,12</t>
  </si>
  <si>
    <t>9,29.4</t>
  </si>
  <si>
    <t>3 x 3,4.9 x 6</t>
  </si>
  <si>
    <t>0.8,1.7</t>
  </si>
  <si>
    <t>0.5,1.27</t>
  </si>
  <si>
    <t>ACTIVE</t>
  </si>
  <si>
    <t>Automotive 10A, 1-phase, quad-output buck converter with integrated switches</t>
  </si>
  <si>
    <t>Multi-channel ICs (PMICs)</t>
  </si>
  <si>
    <t>Automotive</t>
  </si>
  <si>
    <t>VQFN-HR</t>
  </si>
  <si>
    <t/>
  </si>
  <si>
    <t>-40 to 125</t>
  </si>
  <si>
    <t>4.5 x 4</t>
  </si>
  <si>
    <t>ACTIVE</t>
  </si>
  <si>
    <t>60-V, N channel NexFET™ power MOSFET, single SON 3 mm x 3 mm, 9.9 mOhm</t>
  </si>
  <si>
    <t>MOSFETs</t>
  </si>
  <si>
    <t>Catalog</t>
  </si>
  <si>
    <t>VSONP</t>
  </si>
  <si>
    <t/>
  </si>
  <si>
    <t>-55 to 150</t>
  </si>
  <si>
    <t>3.3 x 3.3</t>
  </si>
  <si>
    <t>ACTIVE</t>
  </si>
  <si>
    <t>2.5V-5.5V input, 1A high efficiency step-down buck converter in SOT23 and SOT563 package</t>
  </si>
  <si>
    <t>AC/DC &amp; DC/DC converters (integrated FET)</t>
  </si>
  <si>
    <t>Catalog</t>
  </si>
  <si>
    <t>Buck</t>
  </si>
  <si>
    <t>SOT-23,SOT-23-THN,SOT-5X3</t>
  </si>
  <si>
    <t/>
  </si>
  <si>
    <t>-40 to 125</t>
  </si>
  <si>
    <t>5,6</t>
  </si>
  <si>
    <t>2.56,8.12</t>
  </si>
  <si>
    <t>1.6 x 1.6,2.9 x 2.8</t>
  </si>
  <si>
    <t>0.6,1.1,1.45</t>
  </si>
  <si>
    <t>0.5,0.95</t>
  </si>
  <si>
    <t>ACTIVE</t>
  </si>
  <si>
    <t>1-A, low-noise, high-PSRR, adjustable ultra-low-dropout voltage regulator with high-accuracy</t>
  </si>
  <si>
    <t>Linear &amp; low-dropout (LDO) regulators</t>
  </si>
  <si>
    <t>Catalog</t>
  </si>
  <si>
    <t>WSON</t>
  </si>
  <si>
    <t/>
  </si>
  <si>
    <t>-40 to 125</t>
  </si>
  <si>
    <t>2.5 x 2.5</t>
  </si>
  <si>
    <t>ACTIVE</t>
  </si>
  <si>
    <t>40-V, N channel NexFET™ power MOSFET, single D2PAK, 1.7 mOhm</t>
  </si>
  <si>
    <t>MOSFETs</t>
  </si>
  <si>
    <t>Catalog</t>
  </si>
  <si>
    <t>TO-263</t>
  </si>
  <si>
    <t/>
  </si>
  <si>
    <t>-55 to 175</t>
  </si>
  <si>
    <t>10.16 x 15.1</t>
  </si>
  <si>
    <t>ACTIVE</t>
  </si>
  <si>
    <t>40-V, N channel NexFET™ power MOSFET, single SON 5 mm x 6 mm, 2.3 mOhm</t>
  </si>
  <si>
    <t>MOSFETs</t>
  </si>
  <si>
    <t>Catalog</t>
  </si>
  <si>
    <t>VSONP</t>
  </si>
  <si>
    <t/>
  </si>
  <si>
    <t>-55 to 150</t>
  </si>
  <si>
    <t>4.9 x 6</t>
  </si>
  <si>
    <t>ACTIVE</t>
  </si>
  <si>
    <t>40-V, N channel NexFET™ power MOSFET, single SON 5 mm x 6 mm, 3.4 mOhm</t>
  </si>
  <si>
    <t>MOSFETs</t>
  </si>
  <si>
    <t>Catalog</t>
  </si>
  <si>
    <t>VSONP</t>
  </si>
  <si>
    <t/>
  </si>
  <si>
    <t>-55 to 150</t>
  </si>
  <si>
    <t>4.9 x 6</t>
  </si>
  <si>
    <t>ACTIVE</t>
  </si>
  <si>
    <t>40-V, N channel NexFET™ power MOSFET, single SON 5 mm x 6 mm, 4.9 mOhm</t>
  </si>
  <si>
    <t>MOSFETs</t>
  </si>
  <si>
    <t>Catalog</t>
  </si>
  <si>
    <t>VSONP</t>
  </si>
  <si>
    <t/>
  </si>
  <si>
    <t>-55 to 150</t>
  </si>
  <si>
    <t>4.9 x 6</t>
  </si>
  <si>
    <t>ACTIVE</t>
  </si>
  <si>
    <t>2.5V-5.5V input, 2-A high efficiency step-down buck converter in SOT23 and SOT563 package</t>
  </si>
  <si>
    <t>AC/DC &amp; DC/DC converters (integrated FET)</t>
  </si>
  <si>
    <t>Catalog</t>
  </si>
  <si>
    <t>Buck</t>
  </si>
  <si>
    <t>SOT-23,SOT-23-THN,SOT-5X3</t>
  </si>
  <si>
    <t/>
  </si>
  <si>
    <t>-40 to 125</t>
  </si>
  <si>
    <t>5,6</t>
  </si>
  <si>
    <t>2.56,8.12</t>
  </si>
  <si>
    <t>1.6 x 1.6,2.9 x 2.8</t>
  </si>
  <si>
    <t>0.6,1.1,1.45</t>
  </si>
  <si>
    <t>0.5,0.95</t>
  </si>
  <si>
    <t>ACTIVE</t>
  </si>
  <si>
    <t>3-A, 3.5-V to 36-V, wide VIN, synchronous 2.1-MHz step-down converter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</si>
  <si>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</si>
  <si>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</si>
  <si>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</si>
  <si>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</si>
  <si>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</si>
  <si>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</si>
  <si>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</si>
  <si>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</si>
  <si>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High-accuracy voltage supervisor with programmable window watchdog timer</t>
  </si>
  <si>
    <t>Reset &amp; watchdog ICs</t>
  </si>
  <si>
    <t>Catalog</t>
  </si>
  <si>
    <t>VSON</t>
  </si>
  <si>
    <t/>
  </si>
  <si>
    <t>-40 to 125</t>
  </si>
  <si>
    <t>3 x 3</t>
  </si>
  <si>
    <t>ACTIVE</t>
  </si>
  <si>
    <t>1A loading, 4.5-5.5V, 96mΩ USB power switch, active-high, output discharge, reverse blocking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</si>
  <si>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</si>
  <si>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</si>
  <si>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</si>
  <si>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</si>
  <si>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</si>
  <si>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</si>
  <si>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</si>
  <si>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1.5A loading, 4.5-5.5V, 76mΩ USB power switch, active-high, output discharge, reverse blocking</t>
  </si>
  <si>
    <t>USB power switches &amp; charging port controllers</t>
  </si>
  <si>
    <t>Catalog</t>
  </si>
  <si>
    <t>SOT-23</t>
  </si>
  <si>
    <t/>
  </si>
  <si>
    <t>-40 to 105</t>
  </si>
  <si>
    <t>2.9 x 2.8</t>
  </si>
  <si>
    <t>ACTIVE</t>
  </si>
  <si>
    <t>3V-17V 1A Automotive Step-Down Converters in 2x2SON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</si>
  <si>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</si>
  <si>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</si>
  <si>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</si>
  <si>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</si>
  <si>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</si>
  <si>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</si>
  <si>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2 x 2</t>
  </si>
  <si>
    <t>ACTIVE</t>
  </si>
  <si>
    <t>Automotive 500-mA, off-battery (40-V), high-PSRR, low-IQ, low-dropout voltage regulator with WD</t>
  </si>
  <si>
    <t>Linear &amp; low-dropout (LDO) regulators</t>
  </si>
  <si>
    <t>Automotive</t>
  </si>
  <si>
    <t>HTSSOP</t>
  </si>
  <si>
    <t>Functional Safety-Capable</t>
  </si>
  <si>
    <t>-40 to 125</t>
  </si>
  <si>
    <t>9.7 x 6.4</t>
  </si>
  <si>
    <t>ACTIVE</t>
  </si>
  <si>
    <t>2-ch, 5.7-V, 6-A, 14-mΩ, load switch with adj. rise time and optional output discharge</t>
  </si>
  <si>
    <t>Load switches</t>
  </si>
  <si>
    <t>Catalog</t>
  </si>
  <si>
    <t>WSON</t>
  </si>
  <si>
    <t/>
  </si>
  <si>
    <t>-40 to 105</t>
  </si>
  <si>
    <t>3 x 2</t>
  </si>
  <si>
    <t>ACTIVE</t>
  </si>
  <si>
    <t>17V Input, 2A Synchronous Step-Down Regulator in SOT-23 w/ Advanced Eco-mode&amp;trade;, PG, Soft Start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</si>
  <si>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</si>
  <si>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</si>
  <si>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</si>
  <si>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</si>
  <si>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</si>
  <si>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</si>
  <si>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</si>
  <si>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</si>
  <si>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17V Input, 2A Synchronous Step-Down Regulator in SOT-23 With Power-good and Soft-start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</si>
  <si>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</si>
  <si>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</si>
  <si>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</si>
  <si>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</si>
  <si>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</si>
  <si>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</si>
  <si>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</si>
  <si>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</si>
  <si>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17V Input, 3A Synchronous Step-Down Regulator in SOT-23 w/ Advanced Eco-mode&amp;trade;, PG, Soft Start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</si>
  <si>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</si>
  <si>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</si>
  <si>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</si>
  <si>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</si>
  <si>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</si>
  <si>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</si>
  <si>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</si>
  <si>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</si>
  <si>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17V Input, 3A Synchronous Step-Down Regulator in SOT-23 With Power-good and Soft-start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</si>
  <si>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</si>
  <si>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</si>
  <si>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</si>
  <si>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</si>
  <si>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</si>
  <si>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</si>
  <si>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</si>
  <si>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</si>
  <si>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Automotive USB Type-C™ Rev 1.2 DFP controller and power switch with load detection</t>
  </si>
  <si>
    <t>USB Type-C &amp; USB Power Delivery ICs</t>
  </si>
  <si>
    <t>Automotive</t>
  </si>
  <si>
    <t>WQFN</t>
  </si>
  <si>
    <t/>
  </si>
  <si>
    <t>-40 to 105</t>
  </si>
  <si>
    <t>4 x 3</t>
  </si>
  <si>
    <t>ACTIVE</t>
  </si>
  <si>
    <t>40-V, 1-Ω, 2-ch automotive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</si>
  <si>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</si>
  <si>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</si>
  <si>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</si>
  <si>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</si>
  <si>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</si>
  <si>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</si>
  <si>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</si>
  <si>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4.5-V to 17-V, 8-A synchronous SWIFT™ buck converter in HotRod™ QFN</t>
  </si>
  <si>
    <t>AC/DC &amp; DC/DC converters (integrated FET)</t>
  </si>
  <si>
    <t>Catalog</t>
  </si>
  <si>
    <t>Buck</t>
  </si>
  <si>
    <t>VQFN-HR</t>
  </si>
  <si>
    <t/>
  </si>
  <si>
    <t>-40 to 150</t>
  </si>
  <si>
    <t>3.5 x 3.5</t>
  </si>
  <si>
    <t>ACTIVE</t>
  </si>
  <si>
    <t>Multiphase bidirectional current controller, AEC-Q100 qualified</t>
  </si>
  <si>
    <t>AC/DC &amp; DC/DC controllers (external FET)</t>
  </si>
  <si>
    <t>Automotive</t>
  </si>
  <si>
    <t>Boost,Buck,Buck/Boost</t>
  </si>
  <si>
    <t>HTQFP</t>
  </si>
  <si>
    <t>Functional Safety-Capable</t>
  </si>
  <si>
    <t>-40 to 150</t>
  </si>
  <si>
    <t>9 x 9</t>
  </si>
  <si>
    <t>ACTIVE</t>
  </si>
  <si>
    <t>High-accuracy voltage supervisor with Integrated watchdog timer</t>
  </si>
  <si>
    <t>Reset &amp; watchdog ICs</t>
  </si>
  <si>
    <t>Catalog</t>
  </si>
  <si>
    <t>VSON</t>
  </si>
  <si>
    <t/>
  </si>
  <si>
    <t>-40 to 125</t>
  </si>
  <si>
    <t>3 x 3</t>
  </si>
  <si>
    <t>ACTIVE</t>
  </si>
  <si>
    <t>VR13 Dual-Channel D-CAP+&amp;trade; 2+0/1+1 Step-Down Controller With NVM and PMBus</t>
  </si>
  <si>
    <t>AC/DC &amp; DC/DC controllers (external FET)</t>
  </si>
  <si>
    <t>Catalog</t>
  </si>
  <si>
    <t>Multiphase</t>
  </si>
  <si>
    <t>WQFN</t>
  </si>
  <si>
    <t/>
  </si>
  <si>
    <t>-40 to 125</t>
  </si>
  <si>
    <t>5 x 5</t>
  </si>
  <si>
    <t>ACTIVE</t>
  </si>
  <si>
    <t>4+1/3+2 Dual-Channel VR13 D-CAP+&amp;trade; Step-Down Multiphase Controller With NVM and PMBus</t>
  </si>
  <si>
    <t>AC/DC &amp; DC/DC controllers (external FET)</t>
  </si>
  <si>
    <t>Catalog</t>
  </si>
  <si>
    <t>Multiphase</t>
  </si>
  <si>
    <t>WQFN</t>
  </si>
  <si>
    <t/>
  </si>
  <si>
    <t>-40 to 125</t>
  </si>
  <si>
    <t>5 x 5</t>
  </si>
  <si>
    <t>ACTIVE</t>
  </si>
  <si>
    <t>Dual-Channel 6+1/5+2 VR13 D-CAP+&amp;trade; Step-Down Multiphase Controller With NVM and PMBus</t>
  </si>
  <si>
    <t>AC/DC &amp; DC/DC controllers (external FET)</t>
  </si>
  <si>
    <t>Catalog</t>
  </si>
  <si>
    <t>Multiphase</t>
  </si>
  <si>
    <t>WQFN</t>
  </si>
  <si>
    <t/>
  </si>
  <si>
    <t>-40 to 125</t>
  </si>
  <si>
    <t>5 x 5</t>
  </si>
  <si>
    <t>ACTIVE</t>
  </si>
  <si>
    <t>Single Inductor - Dual Output Power Supply for Bipolar, Small-/Medium-Size Displays</t>
  </si>
  <si>
    <t>LCD &amp; OLED display power &amp; drivers</t>
  </si>
  <si>
    <t>Catalog</t>
  </si>
  <si>
    <t>Split-Rail</t>
  </si>
  <si>
    <t>DSBGA</t>
  </si>
  <si>
    <t/>
  </si>
  <si>
    <t>-40 to 85</t>
  </si>
  <si>
    <t>1.4000000000000001 x 2.2</t>
  </si>
  <si>
    <t>ACTIVE</t>
  </si>
  <si>
    <t>4.5V to 28V input voltage, synchronous buck LED driver</t>
  </si>
  <si>
    <t>Illumination  LED drivers</t>
  </si>
  <si>
    <t>Catalog</t>
  </si>
  <si>
    <t>Buck,Inductive</t>
  </si>
  <si>
    <t>SOT-23-THN</t>
  </si>
  <si>
    <t/>
  </si>
  <si>
    <t>-40 to 85</t>
  </si>
  <si>
    <t>2.9 x 2.8</t>
  </si>
  <si>
    <t>ACTIVE</t>
  </si>
  <si>
    <t>5.7-kVrms, 4-A/6-A dual-channel isolated gate driver with single input, 8-V UVLO &amp; LGA package</t>
  </si>
  <si>
    <t>Isolated gate drivers</t>
  </si>
  <si>
    <t>Catalog</t>
  </si>
  <si>
    <t>SOIC</t>
  </si>
  <si>
    <t/>
  </si>
  <si>
    <t>-40 to 125</t>
  </si>
  <si>
    <t>10.3 x 10.3</t>
  </si>
  <si>
    <t>ACTIVE</t>
  </si>
  <si>
    <t>Precision window supervisor for OV &amp; UV monitoring with window watchdog timer &amp; programmable delay</t>
  </si>
  <si>
    <t>Reset &amp; watchdog ICs</t>
  </si>
  <si>
    <t>Catalog</t>
  </si>
  <si>
    <t>VSON</t>
  </si>
  <si>
    <t/>
  </si>
  <si>
    <t>-40 to 125</t>
  </si>
  <si>
    <t>3 x 3</t>
  </si>
  <si>
    <t>ACTIVE</t>
  </si>
  <si>
    <t>4.5-V to 17-V, 8-A synchronous SWIFT™ buck converter with D-CAP3 control</t>
  </si>
  <si>
    <t>AC/DC &amp; DC/DC converters (integrated FET)</t>
  </si>
  <si>
    <t>Catalog</t>
  </si>
  <si>
    <t>Buck</t>
  </si>
  <si>
    <t>VQFN-HR</t>
  </si>
  <si>
    <t/>
  </si>
  <si>
    <t>-40 to 125</t>
  </si>
  <si>
    <t>3.5 x 3.5</t>
  </si>
  <si>
    <t>ACTIVE</t>
  </si>
  <si>
    <t>40-V, 1-Ω, 4-ch automotive smart high-side switch with adjustable current limit</t>
  </si>
  <si>
    <t>High-side switches</t>
  </si>
  <si>
    <t>Automotive</t>
  </si>
  <si>
    <t>HTSSOP</t>
  </si>
  <si>
    <t/>
  </si>
  <si>
    <t>-40 to 125</t>
  </si>
  <si>
    <t>6.5 x 6.4</t>
  </si>
  <si>
    <t>ACTIVE</t>
  </si>
  <si>
    <t>5.7kVrms, 4A/6A dual-channel isolated gate driver with dual input, enable, 8V UVLO &amp;amp; LGA pack</t>
  </si>
  <si>
    <t>Isolated gate drivers</t>
  </si>
  <si>
    <t>Catalog</t>
  </si>
  <si>
    <t>SOIC</t>
  </si>
  <si>
    <t/>
  </si>
  <si>
    <t>-40 to 125</t>
  </si>
  <si>
    <t>10.3 x 10.3</t>
  </si>
  <si>
    <t>ACTIVE</t>
  </si>
  <si>
    <t>12-V, N channel NexFET™ power MOSFET, single LGA 0.6 mm x 0.7 mm, 76 mOhm, gate ESD protection</t>
  </si>
  <si>
    <t>MOSFETs</t>
  </si>
  <si>
    <t>Catalog</t>
  </si>
  <si>
    <t>PICOSTAR</t>
  </si>
  <si>
    <t/>
  </si>
  <si>
    <t>-55 to 150</t>
  </si>
  <si>
    <t>0.69 x 0.6</t>
  </si>
  <si>
    <t>ACTIVE</t>
  </si>
  <si>
    <t>12-V, N channel NexFET™ power MOSFET, single LGA 0.8 mm x 1.5 mm, 19 mOhm, gate ESD protection</t>
  </si>
  <si>
    <t>MOSFETs</t>
  </si>
  <si>
    <t>Catalog</t>
  </si>
  <si>
    <t>PICOSTAR</t>
  </si>
  <si>
    <t/>
  </si>
  <si>
    <t>-55 to 150</t>
  </si>
  <si>
    <t>1.49 x 0.73</t>
  </si>
  <si>
    <t>ACTIVE</t>
  </si>
  <si>
    <t>30-V, N channel NexFET™ power MOSFET, single LGA 0.8 mm x 1.5 mm, 33 mOhm, gate ESD protection</t>
  </si>
  <si>
    <t>MOSFETs</t>
  </si>
  <si>
    <t>Catalog</t>
  </si>
  <si>
    <t>PICOSTAR</t>
  </si>
  <si>
    <t/>
  </si>
  <si>
    <t>-55 to 150</t>
  </si>
  <si>
    <t>1.49 x 0.73</t>
  </si>
  <si>
    <t>ACTIVE</t>
  </si>
  <si>
    <t>2.7V to 6.5V Input, 3A/2A/2A Triple Buck Converter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</si>
  <si>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</si>
  <si>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</si>
  <si>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</si>
  <si>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</si>
  <si>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</si>
  <si>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</si>
  <si>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</si>
  <si>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</si>
  <si>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Automotive green phase-shifted  full-bridge controller with SR control for wide input voltage range</t>
  </si>
  <si>
    <t>AC/DC &amp; DC/DC controllers (external FET)</t>
  </si>
  <si>
    <t>Automotive</t>
  </si>
  <si>
    <t>Phase-shifted full bridge</t>
  </si>
  <si>
    <t>TSSOP</t>
  </si>
  <si>
    <t/>
  </si>
  <si>
    <t>-40 to 125</t>
  </si>
  <si>
    <t>7.8 x 6.4</t>
  </si>
  <si>
    <t>ACTIVE</t>
  </si>
  <si>
    <t>USB charging port controller and 3A power switch with Cable Compensation</t>
  </si>
  <si>
    <t>USB power switches &amp; charging port controllers</t>
  </si>
  <si>
    <t>Catalog</t>
  </si>
  <si>
    <t>WQFN</t>
  </si>
  <si>
    <t/>
  </si>
  <si>
    <t>-40 to 125</t>
  </si>
  <si>
    <t>3 x 3</t>
  </si>
  <si>
    <t>ACTIVE</t>
  </si>
  <si>
    <t>2A, 3.5V-to-36V, Wide-Vin, Synchronous 2.1MHz Step-Down Converter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</si>
  <si>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</si>
  <si>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</si>
  <si>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</si>
  <si>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</si>
  <si>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</si>
  <si>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</si>
  <si>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</si>
  <si>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</si>
  <si>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10-Rail Power Supply Sequencer and Monitor With ACPI Support</t>
  </si>
  <si>
    <t>Sequencers</t>
  </si>
  <si>
    <t>Catalog</t>
  </si>
  <si>
    <t>VQFN</t>
  </si>
  <si>
    <t/>
  </si>
  <si>
    <t>-40 to 125</t>
  </si>
  <si>
    <t>7 x 7</t>
  </si>
  <si>
    <t>ACTIVE</t>
  </si>
  <si>
    <t>Power Management Unit (PMU) for Processor</t>
  </si>
  <si>
    <t>Multi-channel ICs (PMICs)</t>
  </si>
  <si>
    <t>Automotive</t>
  </si>
  <si>
    <t>VQFN</t>
  </si>
  <si>
    <t/>
  </si>
  <si>
    <t>-40 to 105</t>
  </si>
  <si>
    <t>7 x 7</t>
  </si>
  <si>
    <t>ACTIVE</t>
  </si>
  <si>
    <t>30-V, N channel NexFET™ power MOSFET, single SON 3 mm x 3 mm, 4.7 mOhm</t>
  </si>
  <si>
    <t>MOSFETs</t>
  </si>
  <si>
    <t>Catalog</t>
  </si>
  <si>
    <t>VSONP</t>
  </si>
  <si>
    <t/>
  </si>
  <si>
    <t>-55 to 150</t>
  </si>
  <si>
    <t>3.3 x 3.3</t>
  </si>
  <si>
    <t>ACTIVE</t>
  </si>
  <si>
    <t>450-mA, 40-V, low-IQ, adjustable low-dropout voltage regulator with power good &amp; enable</t>
  </si>
  <si>
    <t>Linear &amp; low-dropout (LDO) regulators</t>
  </si>
  <si>
    <t>Catalog</t>
  </si>
  <si>
    <t>VSON</t>
  </si>
  <si>
    <t/>
  </si>
  <si>
    <t>-40 to 125</t>
  </si>
  <si>
    <t>3 x 3</t>
  </si>
  <si>
    <t>ACTIVE</t>
  </si>
  <si>
    <t>Low-Noise Positive- and Negative-Output Charge Pump With Integrated LDO</t>
  </si>
  <si>
    <t>AC/DC &amp; DC/DC converters (integrated FET)</t>
  </si>
  <si>
    <t>Catalog</t>
  </si>
  <si>
    <t>WSON</t>
  </si>
  <si>
    <t/>
  </si>
  <si>
    <t>-40 to 125</t>
  </si>
  <si>
    <t>3 x 2</t>
  </si>
  <si>
    <t>ACTIVE</t>
  </si>
  <si>
    <t>Automotive USB Charge port controller with short to BATT protection and droop compensation</t>
  </si>
  <si>
    <t>USB power switches &amp; charging port controllers</t>
  </si>
  <si>
    <t>Automotive</t>
  </si>
  <si>
    <t>WQFN</t>
  </si>
  <si>
    <t/>
  </si>
  <si>
    <t>-40 to 85</t>
  </si>
  <si>
    <t>4 x 3</t>
  </si>
  <si>
    <t>ACTIVE</t>
  </si>
  <si>
    <t>Automotive Catalog 3-17V 0.5A 2.5MHZ Step-Down Converter, 1.8V Output Voltage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</si>
  <si>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</si>
  <si>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</si>
  <si>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</si>
  <si>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</si>
  <si>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</si>
  <si>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</si>
  <si>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2 x 2</t>
  </si>
  <si>
    <t>ACTIVE</t>
  </si>
  <si>
    <t>32-Rail PMBus Power Sequencer and System Manager</t>
  </si>
  <si>
    <t>Sequencers</t>
  </si>
  <si>
    <t>Catalog</t>
  </si>
  <si>
    <t>NFBGA</t>
  </si>
  <si>
    <t/>
  </si>
  <si>
    <t>-40 to 85</t>
  </si>
  <si>
    <t>12 x 12</t>
  </si>
  <si>
    <t>ACTIVE</t>
  </si>
  <si>
    <t>Automotive 5.7kVrms, 2.5A/5A single-channel isolated gate driver with active protection features</t>
  </si>
  <si>
    <t>Isolated gate drivers</t>
  </si>
  <si>
    <t>Automotive</t>
  </si>
  <si>
    <t>SOIC</t>
  </si>
  <si>
    <t/>
  </si>
  <si>
    <t>-40 to 125</t>
  </si>
  <si>
    <t>10.3 x 10.3</t>
  </si>
  <si>
    <t>ACTIVE</t>
  </si>
  <si>
    <t>Automotive 5.7kVrms 2.5A/5A single-channel isolated gate driver w/split output &amp; active protection</t>
  </si>
  <si>
    <t>Isolated gate drivers</t>
  </si>
  <si>
    <t>Automotive</t>
  </si>
  <si>
    <t>SOIC</t>
  </si>
  <si>
    <t/>
  </si>
  <si>
    <t>-40 to 125</t>
  </si>
  <si>
    <t>10.3 x 10.3</t>
  </si>
  <si>
    <t>ACTIVE</t>
  </si>
  <si>
    <t>Automotive 5.7kVrms, 2.5A/5A single-channel isolated gate driver with active protection features</t>
  </si>
  <si>
    <t>Isolated gate drivers</t>
  </si>
  <si>
    <t>Automotive</t>
  </si>
  <si>
    <t>SOIC</t>
  </si>
  <si>
    <t/>
  </si>
  <si>
    <t>-40 to 125</t>
  </si>
  <si>
    <t>10.3 x 10.3</t>
  </si>
  <si>
    <t>ACTIVE</t>
  </si>
  <si>
    <t xml:space="preserve">Automotive 5.7kVrms 2.5A/5A single-channel isolated gate driver w/split output &amp; active protection </t>
  </si>
  <si>
    <t>Isolated gate drivers</t>
  </si>
  <si>
    <t>Automotive</t>
  </si>
  <si>
    <t>SOIC</t>
  </si>
  <si>
    <t/>
  </si>
  <si>
    <t>-40 to 125</t>
  </si>
  <si>
    <t>10.3 x 10.3</t>
  </si>
  <si>
    <t>ACTIVE</t>
  </si>
  <si>
    <t>2A High Efficient Step Down Converter in 2x2mm SON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</si>
  <si>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</si>
  <si>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</si>
  <si>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</si>
  <si>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</si>
  <si>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</si>
  <si>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</si>
  <si>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</si>
  <si>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</si>
  <si>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6-Phase, D-CAP+ step-down driverless buck controller with NVM and PMBus interface for ASIC</t>
  </si>
  <si>
    <t>AC/DC &amp; DC/DC controllers (external FET)</t>
  </si>
  <si>
    <t>Catalog</t>
  </si>
  <si>
    <t>Multiphase</t>
  </si>
  <si>
    <t>WQFN</t>
  </si>
  <si>
    <t/>
  </si>
  <si>
    <t>-40 to 125</t>
  </si>
  <si>
    <t>6 x 6</t>
  </si>
  <si>
    <t>ACTIVE</t>
  </si>
  <si>
    <t>16-Rail PMBus Power Supply Sequencer and System Manager with ACPI Support</t>
  </si>
  <si>
    <t>Sequencers</t>
  </si>
  <si>
    <t>Catalog</t>
  </si>
  <si>
    <t>VQFN</t>
  </si>
  <si>
    <t/>
  </si>
  <si>
    <t>-40 to 125</t>
  </si>
  <si>
    <t>9 x 9</t>
  </si>
  <si>
    <t>ACTIVE</t>
  </si>
  <si>
    <t>0.075-1.7A adj. ILIMIT 2.5-6.5V 85m&amp;Omega; USB power switch, active-low, reverse blocking, multip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</si>
  <si>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</si>
  <si>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</si>
  <si>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</si>
  <si>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</si>
  <si>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</si>
  <si>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</si>
  <si>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</si>
  <si>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0.075-1.7A adj. ILIMIT 2.5-6.5V 85m&amp;Omega; USB power switch, active-high, reverse blocking, multi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</si>
  <si>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</si>
  <si>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</si>
  <si>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</si>
  <si>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</si>
  <si>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</si>
  <si>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</si>
  <si>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</si>
  <si>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2.5-V, 3-ppm/°C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</si>
  <si>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</si>
  <si>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</si>
  <si>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</si>
  <si>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</si>
  <si>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</si>
  <si>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</si>
  <si>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</si>
  <si>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3-V, 3-ppm/°C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</si>
  <si>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</si>
  <si>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</si>
  <si>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</si>
  <si>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</si>
  <si>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</si>
  <si>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</si>
  <si>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</si>
  <si>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3.3-V, 3-ppm/°C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</si>
  <si>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</si>
  <si>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</si>
  <si>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</si>
  <si>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</si>
  <si>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</si>
  <si>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</si>
  <si>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</si>
  <si>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4.096-V, 3-ppm/°C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</si>
  <si>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</si>
  <si>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</si>
  <si>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</si>
  <si>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</si>
  <si>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</si>
  <si>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</si>
  <si>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</si>
  <si>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4.5-V, 3-ppm/°C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</si>
  <si>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</si>
  <si>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</si>
  <si>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</si>
  <si>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</si>
  <si>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</si>
  <si>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</si>
  <si>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</si>
  <si>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5-V, 3-ppm/°C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</si>
  <si>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</si>
  <si>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</si>
  <si>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</si>
  <si>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</si>
  <si>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</si>
  <si>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</si>
  <si>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</si>
  <si>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3-17V 4.0A Step-Down Converter with 1% accuracy and PFM/Forced-PWM in 2x3QFN</t>
  </si>
  <si>
    <t>AC/DC &amp; DC/DC converters (integrated FET)</t>
  </si>
  <si>
    <t>Catalog</t>
  </si>
  <si>
    <t>Buck</t>
  </si>
  <si>
    <t>VQFN-HR</t>
  </si>
  <si>
    <t/>
  </si>
  <si>
    <t>-40 to 125</t>
  </si>
  <si>
    <t>3 x 2</t>
  </si>
  <si>
    <t>ACTIVE</t>
  </si>
  <si>
    <t>4.5-V to 18-V, stackable 35-A synchronous SWIFT™ buck converter with PMBus and telemetry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</si>
  <si>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</si>
  <si>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</si>
  <si>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</si>
  <si>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</si>
  <si>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</si>
  <si>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</si>
  <si>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</si>
  <si>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</si>
  <si>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Automotive wide-input 2.2-MHz low-IQ synchronous buck controller</t>
  </si>
  <si>
    <t>AC/DC &amp; DC/DC controllers (external FET)</t>
  </si>
  <si>
    <t>Automotive</t>
  </si>
  <si>
    <t>Buck</t>
  </si>
  <si>
    <t>VQFN</t>
  </si>
  <si>
    <t>Functional Safety-Capable</t>
  </si>
  <si>
    <t>-40 to 150</t>
  </si>
  <si>
    <t>4 x 4</t>
  </si>
  <si>
    <t>ACTIVE</t>
  </si>
  <si>
    <t>0.7Vin Synchronous Boost Converter with 800 nA Ultra-Low Quiescent Current</t>
  </si>
  <si>
    <t>AC/DC &amp; DC/DC converters (integrated FET)</t>
  </si>
  <si>
    <t>Catalog</t>
  </si>
  <si>
    <t>Boost</t>
  </si>
  <si>
    <t>DSBGA,WSON</t>
  </si>
  <si>
    <t/>
  </si>
  <si>
    <t>-40 to 150</t>
  </si>
  <si>
    <t>1.4000000000000001,4</t>
  </si>
  <si>
    <t>1 x 1.4000000000000001,2 x 2</t>
  </si>
  <si>
    <t>0.625,0.8</t>
  </si>
  <si>
    <t>0.4,0.65</t>
  </si>
  <si>
    <t>ACTIVE</t>
  </si>
  <si>
    <t>30-V, N channel NexFET™ power MOSFET, single SON 5 mm x 6 mm, 4.2 mOhm</t>
  </si>
  <si>
    <t>MOSFETs</t>
  </si>
  <si>
    <t>Catalog</t>
  </si>
  <si>
    <t>VSONP</t>
  </si>
  <si>
    <t/>
  </si>
  <si>
    <t>-55 to 150</t>
  </si>
  <si>
    <t>4.9 x 6</t>
  </si>
  <si>
    <t>ACTIVE</t>
  </si>
  <si>
    <t>Wide Input 4.5-V to 100-V, 1-A Synchronous Buck / Fly-Buck Converter</t>
  </si>
  <si>
    <t>AC/DC &amp; DC/DC converters (integrated FET)</t>
  </si>
  <si>
    <t>Catalog</t>
  </si>
  <si>
    <t>Buck,Flybuck</t>
  </si>
  <si>
    <t>HTSSOP</t>
  </si>
  <si>
    <t/>
  </si>
  <si>
    <t>-40 to 125</t>
  </si>
  <si>
    <t>5 x 6.4</t>
  </si>
  <si>
    <t>ACTIVE</t>
  </si>
  <si>
    <t>Wide Input 4.5-V to 100-V, 1-A Synchronous Buck / Fly-Buck Converter</t>
  </si>
  <si>
    <t>AC/DC &amp; DC/DC converters (integrated FET)</t>
  </si>
  <si>
    <t>Automotive</t>
  </si>
  <si>
    <t>Buck,Flybuck</t>
  </si>
  <si>
    <t>HTSSOP</t>
  </si>
  <si>
    <t/>
  </si>
  <si>
    <t>-40 to 125</t>
  </si>
  <si>
    <t>5 x 6.4</t>
  </si>
  <si>
    <t>ACTIVE</t>
  </si>
  <si>
    <t>4.2-V to 60-V, 150m&amp;Omega;, 0.1-2.23A eFuse with integrated input reverse polarity protection</t>
  </si>
  <si>
    <t>eFuses (integrated hot swaps)</t>
  </si>
  <si>
    <t>Catalog</t>
  </si>
  <si>
    <t>HTSSOP,VQFN</t>
  </si>
  <si>
    <t>Functional Safety-Capable</t>
  </si>
  <si>
    <t>-40 to 125</t>
  </si>
  <si>
    <t>16,24</t>
  </si>
  <si>
    <t>20,32</t>
  </si>
  <si>
    <t>5 x 4,5 x 6.4</t>
  </si>
  <si>
    <t>1,1.2</t>
  </si>
  <si>
    <t>0.5,0.65</t>
  </si>
  <si>
    <t>ACTIVE</t>
  </si>
  <si>
    <t>4.5-V to 18-V, stackable 35-A synchronous SWIFT™ buck converter with PMBus and pin-strapping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</si>
  <si>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</si>
  <si>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</si>
  <si>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</si>
  <si>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</si>
  <si>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</si>
  <si>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</si>
  <si>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</si>
  <si>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</si>
  <si>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1.5-V to 16-V, 40-A synchronous SWIFT™ buck converter with AVSO and differential remote sense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</si>
  <si>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</si>
  <si>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</si>
  <si>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</si>
  <si>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</si>
  <si>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</si>
  <si>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</si>
  <si>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</si>
  <si>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</si>
  <si>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1.5-V to 16-V, 40-A synchronous SWIFT™ buck converter with differential remote sense and PMBus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</si>
  <si>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</si>
  <si>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</si>
  <si>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</si>
  <si>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</si>
  <si>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</si>
  <si>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</si>
  <si>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</si>
  <si>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</si>
  <si>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-12-V, P channel NexFET™ power MOSFET, single LGA 0.8 mm x 1.5 mm, 35 mOhm, gate ESD protection</t>
  </si>
  <si>
    <t>MOSFETs</t>
  </si>
  <si>
    <t>Catalog</t>
  </si>
  <si>
    <t>PICOSTAR</t>
  </si>
  <si>
    <t/>
  </si>
  <si>
    <t>-55 to 150</t>
  </si>
  <si>
    <t>1.49 x 0.73</t>
  </si>
  <si>
    <t>ACTIVE</t>
  </si>
  <si>
    <t>5-V/6-A High Efficiency Step-Up Converter in 2.0-mm x 2.0-mm QFN Package</t>
  </si>
  <si>
    <t>AC/DC &amp; DC/DC converters (integrated FET)</t>
  </si>
  <si>
    <t>Catalog</t>
  </si>
  <si>
    <t>Boost</t>
  </si>
  <si>
    <t>VQFN-HR</t>
  </si>
  <si>
    <t/>
  </si>
  <si>
    <t>-40 to 125</t>
  </si>
  <si>
    <t>2 x 2</t>
  </si>
  <si>
    <t>ACTIVE</t>
  </si>
  <si>
    <t>40-V, 160-mΩ, 2-ch automotive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</si>
  <si>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</si>
  <si>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</si>
  <si>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</si>
  <si>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</si>
  <si>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</si>
  <si>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</si>
  <si>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</si>
  <si>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Automotive 300-mA, low-IQ, low-dropout voltage regulator with enable</t>
  </si>
  <si>
    <t>Linear &amp; low-dropout (LDO) regulators</t>
  </si>
  <si>
    <t>Automotive</t>
  </si>
  <si>
    <t>SOT-23,WSON</t>
  </si>
  <si>
    <t>Functional Safety-Capable</t>
  </si>
  <si>
    <t>-40 to 150</t>
  </si>
  <si>
    <t>5,6</t>
  </si>
  <si>
    <t>4,8.12</t>
  </si>
  <si>
    <t>2 x 2,2.9 x 2.8</t>
  </si>
  <si>
    <t>0.8,1.45</t>
  </si>
  <si>
    <t>0.65,0.95</t>
  </si>
  <si>
    <t>ACTIVE</t>
  </si>
  <si>
    <t>USB Type-C DP ALT Mode, 10-Gbps linear redriver crosspoint switch</t>
  </si>
  <si>
    <t>USB Type-C &amp; USB Power Delivery ICs</t>
  </si>
  <si>
    <t>Catalog</t>
  </si>
  <si>
    <t>WQFN</t>
  </si>
  <si>
    <t/>
  </si>
  <si>
    <t>0 to 70</t>
  </si>
  <si>
    <t>6 x 4</t>
  </si>
  <si>
    <t>ACTIVE</t>
  </si>
  <si>
    <t>42-V 2-A LED driver with integrated NFET, high-side current sense, and shunt PWM dimming capable</t>
  </si>
  <si>
    <t>Illumination  LED drivers</t>
  </si>
  <si>
    <t>Catalog</t>
  </si>
  <si>
    <t>Buck</t>
  </si>
  <si>
    <t>HVSSOP</t>
  </si>
  <si>
    <t/>
  </si>
  <si>
    <t>-40 to 125</t>
  </si>
  <si>
    <t>3 x 4.9</t>
  </si>
  <si>
    <t>ACTIVE</t>
  </si>
  <si>
    <t>42-V automotive 2-A shunt-PWM dimmable LED driver with Integrated NFET and current calibration</t>
  </si>
  <si>
    <t>Automotive LED drivers</t>
  </si>
  <si>
    <t>Automotive</t>
  </si>
  <si>
    <t>Buck</t>
  </si>
  <si>
    <t>HVSSOP</t>
  </si>
  <si>
    <t/>
  </si>
  <si>
    <t>-40 to 125</t>
  </si>
  <si>
    <t>3 x 4.9</t>
  </si>
  <si>
    <t>ACTIVE</t>
  </si>
  <si>
    <t>65-V 2-A LED driver with Integrated NFET, high-side current Sense, and Shunt PWM dimming Capable</t>
  </si>
  <si>
    <t>Illumination  LED drivers</t>
  </si>
  <si>
    <t>Catalog</t>
  </si>
  <si>
    <t>Buck</t>
  </si>
  <si>
    <t>HVSSOP</t>
  </si>
  <si>
    <t/>
  </si>
  <si>
    <t>-40 to 125</t>
  </si>
  <si>
    <t>3 x 4.9</t>
  </si>
  <si>
    <t>ACTIVE</t>
  </si>
  <si>
    <t>65-V automotive 2-A shunt-PWM dimmable LED driver with Integrated NFET and current calibration</t>
  </si>
  <si>
    <t>Automotive LED drivers</t>
  </si>
  <si>
    <t>Automotive</t>
  </si>
  <si>
    <t>Buck</t>
  </si>
  <si>
    <t>HVSSOP</t>
  </si>
  <si>
    <t/>
  </si>
  <si>
    <t>-40 to 125</t>
  </si>
  <si>
    <t>3 x 4.9</t>
  </si>
  <si>
    <t>ACTIVE</t>
  </si>
  <si>
    <t>-20-V, P channel NexFET™ power MOSFET, single LGA 0.8 mm x 1.5 mm, 42 mOhm, gate ESD protection</t>
  </si>
  <si>
    <t>MOSFETs</t>
  </si>
  <si>
    <t>Catalog</t>
  </si>
  <si>
    <t>PICOSTAR</t>
  </si>
  <si>
    <t/>
  </si>
  <si>
    <t>-55 to 150</t>
  </si>
  <si>
    <t>1.49 x 0.73</t>
  </si>
  <si>
    <t>ACTIVE</t>
  </si>
  <si>
    <t>Automotive DDR Power Solution with 4-A, 2-MHz VDDQ DC/DC Converter, 1-A VTT LDO and VTTREF</t>
  </si>
  <si>
    <t>DDR memory power ICs,Multi-channel ICs (PMICs)</t>
  </si>
  <si>
    <t>Automotive</t>
  </si>
  <si>
    <t>WQFN</t>
  </si>
  <si>
    <t/>
  </si>
  <si>
    <t>-40 to 125</t>
  </si>
  <si>
    <t>4 x 4</t>
  </si>
  <si>
    <t>ACTIVE</t>
  </si>
  <si>
    <t>Wide input voltage (2V-16V) buck-boost converter</t>
  </si>
  <si>
    <t>AC/DC &amp; DC/DC converters (integrated FET)</t>
  </si>
  <si>
    <t>Catalog</t>
  </si>
  <si>
    <t>Buck-Boost</t>
  </si>
  <si>
    <t>VQFN-HR</t>
  </si>
  <si>
    <t/>
  </si>
  <si>
    <t>-40 to 125</t>
  </si>
  <si>
    <t>3 x 2.5</t>
  </si>
  <si>
    <t>ACTIVE</t>
  </si>
  <si>
    <t>USB Type-C DP ALT Mode linear redriver crosspoint switch</t>
  </si>
  <si>
    <t>USB Type-C &amp; USB Power Delivery ICs</t>
  </si>
  <si>
    <t>Catalog</t>
  </si>
  <si>
    <t>WQFN</t>
  </si>
  <si>
    <t/>
  </si>
  <si>
    <t>0 to 70</t>
  </si>
  <si>
    <t>6 x 4</t>
  </si>
  <si>
    <t>ACTIVE</t>
  </si>
  <si>
    <t>4.5V to 28V Input, 3A, Synchronous Step-Down Converter With Eco-mode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</si>
  <si>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</si>
  <si>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</si>
  <si>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</si>
  <si>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</si>
  <si>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</si>
  <si>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</si>
  <si>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</si>
  <si>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</si>
  <si>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500-mA, low-noise, high-PSRR, dual-channel adjustable ultra-low-dropout voltage regulator</t>
  </si>
  <si>
    <t>Linear &amp; low-dropout (LDO) regulators</t>
  </si>
  <si>
    <t>Catalog</t>
  </si>
  <si>
    <t>WQFN</t>
  </si>
  <si>
    <t/>
  </si>
  <si>
    <t>-40 to 125</t>
  </si>
  <si>
    <t>4 x 4</t>
  </si>
  <si>
    <t>ACTIVE</t>
  </si>
  <si>
    <t>2-A, low-noise, high-accuracy, dual-channel adjustable ultra-low-dropout voltage regulator</t>
  </si>
  <si>
    <t>Linear &amp; low-dropout (LDO) regulators</t>
  </si>
  <si>
    <t>Catalog</t>
  </si>
  <si>
    <t>WQFN</t>
  </si>
  <si>
    <t/>
  </si>
  <si>
    <t>-40 to 125</t>
  </si>
  <si>
    <t>4 x 4</t>
  </si>
  <si>
    <t>ACTIVE</t>
  </si>
  <si>
    <t>Highly-Integrated Digital Controller For Isolated Power</t>
  </si>
  <si>
    <t>AC/DC &amp; DC/DC controllers (external FET)</t>
  </si>
  <si>
    <t>Catalog</t>
  </si>
  <si>
    <t>TQFP</t>
  </si>
  <si>
    <t/>
  </si>
  <si>
    <t>-40 to 125</t>
  </si>
  <si>
    <t>14 x 14</t>
  </si>
  <si>
    <t>ACTIVE</t>
  </si>
  <si>
    <t>Automotive 2.95-V to 6-V, 3-A, 2-MHz synchronous buck converter</t>
  </si>
  <si>
    <t>AC/DC &amp; DC/DC converters (integrated FET)</t>
  </si>
  <si>
    <t>Automotive</t>
  </si>
  <si>
    <t>Buck</t>
  </si>
  <si>
    <t>WQFN</t>
  </si>
  <si>
    <t>Functional Safety-Capable</t>
  </si>
  <si>
    <t>-40 to 125</t>
  </si>
  <si>
    <t>3 x 3</t>
  </si>
  <si>
    <t>ACTIVE</t>
  </si>
  <si>
    <t>Automotive 2.95-V to 6-V, 4-A, 2-MHz synchronous buck converter</t>
  </si>
  <si>
    <t>AC/DC &amp; DC/DC converters (integrated FET)</t>
  </si>
  <si>
    <t>Automotive</t>
  </si>
  <si>
    <t>Buck</t>
  </si>
  <si>
    <t>WQFN</t>
  </si>
  <si>
    <t>Functional Safety-Capable</t>
  </si>
  <si>
    <t>-40 to 125</t>
  </si>
  <si>
    <t>3 x 3</t>
  </si>
  <si>
    <t>ACTIVE</t>
  </si>
  <si>
    <t>1-ch, 5.5-V, 2-A, 52-m&amp;Omega; automotive load switch with adj. rise time and adj. output discharg</t>
  </si>
  <si>
    <t>Load switches</t>
  </si>
  <si>
    <t>Automotive</t>
  </si>
  <si>
    <t>SOT-23</t>
  </si>
  <si>
    <t>Functional Safety-Capable</t>
  </si>
  <si>
    <t>-40 to 105</t>
  </si>
  <si>
    <t>2.9 x 2.8</t>
  </si>
  <si>
    <t>ACTIVE</t>
  </si>
  <si>
    <t>Automotive, push-pull, dual-channel, low-power, high-accuracy voltage detector</t>
  </si>
  <si>
    <t>Supply-voltage supervisors</t>
  </si>
  <si>
    <t>Automotive</t>
  </si>
  <si>
    <t>SOT-23</t>
  </si>
  <si>
    <t/>
  </si>
  <si>
    <t>-40 to 125</t>
  </si>
  <si>
    <t>2.9 x 2.8</t>
  </si>
  <si>
    <t>ACTIVE</t>
  </si>
  <si>
    <t>Automotive, open-drain, dual-channel, low-power, high-accuracy voltage detector</t>
  </si>
  <si>
    <t>Supply-voltage supervisors</t>
  </si>
  <si>
    <t>Automotive</t>
  </si>
  <si>
    <t>SOT-23</t>
  </si>
  <si>
    <t>Functional Safety-Capable</t>
  </si>
  <si>
    <t>-40 to 125</t>
  </si>
  <si>
    <t>2.9 x 2.8</t>
  </si>
  <si>
    <t>ACTIVE</t>
  </si>
  <si>
    <t>100-V, N channel NexFET™ power MOSFET, single SON 2 mm x 2 mm, 59 mOhm</t>
  </si>
  <si>
    <t>MOSFETs</t>
  </si>
  <si>
    <t>Catalog</t>
  </si>
  <si>
    <t>WSON</t>
  </si>
  <si>
    <t/>
  </si>
  <si>
    <t>-55 to 150</t>
  </si>
  <si>
    <t>2 x 2</t>
  </si>
  <si>
    <t>ACTIVE</t>
  </si>
  <si>
    <t>5.5-V, 10-A, 3.9-mΩ load switch with adj. rise time, power good and optional output discharge</t>
  </si>
  <si>
    <t>Load switches</t>
  </si>
  <si>
    <t>Catalog</t>
  </si>
  <si>
    <t>WSON</t>
  </si>
  <si>
    <t/>
  </si>
  <si>
    <t>-40 to 105</t>
  </si>
  <si>
    <t>3 x 2</t>
  </si>
  <si>
    <t>ACTIVE</t>
  </si>
  <si>
    <t>SIMPLE SWITCHER, 36V 1A Synchronous Step-Down Converter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</si>
  <si>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</si>
  <si>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</si>
  <si>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</si>
  <si>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</si>
  <si>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</si>
  <si>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</si>
  <si>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</si>
  <si>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</si>
  <si>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SIMPLE SWITCHER®, 36V 2.5A Synchronous Step-Down Converter</t>
  </si>
  <si>
    <t>AC/DC &amp; DC/DC converters (integrated FET)</t>
  </si>
  <si>
    <t>Catalog</t>
  </si>
  <si>
    <t>Buck</t>
  </si>
  <si>
    <t>HSOIC,WSON</t>
  </si>
  <si>
    <t/>
  </si>
  <si>
    <t>-40 to 125</t>
  </si>
  <si>
    <t>8,12</t>
  </si>
  <si>
    <t>9,29.4</t>
  </si>
  <si>
    <t>3 x 3,4.9 x 6</t>
  </si>
  <si>
    <t>0.8,1.7</t>
  </si>
  <si>
    <t>0.5,1.27</t>
  </si>
  <si>
    <t>ACTIVE</t>
  </si>
  <si>
    <t>SIMPLE SWITCHER®, 36V 3A Synchronous Step-Down Converter</t>
  </si>
  <si>
    <t>AC/DC &amp; DC/DC converters (integrated FET)</t>
  </si>
  <si>
    <t>Catalog</t>
  </si>
  <si>
    <t>Buck</t>
  </si>
  <si>
    <t>HSOIC,WSON</t>
  </si>
  <si>
    <t/>
  </si>
  <si>
    <t>-40 to 125</t>
  </si>
  <si>
    <t>8,12</t>
  </si>
  <si>
    <t>9,29.4</t>
  </si>
  <si>
    <t>3 x 3,4.9 x 6</t>
  </si>
  <si>
    <t>0.8,1.7</t>
  </si>
  <si>
    <t>0.5,1.27</t>
  </si>
  <si>
    <t>ACTIVE</t>
  </si>
  <si>
    <t>Sink/Source DDR Termination Regulator</t>
  </si>
  <si>
    <t>Multi-channel ICs (PMICs),DDR memory power ICs</t>
  </si>
  <si>
    <t>HiRel Enhanced Product</t>
  </si>
  <si>
    <t>VSON</t>
  </si>
  <si>
    <t/>
  </si>
  <si>
    <t>-55 to 125</t>
  </si>
  <si>
    <t>3 x 3</t>
  </si>
  <si>
    <t>ACTIVE</t>
  </si>
  <si>
    <t>8-A valley current, 5.1-V fixed output voltage synchronous boost converters</t>
  </si>
  <si>
    <t>AC/DC &amp; DC/DC converters (integrated FET)</t>
  </si>
  <si>
    <t>Catalog</t>
  </si>
  <si>
    <t>Boost</t>
  </si>
  <si>
    <t>VQFN-HR</t>
  </si>
  <si>
    <t/>
  </si>
  <si>
    <t>-40 to 125</t>
  </si>
  <si>
    <t>2.5 x 2.5</t>
  </si>
  <si>
    <t>ACTIVE</t>
  </si>
  <si>
    <t>8-A valley current, adjustable output voltage synchronous boost converters</t>
  </si>
  <si>
    <t>AC/DC &amp; DC/DC converters (integrated FET)</t>
  </si>
  <si>
    <t>Catalog</t>
  </si>
  <si>
    <t>Boost</t>
  </si>
  <si>
    <t>VQFN-HR</t>
  </si>
  <si>
    <t/>
  </si>
  <si>
    <t>-40 to 125</t>
  </si>
  <si>
    <t>2.5 x 2.5</t>
  </si>
  <si>
    <t>ACTIVE</t>
  </si>
  <si>
    <t>5.7-V, 6-A, 16-mΩ load switch with adj. rise time, optional output discharge, and thermal shutdown</t>
  </si>
  <si>
    <t>Load switches</t>
  </si>
  <si>
    <t>Catalog</t>
  </si>
  <si>
    <t>WSON</t>
  </si>
  <si>
    <t/>
  </si>
  <si>
    <t>-40 to 105</t>
  </si>
  <si>
    <t>2 x 2</t>
  </si>
  <si>
    <t>ACTIVE</t>
  </si>
  <si>
    <t>5.7kVRMS 4A/6A dual-channel isolated gate driver with dual input and disable pin in DW package</t>
  </si>
  <si>
    <t>Isolated gate drivers</t>
  </si>
  <si>
    <t>Catalog</t>
  </si>
  <si>
    <t>SOIC</t>
  </si>
  <si>
    <t/>
  </si>
  <si>
    <t>-40 to 125</t>
  </si>
  <si>
    <t>10.3 x 10.3</t>
  </si>
  <si>
    <t>ACTIVE</t>
  </si>
  <si>
    <t>2.5-V, 8-ppm/°C 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</si>
  <si>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</si>
  <si>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</si>
  <si>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</si>
  <si>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</si>
  <si>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</si>
  <si>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</si>
  <si>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</si>
  <si>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3-V, 8-ppm/°C 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</si>
  <si>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</si>
  <si>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</si>
  <si>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</si>
  <si>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</si>
  <si>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</si>
  <si>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</si>
  <si>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</si>
  <si>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3.3-V, 8-ppm/°C 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</si>
  <si>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</si>
  <si>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</si>
  <si>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</si>
  <si>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</si>
  <si>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</si>
  <si>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</si>
  <si>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</si>
  <si>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2.5-V, 5-ppm/°C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</si>
  <si>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</si>
  <si>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</si>
  <si>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</si>
  <si>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</si>
  <si>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</si>
  <si>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</si>
  <si>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</si>
  <si>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3-V, 5-ppm/°C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</si>
  <si>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</si>
  <si>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</si>
  <si>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</si>
  <si>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</si>
  <si>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</si>
  <si>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</si>
  <si>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</si>
  <si>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3.3-V, 5-ppm/°C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</si>
  <si>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</si>
  <si>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</si>
  <si>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</si>
  <si>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</si>
  <si>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</si>
  <si>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</si>
  <si>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</si>
  <si>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4.096-V, 5-ppm/°C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</si>
  <si>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</si>
  <si>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</si>
  <si>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</si>
  <si>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</si>
  <si>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</si>
  <si>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</si>
  <si>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</si>
  <si>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4.5-V, 5-ppm/°C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</si>
  <si>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</si>
  <si>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</si>
  <si>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</si>
  <si>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</si>
  <si>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</si>
  <si>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</si>
  <si>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</si>
  <si>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5-V, 5-ppm/°C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</si>
  <si>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</si>
  <si>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</si>
  <si>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</si>
  <si>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</si>
  <si>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</si>
  <si>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</si>
  <si>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</si>
  <si>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4.096-V, 8-ppm/°C 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</si>
  <si>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</si>
  <si>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</si>
  <si>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</si>
  <si>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</si>
  <si>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</si>
  <si>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</si>
  <si>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</si>
  <si>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4.5-V, 8-ppm/°C 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</si>
  <si>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</si>
  <si>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</si>
  <si>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</si>
  <si>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</si>
  <si>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</si>
  <si>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</si>
  <si>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</si>
  <si>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5-V, 8-ppm/°C  high-precision voltage reference with integrated buffer &amp; enable pin</t>
  </si>
  <si>
    <t>Series voltage references</t>
  </si>
  <si>
    <t>Catalog</t>
  </si>
  <si>
    <t>VSSOP</t>
  </si>
  <si>
    <t/>
  </si>
  <si>
    <t>-40 to 125</t>
  </si>
  <si>
    <t>3 x 4.9</t>
  </si>
  <si>
    <t>ACTIVE</t>
  </si>
  <si>
    <t>2-Phase, D-CAP+&amp;trade; Step-Down Controller for VR13 CPU VCORE and DDR Memory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</si>
  <si>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</si>
  <si>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</si>
  <si>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</si>
  <si>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</si>
  <si>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</si>
  <si>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</si>
  <si>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</si>
  <si>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</si>
  <si>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4.5-V to 28-V Input, 3-A Output, EMI Friendly Synchronous Step-Down Converter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</si>
  <si>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</si>
  <si>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</si>
  <si>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</si>
  <si>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</si>
  <si>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</si>
  <si>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</si>
  <si>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</si>
  <si>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</si>
  <si>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Half-bridge, D-CAP+ controller for 48-V GaN DC/DC converter</t>
  </si>
  <si>
    <t>AC/DC &amp; DC/DC controllers (external FET)</t>
  </si>
  <si>
    <t>Catalog</t>
  </si>
  <si>
    <t>Multiphase</t>
  </si>
  <si>
    <t>VQFN</t>
  </si>
  <si>
    <t/>
  </si>
  <si>
    <t>-10 to 105</t>
  </si>
  <si>
    <t>4 x 4</t>
  </si>
  <si>
    <t>ACTIVE</t>
  </si>
  <si>
    <t>3-A Boost Converter with 0.5-V Ultra Low Input Voltage</t>
  </si>
  <si>
    <t>AC/DC &amp; DC/DC converters (integrated FET)</t>
  </si>
  <si>
    <t>Catalog</t>
  </si>
  <si>
    <t>Boost</t>
  </si>
  <si>
    <t>WSON</t>
  </si>
  <si>
    <t/>
  </si>
  <si>
    <t>-40 to 125</t>
  </si>
  <si>
    <t>2 x 2</t>
  </si>
  <si>
    <t>ACTIVE</t>
  </si>
  <si>
    <t>2.15-V to 5.5-V, 400-mA high efficiency buck converter with ultra-low quiescent current</t>
  </si>
  <si>
    <t>AC/DC &amp; DC/DC converters (integrated FET)</t>
  </si>
  <si>
    <t>Catalog</t>
  </si>
  <si>
    <t>Buck</t>
  </si>
  <si>
    <t>DSBGA</t>
  </si>
  <si>
    <t/>
  </si>
  <si>
    <t>-40 to 85</t>
  </si>
  <si>
    <t>1 x 1.8</t>
  </si>
  <si>
    <t>ACTIVE</t>
  </si>
  <si>
    <t>4.5V to 17V Input, 500mA Synchronous Step-Down Converter with Advanced Eco-Mode&amp;trade;</t>
  </si>
  <si>
    <t>AC/DC &amp; DC/DC converters (integrated FET)</t>
  </si>
  <si>
    <t>Automotive</t>
  </si>
  <si>
    <t>Buck</t>
  </si>
  <si>
    <t>VSSOP</t>
  </si>
  <si>
    <t/>
  </si>
  <si>
    <t>-40 to 125</t>
  </si>
  <si>
    <t>3 x 4.9</t>
  </si>
  <si>
    <t>ACTIVE</t>
  </si>
  <si>
    <t>2.7-V to 18-V, 42mΩ, 0.6-5.3A automotive eFuse with current monitor and short to battery protection</t>
  </si>
  <si>
    <t>eFuses (integrated hot swaps)</t>
  </si>
  <si>
    <t>Automotive</t>
  </si>
  <si>
    <t>WQFN</t>
  </si>
  <si>
    <t/>
  </si>
  <si>
    <t>-40 to 125</t>
  </si>
  <si>
    <t>4 x 3</t>
  </si>
  <si>
    <t>ACTIVE</t>
  </si>
  <si>
    <t>3.5-MHz, 5.2-V, 1.5-A load boost converter in 1.2-mm x 1.3-mm WCSP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</si>
  <si>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</si>
  <si>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</si>
  <si>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</si>
  <si>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</si>
  <si>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</si>
  <si>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</si>
  <si>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</si>
  <si>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</si>
  <si>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TLC6C5912 12-channel Shift-Register LED driver</t>
  </si>
  <si>
    <t>RGB LED drivers</t>
  </si>
  <si>
    <t>Catalog</t>
  </si>
  <si>
    <t>Linear</t>
  </si>
  <si>
    <t>TSSOP</t>
  </si>
  <si>
    <t/>
  </si>
  <si>
    <t>-40 to 105</t>
  </si>
  <si>
    <t>6.5 x 6.4</t>
  </si>
  <si>
    <t>ACTIVE</t>
  </si>
  <si>
    <t>TLC6C598 8-bit Shift-Register LED driver</t>
  </si>
  <si>
    <t>RGB LED drivers</t>
  </si>
  <si>
    <t>Catalog</t>
  </si>
  <si>
    <t>Linear</t>
  </si>
  <si>
    <t>TSSOP</t>
  </si>
  <si>
    <t/>
  </si>
  <si>
    <t>-40 to 105</t>
  </si>
  <si>
    <t>5 x 6.4</t>
  </si>
  <si>
    <t>ACTIVE</t>
  </si>
  <si>
    <t>150-mA, 40-V, low-IQ, low-dropout voltage regulator</t>
  </si>
  <si>
    <t>Linear &amp; low-dropout (LDO) regulators</t>
  </si>
  <si>
    <t>Catalog</t>
  </si>
  <si>
    <t>SOT-23</t>
  </si>
  <si>
    <t/>
  </si>
  <si>
    <t>-40 to 105</t>
  </si>
  <si>
    <t>2.9 x 2.8</t>
  </si>
  <si>
    <t>ACTIVE</t>
  </si>
  <si>
    <t>40-V, 160-mΩ, 4-ch automotive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</si>
  <si>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</si>
  <si>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</si>
  <si>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</si>
  <si>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</si>
  <si>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</si>
  <si>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9.7 x 6.4</t>
  </si>
  <si>
    <t>ACTIVE</t>
  </si>
  <si>
    <t>Low-quiescent current 1% accuracy supervisor with programmable delay</t>
  </si>
  <si>
    <t>Reset &amp; watchdog ICs</t>
  </si>
  <si>
    <t>Catalog</t>
  </si>
  <si>
    <t>WSON</t>
  </si>
  <si>
    <t/>
  </si>
  <si>
    <t>-40 to 125</t>
  </si>
  <si>
    <t>1.5 x 1.5</t>
  </si>
  <si>
    <t>ACTIVE</t>
  </si>
  <si>
    <t>Automotive 150-mA, off-battery (40-V), adjustable voltage-tracking low-dropout voltage regulator</t>
  </si>
  <si>
    <t>Linear &amp; low-dropout (LDO) regulators</t>
  </si>
  <si>
    <t>Automotive</t>
  </si>
  <si>
    <t>HSOIC</t>
  </si>
  <si>
    <t/>
  </si>
  <si>
    <t>-40 to 125</t>
  </si>
  <si>
    <t>4.9 x 6</t>
  </si>
  <si>
    <t>ACTIVE</t>
  </si>
  <si>
    <t>SIMPLE SWITCHER 60V, 1A Step-Down Converter with 40uA Iq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</si>
  <si>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</si>
  <si>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</si>
  <si>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</si>
  <si>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</si>
  <si>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</si>
  <si>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</si>
  <si>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</si>
  <si>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</si>
  <si>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SIMPLE SWITCHER 60V, 2A Step-Down Converter with 40uA Iq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</si>
  <si>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</si>
  <si>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</si>
  <si>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</si>
  <si>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</si>
  <si>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</si>
  <si>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</si>
  <si>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</si>
  <si>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</si>
  <si>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SIMPLE SWITCHER 60V, 3A Step-Down Converter with 40uA Iq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</si>
  <si>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</si>
  <si>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</si>
  <si>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</si>
  <si>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</si>
  <si>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</si>
  <si>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</si>
  <si>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</si>
  <si>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</si>
  <si>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100-V, N channel NexFET™ power MOSFET, single SON 3 mm x 3 mm, 61 mOhm</t>
  </si>
  <si>
    <t>MOSFETs</t>
  </si>
  <si>
    <t>Catalog</t>
  </si>
  <si>
    <t>VSONP</t>
  </si>
  <si>
    <t/>
  </si>
  <si>
    <t>-55 to 150</t>
  </si>
  <si>
    <t>3.3 x 3.3</t>
  </si>
  <si>
    <t>ACTIVE</t>
  </si>
  <si>
    <t>3.5-A, 36-V synchronous, 2.1-MHz, automotive step-down DC-DC converter</t>
  </si>
  <si>
    <t>AC/DC &amp; DC/DC converters (integrated FET)</t>
  </si>
  <si>
    <t>Automotive</t>
  </si>
  <si>
    <t>Buck</t>
  </si>
  <si>
    <t>VQFN-HR</t>
  </si>
  <si>
    <t/>
  </si>
  <si>
    <t>-40 to 150</t>
  </si>
  <si>
    <t>5 x 4</t>
  </si>
  <si>
    <t>ACTIVE</t>
  </si>
  <si>
    <t>2.5-A, 36-V synchronous, 2.1-MHz, automotive step-down DC-DC converter</t>
  </si>
  <si>
    <t>AC/DC &amp; DC/DC converters (integrated FET)</t>
  </si>
  <si>
    <t>Automotive</t>
  </si>
  <si>
    <t>Buck</t>
  </si>
  <si>
    <t>VQFN-HR</t>
  </si>
  <si>
    <t/>
  </si>
  <si>
    <t>-40 to 150</t>
  </si>
  <si>
    <t>5 x 4</t>
  </si>
  <si>
    <t>ACTIVE</t>
  </si>
  <si>
    <t>60-V, N channel NexFET™ power MOSFET, single LGA 1.5  mm x 0.8mm, 65 mOhm, gate ESD protection</t>
  </si>
  <si>
    <t>MOSFETs</t>
  </si>
  <si>
    <t>Catalog</t>
  </si>
  <si>
    <t>PICOSTAR</t>
  </si>
  <si>
    <t/>
  </si>
  <si>
    <t>-55 to 150</t>
  </si>
  <si>
    <t>1.49 x 0.73</t>
  </si>
  <si>
    <t>ACTIVE</t>
  </si>
  <si>
    <t>Automotive, 500-mA low-noise low-IQ low-dropout voltage regulator with reverse current protection</t>
  </si>
  <si>
    <t>Linear &amp; low-dropout (LDO) regulators</t>
  </si>
  <si>
    <t>Automotive</t>
  </si>
  <si>
    <t>WSON</t>
  </si>
  <si>
    <t>Functional Safety-Capable</t>
  </si>
  <si>
    <t>-40 to 125</t>
  </si>
  <si>
    <t>2 x 2</t>
  </si>
  <si>
    <t>ACTIVE</t>
  </si>
  <si>
    <t>4.5 V to 17 V input, 4 A output, synchronous step-down converter in Eco-mode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</si>
  <si>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</si>
  <si>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</si>
  <si>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</si>
  <si>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</si>
  <si>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</si>
  <si>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</si>
  <si>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</si>
  <si>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</si>
  <si>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20-V, N channel NexFET™ power MOSFET, single LGA 0.6 mm x 0.7 mm, 1460 mOhm, gate ESD protection</t>
  </si>
  <si>
    <t>MOSFETs</t>
  </si>
  <si>
    <t>Catalog</t>
  </si>
  <si>
    <t>PICOSTAR</t>
  </si>
  <si>
    <t/>
  </si>
  <si>
    <t>-55 to 150</t>
  </si>
  <si>
    <t>0.69 x 0.6</t>
  </si>
  <si>
    <t>ACTIVE</t>
  </si>
  <si>
    <t>4.5V to 28V Input, 2A Output, Synchronous Step-Down Voltage Converter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</si>
  <si>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</si>
  <si>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</si>
  <si>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</si>
  <si>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</si>
  <si>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</si>
  <si>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</si>
  <si>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</si>
  <si>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</si>
  <si>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1.5-V to 16-V, 40-A synchronous SWIFT™ buck converter with differential remote sense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</si>
  <si>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</si>
  <si>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</si>
  <si>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</si>
  <si>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</si>
  <si>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</si>
  <si>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</si>
  <si>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</si>
  <si>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</si>
  <si>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4.5V to 42V, 2A Step-Down Power Module in QFN Package</t>
  </si>
  <si>
    <t>Power modules (integrated inductor)</t>
  </si>
  <si>
    <t>Catalog</t>
  </si>
  <si>
    <t>Buck,Inverting Buck-Boost,Synchronous Buck</t>
  </si>
  <si>
    <t>B3QFN</t>
  </si>
  <si>
    <t/>
  </si>
  <si>
    <t>-40 to 105</t>
  </si>
  <si>
    <t>10 x 10</t>
  </si>
  <si>
    <t>ACTIVE</t>
  </si>
  <si>
    <t>4.3-V output voltage, synchronous boost converter with integrated LDO and VSUB active discharge</t>
  </si>
  <si>
    <t>AC/DC &amp; DC/DC converters (integrated FET)</t>
  </si>
  <si>
    <t>Catalog</t>
  </si>
  <si>
    <t>Boost</t>
  </si>
  <si>
    <t>WSON</t>
  </si>
  <si>
    <t/>
  </si>
  <si>
    <t>-40 to 125</t>
  </si>
  <si>
    <t>1.5 x 1.5</t>
  </si>
  <si>
    <t>ACTIVE</t>
  </si>
  <si>
    <t>12.6-V, 7-A Fully-Integrated Synchronous Boost Converters in 2.0-mm x 2.5-mm VQFN Package</t>
  </si>
  <si>
    <t>AC/DC &amp; DC/DC converters (integrated FET)</t>
  </si>
  <si>
    <t>Catalog</t>
  </si>
  <si>
    <t>Boost</t>
  </si>
  <si>
    <t>VQFN-HR</t>
  </si>
  <si>
    <t/>
  </si>
  <si>
    <t>-40 to 125</t>
  </si>
  <si>
    <t>2.5 x 2</t>
  </si>
  <si>
    <t>ACTIVE</t>
  </si>
  <si>
    <t>Small, 10-MHz, 8-V to 14-V, 10-A synchronous SWIFT™ series capacitor buck converter</t>
  </si>
  <si>
    <t>AC/DC &amp; DC/DC converters (integrated FET)</t>
  </si>
  <si>
    <t>Catalog</t>
  </si>
  <si>
    <t>Buck</t>
  </si>
  <si>
    <t>VQFN-HR</t>
  </si>
  <si>
    <t/>
  </si>
  <si>
    <t>-40 to 125</t>
  </si>
  <si>
    <t>4 x 3.5</t>
  </si>
  <si>
    <t>ACTIVE</t>
  </si>
  <si>
    <t>500-mA&amp;nbsp;low-noise&amp;nbsp;low-IQ&amp;nbsp;low-dropout voltage regulator with reverse current protect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</si>
  <si>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</si>
  <si>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</si>
  <si>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</si>
  <si>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</si>
  <si>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</si>
  <si>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</si>
  <si>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</si>
  <si>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42-V wide VIN 4-switch synchronous buck-boost controller, AEC-Q100 qualified</t>
  </si>
  <si>
    <t>AC/DC &amp; DC/DC controllers (external FET)</t>
  </si>
  <si>
    <t>Automotive</t>
  </si>
  <si>
    <t>Buck-Boost</t>
  </si>
  <si>
    <t>HTSSOP</t>
  </si>
  <si>
    <t/>
  </si>
  <si>
    <t>-40 to 125</t>
  </si>
  <si>
    <t>9.7 x 6.4</t>
  </si>
  <si>
    <t>ACTIVE</t>
  </si>
  <si>
    <t>Automotive 16-channel FM+ I2C-Bus constant-current LED sink driver</t>
  </si>
  <si>
    <t>Automotive LED drivers</t>
  </si>
  <si>
    <t>Automotive</t>
  </si>
  <si>
    <t>Current Sink</t>
  </si>
  <si>
    <t>TSSOP</t>
  </si>
  <si>
    <t/>
  </si>
  <si>
    <t>-40 to 105</t>
  </si>
  <si>
    <t>9.7 x 6.4</t>
  </si>
  <si>
    <t>ACTIVE</t>
  </si>
  <si>
    <t>4.5V to 28V Input, 2A Output, EMI Friendly Synchronous Step-Down Converter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</si>
  <si>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</si>
  <si>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</si>
  <si>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</si>
  <si>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</si>
  <si>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</si>
  <si>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</si>
  <si>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</si>
  <si>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</si>
  <si>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-12-V, P channel NexFET™ power MOSFET, single LGA 0.6 mm x 0.7 mm, 116 mOhm, gate ESD protection</t>
  </si>
  <si>
    <t>MOSFETs</t>
  </si>
  <si>
    <t>Catalog</t>
  </si>
  <si>
    <t>PICOSTAR</t>
  </si>
  <si>
    <t/>
  </si>
  <si>
    <t>-55 to 150</t>
  </si>
  <si>
    <t>0.69 x 0.6</t>
  </si>
  <si>
    <t>ACTIVE</t>
  </si>
  <si>
    <t>30-V, N channel NexFET™ power MOSFET, single LGA 1 mm x  0.6mm, 67 mOhm, gate ESD protection</t>
  </si>
  <si>
    <t>MOSFETs</t>
  </si>
  <si>
    <t>Catalog</t>
  </si>
  <si>
    <t>PICOSTAR</t>
  </si>
  <si>
    <t/>
  </si>
  <si>
    <t>-55 to 150</t>
  </si>
  <si>
    <t>1.035 x 0.635</t>
  </si>
  <si>
    <t>ACTIVE</t>
  </si>
  <si>
    <t>-20-V, P channel NexFET™ power MOSFET, single LGA 0.6 mm x 0.7 mm, 159 mOhm, gate ESD protection</t>
  </si>
  <si>
    <t>MOSFETs</t>
  </si>
  <si>
    <t>Catalog</t>
  </si>
  <si>
    <t>PICOSTAR</t>
  </si>
  <si>
    <t/>
  </si>
  <si>
    <t>-55 to 150</t>
  </si>
  <si>
    <t>0.69 x 0.6</t>
  </si>
  <si>
    <t>ACTIVE</t>
  </si>
  <si>
    <t>60-V, N channel NexFET™ power MOSFET, single D2PAK, 4 mOhm</t>
  </si>
  <si>
    <t>MOSFETs</t>
  </si>
  <si>
    <t>Catalog</t>
  </si>
  <si>
    <t>TO-263</t>
  </si>
  <si>
    <t/>
  </si>
  <si>
    <t>-55 to 175</t>
  </si>
  <si>
    <t>10.16 x 15.1</t>
  </si>
  <si>
    <t>ACTIVE</t>
  </si>
  <si>
    <t>60-V, N channel NexFET™ power MOSFET, single D2PAK, 2 mOhm</t>
  </si>
  <si>
    <t>MOSFETs</t>
  </si>
  <si>
    <t>Catalog</t>
  </si>
  <si>
    <t>TO-263</t>
  </si>
  <si>
    <t/>
  </si>
  <si>
    <t>-55 to 175</t>
  </si>
  <si>
    <t>10.16 x 15.1</t>
  </si>
  <si>
    <t>ACTIVE</t>
  </si>
  <si>
    <t>60-V, N channel NexFET™ power MOSFET, single D2PAK, 1.6 mOhm</t>
  </si>
  <si>
    <t>MOSFETs</t>
  </si>
  <si>
    <t>Catalog</t>
  </si>
  <si>
    <t>TO-263</t>
  </si>
  <si>
    <t/>
  </si>
  <si>
    <t>-55 to 175</t>
  </si>
  <si>
    <t>10.16 x 15.1</t>
  </si>
  <si>
    <t>ACTIVE</t>
  </si>
  <si>
    <t>4.5 V to 17 V input, 4 A output, synchronous step-down converter in FCCM mode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</si>
  <si>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</si>
  <si>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</si>
  <si>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</si>
  <si>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</si>
  <si>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</si>
  <si>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</si>
  <si>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</si>
  <si>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</si>
  <si>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4A Synchronous Step Down Converter with DCS Control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</si>
  <si>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</si>
  <si>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</si>
  <si>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</si>
  <si>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</si>
  <si>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</si>
  <si>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</si>
  <si>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</si>
  <si>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</si>
  <si>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Tiny Single-chip Dual Solution with 360nA Iq Buck and up to 15V Boost in WCSP</t>
  </si>
  <si>
    <t>AC/DC &amp; DC/DC converters (integrated FET)</t>
  </si>
  <si>
    <t>Catalog</t>
  </si>
  <si>
    <t>Buck</t>
  </si>
  <si>
    <t>DSBGA</t>
  </si>
  <si>
    <t/>
  </si>
  <si>
    <t>-40 to 85</t>
  </si>
  <si>
    <t>1.8 x 1.8</t>
  </si>
  <si>
    <t>ACTIVE</t>
  </si>
  <si>
    <t>3V-65V, 150mA Synchronous Buck Converter With Ultra-Low IQ</t>
  </si>
  <si>
    <t>AC/DC &amp; DC/DC converters (integrated FET)</t>
  </si>
  <si>
    <t>Automotive</t>
  </si>
  <si>
    <t>Buck</t>
  </si>
  <si>
    <t>VSON</t>
  </si>
  <si>
    <t/>
  </si>
  <si>
    <t>-40 to 150</t>
  </si>
  <si>
    <t>3 x 3</t>
  </si>
  <si>
    <t>ACTIVE</t>
  </si>
  <si>
    <t>Automotive, 3V-65V, 150mA Synchronous Buck Converter With Ultra-Low IQ</t>
  </si>
  <si>
    <t>AC/DC &amp; DC/DC converters (integrated FET)</t>
  </si>
  <si>
    <t>Automotive</t>
  </si>
  <si>
    <t>Buck</t>
  </si>
  <si>
    <t>VSON,VSSOP</t>
  </si>
  <si>
    <t/>
  </si>
  <si>
    <t>-40 to 150</t>
  </si>
  <si>
    <t>9,14.7</t>
  </si>
  <si>
    <t>3 x 3,3 x 4.9</t>
  </si>
  <si>
    <t>1,1.1</t>
  </si>
  <si>
    <t>ACTIVE</t>
  </si>
  <si>
    <t>5.5-V, 2-A, 52-mΩ load switch with adj. rise time and adj. output discharge</t>
  </si>
  <si>
    <t>Load switches</t>
  </si>
  <si>
    <t>Catalog</t>
  </si>
  <si>
    <t>SOT-23</t>
  </si>
  <si>
    <t/>
  </si>
  <si>
    <t>-40 to 105</t>
  </si>
  <si>
    <t>2.9 x 2.8</t>
  </si>
  <si>
    <t>ACTIVE</t>
  </si>
  <si>
    <t>NexFET Power Stage</t>
  </si>
  <si>
    <t>Si power stages</t>
  </si>
  <si>
    <t>Catalog</t>
  </si>
  <si>
    <t>VSON-CLIP</t>
  </si>
  <si>
    <t/>
  </si>
  <si>
    <t>-40 to 125</t>
  </si>
  <si>
    <t>4.5 x 3.5</t>
  </si>
  <si>
    <t>ACTIVE</t>
  </si>
  <si>
    <t>30-V, N channel synchronous buck NexFET™ power MOSFET, SON 5 mm x 6 mm power block, 45 A</t>
  </si>
  <si>
    <t>MOSFETs</t>
  </si>
  <si>
    <t>Catalog</t>
  </si>
  <si>
    <t>LSON-CLIP</t>
  </si>
  <si>
    <t/>
  </si>
  <si>
    <t>-55 to 150</t>
  </si>
  <si>
    <t>5 x 6</t>
  </si>
  <si>
    <t>ACTIVE</t>
  </si>
  <si>
    <t>Two-channel LCD backlight and Bias power</t>
  </si>
  <si>
    <t>Backlight LED drivers</t>
  </si>
  <si>
    <t>Catalog</t>
  </si>
  <si>
    <t>Boost,Current Sink</t>
  </si>
  <si>
    <t>DSBGA</t>
  </si>
  <si>
    <t/>
  </si>
  <si>
    <t>-40 to 85</t>
  </si>
  <si>
    <t>1.8 x 2.5999999999999996</t>
  </si>
  <si>
    <t>ACTIVE</t>
  </si>
  <si>
    <t>Three-channel LCD backlight and Bias power</t>
  </si>
  <si>
    <t>Backlight LED drivers</t>
  </si>
  <si>
    <t>Catalog</t>
  </si>
  <si>
    <t>Boost,Current Sink</t>
  </si>
  <si>
    <t>DSBGA</t>
  </si>
  <si>
    <t/>
  </si>
  <si>
    <t>-40 to 85</t>
  </si>
  <si>
    <t>1.8 x 2.5999999999999996</t>
  </si>
  <si>
    <t>ACTIVE</t>
  </si>
  <si>
    <t>Integrated backlight driver with LCD Bias</t>
  </si>
  <si>
    <t>Backlight LED drivers</t>
  </si>
  <si>
    <t>Catalog</t>
  </si>
  <si>
    <t>Boost,Current Sink</t>
  </si>
  <si>
    <t>DSBGA</t>
  </si>
  <si>
    <t/>
  </si>
  <si>
    <t>-40 to 85</t>
  </si>
  <si>
    <t>1.8 x 2.5999999999999996</t>
  </si>
  <si>
    <t>ACTIVE</t>
  </si>
  <si>
    <t>3.8-V to 17-V, 12-A synchronous SWIFT™ buck converter with D-CAP3 control</t>
  </si>
  <si>
    <t>AC/DC &amp; DC/DC converters (integrated FET)</t>
  </si>
  <si>
    <t>Catalog</t>
  </si>
  <si>
    <t>Buck</t>
  </si>
  <si>
    <t>VQFN-HR</t>
  </si>
  <si>
    <t/>
  </si>
  <si>
    <t>-40 to 125</t>
  </si>
  <si>
    <t>3.5 x 3.5</t>
  </si>
  <si>
    <t>ACTIVE</t>
  </si>
  <si>
    <t>80-V, N channel NexFET™ power MOSFET, single D2PAK, 3.1 mOhm</t>
  </si>
  <si>
    <t>MOSFETs</t>
  </si>
  <si>
    <t>Catalog</t>
  </si>
  <si>
    <t>TO-263</t>
  </si>
  <si>
    <t/>
  </si>
  <si>
    <t>-55 to 175</t>
  </si>
  <si>
    <t>10.16 x 15.1</t>
  </si>
  <si>
    <t>ACTIVE</t>
  </si>
  <si>
    <t>80-V, N channel NexFET™ power MOSFET, single D2PAK, 2.3 mOhm</t>
  </si>
  <si>
    <t>MOSFETs</t>
  </si>
  <si>
    <t>Catalog</t>
  </si>
  <si>
    <t>TO-263</t>
  </si>
  <si>
    <t/>
  </si>
  <si>
    <t>-55 to 175</t>
  </si>
  <si>
    <t>10.16 x 15.1</t>
  </si>
  <si>
    <t>ACTIVE</t>
  </si>
  <si>
    <t>6-60V Wide Vin, current mode boost, SEPIC and Flyback controller, AEC-Q100 qualified</t>
  </si>
  <si>
    <t>AC/DC &amp; DC/DC controllers (external FET)</t>
  </si>
  <si>
    <t>Automotive</t>
  </si>
  <si>
    <t>Boost,Flyback,Forward,SEPIC</t>
  </si>
  <si>
    <t>VSSOP</t>
  </si>
  <si>
    <t/>
  </si>
  <si>
    <t>-40 to 125</t>
  </si>
  <si>
    <t>3 x 4.9</t>
  </si>
  <si>
    <t>ACTIVE</t>
  </si>
  <si>
    <t>Synchronous rectifier controller With Ultra-Low Standby current</t>
  </si>
  <si>
    <t>AC/DC &amp; DC/DC controllers (external FET)</t>
  </si>
  <si>
    <t>Catalog</t>
  </si>
  <si>
    <t>CCM,DCM</t>
  </si>
  <si>
    <t>SOT-23</t>
  </si>
  <si>
    <t/>
  </si>
  <si>
    <t>-40 to 125</t>
  </si>
  <si>
    <t>2.9 x 2.8</t>
  </si>
  <si>
    <t>ACTIVE</t>
  </si>
  <si>
    <t>Fully I2C Programmable 6-CH LCD Bias IC For All Size TV Including Gate</t>
  </si>
  <si>
    <t>LCD &amp; OLED display power &amp; drivers</t>
  </si>
  <si>
    <t>Catalog</t>
  </si>
  <si>
    <t>Boost,Buck</t>
  </si>
  <si>
    <t>VQFN</t>
  </si>
  <si>
    <t/>
  </si>
  <si>
    <t>-40 to 150</t>
  </si>
  <si>
    <t>6 x 6</t>
  </si>
  <si>
    <t>ACTIVE</t>
  </si>
  <si>
    <t>5-Gbps USB 3.1 Gen1 Type-C 2:1 mux and redriver</t>
  </si>
  <si>
    <t>USB Type-C &amp; USB Power Delivery ICs</t>
  </si>
  <si>
    <t>Catalog</t>
  </si>
  <si>
    <t>X2QFN</t>
  </si>
  <si>
    <t/>
  </si>
  <si>
    <t>-40 to 85</t>
  </si>
  <si>
    <t>2.4 x 2</t>
  </si>
  <si>
    <t>ACTIVE</t>
  </si>
  <si>
    <t>High-Efficiency Off-Line CV and CC Flyback Controller with Primary-Side Regulation (PSR)</t>
  </si>
  <si>
    <t>AC/DC &amp; DC/DC controllers (external FET)</t>
  </si>
  <si>
    <t>Catalog</t>
  </si>
  <si>
    <t>Buck,Flyback</t>
  </si>
  <si>
    <t>SOT-23</t>
  </si>
  <si>
    <t/>
  </si>
  <si>
    <t>-40 to 125</t>
  </si>
  <si>
    <t>2.9 x 2.8</t>
  </si>
  <si>
    <t>ACTIVE</t>
  </si>
  <si>
    <t>17-V input 3-A step-down converter module with integrated inductor</t>
  </si>
  <si>
    <t>Power modules (integrated inductor)</t>
  </si>
  <si>
    <t>Catalog</t>
  </si>
  <si>
    <t>Buck,Inverting Buck-Boost,Synchronous Buck</t>
  </si>
  <si>
    <t>USIP,uSIP</t>
  </si>
  <si>
    <t/>
  </si>
  <si>
    <t>-40 to 125</t>
  </si>
  <si>
    <t>8.4,See data sheet</t>
  </si>
  <si>
    <t>3 x 2.8,See data sheet</t>
  </si>
  <si>
    <t>1.7,—</t>
  </si>
  <si>
    <t>0.8,—</t>
  </si>
  <si>
    <t>ACTIVE</t>
  </si>
  <si>
    <t>30-V, N channel synchronous buck NexFET™ power MOSFET, SON 3 mm x 3 mm power block, 25 A</t>
  </si>
  <si>
    <t>MOSFETs</t>
  </si>
  <si>
    <t>Catalog</t>
  </si>
  <si>
    <t>LSON-CLIP</t>
  </si>
  <si>
    <t/>
  </si>
  <si>
    <t>-55 to 150</t>
  </si>
  <si>
    <t>3.3 x 3.3</t>
  </si>
  <si>
    <t>ACTIVE</t>
  </si>
  <si>
    <t>20 V 60 A SON 5 x 6 mm DualCool synchronous buck NexFET™ power stage</t>
  </si>
  <si>
    <t>Si power stages</t>
  </si>
  <si>
    <t>Catalog</t>
  </si>
  <si>
    <t>VSON-CLIP</t>
  </si>
  <si>
    <t/>
  </si>
  <si>
    <t>-55 to 150</t>
  </si>
  <si>
    <t>6 x 5</t>
  </si>
  <si>
    <t>ACTIVE</t>
  </si>
  <si>
    <t>Highly efficient dual-String white LED driver</t>
  </si>
  <si>
    <t>Backlight LED drivers</t>
  </si>
  <si>
    <t>Catalog</t>
  </si>
  <si>
    <t>Boost,Current Sink,Multi-Channel</t>
  </si>
  <si>
    <t>DSBGA</t>
  </si>
  <si>
    <t/>
  </si>
  <si>
    <t>-40 to 85</t>
  </si>
  <si>
    <t>1.4000000000000001 x 1.8</t>
  </si>
  <si>
    <t>ACTIVE</t>
  </si>
  <si>
    <t>Highly efficient Triple-String white LED driver</t>
  </si>
  <si>
    <t>Backlight LED drivers</t>
  </si>
  <si>
    <t>Catalog</t>
  </si>
  <si>
    <t>Boost,Current Sink,Multi-Channel</t>
  </si>
  <si>
    <t>DSBGA</t>
  </si>
  <si>
    <t/>
  </si>
  <si>
    <t>-40 to 85</t>
  </si>
  <si>
    <t>1.4000000000000001 x 1.8</t>
  </si>
  <si>
    <t>ACTIVE</t>
  </si>
  <si>
    <t>Automotive 350-mA, low-VIN (1.1-V), high-PSRR, low-IQ, low-dropout voltage regulator with enable</t>
  </si>
  <si>
    <t>Linear &amp; low-dropout (LDO) regulators</t>
  </si>
  <si>
    <t>Automotive</t>
  </si>
  <si>
    <t>WSON</t>
  </si>
  <si>
    <t>Functional Safety-Capable</t>
  </si>
  <si>
    <t>-40 to 125</t>
  </si>
  <si>
    <t>2 x 2</t>
  </si>
  <si>
    <t>ACTIVE</t>
  </si>
  <si>
    <t>6A, 2.4V-5.5V input, Synchronous step-down converter with PG Output, Adjust. Soft-start and Optional</t>
  </si>
  <si>
    <t>AC/DC &amp; DC/DC converters (integrated FET)</t>
  </si>
  <si>
    <t>Catalog</t>
  </si>
  <si>
    <t>Buck,Step-Down Converter,Synchronous Buck</t>
  </si>
  <si>
    <t>VQFN-HR</t>
  </si>
  <si>
    <t/>
  </si>
  <si>
    <t>-40 to 125</t>
  </si>
  <si>
    <t>2.5 x 3</t>
  </si>
  <si>
    <t>ACTIVE</t>
  </si>
  <si>
    <t>Low-Noise Regulated Inverter with Integrated LDO</t>
  </si>
  <si>
    <t>AC/DC &amp; DC/DC converters (integrated FET)</t>
  </si>
  <si>
    <t>Catalog</t>
  </si>
  <si>
    <t>WSON</t>
  </si>
  <si>
    <t/>
  </si>
  <si>
    <t>-40 to 125</t>
  </si>
  <si>
    <t>2 x 2</t>
  </si>
  <si>
    <t>ACTIVE</t>
  </si>
  <si>
    <t>4-A, low-VIN, low-noise, ultra-low-dropout voltage regulator with power good with high-accuracy</t>
  </si>
  <si>
    <t>Linear &amp; low-dropout (LDO) regulators</t>
  </si>
  <si>
    <t>Catalog</t>
  </si>
  <si>
    <t>VQFN</t>
  </si>
  <si>
    <t/>
  </si>
  <si>
    <t>-40 to 125</t>
  </si>
  <si>
    <t>3.5 x 3.5</t>
  </si>
  <si>
    <t>ACTIVE</t>
  </si>
  <si>
    <t>Low-EMI, high-performance 4-channel LED driver</t>
  </si>
  <si>
    <t>Backlight LED drivers,Automotive LED drivers</t>
  </si>
  <si>
    <t>Catalog</t>
  </si>
  <si>
    <t>Boost</t>
  </si>
  <si>
    <t>HTSSOP</t>
  </si>
  <si>
    <t/>
  </si>
  <si>
    <t>-40 to 85</t>
  </si>
  <si>
    <t>6.5 x 6.4</t>
  </si>
  <si>
    <t>ACTIVE</t>
  </si>
  <si>
    <t>Low-EMI, high-performance 4-channel LED driver for Automotive lighting</t>
  </si>
  <si>
    <t>Backlight LED drivers,Automotive LED drivers</t>
  </si>
  <si>
    <t>Automotive</t>
  </si>
  <si>
    <t>Boost with Current Sink,SEPIC</t>
  </si>
  <si>
    <t>HTSSOP</t>
  </si>
  <si>
    <t/>
  </si>
  <si>
    <t>-40 to 125</t>
  </si>
  <si>
    <t>6.5 x 6.4</t>
  </si>
  <si>
    <t>ACTIVE</t>
  </si>
  <si>
    <t>4.5 V to 17 V input, 2 A output, synchronous step-down converter in FCCM mode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</si>
  <si>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</si>
  <si>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</si>
  <si>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</si>
  <si>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</si>
  <si>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</si>
  <si>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</si>
  <si>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</si>
  <si>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</si>
  <si>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Wide Vin Dual 2.2MHz low Iq Synchronous Buck Controller</t>
  </si>
  <si>
    <t>AC/DC &amp; DC/DC controllers (external FET)</t>
  </si>
  <si>
    <t>Automotive</t>
  </si>
  <si>
    <t>Buck</t>
  </si>
  <si>
    <t>VQFNP</t>
  </si>
  <si>
    <t/>
  </si>
  <si>
    <t>-40 to 150</t>
  </si>
  <si>
    <t>6 x 6</t>
  </si>
  <si>
    <t>ACTIVE</t>
  </si>
  <si>
    <t>Automotive 50-mA, off-battery (40-V), low-IQ, low-dropout voltage regulator with power good</t>
  </si>
  <si>
    <t>Linear &amp; low-dropout (LDO) regulators</t>
  </si>
  <si>
    <t>Automotive</t>
  </si>
  <si>
    <t>HVSSOP</t>
  </si>
  <si>
    <t/>
  </si>
  <si>
    <t>-40 to 150</t>
  </si>
  <si>
    <t>3 x 4.9</t>
  </si>
  <si>
    <t>ACTIVE</t>
  </si>
  <si>
    <t>Four, single-phase, 4-A output DC-DC step-down converter</t>
  </si>
  <si>
    <t>Multi-channel ICs (PMICs)</t>
  </si>
  <si>
    <t>Catalog</t>
  </si>
  <si>
    <t>DSBGA</t>
  </si>
  <si>
    <t/>
  </si>
  <si>
    <t>-40 to 85</t>
  </si>
  <si>
    <t>2.2 x 3</t>
  </si>
  <si>
    <t>ACTIVE</t>
  </si>
  <si>
    <t>4.5 V to 17 V input, 3 A output, synchronous step-down converter in FCCM mode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</si>
  <si>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</si>
  <si>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</si>
  <si>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</si>
  <si>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</si>
  <si>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</si>
  <si>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</si>
  <si>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</si>
  <si>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</si>
  <si>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48-channel, 16-bit ESPWM LED driver with pre-charge FET, LOD Caterpillar and 16-multiplexing support</t>
  </si>
  <si>
    <t>LED display drivers</t>
  </si>
  <si>
    <t>Catalog</t>
  </si>
  <si>
    <t>VQFN</t>
  </si>
  <si>
    <t/>
  </si>
  <si>
    <t>-40 to 85</t>
  </si>
  <si>
    <t>8 x 8</t>
  </si>
  <si>
    <t>ACTIVE</t>
  </si>
  <si>
    <t>Highly Integrated Digital Controller for Isolated Power</t>
  </si>
  <si>
    <t>AC/DC &amp; DC/DC controllers (external FET)</t>
  </si>
  <si>
    <t>Catalog</t>
  </si>
  <si>
    <t>VQFN</t>
  </si>
  <si>
    <t/>
  </si>
  <si>
    <t>-40 to 125</t>
  </si>
  <si>
    <t>9 x 9</t>
  </si>
  <si>
    <t>ACTIVE</t>
  </si>
  <si>
    <t>Automotive 4-A, 120-V half bridge gate driver with 8-V UVLO and negative voltage handling</t>
  </si>
  <si>
    <t>Half-bridge drivers</t>
  </si>
  <si>
    <t>Automotive</t>
  </si>
  <si>
    <t>HSOIC,SOIC</t>
  </si>
  <si>
    <t>Functional Safety-Capable</t>
  </si>
  <si>
    <t>-40 to 150</t>
  </si>
  <si>
    <t>4.9 x 6</t>
  </si>
  <si>
    <t>1.7,1.75</t>
  </si>
  <si>
    <t>ACTIVE</t>
  </si>
  <si>
    <t>3-A, low-VIN, low-noise, ultra-low-dropout voltage regulator with power good with high-accuracy</t>
  </si>
  <si>
    <t>Linear &amp; low-dropout (LDO) regulators</t>
  </si>
  <si>
    <t>Catalog</t>
  </si>
  <si>
    <t>VQFN</t>
  </si>
  <si>
    <t/>
  </si>
  <si>
    <t>-40 to 125</t>
  </si>
  <si>
    <t>3.5 x 3.5</t>
  </si>
  <si>
    <t>ACTIVE</t>
  </si>
  <si>
    <t>Low input voltage, 3-V output voltage, synchronous boost converter with integrated load switch</t>
  </si>
  <si>
    <t>AC/DC &amp; DC/DC converters (integrated FET)</t>
  </si>
  <si>
    <t>Catalog</t>
  </si>
  <si>
    <t>Boost</t>
  </si>
  <si>
    <t>WSON</t>
  </si>
  <si>
    <t/>
  </si>
  <si>
    <t>-40 to 125</t>
  </si>
  <si>
    <t>1.5 x 1.5</t>
  </si>
  <si>
    <t>ACTIVE</t>
  </si>
  <si>
    <t>Low input voltage, 3.3-V output voltage, synchronous boost converter with integrated load switch</t>
  </si>
  <si>
    <t>AC/DC &amp; DC/DC converters (integrated FET)</t>
  </si>
  <si>
    <t>Catalog</t>
  </si>
  <si>
    <t>Boost</t>
  </si>
  <si>
    <t>WSON</t>
  </si>
  <si>
    <t/>
  </si>
  <si>
    <t>-40 to 125</t>
  </si>
  <si>
    <t>1.5 x 1.5</t>
  </si>
  <si>
    <t>ACTIVE</t>
  </si>
  <si>
    <t>SIMPLE SWITCHER® Automotive 40-V, 2-A, 2.2-MHz step-down converter with 40-uA IQ</t>
  </si>
  <si>
    <t>AC/DC &amp; DC/DC converters (integrated FET)</t>
  </si>
  <si>
    <t>Automotive</t>
  </si>
  <si>
    <t>Buck</t>
  </si>
  <si>
    <t>HSOIC,WSON</t>
  </si>
  <si>
    <t/>
  </si>
  <si>
    <t>-40 to 125</t>
  </si>
  <si>
    <t>8,10</t>
  </si>
  <si>
    <t>16,29.4</t>
  </si>
  <si>
    <t>4 x 4,4.9 x 6</t>
  </si>
  <si>
    <t>0.8,1.7</t>
  </si>
  <si>
    <t>0.8,1.27</t>
  </si>
  <si>
    <t>ACTIVE</t>
  </si>
  <si>
    <t>SIMPLE SWITCHER® Automotive 40-V, 3.5-A, 2.2-MHz step-down converter with 40-uA IQ</t>
  </si>
  <si>
    <t>AC/DC &amp; DC/DC converters (integrated FET)</t>
  </si>
  <si>
    <t>Automotive</t>
  </si>
  <si>
    <t>Buck</t>
  </si>
  <si>
    <t>HSOIC,WSON</t>
  </si>
  <si>
    <t/>
  </si>
  <si>
    <t>-40 to 125</t>
  </si>
  <si>
    <t>8,10</t>
  </si>
  <si>
    <t>16,29.4</t>
  </si>
  <si>
    <t>4 x 4,4.9 x 6</t>
  </si>
  <si>
    <t>0.8,1.7</t>
  </si>
  <si>
    <t>0.8,1.27</t>
  </si>
  <si>
    <t>ACTIVE</t>
  </si>
  <si>
    <t>SIMPLE SWITCHER® Automotive 40V, 5A, 2.2MHz Step-Down Converter with 40uA IQ</t>
  </si>
  <si>
    <t>AC/DC &amp; DC/DC converters (integrated FET)</t>
  </si>
  <si>
    <t>Automotive</t>
  </si>
  <si>
    <t>Buck</t>
  </si>
  <si>
    <t>HSOIC,WSON</t>
  </si>
  <si>
    <t/>
  </si>
  <si>
    <t>-40 to 125</t>
  </si>
  <si>
    <t>8,10</t>
  </si>
  <si>
    <t>16,29.4</t>
  </si>
  <si>
    <t>4 x 4,4.9 x 6</t>
  </si>
  <si>
    <t>0.8,1.7</t>
  </si>
  <si>
    <t>0.8,1.27</t>
  </si>
  <si>
    <t>ACTIVE</t>
  </si>
  <si>
    <t>Automotive 1.2-4.7A adjustable ILIMIT, 2.5-6.5V, 13mΩ USB power switch, active-high</t>
  </si>
  <si>
    <t>USB power switches &amp; charging port controllers</t>
  </si>
  <si>
    <t>Automotive</t>
  </si>
  <si>
    <t>VSON</t>
  </si>
  <si>
    <t/>
  </si>
  <si>
    <t>-40 to 125</t>
  </si>
  <si>
    <t>3 x 3</t>
  </si>
  <si>
    <t>ACTIVE</t>
  </si>
  <si>
    <t>Automotive 300-mA, off-battery (40-V), adjustable antenna low-dropout voltage regulator</t>
  </si>
  <si>
    <t>Linear &amp; low-dropout (LDO) regulators</t>
  </si>
  <si>
    <t>Automotive</t>
  </si>
  <si>
    <t>HTSSOP</t>
  </si>
  <si>
    <t>Functional Safety-Capable</t>
  </si>
  <si>
    <t>-40 to 125</t>
  </si>
  <si>
    <t>5 x 6.4</t>
  </si>
  <si>
    <t>ACTIVE</t>
  </si>
  <si>
    <t>Multi-rail power supply for microcontrollers in safety-relevant applications</t>
  </si>
  <si>
    <t>Multi-channel ICs (PMICs)</t>
  </si>
  <si>
    <t>Automotive</t>
  </si>
  <si>
    <t>HTSSOP</t>
  </si>
  <si>
    <t>Functional Safety-Compliant</t>
  </si>
  <si>
    <t>-40 to 125</t>
  </si>
  <si>
    <t>12.5 x 8.1</t>
  </si>
  <si>
    <t>ACTIVE</t>
  </si>
  <si>
    <t>30-V, N channel NexFET™ power MOSFET, dual SON 2 mm x 2, 42 mOhm, gate ESD protection</t>
  </si>
  <si>
    <t>MOSFETs</t>
  </si>
  <si>
    <t>Catalog</t>
  </si>
  <si>
    <t>WSON</t>
  </si>
  <si>
    <t/>
  </si>
  <si>
    <t>-55 to 150</t>
  </si>
  <si>
    <t>2 x 2</t>
  </si>
  <si>
    <t>ACTIVE</t>
  </si>
  <si>
    <t>Automotive 3.5-V to 36-V, 650-mA synchronous 2.1-MHz step-down converter</t>
  </si>
  <si>
    <t>AC/DC &amp; DC/DC converters (integrated FET)</t>
  </si>
  <si>
    <t>Automotive</t>
  </si>
  <si>
    <t>Buck</t>
  </si>
  <si>
    <t>WSON</t>
  </si>
  <si>
    <t/>
  </si>
  <si>
    <t>-40 to 150</t>
  </si>
  <si>
    <t>3 x 3</t>
  </si>
  <si>
    <t>ACTIVE</t>
  </si>
  <si>
    <t>Automotive 3.5-V to 36-V, 1-A synchronous 2.1-MHz step-down converter</t>
  </si>
  <si>
    <t>AC/DC &amp; DC/DC converters (integrated FET)</t>
  </si>
  <si>
    <t>Automotive</t>
  </si>
  <si>
    <t>Buck</t>
  </si>
  <si>
    <t>WSON</t>
  </si>
  <si>
    <t/>
  </si>
  <si>
    <t>-40 to 150</t>
  </si>
  <si>
    <t>3 x 3</t>
  </si>
  <si>
    <t>ACTIVE</t>
  </si>
  <si>
    <t>4.5 V to 17 V input, 2 A output, synchronous step-down converter in Eco-mode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</si>
  <si>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</si>
  <si>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</si>
  <si>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</si>
  <si>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</si>
  <si>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</si>
  <si>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</si>
  <si>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</si>
  <si>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</si>
  <si>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4.5V-18V Vin, 3A/1A/1A Triple Synchronous Buck Converter with 350mA/150mA Dual LDOs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</si>
  <si>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</si>
  <si>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</si>
  <si>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</si>
  <si>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</si>
  <si>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</si>
  <si>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</si>
  <si>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</si>
  <si>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</si>
  <si>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3-42-V wide VIN, synchronous boost controller with multiphase capability, AEC-Q100 qualified</t>
  </si>
  <si>
    <t>AC/DC &amp; DC/DC controllers (external FET)</t>
  </si>
  <si>
    <t>Automotive</t>
  </si>
  <si>
    <t>Boost,Flyback,Forward,SEPIC</t>
  </si>
  <si>
    <t>HTSSOP</t>
  </si>
  <si>
    <t/>
  </si>
  <si>
    <t>-40 to 125</t>
  </si>
  <si>
    <t>6.5 x 6.4</t>
  </si>
  <si>
    <t>ACTIVE</t>
  </si>
  <si>
    <t>4.5 V to 17 V input, 3 A output, synchronous step-down converter in Eco-mode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</si>
  <si>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</si>
  <si>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</si>
  <si>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</si>
  <si>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</si>
  <si>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</si>
  <si>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</si>
  <si>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</si>
  <si>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</si>
  <si>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Radiation-hardened QMLV, 2.3-V to 3.5-V input, 3-A sink and source DDR termination LDO regulator</t>
  </si>
  <si>
    <t>DDR memory power ICs</t>
  </si>
  <si>
    <t>Space</t>
  </si>
  <si>
    <t>CFP</t>
  </si>
  <si>
    <t/>
  </si>
  <si>
    <t>-55 to 125</t>
  </si>
  <si>
    <t>11 x 9.6</t>
  </si>
  <si>
    <t>ACTIVE</t>
  </si>
  <si>
    <t>TPS92691 multi-topology LED driver with rail-to-rail current sense amplifier</t>
  </si>
  <si>
    <t>Illumination  LED drivers</t>
  </si>
  <si>
    <t>Catalog</t>
  </si>
  <si>
    <t>Boost,Buck,Buck-Boost,Cuk,Flyback,SEPIC</t>
  </si>
  <si>
    <t>HTSSOP</t>
  </si>
  <si>
    <t/>
  </si>
  <si>
    <t>-40 to 125</t>
  </si>
  <si>
    <t>5 x 6.4</t>
  </si>
  <si>
    <t>ACTIVE</t>
  </si>
  <si>
    <t>Automotive multi-topology LED driver with rail-to-rail current sense amplifier</t>
  </si>
  <si>
    <t>Automotive LED drivers</t>
  </si>
  <si>
    <t>Automotive</t>
  </si>
  <si>
    <t>Boost Controller,Buck Controller,Buck-Boost Controller,Cuk Controller,Flyback Controller,SEPIC Controller</t>
  </si>
  <si>
    <t>HTSSOP</t>
  </si>
  <si>
    <t/>
  </si>
  <si>
    <t>-40 to 125</t>
  </si>
  <si>
    <t>5 x 6.4</t>
  </si>
  <si>
    <t>ACTIVE</t>
  </si>
  <si>
    <t>Automotive 1-A, 100-V half bridge gate driver with 8-V UVLO and high noise immunity</t>
  </si>
  <si>
    <t>Half-bridge drivers</t>
  </si>
  <si>
    <t>Automotive</t>
  </si>
  <si>
    <t>WSON</t>
  </si>
  <si>
    <t/>
  </si>
  <si>
    <t>-40 to 125</t>
  </si>
  <si>
    <t>4 x 4</t>
  </si>
  <si>
    <t>ACTIVE</t>
  </si>
  <si>
    <t>1.5-V to 20-V, 15-A synchronous SWIFT™ buck converter</t>
  </si>
  <si>
    <t>AC/DC &amp; DC/DC converters (integrated FET)</t>
  </si>
  <si>
    <t>Catalog</t>
  </si>
  <si>
    <t>Buck</t>
  </si>
  <si>
    <t>VQFN-CLIP</t>
  </si>
  <si>
    <t/>
  </si>
  <si>
    <t>-40 to 125</t>
  </si>
  <si>
    <t>4.5 x 3.5</t>
  </si>
  <si>
    <t>ACTIVE</t>
  </si>
  <si>
    <t>1.5-V to 20-V, 15-A synchronous SWIFT™ buck converter with PMBus</t>
  </si>
  <si>
    <t>AC/DC &amp; DC/DC converters (integrated FET)</t>
  </si>
  <si>
    <t>Catalog</t>
  </si>
  <si>
    <t>Buck</t>
  </si>
  <si>
    <t>VQFN-CLIP</t>
  </si>
  <si>
    <t/>
  </si>
  <si>
    <t>-40 to 125</t>
  </si>
  <si>
    <t>4.5 x 3.5</t>
  </si>
  <si>
    <t>ACTIVE</t>
  </si>
  <si>
    <t>2-A Step Down Converter with Selectable Switching Frequency in HotRod package</t>
  </si>
  <si>
    <t>AC/DC &amp; DC/DC converters (integrated FET)</t>
  </si>
  <si>
    <t>Catalog</t>
  </si>
  <si>
    <t>Buck</t>
  </si>
  <si>
    <t>VQFN-HR</t>
  </si>
  <si>
    <t/>
  </si>
  <si>
    <t>-40 to 125</t>
  </si>
  <si>
    <t>2 x 2</t>
  </si>
  <si>
    <t>ACTIVE</t>
  </si>
  <si>
    <t>Configurable multi-rail PMIC for 2S &amp; 3S Li-ion battery-operated devices or non battery operated</t>
  </si>
  <si>
    <t>Multi-channel ICs (PMICs)</t>
  </si>
  <si>
    <t>Catalog</t>
  </si>
  <si>
    <t>VQFN</t>
  </si>
  <si>
    <t/>
  </si>
  <si>
    <t>-40 to 85</t>
  </si>
  <si>
    <t>8 x 8</t>
  </si>
  <si>
    <t>ACTIVE</t>
  </si>
  <si>
    <t>4.5- to 17-V Input Voltage, 5-A/3-A/2-A Output Current Triple Buck Converter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</si>
  <si>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</si>
  <si>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</si>
  <si>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</si>
  <si>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</si>
  <si>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</si>
  <si>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</si>
  <si>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</si>
  <si>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</si>
  <si>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30A Synchronous Buck NexFET Power Stage</t>
  </si>
  <si>
    <t>Si power stages</t>
  </si>
  <si>
    <t>Catalog</t>
  </si>
  <si>
    <t>VSON-CLIP</t>
  </si>
  <si>
    <t/>
  </si>
  <si>
    <t>-40 to 150</t>
  </si>
  <si>
    <t>4.5 x 3.5</t>
  </si>
  <si>
    <t>ACTIVE</t>
  </si>
  <si>
    <t>Enhanced Product Complete DDR2, DDR3 and DDR3L Memory Power Solution Synchronous Buck Controller</t>
  </si>
  <si>
    <t>DDR memory power ICs,Multi-channel ICs (PMICs)</t>
  </si>
  <si>
    <t>HiRel Enhanced Product</t>
  </si>
  <si>
    <t>WQFN</t>
  </si>
  <si>
    <t/>
  </si>
  <si>
    <t>-55 to 125</t>
  </si>
  <si>
    <t>3 x 3</t>
  </si>
  <si>
    <t>ACTIVE</t>
  </si>
  <si>
    <t>0.9V-6V Input, 6-A Output, D-CAP+ Mode, SWIFT Synchronous Step-Down Converter for DDR VTT</t>
  </si>
  <si>
    <t>DDR memory power ICs,Multi-channel ICs (PMICs)</t>
  </si>
  <si>
    <t>Catalog</t>
  </si>
  <si>
    <t>VQFN</t>
  </si>
  <si>
    <t/>
  </si>
  <si>
    <t>-40 to 125</t>
  </si>
  <si>
    <t>4 x 3.5</t>
  </si>
  <si>
    <t>ACTIVE</t>
  </si>
  <si>
    <t>3.6-V, 3-A, 9.2-mΩ load switch with output discharge</t>
  </si>
  <si>
    <t>Load switches</t>
  </si>
  <si>
    <t>Catalog</t>
  </si>
  <si>
    <t>DSBGA</t>
  </si>
  <si>
    <t/>
  </si>
  <si>
    <t>-40 to 105</t>
  </si>
  <si>
    <t>1.25 x 1.75</t>
  </si>
  <si>
    <t>ACTIVE</t>
  </si>
  <si>
    <t>700-V Lowest Quiescent current off-line switcher</t>
  </si>
  <si>
    <t>AC/DC &amp; DC/DC converters (integrated FET)</t>
  </si>
  <si>
    <t>Catalog</t>
  </si>
  <si>
    <t>Buck,Buck boost,Buck-Boost,Flyback,PSR flyback</t>
  </si>
  <si>
    <t>SOIC</t>
  </si>
  <si>
    <t/>
  </si>
  <si>
    <t>-40 to 125</t>
  </si>
  <si>
    <t>4.9 x 6</t>
  </si>
  <si>
    <t>ACTIVE</t>
  </si>
  <si>
    <t>20 V 35 A SON 3.5 x 4.5 mm synchronous buck NexFET™ power stage</t>
  </si>
  <si>
    <t>Si power stages</t>
  </si>
  <si>
    <t>Catalog</t>
  </si>
  <si>
    <t>VSON-CLIP</t>
  </si>
  <si>
    <t/>
  </si>
  <si>
    <t>-40 to 150</t>
  </si>
  <si>
    <t>4.5 x 3.5</t>
  </si>
  <si>
    <t>ACTIVE</t>
  </si>
  <si>
    <t>High-performance 2-channel LED driver for Automotive lighting</t>
  </si>
  <si>
    <t>Automotive LED drivers,Backlight LED drivers</t>
  </si>
  <si>
    <t>Automotive</t>
  </si>
  <si>
    <t>Boost with Current Sink,SEPIC</t>
  </si>
  <si>
    <t>HTSSOP</t>
  </si>
  <si>
    <t/>
  </si>
  <si>
    <t>-40 to 125</t>
  </si>
  <si>
    <t>6.5 x 6.4</t>
  </si>
  <si>
    <t>ACTIVE</t>
  </si>
  <si>
    <t>Power Management IC (PMIC) for ARM Cortex A15 Processors</t>
  </si>
  <si>
    <t>Multi-channel ICs (PMICs)</t>
  </si>
  <si>
    <t>Automotive,Catalog</t>
  </si>
  <si>
    <t>NFBGA</t>
  </si>
  <si>
    <t/>
  </si>
  <si>
    <t>-40 to 85</t>
  </si>
  <si>
    <t>12 x 12</t>
  </si>
  <si>
    <t>ACTIVE</t>
  </si>
  <si>
    <t>1-A, low-noise, high-PSRR, dual-channel adjustable ultra-low-dropout voltage regulator</t>
  </si>
  <si>
    <t>Linear &amp; low-dropout (LDO) regulators</t>
  </si>
  <si>
    <t>Catalog</t>
  </si>
  <si>
    <t>WQFN</t>
  </si>
  <si>
    <t/>
  </si>
  <si>
    <t>-40 to 125</t>
  </si>
  <si>
    <t>4 x 4</t>
  </si>
  <si>
    <t>ACTIVE</t>
  </si>
  <si>
    <t>20-V, N channel NexFET™ power MOSFET, dual common drain LGA 1.35 mm x 1.35 mm, 24 mOhm, gate ESD pro</t>
  </si>
  <si>
    <t>MOSFETs</t>
  </si>
  <si>
    <t>Catalog</t>
  </si>
  <si>
    <t>PICOSTAR</t>
  </si>
  <si>
    <t/>
  </si>
  <si>
    <t>-55 to 150</t>
  </si>
  <si>
    <t>1.31 x 1.31</t>
  </si>
  <si>
    <t>ACTIVE</t>
  </si>
  <si>
    <t>36-V voltage detector</t>
  </si>
  <si>
    <t>Supply-voltage supervisors</t>
  </si>
  <si>
    <t>Catalog</t>
  </si>
  <si>
    <t>SOT-23-THN</t>
  </si>
  <si>
    <t/>
  </si>
  <si>
    <t>-40 to 125</t>
  </si>
  <si>
    <t>2.9 x 2.8</t>
  </si>
  <si>
    <t>ACTIVE</t>
  </si>
  <si>
    <t>High Efficiency Automotive Single Inductor Buck-Boost Converter with 4A Switch</t>
  </si>
  <si>
    <t>AC/DC &amp; DC/DC converters (integrated FET)</t>
  </si>
  <si>
    <t>Automotive</t>
  </si>
  <si>
    <t>Buck-Boost</t>
  </si>
  <si>
    <t>VSON</t>
  </si>
  <si>
    <t/>
  </si>
  <si>
    <t>-40 to 125</t>
  </si>
  <si>
    <t>4 x 3</t>
  </si>
  <si>
    <t>ACTIVE</t>
  </si>
  <si>
    <t>Low-EMI, high-performance 3-channel LED driver</t>
  </si>
  <si>
    <t>Automotive LED drivers</t>
  </si>
  <si>
    <t>Catalog</t>
  </si>
  <si>
    <t>Boost</t>
  </si>
  <si>
    <t>HTSSOP</t>
  </si>
  <si>
    <t/>
  </si>
  <si>
    <t>-40 to 85</t>
  </si>
  <si>
    <t>6.5 x 6.4</t>
  </si>
  <si>
    <t>ACTIVE</t>
  </si>
  <si>
    <t>Low-EMI, high-performance 3-channel LED driver for Automotive lighting</t>
  </si>
  <si>
    <t>Backlight LED drivers,Automotive LED drivers</t>
  </si>
  <si>
    <t>Automotive</t>
  </si>
  <si>
    <t>Boost with Current Sink,SEPIC</t>
  </si>
  <si>
    <t>HTSSOP</t>
  </si>
  <si>
    <t/>
  </si>
  <si>
    <t>-40 to 125</t>
  </si>
  <si>
    <t>6.5 x 6.4</t>
  </si>
  <si>
    <t>ACTIVE</t>
  </si>
  <si>
    <t>LNB voltage regulator with I2C interface</t>
  </si>
  <si>
    <t>AC/DC &amp; DC/DC converters (integrated FET)</t>
  </si>
  <si>
    <t>Catalog</t>
  </si>
  <si>
    <t>Boost</t>
  </si>
  <si>
    <t>WQFN</t>
  </si>
  <si>
    <t/>
  </si>
  <si>
    <t>-40 to 125</t>
  </si>
  <si>
    <t>3 x 3</t>
  </si>
  <si>
    <t>ACTIVE</t>
  </si>
  <si>
    <t>100-V, N channel NexFET™ power MOSFET, single D2PAK, 5.6 mOhm</t>
  </si>
  <si>
    <t>MOSFETs</t>
  </si>
  <si>
    <t>Catalog</t>
  </si>
  <si>
    <t>TO-263</t>
  </si>
  <si>
    <t/>
  </si>
  <si>
    <t>-55 to 175</t>
  </si>
  <si>
    <t>10.16 x 15.1</t>
  </si>
  <si>
    <t>ACTIVE</t>
  </si>
  <si>
    <t>-20-V, P channel NexFET™ power MOSFET, single SON  3 mm x 3 mm, 6.5 mOhm</t>
  </si>
  <si>
    <t>MOSFETs</t>
  </si>
  <si>
    <t>Catalog</t>
  </si>
  <si>
    <t>VSON-CLIP</t>
  </si>
  <si>
    <t/>
  </si>
  <si>
    <t>-55 to 150</t>
  </si>
  <si>
    <t>3.3 x 3.3</t>
  </si>
  <si>
    <t>ACTIVE</t>
  </si>
  <si>
    <t>3-A High Efficiency Step-Down Converter in 2x2 QFN</t>
  </si>
  <si>
    <t>AC/DC &amp; DC/DC converters (integrated FET)</t>
  </si>
  <si>
    <t>Catalog</t>
  </si>
  <si>
    <t>Buck</t>
  </si>
  <si>
    <t>VSON-HR</t>
  </si>
  <si>
    <t/>
  </si>
  <si>
    <t>-40 to 125</t>
  </si>
  <si>
    <t>2 x 2</t>
  </si>
  <si>
    <t>ACTIVE</t>
  </si>
  <si>
    <t>Enhanced Product 4.5-V to 52-V Input Current Mode Boost Controller</t>
  </si>
  <si>
    <t>AC/DC &amp; DC/DC controllers (external FET)</t>
  </si>
  <si>
    <t>HiRel Enhanced Product</t>
  </si>
  <si>
    <t>Boost,Flyback,Forward,SEPIC</t>
  </si>
  <si>
    <t>VSON</t>
  </si>
  <si>
    <t/>
  </si>
  <si>
    <t>-55 to 150</t>
  </si>
  <si>
    <t>3 x 3</t>
  </si>
  <si>
    <t>ACTIVE</t>
  </si>
  <si>
    <t>48-channel, 16-bit ESPWM LED driver with pre-charge FET, LOD Caterpillar and support 32-multiplexing</t>
  </si>
  <si>
    <t>LED display drivers</t>
  </si>
  <si>
    <t>Catalog</t>
  </si>
  <si>
    <t>VQFN</t>
  </si>
  <si>
    <t/>
  </si>
  <si>
    <t>-40 to 85</t>
  </si>
  <si>
    <t>8 x 8</t>
  </si>
  <si>
    <t>ACTIVE</t>
  </si>
  <si>
    <t>Automotive USB Charge port controller with droop compensation</t>
  </si>
  <si>
    <t>USB power switches &amp; charging port controllers</t>
  </si>
  <si>
    <t>Automotive</t>
  </si>
  <si>
    <t>WQFN</t>
  </si>
  <si>
    <t/>
  </si>
  <si>
    <t>-40 to 85</t>
  </si>
  <si>
    <t>3 x 3</t>
  </si>
  <si>
    <t>ACTIVE</t>
  </si>
  <si>
    <t>0.48-V to 42-V, zero IQ automotive ideal diode rectifier controller with 70uA gate drive</t>
  </si>
  <si>
    <t>Ideal diode &amp; ORing controllers</t>
  </si>
  <si>
    <t>Automotive</t>
  </si>
  <si>
    <t>VSSOP</t>
  </si>
  <si>
    <t/>
  </si>
  <si>
    <t>-40 to 125</t>
  </si>
  <si>
    <t>3 x 4.9</t>
  </si>
  <si>
    <t>ACTIVE</t>
  </si>
  <si>
    <t>4.5V to 28V Input, 3A, Synchronous, Step-Down Converter with Eco-mode in alternative DRC package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</si>
  <si>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</si>
  <si>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</si>
  <si>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</si>
  <si>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</si>
  <si>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</si>
  <si>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</si>
  <si>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</si>
  <si>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</si>
  <si>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0.48-V to 42-V, zero IQ automotive ideal diode controller</t>
  </si>
  <si>
    <t>Ideal diode &amp; ORing controllers</t>
  </si>
  <si>
    <t>Automotive</t>
  </si>
  <si>
    <t>VSSOP</t>
  </si>
  <si>
    <t/>
  </si>
  <si>
    <t>-40 to 125</t>
  </si>
  <si>
    <t>3 x 4.9</t>
  </si>
  <si>
    <t>ACTIVE</t>
  </si>
  <si>
    <t>300-mA, low-noise, low-IQ, low-dropout voltage regulator with reverse current protection &amp; enable</t>
  </si>
  <si>
    <t>Linear &amp; low-dropout (LDO) regulators</t>
  </si>
  <si>
    <t>Catalog</t>
  </si>
  <si>
    <t>DSBGA,WSON</t>
  </si>
  <si>
    <t/>
  </si>
  <si>
    <t>-40 to 125</t>
  </si>
  <si>
    <t>4,6</t>
  </si>
  <si>
    <t>0.788544,4</t>
  </si>
  <si>
    <t>0.888 x 0.888,2 x 2</t>
  </si>
  <si>
    <t>0.4,0.8</t>
  </si>
  <si>
    <t>0.35,0.65</t>
  </si>
  <si>
    <t>ACTIVE</t>
  </si>
  <si>
    <t>3-pin voltage supervisor with active-low open-drain reset</t>
  </si>
  <si>
    <t>Reset &amp; watchdog ICs</t>
  </si>
  <si>
    <t>Catalog</t>
  </si>
  <si>
    <t>SOT-23</t>
  </si>
  <si>
    <t/>
  </si>
  <si>
    <t>-40 to 125</t>
  </si>
  <si>
    <t>2.92 x 2.37</t>
  </si>
  <si>
    <t>ACTIVE</t>
  </si>
  <si>
    <t>Wide-VIN voltage detector</t>
  </si>
  <si>
    <t>Supply-voltage supervisors</t>
  </si>
  <si>
    <t>Catalog</t>
  </si>
  <si>
    <t>SOT-23-THN,WSON</t>
  </si>
  <si>
    <t/>
  </si>
  <si>
    <t>-40 to 125</t>
  </si>
  <si>
    <t>2.25,8.12</t>
  </si>
  <si>
    <t>1.5 x 1.5,2.9 x 2.8</t>
  </si>
  <si>
    <t>0.8,1.1</t>
  </si>
  <si>
    <t>0.5,0.95</t>
  </si>
  <si>
    <t>ACTIVE</t>
  </si>
  <si>
    <t>4.5V to 60V, 2A Step-Down Power Module in QFN Package</t>
  </si>
  <si>
    <t>Power modules (integrated inductor)</t>
  </si>
  <si>
    <t>Catalog</t>
  </si>
  <si>
    <t>Buck,Inverting Buck-Boost,Synchronous Buck</t>
  </si>
  <si>
    <t>B3QFN</t>
  </si>
  <si>
    <t/>
  </si>
  <si>
    <t>-40 to 105</t>
  </si>
  <si>
    <t>10 x 10</t>
  </si>
  <si>
    <t>ACTIVE</t>
  </si>
  <si>
    <t>5.7kVrms, 2.5A/5A single-channel isolated gate driver w/ split output, STO &amp; protection features</t>
  </si>
  <si>
    <t>Isolated gate drivers</t>
  </si>
  <si>
    <t>Catalog</t>
  </si>
  <si>
    <t>SOIC</t>
  </si>
  <si>
    <t/>
  </si>
  <si>
    <t>-40 to 125</t>
  </si>
  <si>
    <t>10.3 x 10.3</t>
  </si>
  <si>
    <t>ACTIVE</t>
  </si>
  <si>
    <t>High-efficiency Buck Converter with Ultra-low Quiescent Current and Load Switch</t>
  </si>
  <si>
    <t>AC/DC &amp; DC/DC converters (integrated FET)</t>
  </si>
  <si>
    <t>Catalog</t>
  </si>
  <si>
    <t>Buck</t>
  </si>
  <si>
    <t>DSBGA</t>
  </si>
  <si>
    <t/>
  </si>
  <si>
    <t>-40 to 125</t>
  </si>
  <si>
    <t>1 x 1.8</t>
  </si>
  <si>
    <t>ACTIVE</t>
  </si>
  <si>
    <t>Automotive, 4.5 V to 18 V input, 4 A / 4 A / 2 A / 2 A synchronous quad converter with PMBus / I2C</t>
  </si>
  <si>
    <t>AC/DC &amp; DC/DC converters (integrated FET)</t>
  </si>
  <si>
    <t>Automotive</t>
  </si>
  <si>
    <t>Buck</t>
  </si>
  <si>
    <t>VQFN</t>
  </si>
  <si>
    <t/>
  </si>
  <si>
    <t>-40 to 125</t>
  </si>
  <si>
    <t>7 x 7</t>
  </si>
  <si>
    <t>ACTIVE</t>
  </si>
  <si>
    <t>LNB Voltage Regulator with 1MHz,I2C Interface Power Management IC (PMIC)</t>
  </si>
  <si>
    <t>AC/DC &amp; DC/DC converters (integrated FET)</t>
  </si>
  <si>
    <t>Catalog</t>
  </si>
  <si>
    <t>Buck</t>
  </si>
  <si>
    <t>WQFN</t>
  </si>
  <si>
    <t/>
  </si>
  <si>
    <t>-40 to 85</t>
  </si>
  <si>
    <t>3 x 3</t>
  </si>
  <si>
    <t>ACTIVE</t>
  </si>
  <si>
    <t>USB Type-C® source controller and 3A power switch with VCONN</t>
  </si>
  <si>
    <t>USB Type-C &amp; USB Power Delivery ICs</t>
  </si>
  <si>
    <t>Catalog</t>
  </si>
  <si>
    <t>WQFN</t>
  </si>
  <si>
    <t/>
  </si>
  <si>
    <t>-40 to 125</t>
  </si>
  <si>
    <t>4 x 3</t>
  </si>
  <si>
    <t>ACTIVE</t>
  </si>
  <si>
    <t>TPS57140-EP 1.5-A 42-V STEP-DOWN DC-DC CONVERTER WITH Eco-mode&amp;trade; CONTROL</t>
  </si>
  <si>
    <t>AC/DC &amp; DC/DC converters (integrated FET)</t>
  </si>
  <si>
    <t>HiRel Enhanced Product</t>
  </si>
  <si>
    <t>Buck</t>
  </si>
  <si>
    <t>VSON</t>
  </si>
  <si>
    <t/>
  </si>
  <si>
    <t>-55 to 125</t>
  </si>
  <si>
    <t>3 x 3</t>
  </si>
  <si>
    <t>ACTIVE</t>
  </si>
  <si>
    <t>2-A, High-efficiency step-down converter module with integrated inductor</t>
  </si>
  <si>
    <t>Power modules (integrated inductor)</t>
  </si>
  <si>
    <t>Catalog</t>
  </si>
  <si>
    <t>Buck,Synchronous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</si>
  <si>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</si>
  <si>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</si>
  <si>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</si>
  <si>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</si>
  <si>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</si>
  <si>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</si>
  <si>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</si>
  <si>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</si>
  <si>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5.7kVrms, 2.5A/5A single-channel isolated gate driver w/ split output, STO &amp; protection features</t>
  </si>
  <si>
    <t>Isolated gate drivers</t>
  </si>
  <si>
    <t>Catalog</t>
  </si>
  <si>
    <t>SOIC</t>
  </si>
  <si>
    <t/>
  </si>
  <si>
    <t>-40 to 125</t>
  </si>
  <si>
    <t>10.3 x 10.3</t>
  </si>
  <si>
    <t>ACTIVE</t>
  </si>
  <si>
    <t>8/16-channel, constant current LED driver with low Quiescent current and Full self-diagnosis</t>
  </si>
  <si>
    <t>LED display drivers</t>
  </si>
  <si>
    <t>Catalog</t>
  </si>
  <si>
    <t>VQFN</t>
  </si>
  <si>
    <t/>
  </si>
  <si>
    <t>-40 to 85</t>
  </si>
  <si>
    <t>4 x 4</t>
  </si>
  <si>
    <t>ACTIVE</t>
  </si>
  <si>
    <t>Automotive 12-bit constant-current sink LED driver</t>
  </si>
  <si>
    <t>Automotive LED drivers</t>
  </si>
  <si>
    <t>Automotive</t>
  </si>
  <si>
    <t>Current Sink</t>
  </si>
  <si>
    <t>HTSSOP</t>
  </si>
  <si>
    <t/>
  </si>
  <si>
    <t>-40 to 125</t>
  </si>
  <si>
    <t>9.7 x 6.4</t>
  </si>
  <si>
    <t>ACTIVE</t>
  </si>
  <si>
    <t>4.5-V to 5.5-V, 28mΩ, 1-5A eFuse with driver for external blocking FET</t>
  </si>
  <si>
    <t>eFuses (integrated hot swaps)</t>
  </si>
  <si>
    <t>Catalog</t>
  </si>
  <si>
    <t>VSON</t>
  </si>
  <si>
    <t/>
  </si>
  <si>
    <t>-40 to 85</t>
  </si>
  <si>
    <t>3 x 3</t>
  </si>
  <si>
    <t>ACTIVE</t>
  </si>
  <si>
    <t>4.5-V to 5.5-V, 30mΩ, 2-5A eFuse</t>
  </si>
  <si>
    <t>eFuses (integrated hot swaps)</t>
  </si>
  <si>
    <t>Catalog</t>
  </si>
  <si>
    <t>VSON</t>
  </si>
  <si>
    <t/>
  </si>
  <si>
    <t>-40 to 85</t>
  </si>
  <si>
    <t>3 x 3</t>
  </si>
  <si>
    <t>ACTIVE</t>
  </si>
  <si>
    <t>4.5-V to 13.8-V, 30mΩ, 2-5A eFuse</t>
  </si>
  <si>
    <t>eFuses (integrated hot swaps)</t>
  </si>
  <si>
    <t>Catalog</t>
  </si>
  <si>
    <t>VSON</t>
  </si>
  <si>
    <t/>
  </si>
  <si>
    <t>-40 to 85</t>
  </si>
  <si>
    <t>3 x 3</t>
  </si>
  <si>
    <t>ACTIVE</t>
  </si>
  <si>
    <t>4.5-V to 18-V, 28mΩ, 1-5A eFuse with driver for external blocking FET</t>
  </si>
  <si>
    <t>eFuses (integrated hot swaps)</t>
  </si>
  <si>
    <t>Catalog</t>
  </si>
  <si>
    <t>VSON</t>
  </si>
  <si>
    <t/>
  </si>
  <si>
    <t>-40 to 85</t>
  </si>
  <si>
    <t>3 x 3</t>
  </si>
  <si>
    <t>ACTIVE</t>
  </si>
  <si>
    <t>4.5-V to 13.8-V, 28mΩ, 1-5A eFuse with driver for external blocking FET</t>
  </si>
  <si>
    <t>eFuses (integrated hot swaps)</t>
  </si>
  <si>
    <t>Catalog</t>
  </si>
  <si>
    <t>VSON</t>
  </si>
  <si>
    <t/>
  </si>
  <si>
    <t>-40 to 85</t>
  </si>
  <si>
    <t>3 x 3</t>
  </si>
  <si>
    <t>ACTIVE</t>
  </si>
  <si>
    <t>Embedded Camera Module PMIC</t>
  </si>
  <si>
    <t>Multi-channel ICs (PMICs)</t>
  </si>
  <si>
    <t>Catalog</t>
  </si>
  <si>
    <t>DSBGA</t>
  </si>
  <si>
    <t/>
  </si>
  <si>
    <t>-40 to 85</t>
  </si>
  <si>
    <t>1.8 x 1.8</t>
  </si>
  <si>
    <t>ACTIVE</t>
  </si>
  <si>
    <t>Automotive 300-mA, off-battery (40-V), adjustable voltage-tracking low-dropout voltage regulator</t>
  </si>
  <si>
    <t>Linear &amp; low-dropout (LDO) regulators</t>
  </si>
  <si>
    <t>Automotive</t>
  </si>
  <si>
    <t>HSOIC,HTSSOP</t>
  </si>
  <si>
    <t>Functional Safety-Capable</t>
  </si>
  <si>
    <t>-40 to 125</t>
  </si>
  <si>
    <t>8,20</t>
  </si>
  <si>
    <t>29.4,41.6</t>
  </si>
  <si>
    <t>4.9 x 6,6.5 x 6.4</t>
  </si>
  <si>
    <t>1.2,1.7</t>
  </si>
  <si>
    <t>0.65,1.27</t>
  </si>
  <si>
    <t>ACTIVE</t>
  </si>
  <si>
    <t>2.5-V precision programmable shunt regulator</t>
  </si>
  <si>
    <t>Shunt voltage references</t>
  </si>
  <si>
    <t>Catalog</t>
  </si>
  <si>
    <t>SOT-23</t>
  </si>
  <si>
    <t/>
  </si>
  <si>
    <t>-40 to 125</t>
  </si>
  <si>
    <t>2.92 x 2.37</t>
  </si>
  <si>
    <t>ACTIVE</t>
  </si>
  <si>
    <t>Enhanced product, 100-V input voltage, 50-mA single output low-dropout voltage regular</t>
  </si>
  <si>
    <t>Linear &amp; low-dropout (LDO) regulators</t>
  </si>
  <si>
    <t>HiRel Enhanced Product</t>
  </si>
  <si>
    <t>HVSSOP</t>
  </si>
  <si>
    <t/>
  </si>
  <si>
    <t>-55 to 125</t>
  </si>
  <si>
    <t>3 x 4.9</t>
  </si>
  <si>
    <t>ACTIVE</t>
  </si>
  <si>
    <t>100-V, N channel NexFET™ power MOSFET, single SON 3 mm x 3 mm, 14.5 mOhm</t>
  </si>
  <si>
    <t>MOSFETs</t>
  </si>
  <si>
    <t>Catalog</t>
  </si>
  <si>
    <t>VSON-CLIP</t>
  </si>
  <si>
    <t/>
  </si>
  <si>
    <t>-55 to 150</t>
  </si>
  <si>
    <t>3.3 x 3.3</t>
  </si>
  <si>
    <t>ACTIVE</t>
  </si>
  <si>
    <t>Low-EMI high-performance 4-channel LED driver for Automotive lighting</t>
  </si>
  <si>
    <t>Backlight LED drivers,Automotive LED drivers</t>
  </si>
  <si>
    <t>Automotive</t>
  </si>
  <si>
    <t>Boost with Current Sink,SEPIC</t>
  </si>
  <si>
    <t>HTSSOP</t>
  </si>
  <si>
    <t/>
  </si>
  <si>
    <t>-40 to 125</t>
  </si>
  <si>
    <t>6.5 x 6.4</t>
  </si>
  <si>
    <t>ACTIVE</t>
  </si>
  <si>
    <t>Programmable mid input voltage range Power Management IC (PMIC) for Braswell processors</t>
  </si>
  <si>
    <t>Multi-channel ICs (PMICs)</t>
  </si>
  <si>
    <t>Catalog</t>
  </si>
  <si>
    <t>VQFN</t>
  </si>
  <si>
    <t/>
  </si>
  <si>
    <t>-40 to 85</t>
  </si>
  <si>
    <t>8 x 8</t>
  </si>
  <si>
    <t>ACTIVE</t>
  </si>
  <si>
    <t>Programmable mid input voltage range Power Management IC (PMIC) for Apollo Lake processors</t>
  </si>
  <si>
    <t>Multi-channel ICs (PMICs)</t>
  </si>
  <si>
    <t>Catalog</t>
  </si>
  <si>
    <t>VQFN</t>
  </si>
  <si>
    <t/>
  </si>
  <si>
    <t>-40 to 85</t>
  </si>
  <si>
    <t>8 x 8</t>
  </si>
  <si>
    <t>ACTIVE</t>
  </si>
  <si>
    <t>Automotive Qualified 3.5V to 60V, 2A Synchronous Step-Down Voltage Converter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</si>
  <si>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</si>
  <si>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</si>
  <si>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</si>
  <si>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</si>
  <si>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</si>
  <si>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</si>
  <si>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</si>
  <si>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</si>
  <si>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4-A, 600-V half bridge gate driver</t>
  </si>
  <si>
    <t>Half-bridge drivers</t>
  </si>
  <si>
    <t>Catalog</t>
  </si>
  <si>
    <t>SOIC</t>
  </si>
  <si>
    <t/>
  </si>
  <si>
    <t>-40 to 150</t>
  </si>
  <si>
    <t>8.65 x 6</t>
  </si>
  <si>
    <t>ACTIVE</t>
  </si>
  <si>
    <t>Automotive Qualified 3.5V to 36V, 1A Synchronous Step-Down Voltage Converter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</si>
  <si>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</si>
  <si>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</si>
  <si>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</si>
  <si>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</si>
  <si>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</si>
  <si>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</si>
  <si>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</si>
  <si>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</si>
  <si>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Automotive Qualified 3.5 to 60V, 1A Synchronous Step-Down Voltage Converter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</si>
  <si>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</si>
  <si>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</si>
  <si>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</si>
  <si>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</si>
  <si>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</si>
  <si>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</si>
  <si>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</si>
  <si>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</si>
  <si>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Automotive Qualified 3.5V to 36V 0.5A Synchronous Step-Down Voltage Converter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</si>
  <si>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</si>
  <si>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</si>
  <si>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</si>
  <si>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</si>
  <si>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</si>
  <si>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</si>
  <si>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</si>
  <si>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</si>
  <si>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AEC-Q100 Qualified 3.5 to 60V 0.5A Synchronous Step-Down Voltage Converter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</si>
  <si>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</si>
  <si>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</si>
  <si>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</si>
  <si>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</si>
  <si>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</si>
  <si>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</si>
  <si>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</si>
  <si>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</si>
  <si>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30-V, N channel synchronous buck NexFET™ power MOSFET, SON 3 mm x 3 mm power block, 20 A</t>
  </si>
  <si>
    <t>MOSFETs</t>
  </si>
  <si>
    <t>Catalog</t>
  </si>
  <si>
    <t>VSON-CLIP</t>
  </si>
  <si>
    <t/>
  </si>
  <si>
    <t>-55 to 150</t>
  </si>
  <si>
    <t>3.3 x 3.3</t>
  </si>
  <si>
    <t>ACTIVE</t>
  </si>
  <si>
    <t>Low input voltage, 4.3-V output voltage, synchronous boost converter with integrated LDO</t>
  </si>
  <si>
    <t>AC/DC &amp; DC/DC converters (integrated FET)</t>
  </si>
  <si>
    <t>Catalog</t>
  </si>
  <si>
    <t>Boost</t>
  </si>
  <si>
    <t>WSON</t>
  </si>
  <si>
    <t/>
  </si>
  <si>
    <t>-40 to 125</t>
  </si>
  <si>
    <t>1.5 x 1.5</t>
  </si>
  <si>
    <t>ACTIVE</t>
  </si>
  <si>
    <t>Automotive Qualified SIMPLE SWITCHER&amp;reg; 40V (65V transient), 0.6A Buck Regulator with 28μA IQ</t>
  </si>
  <si>
    <t>AC/DC &amp; DC/DC converters (integrated FET)</t>
  </si>
  <si>
    <t>Automotive</t>
  </si>
  <si>
    <t>Buck</t>
  </si>
  <si>
    <t>SOT-23-THN</t>
  </si>
  <si>
    <t/>
  </si>
  <si>
    <t>-40 to 125</t>
  </si>
  <si>
    <t>2.9 x 2.8</t>
  </si>
  <si>
    <t>ACTIVE</t>
  </si>
  <si>
    <t>3.5 to 36Vin, 2 Ampere Synchronous DC-DC Converter for Automotive Applications</t>
  </si>
  <si>
    <t>AC/DC &amp; DC/DC converters (integrated FET)</t>
  </si>
  <si>
    <t>Automotive</t>
  </si>
  <si>
    <t>Buck</t>
  </si>
  <si>
    <t>HTSSOP</t>
  </si>
  <si>
    <t/>
  </si>
  <si>
    <t>-40 to 150</t>
  </si>
  <si>
    <t>5 x 6.4</t>
  </si>
  <si>
    <t>ACTIVE</t>
  </si>
  <si>
    <t>Automotive 3.5-V to 36-V, 3-A synchronous step-down converter</t>
  </si>
  <si>
    <t>AC/DC &amp; DC/DC converters (integrated FET)</t>
  </si>
  <si>
    <t>Automotive</t>
  </si>
  <si>
    <t>Buck</t>
  </si>
  <si>
    <t>HTSSOP</t>
  </si>
  <si>
    <t/>
  </si>
  <si>
    <t>-40 to 150</t>
  </si>
  <si>
    <t>5 x 6.4</t>
  </si>
  <si>
    <t>ACTIVE</t>
  </si>
  <si>
    <t>Wide Input 65V, 2A Synchronous Buck / Fly-Buck™ Converter</t>
  </si>
  <si>
    <t>AC/DC &amp; DC/DC converters (integrated FET)</t>
  </si>
  <si>
    <t>Automotive</t>
  </si>
  <si>
    <t>Buck,Flybuck</t>
  </si>
  <si>
    <t>HTSSOP</t>
  </si>
  <si>
    <t/>
  </si>
  <si>
    <t>-40 to 125</t>
  </si>
  <si>
    <t>5 x 6.4</t>
  </si>
  <si>
    <t>ACTIVE</t>
  </si>
  <si>
    <t>5.7kVrms, 2.5A/5A single-channel isolated gate driver with active protection features</t>
  </si>
  <si>
    <t>Isolated gate drivers</t>
  </si>
  <si>
    <t>Catalog</t>
  </si>
  <si>
    <t>SOIC</t>
  </si>
  <si>
    <t/>
  </si>
  <si>
    <t>-40 to 125</t>
  </si>
  <si>
    <t>10.3 x 10.3</t>
  </si>
  <si>
    <t>ACTIVE</t>
  </si>
  <si>
    <t>Radiation-hardened QMLV, 3-V to 7-V input, 6-A synchronous step-down converter</t>
  </si>
  <si>
    <t>AC/DC &amp; DC/DC converters (integrated FET)</t>
  </si>
  <si>
    <t>Space</t>
  </si>
  <si>
    <t>Buck</t>
  </si>
  <si>
    <t>CFP,DIESALE</t>
  </si>
  <si>
    <t/>
  </si>
  <si>
    <t>-55 to 125</t>
  </si>
  <si>
    <t>0,20</t>
  </si>
  <si>
    <t>93.726,See data sheet</t>
  </si>
  <si>
    <t>12.7 x 7.38,See data sheet</t>
  </si>
  <si>
    <t>2.54,—</t>
  </si>
  <si>
    <t>1.27,—</t>
  </si>
  <si>
    <t>ACTIVE</t>
  </si>
  <si>
    <t>Low input voltage, 4.3-V output voltage, synchronous boost converter with integrated LDO</t>
  </si>
  <si>
    <t>AC/DC &amp; DC/DC converters (integrated FET)</t>
  </si>
  <si>
    <t>Catalog</t>
  </si>
  <si>
    <t>Boost</t>
  </si>
  <si>
    <t>WSON</t>
  </si>
  <si>
    <t/>
  </si>
  <si>
    <t>-40 to 125</t>
  </si>
  <si>
    <t>1.5 x 1.5</t>
  </si>
  <si>
    <t>ACTIVE</t>
  </si>
  <si>
    <t>3.3V-10V input, 300mA Ultra Low Iq step-down converter with VSEL and input voltage switch</t>
  </si>
  <si>
    <t>AC/DC &amp; DC/DC converters (integrated FET)</t>
  </si>
  <si>
    <t>Catalog</t>
  </si>
  <si>
    <t>Buck</t>
  </si>
  <si>
    <t>WSON</t>
  </si>
  <si>
    <t/>
  </si>
  <si>
    <t>-40 to 125</t>
  </si>
  <si>
    <t>3 x 2</t>
  </si>
  <si>
    <t>ACTIVE</t>
  </si>
  <si>
    <t>10Vin Ultra Low Iq Step-Down Converter</t>
  </si>
  <si>
    <t>AC/DC &amp; DC/DC converters (integrated FET)</t>
  </si>
  <si>
    <t>Catalog</t>
  </si>
  <si>
    <t>Buck</t>
  </si>
  <si>
    <t>WSON</t>
  </si>
  <si>
    <t/>
  </si>
  <si>
    <t>-40 to 125</t>
  </si>
  <si>
    <t>3 x 2</t>
  </si>
  <si>
    <t>ACTIVE</t>
  </si>
  <si>
    <t>Switched Capacitor Inverter</t>
  </si>
  <si>
    <t>AC/DC &amp; DC/DC converters (integrated FET)</t>
  </si>
  <si>
    <t>Catalog</t>
  </si>
  <si>
    <t>SOT-23</t>
  </si>
  <si>
    <t/>
  </si>
  <si>
    <t>-40 to 125</t>
  </si>
  <si>
    <t>2.9 x 2.8</t>
  </si>
  <si>
    <t>ACTIVE</t>
  </si>
  <si>
    <t>Ultra-low-power DCDC converter with Vin-switch in WCSP</t>
  </si>
  <si>
    <t>AC/DC &amp; DC/DC converters (integrated FET)</t>
  </si>
  <si>
    <t>Catalog</t>
  </si>
  <si>
    <t>Buck</t>
  </si>
  <si>
    <t>DSBGA</t>
  </si>
  <si>
    <t/>
  </si>
  <si>
    <t>-40 to 85</t>
  </si>
  <si>
    <t>1 x 1.8</t>
  </si>
  <si>
    <t>ACTIVE</t>
  </si>
  <si>
    <t>1.6-A, HIGH-EFFICIENCY MicroSiP™ STEP-DOWN CONVERTER Module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</si>
  <si>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</si>
  <si>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</si>
  <si>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</si>
  <si>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</si>
  <si>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</si>
  <si>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</si>
  <si>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</si>
  <si>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</si>
  <si>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</si>
  <si>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</si>
  <si>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</si>
  <si>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1.6-A, High-Efficiency MicroSiP™ Step-Down Converter Module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</si>
  <si>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</si>
  <si>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</si>
  <si>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</si>
  <si>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</si>
  <si>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</si>
  <si>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</si>
  <si>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</si>
  <si>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</si>
  <si>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</si>
  <si>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</si>
  <si>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</si>
  <si>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40-V, 2-A SIMPLE SWITCHER®, 2.2-MHz step-down converter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</si>
  <si>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</si>
  <si>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</si>
  <si>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</si>
  <si>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</si>
  <si>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</si>
  <si>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</si>
  <si>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</si>
  <si>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</si>
  <si>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40-V, 3.5-A, 2-MHz step-down converter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</si>
  <si>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</si>
  <si>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</si>
  <si>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</si>
  <si>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</si>
  <si>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</si>
  <si>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</si>
  <si>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</si>
  <si>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</si>
  <si>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40V 5A 2.2MHz step-down converter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</si>
  <si>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</si>
  <si>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</si>
  <si>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</si>
  <si>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</si>
  <si>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</si>
  <si>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</si>
  <si>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</si>
  <si>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</si>
  <si>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Low input voltage, 3.3-V output voltage, synchronous boost converter with integrated LDO</t>
  </si>
  <si>
    <t>AC/DC &amp; DC/DC converters (integrated FET)</t>
  </si>
  <si>
    <t>Catalog</t>
  </si>
  <si>
    <t>Boost</t>
  </si>
  <si>
    <t>WSON</t>
  </si>
  <si>
    <t/>
  </si>
  <si>
    <t>-40 to 125</t>
  </si>
  <si>
    <t>1.5 x 1.5</t>
  </si>
  <si>
    <t>ACTIVE</t>
  </si>
  <si>
    <t>60-V, N channel NexFET™ power MOSFET, single TO-220, 4 mOhm</t>
  </si>
  <si>
    <t>MOSFETs</t>
  </si>
  <si>
    <t>Catalog</t>
  </si>
  <si>
    <t>TO-220</t>
  </si>
  <si>
    <t/>
  </si>
  <si>
    <t>-55 to 175</t>
  </si>
  <si>
    <t>10.16 x 4.55</t>
  </si>
  <si>
    <t>ACTIVE</t>
  </si>
  <si>
    <t>5.7kVrms, 2.5A/5A single-channel isolated gate driver with active protection features</t>
  </si>
  <si>
    <t>Isolated gate drivers</t>
  </si>
  <si>
    <t>Catalog</t>
  </si>
  <si>
    <t>SOIC</t>
  </si>
  <si>
    <t/>
  </si>
  <si>
    <t>-40 to 125</t>
  </si>
  <si>
    <t>10.3 x 10.3</t>
  </si>
  <si>
    <t>ACTIVE</t>
  </si>
  <si>
    <t>2V-5.5V input, ultra-low-power 300mA to 400mA step-down buck DCDC converter with 360nA Iq</t>
  </si>
  <si>
    <t>AC/DC &amp; DC/DC converters (integrated FET)</t>
  </si>
  <si>
    <t>Catalog</t>
  </si>
  <si>
    <t>Buck</t>
  </si>
  <si>
    <t>DSBGA</t>
  </si>
  <si>
    <t/>
  </si>
  <si>
    <t>-40 to 85</t>
  </si>
  <si>
    <t>1 x 1.8</t>
  </si>
  <si>
    <t>ACTIVE</t>
  </si>
  <si>
    <t>4-Phase, D-CAP+TM Step-Down Buck Controller with NVM and PMBus Interface for ASIC</t>
  </si>
  <si>
    <t>AC/DC &amp; DC/DC controllers (external FET)</t>
  </si>
  <si>
    <t>Catalog</t>
  </si>
  <si>
    <t>Multiphase</t>
  </si>
  <si>
    <t>WQFN</t>
  </si>
  <si>
    <t/>
  </si>
  <si>
    <t>-40 to 125</t>
  </si>
  <si>
    <t>6 x 6</t>
  </si>
  <si>
    <t>ACTIVE</t>
  </si>
  <si>
    <t>Automotive 150-mA, low-dropout voltage regulator with enable</t>
  </si>
  <si>
    <t>Linear &amp; low-dropout (LDO) regulators</t>
  </si>
  <si>
    <t>Automotive</t>
  </si>
  <si>
    <t>SOT-23</t>
  </si>
  <si>
    <t/>
  </si>
  <si>
    <t>-40 to 125</t>
  </si>
  <si>
    <t>2.9 x 2.8</t>
  </si>
  <si>
    <t>ACTIVE</t>
  </si>
  <si>
    <t>Push-pull, low-power, dual-voltage detector in a small µSON package</t>
  </si>
  <si>
    <t>Supply-voltage supervisors</t>
  </si>
  <si>
    <t>Catalog</t>
  </si>
  <si>
    <t>SOT-23,USON</t>
  </si>
  <si>
    <t/>
  </si>
  <si>
    <t>-40 to 125</t>
  </si>
  <si>
    <t>1.45,8.12</t>
  </si>
  <si>
    <t>1.45 x 1,2.9 x 2.8</t>
  </si>
  <si>
    <t>0.6,1.45</t>
  </si>
  <si>
    <t>0.5,0.95</t>
  </si>
  <si>
    <t>ACTIVE</t>
  </si>
  <si>
    <t>5.5-V to 24-V, dual-synchronous buck controller with Out-of-Audio™ mode and 3.2 ms soft start</t>
  </si>
  <si>
    <t>AC/DC &amp; DC/DC controllers (external FET)</t>
  </si>
  <si>
    <t>Catalog</t>
  </si>
  <si>
    <t>Buck</t>
  </si>
  <si>
    <t>WQFN</t>
  </si>
  <si>
    <t/>
  </si>
  <si>
    <t>-40 to 85</t>
  </si>
  <si>
    <t>3 x 3</t>
  </si>
  <si>
    <t>ACTIVE</t>
  </si>
  <si>
    <t>4.2V to 28V Input voltage, 3A Output current Synchronous buck Converter with 570kHz fixed frequency</t>
  </si>
  <si>
    <t>AC/DC &amp; DC/DC converters (integrated FET)</t>
  </si>
  <si>
    <t>Catalog</t>
  </si>
  <si>
    <t>Buck</t>
  </si>
  <si>
    <t>HSOIC,VSON</t>
  </si>
  <si>
    <t/>
  </si>
  <si>
    <t>-40 to 150</t>
  </si>
  <si>
    <t>8,10</t>
  </si>
  <si>
    <t>9,29.4</t>
  </si>
  <si>
    <t>3 x 3,4.9 x 6</t>
  </si>
  <si>
    <t>1,1.7</t>
  </si>
  <si>
    <t>0.5,1.27</t>
  </si>
  <si>
    <t>ACTIVE</t>
  </si>
  <si>
    <t>Automotive 3.15 V to 5.25 V, 5 buck &amp; 5 LDO Power Management IC (PMIC)</t>
  </si>
  <si>
    <t>Multi-channel ICs (PMICs)</t>
  </si>
  <si>
    <t>Automotive</t>
  </si>
  <si>
    <t>VQFN</t>
  </si>
  <si>
    <t>Functional Safety-Compliant</t>
  </si>
  <si>
    <t>-40 to 105</t>
  </si>
  <si>
    <t>7 x 7</t>
  </si>
  <si>
    <t>ACTIVE</t>
  </si>
  <si>
    <t>2.7-V to 5.5-VIN, 200-mA output current, 5-V fixed output voltage doubler</t>
  </si>
  <si>
    <t>AC/DC &amp; DC/DC converters (integrated FET)</t>
  </si>
  <si>
    <t>Catalog</t>
  </si>
  <si>
    <t>WSON</t>
  </si>
  <si>
    <t/>
  </si>
  <si>
    <t>-40 to 85</t>
  </si>
  <si>
    <t>2 x 2</t>
  </si>
  <si>
    <t>ACTIVE</t>
  </si>
  <si>
    <t>Automotive 3-A, 120-V half bridge gate driver with 8-V UVLO and negative voltage handling</t>
  </si>
  <si>
    <t>Half-bridge drivers</t>
  </si>
  <si>
    <t>Automotive</t>
  </si>
  <si>
    <t>HSOIC,VSON</t>
  </si>
  <si>
    <t>Functional Safety-Capable</t>
  </si>
  <si>
    <t>-40 to 150</t>
  </si>
  <si>
    <t>8,10</t>
  </si>
  <si>
    <t>16,29.4</t>
  </si>
  <si>
    <t>4 x 4,4.9 x 6</t>
  </si>
  <si>
    <t>1,1.7</t>
  </si>
  <si>
    <t>0.8,1.27</t>
  </si>
  <si>
    <t>ACTIVE</t>
  </si>
  <si>
    <t>5.7-V, 5-A, 14-mΩ load switch with adj. rise time, -Voltage monitoring</t>
  </si>
  <si>
    <t>Load switches</t>
  </si>
  <si>
    <t>Catalog</t>
  </si>
  <si>
    <t>WSON</t>
  </si>
  <si>
    <t/>
  </si>
  <si>
    <t>-40 to 105</t>
  </si>
  <si>
    <t>4,6</t>
  </si>
  <si>
    <t>2 x 2,3 x 2</t>
  </si>
  <si>
    <t>0.4,0.5</t>
  </si>
  <si>
    <t>ACTIVE</t>
  </si>
  <si>
    <t>4.5-V to 18-V, 20-A synchronous SWIFT™ buck converter with PMBus and frequency sync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</si>
  <si>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</si>
  <si>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</si>
  <si>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</si>
  <si>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</si>
  <si>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</si>
  <si>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</si>
  <si>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</si>
  <si>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</si>
  <si>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Automotive 300-mA, off-battery (40-V), dual-channel adjustable antenna low-dropout voltage regulator</t>
  </si>
  <si>
    <t>Linear &amp; low-dropout (LDO) regulators</t>
  </si>
  <si>
    <t>Automotive</t>
  </si>
  <si>
    <t>HTSSOP</t>
  </si>
  <si>
    <t>Functional Safety-Capable</t>
  </si>
  <si>
    <t>-40 to 125</t>
  </si>
  <si>
    <t>5 x 6.4</t>
  </si>
  <si>
    <t>ACTIVE</t>
  </si>
  <si>
    <t>2.7-V to 18-V, 42mΩ, 0.6-5.2A eFuse with reverse current blocking and 4-ms circuit breaker function</t>
  </si>
  <si>
    <t>eFuses (integrated hot swaps)</t>
  </si>
  <si>
    <t>Catalog</t>
  </si>
  <si>
    <t>WQFN</t>
  </si>
  <si>
    <t/>
  </si>
  <si>
    <t>-40 to 125</t>
  </si>
  <si>
    <t>4 x 3</t>
  </si>
  <si>
    <t>ACTIVE</t>
  </si>
  <si>
    <t>2.7-V to 18-V, 42mΩ, 0.6-5.2A eFuse with reverse current blocking</t>
  </si>
  <si>
    <t>eFuses (integrated hot swaps)</t>
  </si>
  <si>
    <t>Catalog</t>
  </si>
  <si>
    <t>WQFN</t>
  </si>
  <si>
    <t/>
  </si>
  <si>
    <t>-40 to 85</t>
  </si>
  <si>
    <t>4 x 3</t>
  </si>
  <si>
    <t>ACTIVE</t>
  </si>
  <si>
    <t>2-channel 10-Gbps 2:1/1:2 USB 3.1 differential mux/demux</t>
  </si>
  <si>
    <t>USB Type-C &amp; USB Power Delivery ICs</t>
  </si>
  <si>
    <t>Catalog</t>
  </si>
  <si>
    <t>VQFN</t>
  </si>
  <si>
    <t/>
  </si>
  <si>
    <t>-40 to 85</t>
  </si>
  <si>
    <t>4.5 x 2.5</t>
  </si>
  <si>
    <t>ACTIVE</t>
  </si>
  <si>
    <t>4.5-V to 18-V, 30-A synchronous SWIFT™ buck converter with PMBus and frequency sync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</si>
  <si>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</si>
  <si>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</si>
  <si>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</si>
  <si>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</si>
  <si>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</si>
  <si>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</si>
  <si>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</si>
  <si>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</si>
  <si>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Single-channel synchronous rectifier driver with body-diode conduction sensing</t>
  </si>
  <si>
    <t>AC/DC &amp; DC/DC controllers (external FET)</t>
  </si>
  <si>
    <t>Catalog</t>
  </si>
  <si>
    <t>Full-bridge,Resonant</t>
  </si>
  <si>
    <t>WSON</t>
  </si>
  <si>
    <t/>
  </si>
  <si>
    <t>-40 to 125</t>
  </si>
  <si>
    <t>3 x 3</t>
  </si>
  <si>
    <t>ACTIVE</t>
  </si>
  <si>
    <t>High efficiency, dual-String, 30-V Synchronous white LED driver</t>
  </si>
  <si>
    <t>Backlight LED drivers</t>
  </si>
  <si>
    <t>Catalog</t>
  </si>
  <si>
    <t>Boost</t>
  </si>
  <si>
    <t>DSBGA</t>
  </si>
  <si>
    <t/>
  </si>
  <si>
    <t>-40 to 85</t>
  </si>
  <si>
    <t>1.4000000000000001 x 1.8</t>
  </si>
  <si>
    <t>ACTIVE</t>
  </si>
  <si>
    <t>Automotive high-accuracy window voltage detector for overvoltage and undervoltage monitoring</t>
  </si>
  <si>
    <t>Supply-voltage supervisors</t>
  </si>
  <si>
    <t>Automotive</t>
  </si>
  <si>
    <t>SOT-23-THN</t>
  </si>
  <si>
    <t>Functional Safety-Capable</t>
  </si>
  <si>
    <t>-40 to 125</t>
  </si>
  <si>
    <t>2.9 x 2.8</t>
  </si>
  <si>
    <t>ACTIVE</t>
  </si>
  <si>
    <t>30-V, N channel NexFET™ power MOSFET, single LGA 1 mm x 0.6mm, 128 mOhm, gate ESD protection</t>
  </si>
  <si>
    <t>MOSFETs</t>
  </si>
  <si>
    <t>Catalog</t>
  </si>
  <si>
    <t>PICOSTAR</t>
  </si>
  <si>
    <t/>
  </si>
  <si>
    <t>-55 to 150</t>
  </si>
  <si>
    <t>1 x 0.6</t>
  </si>
  <si>
    <t>ACTIVE</t>
  </si>
  <si>
    <t>-20-V, P channel NexFET™ power MOSFET, single LGA 0.6 mm x 1 mm, 109 mOhm, gate ESD protection</t>
  </si>
  <si>
    <t>MOSFETs</t>
  </si>
  <si>
    <t>Catalog</t>
  </si>
  <si>
    <t>PICOSTAR</t>
  </si>
  <si>
    <t/>
  </si>
  <si>
    <t>-55 to 150</t>
  </si>
  <si>
    <t>1 x 0.6</t>
  </si>
  <si>
    <t>ACTIVE</t>
  </si>
  <si>
    <t>10-A Fully-Integrated Synchronous Boost Converter</t>
  </si>
  <si>
    <t>AC/DC &amp; DC/DC converters (integrated FET)</t>
  </si>
  <si>
    <t>Catalog</t>
  </si>
  <si>
    <t>Boost</t>
  </si>
  <si>
    <t>VQFN</t>
  </si>
  <si>
    <t/>
  </si>
  <si>
    <t>-40 to 125</t>
  </si>
  <si>
    <t>4.5 x 3.5</t>
  </si>
  <si>
    <t>ACTIVE</t>
  </si>
  <si>
    <t>Automotive Qualified 3.5V to 36V, 2A Synchronous Step-Down Voltage Converter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</si>
  <si>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</si>
  <si>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</si>
  <si>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</si>
  <si>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</si>
  <si>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</si>
  <si>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</si>
  <si>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</si>
  <si>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</si>
  <si>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Automotive Qualified 3.5V to 36V, 3A Synchronous Step-Down Voltage Converter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</si>
  <si>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</si>
  <si>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</si>
  <si>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</si>
  <si>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</si>
  <si>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</si>
  <si>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</si>
  <si>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</si>
  <si>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</si>
  <si>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42-V 1.5-A analog current adjustable buck LED driver</t>
  </si>
  <si>
    <t>Illumination  LED drivers</t>
  </si>
  <si>
    <t>Catalog</t>
  </si>
  <si>
    <t>Buck</t>
  </si>
  <si>
    <t>HVSSOP</t>
  </si>
  <si>
    <t/>
  </si>
  <si>
    <t>-40 to 125</t>
  </si>
  <si>
    <t>3 x 4.9</t>
  </si>
  <si>
    <t>ACTIVE</t>
  </si>
  <si>
    <t>65-V 1.5-A analog current adjustable buck LED driver</t>
  </si>
  <si>
    <t>Illumination  LED drivers</t>
  </si>
  <si>
    <t>Catalog</t>
  </si>
  <si>
    <t>Buck</t>
  </si>
  <si>
    <t>HVSSOP</t>
  </si>
  <si>
    <t/>
  </si>
  <si>
    <t>-40 to 125</t>
  </si>
  <si>
    <t>3 x 4.9</t>
  </si>
  <si>
    <t>ACTIVE</t>
  </si>
  <si>
    <t>2.5-V low-IQ adjustable precision shunt regulator</t>
  </si>
  <si>
    <t>Shunt voltage references</t>
  </si>
  <si>
    <t>Catalog</t>
  </si>
  <si>
    <t>SOT-23</t>
  </si>
  <si>
    <t/>
  </si>
  <si>
    <t>-40 to 125</t>
  </si>
  <si>
    <t>2.92 x 2.37</t>
  </si>
  <si>
    <t>ACTIVE</t>
  </si>
  <si>
    <t>Automotive, SOT-23 precision low dropout voltage reference</t>
  </si>
  <si>
    <t>Series voltage references</t>
  </si>
  <si>
    <t>Automotive</t>
  </si>
  <si>
    <t>SOT-23</t>
  </si>
  <si>
    <t>Functional Safety-Capable</t>
  </si>
  <si>
    <t>-40 to 125</t>
  </si>
  <si>
    <t>2.9 x 2.8</t>
  </si>
  <si>
    <t>ACTIVE</t>
  </si>
  <si>
    <t>0.73-Ω, 5-V, ultra-low leakage load switch</t>
  </si>
  <si>
    <t>Load switches</t>
  </si>
  <si>
    <t>Catalog</t>
  </si>
  <si>
    <t>SOT-23</t>
  </si>
  <si>
    <t/>
  </si>
  <si>
    <t>-40 to 85</t>
  </si>
  <si>
    <t>2.9 x 2.8</t>
  </si>
  <si>
    <t>ACTIVE</t>
  </si>
  <si>
    <t>3A, High-Efficiency Step-Down Converter Module with Integrated Inductor</t>
  </si>
  <si>
    <t>Power modules (integrated inductor)</t>
  </si>
  <si>
    <t>Catalog</t>
  </si>
  <si>
    <t>Buck,Synchronous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</si>
  <si>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</si>
  <si>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</si>
  <si>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</si>
  <si>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</si>
  <si>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</si>
  <si>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</si>
  <si>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</si>
  <si>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</si>
  <si>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WLED driver for notebook and Tablet display</t>
  </si>
  <si>
    <t>Backlight LED drivers</t>
  </si>
  <si>
    <t>Catalog</t>
  </si>
  <si>
    <t>Boost</t>
  </si>
  <si>
    <t>VQFN</t>
  </si>
  <si>
    <t/>
  </si>
  <si>
    <t>-40 to 85</t>
  </si>
  <si>
    <t>3.5 x 3.5</t>
  </si>
  <si>
    <t>ACTIVE</t>
  </si>
  <si>
    <t>28-V Output Voltage Boost Converter in WCSP Package</t>
  </si>
  <si>
    <t>AC/DC &amp; DC/DC converters (integrated FET)</t>
  </si>
  <si>
    <t>Catalog</t>
  </si>
  <si>
    <t>Boost</t>
  </si>
  <si>
    <t>DSBGA</t>
  </si>
  <si>
    <t/>
  </si>
  <si>
    <t>-40 to 150</t>
  </si>
  <si>
    <t>1 x 1.4000000000000001</t>
  </si>
  <si>
    <t>ACTIVE</t>
  </si>
  <si>
    <t>Single-chip backlight with Bias power and 1.5-A flash LED driver</t>
  </si>
  <si>
    <t>Backlight LED drivers</t>
  </si>
  <si>
    <t>Catalog</t>
  </si>
  <si>
    <t>Boost,Current Sink,Multi-Channel</t>
  </si>
  <si>
    <t>DSBGA</t>
  </si>
  <si>
    <t/>
  </si>
  <si>
    <t>-40 to 85</t>
  </si>
  <si>
    <t>2.2 x 2.5999999999999996</t>
  </si>
  <si>
    <t>ACTIVE</t>
  </si>
  <si>
    <t>4x6-channel USB Type-C&amp;trade; Alternate Mode mux/demux</t>
  </si>
  <si>
    <t>USB Type-C &amp; USB Power Delivery ICs</t>
  </si>
  <si>
    <t>Catalog</t>
  </si>
  <si>
    <t>WQFN</t>
  </si>
  <si>
    <t/>
  </si>
  <si>
    <t>-40 to 85</t>
  </si>
  <si>
    <t>28,30</t>
  </si>
  <si>
    <t>11.25,19.25</t>
  </si>
  <si>
    <t>4.5 x 2.5,5.5 x 3.5</t>
  </si>
  <si>
    <t>0.4,0.5</t>
  </si>
  <si>
    <t>ACTIVE</t>
  </si>
  <si>
    <t>5.7-V, 5-A, 14-mΩ load switch with adj. rise time, -Voltage monitoring and output discharge</t>
  </si>
  <si>
    <t>Load switches</t>
  </si>
  <si>
    <t>Catalog</t>
  </si>
  <si>
    <t>WSON</t>
  </si>
  <si>
    <t/>
  </si>
  <si>
    <t>-40 to 105</t>
  </si>
  <si>
    <t>4,6</t>
  </si>
  <si>
    <t>2 x 2,3 x 2</t>
  </si>
  <si>
    <t>0.4,0.5</t>
  </si>
  <si>
    <t>ACTIVE</t>
  </si>
  <si>
    <t>6-String 400-mA WLED Drvr w/ Independent PWM dimming for Each String</t>
  </si>
  <si>
    <t>Backlight LED drivers,Automotive LED drivers</t>
  </si>
  <si>
    <t>Automotive</t>
  </si>
  <si>
    <t>Boost with Current Sink</t>
  </si>
  <si>
    <t>HTSSOP</t>
  </si>
  <si>
    <t/>
  </si>
  <si>
    <t>-40 to 125</t>
  </si>
  <si>
    <t>9.7 x 6.4</t>
  </si>
  <si>
    <t>ACTIVE</t>
  </si>
  <si>
    <t>60-V, N channel NexFET™ power MOSFET, single TO-220, 2 mOhm</t>
  </si>
  <si>
    <t>MOSFETs</t>
  </si>
  <si>
    <t>Catalog</t>
  </si>
  <si>
    <t>TO-220</t>
  </si>
  <si>
    <t/>
  </si>
  <si>
    <t>-55 to 175</t>
  </si>
  <si>
    <t>10.16 x 4.55</t>
  </si>
  <si>
    <t>ACTIVE</t>
  </si>
  <si>
    <t>60-V, N channel NexFET™ power MOSFET, single TO-220, 1.6 mOhm</t>
  </si>
  <si>
    <t>MOSFETs</t>
  </si>
  <si>
    <t>Catalog</t>
  </si>
  <si>
    <t>TO-220</t>
  </si>
  <si>
    <t/>
  </si>
  <si>
    <t>-55 to 175</t>
  </si>
  <si>
    <t>10.16 x 4.55</t>
  </si>
  <si>
    <t>ACTIVE</t>
  </si>
  <si>
    <t>UCD3138A Highly Integrated Digital Controller for Isolated Power</t>
  </si>
  <si>
    <t>AC/DC &amp; DC/DC controllers (external FET)</t>
  </si>
  <si>
    <t>Catalog</t>
  </si>
  <si>
    <t>VQFN,WQFN</t>
  </si>
  <si>
    <t/>
  </si>
  <si>
    <t>-40 to 125</t>
  </si>
  <si>
    <t>40,64</t>
  </si>
  <si>
    <t>36,81</t>
  </si>
  <si>
    <t>6 x 6,9 x 9</t>
  </si>
  <si>
    <t>0.8,1</t>
  </si>
  <si>
    <t>ACTIVE</t>
  </si>
  <si>
    <t>Four-phase, single 16A output DC-DC step-down converter</t>
  </si>
  <si>
    <t>Multi-channel ICs (PMICs)</t>
  </si>
  <si>
    <t>Catalog</t>
  </si>
  <si>
    <t>DSBGA</t>
  </si>
  <si>
    <t/>
  </si>
  <si>
    <t>-40 to 85</t>
  </si>
  <si>
    <t>2.2 x 3</t>
  </si>
  <si>
    <t>ACTIVE</t>
  </si>
  <si>
    <t>5.5-V, 6-A, 13-mΩ load switch with adj. rise time and optional output discharge</t>
  </si>
  <si>
    <t>Load switches</t>
  </si>
  <si>
    <t>Catalog</t>
  </si>
  <si>
    <t>HVSSOP,VSSOP</t>
  </si>
  <si>
    <t/>
  </si>
  <si>
    <t>-40 to 105</t>
  </si>
  <si>
    <t>3 x 4.9</t>
  </si>
  <si>
    <t>ACTIVE</t>
  </si>
  <si>
    <t>2-pair, type-2, 8-channel&amp;nbsp;PoE&amp;nbsp;PSE</t>
  </si>
  <si>
    <t>Power sourcing equipment</t>
  </si>
  <si>
    <t>Catalog</t>
  </si>
  <si>
    <t>VQFN</t>
  </si>
  <si>
    <t/>
  </si>
  <si>
    <t>-40 to 125</t>
  </si>
  <si>
    <t>8 x 8</t>
  </si>
  <si>
    <t>ACTIVE</t>
  </si>
  <si>
    <t>2.5-V to 18-V hot swap controller with high performance and current monitoring</t>
  </si>
  <si>
    <t>Hot-swap controllers</t>
  </si>
  <si>
    <t>Catalog</t>
  </si>
  <si>
    <t>VQFN</t>
  </si>
  <si>
    <t/>
  </si>
  <si>
    <t>-40 to 125</t>
  </si>
  <si>
    <t>4 x 4</t>
  </si>
  <si>
    <t>ACTIVE</t>
  </si>
  <si>
    <t>2.5-V to 18-V hot swap controller with high performance with analog current monitor</t>
  </si>
  <si>
    <t>Hot-swap controllers</t>
  </si>
  <si>
    <t>Catalog</t>
  </si>
  <si>
    <t>VQFN</t>
  </si>
  <si>
    <t/>
  </si>
  <si>
    <t>-40 to 125</t>
  </si>
  <si>
    <t>4 x 4</t>
  </si>
  <si>
    <t>ACTIVE</t>
  </si>
  <si>
    <t>2.5-V to 18-V hot swap controller with high performance</t>
  </si>
  <si>
    <t>Hot-swap controllers</t>
  </si>
  <si>
    <t>Catalog</t>
  </si>
  <si>
    <t>VQFN</t>
  </si>
  <si>
    <t/>
  </si>
  <si>
    <t>-40 to 125</t>
  </si>
  <si>
    <t>4 x 4</t>
  </si>
  <si>
    <t>ACTIVE</t>
  </si>
  <si>
    <t>150-mA, ultra-low-IQ, low-dropout voltage regulator with reverse current protection &amp; enable</t>
  </si>
  <si>
    <t>Linear &amp; low-dropout (LDO) regulators</t>
  </si>
  <si>
    <t>Catalog</t>
  </si>
  <si>
    <t>SOT-23,WSON</t>
  </si>
  <si>
    <t/>
  </si>
  <si>
    <t>-40 to 125</t>
  </si>
  <si>
    <t>5,6</t>
  </si>
  <si>
    <t>4,8.12</t>
  </si>
  <si>
    <t>2 x 2,2.9 x 2.8</t>
  </si>
  <si>
    <t>0.8,1.45</t>
  </si>
  <si>
    <t>0.65,0.95</t>
  </si>
  <si>
    <t>ACTIVE</t>
  </si>
  <si>
    <t>Automotive 8-channel Linear LED driver with PWM dimming</t>
  </si>
  <si>
    <t>Automotive LED drivers</t>
  </si>
  <si>
    <t>Automotive</t>
  </si>
  <si>
    <t>Current Source</t>
  </si>
  <si>
    <t>HTSSOP</t>
  </si>
  <si>
    <t>Functional Safety-Capable</t>
  </si>
  <si>
    <t>-40 to 125</t>
  </si>
  <si>
    <t>6.5 x 6.4</t>
  </si>
  <si>
    <t>ACTIVE</t>
  </si>
  <si>
    <t>Synchronous rectifier controller With Ultra Low Standby current</t>
  </si>
  <si>
    <t>AC/DC &amp; DC/DC controllers (external FET)</t>
  </si>
  <si>
    <t>Catalog</t>
  </si>
  <si>
    <t>CCM,DCM</t>
  </si>
  <si>
    <t>SOT-23</t>
  </si>
  <si>
    <t/>
  </si>
  <si>
    <t>-40 to 125</t>
  </si>
  <si>
    <t>2.9 x 2.8</t>
  </si>
  <si>
    <t>ACTIVE</t>
  </si>
  <si>
    <t>100-V, N channel NexFET™ power MOSFET, single D2PAK, 3.4 mOhm</t>
  </si>
  <si>
    <t>MOSFETs</t>
  </si>
  <si>
    <t>Catalog</t>
  </si>
  <si>
    <t>TO-263</t>
  </si>
  <si>
    <t/>
  </si>
  <si>
    <t>-55 to 175</t>
  </si>
  <si>
    <t>10.16 x 15.1</t>
  </si>
  <si>
    <t>ACTIVE</t>
  </si>
  <si>
    <t>100-V, N channel NexFET™ power MOSFET, single D2PAK, 2.4 mOhm</t>
  </si>
  <si>
    <t>MOSFETs</t>
  </si>
  <si>
    <t>Catalog</t>
  </si>
  <si>
    <t>TO-263</t>
  </si>
  <si>
    <t/>
  </si>
  <si>
    <t>-55 to 175</t>
  </si>
  <si>
    <t>10.16 x 15.1</t>
  </si>
  <si>
    <t>ACTIVE</t>
  </si>
  <si>
    <t>Triple-Output AMOLED Display Power Supply</t>
  </si>
  <si>
    <t>LCD &amp; OLED display power &amp; drivers</t>
  </si>
  <si>
    <t>Catalog</t>
  </si>
  <si>
    <t>Boost,Buck-Boost</t>
  </si>
  <si>
    <t>WQFN</t>
  </si>
  <si>
    <t/>
  </si>
  <si>
    <t>-40 to 85</t>
  </si>
  <si>
    <t>3 x 3</t>
  </si>
  <si>
    <t>ACTIVE</t>
  </si>
  <si>
    <t>700V Flyback switcher with constant-voltage constant-current and primary-side regulation</t>
  </si>
  <si>
    <t>AC/DC &amp; DC/DC converters (integrated FET)</t>
  </si>
  <si>
    <t>Catalog</t>
  </si>
  <si>
    <t>Buck,Flyback</t>
  </si>
  <si>
    <t>SOIC</t>
  </si>
  <si>
    <t/>
  </si>
  <si>
    <t>-40 to 125</t>
  </si>
  <si>
    <t>4.9 x 6</t>
  </si>
  <si>
    <t>ACTIVE</t>
  </si>
  <si>
    <t>4-ch, 3.6-V, 1.2-A, 15-mΩ load switch with I2C control</t>
  </si>
  <si>
    <t>Load switches</t>
  </si>
  <si>
    <t>Catalog</t>
  </si>
  <si>
    <t>WQFN-HR</t>
  </si>
  <si>
    <t/>
  </si>
  <si>
    <t>-40 to 85</t>
  </si>
  <si>
    <t>3 x 3</t>
  </si>
  <si>
    <t>ACTIVE</t>
  </si>
  <si>
    <t>4.5-V to 17-V, 6-A synchronous buck converter with VID control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</si>
  <si>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</si>
  <si>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</si>
  <si>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</si>
  <si>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</si>
  <si>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</si>
  <si>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</si>
  <si>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</si>
  <si>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</si>
  <si>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600-mA, High-Efficiency MicroSiP&amp;trade; Step-Down Converter Module (Profile &lt;1.0mm)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</si>
  <si>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</si>
  <si>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</si>
  <si>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</si>
  <si>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</si>
  <si>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</si>
  <si>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</si>
  <si>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</si>
  <si>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</si>
  <si>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-8V, P channel NexFET™ power MOSFET, single WLP 1.5 mm x 1.5 mm, 9.9 mOhm, gate ESD protection</t>
  </si>
  <si>
    <t>MOSFETs</t>
  </si>
  <si>
    <t>Catalog</t>
  </si>
  <si>
    <t>DSBGA</t>
  </si>
  <si>
    <t/>
  </si>
  <si>
    <t>-55 to 150</t>
  </si>
  <si>
    <t>1.75 x 1.75</t>
  </si>
  <si>
    <t>ACTIVE</t>
  </si>
  <si>
    <t>12-V, N channel NexFET™ power MOSFET, single WLP 1 mm x 1 mm, 17.1  mOhm</t>
  </si>
  <si>
    <t>MOSFETs</t>
  </si>
  <si>
    <t>Catalog</t>
  </si>
  <si>
    <t>DSBGA</t>
  </si>
  <si>
    <t/>
  </si>
  <si>
    <t>-55 to 150</t>
  </si>
  <si>
    <t>1.25 x 1.25</t>
  </si>
  <si>
    <t>ACTIVE</t>
  </si>
  <si>
    <t>12-V, N channel NexFET™ power MOSFET, single WLP 1 mm x 1.5 mm, 10.2 mOhm</t>
  </si>
  <si>
    <t>MOSFETs</t>
  </si>
  <si>
    <t>Catalog</t>
  </si>
  <si>
    <t>DSBGA</t>
  </si>
  <si>
    <t/>
  </si>
  <si>
    <t>-55 to 150</t>
  </si>
  <si>
    <t>1.75 x 1.25</t>
  </si>
  <si>
    <t>ACTIVE</t>
  </si>
  <si>
    <t>2.5-V to 6.5-V, 67mΩ, 2.1-2.7A automotive eFuse with reverse current blocking when off</t>
  </si>
  <si>
    <t>eFuses (integrated hot swaps)</t>
  </si>
  <si>
    <t>Automotive</t>
  </si>
  <si>
    <t>WSON</t>
  </si>
  <si>
    <t>Functional Safety-Capable</t>
  </si>
  <si>
    <t>-40 to 125</t>
  </si>
  <si>
    <t>2 x 2</t>
  </si>
  <si>
    <t>ACTIVE</t>
  </si>
  <si>
    <t>High efficiency, Triple-String, 30-V Synchronous white LED driver</t>
  </si>
  <si>
    <t>Backlight LED drivers</t>
  </si>
  <si>
    <t>Catalog</t>
  </si>
  <si>
    <t>Boost</t>
  </si>
  <si>
    <t>DSBGA</t>
  </si>
  <si>
    <t/>
  </si>
  <si>
    <t>-40 to 85</t>
  </si>
  <si>
    <t>1.4000000000000001 x 1.8</t>
  </si>
  <si>
    <t>ACTIVE</t>
  </si>
  <si>
    <t>42V Wide Vin 4-Switch Synchronous Buck-Boost Controller</t>
  </si>
  <si>
    <t>AC/DC &amp; DC/DC controllers (external FET)</t>
  </si>
  <si>
    <t>Catalog</t>
  </si>
  <si>
    <t>Buck-Boost</t>
  </si>
  <si>
    <t>HTSSOP,VQFN</t>
  </si>
  <si>
    <t/>
  </si>
  <si>
    <t>-40 to 125</t>
  </si>
  <si>
    <t>20,62.08</t>
  </si>
  <si>
    <t>5 x 4,9.7 x 6.4</t>
  </si>
  <si>
    <t>1,1.2</t>
  </si>
  <si>
    <t>0.5,0.65</t>
  </si>
  <si>
    <t>ACTIVE</t>
  </si>
  <si>
    <t>30-V, N channel NexFET™ power MOSFET, single SON 5 mm x 6 mm, 9.3 mOhm</t>
  </si>
  <si>
    <t>MOSFETs</t>
  </si>
  <si>
    <t>Catalog</t>
  </si>
  <si>
    <t>VSONP</t>
  </si>
  <si>
    <t/>
  </si>
  <si>
    <t>-55 to 150</t>
  </si>
  <si>
    <t>4.9 x 6</t>
  </si>
  <si>
    <t>ACTIVE</t>
  </si>
  <si>
    <t>30-V, N channel NexFET™ power MOSFET, single SON 5 mm x 6 mm, 13.3 mOhm</t>
  </si>
  <si>
    <t>MOSFETs</t>
  </si>
  <si>
    <t>Catalog</t>
  </si>
  <si>
    <t>VSONP</t>
  </si>
  <si>
    <t/>
  </si>
  <si>
    <t>-55 to 150</t>
  </si>
  <si>
    <t>4.9 x 6</t>
  </si>
  <si>
    <t>ACTIVE</t>
  </si>
  <si>
    <t>SIMPLE SWITCHER, 4-V to 40-V, 2-A 2.2-MHz step-down converter with Low IQ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</si>
  <si>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</si>
  <si>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</si>
  <si>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</si>
  <si>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</si>
  <si>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</si>
  <si>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</si>
  <si>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</si>
  <si>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</si>
  <si>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SIMPLE SWITCHER® 40-V, 3.5-A, 2.2-MHz step-down converter with 40-uA IQ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</si>
  <si>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</si>
  <si>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</si>
  <si>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</si>
  <si>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</si>
  <si>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</si>
  <si>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</si>
  <si>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</si>
  <si>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</si>
  <si>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SIMPLE SWITCHER® 40-V, 5-A, 2.2-MHz step-down converter with 40-μA IQ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</si>
  <si>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</si>
  <si>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</si>
  <si>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</si>
  <si>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</si>
  <si>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</si>
  <si>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</si>
  <si>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</si>
  <si>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</si>
  <si>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2.5-V to 18-V hot swap controller with power limiting and Oring with latch off</t>
  </si>
  <si>
    <t>Hot-swap controllers</t>
  </si>
  <si>
    <t>Catalog</t>
  </si>
  <si>
    <t>VQFN</t>
  </si>
  <si>
    <t/>
  </si>
  <si>
    <t>-40 to 125</t>
  </si>
  <si>
    <t>4 x 4</t>
  </si>
  <si>
    <t>ACTIVE</t>
  </si>
  <si>
    <t>2.5-V to 18-V hot swap controller with power limiting and Oring with auto retry</t>
  </si>
  <si>
    <t>Hot-swap controllers</t>
  </si>
  <si>
    <t>Catalog</t>
  </si>
  <si>
    <t>VQFN</t>
  </si>
  <si>
    <t/>
  </si>
  <si>
    <t>-40 to 125</t>
  </si>
  <si>
    <t>4 x 4</t>
  </si>
  <si>
    <t>ACTIVE</t>
  </si>
  <si>
    <t>2.5-V to 18-V hot swap controller with power limiting and Oring</t>
  </si>
  <si>
    <t>Hot-swap controllers</t>
  </si>
  <si>
    <t>Catalog</t>
  </si>
  <si>
    <t>VQFN</t>
  </si>
  <si>
    <t/>
  </si>
  <si>
    <t>-40 to 125</t>
  </si>
  <si>
    <t>4 x 4</t>
  </si>
  <si>
    <t>ACTIVE</t>
  </si>
  <si>
    <t>4-V to 17-V, 6-A synchronous buck converter with power good, 1% accuracy, and adjustable soft start</t>
  </si>
  <si>
    <t>AC/DC &amp; DC/DC converters (integrated FET)</t>
  </si>
  <si>
    <t>Catalog</t>
  </si>
  <si>
    <t>Buck</t>
  </si>
  <si>
    <t>DSBGA</t>
  </si>
  <si>
    <t/>
  </si>
  <si>
    <t>-40 to 125</t>
  </si>
  <si>
    <t>3.25 x 2.25</t>
  </si>
  <si>
    <t>ACTIVE</t>
  </si>
  <si>
    <t>200-V wake-up monitor for fast transient primary-side regulation</t>
  </si>
  <si>
    <t>AC/DC &amp; DC/DC controllers (external FET)</t>
  </si>
  <si>
    <t>Catalog</t>
  </si>
  <si>
    <t>Flyback</t>
  </si>
  <si>
    <t>SOT-23</t>
  </si>
  <si>
    <t/>
  </si>
  <si>
    <t>-40 to 125</t>
  </si>
  <si>
    <t>2.9 x 2.8</t>
  </si>
  <si>
    <t>ACTIVE</t>
  </si>
  <si>
    <t>Zero standby PSR flyback controller with CVCC and wake-up monitoring</t>
  </si>
  <si>
    <t>AC/DC &amp; DC/DC controllers (external FET)</t>
  </si>
  <si>
    <t>Catalog</t>
  </si>
  <si>
    <t>Buck,Flyback</t>
  </si>
  <si>
    <t>SOIC</t>
  </si>
  <si>
    <t/>
  </si>
  <si>
    <t>-40 to 125</t>
  </si>
  <si>
    <t>4.9 x 6</t>
  </si>
  <si>
    <t>ACTIVE</t>
  </si>
  <si>
    <t>High-accuracy window voltage detector for overvoltage and undervoltage monitoring</t>
  </si>
  <si>
    <t>Supply-voltage supervisors</t>
  </si>
  <si>
    <t>Catalog</t>
  </si>
  <si>
    <t>SOT-23-THN</t>
  </si>
  <si>
    <t/>
  </si>
  <si>
    <t>-40 to 125</t>
  </si>
  <si>
    <t>2.9 x 2.8</t>
  </si>
  <si>
    <t>ACTIVE</t>
  </si>
  <si>
    <t>40-V, 100-mΩ, 1-ch automotive smart high-side switch with adjustable current limit</t>
  </si>
  <si>
    <t>High-side switches</t>
  </si>
  <si>
    <t>Automotive</t>
  </si>
  <si>
    <t>HTSSOP</t>
  </si>
  <si>
    <t>Functional Safety-Capable</t>
  </si>
  <si>
    <t>-40 to 125</t>
  </si>
  <si>
    <t>5 x 6.4</t>
  </si>
  <si>
    <t>ACTIVE</t>
  </si>
  <si>
    <t>LP8728B-Q1 Quad Output Step-Down DC/DC Converter for Automotive Applications</t>
  </si>
  <si>
    <t>Multi-channel ICs (PMICs)</t>
  </si>
  <si>
    <t>Automotive</t>
  </si>
  <si>
    <t>WQFN</t>
  </si>
  <si>
    <t/>
  </si>
  <si>
    <t>-40 to 125</t>
  </si>
  <si>
    <t>5 x 5</t>
  </si>
  <si>
    <t>ACTIVE</t>
  </si>
  <si>
    <t>LP8728C-Q1 Quad Output Step-Down DC/DC Converter for Automotive Applications</t>
  </si>
  <si>
    <t>Multi-channel ICs (PMICs)</t>
  </si>
  <si>
    <t>Automotive</t>
  </si>
  <si>
    <t>WQFN</t>
  </si>
  <si>
    <t/>
  </si>
  <si>
    <t>-40 to 125</t>
  </si>
  <si>
    <t>5 x 5</t>
  </si>
  <si>
    <t>ACTIVE</t>
  </si>
  <si>
    <t>LP8728D-Q1 Quad Output Step-Down DC/DC Converter for Automotive Applications</t>
  </si>
  <si>
    <t>Multi-channel ICs (PMICs)</t>
  </si>
  <si>
    <t>Automotive</t>
  </si>
  <si>
    <t>WQFN</t>
  </si>
  <si>
    <t/>
  </si>
  <si>
    <t>-40 to 125</t>
  </si>
  <si>
    <t>5 x 5</t>
  </si>
  <si>
    <t>ACTIVE</t>
  </si>
  <si>
    <t>Automotive, 6-VIN, 17-VOUT, 1.1-A boost converter with integrated power diode, AEC-Q100 qualified</t>
  </si>
  <si>
    <t>AC/DC &amp; DC/DC converters (integrated FET)</t>
  </si>
  <si>
    <t>Automotive</t>
  </si>
  <si>
    <t>Boost</t>
  </si>
  <si>
    <t>WSON</t>
  </si>
  <si>
    <t/>
  </si>
  <si>
    <t>-40 to 125</t>
  </si>
  <si>
    <t>2.5 x 2.5</t>
  </si>
  <si>
    <t>ACTIVE</t>
  </si>
  <si>
    <t>2-ch, 5.5-V, 4-A, 27-mΩ, automotive load switch with adj. rise time and output discharge</t>
  </si>
  <si>
    <t>Load switches</t>
  </si>
  <si>
    <t>Automotive</t>
  </si>
  <si>
    <t>WSON</t>
  </si>
  <si>
    <t/>
  </si>
  <si>
    <t>-40 to 125</t>
  </si>
  <si>
    <t>3 x 2</t>
  </si>
  <si>
    <t>ACTIVE</t>
  </si>
  <si>
    <t>Natural interleaving transition-mode PFC controller with audible and input surge noise Immunity</t>
  </si>
  <si>
    <t>AC/DC &amp; DC/DC controllers (external FET)</t>
  </si>
  <si>
    <t>Catalog</t>
  </si>
  <si>
    <t>Boost,PFC controller</t>
  </si>
  <si>
    <t>SOIC</t>
  </si>
  <si>
    <t/>
  </si>
  <si>
    <t>-40 to 125</t>
  </si>
  <si>
    <t>9.9 x 6</t>
  </si>
  <si>
    <t>ACTIVE</t>
  </si>
  <si>
    <t>LM5160A Wide Input 65V, 2A Synchronous Buck / Fly-Buck™ Converter</t>
  </si>
  <si>
    <t>AC/DC &amp; DC/DC converters (integrated FET)</t>
  </si>
  <si>
    <t>Catalog</t>
  </si>
  <si>
    <t>Buck,Flybuck</t>
  </si>
  <si>
    <t>WSON</t>
  </si>
  <si>
    <t/>
  </si>
  <si>
    <t>-40 to 125</t>
  </si>
  <si>
    <t>4 x 4</t>
  </si>
  <si>
    <t>ACTIVE</t>
  </si>
  <si>
    <t>42-V 2.5-A buck current regulator for LED Lighting</t>
  </si>
  <si>
    <t>Illumination  LED drivers</t>
  </si>
  <si>
    <t>Catalog</t>
  </si>
  <si>
    <t>Buck</t>
  </si>
  <si>
    <t>HVSSOP</t>
  </si>
  <si>
    <t/>
  </si>
  <si>
    <t>-40 to 125</t>
  </si>
  <si>
    <t>3 x 4.9</t>
  </si>
  <si>
    <t>ACTIVE</t>
  </si>
  <si>
    <t>65-V 2.5-A buck current regulator for LED lighting</t>
  </si>
  <si>
    <t>Illumination  LED drivers</t>
  </si>
  <si>
    <t>Catalog</t>
  </si>
  <si>
    <t>Buck</t>
  </si>
  <si>
    <t>HVSSOP</t>
  </si>
  <si>
    <t/>
  </si>
  <si>
    <t>-40 to 125</t>
  </si>
  <si>
    <t>3 x 4.9</t>
  </si>
  <si>
    <t>ACTIVE</t>
  </si>
  <si>
    <t>CSD97394Q4M Synchronous Buck NexFET&amp;trade; Power Stage</t>
  </si>
  <si>
    <t>Si power stages</t>
  </si>
  <si>
    <t>Catalog</t>
  </si>
  <si>
    <t>VSON-CLIP</t>
  </si>
  <si>
    <t/>
  </si>
  <si>
    <t>-40 to 150</t>
  </si>
  <si>
    <t>4.5 x 3.5</t>
  </si>
  <si>
    <t>ACTIVE</t>
  </si>
  <si>
    <t>17-V Input, Step-down Converter with Low Power Mode Input for Intel SkyLake Platform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</si>
  <si>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</si>
  <si>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</si>
  <si>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</si>
  <si>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</si>
  <si>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</si>
  <si>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</si>
  <si>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</si>
  <si>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</si>
  <si>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Automotive 3-MHz 2-A step-down converter in 2×2 SON package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</si>
  <si>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</si>
  <si>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</si>
  <si>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</si>
  <si>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</si>
  <si>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</si>
  <si>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</si>
  <si>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2 x 2</t>
  </si>
  <si>
    <t>ACTIVE</t>
  </si>
  <si>
    <t>4.0V-18V Vin, 3A/2A/2A Triple Synchronous Buck Converter with I2C Controlled Dynamic Voltage Scaling</t>
  </si>
  <si>
    <t>AC/DC &amp; DC/DC converters (integrated FET)</t>
  </si>
  <si>
    <t>Automotive</t>
  </si>
  <si>
    <t>Buck</t>
  </si>
  <si>
    <t>VQFN</t>
  </si>
  <si>
    <t/>
  </si>
  <si>
    <t>-40 to 125</t>
  </si>
  <si>
    <t>5 x 5</t>
  </si>
  <si>
    <t>ACTIVE</t>
  </si>
  <si>
    <t>Compact primary-side regulation PWM controller with automotive grade</t>
  </si>
  <si>
    <t>AC/DC &amp; DC/DC controllers (external FET)</t>
  </si>
  <si>
    <t>Automotive</t>
  </si>
  <si>
    <t>Buck,Flyback</t>
  </si>
  <si>
    <t>SOT-23</t>
  </si>
  <si>
    <t>Functional Safety-Capable</t>
  </si>
  <si>
    <t>-40 to 125</t>
  </si>
  <si>
    <t>2.9 x 2.8</t>
  </si>
  <si>
    <t>ACTIVE</t>
  </si>
  <si>
    <t>100-V, N channel NexFET™ power MOSFET, single TO-220, 16.5 mOhm</t>
  </si>
  <si>
    <t>MOSFETs</t>
  </si>
  <si>
    <t>Catalog</t>
  </si>
  <si>
    <t>TO-220</t>
  </si>
  <si>
    <t/>
  </si>
  <si>
    <t>-55 to 175</t>
  </si>
  <si>
    <t>10.16 x 4.55</t>
  </si>
  <si>
    <t>ACTIVE</t>
  </si>
  <si>
    <t>30-V, N channel NexFET™ power MOSFET, dual common drain LGA, 5.5 mOhm, gate ESD protection</t>
  </si>
  <si>
    <t>MOSFETs</t>
  </si>
  <si>
    <t>Catalog</t>
  </si>
  <si>
    <t>PICOSTAR</t>
  </si>
  <si>
    <t/>
  </si>
  <si>
    <t>-55 to 150</t>
  </si>
  <si>
    <t>3.37 x 1.47</t>
  </si>
  <si>
    <t>ACTIVE</t>
  </si>
  <si>
    <t>CSD97395Q4M High Frequency Synchronous Buck NexFET&amp;trade; Power Stage</t>
  </si>
  <si>
    <t>Si power stages</t>
  </si>
  <si>
    <t>Catalog</t>
  </si>
  <si>
    <t>VSON-CLIP</t>
  </si>
  <si>
    <t/>
  </si>
  <si>
    <t>-40 to 150</t>
  </si>
  <si>
    <t>4.5 x 3.5</t>
  </si>
  <si>
    <t>ACTIVE</t>
  </si>
  <si>
    <t>TPS2514A-Q1 USB dedicated charging port controller</t>
  </si>
  <si>
    <t>USB power switches &amp; charging port controllers</t>
  </si>
  <si>
    <t>Automotive</t>
  </si>
  <si>
    <t>SOT-23</t>
  </si>
  <si>
    <t/>
  </si>
  <si>
    <t>-40 to 125</t>
  </si>
  <si>
    <t>2.9 x 2.8</t>
  </si>
  <si>
    <t>ACTIVE</t>
  </si>
  <si>
    <t>2.7V to 6.5V Input Voltage, 3A/2A/2A Output Current Synchronous Buck Converters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</si>
  <si>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</si>
  <si>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</si>
  <si>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</si>
  <si>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</si>
  <si>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</si>
  <si>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</si>
  <si>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</si>
  <si>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</si>
  <si>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Automotive 30V, 1MHz current mode PWM controller</t>
  </si>
  <si>
    <t>AC/DC &amp; DC/DC controllers (external FET)</t>
  </si>
  <si>
    <t>Automotive</t>
  </si>
  <si>
    <t>Flyback,Forward</t>
  </si>
  <si>
    <t>VSSOP</t>
  </si>
  <si>
    <t/>
  </si>
  <si>
    <t>-40 to 125</t>
  </si>
  <si>
    <t>3 x 4.9</t>
  </si>
  <si>
    <t>ACTIVE</t>
  </si>
  <si>
    <t>Programmable mid-input voltage range Power Management IC (PMIC) for Skylake processors</t>
  </si>
  <si>
    <t>Multi-channel ICs (PMICs)</t>
  </si>
  <si>
    <t>Catalog</t>
  </si>
  <si>
    <t>NFBGA</t>
  </si>
  <si>
    <t/>
  </si>
  <si>
    <t>-40 to 85</t>
  </si>
  <si>
    <t>159,168</t>
  </si>
  <si>
    <t>49,81</t>
  </si>
  <si>
    <t>7 x 7,9 x 9</t>
  </si>
  <si>
    <t>ACTIVE</t>
  </si>
  <si>
    <t>20-V, N channel NexFET™ power MOSFET, dual SON 2 mm x 2 mm, 27 mOhm, gate ESD protection</t>
  </si>
  <si>
    <t>MOSFETs</t>
  </si>
  <si>
    <t>Catalog</t>
  </si>
  <si>
    <t>WSON</t>
  </si>
  <si>
    <t/>
  </si>
  <si>
    <t>-55 to 150</t>
  </si>
  <si>
    <t>2 x 2</t>
  </si>
  <si>
    <t>ACTIVE</t>
  </si>
  <si>
    <t>3V-17V 1A Automotive Step-Down Converters in 2x2SON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</si>
  <si>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</si>
  <si>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</si>
  <si>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</si>
  <si>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</si>
  <si>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</si>
  <si>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</si>
  <si>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2 x 2</t>
  </si>
  <si>
    <t>ACTIVE</t>
  </si>
  <si>
    <t>3-17V 0.5A Automotive Step-Down Converter in 2x2 QFN package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</si>
  <si>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</si>
  <si>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</si>
  <si>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</si>
  <si>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</si>
  <si>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</si>
  <si>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</si>
  <si>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2 x 2</t>
  </si>
  <si>
    <t>ACTIVE</t>
  </si>
  <si>
    <t>3-17V 0.5A Automotive Step-Down Converter in 2x2 QFN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</si>
  <si>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</si>
  <si>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</si>
  <si>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</si>
  <si>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</si>
  <si>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</si>
  <si>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</si>
  <si>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2 x 2</t>
  </si>
  <si>
    <t>ACTIVE</t>
  </si>
  <si>
    <t>4.5V to 28V Input, 3A, Synchronous, Step-Down Converter with Eco-mode</t>
  </si>
  <si>
    <t>AC/DC &amp; DC/DC converters (integrated FET)</t>
  </si>
  <si>
    <t>Catalog</t>
  </si>
  <si>
    <t>Buck</t>
  </si>
  <si>
    <t>HSOIC,VSON</t>
  </si>
  <si>
    <t/>
  </si>
  <si>
    <t>-40 to 150</t>
  </si>
  <si>
    <t>8,10</t>
  </si>
  <si>
    <t>9,29.4</t>
  </si>
  <si>
    <t>3 x 3,4.9 x 6</t>
  </si>
  <si>
    <t>1,1.7</t>
  </si>
  <si>
    <t>0.5,1.27</t>
  </si>
  <si>
    <t>ACTIVE</t>
  </si>
  <si>
    <t>4.5V to 28V Input, 3A, Synchronous Step-Down Converter with Eco-mode(tm)</t>
  </si>
  <si>
    <t>AC/DC &amp; DC/DC converters (integrated FET)</t>
  </si>
  <si>
    <t>Catalog</t>
  </si>
  <si>
    <t>Buck</t>
  </si>
  <si>
    <t>HSOIC,VSON</t>
  </si>
  <si>
    <t/>
  </si>
  <si>
    <t>-40 to 150</t>
  </si>
  <si>
    <t>8,10</t>
  </si>
  <si>
    <t>9,29.4</t>
  </si>
  <si>
    <t>3 x 3,4.9 x 6</t>
  </si>
  <si>
    <t>1,1.7</t>
  </si>
  <si>
    <t>0.5,1.27</t>
  </si>
  <si>
    <t>ACTIVE</t>
  </si>
  <si>
    <t>Automotive 150-mA, off-battery (40-V), high-PSRR, low-IQ, low-dropout voltage regulator</t>
  </si>
  <si>
    <t>Linear &amp; low-dropout (LDO) regulators</t>
  </si>
  <si>
    <t>Automotive</t>
  </si>
  <si>
    <t>SOT-223,SOT-23</t>
  </si>
  <si>
    <t>Functional Safety-Capable</t>
  </si>
  <si>
    <t>-40 to 125</t>
  </si>
  <si>
    <t>4,5</t>
  </si>
  <si>
    <t>8.12,45.5</t>
  </si>
  <si>
    <t>2.9 x 2.8,6.5 x 7</t>
  </si>
  <si>
    <t>1.45,1.8</t>
  </si>
  <si>
    <t>0.95,2.3</t>
  </si>
  <si>
    <t>ACTIVE</t>
  </si>
  <si>
    <t>3-A, 40-V high voltage boost converter with soft-start and programmable switching frequency</t>
  </si>
  <si>
    <t>AC/DC &amp; DC/DC converters (integrated FET)</t>
  </si>
  <si>
    <t>Automotive</t>
  </si>
  <si>
    <t>Boost,Flyback,SEPIC</t>
  </si>
  <si>
    <t>HTSSOP</t>
  </si>
  <si>
    <t>Functional Safety-Capable</t>
  </si>
  <si>
    <t>-40 to 125</t>
  </si>
  <si>
    <t>5 x 6.4</t>
  </si>
  <si>
    <t>ACTIVE</t>
  </si>
  <si>
    <t>Automotive 2.25-MHz Fixed VOUT Dual 1000mA/400mA Step-Down Converter for ADAS Camera applications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</si>
  <si>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</si>
  <si>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</si>
  <si>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</si>
  <si>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</si>
  <si>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</si>
  <si>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</si>
  <si>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</si>
  <si>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</si>
  <si>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Automotive 2.25-MHz Fixed VOUT Dual 400mA/600mA Step-Down Converter for ADAS Camera applications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</si>
  <si>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</si>
  <si>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</si>
  <si>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</si>
  <si>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</si>
  <si>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</si>
  <si>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</si>
  <si>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</si>
  <si>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</si>
  <si>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Automotive 5-A/5-A dual-channel gate driver with 5-V UVLO and CMOS inputs</t>
  </si>
  <si>
    <t>Low-side drivers</t>
  </si>
  <si>
    <t>Automotive</t>
  </si>
  <si>
    <t>SOIC</t>
  </si>
  <si>
    <t/>
  </si>
  <si>
    <t>-40 to 140</t>
  </si>
  <si>
    <t>4.9 x 6</t>
  </si>
  <si>
    <t>ACTIVE</t>
  </si>
  <si>
    <t>2.7V to 5.5V, 1A High Density Nano Module</t>
  </si>
  <si>
    <t>Power modules (integrated inductor)</t>
  </si>
  <si>
    <t>Catalog</t>
  </si>
  <si>
    <t>Buck,Synchronous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</si>
  <si>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</si>
  <si>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</si>
  <si>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</si>
  <si>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</si>
  <si>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</si>
  <si>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</si>
  <si>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</si>
  <si>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</si>
  <si>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2.7V to 5.5V, 2A High Density Nano Module</t>
  </si>
  <si>
    <t>Power modules (integrated inductor)</t>
  </si>
  <si>
    <t>Catalog</t>
  </si>
  <si>
    <t>Buck,Synchronous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</si>
  <si>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</si>
  <si>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</si>
  <si>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</si>
  <si>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</si>
  <si>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</si>
  <si>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</si>
  <si>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</si>
  <si>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</si>
  <si>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High-voltage (36-V) window voltage detector with internal reference for OV &amp; UV monitoring</t>
  </si>
  <si>
    <t>Supply-voltage supervisors</t>
  </si>
  <si>
    <t>Catalog</t>
  </si>
  <si>
    <t>SOT-23-THN</t>
  </si>
  <si>
    <t/>
  </si>
  <si>
    <t>-40 to 125</t>
  </si>
  <si>
    <t>2.9 x 2.8</t>
  </si>
  <si>
    <t>ACTIVE</t>
  </si>
  <si>
    <t>12-V, N channel NexFET™ power MOSFET, single LGA 1 mm x  0.6mm, 44 mOhm, gate ESD protection</t>
  </si>
  <si>
    <t>MOSFETs</t>
  </si>
  <si>
    <t>Catalog</t>
  </si>
  <si>
    <t>PICOSTAR</t>
  </si>
  <si>
    <t/>
  </si>
  <si>
    <t>-55 to 150</t>
  </si>
  <si>
    <t>1.035 x 0.635</t>
  </si>
  <si>
    <t>ACTIVE</t>
  </si>
  <si>
    <t>2-Phase, D-CAP+™ buck controller for VR12.0 microserver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</si>
  <si>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</si>
  <si>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</si>
  <si>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</si>
  <si>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</si>
  <si>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</si>
  <si>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</si>
  <si>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</si>
  <si>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</si>
  <si>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High Efficiency 1.5A Single Inductor Buck-Boost Converter</t>
  </si>
  <si>
    <t>AC/DC &amp; DC/DC converters (integrated FET)</t>
  </si>
  <si>
    <t>Catalog</t>
  </si>
  <si>
    <t>Buck-Boost</t>
  </si>
  <si>
    <t>DSBGA</t>
  </si>
  <si>
    <t/>
  </si>
  <si>
    <t>-40 to 125</t>
  </si>
  <si>
    <t>1.8 x 2.2</t>
  </si>
  <si>
    <t>ACTIVE</t>
  </si>
  <si>
    <t>High Efficiency 1.5A Single Inductor Buck-Boost Converter</t>
  </si>
  <si>
    <t>AC/DC &amp; DC/DC converters (integrated FET)</t>
  </si>
  <si>
    <t>Catalog</t>
  </si>
  <si>
    <t>Buck-Boost</t>
  </si>
  <si>
    <t>DSBGA</t>
  </si>
  <si>
    <t/>
  </si>
  <si>
    <t>-40 to 125</t>
  </si>
  <si>
    <t>1.8 x 2.2</t>
  </si>
  <si>
    <t>ACTIVE</t>
  </si>
  <si>
    <t>High Efficiency 1.5A Single Inductor Buck-Boost Converter</t>
  </si>
  <si>
    <t>AC/DC &amp; DC/DC converters (integrated FET)</t>
  </si>
  <si>
    <t>Catalog</t>
  </si>
  <si>
    <t>Buck-Boost</t>
  </si>
  <si>
    <t>DSBGA</t>
  </si>
  <si>
    <t/>
  </si>
  <si>
    <t>-40 to 125</t>
  </si>
  <si>
    <t>1.8 x 2.2</t>
  </si>
  <si>
    <t>ACTIVE</t>
  </si>
  <si>
    <t>-8V, P channel NexFET™ power MOSFET, single WLP 1 mm x 1.5 mm, 19.4 mOhm, gate ESD protection</t>
  </si>
  <si>
    <t>MOSFETs</t>
  </si>
  <si>
    <t>Catalog</t>
  </si>
  <si>
    <t>DSBGA</t>
  </si>
  <si>
    <t/>
  </si>
  <si>
    <t>-55 to 150</t>
  </si>
  <si>
    <t>1.75 x 1.25</t>
  </si>
  <si>
    <t>ACTIVE</t>
  </si>
  <si>
    <t>3.3-V, 1.2-A, 6-MHz Mini Step-Down DC-DC Converter</t>
  </si>
  <si>
    <t>AC/DC &amp; DC/DC converters (integrated FET)</t>
  </si>
  <si>
    <t>Catalog</t>
  </si>
  <si>
    <t>Buck</t>
  </si>
  <si>
    <t>DSBGA</t>
  </si>
  <si>
    <t/>
  </si>
  <si>
    <t>-30 to 90</t>
  </si>
  <si>
    <t>1.4000000000000001 x 1</t>
  </si>
  <si>
    <t>ACTIVE</t>
  </si>
  <si>
    <t>Space-grade, 5-V to 35-V input, 400-mA, 1.5-V output with current limiter linear regulator</t>
  </si>
  <si>
    <t>AC/DC &amp; DC/DC controllers (external FET)</t>
  </si>
  <si>
    <t>Space</t>
  </si>
  <si>
    <t>DIESALE</t>
  </si>
  <si>
    <t/>
  </si>
  <si>
    <t>25 to 25</t>
  </si>
  <si>
    <t>See data sheet</t>
  </si>
  <si>
    <t>See data sheet</t>
  </si>
  <si>
    <t>—</t>
  </si>
  <si>
    <t>—</t>
  </si>
  <si>
    <t>ACTIVE</t>
  </si>
  <si>
    <t>Automotive 7-V to 26-V high side protection controller</t>
  </si>
  <si>
    <t>Hot-swap controllers</t>
  </si>
  <si>
    <t>Automotive</t>
  </si>
  <si>
    <t>SOIC</t>
  </si>
  <si>
    <t/>
  </si>
  <si>
    <t>-40 to 125</t>
  </si>
  <si>
    <t>4.9 x 6</t>
  </si>
  <si>
    <t>ACTIVE</t>
  </si>
  <si>
    <t>TPS61169 38-V high-current Boost WLED driver</t>
  </si>
  <si>
    <t>Backlight LED drivers</t>
  </si>
  <si>
    <t>Catalog</t>
  </si>
  <si>
    <t>Boost</t>
  </si>
  <si>
    <t>SOT-SC70</t>
  </si>
  <si>
    <t/>
  </si>
  <si>
    <t>-40 to 85</t>
  </si>
  <si>
    <t>2 x 2.1</t>
  </si>
  <si>
    <t>ACTIVE</t>
  </si>
  <si>
    <t>Automotive 1 channel high side current Sense Switching Mode LED driver</t>
  </si>
  <si>
    <t>Automotive LED drivers</t>
  </si>
  <si>
    <t>Automotive</t>
  </si>
  <si>
    <t>Boost Controller,Buck Controller,Buck-Boost Controller,Flyback Controller,SEPIC Controller</t>
  </si>
  <si>
    <t>HTSSOP</t>
  </si>
  <si>
    <t/>
  </si>
  <si>
    <t>-40 to 125</t>
  </si>
  <si>
    <t>6.5 x 6.4</t>
  </si>
  <si>
    <t>ACTIVE</t>
  </si>
  <si>
    <t>4.5 V to 18 V input, 4 A / 4 A / 2 A / 2 A synchronous quad converter with PMBus/I2C interface</t>
  </si>
  <si>
    <t>AC/DC &amp; DC/DC converters (integrated FET)</t>
  </si>
  <si>
    <t>Catalog</t>
  </si>
  <si>
    <t>Buck</t>
  </si>
  <si>
    <t>VQFN</t>
  </si>
  <si>
    <t/>
  </si>
  <si>
    <t>-40 to 85</t>
  </si>
  <si>
    <t>7 x 7</t>
  </si>
  <si>
    <t>ACTIVE</t>
  </si>
  <si>
    <t>12-V, N channel NexFET™ power MOSFET, dual LGA, 5.9 mOhm, gate ESD protection</t>
  </si>
  <si>
    <t>MOSFETs</t>
  </si>
  <si>
    <t>Catalog</t>
  </si>
  <si>
    <t>PICOSTAR</t>
  </si>
  <si>
    <t/>
  </si>
  <si>
    <t>-55 to 150</t>
  </si>
  <si>
    <t>2.16 x 1.11</t>
  </si>
  <si>
    <t>ACTIVE</t>
  </si>
  <si>
    <t>1.6-A, HIGH-EFFICIENCY MicroSiP™ STEP-DOWN CONVERTER Module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</si>
  <si>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</si>
  <si>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</si>
  <si>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</si>
  <si>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</si>
  <si>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</si>
  <si>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</si>
  <si>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</si>
  <si>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</si>
  <si>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</si>
  <si>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</si>
  <si>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</si>
  <si>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1.6-A, HIGH-EFFICIENCY MicroSiP™ STEP-DOWN CONVERTER Module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</si>
  <si>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</si>
  <si>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</si>
  <si>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</si>
  <si>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</si>
  <si>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</si>
  <si>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</si>
  <si>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</si>
  <si>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</si>
  <si>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</si>
  <si>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</si>
  <si>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</si>
  <si>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1.6-A, High-Efficency MicroSiP™ Step-Down Converter Module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</si>
  <si>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</si>
  <si>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</si>
  <si>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</si>
  <si>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</si>
  <si>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</si>
  <si>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</si>
  <si>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</si>
  <si>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</si>
  <si>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</si>
  <si>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</si>
  <si>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</si>
  <si>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48-channel, 16bit ES-PWM LED driver w/ pre-charge FET, LED open Detection and caterpillar cancelling</t>
  </si>
  <si>
    <t>LED display drivers</t>
  </si>
  <si>
    <t>Catalog</t>
  </si>
  <si>
    <t>VQFN</t>
  </si>
  <si>
    <t/>
  </si>
  <si>
    <t>-40 to 85</t>
  </si>
  <si>
    <t>8 x 8</t>
  </si>
  <si>
    <t>ACTIVE</t>
  </si>
  <si>
    <t>3V to 17V, 0.65A Step-Down DC/DC Power Module in 3.5mm × 3.5mm Package</t>
  </si>
  <si>
    <t>Power modules (integrated inductor)</t>
  </si>
  <si>
    <t>Catalog</t>
  </si>
  <si>
    <t>Buck,Synchronous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</si>
  <si>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</si>
  <si>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</si>
  <si>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</si>
  <si>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</si>
  <si>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</si>
  <si>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</si>
  <si>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</si>
  <si>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</si>
  <si>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3V to 17V, 1A Step-Down DC/DC Power Module in 3.5mm × 3.5mm Package</t>
  </si>
  <si>
    <t>Power modules (integrated inductor)</t>
  </si>
  <si>
    <t>Catalog</t>
  </si>
  <si>
    <t>Buck,Synchronous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</si>
  <si>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</si>
  <si>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</si>
  <si>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</si>
  <si>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</si>
  <si>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</si>
  <si>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</si>
  <si>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</si>
  <si>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</si>
  <si>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SIMPLE SWITCHER&amp;reg; 4V to 60V, 600mA Step-Down Regulator with Low Iq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</si>
  <si>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</si>
  <si>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</si>
  <si>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</si>
  <si>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</si>
  <si>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</si>
  <si>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</si>
  <si>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</si>
  <si>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</si>
  <si>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LM5160 wide input 65V, 2A synchronous buck/Fly-Buck™ converter</t>
  </si>
  <si>
    <t>AC/DC &amp; DC/DC converters (integrated FET)</t>
  </si>
  <si>
    <t>Catalog</t>
  </si>
  <si>
    <t>Buck,Flybuck</t>
  </si>
  <si>
    <t>WSON</t>
  </si>
  <si>
    <t/>
  </si>
  <si>
    <t>-40 to 125</t>
  </si>
  <si>
    <t>4 x 4</t>
  </si>
  <si>
    <t>ACTIVE</t>
  </si>
  <si>
    <t>Automotive 150-mA, low-IQ, low-dropout voltage regulator with enable</t>
  </si>
  <si>
    <t>Linear &amp; low-dropout (LDO) regulators</t>
  </si>
  <si>
    <t>Automotive</t>
  </si>
  <si>
    <t>DSBGA</t>
  </si>
  <si>
    <t/>
  </si>
  <si>
    <t>-40 to 125</t>
  </si>
  <si>
    <t>1.25 x 1.25</t>
  </si>
  <si>
    <t>ACTIVE</t>
  </si>
  <si>
    <t>4.5-V to 60-V, 600-mA buck converter in ultra-small SOT23 package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</si>
  <si>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</si>
  <si>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</si>
  <si>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</si>
  <si>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</si>
  <si>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</si>
  <si>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</si>
  <si>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</si>
  <si>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</si>
  <si>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600mA Fully Integrated, Low Noise Step-Down Converter Module in MicroSiP&amp;trade;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</si>
  <si>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</si>
  <si>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</si>
  <si>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</si>
  <si>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</si>
  <si>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</si>
  <si>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</si>
  <si>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</si>
  <si>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</si>
  <si>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LM3648 Synchronous Boost LED flash driver with 1.5-A high-side current source</t>
  </si>
  <si>
    <t>Illumination  LED drivers</t>
  </si>
  <si>
    <t>Catalog</t>
  </si>
  <si>
    <t>Boost,current mode</t>
  </si>
  <si>
    <t>DSBGA</t>
  </si>
  <si>
    <t/>
  </si>
  <si>
    <t>-40 to 85</t>
  </si>
  <si>
    <t>1.4000000000000001 x 1.8</t>
  </si>
  <si>
    <t>ACTIVE</t>
  </si>
  <si>
    <t>High power Flyback controller with PSR, peak power mode, and Frequency Dither</t>
  </si>
  <si>
    <t>AC/DC &amp; DC/DC controllers (external FET)</t>
  </si>
  <si>
    <t>Catalog</t>
  </si>
  <si>
    <t>Flyback</t>
  </si>
  <si>
    <t>SOIC</t>
  </si>
  <si>
    <t/>
  </si>
  <si>
    <t>-40 to 125</t>
  </si>
  <si>
    <t>4.9 x 6</t>
  </si>
  <si>
    <t>ACTIVE</t>
  </si>
  <si>
    <t>High power Flyback controller with PSR and peak power mode</t>
  </si>
  <si>
    <t>AC/DC &amp; DC/DC controllers (external FET)</t>
  </si>
  <si>
    <t>Catalog</t>
  </si>
  <si>
    <t>Flyback</t>
  </si>
  <si>
    <t>SOIC</t>
  </si>
  <si>
    <t/>
  </si>
  <si>
    <t>-40 to 125</t>
  </si>
  <si>
    <t>4.9 x 6</t>
  </si>
  <si>
    <t>ACTIVE</t>
  </si>
  <si>
    <t>High power Flyback controller with PSR, peak power mode, X-Cap discharge, Adj CC limit, freq dither</t>
  </si>
  <si>
    <t>AC/DC &amp; DC/DC controllers (external FET)</t>
  </si>
  <si>
    <t>Catalog</t>
  </si>
  <si>
    <t>Flyback</t>
  </si>
  <si>
    <t>SOIC</t>
  </si>
  <si>
    <t/>
  </si>
  <si>
    <t>-40 to 125</t>
  </si>
  <si>
    <t>4.9 x 6</t>
  </si>
  <si>
    <t>ACTIVE</t>
  </si>
  <si>
    <t>17 V Input, 3A Synchronous Step-Down Regulator in SOT-23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</si>
  <si>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</si>
  <si>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</si>
  <si>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</si>
  <si>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</si>
  <si>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</si>
  <si>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</si>
  <si>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</si>
  <si>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</si>
  <si>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300-mA, capacitor-free, low-IQ, low-dropout voltage regulator with enable</t>
  </si>
  <si>
    <t>Linear &amp; low-dropout (LDO) regulators</t>
  </si>
  <si>
    <t>Catalog</t>
  </si>
  <si>
    <t>SOT-23,X2SON</t>
  </si>
  <si>
    <t/>
  </si>
  <si>
    <t>-40 to 125</t>
  </si>
  <si>
    <t>4,5</t>
  </si>
  <si>
    <t>1,8.12</t>
  </si>
  <si>
    <t>1 x 1,2.9 x 2.8</t>
  </si>
  <si>
    <t>0.4,1.45</t>
  </si>
  <si>
    <t>0.65,0.95</t>
  </si>
  <si>
    <t>ACTIVE</t>
  </si>
  <si>
    <t>Constant-voltage, constant-current PWM with PSR, valley switching, NTC option, and 150mV cable comp.</t>
  </si>
  <si>
    <t>AC/DC &amp; DC/DC controllers (external FET)</t>
  </si>
  <si>
    <t>Catalog</t>
  </si>
  <si>
    <t>Buck,Flyback</t>
  </si>
  <si>
    <t>SOIC</t>
  </si>
  <si>
    <t/>
  </si>
  <si>
    <t>-40 to 125</t>
  </si>
  <si>
    <t>4.9 x 6</t>
  </si>
  <si>
    <t>ACTIVE</t>
  </si>
  <si>
    <t>30-V, N channel NexFET™ power MOSFET, single SON 3 mm x 3 mm, 9.4 mOhm</t>
  </si>
  <si>
    <t>MOSFETs</t>
  </si>
  <si>
    <t>Catalog</t>
  </si>
  <si>
    <t>VSONP</t>
  </si>
  <si>
    <t/>
  </si>
  <si>
    <t>-55 to 150</t>
  </si>
  <si>
    <t>3.3 x 3.3</t>
  </si>
  <si>
    <t>ACTIVE</t>
  </si>
  <si>
    <t>30-V, N channel NexFET™ power MOSFET, single SON 3 mm x 3 mm, 14.2 mOhm</t>
  </si>
  <si>
    <t>MOSFETs</t>
  </si>
  <si>
    <t>Catalog</t>
  </si>
  <si>
    <t>VSONP</t>
  </si>
  <si>
    <t/>
  </si>
  <si>
    <t>-55 to 150</t>
  </si>
  <si>
    <t>3.3 x 3.3</t>
  </si>
  <si>
    <t>ACTIVE</t>
  </si>
  <si>
    <t>Power Management IC (PMIC) with flash LED driver and ref clock generation for compact camera module</t>
  </si>
  <si>
    <t>Multi-channel ICs (PMICs)</t>
  </si>
  <si>
    <t>Catalog</t>
  </si>
  <si>
    <t>DSBGA</t>
  </si>
  <si>
    <t/>
  </si>
  <si>
    <t>0 to 85</t>
  </si>
  <si>
    <t>3 x 3.5999999999999996</t>
  </si>
  <si>
    <t>ACTIVE</t>
  </si>
  <si>
    <t>Automotive, 250-mA, low-noise, high-PSRR, ultra-low-dropout voltage regulator with low IQ and enable</t>
  </si>
  <si>
    <t>Linear &amp; low-dropout (LDO) regulators</t>
  </si>
  <si>
    <t>Automotive</t>
  </si>
  <si>
    <t>SOT-23,X2SON</t>
  </si>
  <si>
    <t>Functional Safety-Capable</t>
  </si>
  <si>
    <t>-40 to 125</t>
  </si>
  <si>
    <t>4,5</t>
  </si>
  <si>
    <t>1,8.12</t>
  </si>
  <si>
    <t>1 x 1,2.9 x 2.8</t>
  </si>
  <si>
    <t>0.4,1.45</t>
  </si>
  <si>
    <t>0.65,0.95</t>
  </si>
  <si>
    <t>ACTIVE</t>
  </si>
  <si>
    <t>2.5-V Vref, dual-output Vref &amp; Vref/2 voltage reference</t>
  </si>
  <si>
    <t>Series voltage references</t>
  </si>
  <si>
    <t>Catalog</t>
  </si>
  <si>
    <t>SOT-23-THN</t>
  </si>
  <si>
    <t/>
  </si>
  <si>
    <t>-40 to 125</t>
  </si>
  <si>
    <t>2.9 x 2.8</t>
  </si>
  <si>
    <t>ACTIVE</t>
  </si>
  <si>
    <t>3-V Vref, dual-output Vref &amp; Vref/2 voltage reference</t>
  </si>
  <si>
    <t>Series voltage references</t>
  </si>
  <si>
    <t>Catalog</t>
  </si>
  <si>
    <t>SOT-23-THN</t>
  </si>
  <si>
    <t/>
  </si>
  <si>
    <t>-40 to 125</t>
  </si>
  <si>
    <t>2.9 x 2.8</t>
  </si>
  <si>
    <t>ACTIVE</t>
  </si>
  <si>
    <t>3.3-V Vref, dual-output Vref &amp; Vref/2 voltage reference</t>
  </si>
  <si>
    <t>Series voltage references</t>
  </si>
  <si>
    <t>Catalog</t>
  </si>
  <si>
    <t>SOT-23-THN</t>
  </si>
  <si>
    <t/>
  </si>
  <si>
    <t>-40 to 125</t>
  </si>
  <si>
    <t>2.9 x 2.8</t>
  </si>
  <si>
    <t>ACTIVE</t>
  </si>
  <si>
    <t>4.1-V Vref, dual-output Vref &amp; Vref/2 voltage reference</t>
  </si>
  <si>
    <t>Series voltage references</t>
  </si>
  <si>
    <t>Catalog</t>
  </si>
  <si>
    <t>SOT-23-THN</t>
  </si>
  <si>
    <t/>
  </si>
  <si>
    <t>-40 to 125</t>
  </si>
  <si>
    <t>2.9 x 2.8</t>
  </si>
  <si>
    <t>ACTIVE</t>
  </si>
  <si>
    <t>2-Phase, D-CAP+™ step-down controller for VR12.1 VCPU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</si>
  <si>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</si>
  <si>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</si>
  <si>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</si>
  <si>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</si>
  <si>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</si>
  <si>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</si>
  <si>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</si>
  <si>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</si>
  <si>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3-Phase, D-CAP+™ step-down controller for VR12.6/VR12.6+ VCPU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</si>
  <si>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</si>
  <si>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</si>
  <si>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</si>
  <si>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</si>
  <si>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</si>
  <si>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</si>
  <si>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</si>
  <si>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</si>
  <si>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4-ch, 3.6-V, 1-A, 41-mΩ load switch with I2C control</t>
  </si>
  <si>
    <t>Load switches</t>
  </si>
  <si>
    <t>Catalog</t>
  </si>
  <si>
    <t>WQFN</t>
  </si>
  <si>
    <t/>
  </si>
  <si>
    <t>-40 to 85</t>
  </si>
  <si>
    <t>3 x 3</t>
  </si>
  <si>
    <t>ACTIVE</t>
  </si>
  <si>
    <t>Low Iq Boost Converter with 15nA Bypass Operation</t>
  </si>
  <si>
    <t>AC/DC &amp; DC/DC converters (integrated FET)</t>
  </si>
  <si>
    <t>Catalog</t>
  </si>
  <si>
    <t>Boost</t>
  </si>
  <si>
    <t>WSON</t>
  </si>
  <si>
    <t/>
  </si>
  <si>
    <t>-40 to 125</t>
  </si>
  <si>
    <t>2 x 2</t>
  </si>
  <si>
    <t>ACTIVE</t>
  </si>
  <si>
    <t>high-brightness LED matrix manager for automotive headlight systems</t>
  </si>
  <si>
    <t>Automotive LED drivers</t>
  </si>
  <si>
    <t>Automotive</t>
  </si>
  <si>
    <t>Floating Switch</t>
  </si>
  <si>
    <t>HTQFP</t>
  </si>
  <si>
    <t/>
  </si>
  <si>
    <t>-40 to 125</t>
  </si>
  <si>
    <t>9 x 9</t>
  </si>
  <si>
    <t>ACTIVE</t>
  </si>
  <si>
    <t>17 V Input, 3A Synchronous Step-Down Regulator in SOT-23 with Advanced Eco-mode&amp;trade;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</si>
  <si>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</si>
  <si>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</si>
  <si>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</si>
  <si>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</si>
  <si>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</si>
  <si>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</si>
  <si>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</si>
  <si>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</si>
  <si>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4.5 V to 18 V input, 3.5 A / 2.5 A, synchronous dual buck converter in Eco-mode</t>
  </si>
  <si>
    <t>AC/DC &amp; DC/DC converters (integrated FET)</t>
  </si>
  <si>
    <t>Catalog</t>
  </si>
  <si>
    <t>Buck</t>
  </si>
  <si>
    <t>VQFN</t>
  </si>
  <si>
    <t/>
  </si>
  <si>
    <t>-40 to 85</t>
  </si>
  <si>
    <t>4 x 4</t>
  </si>
  <si>
    <t>ACTIVE</t>
  </si>
  <si>
    <t>3-2-1 Phase D-CAP+ Step-Down Driverless Controller with I2C control</t>
  </si>
  <si>
    <t>AC/DC &amp; DC/DC controllers (external FET)</t>
  </si>
  <si>
    <t>Catalog</t>
  </si>
  <si>
    <t>Multiphase</t>
  </si>
  <si>
    <t>VQFN</t>
  </si>
  <si>
    <t/>
  </si>
  <si>
    <t>-10 to 105</t>
  </si>
  <si>
    <t>4 x 4</t>
  </si>
  <si>
    <t>ACTIVE</t>
  </si>
  <si>
    <t>Automotive 4.5V to 60V Input 5A Step-Down DC-DC Converter With Soft-Start and Eco-mode&amp;trade;</t>
  </si>
  <si>
    <t>AC/DC &amp; DC/DC converters (integrated FET)</t>
  </si>
  <si>
    <t>Automotive</t>
  </si>
  <si>
    <t>Buck</t>
  </si>
  <si>
    <t>WSON</t>
  </si>
  <si>
    <t/>
  </si>
  <si>
    <t>-40 to 125</t>
  </si>
  <si>
    <t>4 x 4</t>
  </si>
  <si>
    <t>ACTIVE</t>
  </si>
  <si>
    <t>4.5 V to 18 V input, 3.5 A / 2.5 A, synchronous dual buck converter in FCCM mode</t>
  </si>
  <si>
    <t>AC/DC &amp; DC/DC converters (integrated FET)</t>
  </si>
  <si>
    <t>Catalog</t>
  </si>
  <si>
    <t>Buck</t>
  </si>
  <si>
    <t>VQFN</t>
  </si>
  <si>
    <t/>
  </si>
  <si>
    <t>-40 to 125</t>
  </si>
  <si>
    <t>4 x 4</t>
  </si>
  <si>
    <t>ACTIVE</t>
  </si>
  <si>
    <t>Integrated WLED backlight driver and Bias power for LCD panels</t>
  </si>
  <si>
    <t>Backlight LED drivers</t>
  </si>
  <si>
    <t>Catalog</t>
  </si>
  <si>
    <t>Boost,Current Sink,LDO,Multi-Channel</t>
  </si>
  <si>
    <t>DSBGA</t>
  </si>
  <si>
    <t/>
  </si>
  <si>
    <t>-40 to 85</t>
  </si>
  <si>
    <t>1.8 x 2.5999999999999996</t>
  </si>
  <si>
    <t>ACTIVE</t>
  </si>
  <si>
    <t>10-V to 80-V hot swap controller with improved current, voltage and power monitoring accuracy</t>
  </si>
  <si>
    <t>Hot-swap controllers</t>
  </si>
  <si>
    <t>Catalog</t>
  </si>
  <si>
    <t>HTSSOP</t>
  </si>
  <si>
    <t/>
  </si>
  <si>
    <t>-40 to 125</t>
  </si>
  <si>
    <t>9.7 x 6.4</t>
  </si>
  <si>
    <t>ACTIVE</t>
  </si>
  <si>
    <t>Highly-Integrated Digital Controller for Isolated Power</t>
  </si>
  <si>
    <t>AC/DC &amp; DC/DC controllers (external FET)</t>
  </si>
  <si>
    <t>Catalog</t>
  </si>
  <si>
    <t>TQFP</t>
  </si>
  <si>
    <t/>
  </si>
  <si>
    <t>-40 to 125</t>
  </si>
  <si>
    <t>14 x 14</t>
  </si>
  <si>
    <t>ACTIVE</t>
  </si>
  <si>
    <t>4-V to 15-V, 6-A synchronous buck converter with power good, 1% accuracy, and adjustable soft start</t>
  </si>
  <si>
    <t>AC/DC &amp; DC/DC converters (integrated FET)</t>
  </si>
  <si>
    <t>Catalog</t>
  </si>
  <si>
    <t>Buck</t>
  </si>
  <si>
    <t>DSBGA</t>
  </si>
  <si>
    <t/>
  </si>
  <si>
    <t>-40 to 125</t>
  </si>
  <si>
    <t>3.25 x 2.25</t>
  </si>
  <si>
    <t>ACTIVE</t>
  </si>
  <si>
    <t>4-V to 15-V, 6-A ultra-small 2-phase synchronous buck converter</t>
  </si>
  <si>
    <t>AC/DC &amp; DC/DC converters (integrated FET)</t>
  </si>
  <si>
    <t>Catalog</t>
  </si>
  <si>
    <t>Buck</t>
  </si>
  <si>
    <t>DSBGA</t>
  </si>
  <si>
    <t/>
  </si>
  <si>
    <t>-40 to 125</t>
  </si>
  <si>
    <t>3.25 x 2.25</t>
  </si>
  <si>
    <t>ACTIVE</t>
  </si>
  <si>
    <t>Automotive 500-mA, low-noise, low-IQ, low-dropout voltage regulator with enable</t>
  </si>
  <si>
    <t>Linear &amp; low-dropout (LDO) regulators</t>
  </si>
  <si>
    <t>Automotive</t>
  </si>
  <si>
    <t>VSON</t>
  </si>
  <si>
    <t/>
  </si>
  <si>
    <t>-40 to 125</t>
  </si>
  <si>
    <t>3 x 3</t>
  </si>
  <si>
    <t>ACTIVE</t>
  </si>
  <si>
    <t>Automotive 4-A/8-A single-channel gate driver with 5-V UVLO and split outputs</t>
  </si>
  <si>
    <t>Low-side drivers</t>
  </si>
  <si>
    <t>Automotive</t>
  </si>
  <si>
    <t>SOT-23</t>
  </si>
  <si>
    <t>Functional Safety-Capable</t>
  </si>
  <si>
    <t>-40 to 125</t>
  </si>
  <si>
    <t>2.9 x 2.8</t>
  </si>
  <si>
    <t>ACTIVE</t>
  </si>
  <si>
    <t>Dual LED flash driver Capable of up to 1.5A</t>
  </si>
  <si>
    <t>Illumination  LED drivers</t>
  </si>
  <si>
    <t>Catalog</t>
  </si>
  <si>
    <t>Boost,current mode</t>
  </si>
  <si>
    <t>DSBGA</t>
  </si>
  <si>
    <t/>
  </si>
  <si>
    <t>-40 to 85</t>
  </si>
  <si>
    <t>1.4000000000000001 x 1.8</t>
  </si>
  <si>
    <t>ACTIVE</t>
  </si>
  <si>
    <t>Dual 1.5A current source Camera flash LED driver</t>
  </si>
  <si>
    <t>Illumination  LED drivers</t>
  </si>
  <si>
    <t>Catalog</t>
  </si>
  <si>
    <t>Boost,current mode</t>
  </si>
  <si>
    <t>DSBGA</t>
  </si>
  <si>
    <t/>
  </si>
  <si>
    <t>-40 to 85</t>
  </si>
  <si>
    <t>1.4000000000000001 x 1.8</t>
  </si>
  <si>
    <t>ACTIVE</t>
  </si>
  <si>
    <t>-12-V, P channel NexFET™ power MOSFET, single WLP 1 mm x 1 mm, 53 mOhm, gate ESD protection</t>
  </si>
  <si>
    <t>MOSFETs</t>
  </si>
  <si>
    <t>Catalog</t>
  </si>
  <si>
    <t>DSBGA</t>
  </si>
  <si>
    <t/>
  </si>
  <si>
    <t>-55 to 150</t>
  </si>
  <si>
    <t>1.25 x 1.25</t>
  </si>
  <si>
    <t>ACTIVE</t>
  </si>
  <si>
    <t>4.5-V to 18-V, 90mΩ, 0.4-1.6A eFuse with auto retry fault response</t>
  </si>
  <si>
    <t>eFuses (integrated hot swaps)</t>
  </si>
  <si>
    <t>Catalog</t>
  </si>
  <si>
    <t>SOIC</t>
  </si>
  <si>
    <t/>
  </si>
  <si>
    <t>-40 to 85</t>
  </si>
  <si>
    <t>4.9 x 6</t>
  </si>
  <si>
    <t>ACTIVE</t>
  </si>
  <si>
    <t>4.5-V to 18-V, 90mΩ, 0.4-1.6A eFuse with latch off fault response</t>
  </si>
  <si>
    <t>eFuses (integrated hot swaps)</t>
  </si>
  <si>
    <t>Catalog</t>
  </si>
  <si>
    <t>SOIC</t>
  </si>
  <si>
    <t/>
  </si>
  <si>
    <t>-40 to 85</t>
  </si>
  <si>
    <t>4.9 x 6</t>
  </si>
  <si>
    <t>ACTIVE</t>
  </si>
  <si>
    <t>25-V, N channel NexFET™ power MOSFET, single SON 5 mm x 6 mm, 0.82 mOhm</t>
  </si>
  <si>
    <t>MOSFETs</t>
  </si>
  <si>
    <t>Catalog</t>
  </si>
  <si>
    <t>VSON-CLIP</t>
  </si>
  <si>
    <t/>
  </si>
  <si>
    <t>-55 to 150</t>
  </si>
  <si>
    <t>6 x 5</t>
  </si>
  <si>
    <t>ACTIVE</t>
  </si>
  <si>
    <t>4.5V to 18V Input, 3A/1A/1A Triple Synchronous Step-Down Converter with 350mA/150mA Dual LDOs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</si>
  <si>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</si>
  <si>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</si>
  <si>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</si>
  <si>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</si>
  <si>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</si>
  <si>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</si>
  <si>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</si>
  <si>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</si>
  <si>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3.5V to 36V, 500mA Synchronous Step-Down Voltage Converter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</si>
  <si>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</si>
  <si>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</si>
  <si>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</si>
  <si>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</si>
  <si>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</si>
  <si>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</si>
  <si>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</si>
  <si>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</si>
  <si>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3.5V to 36V, 1A Synchronous Step-Down Voltage Converter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</si>
  <si>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</si>
  <si>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</si>
  <si>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</si>
  <si>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</si>
  <si>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</si>
  <si>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</si>
  <si>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</si>
  <si>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</si>
  <si>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30-V, N channel NexFET™ power MOSFET, single SON 3 mm x 3 mm, 6.4 mOhm</t>
  </si>
  <si>
    <t>MOSFETs</t>
  </si>
  <si>
    <t>Catalog</t>
  </si>
  <si>
    <t>VSONP</t>
  </si>
  <si>
    <t/>
  </si>
  <si>
    <t>-55 to 150</t>
  </si>
  <si>
    <t>3.3 x 3.3</t>
  </si>
  <si>
    <t>ACTIVE</t>
  </si>
  <si>
    <t>30-V, N channel NexFET™ power MOSFET, single SON 5 mm x 6 mm, 5.8 mOhm</t>
  </si>
  <si>
    <t>MOSFETs</t>
  </si>
  <si>
    <t>Catalog</t>
  </si>
  <si>
    <t>VSONP</t>
  </si>
  <si>
    <t/>
  </si>
  <si>
    <t>-55 to 150</t>
  </si>
  <si>
    <t>4.9 x 6</t>
  </si>
  <si>
    <t>ACTIVE</t>
  </si>
  <si>
    <t>380-nA voltage monitor for 12-V rails</t>
  </si>
  <si>
    <t>Supply-voltage supervisors</t>
  </si>
  <si>
    <t>Catalog</t>
  </si>
  <si>
    <t>SOT-23</t>
  </si>
  <si>
    <t/>
  </si>
  <si>
    <t>-40 to 105</t>
  </si>
  <si>
    <t>2.9 x 2.8</t>
  </si>
  <si>
    <t>ACTIVE</t>
  </si>
  <si>
    <t>Synchronous Buck NexFET Power Stage, CSD95379Q3M</t>
  </si>
  <si>
    <t>Si power stages</t>
  </si>
  <si>
    <t>Catalog</t>
  </si>
  <si>
    <t>VSON-CLIP</t>
  </si>
  <si>
    <t/>
  </si>
  <si>
    <t>-40 to 150</t>
  </si>
  <si>
    <t>3.3 x 3.3</t>
  </si>
  <si>
    <t>ACTIVE</t>
  </si>
  <si>
    <t>-20-V, P channel NexFET™ power MOSFET, dual Common Source WLP 1 mm x 1.5 mm, 108 mOhm, gate ESD prot</t>
  </si>
  <si>
    <t>MOSFETs</t>
  </si>
  <si>
    <t>Catalog</t>
  </si>
  <si>
    <t>DSBGA</t>
  </si>
  <si>
    <t/>
  </si>
  <si>
    <t>-55 to 150</t>
  </si>
  <si>
    <t>1.75 x 1.25</t>
  </si>
  <si>
    <t>ACTIVE</t>
  </si>
  <si>
    <t>Automotive 4-A, 28-V half bridge gate driver for synchronous buck high frequency CPU</t>
  </si>
  <si>
    <t>AC/DC &amp; DC/DC controllers (external FET)</t>
  </si>
  <si>
    <t>Automotive</t>
  </si>
  <si>
    <t>WSON</t>
  </si>
  <si>
    <t/>
  </si>
  <si>
    <t>-40 to 125</t>
  </si>
  <si>
    <t>2 x 2</t>
  </si>
  <si>
    <t>ACTIVE</t>
  </si>
  <si>
    <t>NVIDIA Tegra 2.5V to 24V, 3/2/1-phase step-down controller for automotive applications</t>
  </si>
  <si>
    <t>AC/DC &amp; DC/DC controllers (external FET)</t>
  </si>
  <si>
    <t>Automotive</t>
  </si>
  <si>
    <t>Multiphase</t>
  </si>
  <si>
    <t>VQFN</t>
  </si>
  <si>
    <t/>
  </si>
  <si>
    <t>-40 to 125</t>
  </si>
  <si>
    <t>4 x 4</t>
  </si>
  <si>
    <t>ACTIVE</t>
  </si>
  <si>
    <t>17-V Input, Step-down Converter With Low Power Mode Input for Intel SkyLake Platform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</si>
  <si>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</si>
  <si>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</si>
  <si>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</si>
  <si>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</si>
  <si>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</si>
  <si>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</si>
  <si>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</si>
  <si>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</si>
  <si>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3V-5.5V input, 360-nA Iq step-down converter with 400mA and integrated load switch</t>
  </si>
  <si>
    <t>AC/DC &amp; DC/DC converters (integrated FET)</t>
  </si>
  <si>
    <t>Catalog</t>
  </si>
  <si>
    <t>Buck</t>
  </si>
  <si>
    <t>WSON</t>
  </si>
  <si>
    <t/>
  </si>
  <si>
    <t>-40 to 85</t>
  </si>
  <si>
    <t>3 x 2</t>
  </si>
  <si>
    <t>ACTIVE</t>
  </si>
  <si>
    <t>4.1-V Vref, low-drift, low-power, dual-output Vref &amp; Vref/2 voltage reference</t>
  </si>
  <si>
    <t>Series voltage references</t>
  </si>
  <si>
    <t>Catalog</t>
  </si>
  <si>
    <t>SOT-23-THN</t>
  </si>
  <si>
    <t/>
  </si>
  <si>
    <t>-40 to 125</t>
  </si>
  <si>
    <t>2.9 x 2.8</t>
  </si>
  <si>
    <t>ACTIVE</t>
  </si>
  <si>
    <t>45A Synchronous Buck NexFET&amp;trade; Smart Power Stage</t>
  </si>
  <si>
    <t>Si power stages</t>
  </si>
  <si>
    <t>Catalog</t>
  </si>
  <si>
    <t>LSON-CLIP</t>
  </si>
  <si>
    <t/>
  </si>
  <si>
    <t>-55 to 150</t>
  </si>
  <si>
    <t>6 x 5</t>
  </si>
  <si>
    <t>ACTIVE</t>
  </si>
  <si>
    <t>3-V Vref, low-drift, low-power, dual-output Vref &amp; Vref/2 voltage reference</t>
  </si>
  <si>
    <t>Series voltage references</t>
  </si>
  <si>
    <t>Catalog</t>
  </si>
  <si>
    <t>SOT-23-THN</t>
  </si>
  <si>
    <t/>
  </si>
  <si>
    <t>-40 to 125</t>
  </si>
  <si>
    <t>2.9 x 2.8</t>
  </si>
  <si>
    <t>ACTIVE</t>
  </si>
  <si>
    <t>3.3-V Vref, low-drift, low-power, dual-output Vref &amp; Vref/2 voltage reference</t>
  </si>
  <si>
    <t>Series voltage references</t>
  </si>
  <si>
    <t>Catalog</t>
  </si>
  <si>
    <t>SOT-23-THN</t>
  </si>
  <si>
    <t/>
  </si>
  <si>
    <t>-40 to 125</t>
  </si>
  <si>
    <t>2.9 x 2.8</t>
  </si>
  <si>
    <t>ACTIVE</t>
  </si>
  <si>
    <t>2.95V to 6V Input, 3.5-A Output, 2MHz, Synchronous Step Down Switcher</t>
  </si>
  <si>
    <t>AC/DC &amp; DC/DC converters (integrated FET)</t>
  </si>
  <si>
    <t>HiRel Enhanced Product</t>
  </si>
  <si>
    <t>Buck,Step-Down Converter,Synchronous Buck</t>
  </si>
  <si>
    <t>WQFN</t>
  </si>
  <si>
    <t/>
  </si>
  <si>
    <t>-55 to 125</t>
  </si>
  <si>
    <t>3 x 3</t>
  </si>
  <si>
    <t>ACTIVE</t>
  </si>
  <si>
    <t>-20-V, P channel NexFET™ power MOSFET single WLP 1 mm x 1.5 mm, 32.5 mOhm</t>
  </si>
  <si>
    <t>MOSFETs</t>
  </si>
  <si>
    <t>Catalog</t>
  </si>
  <si>
    <t>DSBGA</t>
  </si>
  <si>
    <t/>
  </si>
  <si>
    <t>-55 to 150</t>
  </si>
  <si>
    <t>1.75 x 1.25</t>
  </si>
  <si>
    <t>ACTIVE</t>
  </si>
  <si>
    <t>3.5 - 60V, 500mA Synchronous Step-Down Voltage Converter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</si>
  <si>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</si>
  <si>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</si>
  <si>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</si>
  <si>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</si>
  <si>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</si>
  <si>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</si>
  <si>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</si>
  <si>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</si>
  <si>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3.5 to 60V, 1A Synchronous Step-Down Voltage Converter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</si>
  <si>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</si>
  <si>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</si>
  <si>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</si>
  <si>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</si>
  <si>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</si>
  <si>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</si>
  <si>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</si>
  <si>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</si>
  <si>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4.5V to 18V Input Voltage, 3A/2A/2A Output Current Step-Down Converter with I2C controlled DVS.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</si>
  <si>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</si>
  <si>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</si>
  <si>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</si>
  <si>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</si>
  <si>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</si>
  <si>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</si>
  <si>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</si>
  <si>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</si>
  <si>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5.5-V, 2-A, 37-mΩ load switch</t>
  </si>
  <si>
    <t>Load switches</t>
  </si>
  <si>
    <t>Catalog</t>
  </si>
  <si>
    <t>DSBGA</t>
  </si>
  <si>
    <t/>
  </si>
  <si>
    <t>-40 to 105</t>
  </si>
  <si>
    <t>1 x 1</t>
  </si>
  <si>
    <t>ACTIVE</t>
  </si>
  <si>
    <t>TPS54060-EP- 0.5-A, 60V Step Down DC/DC Converter with Eco-Mode</t>
  </si>
  <si>
    <t>AC/DC &amp; DC/DC converters (integrated FET)</t>
  </si>
  <si>
    <t>HiRel Enhanced Product</t>
  </si>
  <si>
    <t>Buck</t>
  </si>
  <si>
    <t>HVSSOP</t>
  </si>
  <si>
    <t/>
  </si>
  <si>
    <t>-55 to 125</t>
  </si>
  <si>
    <t>3 x 4.9</t>
  </si>
  <si>
    <t>ACTIVE</t>
  </si>
  <si>
    <t>Enhanced integrated, 5-A, 40-V wide input range boost/SEPIC/flyback DC/DC regulator</t>
  </si>
  <si>
    <t>AC/DC &amp; DC/DC converters (integrated FET)</t>
  </si>
  <si>
    <t>HiRel Enhanced Product</t>
  </si>
  <si>
    <t>Boost,Flyback,SEPIC</t>
  </si>
  <si>
    <t>WQFN</t>
  </si>
  <si>
    <t/>
  </si>
  <si>
    <t>-55 to 150</t>
  </si>
  <si>
    <t>3 x 3</t>
  </si>
  <si>
    <t>ACTIVE</t>
  </si>
  <si>
    <t>2.7-V to 18-V, 42mΩ, 0.6-5.2A eFuse with reverse current blocking and DevSleep support</t>
  </si>
  <si>
    <t>eFuses (integrated hot swaps)</t>
  </si>
  <si>
    <t>Catalog</t>
  </si>
  <si>
    <t>WQFN</t>
  </si>
  <si>
    <t/>
  </si>
  <si>
    <t>-40 to 85</t>
  </si>
  <si>
    <t>4 x 3</t>
  </si>
  <si>
    <t>ACTIVE</t>
  </si>
  <si>
    <t>2.7-V to 18-V, 42mΩ, 0.6-5.2A eFuse with reverse current blocking, IMON and PG</t>
  </si>
  <si>
    <t>eFuses (integrated hot swaps)</t>
  </si>
  <si>
    <t>Catalog</t>
  </si>
  <si>
    <t>WQFN</t>
  </si>
  <si>
    <t/>
  </si>
  <si>
    <t>-40 to 125</t>
  </si>
  <si>
    <t>4 x 3</t>
  </si>
  <si>
    <t>ACTIVE</t>
  </si>
  <si>
    <t>2.7-V to 18-V, 42mΩ, 0.6-5.2A eFuse with reverse current blocking with latch off fault response</t>
  </si>
  <si>
    <t>eFuses (integrated hot swaps)</t>
  </si>
  <si>
    <t>Catalog</t>
  </si>
  <si>
    <t>WQFN</t>
  </si>
  <si>
    <t/>
  </si>
  <si>
    <t>-40 to 125</t>
  </si>
  <si>
    <t>4 x 3</t>
  </si>
  <si>
    <t>ACTIVE</t>
  </si>
  <si>
    <t>Highly-Integrated Digital Controller for Isolated Power</t>
  </si>
  <si>
    <t>AC/DC &amp; DC/DC controllers (external FET)</t>
  </si>
  <si>
    <t>Catalog</t>
  </si>
  <si>
    <t>TQFP</t>
  </si>
  <si>
    <t/>
  </si>
  <si>
    <t>-40 to 125</t>
  </si>
  <si>
    <t>14 x 14</t>
  </si>
  <si>
    <t>ACTIVE</t>
  </si>
  <si>
    <t>60A Synchronous Buck NexFET&amp;trade; Smart Power Stage with TAO offset and DualCool&amp;trade; package</t>
  </si>
  <si>
    <t>Si power stages</t>
  </si>
  <si>
    <t>Catalog</t>
  </si>
  <si>
    <t>VSON-CLIP</t>
  </si>
  <si>
    <t/>
  </si>
  <si>
    <t>-55 to 150</t>
  </si>
  <si>
    <t>6 x 5</t>
  </si>
  <si>
    <t>ACTIVE</t>
  </si>
  <si>
    <t>1.5A DDR termination regulator with shutdown pin for DDR2/3/3L</t>
  </si>
  <si>
    <t>Multi-channel ICs (PMICs),DDR memory power ICs</t>
  </si>
  <si>
    <t>Catalog</t>
  </si>
  <si>
    <t>HSOIC</t>
  </si>
  <si>
    <t/>
  </si>
  <si>
    <t>0 to 125</t>
  </si>
  <si>
    <t>4.9 x 6</t>
  </si>
  <si>
    <t>ACTIVE</t>
  </si>
  <si>
    <t>5.5-V, 2-A, 39-mΩ load switch with output discharge</t>
  </si>
  <si>
    <t>Load switches</t>
  </si>
  <si>
    <t>Catalog</t>
  </si>
  <si>
    <t>DSBGA</t>
  </si>
  <si>
    <t/>
  </si>
  <si>
    <t>-40 to 105</t>
  </si>
  <si>
    <t>1 x 1</t>
  </si>
  <si>
    <t>ACTIVE</t>
  </si>
  <si>
    <t>3-Phase, D-CAP+TM Step-Down VR12.x Server CPU Vcore</t>
  </si>
  <si>
    <t>AC/DC &amp; DC/DC controllers (external FET)</t>
  </si>
  <si>
    <t>Catalog</t>
  </si>
  <si>
    <t>Multiphase</t>
  </si>
  <si>
    <t>WQFN</t>
  </si>
  <si>
    <t/>
  </si>
  <si>
    <t>-10 to 105</t>
  </si>
  <si>
    <t>5 x 5</t>
  </si>
  <si>
    <t>ACTIVE</t>
  </si>
  <si>
    <t>4-Phase, D-CAP+TM Step-Down VR12.x Server CPU VCORE</t>
  </si>
  <si>
    <t>AC/DC &amp; DC/DC controllers (external FET)</t>
  </si>
  <si>
    <t>Catalog</t>
  </si>
  <si>
    <t>Multiphase</t>
  </si>
  <si>
    <t>WQFN</t>
  </si>
  <si>
    <t/>
  </si>
  <si>
    <t>-10 to 105</t>
  </si>
  <si>
    <t>5 x 5</t>
  </si>
  <si>
    <t>ACTIVE</t>
  </si>
  <si>
    <t>6-Phase, D-CAP+&amp;trade; Step-Down VR12.x Server CPU VCORE</t>
  </si>
  <si>
    <t>AC/DC &amp; DC/DC controllers (external FET)</t>
  </si>
  <si>
    <t>Catalog</t>
  </si>
  <si>
    <t>Multiphase</t>
  </si>
  <si>
    <t>WQFN</t>
  </si>
  <si>
    <t/>
  </si>
  <si>
    <t>-10 to 105</t>
  </si>
  <si>
    <t>5 x 5</t>
  </si>
  <si>
    <t>ACTIVE</t>
  </si>
  <si>
    <t>3-Phase, D-CAP+&amp;trade; Step-Down Controller with PMBus Interface for VR12/VR12.5</t>
  </si>
  <si>
    <t>AC/DC &amp; DC/DC controllers (external FET)</t>
  </si>
  <si>
    <t>Catalog</t>
  </si>
  <si>
    <t>Multiphase</t>
  </si>
  <si>
    <t>WQFN</t>
  </si>
  <si>
    <t/>
  </si>
  <si>
    <t>-10 to 105</t>
  </si>
  <si>
    <t>5 x 5</t>
  </si>
  <si>
    <t>ACTIVE</t>
  </si>
  <si>
    <t>4-Phase, D-CAP+&amp;trade; Step-Down Controller with PMBus</t>
  </si>
  <si>
    <t>AC/DC &amp; DC/DC controllers (external FET)</t>
  </si>
  <si>
    <t>Catalog</t>
  </si>
  <si>
    <t>Multiphase</t>
  </si>
  <si>
    <t>WQFN</t>
  </si>
  <si>
    <t/>
  </si>
  <si>
    <t>-10 to 105</t>
  </si>
  <si>
    <t>5 x 5</t>
  </si>
  <si>
    <t>ACTIVE</t>
  </si>
  <si>
    <t>40-V, N channel NexFET™ power MOSFET, single SON 5 mm x 6 mm, 1.2 mOhm</t>
  </si>
  <si>
    <t>MOSFETs</t>
  </si>
  <si>
    <t>Catalog</t>
  </si>
  <si>
    <t>VSON-CLIP</t>
  </si>
  <si>
    <t/>
  </si>
  <si>
    <t>-55 to 150</t>
  </si>
  <si>
    <t>6 x 5</t>
  </si>
  <si>
    <t>ACTIVE</t>
  </si>
  <si>
    <t>60-V, N channel NexFET™ power MOSFET, single SON 5 mm x 6 mm, 2.2 mOhm</t>
  </si>
  <si>
    <t>MOSFETs</t>
  </si>
  <si>
    <t>Catalog</t>
  </si>
  <si>
    <t>VSON-CLIP</t>
  </si>
  <si>
    <t/>
  </si>
  <si>
    <t>-55 to 175</t>
  </si>
  <si>
    <t>6 x 5</t>
  </si>
  <si>
    <t>ACTIVE</t>
  </si>
  <si>
    <t>-20-V, P channel NexFET™ power MOSFET, single WLP 1.5 mm x 1.5 mm, 26 mOhm, gate ESD protection</t>
  </si>
  <si>
    <t>MOSFETs</t>
  </si>
  <si>
    <t>Catalog</t>
  </si>
  <si>
    <t>DSBGA</t>
  </si>
  <si>
    <t/>
  </si>
  <si>
    <t>-55 to 150</t>
  </si>
  <si>
    <t>1.75 x 1.75</t>
  </si>
  <si>
    <t>ACTIVE</t>
  </si>
  <si>
    <t>5.5-V, 15-A, 4.4-mΩ load switch with output discharge</t>
  </si>
  <si>
    <t>Load switches</t>
  </si>
  <si>
    <t>Catalog</t>
  </si>
  <si>
    <t>WSON</t>
  </si>
  <si>
    <t/>
  </si>
  <si>
    <t>-40 to 105</t>
  </si>
  <si>
    <t>3 x 3</t>
  </si>
  <si>
    <t>ACTIVE</t>
  </si>
  <si>
    <t>5.5-V, 10-A, 4.4-mΩ load switch with output discharge</t>
  </si>
  <si>
    <t>Load switches</t>
  </si>
  <si>
    <t>Catalog</t>
  </si>
  <si>
    <t>WSON</t>
  </si>
  <si>
    <t/>
  </si>
  <si>
    <t>-40 to 105</t>
  </si>
  <si>
    <t>3 x 3</t>
  </si>
  <si>
    <t>ACTIVE</t>
  </si>
  <si>
    <t>Switch-controlled, direct drive, linear controller for offline LED drivers</t>
  </si>
  <si>
    <t>Illumination  LED drivers</t>
  </si>
  <si>
    <t>Catalog</t>
  </si>
  <si>
    <t>AC Direct-Drive,Current Sink</t>
  </si>
  <si>
    <t>SOIC</t>
  </si>
  <si>
    <t/>
  </si>
  <si>
    <t>-40 to 150</t>
  </si>
  <si>
    <t>8.65 x 6</t>
  </si>
  <si>
    <t>ACTIVE</t>
  </si>
  <si>
    <t>1.2-4.7A adjustable ILIMIT, 2.5-6.5V, 13mΩ USB power switch, active-high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</si>
  <si>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</si>
  <si>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</si>
  <si>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</si>
  <si>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</si>
  <si>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</si>
  <si>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</si>
  <si>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</si>
  <si>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3V - 17V 3A AUTOMOTIVE Step-Down Converter In 3X3 QFN Package</t>
  </si>
  <si>
    <t>AC/DC &amp; DC/DC converters (integrated FET)</t>
  </si>
  <si>
    <t>Automotive</t>
  </si>
  <si>
    <t>Buck</t>
  </si>
  <si>
    <t>VQFN</t>
  </si>
  <si>
    <t>Functional Safety-Capable</t>
  </si>
  <si>
    <t>-40 to 125</t>
  </si>
  <si>
    <t>3 x 3</t>
  </si>
  <si>
    <t>ACTIVE</t>
  </si>
  <si>
    <t>3–17V 1A Automotive Step-Down Converter in 3x3 QFN package</t>
  </si>
  <si>
    <t>AC/DC &amp; DC/DC converters (integrated FET)</t>
  </si>
  <si>
    <t>Automotive</t>
  </si>
  <si>
    <t>Buck</t>
  </si>
  <si>
    <t>VQFN</t>
  </si>
  <si>
    <t>Functional Safety-Capable</t>
  </si>
  <si>
    <t>-40 to 125</t>
  </si>
  <si>
    <t>3 x 3</t>
  </si>
  <si>
    <t>ACTIVE</t>
  </si>
  <si>
    <t>30-V, N channel NexFET™ power MOSFET, single SON 5 mm x 6 mm, 1.45 mOhm</t>
  </si>
  <si>
    <t>MOSFETs</t>
  </si>
  <si>
    <t>Catalog</t>
  </si>
  <si>
    <t>VSON-CLIP</t>
  </si>
  <si>
    <t/>
  </si>
  <si>
    <t>-55 to 150</t>
  </si>
  <si>
    <t>6 x 5</t>
  </si>
  <si>
    <t>ACTIVE</t>
  </si>
  <si>
    <t>30-V, N channel NexFET™ power MOSFET, single SON 5 mm x 6 mm, 2.9 mOhm</t>
  </si>
  <si>
    <t>MOSFETs</t>
  </si>
  <si>
    <t>Catalog</t>
  </si>
  <si>
    <t>VSON-CLIP</t>
  </si>
  <si>
    <t/>
  </si>
  <si>
    <t>-55 to 150</t>
  </si>
  <si>
    <t>6 x 5</t>
  </si>
  <si>
    <t>ACTIVE</t>
  </si>
  <si>
    <t>200-mA Step Down Converter Module with 360nA Iq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</si>
  <si>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</si>
  <si>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</si>
  <si>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</si>
  <si>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</si>
  <si>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</si>
  <si>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</si>
  <si>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2.55 x 2.9</t>
  </si>
  <si>
    <t>ACTIVE</t>
  </si>
  <si>
    <t>200-mA Step Down Converter Module with 360nA Iq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</si>
  <si>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</si>
  <si>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</si>
  <si>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</si>
  <si>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</si>
  <si>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</si>
  <si>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</si>
  <si>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2.55 x 2.9</t>
  </si>
  <si>
    <t>ACTIVE</t>
  </si>
  <si>
    <t>8-ppm/°C drift, low-power, dual-output Vref &amp; Vref/2 voltage reference</t>
  </si>
  <si>
    <t>Series voltage references</t>
  </si>
  <si>
    <t>Catalog</t>
  </si>
  <si>
    <t>SOT-23-THN</t>
  </si>
  <si>
    <t/>
  </si>
  <si>
    <t>-40 to 125</t>
  </si>
  <si>
    <t>2.9 x 2.8</t>
  </si>
  <si>
    <t>ACTIVE</t>
  </si>
  <si>
    <t>48 channel, 16 bit ES-PWM, LED driver with pre-charge FET, LED open detection and 48k bit memory</t>
  </si>
  <si>
    <t>LED display drivers</t>
  </si>
  <si>
    <t>Catalog</t>
  </si>
  <si>
    <t>VQFN</t>
  </si>
  <si>
    <t/>
  </si>
  <si>
    <t>-40 to 85</t>
  </si>
  <si>
    <t>8 x 8</t>
  </si>
  <si>
    <t>ACTIVE</t>
  </si>
  <si>
    <t>Integrated, 5-A 40-V wide input range boost/SEPIC/flyback DC/DC regulator, AEC-Q100 qualified</t>
  </si>
  <si>
    <t>AC/DC &amp; DC/DC converters (integrated FET)</t>
  </si>
  <si>
    <t>Automotive</t>
  </si>
  <si>
    <t>Boost,Flyback,Forward,SEPIC</t>
  </si>
  <si>
    <t>WQFN</t>
  </si>
  <si>
    <t/>
  </si>
  <si>
    <t>-40 to 150</t>
  </si>
  <si>
    <t>3 x 3</t>
  </si>
  <si>
    <t>ACTIVE</t>
  </si>
  <si>
    <t>Automotive 3.135-V to 5.25-V, 7 buck &amp; 6-LDO PMIC for ARM Cortex-A15 processors</t>
  </si>
  <si>
    <t>Multi-channel ICs (PMICs)</t>
  </si>
  <si>
    <t>Automotive</t>
  </si>
  <si>
    <t>NFBGA</t>
  </si>
  <si>
    <t/>
  </si>
  <si>
    <t>-40 to 85</t>
  </si>
  <si>
    <t>12 x 12</t>
  </si>
  <si>
    <t>ACTIVE</t>
  </si>
  <si>
    <t>650mA, 6-MHz High-Efficiency, 0.4mm Profile Chip Scale Package, Step-Down Converter, Vout=1.05V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</si>
  <si>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</si>
  <si>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</si>
  <si>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</si>
  <si>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</si>
  <si>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</si>
  <si>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</si>
  <si>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</si>
  <si>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</si>
  <si>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30-V, N channel NexFET™ power MOSFET, single SON 3 mm x 3 mm, 3.2 mOhm</t>
  </si>
  <si>
    <t>MOSFETs</t>
  </si>
  <si>
    <t>Catalog</t>
  </si>
  <si>
    <t>VSON-CLIP</t>
  </si>
  <si>
    <t/>
  </si>
  <si>
    <t>-55 to 150</t>
  </si>
  <si>
    <t>3.3 x 3.3</t>
  </si>
  <si>
    <t>ACTIVE</t>
  </si>
  <si>
    <t>60A Synchronous Buck NexFET&amp;trade; Smart Power Stage with Dual Cool package</t>
  </si>
  <si>
    <t>Si power stages</t>
  </si>
  <si>
    <t>Catalog</t>
  </si>
  <si>
    <t>VSON-CLIP</t>
  </si>
  <si>
    <t/>
  </si>
  <si>
    <t>-55 to 150</t>
  </si>
  <si>
    <t>6 x 5</t>
  </si>
  <si>
    <t>ACTIVE</t>
  </si>
  <si>
    <t>Complete lighting power Solution for smartphone handsets</t>
  </si>
  <si>
    <t>Backlight LED drivers</t>
  </si>
  <si>
    <t>Catalog</t>
  </si>
  <si>
    <t>Boost</t>
  </si>
  <si>
    <t>DSBGA</t>
  </si>
  <si>
    <t/>
  </si>
  <si>
    <t>-40 to 85</t>
  </si>
  <si>
    <t>2.2 x 1.8</t>
  </si>
  <si>
    <t>ACTIVE</t>
  </si>
  <si>
    <t>Automotive low-EMI high-performance 4-channel LED driver</t>
  </si>
  <si>
    <t>Automotive LED drivers,Backlight LED drivers</t>
  </si>
  <si>
    <t>Automotive</t>
  </si>
  <si>
    <t>Boost with Current Sink</t>
  </si>
  <si>
    <t>HLQFP</t>
  </si>
  <si>
    <t/>
  </si>
  <si>
    <t>-40 to 125</t>
  </si>
  <si>
    <t>9 x 9</t>
  </si>
  <si>
    <t>ACTIVE</t>
  </si>
  <si>
    <t>AUTO 2-ch 0.25-2.8A adj. ILIMIT (tuned for 2.3±0.2A),  2.5-6.5V, 44mΩ USB power switch, active-high</t>
  </si>
  <si>
    <t>USB power switches &amp; charging port controllers</t>
  </si>
  <si>
    <t>Automotive</t>
  </si>
  <si>
    <t>VSON</t>
  </si>
  <si>
    <t/>
  </si>
  <si>
    <t>-40 to 125</t>
  </si>
  <si>
    <t>3 x 3</t>
  </si>
  <si>
    <t>ACTIVE</t>
  </si>
  <si>
    <t>TPS62130A-Q1 3 to 17-V 3-A Automotive Step-Down Converter in 3 × 3 QFN Package</t>
  </si>
  <si>
    <t>AC/DC &amp; DC/DC converters (integrated FET)</t>
  </si>
  <si>
    <t>Automotive</t>
  </si>
  <si>
    <t>Buck</t>
  </si>
  <si>
    <t>VQFN</t>
  </si>
  <si>
    <t>Functional Safety-Capable</t>
  </si>
  <si>
    <t>-40 to 125</t>
  </si>
  <si>
    <t>3 x 3</t>
  </si>
  <si>
    <t>ACTIVE</t>
  </si>
  <si>
    <t>TPS62150A-Q1 3 to 17-V 1-A AUTOMOTIVE Step-Down Converter in 3 × 3 QFN Package</t>
  </si>
  <si>
    <t>AC/DC &amp; DC/DC converters (integrated FET)</t>
  </si>
  <si>
    <t>Automotive</t>
  </si>
  <si>
    <t>Buck</t>
  </si>
  <si>
    <t>VQFN</t>
  </si>
  <si>
    <t>Functional Safety-Capable</t>
  </si>
  <si>
    <t>-40 to 125</t>
  </si>
  <si>
    <t>3 x 3</t>
  </si>
  <si>
    <t>ACTIVE</t>
  </si>
  <si>
    <t>Automotive USB Charge port dual DP/DM manager</t>
  </si>
  <si>
    <t>USB power switches &amp; charging port controllers</t>
  </si>
  <si>
    <t>Automotive</t>
  </si>
  <si>
    <t>SOT-23</t>
  </si>
  <si>
    <t/>
  </si>
  <si>
    <t>-40 to 125</t>
  </si>
  <si>
    <t>2.9 x 2.8</t>
  </si>
  <si>
    <t>ACTIVE</t>
  </si>
  <si>
    <t>Dual Output, 2-Phase, Stackable PMBus Synchronous Buck Driverless Controller</t>
  </si>
  <si>
    <t>AC/DC &amp; DC/DC controllers (external FET)</t>
  </si>
  <si>
    <t>Catalog</t>
  </si>
  <si>
    <t>Multiphase</t>
  </si>
  <si>
    <t>VQFN</t>
  </si>
  <si>
    <t/>
  </si>
  <si>
    <t>-40 to 125</t>
  </si>
  <si>
    <t>6 x 6</t>
  </si>
  <si>
    <t>ACTIVE</t>
  </si>
  <si>
    <t>4.5-V to 18-V, 20-A synchronous SWIFT™ buck converter with PMBus programmability and monitoring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</si>
  <si>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</si>
  <si>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</si>
  <si>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</si>
  <si>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</si>
  <si>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</si>
  <si>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</si>
  <si>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</si>
  <si>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</si>
  <si>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4.5-V to 18-V, 30-A synchronous SWIFT™ buck converter with PMBus programmability and monitoring</t>
  </si>
  <si>
    <t>AC/DC &amp; DC/DC converters (integrated FET)</t>
  </si>
  <si>
    <t>Catalog</t>
  </si>
  <si>
    <t>Buck</t>
  </si>
  <si>
    <t>LQFN-CLIP</t>
  </si>
  <si>
    <t/>
  </si>
  <si>
    <t>-40 to 125</t>
  </si>
  <si>
    <t>7 x 5</t>
  </si>
  <si>
    <t>ACTIVE</t>
  </si>
  <si>
    <t>48ch LED driver with global brightness control, LED open/Short Detection and power-Save Mode</t>
  </si>
  <si>
    <t>RGB LED drivers</t>
  </si>
  <si>
    <t>Catalog</t>
  </si>
  <si>
    <t>VQFN</t>
  </si>
  <si>
    <t/>
  </si>
  <si>
    <t>-40 to 85</t>
  </si>
  <si>
    <t>8 x 8</t>
  </si>
  <si>
    <t>ACTIVE</t>
  </si>
  <si>
    <t>-12-V, P channel NexFET™ power MOSFET, single LGA 0.6 mm x 1 mm, 76 mOhm, gate ESD protection</t>
  </si>
  <si>
    <t>MOSFETs</t>
  </si>
  <si>
    <t>Catalog</t>
  </si>
  <si>
    <t>PICOSTAR</t>
  </si>
  <si>
    <t/>
  </si>
  <si>
    <t>-55 to 150</t>
  </si>
  <si>
    <t>1.035 x 0.635</t>
  </si>
  <si>
    <t>ACTIVE</t>
  </si>
  <si>
    <t>4-A switch single-inductor buck-boost converter in 3.7 mm² DSBGA package</t>
  </si>
  <si>
    <t>AC/DC &amp; DC/DC converters (integrated FET)</t>
  </si>
  <si>
    <t>Catalog</t>
  </si>
  <si>
    <t>Buck-Boost</t>
  </si>
  <si>
    <t>DSBGA,VQFN-HR</t>
  </si>
  <si>
    <t/>
  </si>
  <si>
    <t>-40 to 125</t>
  </si>
  <si>
    <t>14,20</t>
  </si>
  <si>
    <t>3.96,7.5</t>
  </si>
  <si>
    <t>1.8 x 2.2,2.5 x 3</t>
  </si>
  <si>
    <t>0.625,1</t>
  </si>
  <si>
    <t>0.4,0.5</t>
  </si>
  <si>
    <t>ACTIVE</t>
  </si>
  <si>
    <t>4A switch Single-Inductor Buck-Boost Converter in WCSP</t>
  </si>
  <si>
    <t>AC/DC &amp; DC/DC converters (integrated FET)</t>
  </si>
  <si>
    <t>Catalog</t>
  </si>
  <si>
    <t>Buck-Boost</t>
  </si>
  <si>
    <t>DSBGA</t>
  </si>
  <si>
    <t/>
  </si>
  <si>
    <t>-40 to 125</t>
  </si>
  <si>
    <t>1.8 x 2.2</t>
  </si>
  <si>
    <t>ACTIVE</t>
  </si>
  <si>
    <t>4A switch Single-Inductor Buck-Boost Converter in WCSP</t>
  </si>
  <si>
    <t>AC/DC &amp; DC/DC converters (integrated FET)</t>
  </si>
  <si>
    <t>Catalog</t>
  </si>
  <si>
    <t>Buck-Boost</t>
  </si>
  <si>
    <t>DSBGA</t>
  </si>
  <si>
    <t/>
  </si>
  <si>
    <t>-40 to 125</t>
  </si>
  <si>
    <t>1.8 x 2.2</t>
  </si>
  <si>
    <t>ACTIVE</t>
  </si>
  <si>
    <t>Fully Programmable LCD Bias IC for GIP TV with 12-Ch LvL Shifters, Gamma Buffers</t>
  </si>
  <si>
    <t>LCD &amp; OLED display power &amp; drivers</t>
  </si>
  <si>
    <t>Catalog</t>
  </si>
  <si>
    <t>Boost,Buck</t>
  </si>
  <si>
    <t>VQFN</t>
  </si>
  <si>
    <t/>
  </si>
  <si>
    <t>-40 to 85</t>
  </si>
  <si>
    <t>7 x 7</t>
  </si>
  <si>
    <t>ACTIVE</t>
  </si>
  <si>
    <t>4A Synchronous Step Down Converter with DCS Control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</si>
  <si>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</si>
  <si>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</si>
  <si>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</si>
  <si>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</si>
  <si>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</si>
  <si>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</si>
  <si>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</si>
  <si>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</si>
  <si>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100-V, N channel NexFET™ power MOSFET, single SON 5 mm x 6 mm, 15.1 mOhm</t>
  </si>
  <si>
    <t>MOSFETs</t>
  </si>
  <si>
    <t>Catalog</t>
  </si>
  <si>
    <t>VSONP</t>
  </si>
  <si>
    <t/>
  </si>
  <si>
    <t>-55 to 150</t>
  </si>
  <si>
    <t>4.9 x 6</t>
  </si>
  <si>
    <t>ACTIVE</t>
  </si>
  <si>
    <t>Automotive, 16-CH Gamma-Voltage Generator and Vcom Calibrator with Integrated Two-Bank Memory</t>
  </si>
  <si>
    <t>LCD &amp; OLED display power &amp; drivers</t>
  </si>
  <si>
    <t>Automotive</t>
  </si>
  <si>
    <t>HTSSOP</t>
  </si>
  <si>
    <t/>
  </si>
  <si>
    <t>-40 to 85</t>
  </si>
  <si>
    <t>9.7 x 6.4</t>
  </si>
  <si>
    <t>ACTIVE</t>
  </si>
  <si>
    <t>Automotive 1-A, high-PSRR, adjustable low-dropout voltage regulator with enable</t>
  </si>
  <si>
    <t>Linear &amp; low-dropout (LDO) regulators</t>
  </si>
  <si>
    <t>Automotive</t>
  </si>
  <si>
    <t>VSON</t>
  </si>
  <si>
    <t/>
  </si>
  <si>
    <t>-40 to 125</t>
  </si>
  <si>
    <t>3 x 3</t>
  </si>
  <si>
    <t>ACTIVE</t>
  </si>
  <si>
    <t>Space-grade QMLV, 40-V input, 1.5-A dual-output 1-MHz PWM controller</t>
  </si>
  <si>
    <t>AC/DC &amp; DC/DC controllers (external FET)</t>
  </si>
  <si>
    <t>Space</t>
  </si>
  <si>
    <t>Boost,Flyback,Forward,Full bridge,Half bridge,Push pull</t>
  </si>
  <si>
    <t>CDIP,CFP</t>
  </si>
  <si>
    <t/>
  </si>
  <si>
    <t>-55 to 125</t>
  </si>
  <si>
    <t>72.136,135.3552</t>
  </si>
  <si>
    <t>10.16 x 7.1,19.56 x 6.92</t>
  </si>
  <si>
    <t>2.133,5.08</t>
  </si>
  <si>
    <t>1.27,2.54</t>
  </si>
  <si>
    <t>ACTIVE</t>
  </si>
  <si>
    <t>60A Synchronous Buck NexFET&amp;trade; Smart Power Stage with TAO offset</t>
  </si>
  <si>
    <t>Si power stages</t>
  </si>
  <si>
    <t>Catalog</t>
  </si>
  <si>
    <t>LSON-CLIP</t>
  </si>
  <si>
    <t/>
  </si>
  <si>
    <t>-55 to 150</t>
  </si>
  <si>
    <t>6 x 5</t>
  </si>
  <si>
    <t>ACTIVE</t>
  </si>
  <si>
    <t>Thunderbolt&amp;trade; Bus Power Power Management IC (PMIC)</t>
  </si>
  <si>
    <t>Multi-channel ICs (PMICs)</t>
  </si>
  <si>
    <t>Catalog</t>
  </si>
  <si>
    <t>VQFN</t>
  </si>
  <si>
    <t/>
  </si>
  <si>
    <t>-40 to 85</t>
  </si>
  <si>
    <t>5 x 4</t>
  </si>
  <si>
    <t>ACTIVE</t>
  </si>
  <si>
    <t>3.1-V to 75-V wide VIN, 1-A current mode non-synchronous switch mode regulator</t>
  </si>
  <si>
    <t>AC/DC &amp; DC/DC converters (integrated FET)</t>
  </si>
  <si>
    <t>Automotive</t>
  </si>
  <si>
    <t>Boost,Flyback,Forward,SEPIC</t>
  </si>
  <si>
    <t>SOIC</t>
  </si>
  <si>
    <t/>
  </si>
  <si>
    <t>-40 to 125</t>
  </si>
  <si>
    <t>4.9 x 6</t>
  </si>
  <si>
    <t>ACTIVE</t>
  </si>
  <si>
    <t>4.5-V to 60-V Input, 3.5-A, Step Down DC-DC Converter with Soft-Start</t>
  </si>
  <si>
    <t>AC/DC &amp; DC/DC converters (integrated FET)</t>
  </si>
  <si>
    <t>Automotive</t>
  </si>
  <si>
    <t>Buck</t>
  </si>
  <si>
    <t>WSON</t>
  </si>
  <si>
    <t/>
  </si>
  <si>
    <t>-40 to 125</t>
  </si>
  <si>
    <t>4 x 4</t>
  </si>
  <si>
    <t>ACTIVE</t>
  </si>
  <si>
    <t>2-pair, type-2, 4-channel PoE PSE with autonomous mode</t>
  </si>
  <si>
    <t>Power sourcing equipment</t>
  </si>
  <si>
    <t>Catalog</t>
  </si>
  <si>
    <t>TSSOP</t>
  </si>
  <si>
    <t/>
  </si>
  <si>
    <t>-40 to 125</t>
  </si>
  <si>
    <t>9.7 x 6.4</t>
  </si>
  <si>
    <t>ACTIVE</t>
  </si>
  <si>
    <t>1600-mA, High-Efficiency Step-Down Converter optimized for small solution size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</si>
  <si>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</si>
  <si>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</si>
  <si>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</si>
  <si>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</si>
  <si>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</si>
  <si>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</si>
  <si>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</si>
  <si>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</si>
  <si>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Automotive 2 channel high side current sense switching mode LED driver</t>
  </si>
  <si>
    <t>Automotive LED drivers</t>
  </si>
  <si>
    <t>Automotive</t>
  </si>
  <si>
    <t>Boost Controller,Buck Controller,Buck-Boost Controller,Flyback Controller,SEPIC Controller</t>
  </si>
  <si>
    <t>HTSSOP</t>
  </si>
  <si>
    <t/>
  </si>
  <si>
    <t>-40 to 125</t>
  </si>
  <si>
    <t>9.7 x 6.4</t>
  </si>
  <si>
    <t>ACTIVE</t>
  </si>
  <si>
    <t>3.5V to 36V, 2A Synchronous Step-Down Voltage Converter</t>
  </si>
  <si>
    <t>AC/DC &amp; DC/DC converters (integrated FET)</t>
  </si>
  <si>
    <t>Catalog</t>
  </si>
  <si>
    <t>Buck</t>
  </si>
  <si>
    <t>HTSSOP,VSON</t>
  </si>
  <si>
    <t/>
  </si>
  <si>
    <t>-40 to 125</t>
  </si>
  <si>
    <t>20,32</t>
  </si>
  <si>
    <t>5 x 4,5 x 6.4</t>
  </si>
  <si>
    <t>1,1.2</t>
  </si>
  <si>
    <t>0.5,0.65</t>
  </si>
  <si>
    <t>ACTIVE</t>
  </si>
  <si>
    <t>3.5V to 36V, 3A Synchronous Step-Down Voltage Converter</t>
  </si>
  <si>
    <t>AC/DC &amp; DC/DC converters (integrated FET)</t>
  </si>
  <si>
    <t>Catalog</t>
  </si>
  <si>
    <t>Buck</t>
  </si>
  <si>
    <t>HTSSOP,VSON</t>
  </si>
  <si>
    <t/>
  </si>
  <si>
    <t>-40 to 125</t>
  </si>
  <si>
    <t>20,32</t>
  </si>
  <si>
    <t>5 x 4,5 x 6.4</t>
  </si>
  <si>
    <t>1,1.2</t>
  </si>
  <si>
    <t>0.5,0.65</t>
  </si>
  <si>
    <t>ACTIVE</t>
  </si>
  <si>
    <t>1-ch, 5.7-V, 4-A, 16-m&amp;Omega; automotive load switch with adj. rise time and output discharge</t>
  </si>
  <si>
    <t>Load switches</t>
  </si>
  <si>
    <t>Automotive</t>
  </si>
  <si>
    <t>WSON</t>
  </si>
  <si>
    <t>Functional Safety-Capable</t>
  </si>
  <si>
    <t>-40 to 125</t>
  </si>
  <si>
    <t>2 x 2</t>
  </si>
  <si>
    <t>ACTIVE</t>
  </si>
  <si>
    <t>3.5V to 60V, 2A Synchronous Step-Down Voltage Converter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</si>
  <si>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</si>
  <si>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</si>
  <si>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</si>
  <si>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</si>
  <si>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</si>
  <si>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</si>
  <si>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</si>
  <si>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</si>
  <si>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4.5V to 28V Input, 6A output synchronous buck converter with dual load switches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</si>
  <si>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</si>
  <si>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</si>
  <si>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</si>
  <si>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</si>
  <si>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</si>
  <si>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</si>
  <si>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</si>
  <si>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</si>
  <si>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5-A, adjustable output voltage high efficiency synchronous boost converter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</si>
  <si>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</si>
  <si>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</si>
  <si>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</si>
  <si>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</si>
  <si>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</si>
  <si>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</si>
  <si>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</si>
  <si>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</si>
  <si>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700V Flyback switcher with constant-voltage constant-current and primary-side control</t>
  </si>
  <si>
    <t>AC/DC &amp; DC/DC converters (integrated FET)</t>
  </si>
  <si>
    <t>Catalog</t>
  </si>
  <si>
    <t>Buck,Flyback</t>
  </si>
  <si>
    <t>SOIC</t>
  </si>
  <si>
    <t/>
  </si>
  <si>
    <t>-40 to 125</t>
  </si>
  <si>
    <t>4.9 x 6</t>
  </si>
  <si>
    <t>ACTIVE</t>
  </si>
  <si>
    <t>2.5-V to 6.5-V, 60mΩ, 0.085-2.9A eFuse with reverse current blocking when off</t>
  </si>
  <si>
    <t>eFuses (integrated hot swaps)</t>
  </si>
  <si>
    <t>Catalog</t>
  </si>
  <si>
    <t>WSON</t>
  </si>
  <si>
    <t/>
  </si>
  <si>
    <t>-40 to 125</t>
  </si>
  <si>
    <t>2 x 2</t>
  </si>
  <si>
    <t>ACTIVE</t>
  </si>
  <si>
    <t>Automotive high-voltage (18-V) window voltage detector for overvoltage and undervoltage monitoring</t>
  </si>
  <si>
    <t>Supply-voltage supervisors</t>
  </si>
  <si>
    <t>Automotive</t>
  </si>
  <si>
    <t>SOT-23-THN,WSON</t>
  </si>
  <si>
    <t>Functional Safety-Capable</t>
  </si>
  <si>
    <t>-40 to 125</t>
  </si>
  <si>
    <t>2.25,8.12</t>
  </si>
  <si>
    <t>1.5 x 1.5,2.9 x 2.8</t>
  </si>
  <si>
    <t>0.8,1.1</t>
  </si>
  <si>
    <t>0.5,0.95</t>
  </si>
  <si>
    <t>ACTIVE</t>
  </si>
  <si>
    <t>1.5-A automotive constant current buck regulator for driving high power LEDs</t>
  </si>
  <si>
    <t>Automotive LED drivers</t>
  </si>
  <si>
    <t>Automotive</t>
  </si>
  <si>
    <t>Buck</t>
  </si>
  <si>
    <t>HTSSOP</t>
  </si>
  <si>
    <t/>
  </si>
  <si>
    <t>-40 to 150</t>
  </si>
  <si>
    <t>5 x 6.4</t>
  </si>
  <si>
    <t>ACTIVE</t>
  </si>
  <si>
    <t>48ch, 16bit PWM LED driver with dot-correction, brightness control, open/Short Detection</t>
  </si>
  <si>
    <t>RGB LED drivers</t>
  </si>
  <si>
    <t>Catalog</t>
  </si>
  <si>
    <t>Linear</t>
  </si>
  <si>
    <t>HTSSOP,VQFN</t>
  </si>
  <si>
    <t/>
  </si>
  <si>
    <t>-40 to 85</t>
  </si>
  <si>
    <t>64,113.4</t>
  </si>
  <si>
    <t>14 x 8.1,8 x 8</t>
  </si>
  <si>
    <t>1,1.2</t>
  </si>
  <si>
    <t>ACTIVE</t>
  </si>
  <si>
    <t>5.5-V, 6-A, 4.4-mΩ load switch with output discharge</t>
  </si>
  <si>
    <t>Load switches</t>
  </si>
  <si>
    <t>Catalog</t>
  </si>
  <si>
    <t>WSON</t>
  </si>
  <si>
    <t/>
  </si>
  <si>
    <t>-40 to 105</t>
  </si>
  <si>
    <t>3 x 3</t>
  </si>
  <si>
    <t>ACTIVE</t>
  </si>
  <si>
    <t>Automotive 4-A/4-A single-channel gate driver with 5-V UVLO, enable, and CMOS input</t>
  </si>
  <si>
    <t>Low-side drivers</t>
  </si>
  <si>
    <t>Automotive</t>
  </si>
  <si>
    <t>SOT-23</t>
  </si>
  <si>
    <t>Functional Safety-Capable</t>
  </si>
  <si>
    <t>-40 to 125</t>
  </si>
  <si>
    <t>2.9 x 2.8</t>
  </si>
  <si>
    <t>ACTIVE</t>
  </si>
  <si>
    <t>Automotive 0.5-5A adjustable ILIMIT, 2.5-6.5V, 22m&amp;Omega; USB power switch, active-low</t>
  </si>
  <si>
    <t>USB power switches &amp; charging port controllers</t>
  </si>
  <si>
    <t>Automotive</t>
  </si>
  <si>
    <t>VSON</t>
  </si>
  <si>
    <t>Functional Safety-Capable</t>
  </si>
  <si>
    <t>-40 to 125</t>
  </si>
  <si>
    <t>3 x 3</t>
  </si>
  <si>
    <t>ACTIVE</t>
  </si>
  <si>
    <t>Automotive 0.5-5A adjustable ILIMIT, 2.5-6.5V, 22m&amp;Omega; USB power switch, active-high</t>
  </si>
  <si>
    <t>USB power switches &amp; charging port controllers</t>
  </si>
  <si>
    <t>Automotive</t>
  </si>
  <si>
    <t>VSON</t>
  </si>
  <si>
    <t>Functional Safety-Capable</t>
  </si>
  <si>
    <t>-40 to 125</t>
  </si>
  <si>
    <t>3 x 3</t>
  </si>
  <si>
    <t>ACTIVE</t>
  </si>
  <si>
    <t>800-mA, High-Efficiency MicroSiP&amp;trade; Step-Down Converter Module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</si>
  <si>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</si>
  <si>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</si>
  <si>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</si>
  <si>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</si>
  <si>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</si>
  <si>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</si>
  <si>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</si>
  <si>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</si>
  <si>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High-Efficiency MicroSiP&amp;trade; Step-Down Converter Module (PROFILE &lt;1mm)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</si>
  <si>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</si>
  <si>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</si>
  <si>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</si>
  <si>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</si>
  <si>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</si>
  <si>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</si>
  <si>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</si>
  <si>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</si>
  <si>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Digital PWM System Controller with 4-bit, 6-bit, or 8-bit VID Support</t>
  </si>
  <si>
    <t>AC/DC &amp; DC/DC controllers (external FET)</t>
  </si>
  <si>
    <t>HiRel Enhanced Product</t>
  </si>
  <si>
    <t>VQFN</t>
  </si>
  <si>
    <t/>
  </si>
  <si>
    <t>-55 to 125</t>
  </si>
  <si>
    <t>9 x 9</t>
  </si>
  <si>
    <t>ACTIVE</t>
  </si>
  <si>
    <t>18V Input, 3A/1A/1A Triple Synchronous Step-Down Converter with 200mA/100mA Dual LDOs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</si>
  <si>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</si>
  <si>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</si>
  <si>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</si>
  <si>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</si>
  <si>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</si>
  <si>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</si>
  <si>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</si>
  <si>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</si>
  <si>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60A Synchronous Buck NexFET&amp;trade; Smart Power Stage</t>
  </si>
  <si>
    <t>Si power stages</t>
  </si>
  <si>
    <t>Catalog</t>
  </si>
  <si>
    <t>LSON-CLIP</t>
  </si>
  <si>
    <t/>
  </si>
  <si>
    <t>-55 to 150</t>
  </si>
  <si>
    <t>6 x 5</t>
  </si>
  <si>
    <t>ACTIVE</t>
  </si>
  <si>
    <t>3.5-V, 6-A, 7mΩ load switch with output discharge</t>
  </si>
  <si>
    <t>Load switches</t>
  </si>
  <si>
    <t>Catalog</t>
  </si>
  <si>
    <t>WSON</t>
  </si>
  <si>
    <t/>
  </si>
  <si>
    <t>-40 to 85</t>
  </si>
  <si>
    <t>3 x 3</t>
  </si>
  <si>
    <t>ACTIVE</t>
  </si>
  <si>
    <t>Automotive 3.135-V to 5.25-V, 7 buck &amp; 11-LDO PMIC for ARM Cortex-A15 processors</t>
  </si>
  <si>
    <t>Multi-channel ICs (PMICs)</t>
  </si>
  <si>
    <t>Automotive</t>
  </si>
  <si>
    <t>NFBGA</t>
  </si>
  <si>
    <t/>
  </si>
  <si>
    <t>-40 to 85</t>
  </si>
  <si>
    <t>12 x 12</t>
  </si>
  <si>
    <t>ACTIVE</t>
  </si>
  <si>
    <t>500mA 30W Anode Capable constant current buck LED Dvr</t>
  </si>
  <si>
    <t>Illumination  LED drivers</t>
  </si>
  <si>
    <t>Catalog</t>
  </si>
  <si>
    <t>Buck</t>
  </si>
  <si>
    <t>HSOIC</t>
  </si>
  <si>
    <t/>
  </si>
  <si>
    <t>-40 to 125</t>
  </si>
  <si>
    <t>4.9 x 6</t>
  </si>
  <si>
    <t>ACTIVE</t>
  </si>
  <si>
    <t>High power Flyback controller with PSR, peak power mode, X-Cap discharge, and freq dither</t>
  </si>
  <si>
    <t>AC/DC &amp; DC/DC controllers (external FET)</t>
  </si>
  <si>
    <t>Catalog</t>
  </si>
  <si>
    <t>Flyback</t>
  </si>
  <si>
    <t>SOIC</t>
  </si>
  <si>
    <t/>
  </si>
  <si>
    <t>-40 to 125</t>
  </si>
  <si>
    <t>4.9 x 6</t>
  </si>
  <si>
    <t>ACTIVE</t>
  </si>
  <si>
    <t>Multiphase 6-Core Step-Down Converter</t>
  </si>
  <si>
    <t>Multi-channel ICs (PMICs)</t>
  </si>
  <si>
    <t>Catalog</t>
  </si>
  <si>
    <t>DSBGA</t>
  </si>
  <si>
    <t/>
  </si>
  <si>
    <t>-40 to 85</t>
  </si>
  <si>
    <t>3 x 3</t>
  </si>
  <si>
    <t>ACTIVE</t>
  </si>
  <si>
    <t>30-V, N channel synchronous buck NexFET™ power MOSFET, SON 3 mm x 3 mm power block, 15 A</t>
  </si>
  <si>
    <t>MOSFETs</t>
  </si>
  <si>
    <t>Catalog</t>
  </si>
  <si>
    <t>VSON-CLIP</t>
  </si>
  <si>
    <t/>
  </si>
  <si>
    <t>-55 to 150</t>
  </si>
  <si>
    <t>3.3 x 3.3</t>
  </si>
  <si>
    <t>ACTIVE</t>
  </si>
  <si>
    <t>30-V, N channel NexFET™ power MOSFET, single SON 5 mm x 6 mm, 0.92 mOhm</t>
  </si>
  <si>
    <t>MOSFETs</t>
  </si>
  <si>
    <t>Catalog</t>
  </si>
  <si>
    <t>VSON-CLIP</t>
  </si>
  <si>
    <t/>
  </si>
  <si>
    <t>-55 to 150</t>
  </si>
  <si>
    <t>6 x 5</t>
  </si>
  <si>
    <t>ACTIVE</t>
  </si>
  <si>
    <t>Dual Output, 2-Phase, Stackable PMBUS Synchronous Buck Driverless Controller</t>
  </si>
  <si>
    <t>AC/DC &amp; DC/DC controllers (external FET)</t>
  </si>
  <si>
    <t>Catalog</t>
  </si>
  <si>
    <t>Multiphase</t>
  </si>
  <si>
    <t>VQFN</t>
  </si>
  <si>
    <t/>
  </si>
  <si>
    <t>-40 to 125</t>
  </si>
  <si>
    <t>6 x 6</t>
  </si>
  <si>
    <t>ACTIVE</t>
  </si>
  <si>
    <t>Automotive Three-channel Linear LED driver with Analog and PWM dimming</t>
  </si>
  <si>
    <t>Automotive LED drivers</t>
  </si>
  <si>
    <t>Automotive</t>
  </si>
  <si>
    <t>Current Source</t>
  </si>
  <si>
    <t>HTSSOP</t>
  </si>
  <si>
    <t/>
  </si>
  <si>
    <t>-40 to 125</t>
  </si>
  <si>
    <t>5 x 6.4</t>
  </si>
  <si>
    <t>ACTIVE</t>
  </si>
  <si>
    <t>2A High Efficient Step Down Converter in 2x2mm SON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</si>
  <si>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</si>
  <si>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</si>
  <si>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</si>
  <si>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</si>
  <si>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</si>
  <si>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</si>
  <si>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</si>
  <si>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</si>
  <si>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High-efficiency LED backlight driver for Tablet PCs</t>
  </si>
  <si>
    <t>Backlight LED drivers</t>
  </si>
  <si>
    <t>Catalog</t>
  </si>
  <si>
    <t>Boost</t>
  </si>
  <si>
    <t>DSBGA</t>
  </si>
  <si>
    <t/>
  </si>
  <si>
    <t>-40 to 85</t>
  </si>
  <si>
    <t>2.5999999999999996 x 2.5999999999999996</t>
  </si>
  <si>
    <t>ACTIVE</t>
  </si>
  <si>
    <t>TPS6305x Single Inductor Buck-Boost with 1-A Switches and Adjustable Soft Start</t>
  </si>
  <si>
    <t>AC/DC &amp; DC/DC converters (integrated FET)</t>
  </si>
  <si>
    <t>Catalog</t>
  </si>
  <si>
    <t>Buck-Boost</t>
  </si>
  <si>
    <t>DSBGA,VQFN-HR</t>
  </si>
  <si>
    <t/>
  </si>
  <si>
    <t>-40 to 125</t>
  </si>
  <si>
    <t>2.52000000000000018,6.25</t>
  </si>
  <si>
    <t>1.4000000000000001 x 1.8,2.5 x 2.5</t>
  </si>
  <si>
    <t>0.625,1</t>
  </si>
  <si>
    <t>0.4,0.5</t>
  </si>
  <si>
    <t>ACTIVE</t>
  </si>
  <si>
    <t>17 V Input, 2A Synchronous Step-Down Regulator in SOT-23 with Advanced Eco-mode&amp;trade;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</si>
  <si>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</si>
  <si>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</si>
  <si>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</si>
  <si>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</si>
  <si>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</si>
  <si>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</si>
  <si>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</si>
  <si>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</si>
  <si>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17 V Input, 2A Synchronous Step-Down Regulator in SOT-23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</si>
  <si>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</si>
  <si>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</si>
  <si>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</si>
  <si>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</si>
  <si>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</si>
  <si>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</si>
  <si>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</si>
  <si>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</si>
  <si>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High-efficiency white LED driver</t>
  </si>
  <si>
    <t>Backlight LED drivers</t>
  </si>
  <si>
    <t>Catalog</t>
  </si>
  <si>
    <t>Boost</t>
  </si>
  <si>
    <t>DSBGA</t>
  </si>
  <si>
    <t/>
  </si>
  <si>
    <t>-40 to 125</t>
  </si>
  <si>
    <t>1.8 x 1.4000000000000001</t>
  </si>
  <si>
    <t>ACTIVE</t>
  </si>
  <si>
    <t>0.9Vin, 3.3Vout Boost Converter with Bypass Switch - 5nA Shutdown Current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</si>
  <si>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</si>
  <si>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</si>
  <si>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</si>
  <si>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</si>
  <si>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</si>
  <si>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</si>
  <si>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</si>
  <si>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</si>
  <si>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5.5V, 0.5A Step-Down DC/DC Power Module in 3mm × 2.6mm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</si>
  <si>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</si>
  <si>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</si>
  <si>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</si>
  <si>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</si>
  <si>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</si>
  <si>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</si>
  <si>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</si>
  <si>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</si>
  <si>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</si>
  <si>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</si>
  <si>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</si>
  <si>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5.5V, 1A Step-Down DC/DC Power Module in 3mm × 2.6mm Package</t>
  </si>
  <si>
    <t>Power modules (integrated inductor)</t>
  </si>
  <si>
    <t>Catalog</t>
  </si>
  <si>
    <t>Buck,Synchronous Buck</t>
  </si>
  <si>
    <t>USIP</t>
  </si>
  <si>
    <t/>
  </si>
  <si>
    <t>-40 to 125</t>
  </si>
  <si>
    <t>See data sheet</t>
  </si>
  <si>
    <t>See data sheet</t>
  </si>
  <si>
    <t>—</t>
  </si>
  <si>
    <t>—</t>
  </si>
  <si>
    <t>ACTIVE</t>
  </si>
  <si>
    <t>Low-Cost CVCC Flyback controller With primary-side regulation for bipolar Power Device</t>
  </si>
  <si>
    <t>AC/DC &amp; DC/DC controllers (external FET)</t>
  </si>
  <si>
    <t>Catalog</t>
  </si>
  <si>
    <t>Buck,Flyback</t>
  </si>
  <si>
    <t>SOT-23</t>
  </si>
  <si>
    <t/>
  </si>
  <si>
    <t>-40 to 125</t>
  </si>
  <si>
    <t>2.9 x 2.8</t>
  </si>
  <si>
    <t>ACTIVE</t>
  </si>
  <si>
    <t>2-ch, 5.5-V, 4-A, 25-mΩ load switch with adj. rise time and output discharge</t>
  </si>
  <si>
    <t>Load switches</t>
  </si>
  <si>
    <t>Catalog</t>
  </si>
  <si>
    <t>WSON</t>
  </si>
  <si>
    <t/>
  </si>
  <si>
    <t>-40 to 105</t>
  </si>
  <si>
    <t>3 x 2</t>
  </si>
  <si>
    <t>ACTIVE</t>
  </si>
  <si>
    <t>4.5-V to 18-V Input, Dual 5-A Synchronous Step-Down Converter</t>
  </si>
  <si>
    <t>AC/DC &amp; DC/DC converters (integrated FET)</t>
  </si>
  <si>
    <t>Catalog</t>
  </si>
  <si>
    <t>Buck</t>
  </si>
  <si>
    <t>HTSSOP,VQFN</t>
  </si>
  <si>
    <t/>
  </si>
  <si>
    <t>-40 to 125</t>
  </si>
  <si>
    <t>32,36</t>
  </si>
  <si>
    <t>36,89.1</t>
  </si>
  <si>
    <t>11 x 8.1,6 x 6</t>
  </si>
  <si>
    <t>1,1.2</t>
  </si>
  <si>
    <t>0.5,0.65</t>
  </si>
  <si>
    <t>ACTIVE</t>
  </si>
  <si>
    <t>80-V, N channel NexFET™ power MOSFET, single TO-220, 6.6 mOhm</t>
  </si>
  <si>
    <t>MOSFETs</t>
  </si>
  <si>
    <t>Catalog</t>
  </si>
  <si>
    <t>TO-220</t>
  </si>
  <si>
    <t/>
  </si>
  <si>
    <t>-55 to 175</t>
  </si>
  <si>
    <t>10.16 x 4.55</t>
  </si>
  <si>
    <t>ACTIVE</t>
  </si>
  <si>
    <t>-20-V, P channel NexFET™ power MOSFET, single SON  2 mm x 2 mm, 23.9 mOhm</t>
  </si>
  <si>
    <t>MOSFETs</t>
  </si>
  <si>
    <t>Catalog</t>
  </si>
  <si>
    <t>WSON</t>
  </si>
  <si>
    <t/>
  </si>
  <si>
    <t>-55 to 150</t>
  </si>
  <si>
    <t>2 x 2</t>
  </si>
  <si>
    <t>ACTIVE</t>
  </si>
  <si>
    <t>200-mA, high-PSRR, low-IQ, low-dropout voltage regulator with enable &amp; active output discharge</t>
  </si>
  <si>
    <t>Linear &amp; low-dropout (LDO) regulators</t>
  </si>
  <si>
    <t>Catalog</t>
  </si>
  <si>
    <t>DSBGA</t>
  </si>
  <si>
    <t/>
  </si>
  <si>
    <t>-40 to 125</t>
  </si>
  <si>
    <t>1 x 1</t>
  </si>
  <si>
    <t>ACTIVE</t>
  </si>
  <si>
    <t>80-V, N channel NexFET™ power MOSFET, single TO-220, 3.1 mOhm</t>
  </si>
  <si>
    <t>MOSFETs</t>
  </si>
  <si>
    <t>Catalog</t>
  </si>
  <si>
    <t>TO-220</t>
  </si>
  <si>
    <t/>
  </si>
  <si>
    <t>-55 to 175</t>
  </si>
  <si>
    <t>10.16 x 4.55</t>
  </si>
  <si>
    <t>ACTIVE</t>
  </si>
  <si>
    <t>Radiation-hardened QMLV, 1.2-V shunt voltage reference</t>
  </si>
  <si>
    <t>Shunt voltage references</t>
  </si>
  <si>
    <t>Space</t>
  </si>
  <si>
    <t>TO-CAN</t>
  </si>
  <si>
    <t/>
  </si>
  <si>
    <t>-55 to 125</t>
  </si>
  <si>
    <t>6.41 x 5.44</t>
  </si>
  <si>
    <t>ACTIVE</t>
  </si>
  <si>
    <t>100-V, N channel NexFET™ power MOSFET, single TO-220, 3.6 mOhm</t>
  </si>
  <si>
    <t>MOSFETs</t>
  </si>
  <si>
    <t>Catalog</t>
  </si>
  <si>
    <t>TO-220</t>
  </si>
  <si>
    <t/>
  </si>
  <si>
    <t>-55 to 175</t>
  </si>
  <si>
    <t>10.16 x 4.55</t>
  </si>
  <si>
    <t>ACTIVE</t>
  </si>
  <si>
    <t>100-V, N channel NexFET™ power MOSFET, single TO-220, 2.7 mOhm</t>
  </si>
  <si>
    <t>MOSFETs</t>
  </si>
  <si>
    <t>Catalog</t>
  </si>
  <si>
    <t>TO-220</t>
  </si>
  <si>
    <t/>
  </si>
  <si>
    <t>-55 to 175</t>
  </si>
  <si>
    <t>10.16 x 4.55</t>
  </si>
  <si>
    <t>ACTIVE</t>
  </si>
  <si>
    <t>12-V, N channel NexFET™ power MOSFET, single WLP 1 mm x 1 mm, 34  mOhm</t>
  </si>
  <si>
    <t>MOSFETs</t>
  </si>
  <si>
    <t>Catalog</t>
  </si>
  <si>
    <t>DSBGA</t>
  </si>
  <si>
    <t/>
  </si>
  <si>
    <t>-55 to 150</t>
  </si>
  <si>
    <t>1.25 x 1.25</t>
  </si>
  <si>
    <t>ACTIVE</t>
  </si>
  <si>
    <t>HIGH INPUT VOLTAGE BUCK-BOOST CONVERTER WITH 2-A SWITCH CURRENT</t>
  </si>
  <si>
    <t>AC/DC &amp; DC/DC converters (integrated FET)</t>
  </si>
  <si>
    <t>HiRel Enhanced Product</t>
  </si>
  <si>
    <t>Buck-Boost</t>
  </si>
  <si>
    <t>WSON</t>
  </si>
  <si>
    <t/>
  </si>
  <si>
    <t>-55 to 125</t>
  </si>
  <si>
    <t>3 x 3</t>
  </si>
  <si>
    <t>ACTIVE</t>
  </si>
  <si>
    <t>Phase dimmable, Single Stage boost controller for LED Lighting</t>
  </si>
  <si>
    <t>Illumination  LED drivers</t>
  </si>
  <si>
    <t>Catalog</t>
  </si>
  <si>
    <t>Boost,Boost Controller</t>
  </si>
  <si>
    <t>HVSSOP</t>
  </si>
  <si>
    <t/>
  </si>
  <si>
    <t>-40 to 125</t>
  </si>
  <si>
    <t>3 x 4.9</t>
  </si>
  <si>
    <t>ACTIVE</t>
  </si>
  <si>
    <t>Automotive 150-mA, 30-V, ultra-low-IQ, low-dropout voltage regulator with reverse current protection</t>
  </si>
  <si>
    <t>Linear &amp; low-dropout (LDO) regulators</t>
  </si>
  <si>
    <t>Automotive</t>
  </si>
  <si>
    <t>SOT-23,WSON</t>
  </si>
  <si>
    <t>Functional Safety-Capable</t>
  </si>
  <si>
    <t>-40 to 125</t>
  </si>
  <si>
    <t>5,6</t>
  </si>
  <si>
    <t>4,8.12</t>
  </si>
  <si>
    <t>2 x 2,2.9 x 2.8</t>
  </si>
  <si>
    <t>0.8,1.45</t>
  </si>
  <si>
    <t>0.65,0.95</t>
  </si>
  <si>
    <t>ACTIVE</t>
  </si>
  <si>
    <t>2-ch, 5.5-V, 16-mΩ, automotive load switch with adj. rise time and output discharge</t>
  </si>
  <si>
    <t>Load switches</t>
  </si>
  <si>
    <t>Automotive</t>
  </si>
  <si>
    <t>WSON</t>
  </si>
  <si>
    <t/>
  </si>
  <si>
    <t>-40 to 105</t>
  </si>
  <si>
    <t>3 x 2</t>
  </si>
  <si>
    <t>ACTIVE</t>
  </si>
  <si>
    <t>500-mA, 6-MHz High-Efficiency Step-Down Converter, Vout=1.2V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</si>
  <si>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</si>
  <si>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</si>
  <si>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</si>
  <si>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</si>
  <si>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</si>
  <si>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</si>
  <si>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</si>
  <si>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</si>
  <si>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Radiation-hardened QMLV, 1.5-V to 7-V input, 3-A low-noise adjustable low-dropout (LDO) regulator</t>
  </si>
  <si>
    <t>Linear &amp; low-dropout (LDO) regulators</t>
  </si>
  <si>
    <t>Space</t>
  </si>
  <si>
    <t>CFP,DIESALE</t>
  </si>
  <si>
    <t/>
  </si>
  <si>
    <t>-55 to 125</t>
  </si>
  <si>
    <t>0,16</t>
  </si>
  <si>
    <t>105.6,See data sheet</t>
  </si>
  <si>
    <t>11 x 9.6,See data sheet</t>
  </si>
  <si>
    <t>2.34,—</t>
  </si>
  <si>
    <t>1.27,—</t>
  </si>
  <si>
    <t>ACTIVE</t>
  </si>
  <si>
    <t>Automotive 2.5-A/5-A single-channel gate driver with 8-V UVLO, 35-V VDD, and CMOS inputs</t>
  </si>
  <si>
    <t>Low-side drivers</t>
  </si>
  <si>
    <t>Automotive</t>
  </si>
  <si>
    <t>SOT-23</t>
  </si>
  <si>
    <t>Functional Safety-Capable</t>
  </si>
  <si>
    <t>-40 to 140</t>
  </si>
  <si>
    <t>2.9 x 2.8</t>
  </si>
  <si>
    <t>ACTIVE</t>
  </si>
  <si>
    <t>DDR Termination Regulator for Automotive Applications</t>
  </si>
  <si>
    <t>DDR memory power ICs,Multi-channel ICs (PMICs)</t>
  </si>
  <si>
    <t>Automotive</t>
  </si>
  <si>
    <t>HSOIC</t>
  </si>
  <si>
    <t/>
  </si>
  <si>
    <t>-40 to 125</t>
  </si>
  <si>
    <t>4.9 x 6</t>
  </si>
  <si>
    <t>ACTIVE</t>
  </si>
  <si>
    <t>3V to 14.5V, 20A Step-Down Power Module in 15x16x5.8mm QFN Package</t>
  </si>
  <si>
    <t>Power modules (integrated inductor)</t>
  </si>
  <si>
    <t>Catalog</t>
  </si>
  <si>
    <t>Buck,Synchronous Buck</t>
  </si>
  <si>
    <t>B4QFN</t>
  </si>
  <si>
    <t/>
  </si>
  <si>
    <t>-40 to 85</t>
  </si>
  <si>
    <t>16 x 15</t>
  </si>
  <si>
    <t>ACTIVE</t>
  </si>
  <si>
    <t>3V to 14.5V, 30A Step-Down Power Module in 15x16x5.8mm QFN Package</t>
  </si>
  <si>
    <t>Power modules (integrated inductor)</t>
  </si>
  <si>
    <t>Catalog</t>
  </si>
  <si>
    <t>Buck,Synchronous Buck</t>
  </si>
  <si>
    <t>B4QFN</t>
  </si>
  <si>
    <t/>
  </si>
  <si>
    <t>-40 to 85</t>
  </si>
  <si>
    <t>16 x 15</t>
  </si>
  <si>
    <t>ACTIVE</t>
  </si>
  <si>
    <t>Constant-voltage, constant-current PWM with PSR, valley switching, NTC option, and 300mV cable comp.</t>
  </si>
  <si>
    <t>AC/DC &amp; DC/DC controllers (external FET)</t>
  </si>
  <si>
    <t>Catalog</t>
  </si>
  <si>
    <t>Buck,Flyback</t>
  </si>
  <si>
    <t>SOIC</t>
  </si>
  <si>
    <t/>
  </si>
  <si>
    <t>-40 to 125</t>
  </si>
  <si>
    <t>4.9 x 6</t>
  </si>
  <si>
    <t>ACTIVE</t>
  </si>
  <si>
    <t>4.5V to 18V Input Voltage, 3A/2A/2A Output Current Triple Synchronous Buck Converter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</si>
  <si>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</si>
  <si>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</si>
  <si>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</si>
  <si>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</si>
  <si>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</si>
  <si>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</si>
  <si>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</si>
  <si>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</si>
  <si>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4.5V to 18V Input Voltage, 3A/2A/2A Output Current Triple Synchronous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</si>
  <si>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</si>
  <si>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</si>
  <si>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</si>
  <si>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</si>
  <si>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</si>
  <si>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</si>
  <si>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</si>
  <si>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</si>
  <si>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80-V, N channel NexFET™ power MOSFET, single TO-220, 2.3 mOhm</t>
  </si>
  <si>
    <t>MOSFETs</t>
  </si>
  <si>
    <t>Catalog</t>
  </si>
  <si>
    <t>TO-220</t>
  </si>
  <si>
    <t/>
  </si>
  <si>
    <t>-55 to 175</t>
  </si>
  <si>
    <t>10.16 x 4.55</t>
  </si>
  <si>
    <t>ACTIVE</t>
  </si>
  <si>
    <t>100-V, N channel NexFET™ power MOSFET, single TO-220, 10.5 mOhm</t>
  </si>
  <si>
    <t>MOSFETs</t>
  </si>
  <si>
    <t>Catalog</t>
  </si>
  <si>
    <t>TO-220</t>
  </si>
  <si>
    <t/>
  </si>
  <si>
    <t>-55 to 175</t>
  </si>
  <si>
    <t>10.16 x 4.55</t>
  </si>
  <si>
    <t>ACTIVE</t>
  </si>
  <si>
    <t>100-V, N channel NexFET™ power MOSFET, single SON 5 mm x 6 mm, 9.5 mOhm</t>
  </si>
  <si>
    <t>MOSFETs</t>
  </si>
  <si>
    <t>Catalog</t>
  </si>
  <si>
    <t>VSONP</t>
  </si>
  <si>
    <t/>
  </si>
  <si>
    <t>-55 to 150</t>
  </si>
  <si>
    <t>4.9 x 6</t>
  </si>
  <si>
    <t>ACTIVE</t>
  </si>
  <si>
    <t>-20-V, P channel NexFET™ power MOSFET, single SON  3 mm x 3 mm, 8.9 mOhm</t>
  </si>
  <si>
    <t>MOSFETs</t>
  </si>
  <si>
    <t>Catalog</t>
  </si>
  <si>
    <t>VSONP</t>
  </si>
  <si>
    <t/>
  </si>
  <si>
    <t>-55 to 150</t>
  </si>
  <si>
    <t>3.3 x 3.3</t>
  </si>
  <si>
    <t>ACTIVE</t>
  </si>
  <si>
    <t>45A Synchronous Buck NexFET&amp;trade; Power Stage with temperature sense</t>
  </si>
  <si>
    <t>Si power stages</t>
  </si>
  <si>
    <t>Catalog</t>
  </si>
  <si>
    <t>LSON-CLIP</t>
  </si>
  <si>
    <t/>
  </si>
  <si>
    <t>-55 to 150</t>
  </si>
  <si>
    <t>6 x 5</t>
  </si>
  <si>
    <t>ACTIVE</t>
  </si>
  <si>
    <t>4.5 to 42V Input 3.5A Step-Down DC-DC Converter With Soft-Start and Eco-mode&amp;trade;</t>
  </si>
  <si>
    <t>AC/DC &amp; DC/DC converters (integrated FET)</t>
  </si>
  <si>
    <t>Catalog</t>
  </si>
  <si>
    <t>Buck</t>
  </si>
  <si>
    <t>WSON</t>
  </si>
  <si>
    <t/>
  </si>
  <si>
    <t>-40 to 85</t>
  </si>
  <si>
    <t>4 x 4</t>
  </si>
  <si>
    <t>ACTIVE</t>
  </si>
  <si>
    <t>4.5 to 60V Input 3.5A Step-Down DC-DC Converter With Soft-Start and Eco-mode&amp;trade;</t>
  </si>
  <si>
    <t>AC/DC &amp; DC/DC converters (integrated FET)</t>
  </si>
  <si>
    <t>Catalog</t>
  </si>
  <si>
    <t>Buck</t>
  </si>
  <si>
    <t>WSON</t>
  </si>
  <si>
    <t/>
  </si>
  <si>
    <t>-40 to 85</t>
  </si>
  <si>
    <t>4 x 4</t>
  </si>
  <si>
    <t>ACTIVE</t>
  </si>
  <si>
    <t>4.5V to 60V Input 5A Step-Down DC-DC Converter With Soft-Start and Eco-mode&amp;trade;</t>
  </si>
  <si>
    <t>AC/DC &amp; DC/DC converters (integrated FET)</t>
  </si>
  <si>
    <t>Catalog</t>
  </si>
  <si>
    <t>Buck</t>
  </si>
  <si>
    <t>WSON</t>
  </si>
  <si>
    <t/>
  </si>
  <si>
    <t>-40 to 125</t>
  </si>
  <si>
    <t>4 x 4</t>
  </si>
  <si>
    <t>ACTIVE</t>
  </si>
  <si>
    <t>RF frontend Power Management IC (PMIC)</t>
  </si>
  <si>
    <t>Multi-channel ICs (PMICs)</t>
  </si>
  <si>
    <t>Catalog</t>
  </si>
  <si>
    <t>DSBGA</t>
  </si>
  <si>
    <t/>
  </si>
  <si>
    <t>-40 to 85</t>
  </si>
  <si>
    <t>2.2 x 2.5999999999999996</t>
  </si>
  <si>
    <t>ACTIVE</t>
  </si>
  <si>
    <t>80-V, N channel NexFET™ power MOSFET, single TO-220, 9.2 mOhm</t>
  </si>
  <si>
    <t>MOSFETs</t>
  </si>
  <si>
    <t>Catalog</t>
  </si>
  <si>
    <t>TO-220</t>
  </si>
  <si>
    <t/>
  </si>
  <si>
    <t>-55 to 175</t>
  </si>
  <si>
    <t>10.16 x 4.55</t>
  </si>
  <si>
    <t>ACTIVE</t>
  </si>
  <si>
    <t>3 String backlight driver with 11-bits of Exponential dimming</t>
  </si>
  <si>
    <t>Backlight LED drivers</t>
  </si>
  <si>
    <t>Catalog</t>
  </si>
  <si>
    <t>Boost</t>
  </si>
  <si>
    <t>DSBGA</t>
  </si>
  <si>
    <t/>
  </si>
  <si>
    <t>-40 to 125</t>
  </si>
  <si>
    <t>1.8 x 1.4000000000000001</t>
  </si>
  <si>
    <t>ACTIVE</t>
  </si>
  <si>
    <t>4.5V to 42V Input 5A Step-Down DC-DC Converter With Soft-Start and Eco-mode&amp;trade;</t>
  </si>
  <si>
    <t>AC/DC &amp; DC/DC converters (integrated FET)</t>
  </si>
  <si>
    <t>Catalog</t>
  </si>
  <si>
    <t>Buck</t>
  </si>
  <si>
    <t>WSON</t>
  </si>
  <si>
    <t/>
  </si>
  <si>
    <t>-40 to 85</t>
  </si>
  <si>
    <t>4 x 4</t>
  </si>
  <si>
    <t>ACTIVE</t>
  </si>
  <si>
    <t>Automotive 50-mA, off-battery (40-V),  adjustable voltage-tracking low-dropout voltage regulator</t>
  </si>
  <si>
    <t>Linear &amp; low-dropout (LDO) regulators</t>
  </si>
  <si>
    <t>Automotive</t>
  </si>
  <si>
    <t>SOT-23</t>
  </si>
  <si>
    <t>Functional Safety-Capable</t>
  </si>
  <si>
    <t>-40 to 125</t>
  </si>
  <si>
    <t>2.9 x 2.8</t>
  </si>
  <si>
    <t>ACTIVE</t>
  </si>
  <si>
    <t>Dual-channel WLED drivers For smart phone</t>
  </si>
  <si>
    <t>Backlight LED drivers</t>
  </si>
  <si>
    <t>Catalog</t>
  </si>
  <si>
    <t>Boost</t>
  </si>
  <si>
    <t>DSBGA</t>
  </si>
  <si>
    <t/>
  </si>
  <si>
    <t>-55 to 125</t>
  </si>
  <si>
    <t>1.4000000000000001 x 1.4000000000000001</t>
  </si>
  <si>
    <t>ACTIVE</t>
  </si>
  <si>
    <t>Dual-channel WLED drivers for small display</t>
  </si>
  <si>
    <t>Backlight LED drivers</t>
  </si>
  <si>
    <t>Catalog</t>
  </si>
  <si>
    <t>Boost</t>
  </si>
  <si>
    <t>DSBGA</t>
  </si>
  <si>
    <t/>
  </si>
  <si>
    <t>-40 to 85</t>
  </si>
  <si>
    <t>1.4000000000000001 x 1.4000000000000001</t>
  </si>
  <si>
    <t>ACTIVE</t>
  </si>
  <si>
    <t>Automotive 450-mA, off-battery (40-V), high-PSRR, low-IQ, low-dropout voltage regulator with PG</t>
  </si>
  <si>
    <t>Linear &amp; low-dropout (LDO) regulators</t>
  </si>
  <si>
    <t>Automotive</t>
  </si>
  <si>
    <t>HTSSOP</t>
  </si>
  <si>
    <t>Functional Safety-Capable</t>
  </si>
  <si>
    <t>-40 to 125</t>
  </si>
  <si>
    <t>6.5 x 6.4</t>
  </si>
  <si>
    <t>ACTIVE</t>
  </si>
  <si>
    <t>80-V, N channel NexFET™ power MOSFET, single SON 5 mm x 6 mm, 4.1 mOhm</t>
  </si>
  <si>
    <t>MOSFETs</t>
  </si>
  <si>
    <t>Catalog</t>
  </si>
  <si>
    <t>VSON-CLIP</t>
  </si>
  <si>
    <t/>
  </si>
  <si>
    <t>-55 to 150</t>
  </si>
  <si>
    <t>6 x 5</t>
  </si>
  <si>
    <t>ACTIVE</t>
  </si>
  <si>
    <t>Automotive 5.6V to 40V, 1.2A Buck Converter with 3 LDOs and Protected Sensor Supply</t>
  </si>
  <si>
    <t>Multi-channel ICs (PMICs)</t>
  </si>
  <si>
    <t>Automotive</t>
  </si>
  <si>
    <t>HTSSOP</t>
  </si>
  <si>
    <t/>
  </si>
  <si>
    <t>-40 to 125</t>
  </si>
  <si>
    <t>7.8 x 6.4</t>
  </si>
  <si>
    <t>ACTIVE</t>
  </si>
  <si>
    <t>Automotive 5-A/5-A  dual-channel gate driver with 5-V UVLO and negative input voltage handling</t>
  </si>
  <si>
    <t>Low-side drivers</t>
  </si>
  <si>
    <t>Automotive</t>
  </si>
  <si>
    <t>HVSSOP,SOIC</t>
  </si>
  <si>
    <t/>
  </si>
  <si>
    <t>-40 to 140</t>
  </si>
  <si>
    <t>14.7,29.4</t>
  </si>
  <si>
    <t>3 x 4.9,4.9 x 6</t>
  </si>
  <si>
    <t>1.1,1.75</t>
  </si>
  <si>
    <t>0.65,1.27</t>
  </si>
  <si>
    <t>ACTIVE</t>
  </si>
  <si>
    <t>SIMPLE SWITCHER® 4-V to 40-V, 600-mA step-down converter with Low Iq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</si>
  <si>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</si>
  <si>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</si>
  <si>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</si>
  <si>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</si>
  <si>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</si>
  <si>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</si>
  <si>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</si>
  <si>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</si>
  <si>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100-V, N channel NexFET™ power MOSFET, single SON 5 mm x 6 mm, 4.9 mOhm</t>
  </si>
  <si>
    <t>MOSFETs</t>
  </si>
  <si>
    <t>Catalog</t>
  </si>
  <si>
    <t>VSON-CLIP</t>
  </si>
  <si>
    <t/>
  </si>
  <si>
    <t>-55 to 150</t>
  </si>
  <si>
    <t>6 x 5</t>
  </si>
  <si>
    <t>ACTIVE</t>
  </si>
  <si>
    <t>800-mA, High-Efficiency MicroSiP&amp;trade; Step-Down Converter (Profile &lt;1mm)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</si>
  <si>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</si>
  <si>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</si>
  <si>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</si>
  <si>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</si>
  <si>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</si>
  <si>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</si>
  <si>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</si>
  <si>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</si>
  <si>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18V Input, 3.5A/3.5A Dual Synchronous Step-down Regulator with Voltage Scaling</t>
  </si>
  <si>
    <t>AC/DC &amp; DC/DC converters (integrated FET)</t>
  </si>
  <si>
    <t>Catalog</t>
  </si>
  <si>
    <t>Buck</t>
  </si>
  <si>
    <t>HTSSOP</t>
  </si>
  <si>
    <t/>
  </si>
  <si>
    <t>-40 to 85</t>
  </si>
  <si>
    <t>11 x 8.1</t>
  </si>
  <si>
    <t>ACTIVE</t>
  </si>
  <si>
    <t>1.5-V to 18-V, 12-A synchronous SWIFT™ buck converter with PMBus</t>
  </si>
  <si>
    <t>AC/DC &amp; DC/DC converters (integrated FET)</t>
  </si>
  <si>
    <t>Catalog</t>
  </si>
  <si>
    <t>Buck</t>
  </si>
  <si>
    <t>VQFN-CLIP</t>
  </si>
  <si>
    <t/>
  </si>
  <si>
    <t>-40 to 85</t>
  </si>
  <si>
    <t>4.5 x 3.5</t>
  </si>
  <si>
    <t>ACTIVE</t>
  </si>
  <si>
    <t>1.5-V to 18-V, 8-A synchronous SWIFT™ buck converter</t>
  </si>
  <si>
    <t>AC/DC &amp; DC/DC converters (integrated FET)</t>
  </si>
  <si>
    <t>Catalog</t>
  </si>
  <si>
    <t>Buck</t>
  </si>
  <si>
    <t>VQFN-CLIP</t>
  </si>
  <si>
    <t/>
  </si>
  <si>
    <t>-40 to 85</t>
  </si>
  <si>
    <t>4.5 x 3.5</t>
  </si>
  <si>
    <t>ACTIVE</t>
  </si>
  <si>
    <t>1.5-V to 18-V, 12-A synchronous SWIFT™ buck converter</t>
  </si>
  <si>
    <t>AC/DC &amp; DC/DC converters (integrated FET)</t>
  </si>
  <si>
    <t>Catalog</t>
  </si>
  <si>
    <t>Buck</t>
  </si>
  <si>
    <t>VQFN-CLIP</t>
  </si>
  <si>
    <t/>
  </si>
  <si>
    <t>-40 to 85</t>
  </si>
  <si>
    <t>4.5 x 3.5</t>
  </si>
  <si>
    <t>ACTIVE</t>
  </si>
  <si>
    <t>2.95V to 6V Input, 4A Synchronous Step-Down SWIFT&amp;trade; Converter</t>
  </si>
  <si>
    <t>AC/DC &amp; DC/DC converters (integrated FET)</t>
  </si>
  <si>
    <t>Catalog</t>
  </si>
  <si>
    <t>Buck</t>
  </si>
  <si>
    <t>WQFN</t>
  </si>
  <si>
    <t/>
  </si>
  <si>
    <t>-40 to 150</t>
  </si>
  <si>
    <t>3 x 3</t>
  </si>
  <si>
    <t>ACTIVE</t>
  </si>
  <si>
    <t>20-V, N channel NexFET™ power MOSFET, dual common source SON 3 mm x 3, 14 mOhm</t>
  </si>
  <si>
    <t>MOSFETs</t>
  </si>
  <si>
    <t>Catalog</t>
  </si>
  <si>
    <t>VSON</t>
  </si>
  <si>
    <t/>
  </si>
  <si>
    <t>-55 to 150</t>
  </si>
  <si>
    <t>3.3 x 3.3</t>
  </si>
  <si>
    <t>ACTIVE</t>
  </si>
  <si>
    <t>LCD Bias with Digital VCOM Buffer for Notebook PCs and Tablet PCs</t>
  </si>
  <si>
    <t>LCD &amp; OLED display power &amp; drivers</t>
  </si>
  <si>
    <t>Catalog</t>
  </si>
  <si>
    <t>Boost,Buck</t>
  </si>
  <si>
    <t>WQFN</t>
  </si>
  <si>
    <t/>
  </si>
  <si>
    <t>-40 to 85</t>
  </si>
  <si>
    <t>5.5 x 3.5</t>
  </si>
  <si>
    <t>ACTIVE</t>
  </si>
  <si>
    <t>17V Input, 5A Synchronous Step-Down Regulator with Voltage Scaling</t>
  </si>
  <si>
    <t>AC/DC &amp; DC/DC converters (integrated FET)</t>
  </si>
  <si>
    <t>Catalog</t>
  </si>
  <si>
    <t>Buck</t>
  </si>
  <si>
    <t>HTSSOP</t>
  </si>
  <si>
    <t/>
  </si>
  <si>
    <t>-40 to 85</t>
  </si>
  <si>
    <t>6.5 x 6.4</t>
  </si>
  <si>
    <t>ACTIVE</t>
  </si>
  <si>
    <t>4.5-V to 18-V, 6-A synchronous buck converter with eco-mode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</si>
  <si>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</si>
  <si>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</si>
  <si>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</si>
  <si>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</si>
  <si>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</si>
  <si>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</si>
  <si>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</si>
  <si>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</si>
  <si>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4.5-V to 17-V, 9-A synchronous buck converter with voltage scaling</t>
  </si>
  <si>
    <t>AC/DC &amp; DC/DC converters (integrated FET)</t>
  </si>
  <si>
    <t>Catalog</t>
  </si>
  <si>
    <t>Buck</t>
  </si>
  <si>
    <t>HTSSOP</t>
  </si>
  <si>
    <t/>
  </si>
  <si>
    <t>-40 to 85</t>
  </si>
  <si>
    <t>6.5 x 6.4</t>
  </si>
  <si>
    <t>ACTIVE</t>
  </si>
  <si>
    <t>4.5-V to 17-V, 12-A synchronous buck converter with voltage scaling</t>
  </si>
  <si>
    <t>AC/DC &amp; DC/DC converters (integrated FET)</t>
  </si>
  <si>
    <t>Catalog</t>
  </si>
  <si>
    <t>Buck</t>
  </si>
  <si>
    <t>HTSSOP</t>
  </si>
  <si>
    <t/>
  </si>
  <si>
    <t>-40 to 85</t>
  </si>
  <si>
    <t>7.8 x 6.4</t>
  </si>
  <si>
    <t>ACTIVE</t>
  </si>
  <si>
    <t>2.2V-5.5V input, ultra-low-power 300mA step-down buck DCDC converter with 360nA Iq</t>
  </si>
  <si>
    <t>AC/DC &amp; DC/DC converters (integrated FET)</t>
  </si>
  <si>
    <t>Catalog</t>
  </si>
  <si>
    <t>Buck</t>
  </si>
  <si>
    <t>WSON</t>
  </si>
  <si>
    <t/>
  </si>
  <si>
    <t>-40 to 85</t>
  </si>
  <si>
    <t>3 x 2</t>
  </si>
  <si>
    <t>ACTIVE</t>
  </si>
  <si>
    <t>2-Phase, D-CAP+TM Step-Down Controller for VR12.6 V.CPU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</si>
  <si>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</si>
  <si>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</si>
  <si>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</si>
  <si>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</si>
  <si>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</si>
  <si>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</si>
  <si>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</si>
  <si>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</si>
  <si>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2.95V to 17V, 4A Step-Down Power Module with Current Sharing in 10x10x4.3mm QFN Package</t>
  </si>
  <si>
    <t>Power modules (integrated inductor)</t>
  </si>
  <si>
    <t>Catalog</t>
  </si>
  <si>
    <t>Buck,Synchronous Buck</t>
  </si>
  <si>
    <t>B3QFN</t>
  </si>
  <si>
    <t/>
  </si>
  <si>
    <t>-40 to 85</t>
  </si>
  <si>
    <t>10 x 10</t>
  </si>
  <si>
    <t>ACTIVE</t>
  </si>
  <si>
    <t>2.95V to 17V, 7A Step-Down Power Module with Current Sharing in 10x10x4.3mm QFN Package</t>
  </si>
  <si>
    <t>Power modules (integrated inductor)</t>
  </si>
  <si>
    <t>Catalog</t>
  </si>
  <si>
    <t>Buck,Synchronous Buck</t>
  </si>
  <si>
    <t>B3QFN</t>
  </si>
  <si>
    <t/>
  </si>
  <si>
    <t>-40 to 85</t>
  </si>
  <si>
    <t>10 x 10</t>
  </si>
  <si>
    <t>ACTIVE</t>
  </si>
  <si>
    <t>18-kHz-250-kHz CCM PFC controller with enhanced startup &amp; transient response</t>
  </si>
  <si>
    <t>AC/DC &amp; DC/DC controllers (external FET)</t>
  </si>
  <si>
    <t>Catalog</t>
  </si>
  <si>
    <t>Boost,PFC controller</t>
  </si>
  <si>
    <t>SOIC</t>
  </si>
  <si>
    <t/>
  </si>
  <si>
    <t>-40 to 125</t>
  </si>
  <si>
    <t>4.9 x 6</t>
  </si>
  <si>
    <t>ACTIVE</t>
  </si>
  <si>
    <t>30-V, N channel NexFET™ power MOSFET, single SON 2 mm x 2 mm, 29 mOhm</t>
  </si>
  <si>
    <t>MOSFETs</t>
  </si>
  <si>
    <t>Catalog</t>
  </si>
  <si>
    <t>WSON</t>
  </si>
  <si>
    <t/>
  </si>
  <si>
    <t>-55 to 150</t>
  </si>
  <si>
    <t>2 x 2</t>
  </si>
  <si>
    <t>ACTIVE</t>
  </si>
  <si>
    <t>3-A, low-VIN (1.4-V), adjustable ultra-low-dropout voltage regulator with enable</t>
  </si>
  <si>
    <t>Linear &amp; low-dropout (LDO) regulators</t>
  </si>
  <si>
    <t>Catalog</t>
  </si>
  <si>
    <t>HSOIC</t>
  </si>
  <si>
    <t/>
  </si>
  <si>
    <t>-40 to 125</t>
  </si>
  <si>
    <t>4.9 x 6</t>
  </si>
  <si>
    <t>ACTIVE</t>
  </si>
  <si>
    <t>Dual USB Dedicated Charging Port Controllers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</si>
  <si>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</si>
  <si>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</si>
  <si>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</si>
  <si>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</si>
  <si>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</si>
  <si>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</si>
  <si>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</si>
  <si>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USB dedicated charging port controller - Gen 2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</si>
  <si>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</si>
  <si>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</si>
  <si>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</si>
  <si>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</si>
  <si>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</si>
  <si>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</si>
  <si>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</si>
  <si>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1-A, low-noise, adjustable low-dropout voltage regulator with enable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</si>
  <si>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</si>
  <si>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</si>
  <si>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</si>
  <si>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</si>
  <si>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</si>
  <si>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</si>
  <si>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</si>
  <si>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Digital Dual Synchronous-Buck Power Driver, UCD7242-EP</t>
  </si>
  <si>
    <t>AC/DC &amp; DC/DC controllers (external FET)</t>
  </si>
  <si>
    <t>HiRel Enhanced Product</t>
  </si>
  <si>
    <t>VQFN-HR</t>
  </si>
  <si>
    <t/>
  </si>
  <si>
    <t>-55 to 125</t>
  </si>
  <si>
    <t>6 x 6</t>
  </si>
  <si>
    <t>ACTIVE</t>
  </si>
  <si>
    <t>Digital PWM System Controller with 4-bit, 6-bit, or 8-bit VID Support UCD9222-EP</t>
  </si>
  <si>
    <t>AC/DC &amp; DC/DC controllers (external FET)</t>
  </si>
  <si>
    <t>HiRel Enhanced Product</t>
  </si>
  <si>
    <t>VQFN</t>
  </si>
  <si>
    <t/>
  </si>
  <si>
    <t>-55 to 115</t>
  </si>
  <si>
    <t>7 x 7</t>
  </si>
  <si>
    <t>ACTIVE</t>
  </si>
  <si>
    <t>1.5A Buck Converter in SOT23 Package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</si>
  <si>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</si>
  <si>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</si>
  <si>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</si>
  <si>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</si>
  <si>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</si>
  <si>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</si>
  <si>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</si>
  <si>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</si>
  <si>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1.5A Buck Converter with Power Good, in SOT23 Package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</si>
  <si>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</si>
  <si>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</si>
  <si>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</si>
  <si>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</si>
  <si>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</si>
  <si>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</si>
  <si>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</si>
  <si>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</si>
  <si>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3-A Step-Down Converter with DCS-Control and Hiccup Short Circuit Protection in 2x2 HotRod Package</t>
  </si>
  <si>
    <t>AC/DC &amp; DC/DC converters (integrated FET)</t>
  </si>
  <si>
    <t>Catalog</t>
  </si>
  <si>
    <t>Buck</t>
  </si>
  <si>
    <t>VSON-HR</t>
  </si>
  <si>
    <t/>
  </si>
  <si>
    <t>-40 to 125</t>
  </si>
  <si>
    <t>2 x 2</t>
  </si>
  <si>
    <t>ACTIVE</t>
  </si>
  <si>
    <t>3-A Step-Down Converter with DCS-Control and Hiccup Short Circuit Protection in 2x2 QFN Package</t>
  </si>
  <si>
    <t>AC/DC &amp; DC/DC converters (integrated FET)</t>
  </si>
  <si>
    <t>Catalog</t>
  </si>
  <si>
    <t>Buck</t>
  </si>
  <si>
    <t>VSON-HR</t>
  </si>
  <si>
    <t/>
  </si>
  <si>
    <t>-40 to 125</t>
  </si>
  <si>
    <t>2 x 2</t>
  </si>
  <si>
    <t>ACTIVE</t>
  </si>
  <si>
    <t>3-A Step-Down Converter with DCS-Control and Hiccup Short Circuit Protection in 2x2 QFN Package</t>
  </si>
  <si>
    <t>AC/DC &amp; DC/DC converters (integrated FET)</t>
  </si>
  <si>
    <t>Catalog</t>
  </si>
  <si>
    <t>Buck</t>
  </si>
  <si>
    <t>VSON-HR</t>
  </si>
  <si>
    <t/>
  </si>
  <si>
    <t>-40 to 125</t>
  </si>
  <si>
    <t>2 x 2</t>
  </si>
  <si>
    <t>ACTIVE</t>
  </si>
  <si>
    <t>80V High Temperature Wide Range Synchronous Buck Controller</t>
  </si>
  <si>
    <t>AC/DC &amp; DC/DC controllers (external FET)</t>
  </si>
  <si>
    <t>High Temp</t>
  </si>
  <si>
    <t>Buck</t>
  </si>
  <si>
    <t>CDIP_SB</t>
  </si>
  <si>
    <t/>
  </si>
  <si>
    <t>-55 to 175</t>
  </si>
  <si>
    <t>25.65 x 10.1</t>
  </si>
  <si>
    <t>ACTIVE</t>
  </si>
  <si>
    <t>Floating switch for offline AC linear direct drive of LEDs with Low Ripple current</t>
  </si>
  <si>
    <t>Illumination  LED drivers</t>
  </si>
  <si>
    <t>Catalog</t>
  </si>
  <si>
    <t>AC Direct-Drive,Floating Switch</t>
  </si>
  <si>
    <t>HSOIC,SOT-23</t>
  </si>
  <si>
    <t/>
  </si>
  <si>
    <t>-40 to 150</t>
  </si>
  <si>
    <t>5,8</t>
  </si>
  <si>
    <t>8.12,29.4</t>
  </si>
  <si>
    <t>2.9 x 2.8,4.9 x 6</t>
  </si>
  <si>
    <t>1.45,1.7</t>
  </si>
  <si>
    <t>0.95,1.27</t>
  </si>
  <si>
    <t>ACTIVE</t>
  </si>
  <si>
    <t>2.5-V to 18-V, 3mΩ, 0.01-12A eFuse with driver for external blocking FET and latch off</t>
  </si>
  <si>
    <t>eFuses (integrated hot swaps)</t>
  </si>
  <si>
    <t>Catalog</t>
  </si>
  <si>
    <t>VQFN</t>
  </si>
  <si>
    <t/>
  </si>
  <si>
    <t>-40 to 85</t>
  </si>
  <si>
    <t>7 x 3.5</t>
  </si>
  <si>
    <t>ACTIVE</t>
  </si>
  <si>
    <t>2.5-V to 18-V, 3mΩ, 0.01-12A eFuse with driver for external blocking FET</t>
  </si>
  <si>
    <t>eFuses (integrated hot swaps)</t>
  </si>
  <si>
    <t>Catalog</t>
  </si>
  <si>
    <t>VQFN</t>
  </si>
  <si>
    <t/>
  </si>
  <si>
    <t>-40 to 85</t>
  </si>
  <si>
    <t>7 x 3.5</t>
  </si>
  <si>
    <t>ACTIVE</t>
  </si>
  <si>
    <t>Triple Buck Power Management IC (PMIC) for Solid-State Drives</t>
  </si>
  <si>
    <t>Multi-channel ICs (PMICs)</t>
  </si>
  <si>
    <t>Catalog</t>
  </si>
  <si>
    <t>DSBGA</t>
  </si>
  <si>
    <t/>
  </si>
  <si>
    <t>-30 to 85</t>
  </si>
  <si>
    <t>3.6 x 3</t>
  </si>
  <si>
    <t>ACTIVE</t>
  </si>
  <si>
    <t>Automotive 150-mA, low-IQ, dual-channel low-dropout voltage regulator with power good &amp; enable</t>
  </si>
  <si>
    <t>Linear &amp; low-dropout (LDO) regulators</t>
  </si>
  <si>
    <t>Automotive</t>
  </si>
  <si>
    <t>WSON</t>
  </si>
  <si>
    <t/>
  </si>
  <si>
    <t>-40 to 125</t>
  </si>
  <si>
    <t>3 x 3</t>
  </si>
  <si>
    <t>ACTIVE</t>
  </si>
  <si>
    <t>-12-V, P channel NexFET™ power MOSFET, single LGA 0.6 mm x 1 mm, 175 mOhm, gate ESD protection</t>
  </si>
  <si>
    <t>MOSFETs</t>
  </si>
  <si>
    <t>Catalog</t>
  </si>
  <si>
    <t>PICOSTAR</t>
  </si>
  <si>
    <t/>
  </si>
  <si>
    <t>-55 to 150</t>
  </si>
  <si>
    <t>1.035 x 0.635</t>
  </si>
  <si>
    <t>ACTIVE</t>
  </si>
  <si>
    <t>-20-V, P channel NexFET™ power MOSFET, single LGA 0.6 mm x 1 mm, 245 mOhm, gate ESD protection</t>
  </si>
  <si>
    <t>MOSFETs</t>
  </si>
  <si>
    <t>Catalog</t>
  </si>
  <si>
    <t>PICOSTAR</t>
  </si>
  <si>
    <t/>
  </si>
  <si>
    <t>-55 to 150</t>
  </si>
  <si>
    <t>1.035 x 0.635</t>
  </si>
  <si>
    <t>ACTIVE</t>
  </si>
  <si>
    <t>LCD bias with integrated gamma reference for notebook PCs, tablet PCs and monitors</t>
  </si>
  <si>
    <t>LCD &amp; OLED display power &amp; drivers</t>
  </si>
  <si>
    <t>Catalog</t>
  </si>
  <si>
    <t>Boost,Buck</t>
  </si>
  <si>
    <t>DSBGA</t>
  </si>
  <si>
    <t/>
  </si>
  <si>
    <t>-40 to 85</t>
  </si>
  <si>
    <t>3 x 3.5999999999999996</t>
  </si>
  <si>
    <t>ACTIVE</t>
  </si>
  <si>
    <t>Automotive 4V to 40V, 5 regulated output Power Management IC for automotive safety applications</t>
  </si>
  <si>
    <t>Multi-channel ICs (PMICs)</t>
  </si>
  <si>
    <t>Automotive</t>
  </si>
  <si>
    <t>VQFN</t>
  </si>
  <si>
    <t/>
  </si>
  <si>
    <t>-40 to 125</t>
  </si>
  <si>
    <t>8 x 8</t>
  </si>
  <si>
    <t>ACTIVE</t>
  </si>
  <si>
    <t>2.5A Adjustable Boost-Buck RF DC/DC Converter</t>
  </si>
  <si>
    <t>AC/DC &amp; DC/DC converters (integrated FET)</t>
  </si>
  <si>
    <t>Catalog</t>
  </si>
  <si>
    <t>Buck</t>
  </si>
  <si>
    <t>DSBGA</t>
  </si>
  <si>
    <t/>
  </si>
  <si>
    <t>-30 to 90</t>
  </si>
  <si>
    <t>2.5999999999999996 x 2.2</t>
  </si>
  <si>
    <t>ACTIVE</t>
  </si>
  <si>
    <t>4.5 V to 28 V, 1/2-phase step-down driverless controller for Intel VR12.6 CPUs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</si>
  <si>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</si>
  <si>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</si>
  <si>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</si>
  <si>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</si>
  <si>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</si>
  <si>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</si>
  <si>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</si>
  <si>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</si>
  <si>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4.5V to 20V Input, 3.3V 3A Synchronous Step-Down SWIFT&amp;trade; Converter w/ Low-Side Gate Driver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</si>
  <si>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</si>
  <si>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</si>
  <si>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</si>
  <si>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</si>
  <si>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</si>
  <si>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</si>
  <si>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</si>
  <si>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</si>
  <si>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LCD Bias IC with Integrated WLED Driver</t>
  </si>
  <si>
    <t>LCD &amp; OLED display power &amp; drivers</t>
  </si>
  <si>
    <t>Catalog</t>
  </si>
  <si>
    <t>Boost</t>
  </si>
  <si>
    <t>VQFN</t>
  </si>
  <si>
    <t/>
  </si>
  <si>
    <t>-40 to 85</t>
  </si>
  <si>
    <t>6 x 6</t>
  </si>
  <si>
    <t>ACTIVE</t>
  </si>
  <si>
    <t>12-V, N channel NexFET™ power MOSFET, single SON 2 mm x 2 mm, 9.3  mOhm</t>
  </si>
  <si>
    <t>MOSFETs</t>
  </si>
  <si>
    <t>Catalog</t>
  </si>
  <si>
    <t>WSON</t>
  </si>
  <si>
    <t/>
  </si>
  <si>
    <t>-55 to 150</t>
  </si>
  <si>
    <t>2 x 2</t>
  </si>
  <si>
    <t>ACTIVE</t>
  </si>
  <si>
    <t>3-65V Wide Vin, Current Mode Synchronous Boost with Disconnection Switch Control</t>
  </si>
  <si>
    <t>AC/DC &amp; DC/DC controllers (external FET)</t>
  </si>
  <si>
    <t>Catalog</t>
  </si>
  <si>
    <t>Boost,Flyback,Forward,SEPIC</t>
  </si>
  <si>
    <t>HTSSOP</t>
  </si>
  <si>
    <t/>
  </si>
  <si>
    <t>-40 to 125</t>
  </si>
  <si>
    <t>6.5 x 6.4</t>
  </si>
  <si>
    <t>ACTIVE</t>
  </si>
  <si>
    <t>Automotive, 3-65-V wide VIN, current mode synchronous boost with disconnection switch control</t>
  </si>
  <si>
    <t>AC/DC &amp; DC/DC controllers (external FET)</t>
  </si>
  <si>
    <t>Automotive</t>
  </si>
  <si>
    <t>Boost,Flyback,Forward,SEPIC</t>
  </si>
  <si>
    <t>HTSSOP</t>
  </si>
  <si>
    <t/>
  </si>
  <si>
    <t>-40 to 125</t>
  </si>
  <si>
    <t>6.5 x 6.4</t>
  </si>
  <si>
    <t>ACTIVE</t>
  </si>
  <si>
    <t>5.5-V, 3-A, 14-mΩ load switch</t>
  </si>
  <si>
    <t>Load switches</t>
  </si>
  <si>
    <t>Catalog</t>
  </si>
  <si>
    <t>DSBGA</t>
  </si>
  <si>
    <t/>
  </si>
  <si>
    <t>-40 to 85</t>
  </si>
  <si>
    <t>1.75 x 1.25</t>
  </si>
  <si>
    <t>ACTIVE</t>
  </si>
  <si>
    <t>150-mA, dual-channel low-dropout voltage regulator with enable</t>
  </si>
  <si>
    <t>Linear &amp; low-dropout (LDO) regulators</t>
  </si>
  <si>
    <t>Catalog</t>
  </si>
  <si>
    <t>X2SON</t>
  </si>
  <si>
    <t/>
  </si>
  <si>
    <t>-40 to 125</t>
  </si>
  <si>
    <t>1.2 x 1.2</t>
  </si>
  <si>
    <t>ACTIVE</t>
  </si>
  <si>
    <t>-20-V, P channel NexFET™ power MOSFET, single LGA 0.6 mm x 1 mm, 105 mOhm, gate ESD protection</t>
  </si>
  <si>
    <t>MOSFETs</t>
  </si>
  <si>
    <t>Catalog</t>
  </si>
  <si>
    <t>PICOSTAR</t>
  </si>
  <si>
    <t/>
  </si>
  <si>
    <t>-55 to 150</t>
  </si>
  <si>
    <t>1.035 x 0.635</t>
  </si>
  <si>
    <t>ACTIVE</t>
  </si>
  <si>
    <t>12-V, N channel NexFET™ power MOSFET, single LGA 1 mm x  0.6mm, 180 mOhm, gate ESD protection</t>
  </si>
  <si>
    <t>MOSFETs</t>
  </si>
  <si>
    <t>Catalog</t>
  </si>
  <si>
    <t>PICOSTAR</t>
  </si>
  <si>
    <t/>
  </si>
  <si>
    <t>-55 to 150</t>
  </si>
  <si>
    <t>1.035 x 0.635</t>
  </si>
  <si>
    <t>ACTIVE</t>
  </si>
  <si>
    <t>17V Input, 500mA Synchronous Step-Down Regulator in SOT-23 with Advanced Eco-Mode&amp;trade;</t>
  </si>
  <si>
    <t>AC/DC &amp; DC/DC converters (integrated FET)</t>
  </si>
  <si>
    <t>Catalog</t>
  </si>
  <si>
    <t>Buck</t>
  </si>
  <si>
    <t>SOT-23</t>
  </si>
  <si>
    <t/>
  </si>
  <si>
    <t>-40 to 125</t>
  </si>
  <si>
    <t>2.9 x 2.8</t>
  </si>
  <si>
    <t>ACTIVE</t>
  </si>
  <si>
    <t>4.5 to 18V Input, 2.5A/1.5A/1.5A Triple Sync. Step-Down Converter w/ Advanced D-CAP2&amp;trade;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</si>
  <si>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</si>
  <si>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</si>
  <si>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</si>
  <si>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</si>
  <si>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</si>
  <si>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</si>
  <si>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</si>
  <si>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</si>
  <si>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30-V, N channel NexFET™ power MOSFET, single LGA 1 mm x  0.6 mm, 260 mOhm, gate ESD protection</t>
  </si>
  <si>
    <t>MOSFETs</t>
  </si>
  <si>
    <t>Catalog</t>
  </si>
  <si>
    <t>PICOSTAR</t>
  </si>
  <si>
    <t/>
  </si>
  <si>
    <t>-55 to 150</t>
  </si>
  <si>
    <t>1.035 x 0.635</t>
  </si>
  <si>
    <t>ACTIVE</t>
  </si>
  <si>
    <t>100-V, N channel NexFET™ power MOSFET, single TO-220, 7.7 mOhm</t>
  </si>
  <si>
    <t>MOSFETs</t>
  </si>
  <si>
    <t>Catalog</t>
  </si>
  <si>
    <t>TO-220</t>
  </si>
  <si>
    <t/>
  </si>
  <si>
    <t>-55 to 175</t>
  </si>
  <si>
    <t>10.16 x 4.55</t>
  </si>
  <si>
    <t>ACTIVE</t>
  </si>
  <si>
    <t>100-V, N channel NexFET™ power MOSFET, single SON 5 mm x 6 mm, 6.4 mOhm</t>
  </si>
  <si>
    <t>MOSFETs</t>
  </si>
  <si>
    <t>Catalog</t>
  </si>
  <si>
    <t>VSONP</t>
  </si>
  <si>
    <t/>
  </si>
  <si>
    <t>-55 to 150</t>
  </si>
  <si>
    <t>4.9 x 6</t>
  </si>
  <si>
    <t>ACTIVE</t>
  </si>
  <si>
    <t>2.95V to 6V, 4A Step-Down Power Module in 9x11x2.8mm QFN Package</t>
  </si>
  <si>
    <t>Power modules (integrated inductor)</t>
  </si>
  <si>
    <t>Catalog</t>
  </si>
  <si>
    <t>Buck,Step-Down Converter,Synchronous Buck</t>
  </si>
  <si>
    <t>B1QFN</t>
  </si>
  <si>
    <t/>
  </si>
  <si>
    <t>-40 to 125</t>
  </si>
  <si>
    <t>11 x 9</t>
  </si>
  <si>
    <t>ACTIVE</t>
  </si>
  <si>
    <t>2.95V to 6V, 6A Step-Down Power Module in 9x11x2.8mm QFN Package</t>
  </si>
  <si>
    <t>Power modules (integrated inductor)</t>
  </si>
  <si>
    <t>Catalog</t>
  </si>
  <si>
    <t>Buck,Step-Down Converter,Synchronous Buck</t>
  </si>
  <si>
    <t>B1QFN</t>
  </si>
  <si>
    <t/>
  </si>
  <si>
    <t>-40 to 125</t>
  </si>
  <si>
    <t>11 x 9</t>
  </si>
  <si>
    <t>ACTIVE</t>
  </si>
  <si>
    <t>4.5V to 15V, 3A Step-Down Power Module in 9x15x2.8mm QFN Package</t>
  </si>
  <si>
    <t>Power modules (integrated inductor)</t>
  </si>
  <si>
    <t>Catalog</t>
  </si>
  <si>
    <t>Buck,Synchronous Buck</t>
  </si>
  <si>
    <t>B1QFN</t>
  </si>
  <si>
    <t/>
  </si>
  <si>
    <t>-40 to 85</t>
  </si>
  <si>
    <t>15 x 9</t>
  </si>
  <si>
    <t>ACTIVE</t>
  </si>
  <si>
    <t>4.5V to 15V, 6A Step-Down Power Module in 9x15x2.8mm QFN Package</t>
  </si>
  <si>
    <t>Power modules (integrated inductor)</t>
  </si>
  <si>
    <t>Catalog</t>
  </si>
  <si>
    <t>Buck,Synchronous Buck</t>
  </si>
  <si>
    <t>B1QFN</t>
  </si>
  <si>
    <t/>
  </si>
  <si>
    <t>-40 to 85</t>
  </si>
  <si>
    <t>15 x 9</t>
  </si>
  <si>
    <t>ACTIVE</t>
  </si>
  <si>
    <t>6A Power Module with 4.5V-14.5V Input in QFN package</t>
  </si>
  <si>
    <t>Power modules (integrated inductor)</t>
  </si>
  <si>
    <t>Catalog</t>
  </si>
  <si>
    <t>Buck,Synchronous Buck</t>
  </si>
  <si>
    <t>B1QFN</t>
  </si>
  <si>
    <t/>
  </si>
  <si>
    <t>-40 to 85</t>
  </si>
  <si>
    <t>15 x 9</t>
  </si>
  <si>
    <t>ACTIVE</t>
  </si>
  <si>
    <t>2.95V to 17V, 10A Step-Down Power Module with Current Sharing in 10x10x4.3mm QFN Package</t>
  </si>
  <si>
    <t>Power modules (integrated inductor)</t>
  </si>
  <si>
    <t>Catalog</t>
  </si>
  <si>
    <t>Buck,Synchronous Buck</t>
  </si>
  <si>
    <t>B3QFN</t>
  </si>
  <si>
    <t/>
  </si>
  <si>
    <t>-40 to 85</t>
  </si>
  <si>
    <t>10 x 10</t>
  </si>
  <si>
    <t>ACTIVE</t>
  </si>
  <si>
    <t>7V to 50V, 2.5A Step-Down Power Module in 9x11x2.8mm QFN Package</t>
  </si>
  <si>
    <t>Power modules (integrated inductor)</t>
  </si>
  <si>
    <t>Catalog</t>
  </si>
  <si>
    <t>Buck,Inverting Buck-Boost</t>
  </si>
  <si>
    <t>B1QFN</t>
  </si>
  <si>
    <t/>
  </si>
  <si>
    <t>-40 to 85</t>
  </si>
  <si>
    <t>11 x 9</t>
  </si>
  <si>
    <t>ACTIVE</t>
  </si>
  <si>
    <t>2.95V to 6V, 2A Step-Down Power Module in 9x11x2.8mm QFN Package</t>
  </si>
  <si>
    <t>Power modules (integrated inductor)</t>
  </si>
  <si>
    <t>Catalog</t>
  </si>
  <si>
    <t>Buck,Step-Down Converter,Synchronous Buck</t>
  </si>
  <si>
    <t>B1QFN</t>
  </si>
  <si>
    <t/>
  </si>
  <si>
    <t>-40 to 125</t>
  </si>
  <si>
    <t>11 x 9</t>
  </si>
  <si>
    <t>ACTIVE</t>
  </si>
  <si>
    <t>4.5-V to 40-V, 2-A Negative output power module</t>
  </si>
  <si>
    <t>Power modules (integrated inductor)</t>
  </si>
  <si>
    <t>Catalog</t>
  </si>
  <si>
    <t>Inverting</t>
  </si>
  <si>
    <t>B1QFN</t>
  </si>
  <si>
    <t/>
  </si>
  <si>
    <t>-40 to 85</t>
  </si>
  <si>
    <t>11 x 9</t>
  </si>
  <si>
    <t>ACTIVE</t>
  </si>
  <si>
    <t>Automotive 150-mA, low-dropout voltage regulator with power good &amp; enable</t>
  </si>
  <si>
    <t>Linear &amp; low-dropout (LDO) regulators</t>
  </si>
  <si>
    <t>Automotive</t>
  </si>
  <si>
    <t>SOT-23</t>
  </si>
  <si>
    <t/>
  </si>
  <si>
    <t>-40 to 125</t>
  </si>
  <si>
    <t>2.9 x 2.8</t>
  </si>
  <si>
    <t>ACTIVE</t>
  </si>
  <si>
    <t>2-Phase, D-CAP+&amp;trade; Step-Down Controller for VR12.6 Vcpu</t>
  </si>
  <si>
    <t>AC/DC &amp; DC/DC controllers (external FET)</t>
  </si>
  <si>
    <t>Catalog</t>
  </si>
  <si>
    <t>Multiphase</t>
  </si>
  <si>
    <t>VQFN</t>
  </si>
  <si>
    <t/>
  </si>
  <si>
    <t>-40 to 85</t>
  </si>
  <si>
    <t>4 x 4</t>
  </si>
  <si>
    <t>ACTIVE</t>
  </si>
  <si>
    <t>3-Phase, D-CAP+&amp;trade; Step-Down Controller for VR12.5 Vcpu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</si>
  <si>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</si>
  <si>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</si>
  <si>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</si>
  <si>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</si>
  <si>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</si>
  <si>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</si>
  <si>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</si>
  <si>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</si>
  <si>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3-V to 20-V voltage-mode synchronous buck controller and temperature-compensated DCR current sensing</t>
  </si>
  <si>
    <t>AC/DC &amp; DC/DC controllers (external FET)</t>
  </si>
  <si>
    <t>Catalog</t>
  </si>
  <si>
    <t>Buck</t>
  </si>
  <si>
    <t>WQFN</t>
  </si>
  <si>
    <t/>
  </si>
  <si>
    <t>-40 to 125</t>
  </si>
  <si>
    <t>4 x 4</t>
  </si>
  <si>
    <t>ACTIVE</t>
  </si>
  <si>
    <t>Non-Isolated, buck PFC LED driver with digital reference control</t>
  </si>
  <si>
    <t>Illumination  LED drivers</t>
  </si>
  <si>
    <t>Catalog</t>
  </si>
  <si>
    <t>Buck,Buck-Boost</t>
  </si>
  <si>
    <t>SOIC,SOT-23-THN</t>
  </si>
  <si>
    <t/>
  </si>
  <si>
    <t>-40 to 125</t>
  </si>
  <si>
    <t>6,8</t>
  </si>
  <si>
    <t>8.12,29.4</t>
  </si>
  <si>
    <t>2.9 x 2.8,4.9 x 6</t>
  </si>
  <si>
    <t>1.1,1.75</t>
  </si>
  <si>
    <t>0.95,1.27</t>
  </si>
  <si>
    <t>ACTIVE</t>
  </si>
  <si>
    <t>Automotive 4.5-50V Wide Vin 600mA 2.6MHz Ultra-Small Constant On-Time Non-Synchronous Buck Regulator</t>
  </si>
  <si>
    <t>AC/DC &amp; DC/DC converters (integrated FET)</t>
  </si>
  <si>
    <t>Automotive</t>
  </si>
  <si>
    <t>Buck</t>
  </si>
  <si>
    <t>DSBGA,WSON</t>
  </si>
  <si>
    <t/>
  </si>
  <si>
    <t>-40 to 125</t>
  </si>
  <si>
    <t>3.9375,16</t>
  </si>
  <si>
    <t>2.25 x 1.75,4 x 4</t>
  </si>
  <si>
    <t>0.675,0.8</t>
  </si>
  <si>
    <t>ACTIVE</t>
  </si>
  <si>
    <t>750mA Load Step-Down DC/DC Regulator in Thin SOT23 Package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</si>
  <si>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</si>
  <si>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</si>
  <si>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</si>
  <si>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</si>
  <si>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</si>
  <si>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</si>
  <si>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</si>
  <si>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</si>
  <si>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5-A, 5-V fixed output voltage high efficiency synchronous boost converter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</si>
  <si>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</si>
  <si>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</si>
  <si>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</si>
  <si>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</si>
  <si>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</si>
  <si>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</si>
  <si>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</si>
  <si>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</si>
  <si>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Automotive 150-mA, off-battery (40-V), low-IQ, low-dropout voltage regulator with power good</t>
  </si>
  <si>
    <t>Linear &amp; low-dropout (LDO) regulators</t>
  </si>
  <si>
    <t>Automotive</t>
  </si>
  <si>
    <t>HVSSOP</t>
  </si>
  <si>
    <t/>
  </si>
  <si>
    <t>-40 to 125</t>
  </si>
  <si>
    <t>3 x 4.9</t>
  </si>
  <si>
    <t>ACTIVE</t>
  </si>
  <si>
    <t>4-A, 120-V half bridge gate driver with 8-V UVLO and negative voltage handling</t>
  </si>
  <si>
    <t>Half-bridge drivers</t>
  </si>
  <si>
    <t>Catalog</t>
  </si>
  <si>
    <t>VSON</t>
  </si>
  <si>
    <t/>
  </si>
  <si>
    <t>-40 to 150</t>
  </si>
  <si>
    <t>4 x 4</t>
  </si>
  <si>
    <t>ACTIVE</t>
  </si>
  <si>
    <t>Fully Programmable LCD Bias IC for GIP TV with 12-Ch LvL Shifters, Gamma Buffers</t>
  </si>
  <si>
    <t>LCD &amp; OLED display power &amp; drivers</t>
  </si>
  <si>
    <t>Catalog</t>
  </si>
  <si>
    <t>Boost,Buck</t>
  </si>
  <si>
    <t>VQFN</t>
  </si>
  <si>
    <t/>
  </si>
  <si>
    <t>-40 to 85</t>
  </si>
  <si>
    <t>7 x 7</t>
  </si>
  <si>
    <t>ACTIVE</t>
  </si>
  <si>
    <t>2.25MHz Step-Down Converter with Dual LDOs &amp; SVS Power Management IC (PMIC)</t>
  </si>
  <si>
    <t>Multi-channel ICs (PMICs)</t>
  </si>
  <si>
    <t>Automotive</t>
  </si>
  <si>
    <t>WQFN</t>
  </si>
  <si>
    <t/>
  </si>
  <si>
    <t>-40 to 105</t>
  </si>
  <si>
    <t>3 x 3</t>
  </si>
  <si>
    <t>ACTIVE</t>
  </si>
  <si>
    <t>Automotive 300-mA, high-PSRR, low-IQ, low-dropout voltage regulator with enable</t>
  </si>
  <si>
    <t>Linear &amp; low-dropout (LDO) regulators</t>
  </si>
  <si>
    <t>Automotive</t>
  </si>
  <si>
    <t>SOT-23,SOT-23-THN,WSON</t>
  </si>
  <si>
    <t>Functional Safety-Capable</t>
  </si>
  <si>
    <t>-40 to 125</t>
  </si>
  <si>
    <t>5,6</t>
  </si>
  <si>
    <t>2.25,8.12</t>
  </si>
  <si>
    <t>1.5 x 1.5,2.9 x 2.8</t>
  </si>
  <si>
    <t>0.8,1.1,1.45</t>
  </si>
  <si>
    <t>0.5,0.95</t>
  </si>
  <si>
    <t>ACTIVE</t>
  </si>
  <si>
    <t>Automotive 2V to 40V Low Iq Single Boost &amp; Dual Synchronous Buck Controller</t>
  </si>
  <si>
    <t>Multi-channel ICs (PMICs)</t>
  </si>
  <si>
    <t>Automotive</t>
  </si>
  <si>
    <t>HTSSOP</t>
  </si>
  <si>
    <t/>
  </si>
  <si>
    <t>-40 to 125</t>
  </si>
  <si>
    <t>12.5 x 8.1</t>
  </si>
  <si>
    <t>ACTIVE</t>
  </si>
  <si>
    <t>Automotive 4-A/4-A single-channel gate driver with 5-V UVLO and dual-input structure</t>
  </si>
  <si>
    <t>Low-side drivers</t>
  </si>
  <si>
    <t>Automotive</t>
  </si>
  <si>
    <t>SOT-23</t>
  </si>
  <si>
    <t>Functional Safety-Capable</t>
  </si>
  <si>
    <t>-40 to 125</t>
  </si>
  <si>
    <t>2.9 x 2.8</t>
  </si>
  <si>
    <t>ACTIVE</t>
  </si>
  <si>
    <t>Automotive 4-A/4-A single-channel gate driver with 5-V UVLO, enable, and inverting CMOS input</t>
  </si>
  <si>
    <t>Low-side drivers</t>
  </si>
  <si>
    <t>Automotive</t>
  </si>
  <si>
    <t>SOT-23</t>
  </si>
  <si>
    <t>Functional Safety-Capable</t>
  </si>
  <si>
    <t>-40 to 125</t>
  </si>
  <si>
    <t>2.9 x 2.8</t>
  </si>
  <si>
    <t>ACTIVE</t>
  </si>
  <si>
    <t>Automotive 2.5-A/5-A single-channel gate driver with 8-V UVLO, 35-V VDD, and split outputs</t>
  </si>
  <si>
    <t>Low-side drivers</t>
  </si>
  <si>
    <t>Automotive</t>
  </si>
  <si>
    <t>SOT-23</t>
  </si>
  <si>
    <t>Functional Safety-Capable</t>
  </si>
  <si>
    <t>-40 to 125</t>
  </si>
  <si>
    <t>2.9 x 2.8</t>
  </si>
  <si>
    <t>ACTIVE</t>
  </si>
  <si>
    <t>4-A/4-A single-channel gate driver with 5-V UVLO and negative input voltage handling</t>
  </si>
  <si>
    <t>Low-side drivers</t>
  </si>
  <si>
    <t>Catalog</t>
  </si>
  <si>
    <t>SOT-23</t>
  </si>
  <si>
    <t/>
  </si>
  <si>
    <t>-40 to 125</t>
  </si>
  <si>
    <t>2.9 x 2.8</t>
  </si>
  <si>
    <t>ACTIVE</t>
  </si>
  <si>
    <t>Automotive, precision micropower shunt voltage reference</t>
  </si>
  <si>
    <t>Shunt voltage references</t>
  </si>
  <si>
    <t>Automotive</t>
  </si>
  <si>
    <t>SOT-23</t>
  </si>
  <si>
    <t/>
  </si>
  <si>
    <t>-40 to 125</t>
  </si>
  <si>
    <t>2.92 x 2.37</t>
  </si>
  <si>
    <t>ACTIVE</t>
  </si>
  <si>
    <t>4.5-V to 18-V, 6.5-A synchronous buck converter in HTSSOP package</t>
  </si>
  <si>
    <t>AC/DC &amp; DC/DC converters (integrated FET)</t>
  </si>
  <si>
    <t>Catalog</t>
  </si>
  <si>
    <t>Buck</t>
  </si>
  <si>
    <t>HTSSOP</t>
  </si>
  <si>
    <t/>
  </si>
  <si>
    <t>-40 to 85</t>
  </si>
  <si>
    <t>5 x 6.4</t>
  </si>
  <si>
    <t>ACTIVE</t>
  </si>
  <si>
    <t>4.5-V to 18-V, 6.5-A synchronous buck converter with eco-mode in HTSSOP package</t>
  </si>
  <si>
    <t>AC/DC &amp; DC/DC converters (integrated FET)</t>
  </si>
  <si>
    <t>Catalog</t>
  </si>
  <si>
    <t>Buck</t>
  </si>
  <si>
    <t>HTSSOP</t>
  </si>
  <si>
    <t/>
  </si>
  <si>
    <t>-40 to 85</t>
  </si>
  <si>
    <t>5 x 6.4</t>
  </si>
  <si>
    <t>ACTIVE</t>
  </si>
  <si>
    <t>5.5-V, 4-A, 22-mΩ load switch with adj. rise time and output discharge</t>
  </si>
  <si>
    <t>Load switches</t>
  </si>
  <si>
    <t>Catalog</t>
  </si>
  <si>
    <t>WSON</t>
  </si>
  <si>
    <t/>
  </si>
  <si>
    <t>-40 to 85</t>
  </si>
  <si>
    <t>2 x 2</t>
  </si>
  <si>
    <t>ACTIVE</t>
  </si>
  <si>
    <t>WLED driver for notebook and Tablet display with Mixed Mode dimming</t>
  </si>
  <si>
    <t>Backlight LED drivers</t>
  </si>
  <si>
    <t>Catalog</t>
  </si>
  <si>
    <t>Boost</t>
  </si>
  <si>
    <t>VQFN</t>
  </si>
  <si>
    <t/>
  </si>
  <si>
    <t>-40 to 85</t>
  </si>
  <si>
    <t>3.5 x 3.5</t>
  </si>
  <si>
    <t>ACTIVE</t>
  </si>
  <si>
    <t>Automotive 2V to 40V Low Iq Single Boost &amp; Dual Fixed Output Voltage Synchronous Buck Controller</t>
  </si>
  <si>
    <t>Multi-channel ICs (PMICs)</t>
  </si>
  <si>
    <t>Automotive</t>
  </si>
  <si>
    <t>HTSSOP</t>
  </si>
  <si>
    <t/>
  </si>
  <si>
    <t>-40 to 125</t>
  </si>
  <si>
    <t>12.5 x 8.1</t>
  </si>
  <si>
    <t>ACTIVE</t>
  </si>
  <si>
    <t>Automotive: 3A, 2.5 to 6V input, up to 97% efficiency, 3x3 QFN, Step-Down Converter</t>
  </si>
  <si>
    <t>AC/DC &amp; DC/DC converters (integrated FET)</t>
  </si>
  <si>
    <t>Automotive</t>
  </si>
  <si>
    <t>Buck</t>
  </si>
  <si>
    <t>VQFN</t>
  </si>
  <si>
    <t/>
  </si>
  <si>
    <t>-40 to 125</t>
  </si>
  <si>
    <t>3 x 3</t>
  </si>
  <si>
    <t>ACTIVE</t>
  </si>
  <si>
    <t>5-A/5-A dual-channel gate driver with 5-V UVLO, enable, and negative input voltage handling</t>
  </si>
  <si>
    <t>Low-side drivers</t>
  </si>
  <si>
    <t>Catalog</t>
  </si>
  <si>
    <t>HVSSOP,SOIC</t>
  </si>
  <si>
    <t/>
  </si>
  <si>
    <t>-40 to 150</t>
  </si>
  <si>
    <t>14.7,29.4</t>
  </si>
  <si>
    <t>3 x 4.9,4.9 x 6</t>
  </si>
  <si>
    <t>1.1,1.75</t>
  </si>
  <si>
    <t>0.65,1.27</t>
  </si>
  <si>
    <t>ACTIVE</t>
  </si>
  <si>
    <t>3MHz, 2A Automotive Step-Down Converter in 2x2 SON Package</t>
  </si>
  <si>
    <t>AC/DC &amp; DC/DC converters (integrated FET)</t>
  </si>
  <si>
    <t>Automotive</t>
  </si>
  <si>
    <t>Buck</t>
  </si>
  <si>
    <t>WSON</t>
  </si>
  <si>
    <t>Functional Safety-Capable</t>
  </si>
  <si>
    <t>-40 to 125</t>
  </si>
  <si>
    <t>2 x 2</t>
  </si>
  <si>
    <t>ACTIVE</t>
  </si>
  <si>
    <t>Tiny Single Inductor Buck Boost Converter</t>
  </si>
  <si>
    <t>AC/DC &amp; DC/DC converters (integrated FET)</t>
  </si>
  <si>
    <t>Catalog</t>
  </si>
  <si>
    <t>Buck-Boost</t>
  </si>
  <si>
    <t>DSBGA,VQFN-HR</t>
  </si>
  <si>
    <t/>
  </si>
  <si>
    <t>-40 to 125</t>
  </si>
  <si>
    <t>2.52000000000000018,6.25</t>
  </si>
  <si>
    <t>1.4000000000000001 x 1.8,2.5 x 2.5</t>
  </si>
  <si>
    <t>0.625,1</t>
  </si>
  <si>
    <t>0.4,0.5</t>
  </si>
  <si>
    <t>ACTIVE</t>
  </si>
  <si>
    <t>20-V, N channel NexFET™ power MOSFET, single SON 2 mm x 2 mm, 19.2 mOhm</t>
  </si>
  <si>
    <t>MOSFETs</t>
  </si>
  <si>
    <t>Catalog</t>
  </si>
  <si>
    <t>WSON</t>
  </si>
  <si>
    <t/>
  </si>
  <si>
    <t>-55 to 150</t>
  </si>
  <si>
    <t>2 x 2</t>
  </si>
  <si>
    <t>ACTIVE</t>
  </si>
  <si>
    <t>Automotive 150-mA, off-battery (40-V), low-IQ, low-dropout voltage regulator with power good &amp; sense</t>
  </si>
  <si>
    <t>Linear &amp; low-dropout (LDO) regulators</t>
  </si>
  <si>
    <t>Automotive</t>
  </si>
  <si>
    <t>SOIC</t>
  </si>
  <si>
    <t/>
  </si>
  <si>
    <t>-40 to 125</t>
  </si>
  <si>
    <t>4.9 x 6</t>
  </si>
  <si>
    <t>ACTIVE</t>
  </si>
  <si>
    <t>4.5V to 18V input, 3A/2A/2A synchronous buck converter with load switch and push button control</t>
  </si>
  <si>
    <t>AC/DC &amp; DC/DC converters (integrated FET)</t>
  </si>
  <si>
    <t>Catalog</t>
  </si>
  <si>
    <t>Buck</t>
  </si>
  <si>
    <t>VQFN</t>
  </si>
  <si>
    <t/>
  </si>
  <si>
    <t>-40 to 125</t>
  </si>
  <si>
    <t>6 x 6</t>
  </si>
  <si>
    <t>ACTIVE</t>
  </si>
  <si>
    <t>4.5V to 18V input, 3A/2A/2A triple synchronous buck converter with dual load switches</t>
  </si>
  <si>
    <t>AC/DC &amp; DC/DC converters (integrated FET)</t>
  </si>
  <si>
    <t>Catalog</t>
  </si>
  <si>
    <t>Buck</t>
  </si>
  <si>
    <t>VQFN</t>
  </si>
  <si>
    <t/>
  </si>
  <si>
    <t>-40 to 125</t>
  </si>
  <si>
    <t>6 x 6</t>
  </si>
  <si>
    <t>ACTIVE</t>
  </si>
  <si>
    <t>Space-grade, 30-V input, 1-A single-output 500-kHz PWM controller in DIE</t>
  </si>
  <si>
    <t>AC/DC &amp; DC/DC controllers (external FET)</t>
  </si>
  <si>
    <t>Space</t>
  </si>
  <si>
    <t>Boost,Flyback,Forward</t>
  </si>
  <si>
    <t>DIESALE</t>
  </si>
  <si>
    <t/>
  </si>
  <si>
    <t>25 to 25</t>
  </si>
  <si>
    <t>See data sheet</t>
  </si>
  <si>
    <t>See data sheet</t>
  </si>
  <si>
    <t>—</t>
  </si>
  <si>
    <t>—</t>
  </si>
  <si>
    <t>ACTIVE</t>
  </si>
  <si>
    <t>12-V, N channel NexFET™ power MOSFET, single WLP 1 mm x 1.5 mm, 20 mOhm</t>
  </si>
  <si>
    <t>MOSFETs</t>
  </si>
  <si>
    <t>Catalog</t>
  </si>
  <si>
    <t>DSBGA</t>
  </si>
  <si>
    <t/>
  </si>
  <si>
    <t>-55 to 150</t>
  </si>
  <si>
    <t>1.75 x 1.25</t>
  </si>
  <si>
    <t>ACTIVE</t>
  </si>
  <si>
    <t>2-A, low-VIN, low-2-A, low-VIN, low-noise, ultra-low-dropout voltage regulator with power good wi</t>
  </si>
  <si>
    <t>Linear &amp; low-dropout (LDO) regulators</t>
  </si>
  <si>
    <t>Catalog</t>
  </si>
  <si>
    <t>VQFN</t>
  </si>
  <si>
    <t/>
  </si>
  <si>
    <t>-40 to 125</t>
  </si>
  <si>
    <t>12.25,25</t>
  </si>
  <si>
    <t>3.5 x 3.5,5 x 5</t>
  </si>
  <si>
    <t>0.5,0.65</t>
  </si>
  <si>
    <t>ACTIVE</t>
  </si>
  <si>
    <t>60-V, N channel NexFET™ power MOSFET, single SON 5 mm x 6 mm, 6.8 mOhm</t>
  </si>
  <si>
    <t>MOSFETs</t>
  </si>
  <si>
    <t>Catalog</t>
  </si>
  <si>
    <t>VSONP</t>
  </si>
  <si>
    <t/>
  </si>
  <si>
    <t>-55 to 150</t>
  </si>
  <si>
    <t>4.9 x 6</t>
  </si>
  <si>
    <t>ACTIVE</t>
  </si>
  <si>
    <t>+4.6V / -1.4 to -4.4V Dual Output 200mA AMOLED Display Pwr Supply</t>
  </si>
  <si>
    <t>LCD &amp; OLED display power &amp; drivers</t>
  </si>
  <si>
    <t>Catalog</t>
  </si>
  <si>
    <t>Boost,Buck-Boost</t>
  </si>
  <si>
    <t>WSON</t>
  </si>
  <si>
    <t/>
  </si>
  <si>
    <t>-40 to 85</t>
  </si>
  <si>
    <t>2.5 x 2.5</t>
  </si>
  <si>
    <t>ACTIVE</t>
  </si>
  <si>
    <t>700-mA, High-Efficiency MicroSiP&amp;trade; Step-Down Converter (PROFILE &lt;1mm)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</si>
  <si>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</si>
  <si>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</si>
  <si>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</si>
  <si>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</si>
  <si>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</si>
  <si>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</si>
  <si>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</si>
  <si>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</si>
  <si>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High-efficiency LED backlight driver for Tablets</t>
  </si>
  <si>
    <t>Backlight LED drivers</t>
  </si>
  <si>
    <t>Catalog</t>
  </si>
  <si>
    <t>Boost</t>
  </si>
  <si>
    <t>DSBGA</t>
  </si>
  <si>
    <t/>
  </si>
  <si>
    <t>-30 to 85</t>
  </si>
  <si>
    <t>1.8 x 1.8</t>
  </si>
  <si>
    <t>ACTIVE</t>
  </si>
  <si>
    <t>-20-V, P channel NexFET™ power MOSFET, dual Common Source WLP 1.5 mm x 1.5 mm, 27 mOhm, gate ESD pro</t>
  </si>
  <si>
    <t>MOSFETs</t>
  </si>
  <si>
    <t>Catalog</t>
  </si>
  <si>
    <t>DSBGA</t>
  </si>
  <si>
    <t/>
  </si>
  <si>
    <t>-55 to 150</t>
  </si>
  <si>
    <t>1.75 x 1.75</t>
  </si>
  <si>
    <t>ACTIVE</t>
  </si>
  <si>
    <t>3-V to 17-V, 3-A step-down converter with DCS-control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</si>
  <si>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</si>
  <si>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</si>
  <si>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</si>
  <si>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</si>
  <si>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</si>
  <si>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</si>
  <si>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</si>
  <si>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</si>
  <si>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LCD Bias with Integrated Gamma Reference for Notebook PCs and Tablet PCs</t>
  </si>
  <si>
    <t>LCD &amp; OLED display power &amp; drivers</t>
  </si>
  <si>
    <t>Catalog</t>
  </si>
  <si>
    <t>Boost,Buck</t>
  </si>
  <si>
    <t>DSBGA</t>
  </si>
  <si>
    <t/>
  </si>
  <si>
    <t>-40 to 85</t>
  </si>
  <si>
    <t>3 x 3.5999999999999996</t>
  </si>
  <si>
    <t>ACTIVE</t>
  </si>
  <si>
    <t>Constant-voltage, constant-current controller with primary-side regulation for bipolar power devices</t>
  </si>
  <si>
    <t>AC/DC &amp; DC/DC controllers (external FET)</t>
  </si>
  <si>
    <t>Catalog</t>
  </si>
  <si>
    <t>Buck,Flyback</t>
  </si>
  <si>
    <t>SOIC</t>
  </si>
  <si>
    <t/>
  </si>
  <si>
    <t>-40 to 125</t>
  </si>
  <si>
    <t>4.9 x 6</t>
  </si>
  <si>
    <t>ACTIVE</t>
  </si>
  <si>
    <t>Constant-Voltage, Constant-Current (CVCC) Flyback controller with Secondary Side Regulation (SSR)</t>
  </si>
  <si>
    <t>AC/DC &amp; DC/DC controllers (external FET)</t>
  </si>
  <si>
    <t>Catalog</t>
  </si>
  <si>
    <t>Flyback</t>
  </si>
  <si>
    <t>SOIC</t>
  </si>
  <si>
    <t/>
  </si>
  <si>
    <t>-40 to 125</t>
  </si>
  <si>
    <t>4.9 x 6</t>
  </si>
  <si>
    <t>ACTIVE</t>
  </si>
  <si>
    <t>AC-DC quasi-Resonant current mode PWM controller</t>
  </si>
  <si>
    <t>AC/DC &amp; DC/DC controllers (external FET)</t>
  </si>
  <si>
    <t>Catalog</t>
  </si>
  <si>
    <t>Flyback</t>
  </si>
  <si>
    <t>VSSOP</t>
  </si>
  <si>
    <t/>
  </si>
  <si>
    <t>-40 to 125</t>
  </si>
  <si>
    <t>3 x 4.9</t>
  </si>
  <si>
    <t>ACTIVE</t>
  </si>
  <si>
    <t>Programmable Output Voltage Ultra-Low Power Buck Converter with up to 200 mA Output Current</t>
  </si>
  <si>
    <t>AC/DC &amp; DC/DC converters (integrated FET)</t>
  </si>
  <si>
    <t>Catalog</t>
  </si>
  <si>
    <t>Buck</t>
  </si>
  <si>
    <t>VQFN</t>
  </si>
  <si>
    <t/>
  </si>
  <si>
    <t>-40 to 105</t>
  </si>
  <si>
    <t>3.5 x 3.5</t>
  </si>
  <si>
    <t>ACTIVE</t>
  </si>
  <si>
    <t>High Efficiency Low-Side Controller with True Shutdown</t>
  </si>
  <si>
    <t>AC/DC &amp; DC/DC controllers (external FET)</t>
  </si>
  <si>
    <t>Catalog</t>
  </si>
  <si>
    <t>Boost,Flyback,SEPIC</t>
  </si>
  <si>
    <t>WQFN</t>
  </si>
  <si>
    <t/>
  </si>
  <si>
    <t>-40 to 125</t>
  </si>
  <si>
    <t>2.7 x 2.4</t>
  </si>
  <si>
    <t>ACTIVE</t>
  </si>
  <si>
    <t>-8V, P channel NexFET™ power MOSFET, single WLP 1.5 mm x 1.5 mm, 12.2 mOhm, gate ESD protection</t>
  </si>
  <si>
    <t>MOSFETs</t>
  </si>
  <si>
    <t>Catalog</t>
  </si>
  <si>
    <t>DSBGA</t>
  </si>
  <si>
    <t/>
  </si>
  <si>
    <t>-55 to 150</t>
  </si>
  <si>
    <t>1.75 x 1.75</t>
  </si>
  <si>
    <t>ACTIVE</t>
  </si>
  <si>
    <t>-20-V, P channel NexFET™ power MOSFET, single WLP 1 mm x 1 mm, 47 mOhm, gate ESD protection</t>
  </si>
  <si>
    <t>MOSFETs</t>
  </si>
  <si>
    <t>Catalog</t>
  </si>
  <si>
    <t>DSBGA</t>
  </si>
  <si>
    <t/>
  </si>
  <si>
    <t>-55 to 150</t>
  </si>
  <si>
    <t>1.25 x 1.25</t>
  </si>
  <si>
    <t>ACTIVE</t>
  </si>
  <si>
    <t>4-17V, 1A STEP-DOWN CONVERTER with DCS-Control in 3x3 QFN Package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</si>
  <si>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</si>
  <si>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</si>
  <si>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</si>
  <si>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</si>
  <si>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</si>
  <si>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</si>
  <si>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</si>
  <si>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</si>
  <si>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3-17V 1A 3MHz Step-Down Converter with DCS-Control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</si>
  <si>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</si>
  <si>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</si>
  <si>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</si>
  <si>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</si>
  <si>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</si>
  <si>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</si>
  <si>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</si>
  <si>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</si>
  <si>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60-V, N channel NexFET™ power MOSFET, single TO-220, 14 mOhm</t>
  </si>
  <si>
    <t>MOSFETs</t>
  </si>
  <si>
    <t>Catalog</t>
  </si>
  <si>
    <t>TO-220</t>
  </si>
  <si>
    <t/>
  </si>
  <si>
    <t>-55 to 175</t>
  </si>
  <si>
    <t>10.16 x 4.55</t>
  </si>
  <si>
    <t>ACTIVE</t>
  </si>
  <si>
    <t>60-V, N channel NexFET™ power MOSFET, single SON 5 mm x 6 mm, 13 mOhm</t>
  </si>
  <si>
    <t>MOSFETs</t>
  </si>
  <si>
    <t>Catalog</t>
  </si>
  <si>
    <t>VSONP</t>
  </si>
  <si>
    <t/>
  </si>
  <si>
    <t>-55 to 150</t>
  </si>
  <si>
    <t>4.9 x 6</t>
  </si>
  <si>
    <t>ACTIVE</t>
  </si>
  <si>
    <t>3–17V 2A Step-Down Converter with DCS-Control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</si>
  <si>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</si>
  <si>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</si>
  <si>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</si>
  <si>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</si>
  <si>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</si>
  <si>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</si>
  <si>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</si>
  <si>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</si>
  <si>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5-A/5-A dual-channel gate driver with 5-V UVLO, enable, dual CMOS inputs</t>
  </si>
  <si>
    <t>Low-side drivers</t>
  </si>
  <si>
    <t>Catalog</t>
  </si>
  <si>
    <t>WSON</t>
  </si>
  <si>
    <t/>
  </si>
  <si>
    <t>-40 to 140</t>
  </si>
  <si>
    <t>3 x 3</t>
  </si>
  <si>
    <t>ACTIVE</t>
  </si>
  <si>
    <t>Automotive catalog USB dedicated charging port controller and current limiting power switch</t>
  </si>
  <si>
    <t>USB power switches &amp; charging port controllers</t>
  </si>
  <si>
    <t>Automotive</t>
  </si>
  <si>
    <t>HVSSOP</t>
  </si>
  <si>
    <t/>
  </si>
  <si>
    <t>-40 to 125</t>
  </si>
  <si>
    <t>3 x 4.9</t>
  </si>
  <si>
    <t>ACTIVE</t>
  </si>
  <si>
    <t>High-Current Step-Down DC/DC Converter with MIPI® RF Front-End Interface</t>
  </si>
  <si>
    <t>AC/DC &amp; DC/DC converters (integrated FET)</t>
  </si>
  <si>
    <t>Catalog</t>
  </si>
  <si>
    <t>Buck</t>
  </si>
  <si>
    <t>DSBGA</t>
  </si>
  <si>
    <t/>
  </si>
  <si>
    <t>-30 to 90</t>
  </si>
  <si>
    <t>1.8 x 1.8</t>
  </si>
  <si>
    <t>ACTIVE</t>
  </si>
  <si>
    <t>3-17V 3A Step-Down Converter with DCS-Control in 3x3 QFN Package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</si>
  <si>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</si>
  <si>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</si>
  <si>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</si>
  <si>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</si>
  <si>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</si>
  <si>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</si>
  <si>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</si>
  <si>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</si>
  <si>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5.5-V, 3-A, 14-mΩ load switch with output discharge</t>
  </si>
  <si>
    <t>Load switches</t>
  </si>
  <si>
    <t>Catalog</t>
  </si>
  <si>
    <t>DSBGA</t>
  </si>
  <si>
    <t/>
  </si>
  <si>
    <t>-40 to 85</t>
  </si>
  <si>
    <t>1.75 x 1.25</t>
  </si>
  <si>
    <t>ACTIVE</t>
  </si>
  <si>
    <t>Split-Rail Converter, ±5V, 250mA Dual Output Power Supply</t>
  </si>
  <si>
    <t>AC/DC &amp; DC/DC converters (integrated FET),LCD &amp; OLED display power &amp; drivers</t>
  </si>
  <si>
    <t>Catalog</t>
  </si>
  <si>
    <t>Split-Rail</t>
  </si>
  <si>
    <t>WSON</t>
  </si>
  <si>
    <t/>
  </si>
  <si>
    <t>-40 to 85</t>
  </si>
  <si>
    <t>3 x 3</t>
  </si>
  <si>
    <t>ACTIVE</t>
  </si>
  <si>
    <t>Automotive 4V to 40V, 5 Regulated Output Power Management IC for Automotive Safety Applications</t>
  </si>
  <si>
    <t>Multi-channel ICs (PMICs)</t>
  </si>
  <si>
    <t>Automotive</t>
  </si>
  <si>
    <t>VQFN</t>
  </si>
  <si>
    <t/>
  </si>
  <si>
    <t>-40 to 125</t>
  </si>
  <si>
    <t>8 x 8</t>
  </si>
  <si>
    <t>ACTIVE</t>
  </si>
  <si>
    <t>60A Synchronous Buck NexFET&amp;trade; Power Stage with temperature sense</t>
  </si>
  <si>
    <t>Si power stages</t>
  </si>
  <si>
    <t>Catalog</t>
  </si>
  <si>
    <t>LSON-CLIP</t>
  </si>
  <si>
    <t/>
  </si>
  <si>
    <t>-55 to 150</t>
  </si>
  <si>
    <t>6 x 5</t>
  </si>
  <si>
    <t>ACTIVE</t>
  </si>
  <si>
    <t>25A Synchronous Buck NexFET&amp;trade; Power Stage</t>
  </si>
  <si>
    <t>Si power stages</t>
  </si>
  <si>
    <t>Catalog</t>
  </si>
  <si>
    <t>VSON-CLIP</t>
  </si>
  <si>
    <t/>
  </si>
  <si>
    <t>-40 to 150</t>
  </si>
  <si>
    <t>4.5 x 3.5</t>
  </si>
  <si>
    <t>ACTIVE</t>
  </si>
  <si>
    <t>30 V 20 A SON 3.5 x 4.5 mm synchronous buck NexFET™ power stage</t>
  </si>
  <si>
    <t>Si power stages</t>
  </si>
  <si>
    <t>Catalog</t>
  </si>
  <si>
    <t>VSON-CLIP</t>
  </si>
  <si>
    <t/>
  </si>
  <si>
    <t>-40 to 150</t>
  </si>
  <si>
    <t>4.5 x 3.5</t>
  </si>
  <si>
    <t>ACTIVE</t>
  </si>
  <si>
    <t>Automotive, 5-V to 75-V&amp;nbsp;400-uA IQ ORing FET controller</t>
  </si>
  <si>
    <t>Ideal diode &amp; ORing controllers</t>
  </si>
  <si>
    <t>Automotive</t>
  </si>
  <si>
    <t>SOT-23-THN</t>
  </si>
  <si>
    <t>Functional Safety-Capable</t>
  </si>
  <si>
    <t>-40 to 150</t>
  </si>
  <si>
    <t>2.9 x 2.8</t>
  </si>
  <si>
    <t>ACTIVE</t>
  </si>
  <si>
    <t>60-V, N channel NexFET™ power MOSFET, single SON 5 mm x 6 mm, 3.4 mOhm</t>
  </si>
  <si>
    <t>MOSFETs</t>
  </si>
  <si>
    <t>Catalog</t>
  </si>
  <si>
    <t>VSON-CLIP</t>
  </si>
  <si>
    <t/>
  </si>
  <si>
    <t>-55 to 150</t>
  </si>
  <si>
    <t>6 x 5</t>
  </si>
  <si>
    <t>ACTIVE</t>
  </si>
  <si>
    <t>Automotive, compact LCD bias Power Supply with integrated VCOM Buffer</t>
  </si>
  <si>
    <t>LCD &amp; OLED display power &amp; drivers</t>
  </si>
  <si>
    <t>Automotive</t>
  </si>
  <si>
    <t>Boost</t>
  </si>
  <si>
    <t>HTSSOP</t>
  </si>
  <si>
    <t/>
  </si>
  <si>
    <t>-40 to 125</t>
  </si>
  <si>
    <t>7.8 x 6.4</t>
  </si>
  <si>
    <t>ACTIVE</t>
  </si>
  <si>
    <t>Enhanced product, 2-A, fast-transient response low-dropout voltage regular</t>
  </si>
  <si>
    <t>Linear &amp; low-dropout (LDO) regulators</t>
  </si>
  <si>
    <t>HiRel Enhanced Product</t>
  </si>
  <si>
    <t>VQFN</t>
  </si>
  <si>
    <t/>
  </si>
  <si>
    <t>-40 to 125</t>
  </si>
  <si>
    <t>5 x 5</t>
  </si>
  <si>
    <t>ACTIVE</t>
  </si>
  <si>
    <t>3-65V Wide Vin, Current Mode Synchronous Boost Controller with Multiphase Capability</t>
  </si>
  <si>
    <t>AC/DC &amp; DC/DC controllers (external FET)</t>
  </si>
  <si>
    <t>Catalog</t>
  </si>
  <si>
    <t>Boost,Flyback,Forward,SEPIC</t>
  </si>
  <si>
    <t>HTSSOP</t>
  </si>
  <si>
    <t/>
  </si>
  <si>
    <t>-40 to 125</t>
  </si>
  <si>
    <t>20,24</t>
  </si>
  <si>
    <t>41.6,49.92</t>
  </si>
  <si>
    <t>6.5 x 6.4,7.8 x 6.4</t>
  </si>
  <si>
    <t>ACTIVE</t>
  </si>
  <si>
    <t>Automotive, 3-V to 65-V wide VIN, current mode synchronous boost controller with multiphase</t>
  </si>
  <si>
    <t>AC/DC &amp; DC/DC controllers (external FET)</t>
  </si>
  <si>
    <t>Automotive</t>
  </si>
  <si>
    <t>Boost,Flyback,Forward,SEPIC</t>
  </si>
  <si>
    <t>HTSSOP</t>
  </si>
  <si>
    <t/>
  </si>
  <si>
    <t>-40 to 125</t>
  </si>
  <si>
    <t>6.5 x 6.4</t>
  </si>
  <si>
    <t>ACTIVE</t>
  </si>
  <si>
    <t>Space-grade, 2.4-V to 36-V adjustable shunt reference in DIE</t>
  </si>
  <si>
    <t>Shunt voltage references</t>
  </si>
  <si>
    <t>Space</t>
  </si>
  <si>
    <t>DIESALE</t>
  </si>
  <si>
    <t/>
  </si>
  <si>
    <t>25 to 25</t>
  </si>
  <si>
    <t>See data sheet</t>
  </si>
  <si>
    <t>See data sheet</t>
  </si>
  <si>
    <t>—</t>
  </si>
  <si>
    <t>—</t>
  </si>
  <si>
    <t>ACTIVE</t>
  </si>
  <si>
    <t>Split-Rail, Single Inductor Dual Output Converter with Positive and Negative Outputs</t>
  </si>
  <si>
    <t>AC/DC &amp; DC/DC converters (integrated FET),LCD &amp; OLED display power &amp; drivers</t>
  </si>
  <si>
    <t>Catalog</t>
  </si>
  <si>
    <t>Split-Rail</t>
  </si>
  <si>
    <t>DSBGA,WQFN</t>
  </si>
  <si>
    <t/>
  </si>
  <si>
    <t>-40 to 85</t>
  </si>
  <si>
    <t>15,20</t>
  </si>
  <si>
    <t>3.08000000000000022,12</t>
  </si>
  <si>
    <t>1.4000000000000001 x 2.2,4 x 3</t>
  </si>
  <si>
    <t>0.625,0.8</t>
  </si>
  <si>
    <t>0.4,0.5</t>
  </si>
  <si>
    <t>ACTIVE</t>
  </si>
  <si>
    <t>Enhanced Product 4-A/8-A single-channel gate driver with 5-V UVLO in SON package</t>
  </si>
  <si>
    <t>Low-side drivers</t>
  </si>
  <si>
    <t>HiRel Enhanced Product</t>
  </si>
  <si>
    <t>WSON</t>
  </si>
  <si>
    <t/>
  </si>
  <si>
    <t>-55 to 125</t>
  </si>
  <si>
    <t>3 x 3</t>
  </si>
  <si>
    <t>ACTIVE</t>
  </si>
  <si>
    <t>30-V, N channel synchronous buck NexFET™ power MOSFET, 3 mm x 2.5 mm LGA, 15 A</t>
  </si>
  <si>
    <t>MOSFETs</t>
  </si>
  <si>
    <t>Catalog</t>
  </si>
  <si>
    <t>PTAB</t>
  </si>
  <si>
    <t/>
  </si>
  <si>
    <t>-55 to 150</t>
  </si>
  <si>
    <t>3 x 2.5</t>
  </si>
  <si>
    <t>ACTIVE</t>
  </si>
  <si>
    <t>42 V, 5 A, Step-Down DC-DC Converter with Eco-Mode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</si>
  <si>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</si>
  <si>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</si>
  <si>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</si>
  <si>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</si>
  <si>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</si>
  <si>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</si>
  <si>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</si>
  <si>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</si>
  <si>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Resonant-Switching Driver Controller for LED Lighting</t>
  </si>
  <si>
    <t>AC/DC &amp; DC/DC controllers (external FET)</t>
  </si>
  <si>
    <t>Catalog</t>
  </si>
  <si>
    <t>Half bridge,LLC</t>
  </si>
  <si>
    <t>SOIC</t>
  </si>
  <si>
    <t/>
  </si>
  <si>
    <t>-40 to 125</t>
  </si>
  <si>
    <t>4.9 x 6</t>
  </si>
  <si>
    <t>ACTIVE</t>
  </si>
  <si>
    <t>Integrated 5-A 24-V Wide Input Range Boost/SEPIC/Flyback DC-DC Regulator</t>
  </si>
  <si>
    <t>AC/DC &amp; DC/DC converters (integrated FET)</t>
  </si>
  <si>
    <t>Catalog</t>
  </si>
  <si>
    <t>Boost,Flyback,Forward,SEPIC</t>
  </si>
  <si>
    <t>WQFN</t>
  </si>
  <si>
    <t/>
  </si>
  <si>
    <t>-40 to 150</t>
  </si>
  <si>
    <t>3 x 3</t>
  </si>
  <si>
    <t>ACTIVE</t>
  </si>
  <si>
    <t>Automotive Catalog, Dual, Fixed Vout, 400mA &amp; 600mA, 2.25MHz Step-Down Converter w/ 1-Wire Interface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</si>
  <si>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</si>
  <si>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</si>
  <si>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</si>
  <si>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</si>
  <si>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</si>
  <si>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</si>
  <si>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</si>
  <si>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</si>
  <si>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Automotive Catalog Dual, Fixed Vout, 400mA &amp; 600mA, 2.25MHz Step-Down Converter w/ 1-Wire Interface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</si>
  <si>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</si>
  <si>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</si>
  <si>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</si>
  <si>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</si>
  <si>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</si>
  <si>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</si>
  <si>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</si>
  <si>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</si>
  <si>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USB dedicated charging port controller - Gen 1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</si>
  <si>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</si>
  <si>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</si>
  <si>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</si>
  <si>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</si>
  <si>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</si>
  <si>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</si>
  <si>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</si>
  <si>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3.5V to 28V Input, 5A, 570kHz Step-Down Converter with Eco-mode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</si>
  <si>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</si>
  <si>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</si>
  <si>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</si>
  <si>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</si>
  <si>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</si>
  <si>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</si>
  <si>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</si>
  <si>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</si>
  <si>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Dual USB Dedicated Charging Port Controllers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</si>
  <si>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</si>
  <si>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</si>
  <si>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</si>
  <si>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</si>
  <si>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</si>
  <si>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</si>
  <si>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</si>
  <si>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1-A, high-accuracy, ultra-low-dropout voltage regulator with reverse current protection &amp; enable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</si>
  <si>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</si>
  <si>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</si>
  <si>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</si>
  <si>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</si>
  <si>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</si>
  <si>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</si>
  <si>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</si>
  <si>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30V WLED driver with integrated power Diode</t>
  </si>
  <si>
    <t>Backlight LED drivers</t>
  </si>
  <si>
    <t>Catalog</t>
  </si>
  <si>
    <t>Boost</t>
  </si>
  <si>
    <t>WSON</t>
  </si>
  <si>
    <t/>
  </si>
  <si>
    <t>-40 to 85</t>
  </si>
  <si>
    <t>2 x 2</t>
  </si>
  <si>
    <t>ACTIVE</t>
  </si>
  <si>
    <t>LNB Voltage Regulator with I2C Interface Power Management IC (PMIC)</t>
  </si>
  <si>
    <t>AC/DC &amp; DC/DC converters (integrated FET)</t>
  </si>
  <si>
    <t>Catalog</t>
  </si>
  <si>
    <t>Buck</t>
  </si>
  <si>
    <t>WQFN</t>
  </si>
  <si>
    <t/>
  </si>
  <si>
    <t>-40 to 85</t>
  </si>
  <si>
    <t>3 x 3</t>
  </si>
  <si>
    <t>ACTIVE</t>
  </si>
  <si>
    <t>3.6-V, 2-A, 18.3-mΩ load switch with output discharge and rise time of 6200-µs at 3.6-V</t>
  </si>
  <si>
    <t>Load switches</t>
  </si>
  <si>
    <t>Catalog</t>
  </si>
  <si>
    <t>DSBGA</t>
  </si>
  <si>
    <t/>
  </si>
  <si>
    <t>-40 to 85</t>
  </si>
  <si>
    <t>1.75 x 1.25</t>
  </si>
  <si>
    <t>ACTIVE</t>
  </si>
  <si>
    <t>150-nA, ultra-low power, supply voltage monitor</t>
  </si>
  <si>
    <t>Reset &amp; watchdog ICs</t>
  </si>
  <si>
    <t>Catalog</t>
  </si>
  <si>
    <t>X2SON</t>
  </si>
  <si>
    <t/>
  </si>
  <si>
    <t>-40 to 85</t>
  </si>
  <si>
    <t>1 x 1</t>
  </si>
  <si>
    <t>ACTIVE</t>
  </si>
  <si>
    <t>4.5-V to 18-V, 6-A synchronous buck converter in HTSSOP package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</si>
  <si>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</si>
  <si>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</si>
  <si>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</si>
  <si>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</si>
  <si>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</si>
  <si>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</si>
  <si>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</si>
  <si>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</si>
  <si>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4.5-V to 18-V, 6-A synchronous buck converter with eco-mode in HTSSOP package</t>
  </si>
  <si>
    <t>AC/DC &amp; DC/DC converters (integrated FET)</t>
  </si>
  <si>
    <t>Catalog</t>
  </si>
  <si>
    <t>Buck</t>
  </si>
  <si>
    <t>HSOIC</t>
  </si>
  <si>
    <t/>
  </si>
  <si>
    <t>-40 to 150</t>
  </si>
  <si>
    <t>4.9 x 6</t>
  </si>
  <si>
    <t>ACTIVE</t>
  </si>
  <si>
    <t>9-V to 80-V hot swap controller with digital powermonitoring and latch off</t>
  </si>
  <si>
    <t>Hot-swap controllers</t>
  </si>
  <si>
    <t>Catalog</t>
  </si>
  <si>
    <t>TSSOP</t>
  </si>
  <si>
    <t/>
  </si>
  <si>
    <t>-40 to 125</t>
  </si>
  <si>
    <t>6.5 x 6.4</t>
  </si>
  <si>
    <t>ACTIVE</t>
  </si>
  <si>
    <t>9-V to 80-V hot swap controller with digital powermonitoring and Auto Retry</t>
  </si>
  <si>
    <t>Hot-swap controllers</t>
  </si>
  <si>
    <t>Catalog</t>
  </si>
  <si>
    <t>TSSOP</t>
  </si>
  <si>
    <t/>
  </si>
  <si>
    <t>-40 to 125</t>
  </si>
  <si>
    <t>6.5 x 6.4</t>
  </si>
  <si>
    <t>ACTIVE</t>
  </si>
  <si>
    <t>Dual-channel push-button controller with configurable delay</t>
  </si>
  <si>
    <t>Reset &amp; watchdog ICs</t>
  </si>
  <si>
    <t>Catalog</t>
  </si>
  <si>
    <t>USON</t>
  </si>
  <si>
    <t/>
  </si>
  <si>
    <t>-40 to 125</t>
  </si>
  <si>
    <t>1.45 x 1</t>
  </si>
  <si>
    <t>ACTIVE</t>
  </si>
  <si>
    <t>Single-channel push-button controller with configurable delay &amp; reset pulse</t>
  </si>
  <si>
    <t>Reset &amp; watchdog ICs</t>
  </si>
  <si>
    <t>Catalog</t>
  </si>
  <si>
    <t>USON</t>
  </si>
  <si>
    <t/>
  </si>
  <si>
    <t>-40 to 125</t>
  </si>
  <si>
    <t>1.45 x 1</t>
  </si>
  <si>
    <t>ACTIVE</t>
  </si>
  <si>
    <t>4.5-V to 18-V input, 3A/2A/2A output, Synchronous triple buck converter</t>
  </si>
  <si>
    <t>AC/DC &amp; DC/DC converters (integrated FET)</t>
  </si>
  <si>
    <t>Catalog</t>
  </si>
  <si>
    <t>Buck</t>
  </si>
  <si>
    <t>VQFN</t>
  </si>
  <si>
    <t/>
  </si>
  <si>
    <t>-40 to 125</t>
  </si>
  <si>
    <t>6 x 6</t>
  </si>
  <si>
    <t>ACTIVE</t>
  </si>
  <si>
    <t>4.5-V to 18-V input, 3A/2A/2A output, Synchronous triple buck converter</t>
  </si>
  <si>
    <t>AC/DC &amp; DC/DC converters (integrated FET)</t>
  </si>
  <si>
    <t>Catalog</t>
  </si>
  <si>
    <t>Buck</t>
  </si>
  <si>
    <t>VQFN</t>
  </si>
  <si>
    <t/>
  </si>
  <si>
    <t>-40 to 125</t>
  </si>
  <si>
    <t>6 x 6</t>
  </si>
  <si>
    <t>ACTIVE</t>
  </si>
  <si>
    <t>4.5-V to 18-V input, 3A/2A/2A output, Synchronous triple buck converter</t>
  </si>
  <si>
    <t>AC/DC &amp; DC/DC converters (integrated FET)</t>
  </si>
  <si>
    <t>Catalog</t>
  </si>
  <si>
    <t>Buck</t>
  </si>
  <si>
    <t>VQFN</t>
  </si>
  <si>
    <t/>
  </si>
  <si>
    <t>-40 to 125</t>
  </si>
  <si>
    <t>6 x 6</t>
  </si>
  <si>
    <t>ACTIVE</t>
  </si>
  <si>
    <t>LM3630A high-efficiency dual-String white LED driver</t>
  </si>
  <si>
    <t>Backlight LED drivers</t>
  </si>
  <si>
    <t>Catalog</t>
  </si>
  <si>
    <t>Boost</t>
  </si>
  <si>
    <t>DSBGA</t>
  </si>
  <si>
    <t/>
  </si>
  <si>
    <t>-40 to 85</t>
  </si>
  <si>
    <t>1.8 x 1.4000000000000001</t>
  </si>
  <si>
    <t>ACTIVE</t>
  </si>
  <si>
    <t>Radiation-hardened QMLV, single-channel input gate driver with complementary 0.5-A/1-A dual-outputs</t>
  </si>
  <si>
    <t>Low-side drivers</t>
  </si>
  <si>
    <t>Space</t>
  </si>
  <si>
    <t>CFP</t>
  </si>
  <si>
    <t/>
  </si>
  <si>
    <t>-55 to 125</t>
  </si>
  <si>
    <t>10.3 x 6.73</t>
  </si>
  <si>
    <t>ACTIVE</t>
  </si>
  <si>
    <t>2.5-A/5-A single-channel gate driver with 8-V UVLO, 35-V VDD, and inverting input</t>
  </si>
  <si>
    <t>Low-side drivers</t>
  </si>
  <si>
    <t>Catalog</t>
  </si>
  <si>
    <t>SOT-23</t>
  </si>
  <si>
    <t/>
  </si>
  <si>
    <t>-40 to 140</t>
  </si>
  <si>
    <t>2.9 x 2.8</t>
  </si>
  <si>
    <t>ACTIVE</t>
  </si>
  <si>
    <t>2.5-A/5-A single-channel gate driver with 8-V UVLO, 35-V VDD, and EN pin</t>
  </si>
  <si>
    <t>Low-side drivers</t>
  </si>
  <si>
    <t>Catalog</t>
  </si>
  <si>
    <t>SOT-23</t>
  </si>
  <si>
    <t/>
  </si>
  <si>
    <t>-40 to 140</t>
  </si>
  <si>
    <t>2.9 x 2.8</t>
  </si>
  <si>
    <t>ACTIVE</t>
  </si>
  <si>
    <t>2.5-A/5-A single-channel gate driver with 8-V UVLO, 35-V VDD, and dual input</t>
  </si>
  <si>
    <t>Low-side drivers</t>
  </si>
  <si>
    <t>Catalog</t>
  </si>
  <si>
    <t>SOT-23</t>
  </si>
  <si>
    <t/>
  </si>
  <si>
    <t>-40 to 140</t>
  </si>
  <si>
    <t>2.9 x 2.8</t>
  </si>
  <si>
    <t>ACTIVE</t>
  </si>
  <si>
    <t>30-V, N channel NexFET™ power MOSFET, single LGA 1 mm x  0.6 mm, 117 mOhm, gate ESD protection</t>
  </si>
  <si>
    <t>MOSFETs</t>
  </si>
  <si>
    <t>Catalog</t>
  </si>
  <si>
    <t>PICOSTAR</t>
  </si>
  <si>
    <t/>
  </si>
  <si>
    <t>-55 to 150</t>
  </si>
  <si>
    <t>1.035 x 0.635</t>
  </si>
  <si>
    <t>ACTIVE</t>
  </si>
  <si>
    <t>800-mA, 20-V, low-noise, high-PSRR, adjustable low-dropout voltage regulator with enable</t>
  </si>
  <si>
    <t>Linear &amp; low-dropout (LDO) regulators</t>
  </si>
  <si>
    <t>Catalog</t>
  </si>
  <si>
    <t>WSON</t>
  </si>
  <si>
    <t/>
  </si>
  <si>
    <t>-40 to 125</t>
  </si>
  <si>
    <t>4 x 4</t>
  </si>
  <si>
    <t>ACTIVE</t>
  </si>
  <si>
    <t>4.5V to 18V Input, 4-A Synchronous Step-Down Converter with Advanced Eco-mode™</t>
  </si>
  <si>
    <t>AC/DC &amp; DC/DC converters (integrated FET)</t>
  </si>
  <si>
    <t>Catalog</t>
  </si>
  <si>
    <t>Buck</t>
  </si>
  <si>
    <t>HSOIC,VQFN</t>
  </si>
  <si>
    <t/>
  </si>
  <si>
    <t>-40 to 85</t>
  </si>
  <si>
    <t>8,14</t>
  </si>
  <si>
    <t>12.25,29.4</t>
  </si>
  <si>
    <t>3.5 x 3.5,4.9 x 6</t>
  </si>
  <si>
    <t>1,1.7</t>
  </si>
  <si>
    <t>0.5,1.27</t>
  </si>
  <si>
    <t>ACTIVE</t>
  </si>
  <si>
    <t>4.5V to 18V Input, 5-A Synchronous Step-Down Converter with Advanced Eco-mode™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</si>
  <si>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</si>
  <si>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</si>
  <si>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</si>
  <si>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</si>
  <si>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</si>
  <si>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</si>
  <si>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</si>
  <si>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</si>
  <si>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5-V to 24-V, dual-synchronous buck controller with 3.2 ms soft start</t>
  </si>
  <si>
    <t>AC/DC &amp; DC/DC controllers (external FET)</t>
  </si>
  <si>
    <t>Catalog</t>
  </si>
  <si>
    <t>Buck</t>
  </si>
  <si>
    <t>WQFN</t>
  </si>
  <si>
    <t/>
  </si>
  <si>
    <t>-40 to 85</t>
  </si>
  <si>
    <t>3 x 3</t>
  </si>
  <si>
    <t>ACTIVE</t>
  </si>
  <si>
    <t>5-V to 24-V, dual-synchronous buck controller with ultra-low quiescent current</t>
  </si>
  <si>
    <t>AC/DC &amp; DC/DC controllers (external FET)</t>
  </si>
  <si>
    <t>Catalog</t>
  </si>
  <si>
    <t>Buck</t>
  </si>
  <si>
    <t>WQFN</t>
  </si>
  <si>
    <t/>
  </si>
  <si>
    <t>-40 to 85</t>
  </si>
  <si>
    <t>3 x 3</t>
  </si>
  <si>
    <t>ACTIVE</t>
  </si>
  <si>
    <t>9 channel RGB / White LED driver with internal program memory and integrated charge Pump - WQFN</t>
  </si>
  <si>
    <t>RGB LED drivers</t>
  </si>
  <si>
    <t>Catalog</t>
  </si>
  <si>
    <t>Charge pump</t>
  </si>
  <si>
    <t>WQFN</t>
  </si>
  <si>
    <t/>
  </si>
  <si>
    <t>-30 to 85</t>
  </si>
  <si>
    <t>4 x 4</t>
  </si>
  <si>
    <t>ACTIVE</t>
  </si>
  <si>
    <t>Enhanced Product 4.5 V to 60 V Wide-Input Synchronous PWM Buck Controller</t>
  </si>
  <si>
    <t>AC/DC &amp; DC/DC controllers (external FET)</t>
  </si>
  <si>
    <t>HiRel Enhanced Product</t>
  </si>
  <si>
    <t>Buck</t>
  </si>
  <si>
    <t>VQFN</t>
  </si>
  <si>
    <t/>
  </si>
  <si>
    <t>-55 to 125</t>
  </si>
  <si>
    <t>4.5 x 3.5</t>
  </si>
  <si>
    <t>ACTIVE</t>
  </si>
  <si>
    <t>TPS92660 two string LED driver with I2C/EPROM current Trim</t>
  </si>
  <si>
    <t>Illumination  LED drivers</t>
  </si>
  <si>
    <t>Catalog</t>
  </si>
  <si>
    <t>Buck</t>
  </si>
  <si>
    <t>HTSSOP</t>
  </si>
  <si>
    <t/>
  </si>
  <si>
    <t>-40 to 125</t>
  </si>
  <si>
    <t>6.5 x 6.4</t>
  </si>
  <si>
    <t>ACTIVE</t>
  </si>
  <si>
    <t>2.5V to 24V, 3/2/1-phase Step-Down Driverless Controller for Nvidia Tegra&amp;reg; T40 CPUs</t>
  </si>
  <si>
    <t>AC/DC &amp; DC/DC controllers (external FET)</t>
  </si>
  <si>
    <t>Catalog</t>
  </si>
  <si>
    <t>Multiphase</t>
  </si>
  <si>
    <t>VQFN</t>
  </si>
  <si>
    <t/>
  </si>
  <si>
    <t>-10 to 105</t>
  </si>
  <si>
    <t>4 x 4</t>
  </si>
  <si>
    <t>ACTIVE</t>
  </si>
  <si>
    <t>Automotive Catalog Dual, Adjustable, 400mA &amp; 600mA, 2.25MHz Step-Down Converter w/ 1-Wire Interface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</si>
  <si>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</si>
  <si>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</si>
  <si>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</si>
  <si>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</si>
  <si>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</si>
  <si>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</si>
  <si>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</si>
  <si>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</si>
  <si>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2.5-A/5-A single-channel gate driver with 8-V UVLO, 35-V VDD, and inverting/non-inverting inputs</t>
  </si>
  <si>
    <t>Low-side drivers</t>
  </si>
  <si>
    <t>Catalog</t>
  </si>
  <si>
    <t>SOT-23</t>
  </si>
  <si>
    <t/>
  </si>
  <si>
    <t>-40 to 140</t>
  </si>
  <si>
    <t>2.9 x 2.8</t>
  </si>
  <si>
    <t>ACTIVE</t>
  </si>
  <si>
    <t>Automotive 200-mA, high-PSRR, dual-channel low-dropout voltage regulator with enable</t>
  </si>
  <si>
    <t>Linear &amp; low-dropout (LDO) regulators</t>
  </si>
  <si>
    <t>Automotive</t>
  </si>
  <si>
    <t>WSON</t>
  </si>
  <si>
    <t/>
  </si>
  <si>
    <t>-40 to 125</t>
  </si>
  <si>
    <t>1.5 x 1.5</t>
  </si>
  <si>
    <t>ACTIVE</t>
  </si>
  <si>
    <t>Automotive, dual-voltage detector with adjustable hysteresis</t>
  </si>
  <si>
    <t>Reset &amp; watchdog ICs</t>
  </si>
  <si>
    <t>Automotive</t>
  </si>
  <si>
    <t>SOT-23</t>
  </si>
  <si>
    <t/>
  </si>
  <si>
    <t>-40 to 125</t>
  </si>
  <si>
    <t>2.9 x 2.8</t>
  </si>
  <si>
    <t>ACTIVE</t>
  </si>
  <si>
    <t>LM3639A Single chip 40V backlight + 1.5A flash LED driver</t>
  </si>
  <si>
    <t>Backlight LED drivers</t>
  </si>
  <si>
    <t>Catalog</t>
  </si>
  <si>
    <t>Boost</t>
  </si>
  <si>
    <t>DSBGA</t>
  </si>
  <si>
    <t/>
  </si>
  <si>
    <t>-40 to 85</t>
  </si>
  <si>
    <t>2.2 x 1.8</t>
  </si>
  <si>
    <t>ACTIVE</t>
  </si>
  <si>
    <t>4.5V to 18V input, 4A output synchronous buck converter with dual power distribution switches</t>
  </si>
  <si>
    <t>AC/DC &amp; DC/DC converters (integrated FET)</t>
  </si>
  <si>
    <t>Catalog</t>
  </si>
  <si>
    <t>Buck</t>
  </si>
  <si>
    <t>VQFN</t>
  </si>
  <si>
    <t/>
  </si>
  <si>
    <t>-40 to 125</t>
  </si>
  <si>
    <t>4 x 4</t>
  </si>
  <si>
    <t>ACTIVE</t>
  </si>
  <si>
    <t>3-channel, 12-bit PWM constant current LED driver</t>
  </si>
  <si>
    <t>RGB LED drivers</t>
  </si>
  <si>
    <t>Catalog</t>
  </si>
  <si>
    <t>Current Sink,Linear</t>
  </si>
  <si>
    <t>SOIC</t>
  </si>
  <si>
    <t/>
  </si>
  <si>
    <t>-40 to 125</t>
  </si>
  <si>
    <t>4.9 x 6</t>
  </si>
  <si>
    <t>ACTIVE</t>
  </si>
  <si>
    <t>1.5A Step-Down Regulator with Integrated MOSFETs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</si>
  <si>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</si>
  <si>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</si>
  <si>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</si>
  <si>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</si>
  <si>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</si>
  <si>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</si>
  <si>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</si>
  <si>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</si>
  <si>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2.95V to 17V, 10A Synchronous Buck, Integrated Power Solution</t>
  </si>
  <si>
    <t>Power modules (integrated inductor)</t>
  </si>
  <si>
    <t>Catalog</t>
  </si>
  <si>
    <t>Buck</t>
  </si>
  <si>
    <t>B3QFN</t>
  </si>
  <si>
    <t/>
  </si>
  <si>
    <t>-40 to 85</t>
  </si>
  <si>
    <t>10 x 10</t>
  </si>
  <si>
    <t>ACTIVE</t>
  </si>
  <si>
    <t>Highly-Integrated Digital Controller for Isolated Power with 64kB Memory</t>
  </si>
  <si>
    <t>AC/DC &amp; DC/DC controllers (external FET)</t>
  </si>
  <si>
    <t>Catalog</t>
  </si>
  <si>
    <t>VQFN,WQFN</t>
  </si>
  <si>
    <t/>
  </si>
  <si>
    <t>-40 to 125</t>
  </si>
  <si>
    <t>40,64</t>
  </si>
  <si>
    <t>36,81</t>
  </si>
  <si>
    <t>6 x 6,9 x 9</t>
  </si>
  <si>
    <t>0.8,1</t>
  </si>
  <si>
    <t>ACTIVE</t>
  </si>
  <si>
    <t>30-V, N channel synchronous buck NexFET™ power MOSFET, 5 mm x 2.5 mm LGA, 25 A</t>
  </si>
  <si>
    <t>MOSFETs</t>
  </si>
  <si>
    <t>Catalog</t>
  </si>
  <si>
    <t>PTAB</t>
  </si>
  <si>
    <t/>
  </si>
  <si>
    <t>-55 to 150</t>
  </si>
  <si>
    <t>5 x 2.5</t>
  </si>
  <si>
    <t>ACTIVE</t>
  </si>
  <si>
    <t>Buck-Boost Converter with MIPI® RFFE Interface for 3G and 4G RF Power Amplifiers</t>
  </si>
  <si>
    <t>AC/DC &amp; DC/DC converters (integrated FET)</t>
  </si>
  <si>
    <t>Catalog</t>
  </si>
  <si>
    <t>Buck</t>
  </si>
  <si>
    <t>DSBGA</t>
  </si>
  <si>
    <t/>
  </si>
  <si>
    <t>-30 to 85</t>
  </si>
  <si>
    <t>2.25 x 2.25</t>
  </si>
  <si>
    <t>ACTIVE</t>
  </si>
  <si>
    <t>2-Phase DCAP+ Step-Down Controller for VR12.6 CPU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</si>
  <si>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</si>
  <si>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</si>
  <si>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</si>
  <si>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</si>
  <si>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</si>
  <si>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</si>
  <si>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</si>
  <si>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</si>
  <si>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Automotive Catalog, 4.7V -60-V, 200-mA Synchronous Step-Down DC-DC Converter</t>
  </si>
  <si>
    <t>AC/DC &amp; DC/DC converters (integrated FET)</t>
  </si>
  <si>
    <t>Automotive</t>
  </si>
  <si>
    <t>Buck</t>
  </si>
  <si>
    <t>VSON</t>
  </si>
  <si>
    <t/>
  </si>
  <si>
    <t>-40 to 150</t>
  </si>
  <si>
    <t>3 x 3</t>
  </si>
  <si>
    <t>ACTIVE</t>
  </si>
  <si>
    <t>High Efficiency  Nanopower Buck Converter with 50mA Load Capability | Step-Down</t>
  </si>
  <si>
    <t>AC/DC &amp; DC/DC converters (integrated FET)</t>
  </si>
  <si>
    <t>Catalog</t>
  </si>
  <si>
    <t>Buck</t>
  </si>
  <si>
    <t>VQFN</t>
  </si>
  <si>
    <t/>
  </si>
  <si>
    <t>-40 to 85</t>
  </si>
  <si>
    <t>3.5 x 3.5</t>
  </si>
  <si>
    <t>ACTIVE</t>
  </si>
  <si>
    <t>Open-drain, low-power, dual-voltage detector in Small µSON package</t>
  </si>
  <si>
    <t>Supply-voltage supervisors</t>
  </si>
  <si>
    <t>Catalog</t>
  </si>
  <si>
    <t>SOT-23,USON</t>
  </si>
  <si>
    <t/>
  </si>
  <si>
    <t>-40 to 125</t>
  </si>
  <si>
    <t>1.45,8.12</t>
  </si>
  <si>
    <t>1.45 x 1,2.9 x 2.8</t>
  </si>
  <si>
    <t>0.6,1.45</t>
  </si>
  <si>
    <t>0.5,0.95</t>
  </si>
  <si>
    <t>ACTIVE</t>
  </si>
  <si>
    <t>5.5-V to 24-V, dual-synchronous buck controller with Out-of-Audio™ mode</t>
  </si>
  <si>
    <t>AC/DC &amp; DC/DC controllers (external FET)</t>
  </si>
  <si>
    <t>Catalog</t>
  </si>
  <si>
    <t>Buck</t>
  </si>
  <si>
    <t>WQFN</t>
  </si>
  <si>
    <t/>
  </si>
  <si>
    <t>-40 to 125</t>
  </si>
  <si>
    <t>3 x 3</t>
  </si>
  <si>
    <t>ACTIVE</t>
  </si>
  <si>
    <t>Off-line primary-side sensing controller for LED Lighting</t>
  </si>
  <si>
    <t>Illumination  LED drivers</t>
  </si>
  <si>
    <t>Catalog</t>
  </si>
  <si>
    <t>Flyback</t>
  </si>
  <si>
    <t>SOT-23</t>
  </si>
  <si>
    <t/>
  </si>
  <si>
    <t>-40 to 125</t>
  </si>
  <si>
    <t>2.9 x 2.8</t>
  </si>
  <si>
    <t>ACTIVE</t>
  </si>
  <si>
    <t>30-V, N channel NexFET™ power MOSFET, single SON 5 mm x 6 mm, 1.8 mOhm</t>
  </si>
  <si>
    <t>MOSFETs</t>
  </si>
  <si>
    <t>Catalog</t>
  </si>
  <si>
    <t>VSON-CLIP</t>
  </si>
  <si>
    <t/>
  </si>
  <si>
    <t>-55 to 150</t>
  </si>
  <si>
    <t>6 x 5</t>
  </si>
  <si>
    <t>ACTIVE</t>
  </si>
  <si>
    <t>Dual-channel push-button controller with configurable delay &amp; reset pulse</t>
  </si>
  <si>
    <t>Reset &amp; watchdog ICs</t>
  </si>
  <si>
    <t>Catalog</t>
  </si>
  <si>
    <t>USON</t>
  </si>
  <si>
    <t/>
  </si>
  <si>
    <t>-40 to 125</t>
  </si>
  <si>
    <t>1.45 x 1</t>
  </si>
  <si>
    <t>ACTIVE</t>
  </si>
  <si>
    <t>3-V to 22-V, 10-A synchronous buck converter with ultra-low quiescent current</t>
  </si>
  <si>
    <t>AC/DC &amp; DC/DC converters (integrated FET)</t>
  </si>
  <si>
    <t>Catalog</t>
  </si>
  <si>
    <t>Buck</t>
  </si>
  <si>
    <t>VQFN-CLIP</t>
  </si>
  <si>
    <t/>
  </si>
  <si>
    <t>-10 to 85</t>
  </si>
  <si>
    <t>4.5 x 3.5</t>
  </si>
  <si>
    <t>ACTIVE</t>
  </si>
  <si>
    <t>3-V to 22-V, 8-A synchronous buck converter</t>
  </si>
  <si>
    <t>AC/DC &amp; DC/DC converters (integrated FET)</t>
  </si>
  <si>
    <t>Catalog</t>
  </si>
  <si>
    <t>Buck</t>
  </si>
  <si>
    <t>VQFN-CLIP</t>
  </si>
  <si>
    <t/>
  </si>
  <si>
    <t>-10 to 85</t>
  </si>
  <si>
    <t>4.5 x 3.5</t>
  </si>
  <si>
    <t>ACTIVE</t>
  </si>
  <si>
    <t>3-V to 22-V, 12-A synchronous buck converter with ultra-low quiescent current</t>
  </si>
  <si>
    <t>AC/DC &amp; DC/DC converters (integrated FET)</t>
  </si>
  <si>
    <t>Catalog</t>
  </si>
  <si>
    <t>Buck</t>
  </si>
  <si>
    <t>VQFN-CLIP</t>
  </si>
  <si>
    <t/>
  </si>
  <si>
    <t>-10 to 85</t>
  </si>
  <si>
    <t>4.5 x 3.5</t>
  </si>
  <si>
    <t>ACTIVE</t>
  </si>
  <si>
    <t>4.5V to 18V Input, 3.5A/3.5A Dual Synchronous Step-down Converter with I2C Controlled VID</t>
  </si>
  <si>
    <t>AC/DC &amp; DC/DC converters (integrated FET)</t>
  </si>
  <si>
    <t>Catalog</t>
  </si>
  <si>
    <t>Buck</t>
  </si>
  <si>
    <t>HTSSOP,VQFN</t>
  </si>
  <si>
    <t/>
  </si>
  <si>
    <t>-40 to 125</t>
  </si>
  <si>
    <t>32,36</t>
  </si>
  <si>
    <t>36,89.1</t>
  </si>
  <si>
    <t>11 x 8.1,6 x 6</t>
  </si>
  <si>
    <t>1,1.2</t>
  </si>
  <si>
    <t>0.5,0.65</t>
  </si>
  <si>
    <t>ACTIVE</t>
  </si>
  <si>
    <t>4.5-V to 18-V Input, Dual (6-A and 3.5-A) Synchronous Step-Down Converter with I2C Control</t>
  </si>
  <si>
    <t>AC/DC &amp; DC/DC converters (integrated FET)</t>
  </si>
  <si>
    <t>Catalog</t>
  </si>
  <si>
    <t>Buck</t>
  </si>
  <si>
    <t>HTSSOP,VQFN</t>
  </si>
  <si>
    <t/>
  </si>
  <si>
    <t>-40 to 125</t>
  </si>
  <si>
    <t>32,36</t>
  </si>
  <si>
    <t>36,89.1</t>
  </si>
  <si>
    <t>11 x 8.1,6 x 6</t>
  </si>
  <si>
    <t>1,1.2</t>
  </si>
  <si>
    <t>0.5,0.65</t>
  </si>
  <si>
    <t>ACTIVE</t>
  </si>
  <si>
    <t>4.5-V to 18-V Input, Dual 5-A Synchronous Step-Down Converter with I2C interface</t>
  </si>
  <si>
    <t>AC/DC &amp; DC/DC converters (integrated FET)</t>
  </si>
  <si>
    <t>Catalog</t>
  </si>
  <si>
    <t>Buck</t>
  </si>
  <si>
    <t>HTSSOP,VQFN</t>
  </si>
  <si>
    <t/>
  </si>
  <si>
    <t>-40 to 125</t>
  </si>
  <si>
    <t>32,36</t>
  </si>
  <si>
    <t>36,89.1</t>
  </si>
  <si>
    <t>11 x 8.1,6 x 6</t>
  </si>
  <si>
    <t>1,1.2</t>
  </si>
  <si>
    <t>0.5,0.65</t>
  </si>
  <si>
    <t>ACTIVE</t>
  </si>
  <si>
    <t>800-mA, High-Efficiency MicroSiP Step-Down Converter (Profile &lt;1mm). Vout=2.85V with Spread Spectrum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</si>
  <si>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</si>
  <si>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</si>
  <si>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</si>
  <si>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</si>
  <si>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</si>
  <si>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</si>
  <si>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</si>
  <si>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</si>
  <si>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Low Iq, 58V, Synchronous Boost Controller w/ Wide Input Voltage &amp; 7.5V Gate Drive for Standard FETs</t>
  </si>
  <si>
    <t>AC/DC &amp; DC/DC controllers (external FET)</t>
  </si>
  <si>
    <t>Catalog</t>
  </si>
  <si>
    <t>Boost,Flyback,Forward,SEPIC</t>
  </si>
  <si>
    <t>WQFN</t>
  </si>
  <si>
    <t/>
  </si>
  <si>
    <t>-40 to 150</t>
  </si>
  <si>
    <t>3 x 3</t>
  </si>
  <si>
    <t>ACTIVE</t>
  </si>
  <si>
    <t>4.5-V to 17-V, 10-A synchronous SWIFT&amp;trade; buck converter with out-of-phase synchronization</t>
  </si>
  <si>
    <t>AC/DC &amp; DC/DC converters (integrated FET)</t>
  </si>
  <si>
    <t>Catalog</t>
  </si>
  <si>
    <t>Buck</t>
  </si>
  <si>
    <t>VQFN-HR</t>
  </si>
  <si>
    <t/>
  </si>
  <si>
    <t>-40 to 150</t>
  </si>
  <si>
    <t>3.5 x 3.5</t>
  </si>
  <si>
    <t>ACTIVE</t>
  </si>
  <si>
    <t>4.5V to 60 V input, 5 A step-down converter with Eco-Mode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</si>
  <si>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</si>
  <si>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</si>
  <si>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</si>
  <si>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</si>
  <si>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</si>
  <si>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</si>
  <si>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</si>
  <si>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</si>
  <si>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Automotive 10-Channel Sequencer and System Health Monitor</t>
  </si>
  <si>
    <t>Sequencers</t>
  </si>
  <si>
    <t>Automotive</t>
  </si>
  <si>
    <t>VQFN</t>
  </si>
  <si>
    <t/>
  </si>
  <si>
    <t>-40 to 125</t>
  </si>
  <si>
    <t>7 x 7</t>
  </si>
  <si>
    <t>ACTIVE</t>
  </si>
  <si>
    <t>Dual Phase D-CAP Buck Regulator with 8-Bit VID</t>
  </si>
  <si>
    <t>AC/DC &amp; DC/DC controllers (external FET)</t>
  </si>
  <si>
    <t>Catalog</t>
  </si>
  <si>
    <t>Multiphase</t>
  </si>
  <si>
    <t>VQFN</t>
  </si>
  <si>
    <t/>
  </si>
  <si>
    <t>-40 to 125</t>
  </si>
  <si>
    <t>6 x 6</t>
  </si>
  <si>
    <t>ACTIVE</t>
  </si>
  <si>
    <t>Automotive split-rail converter with dual, positive and negative outputs (750mA typ)</t>
  </si>
  <si>
    <t>AC/DC &amp; DC/DC converters (integrated FET),LCD &amp; OLED display power &amp; drivers</t>
  </si>
  <si>
    <t>Automotive</t>
  </si>
  <si>
    <t>Split-Rail</t>
  </si>
  <si>
    <t>VQFN</t>
  </si>
  <si>
    <t/>
  </si>
  <si>
    <t>-40 to 105</t>
  </si>
  <si>
    <t>4 x 4</t>
  </si>
  <si>
    <t>ACTIVE</t>
  </si>
  <si>
    <t>Automotive grade 4.5-42V wide VIN, current mode dual synchronous buck controller</t>
  </si>
  <si>
    <t>AC/DC &amp; DC/DC controllers (external FET)</t>
  </si>
  <si>
    <t>Automotive</t>
  </si>
  <si>
    <t>Multiphase</t>
  </si>
  <si>
    <t>WQFN</t>
  </si>
  <si>
    <t/>
  </si>
  <si>
    <t>-40 to 125</t>
  </si>
  <si>
    <t>5 x 5</t>
  </si>
  <si>
    <t>ACTIVE</t>
  </si>
  <si>
    <t>Automotive Grade 5.5-65V Wide Vin, Current Mode Dual Synchronous Buck Controller</t>
  </si>
  <si>
    <t>AC/DC &amp; DC/DC controllers (external FET)</t>
  </si>
  <si>
    <t>Automotive</t>
  </si>
  <si>
    <t>Multiphase</t>
  </si>
  <si>
    <t>WQFN</t>
  </si>
  <si>
    <t/>
  </si>
  <si>
    <t>-40 to 125</t>
  </si>
  <si>
    <t>5 x 5</t>
  </si>
  <si>
    <t>ACTIVE</t>
  </si>
  <si>
    <t>3-channel, 8-bit, PWM LED driver with Single-Wire Interface</t>
  </si>
  <si>
    <t>RGB LED drivers</t>
  </si>
  <si>
    <t>Catalog</t>
  </si>
  <si>
    <t>Current Sink,Linear</t>
  </si>
  <si>
    <t>SOIC</t>
  </si>
  <si>
    <t/>
  </si>
  <si>
    <t>-40 to 125</t>
  </si>
  <si>
    <t>4.9 x 6</t>
  </si>
  <si>
    <t>ACTIVE</t>
  </si>
  <si>
    <t>2.5-A/5-A single-channel gate driver with 8-V UVLO, 35-V VDD, CMOS inputs, and split outputs</t>
  </si>
  <si>
    <t>Low-side drivers</t>
  </si>
  <si>
    <t>Catalog</t>
  </si>
  <si>
    <t>SOT-23</t>
  </si>
  <si>
    <t/>
  </si>
  <si>
    <t>-40 to 140</t>
  </si>
  <si>
    <t>2.9 x 2.8</t>
  </si>
  <si>
    <t>ACTIVE</t>
  </si>
  <si>
    <t>4-channel RGB/White LED driver with internal program memory and Independent channel control</t>
  </si>
  <si>
    <t>RGB LED drivers</t>
  </si>
  <si>
    <t>Catalog</t>
  </si>
  <si>
    <t>Linear</t>
  </si>
  <si>
    <t>DSBGA</t>
  </si>
  <si>
    <t/>
  </si>
  <si>
    <t>-40 to 85</t>
  </si>
  <si>
    <t>1.8 x 1.4000000000000001</t>
  </si>
  <si>
    <t>ACTIVE</t>
  </si>
  <si>
    <t>USB charging port controller with CDP/SDP auto switch and 2.5A power switch</t>
  </si>
  <si>
    <t>USB power switches &amp; charging port controllers</t>
  </si>
  <si>
    <t>Catalog</t>
  </si>
  <si>
    <t>WQFN</t>
  </si>
  <si>
    <t/>
  </si>
  <si>
    <t>-40 to 125</t>
  </si>
  <si>
    <t>3 x 3</t>
  </si>
  <si>
    <t>ACTIVE</t>
  </si>
  <si>
    <t>USB charging port controller with CDP/SDP auto switch and 2.5A power switch with load detection&lt;/</t>
  </si>
  <si>
    <t>USB power switches &amp; charging port controllers</t>
  </si>
  <si>
    <t>Catalog</t>
  </si>
  <si>
    <t>WQFN</t>
  </si>
  <si>
    <t/>
  </si>
  <si>
    <t>-40 to 125</t>
  </si>
  <si>
    <t>3 x 3</t>
  </si>
  <si>
    <t>ACTIVE</t>
  </si>
  <si>
    <t>16-channel, 16-bit PWM LED driver with 6-bit global brightness</t>
  </si>
  <si>
    <t>LED display drivers</t>
  </si>
  <si>
    <t>Catalog</t>
  </si>
  <si>
    <t>SSOP</t>
  </si>
  <si>
    <t/>
  </si>
  <si>
    <t>-40 to 85</t>
  </si>
  <si>
    <t>8.65 x 6</t>
  </si>
  <si>
    <t>ACTIVE</t>
  </si>
  <si>
    <t>4.5V to 23V Input, 2A Synchronous Step-Down Converter with D-CAP2 Mode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</si>
  <si>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</si>
  <si>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</si>
  <si>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</si>
  <si>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</si>
  <si>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</si>
  <si>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</si>
  <si>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</si>
  <si>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</si>
  <si>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4.5V to 23V Input, 2-A Synchronous Step-Down Converter with Eco-Mode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</si>
  <si>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</si>
  <si>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</si>
  <si>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</si>
  <si>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</si>
  <si>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</si>
  <si>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</si>
  <si>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</si>
  <si>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</si>
  <si>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0.5-V to 30-V smart bypass diode</t>
  </si>
  <si>
    <t>Ideal diode &amp; ORing controllers</t>
  </si>
  <si>
    <t>Catalog</t>
  </si>
  <si>
    <t>TO-263</t>
  </si>
  <si>
    <t/>
  </si>
  <si>
    <t>-40 to 125</t>
  </si>
  <si>
    <t>10.16 x 15.24</t>
  </si>
  <si>
    <t>ACTIVE</t>
  </si>
  <si>
    <t>4.5-V to 23-V input, 3-A synchronous step-down converter with D-CAP2 mode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</si>
  <si>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</si>
  <si>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</si>
  <si>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</si>
  <si>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</si>
  <si>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</si>
  <si>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</si>
  <si>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</si>
  <si>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</si>
  <si>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30V 25A SON 3.5 x 4.5mm synchronous buck NexFET™ power stage</t>
  </si>
  <si>
    <t>Si power stages</t>
  </si>
  <si>
    <t>Catalog</t>
  </si>
  <si>
    <t>VSON-CLIP</t>
  </si>
  <si>
    <t/>
  </si>
  <si>
    <t>-40 to 150</t>
  </si>
  <si>
    <t>4.5 x 3.5</t>
  </si>
  <si>
    <t>ACTIVE</t>
  </si>
  <si>
    <t>Advanced half-bridge/full-bridge PWM controller with pre-bias operation for offline applications</t>
  </si>
  <si>
    <t>AC/DC &amp; DC/DC controllers (external FET)</t>
  </si>
  <si>
    <t>Catalog</t>
  </si>
  <si>
    <t>Forward,Full bridge,Half bridge,Push pull</t>
  </si>
  <si>
    <t>TSSOP,VQFN</t>
  </si>
  <si>
    <t/>
  </si>
  <si>
    <t>-40 to 125</t>
  </si>
  <si>
    <t>16,41.6</t>
  </si>
  <si>
    <t>4 x 4,6.5 x 6.4</t>
  </si>
  <si>
    <t>1,1.2</t>
  </si>
  <si>
    <t>0.5,0.65</t>
  </si>
  <si>
    <t>ACTIVE</t>
  </si>
  <si>
    <t>Automotive power logic 12-bit Shift Register LED driver</t>
  </si>
  <si>
    <t>Automotive LED drivers</t>
  </si>
  <si>
    <t>Automotive</t>
  </si>
  <si>
    <t>Open drain</t>
  </si>
  <si>
    <t>SOIC,TSSOP</t>
  </si>
  <si>
    <t/>
  </si>
  <si>
    <t>-40 to 125</t>
  </si>
  <si>
    <t>41.6,131.84</t>
  </si>
  <si>
    <t>12.8 x 10.3,6.5 x 6.4</t>
  </si>
  <si>
    <t>1.2,2.65</t>
  </si>
  <si>
    <t>0.65,1.27</t>
  </si>
  <si>
    <t>ACTIVE</t>
  </si>
  <si>
    <t>Automotive power logic 8-bit Shift Register LED driver</t>
  </si>
  <si>
    <t>Automotive LED drivers</t>
  </si>
  <si>
    <t>Automotive</t>
  </si>
  <si>
    <t>Open drain</t>
  </si>
  <si>
    <t>SOIC,TSSOP</t>
  </si>
  <si>
    <t/>
  </si>
  <si>
    <t>-40 to 125</t>
  </si>
  <si>
    <t>32,59.4</t>
  </si>
  <si>
    <t>5 x 6.4,9.9 x 6</t>
  </si>
  <si>
    <t>1.2,1.75</t>
  </si>
  <si>
    <t>0.65,1.27</t>
  </si>
  <si>
    <t>ACTIVE</t>
  </si>
  <si>
    <t>Low Dropout, Two-Bank LED driver with PWM brightness control with 10mA/ch</t>
  </si>
  <si>
    <t>RGB LED drivers</t>
  </si>
  <si>
    <t>Catalog</t>
  </si>
  <si>
    <t>Linear</t>
  </si>
  <si>
    <t>DSBGA,WSON</t>
  </si>
  <si>
    <t/>
  </si>
  <si>
    <t>-40 to 85</t>
  </si>
  <si>
    <t>9,10</t>
  </si>
  <si>
    <t>1.96000000000000028000000000000001,6.25</t>
  </si>
  <si>
    <t>1.4000000000000001 x 1.4000000000000001,2.5 x 2.5</t>
  </si>
  <si>
    <t>0.625,0.8</t>
  </si>
  <si>
    <t>0.4,0.5</t>
  </si>
  <si>
    <t>ACTIVE</t>
  </si>
  <si>
    <t>Automotive N-channel controller for dimmable LED Drives with Low-side current sense</t>
  </si>
  <si>
    <t>Automotive LED drivers</t>
  </si>
  <si>
    <t>Automotive</t>
  </si>
  <si>
    <t>Boost Controller,Cuk Controller,Flyback Controller,SEPIC Controller</t>
  </si>
  <si>
    <t>HTSSOP</t>
  </si>
  <si>
    <t/>
  </si>
  <si>
    <t>-40 to 125</t>
  </si>
  <si>
    <t>5 x 6.4</t>
  </si>
  <si>
    <t>ACTIVE</t>
  </si>
  <si>
    <t>6-V to 7-V Power Management IC (PMIC) with switchmode charger, 3 DCDCs, 2 LDOs, and 7 load switches</t>
  </si>
  <si>
    <t>Multi-channel ICs (PMICs)</t>
  </si>
  <si>
    <t>Catalog</t>
  </si>
  <si>
    <t>VQFN-MR</t>
  </si>
  <si>
    <t/>
  </si>
  <si>
    <t>-40 to 85</t>
  </si>
  <si>
    <t>See data sheet</t>
  </si>
  <si>
    <t>See data sheet</t>
  </si>
  <si>
    <t>—</t>
  </si>
  <si>
    <t>—</t>
  </si>
  <si>
    <t>ACTIVE</t>
  </si>
  <si>
    <t>Synchronous buck controllers for precision dimming LED Drive</t>
  </si>
  <si>
    <t>Illumination  LED drivers</t>
  </si>
  <si>
    <t>Catalog</t>
  </si>
  <si>
    <t>Buck</t>
  </si>
  <si>
    <t>HTSSOP</t>
  </si>
  <si>
    <t/>
  </si>
  <si>
    <t>-40 to 125</t>
  </si>
  <si>
    <t>5 x 6.4</t>
  </si>
  <si>
    <t>ACTIVE</t>
  </si>
  <si>
    <t>Synchronous buck controllers for precision dimming LED Drive with shunt-FET driver</t>
  </si>
  <si>
    <t>Illumination  LED drivers</t>
  </si>
  <si>
    <t>Catalog</t>
  </si>
  <si>
    <t>Buck</t>
  </si>
  <si>
    <t>HTSSOP</t>
  </si>
  <si>
    <t/>
  </si>
  <si>
    <t>-40 to 125</t>
  </si>
  <si>
    <t>5 x 6.4</t>
  </si>
  <si>
    <t>ACTIVE</t>
  </si>
  <si>
    <t>7.5-48V Wide Vin, 650mA Constant On-Time Synchronous Buck Regulator</t>
  </si>
  <si>
    <t>AC/DC &amp; DC/DC converters (integrated FET)</t>
  </si>
  <si>
    <t>Catalog</t>
  </si>
  <si>
    <t>Buck,Flybuck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</si>
  <si>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</si>
  <si>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</si>
  <si>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</si>
  <si>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</si>
  <si>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</si>
  <si>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</si>
  <si>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</si>
  <si>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</si>
  <si>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7.5-48V Wide Vin, 300mA Constant On-Time Synchronous Buck Regulator</t>
  </si>
  <si>
    <t>AC/DC &amp; DC/DC converters (integrated FET)</t>
  </si>
  <si>
    <t>Catalog</t>
  </si>
  <si>
    <t>Buck,Flybuck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</si>
  <si>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</si>
  <si>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</si>
  <si>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</si>
  <si>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</si>
  <si>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</si>
  <si>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</si>
  <si>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</si>
  <si>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</si>
  <si>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7.5-48V Wide Vin, 100mA Constant On-Time Synchronous Buck Regulator</t>
  </si>
  <si>
    <t>AC/DC &amp; DC/DC converters (integrated FET)</t>
  </si>
  <si>
    <t>Catalog</t>
  </si>
  <si>
    <t>Buck,Flybuck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</si>
  <si>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</si>
  <si>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</si>
  <si>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</si>
  <si>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</si>
  <si>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</si>
  <si>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</si>
  <si>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</si>
  <si>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</si>
  <si>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2-ch, 1A loading, 4.5-5.5V, 70mΩ USB power switch, active-low, reverse blocking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</si>
  <si>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</si>
  <si>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</si>
  <si>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</si>
  <si>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</si>
  <si>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</si>
  <si>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</si>
  <si>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</si>
  <si>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2-ch, 1.5A loading, 4.5-5.5V, 70mΩ USB power switch, active-high, reverse blocking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</si>
  <si>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</si>
  <si>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</si>
  <si>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</si>
  <si>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</si>
  <si>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</si>
  <si>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</si>
  <si>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</si>
  <si>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2-ch, 1A loading, 4.5-5.5V, 70mΩ USB power switch, active-high, reverse blocking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</si>
  <si>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</si>
  <si>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</si>
  <si>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</si>
  <si>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</si>
  <si>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</si>
  <si>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</si>
  <si>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</si>
  <si>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Thunderbolt&amp;trade; Cable Power Mux (Also supports Thunderbolt 2)</t>
  </si>
  <si>
    <t>Load switches</t>
  </si>
  <si>
    <t>Catalog</t>
  </si>
  <si>
    <t>DSBGA</t>
  </si>
  <si>
    <t/>
  </si>
  <si>
    <t>-40 to 85</t>
  </si>
  <si>
    <t>1.8 x 1.8</t>
  </si>
  <si>
    <t>ACTIVE</t>
  </si>
  <si>
    <t>N-channel controller for dimmable LED Drives with low-side current sense</t>
  </si>
  <si>
    <t>Illumination  LED drivers</t>
  </si>
  <si>
    <t>Catalog</t>
  </si>
  <si>
    <t>Boost,Boost Controller,Cuk,Flyback,SEPIC</t>
  </si>
  <si>
    <t>HTSSOP</t>
  </si>
  <si>
    <t/>
  </si>
  <si>
    <t>-40 to 125</t>
  </si>
  <si>
    <t>5 x 6.4</t>
  </si>
  <si>
    <t>ACTIVE</t>
  </si>
  <si>
    <t>NexFET&amp;trade; Smart Synchronous Rectifier</t>
  </si>
  <si>
    <t>Si power stages</t>
  </si>
  <si>
    <t>Catalog</t>
  </si>
  <si>
    <t>LSON-CLIP</t>
  </si>
  <si>
    <t/>
  </si>
  <si>
    <t>-55 to 125</t>
  </si>
  <si>
    <t>6 x 5</t>
  </si>
  <si>
    <t>ACTIVE</t>
  </si>
  <si>
    <t>3A, 4.5V to 18V, Precision Adjustable Current Limited Power Distribution Switch</t>
  </si>
  <si>
    <t>AC/DC &amp; DC/DC converters (integrated FET)</t>
  </si>
  <si>
    <t>Catalog</t>
  </si>
  <si>
    <t>Buck</t>
  </si>
  <si>
    <t>VQFN</t>
  </si>
  <si>
    <t/>
  </si>
  <si>
    <t>-40 to 125</t>
  </si>
  <si>
    <t>4 x 4</t>
  </si>
  <si>
    <t>ACTIVE</t>
  </si>
  <si>
    <t>30-V, N channel synchronous buck NexFET™ power MOSFET, SON 5 mm x 6 mm power block, 32 A</t>
  </si>
  <si>
    <t>MOSFETs</t>
  </si>
  <si>
    <t>Catalog</t>
  </si>
  <si>
    <t>LSON-CLIP</t>
  </si>
  <si>
    <t/>
  </si>
  <si>
    <t>-55 to 150</t>
  </si>
  <si>
    <t>5 x 6</t>
  </si>
  <si>
    <t>ACTIVE</t>
  </si>
  <si>
    <t>Radiation-hardened QMLV, 3-V to 6.3-V input, 6-A synchronous step-down converter</t>
  </si>
  <si>
    <t>AC/DC &amp; DC/DC converters (integrated FET)</t>
  </si>
  <si>
    <t>Space</t>
  </si>
  <si>
    <t>Buck</t>
  </si>
  <si>
    <t>CFP,DIESALE</t>
  </si>
  <si>
    <t/>
  </si>
  <si>
    <t>-55 to 125</t>
  </si>
  <si>
    <t>0,20</t>
  </si>
  <si>
    <t>93.726,See data sheet</t>
  </si>
  <si>
    <t>12.7 x 7.38,See data sheet</t>
  </si>
  <si>
    <t>2.54,—</t>
  </si>
  <si>
    <t>1.27,—</t>
  </si>
  <si>
    <t>ACTIVE</t>
  </si>
  <si>
    <t>600mA Fully Integrated, Low Noise Step-Down Converter in MicroSiP™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</si>
  <si>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</si>
  <si>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</si>
  <si>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</si>
  <si>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</si>
  <si>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</si>
  <si>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</si>
  <si>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</si>
  <si>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</si>
  <si>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5-A/5-A dual-channel gate driver with 5-V UVLO, CMOS inputs, and enable</t>
  </si>
  <si>
    <t>Low-side drivers</t>
  </si>
  <si>
    <t>Catalog</t>
  </si>
  <si>
    <t>SOIC,WSON</t>
  </si>
  <si>
    <t/>
  </si>
  <si>
    <t>-40 to 140</t>
  </si>
  <si>
    <t>9,29.4</t>
  </si>
  <si>
    <t>3 x 3,4.9 x 6</t>
  </si>
  <si>
    <t>0.8,1.75</t>
  </si>
  <si>
    <t>0.65,1.27</t>
  </si>
  <si>
    <t>ACTIVE</t>
  </si>
  <si>
    <t>Simple LED driver for MR16 and AR111 Applications</t>
  </si>
  <si>
    <t>Illumination  LED drivers</t>
  </si>
  <si>
    <t>Catalog</t>
  </si>
  <si>
    <t>Boost,Buck-Boost,SEPIC</t>
  </si>
  <si>
    <t>HVSSOP</t>
  </si>
  <si>
    <t/>
  </si>
  <si>
    <t>-40 to 125</t>
  </si>
  <si>
    <t>3 x 4.9</t>
  </si>
  <si>
    <t>ACTIVE</t>
  </si>
  <si>
    <t>Non-isolated, phase dimmable, buck PFC LED driver with digital reference control</t>
  </si>
  <si>
    <t>Illumination  LED drivers</t>
  </si>
  <si>
    <t>Catalog</t>
  </si>
  <si>
    <t>Buck,Buck-Boost</t>
  </si>
  <si>
    <t>SOIC,SOT-23-THN</t>
  </si>
  <si>
    <t/>
  </si>
  <si>
    <t>-40 to 125</t>
  </si>
  <si>
    <t>6,8</t>
  </si>
  <si>
    <t>8.12,29.4</t>
  </si>
  <si>
    <t>2.9 x 2.8,4.9 x 6</t>
  </si>
  <si>
    <t>1.1,1.75</t>
  </si>
  <si>
    <t>0.95,1.27</t>
  </si>
  <si>
    <t>ACTIVE</t>
  </si>
  <si>
    <t>3-phase DCAP+ Step-Down Controller for VR12.5 CPUs</t>
  </si>
  <si>
    <t>AC/DC &amp; DC/DC controllers (external FET)</t>
  </si>
  <si>
    <t>Catalog</t>
  </si>
  <si>
    <t>Multiphase</t>
  </si>
  <si>
    <t>VQFN</t>
  </si>
  <si>
    <t/>
  </si>
  <si>
    <t>-40 to 105</t>
  </si>
  <si>
    <t>4 x 4</t>
  </si>
  <si>
    <t>ACTIVE</t>
  </si>
  <si>
    <t>4.5-V to 23-V input, 3-A synchronous step-down converter with D-CAP2 mode and light load efficiency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</si>
  <si>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</si>
  <si>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</si>
  <si>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</si>
  <si>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</si>
  <si>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</si>
  <si>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</si>
  <si>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</si>
  <si>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</si>
  <si>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800-mA, 3-MHz High-Efficiency Step-Down Converter. 3.0V fixed Output voltage.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</si>
  <si>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</si>
  <si>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</si>
  <si>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</si>
  <si>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</si>
  <si>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</si>
  <si>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</si>
  <si>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</si>
  <si>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</si>
  <si>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Automotive 1.4V to 5.5V, 3 buck &amp; 8 LDO Power Management IC</t>
  </si>
  <si>
    <t>Multi-channel ICs (PMICs)</t>
  </si>
  <si>
    <t>Automotive</t>
  </si>
  <si>
    <t>HTQFP</t>
  </si>
  <si>
    <t/>
  </si>
  <si>
    <t>-40 to 85</t>
  </si>
  <si>
    <t>14 x 14</t>
  </si>
  <si>
    <t>ACTIVE</t>
  </si>
  <si>
    <t>4-A/6-A single-channel gate driver with 4-V UVLO and 5-V regulated output</t>
  </si>
  <si>
    <t>Low-side drivers</t>
  </si>
  <si>
    <t>Catalog</t>
  </si>
  <si>
    <t>WSON</t>
  </si>
  <si>
    <t/>
  </si>
  <si>
    <t>-40 to 140</t>
  </si>
  <si>
    <t>2 x 2</t>
  </si>
  <si>
    <t>ACTIVE</t>
  </si>
  <si>
    <t>800-mA, 3-MHz High-Efficiency Step-Down Converter, TPS6269x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</si>
  <si>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</si>
  <si>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</si>
  <si>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</si>
  <si>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</si>
  <si>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</si>
  <si>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</si>
  <si>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</si>
  <si>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</si>
  <si>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16-channel, 12-bit ES-PWM, Full self-Diagnosis LED driver with 7-bit global BC LED Lamp</t>
  </si>
  <si>
    <t>LED display drivers</t>
  </si>
  <si>
    <t>Catalog</t>
  </si>
  <si>
    <t>HTSSOP,SSOP</t>
  </si>
  <si>
    <t/>
  </si>
  <si>
    <t>-40 to 85</t>
  </si>
  <si>
    <t>49.92,51.9</t>
  </si>
  <si>
    <t>7.8 x 6.4,8.65 x 6</t>
  </si>
  <si>
    <t>1.2,1.75</t>
  </si>
  <si>
    <t>0.635,0.65</t>
  </si>
  <si>
    <t>ACTIVE</t>
  </si>
  <si>
    <t>Fully Programmable LCD Bias IC for GIP TV with Integrated 12-Ch Level Shifters and 6-Ch Gamma Buffer</t>
  </si>
  <si>
    <t>LCD &amp; OLED display power &amp; drivers</t>
  </si>
  <si>
    <t>Catalog</t>
  </si>
  <si>
    <t>Boost,Buck</t>
  </si>
  <si>
    <t>VQFN</t>
  </si>
  <si>
    <t/>
  </si>
  <si>
    <t>-40 to 85</t>
  </si>
  <si>
    <t>7 x 7</t>
  </si>
  <si>
    <t>ACTIVE</t>
  </si>
  <si>
    <t>1.6-V to 6.3-V INPUT, 3-A SYNCHRONOUS STEP DOWN CONVERTER</t>
  </si>
  <si>
    <t>AC/DC &amp; DC/DC converters (integrated FET)</t>
  </si>
  <si>
    <t>High Temp</t>
  </si>
  <si>
    <t>Buck</t>
  </si>
  <si>
    <t>CFP</t>
  </si>
  <si>
    <t/>
  </si>
  <si>
    <t>-55 to 210</t>
  </si>
  <si>
    <t>12.7 x 7.38</t>
  </si>
  <si>
    <t>ACTIVE</t>
  </si>
  <si>
    <t>4-A, 28-V half bridge gate driver for synchronous buck high frequency CPU core power applications</t>
  </si>
  <si>
    <t>AC/DC &amp; DC/DC controllers (external FET)</t>
  </si>
  <si>
    <t>Catalog</t>
  </si>
  <si>
    <t>WSON</t>
  </si>
  <si>
    <t/>
  </si>
  <si>
    <t>-40 to 105</t>
  </si>
  <si>
    <t>2 x 2</t>
  </si>
  <si>
    <t>ACTIVE</t>
  </si>
  <si>
    <t>High efficient 6-channel WLED driver supporting single-Cell Li-Ion Battery Input</t>
  </si>
  <si>
    <t>Backlight LED drivers</t>
  </si>
  <si>
    <t>Catalog</t>
  </si>
  <si>
    <t>Boost</t>
  </si>
  <si>
    <t>WQFN</t>
  </si>
  <si>
    <t/>
  </si>
  <si>
    <t>-40 to 85</t>
  </si>
  <si>
    <t>3 x 3</t>
  </si>
  <si>
    <t>ACTIVE</t>
  </si>
  <si>
    <t>Constant-voltage, constant-current PWM with PSR, NTC option, and 150mV cable compensation</t>
  </si>
  <si>
    <t>AC/DC &amp; DC/DC controllers (external FET)</t>
  </si>
  <si>
    <t>Catalog</t>
  </si>
  <si>
    <t>Buck,Flyback</t>
  </si>
  <si>
    <t>SOT-23</t>
  </si>
  <si>
    <t/>
  </si>
  <si>
    <t>-20 to 125</t>
  </si>
  <si>
    <t>2.9 x 2.8</t>
  </si>
  <si>
    <t>ACTIVE</t>
  </si>
  <si>
    <t>Constant-voltage, constant-current PWM with PSR, NTC option, and 300mV cable compensation</t>
  </si>
  <si>
    <t>AC/DC &amp; DC/DC controllers (external FET)</t>
  </si>
  <si>
    <t>Catalog</t>
  </si>
  <si>
    <t>Buck,Flyback</t>
  </si>
  <si>
    <t>SOT-23</t>
  </si>
  <si>
    <t/>
  </si>
  <si>
    <t>-20 to 125</t>
  </si>
  <si>
    <t>2.9 x 2.8</t>
  </si>
  <si>
    <t>ACTIVE</t>
  </si>
  <si>
    <t>25-V, N channel NexFET™ power MOSFET, single SON 5 mm x 6 mm, 1.5 mOhm</t>
  </si>
  <si>
    <t>MOSFETs</t>
  </si>
  <si>
    <t>Catalog</t>
  </si>
  <si>
    <t>VSON-CLIP</t>
  </si>
  <si>
    <t/>
  </si>
  <si>
    <t>-55 to 150</t>
  </si>
  <si>
    <t>6 x 5</t>
  </si>
  <si>
    <t>ACTIVE</t>
  </si>
  <si>
    <t>40-V, N channel NexFET™ power MOSFET, single SON 5 mm x 6 mm, 2.3 mOhm</t>
  </si>
  <si>
    <t>MOSFETs</t>
  </si>
  <si>
    <t>Catalog</t>
  </si>
  <si>
    <t>VSON-CLIP</t>
  </si>
  <si>
    <t/>
  </si>
  <si>
    <t>-55 to 150</t>
  </si>
  <si>
    <t>6 x 5</t>
  </si>
  <si>
    <t>ACTIVE</t>
  </si>
  <si>
    <t>60-V, N channel NexFET™ power MOSFET, single SON 5 mm x 6 mm, 3.2 mOhm</t>
  </si>
  <si>
    <t>MOSFETs</t>
  </si>
  <si>
    <t>Catalog</t>
  </si>
  <si>
    <t>VSON-CLIP</t>
  </si>
  <si>
    <t/>
  </si>
  <si>
    <t>-55 to 150</t>
  </si>
  <si>
    <t>6 x 5</t>
  </si>
  <si>
    <t>ACTIVE</t>
  </si>
  <si>
    <t>20V 30A SON 5 x 6mm synchronous buck NexFET™ power stage</t>
  </si>
  <si>
    <t>Si power stages</t>
  </si>
  <si>
    <t>Catalog</t>
  </si>
  <si>
    <t>LSON-CLIP</t>
  </si>
  <si>
    <t/>
  </si>
  <si>
    <t>-55 to 150</t>
  </si>
  <si>
    <t>6 x 5</t>
  </si>
  <si>
    <t>ACTIVE</t>
  </si>
  <si>
    <t>Step Down Converter with Bypass Mode for Ultra Low Power Wireless Applications</t>
  </si>
  <si>
    <t>AC/DC &amp; DC/DC converters (integrated FET)</t>
  </si>
  <si>
    <t>Catalog</t>
  </si>
  <si>
    <t>Buck</t>
  </si>
  <si>
    <t>USON</t>
  </si>
  <si>
    <t/>
  </si>
  <si>
    <t>-40 to 85</t>
  </si>
  <si>
    <t>1.45 x 1</t>
  </si>
  <si>
    <t>ACTIVE</t>
  </si>
  <si>
    <t>30-V, N channel NexFET™ power MOSFET, single SON 5 mm x 6 mm, 6.2 mOhm</t>
  </si>
  <si>
    <t>MOSFETs</t>
  </si>
  <si>
    <t>Catalog</t>
  </si>
  <si>
    <t>VSONP</t>
  </si>
  <si>
    <t/>
  </si>
  <si>
    <t>-55 to 150</t>
  </si>
  <si>
    <t>4.9 x 6</t>
  </si>
  <si>
    <t>ACTIVE</t>
  </si>
  <si>
    <t>2.5-A/5-A single-channel gate driver with 8-V UVLO, 35-V VDD, and split outputs</t>
  </si>
  <si>
    <t>Low-side drivers</t>
  </si>
  <si>
    <t>Catalog</t>
  </si>
  <si>
    <t>SOIC,SOT-23</t>
  </si>
  <si>
    <t/>
  </si>
  <si>
    <t>-40 to 140</t>
  </si>
  <si>
    <t>6,8</t>
  </si>
  <si>
    <t>8.12,29.4</t>
  </si>
  <si>
    <t>2.9 x 2.8,4.9 x 6</t>
  </si>
  <si>
    <t>1.45,1.75</t>
  </si>
  <si>
    <t>0.95,1.27</t>
  </si>
  <si>
    <t>ACTIVE</t>
  </si>
  <si>
    <t>30-V, N channel NexFET™ power MOSFET, single SON 5 mm x 6 mm, 1.5 mOhm</t>
  </si>
  <si>
    <t>MOSFETs</t>
  </si>
  <si>
    <t>Catalog</t>
  </si>
  <si>
    <t>VSON-CLIP</t>
  </si>
  <si>
    <t/>
  </si>
  <si>
    <t>-55 to 150</t>
  </si>
  <si>
    <t>6 x 5</t>
  </si>
  <si>
    <t>ACTIVE</t>
  </si>
  <si>
    <t>40-V, N channel NexFET™ power MOSFET, single TO-220, 7 mOhm</t>
  </si>
  <si>
    <t>MOSFETs</t>
  </si>
  <si>
    <t>Catalog</t>
  </si>
  <si>
    <t>TO-220</t>
  </si>
  <si>
    <t/>
  </si>
  <si>
    <t>-55 to 175</t>
  </si>
  <si>
    <t>10.16 x 4.55</t>
  </si>
  <si>
    <t>ACTIVE</t>
  </si>
  <si>
    <t>60-V, N channel NexFET™ power MOSFET, single SON 5 mm x 6 mm, 9.8 mOhm</t>
  </si>
  <si>
    <t>MOSFETs</t>
  </si>
  <si>
    <t>Catalog</t>
  </si>
  <si>
    <t>VSONP</t>
  </si>
  <si>
    <t/>
  </si>
  <si>
    <t>-55 to 150</t>
  </si>
  <si>
    <t>4.9 x 6</t>
  </si>
  <si>
    <t>ACTIVE</t>
  </si>
  <si>
    <t>Radiation-hardened, QMLV, 1.5-V to 20-V input 1.5-A low-dropout (LDO) regulator</t>
  </si>
  <si>
    <t>Linear &amp; low-dropout (LDO) regulators</t>
  </si>
  <si>
    <t>Space</t>
  </si>
  <si>
    <t>CFP,DIESALE</t>
  </si>
  <si>
    <t/>
  </si>
  <si>
    <t>-55 to 125</t>
  </si>
  <si>
    <t>0,10</t>
  </si>
  <si>
    <t>45.4896,139.36,See data sheet</t>
  </si>
  <si>
    <t>21.44 x 6.5,7.02 x 6.48,See data sheet</t>
  </si>
  <si>
    <t>2.03,2.59,—</t>
  </si>
  <si>
    <t>1.27,—</t>
  </si>
  <si>
    <t>ACTIVE</t>
  </si>
  <si>
    <t>2-ch, 2A loading, 4.5-5.5V, 70mΩ USB power switch, active-low, output discharge, reverse blocking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</si>
  <si>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</si>
  <si>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</si>
  <si>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</si>
  <si>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</si>
  <si>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</si>
  <si>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</si>
  <si>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</si>
  <si>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2-ch, 2A loading, 4.5-5.5V, 70mΩ USB power switch, active-high, output discharge, reverse blocking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</si>
  <si>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</si>
  <si>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</si>
  <si>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</si>
  <si>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</si>
  <si>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</si>
  <si>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</si>
  <si>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</si>
  <si>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Thunderbolt&amp;trade; Host/Peripheral Power Mux (Optimized for Thunderbolt 2)</t>
  </si>
  <si>
    <t>Power muxes</t>
  </si>
  <si>
    <t>Catalog</t>
  </si>
  <si>
    <t>VQFN</t>
  </si>
  <si>
    <t/>
  </si>
  <si>
    <t>-40 to 85</t>
  </si>
  <si>
    <t>4 x 4</t>
  </si>
  <si>
    <t>ACTIVE</t>
  </si>
  <si>
    <t>30-V, N channel NexFET™ power MOSFET, dual common source SON 3 mm x 3 mm, 38 mOhm</t>
  </si>
  <si>
    <t>MOSFETs</t>
  </si>
  <si>
    <t>Catalog</t>
  </si>
  <si>
    <t>VSON</t>
  </si>
  <si>
    <t/>
  </si>
  <si>
    <t>-55 to 150</t>
  </si>
  <si>
    <t>3.3 x 3.3</t>
  </si>
  <si>
    <t>ACTIVE</t>
  </si>
  <si>
    <t>Low Iq, Synchronous Boost Controller with Wide Input Voltage and 5.5V Gate Drive for Low Qg NexFETs</t>
  </si>
  <si>
    <t>AC/DC &amp; DC/DC controllers (external FET)</t>
  </si>
  <si>
    <t>Catalog</t>
  </si>
  <si>
    <t>Boost,Flyback,Forward,SEPIC</t>
  </si>
  <si>
    <t>WQFN</t>
  </si>
  <si>
    <t/>
  </si>
  <si>
    <t>-40 to 150</t>
  </si>
  <si>
    <t>3 x 3</t>
  </si>
  <si>
    <t>ACTIVE</t>
  </si>
  <si>
    <t>0.5A loading, 4.5-5.5V, 97mΩ USB power switch, active-low, output discharge, reverse blocking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</si>
  <si>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</si>
  <si>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</si>
  <si>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</si>
  <si>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</si>
  <si>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</si>
  <si>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</si>
  <si>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</si>
  <si>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2-ch 0.5A loading, 4.5-5.5V, 70mΩ USB power switch, active-high, output discharge, reverse blocking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</si>
  <si>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</si>
  <si>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</si>
  <si>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</si>
  <si>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</si>
  <si>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</si>
  <si>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</si>
  <si>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</si>
  <si>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1A loading, 4.5-5.5V, 86mΩ USB power switch, active-low, output discharge, reverse blocking</t>
  </si>
  <si>
    <t>USB power switches &amp; charging port controllers</t>
  </si>
  <si>
    <t>Catalog</t>
  </si>
  <si>
    <t>HVSSOP,SOT-23</t>
  </si>
  <si>
    <t/>
  </si>
  <si>
    <t>-40 to 125</t>
  </si>
  <si>
    <t>5,8</t>
  </si>
  <si>
    <t>8.12,14.7</t>
  </si>
  <si>
    <t>2.9 x 2.8,3 x 4.9</t>
  </si>
  <si>
    <t>1.1,1.45</t>
  </si>
  <si>
    <t>0.65,0.95</t>
  </si>
  <si>
    <t>ACTIVE</t>
  </si>
  <si>
    <t>1A loading, 4.5-5.5V, 86mΩ USB power switch, active-high, reverse blocking</t>
  </si>
  <si>
    <t>USB power switches &amp; charging port controllers</t>
  </si>
  <si>
    <t>Catalog</t>
  </si>
  <si>
    <t>HVSSOP,SOT-23</t>
  </si>
  <si>
    <t/>
  </si>
  <si>
    <t>-40 to 125</t>
  </si>
  <si>
    <t>5,8</t>
  </si>
  <si>
    <t>8.12,14.7</t>
  </si>
  <si>
    <t>2.9 x 2.8,3 x 4.9</t>
  </si>
  <si>
    <t>1.1,1.45</t>
  </si>
  <si>
    <t>0.65,0.95</t>
  </si>
  <si>
    <t>ACTIVE</t>
  </si>
  <si>
    <t>1.5A loading, 4.5-5.5V, 69mΩ USB power switch, active-low, output discharge, reverse blocking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</si>
  <si>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</si>
  <si>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</si>
  <si>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</si>
  <si>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</si>
  <si>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</si>
  <si>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</si>
  <si>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</si>
  <si>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1.5A loading, 4.5-5.5V, 69mΩ USB power switch, active-high, reverse blocking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</si>
  <si>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</si>
  <si>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</si>
  <si>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</si>
  <si>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</si>
  <si>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</si>
  <si>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</si>
  <si>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</si>
  <si>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Complete DDR2/3/3L/4 Memory Power Solution Synchronous Buck Controller, 2-A LDO</t>
  </si>
  <si>
    <t>DDR memory power ICs,Multi-channel ICs (PMICs)</t>
  </si>
  <si>
    <t>Catalog</t>
  </si>
  <si>
    <t>WQFN</t>
  </si>
  <si>
    <t/>
  </si>
  <si>
    <t>-40 to 85</t>
  </si>
  <si>
    <t>3 x 3</t>
  </si>
  <si>
    <t>ACTIVE</t>
  </si>
  <si>
    <t>Automotive 0.075-1.3A adj. ILIMIT, 2.5-6.5V, 85-mΩ USB power switch, active-high, reverse blocking</t>
  </si>
  <si>
    <t>USB power switches &amp; charging port controllers</t>
  </si>
  <si>
    <t>Automotive</t>
  </si>
  <si>
    <t>SOT-23</t>
  </si>
  <si>
    <t>Functional Safety-Capable</t>
  </si>
  <si>
    <t>-40 to 125</t>
  </si>
  <si>
    <t>2.9 x 2.8</t>
  </si>
  <si>
    <t>ACTIVE</t>
  </si>
  <si>
    <t>Step Down Converter with Bypass Mode for Ultra Low Power Wireless Applications</t>
  </si>
  <si>
    <t>AC/DC &amp; DC/DC converters (integrated FET)</t>
  </si>
  <si>
    <t>Catalog</t>
  </si>
  <si>
    <t>Buck</t>
  </si>
  <si>
    <t>USON</t>
  </si>
  <si>
    <t/>
  </si>
  <si>
    <t>-40 to 85</t>
  </si>
  <si>
    <t>1.45 x 1</t>
  </si>
  <si>
    <t>ACTIVE</t>
  </si>
  <si>
    <t>14 V, 15 A synchronous buck power stage with output current monitoring</t>
  </si>
  <si>
    <t>AC/DC &amp; DC/DC controllers (external FET)</t>
  </si>
  <si>
    <t>Catalog</t>
  </si>
  <si>
    <t>LQFN-CLIP</t>
  </si>
  <si>
    <t/>
  </si>
  <si>
    <t>-40 to 125</t>
  </si>
  <si>
    <t>7 x 5</t>
  </si>
  <si>
    <t>ACTIVE</t>
  </si>
  <si>
    <t>14 V, 25 A synchronous buck power stage with output current monitoring</t>
  </si>
  <si>
    <t>AC/DC &amp; DC/DC controllers (external FET)</t>
  </si>
  <si>
    <t>Catalog</t>
  </si>
  <si>
    <t>LQFN-CLIP</t>
  </si>
  <si>
    <t/>
  </si>
  <si>
    <t>-40 to 125</t>
  </si>
  <si>
    <t>7 x 5</t>
  </si>
  <si>
    <t>ACTIVE</t>
  </si>
  <si>
    <t>Constant-voltage, constant-current PWM with PSR, valley switching &amp; Programmable cable compensation</t>
  </si>
  <si>
    <t>AC/DC &amp; DC/DC controllers (external FET)</t>
  </si>
  <si>
    <t>Catalog</t>
  </si>
  <si>
    <t>Buck,Flyback</t>
  </si>
  <si>
    <t>SOIC</t>
  </si>
  <si>
    <t/>
  </si>
  <si>
    <t>-40 to 125</t>
  </si>
  <si>
    <t>4.9 x 6</t>
  </si>
  <si>
    <t>ACTIVE</t>
  </si>
  <si>
    <t>Constant-voltage, constant-current PWM with PSR, valley switching, NTC option, and 0-mV cable comp.</t>
  </si>
  <si>
    <t>AC/DC &amp; DC/DC controllers (external FET)</t>
  </si>
  <si>
    <t>Catalog</t>
  </si>
  <si>
    <t>Buck,Flyback</t>
  </si>
  <si>
    <t>SOIC</t>
  </si>
  <si>
    <t/>
  </si>
  <si>
    <t>-40 to 125</t>
  </si>
  <si>
    <t>4.9 x 6</t>
  </si>
  <si>
    <t>ACTIVE</t>
  </si>
  <si>
    <t>3-V to 28-V, 40-A, synchronous D-CAP2 buck controller with PMBus</t>
  </si>
  <si>
    <t>AC/DC &amp; DC/DC controllers (external FET)</t>
  </si>
  <si>
    <t>Catalog</t>
  </si>
  <si>
    <t>Buck</t>
  </si>
  <si>
    <t>VQFN</t>
  </si>
  <si>
    <t/>
  </si>
  <si>
    <t>-40 to 85</t>
  </si>
  <si>
    <t>3 x 3</t>
  </si>
  <si>
    <t>ACTIVE</t>
  </si>
  <si>
    <t>1.5A multiple LED Camera flash driver with I2C compatible interface.</t>
  </si>
  <si>
    <t>Illumination  LED drivers</t>
  </si>
  <si>
    <t>Catalog</t>
  </si>
  <si>
    <t>Boost,current mode</t>
  </si>
  <si>
    <t>DSBGA</t>
  </si>
  <si>
    <t/>
  </si>
  <si>
    <t>-40 to 85</t>
  </si>
  <si>
    <t>1.8 x 2.2</t>
  </si>
  <si>
    <t>ACTIVE</t>
  </si>
  <si>
    <t>150-mA, 30-V, ultra-low-IQ, low-dropout voltage regulator with reverse current protection and enable</t>
  </si>
  <si>
    <t>Linear &amp; low-dropout (LDO) regulators</t>
  </si>
  <si>
    <t>Catalog</t>
  </si>
  <si>
    <t>SOT-23,WSON</t>
  </si>
  <si>
    <t/>
  </si>
  <si>
    <t>-40 to 125</t>
  </si>
  <si>
    <t>5,6</t>
  </si>
  <si>
    <t>4,8.12</t>
  </si>
  <si>
    <t>2 x 2,2.9 x 2.8</t>
  </si>
  <si>
    <t>0.8,1.45</t>
  </si>
  <si>
    <t>0.65,0.95</t>
  </si>
  <si>
    <t>ACTIVE</t>
  </si>
  <si>
    <t>Enhanced Product DDR1, DDR2, DDR3 Switcher and LDO</t>
  </si>
  <si>
    <t>DDR memory power ICs,Multi-channel ICs (PMICs)</t>
  </si>
  <si>
    <t>HiRel Enhanced Product</t>
  </si>
  <si>
    <t>HTSSOP</t>
  </si>
  <si>
    <t/>
  </si>
  <si>
    <t>-55 to 125</t>
  </si>
  <si>
    <t>6.5 x 6.4</t>
  </si>
  <si>
    <t>ACTIVE</t>
  </si>
  <si>
    <t>150-mA, capacitor-free low-dropout voltage regulator with enable</t>
  </si>
  <si>
    <t>Linear &amp; low-dropout (LDO) regulators</t>
  </si>
  <si>
    <t>Catalog</t>
  </si>
  <si>
    <t>X2SON</t>
  </si>
  <si>
    <t/>
  </si>
  <si>
    <t>-40 to 85</t>
  </si>
  <si>
    <t>1 x 1</t>
  </si>
  <si>
    <t>ACTIVE</t>
  </si>
  <si>
    <t>Ultra-low power, supply voltage supervisor</t>
  </si>
  <si>
    <t>Reset &amp; watchdog ICs</t>
  </si>
  <si>
    <t>Catalog</t>
  </si>
  <si>
    <t>SOT-23,X2SON</t>
  </si>
  <si>
    <t/>
  </si>
  <si>
    <t>-40 to 85</t>
  </si>
  <si>
    <t>3,4</t>
  </si>
  <si>
    <t>1,6.9204</t>
  </si>
  <si>
    <t>1 x 1,2.92 x 2.37</t>
  </si>
  <si>
    <t>0.4,1.12</t>
  </si>
  <si>
    <t>0.65,0.96</t>
  </si>
  <si>
    <t>ACTIVE</t>
  </si>
  <si>
    <t>Automotive 1.5V to 6.5V, 2 Buck &amp; 4 LDO Power Management IC</t>
  </si>
  <si>
    <t>Multi-channel ICs (PMICs)</t>
  </si>
  <si>
    <t>Automotive</t>
  </si>
  <si>
    <t>VQFN</t>
  </si>
  <si>
    <t/>
  </si>
  <si>
    <t>-40 to 125</t>
  </si>
  <si>
    <t>4 x 4</t>
  </si>
  <si>
    <t>ACTIVE</t>
  </si>
  <si>
    <t>1-A, low-dropout voltage regulator (tab GND)</t>
  </si>
  <si>
    <t>Linear &amp; low-dropout (LDO) regulators</t>
  </si>
  <si>
    <t>Catalog</t>
  </si>
  <si>
    <t>SOT-223</t>
  </si>
  <si>
    <t/>
  </si>
  <si>
    <t>-40 to 125</t>
  </si>
  <si>
    <t>6.5 x 7</t>
  </si>
  <si>
    <t>ACTIVE</t>
  </si>
  <si>
    <t>42 V Input, 3.5 A, Step-Down DC/DC Converter with Eco-mode&amp;trade;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</si>
  <si>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</si>
  <si>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</si>
  <si>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</si>
  <si>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</si>
  <si>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</si>
  <si>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</si>
  <si>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</si>
  <si>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</si>
  <si>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Dual Outputs AMOLED Display Power Supply</t>
  </si>
  <si>
    <t>LCD &amp; OLED display power &amp; drivers</t>
  </si>
  <si>
    <t>Catalog</t>
  </si>
  <si>
    <t>Boost,Buck-Boost</t>
  </si>
  <si>
    <t>WSON</t>
  </si>
  <si>
    <t/>
  </si>
  <si>
    <t>-40 to 85</t>
  </si>
  <si>
    <t>3 x 3</t>
  </si>
  <si>
    <t>ACTIVE</t>
  </si>
  <si>
    <t>28V, 0.5A Step-Down Converter with SNOOZE Mode</t>
  </si>
  <si>
    <t>AC/DC &amp; DC/DC converters (integrated FET)</t>
  </si>
  <si>
    <t>Catalog</t>
  </si>
  <si>
    <t>Buck</t>
  </si>
  <si>
    <t>WSON</t>
  </si>
  <si>
    <t/>
  </si>
  <si>
    <t>-40 to 85</t>
  </si>
  <si>
    <t>3 x 2</t>
  </si>
  <si>
    <t>ACTIVE</t>
  </si>
  <si>
    <t>28V, 0.5A Step-Down Converter with SNOOZE Mode</t>
  </si>
  <si>
    <t>AC/DC &amp; DC/DC converters (integrated FET)</t>
  </si>
  <si>
    <t>Catalog</t>
  </si>
  <si>
    <t>Buck</t>
  </si>
  <si>
    <t>WSON</t>
  </si>
  <si>
    <t/>
  </si>
  <si>
    <t>-40 to 85</t>
  </si>
  <si>
    <t>3 x 2</t>
  </si>
  <si>
    <t>ACTIVE</t>
  </si>
  <si>
    <t>600mA Fully Integrated, Low Noise Step-Down Converter in MicroSiP(tm)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</si>
  <si>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</si>
  <si>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</si>
  <si>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</si>
  <si>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</si>
  <si>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</si>
  <si>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</si>
  <si>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</si>
  <si>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</si>
  <si>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1.5-A constant current buck converter for HB LEDs</t>
  </si>
  <si>
    <t>Illumination  LED drivers</t>
  </si>
  <si>
    <t>Catalog</t>
  </si>
  <si>
    <t>Buck</t>
  </si>
  <si>
    <t>HVSSOP</t>
  </si>
  <si>
    <t/>
  </si>
  <si>
    <t>-40 to 125</t>
  </si>
  <si>
    <t>3 x 4.9</t>
  </si>
  <si>
    <t>ACTIVE</t>
  </si>
  <si>
    <t>2MHz, 1A/1A Dual Step-Down Converters + Low-Dropout Linear Regulator</t>
  </si>
  <si>
    <t>Multi-channel ICs (PMICs)</t>
  </si>
  <si>
    <t>Catalog</t>
  </si>
  <si>
    <t>DSBGA</t>
  </si>
  <si>
    <t/>
  </si>
  <si>
    <t>-30 to 125</t>
  </si>
  <si>
    <t>2.75 x 2.75</t>
  </si>
  <si>
    <t>ACTIVE</t>
  </si>
  <si>
    <t>3A SIMPLE SWITCHER&amp;reg;, Step-Down Voltage Reg. with Adjustable Soft-Start and Current Limit</t>
  </si>
  <si>
    <t>AC/DC &amp; DC/DC converters (integrated FET)</t>
  </si>
  <si>
    <t>Automotive</t>
  </si>
  <si>
    <t>Buck</t>
  </si>
  <si>
    <t>HSOIC,TO-263</t>
  </si>
  <si>
    <t/>
  </si>
  <si>
    <t>-40 to 125</t>
  </si>
  <si>
    <t>7,8</t>
  </si>
  <si>
    <t>29.4,142.3416</t>
  </si>
  <si>
    <t>10.16 x 14.01,4.9 x 6</t>
  </si>
  <si>
    <t>1.7,2.1</t>
  </si>
  <si>
    <t>ACTIVE</t>
  </si>
  <si>
    <t>5A SIMPLE SWITCHER, Step-Down Voltage Regulator with Adjustable Soft-Start &amp; Current Limit</t>
  </si>
  <si>
    <t>AC/DC &amp; DC/DC converters (integrated FET)</t>
  </si>
  <si>
    <t>Automotive</t>
  </si>
  <si>
    <t>Buck</t>
  </si>
  <si>
    <t>TO-263</t>
  </si>
  <si>
    <t/>
  </si>
  <si>
    <t>-40 to 125</t>
  </si>
  <si>
    <t>10.16 x 14.01</t>
  </si>
  <si>
    <t>ACTIVE</t>
  </si>
  <si>
    <t>2.9-V to 17-V hot swap controller with I2C and PMBus with Intel node manager</t>
  </si>
  <si>
    <t>Hot-swap controllers</t>
  </si>
  <si>
    <t>Catalog</t>
  </si>
  <si>
    <t>WQFN</t>
  </si>
  <si>
    <t/>
  </si>
  <si>
    <t>-40 to 125</t>
  </si>
  <si>
    <t>5 x 4</t>
  </si>
  <si>
    <t>ACTIVE</t>
  </si>
  <si>
    <t>2.9-V to 17-V hot swap controller with I2C and PMBus - increased monitoring accuracy and intel node</t>
  </si>
  <si>
    <t>Hot-swap controllers</t>
  </si>
  <si>
    <t>Catalog</t>
  </si>
  <si>
    <t>WQFN</t>
  </si>
  <si>
    <t/>
  </si>
  <si>
    <t>-40 to 125</t>
  </si>
  <si>
    <t>5 x 4</t>
  </si>
  <si>
    <t>ACTIVE</t>
  </si>
  <si>
    <t>high-current off-line primary side sensing controller with PFC in 8-SOIC</t>
  </si>
  <si>
    <t>Illumination  LED drivers</t>
  </si>
  <si>
    <t>Catalog</t>
  </si>
  <si>
    <t>Buck,Flyback</t>
  </si>
  <si>
    <t>SOIC</t>
  </si>
  <si>
    <t/>
  </si>
  <si>
    <t>-40 to 125</t>
  </si>
  <si>
    <t>4.9 x 6</t>
  </si>
  <si>
    <t>ACTIVE</t>
  </si>
  <si>
    <t>Off-line primary side sensing controller with PFC in 8-SOIC</t>
  </si>
  <si>
    <t>Illumination  LED drivers</t>
  </si>
  <si>
    <t>Catalog</t>
  </si>
  <si>
    <t>Buck,Flyback</t>
  </si>
  <si>
    <t>SOIC</t>
  </si>
  <si>
    <t/>
  </si>
  <si>
    <t>-40 to 125</t>
  </si>
  <si>
    <t>4.9 x 6</t>
  </si>
  <si>
    <t>ACTIVE</t>
  </si>
  <si>
    <t>16-channel, constant-current LED driver</t>
  </si>
  <si>
    <t>LED display drivers</t>
  </si>
  <si>
    <t>Catalog</t>
  </si>
  <si>
    <t>SSOP</t>
  </si>
  <si>
    <t/>
  </si>
  <si>
    <t>-40 to 85</t>
  </si>
  <si>
    <t>8.65 x 6</t>
  </si>
  <si>
    <t>ACTIVE</t>
  </si>
  <si>
    <t>30-V, N channel NexFET™ power MOSFET, single SON 3 mm x 3 mm, 6 mOhm</t>
  </si>
  <si>
    <t>MOSFETs</t>
  </si>
  <si>
    <t>Catalog</t>
  </si>
  <si>
    <t>VSONP</t>
  </si>
  <si>
    <t/>
  </si>
  <si>
    <t>-55 to 150</t>
  </si>
  <si>
    <t>3.3 x 3.3</t>
  </si>
  <si>
    <t>ACTIVE</t>
  </si>
  <si>
    <t>5.5-V, 2-A, 35-mΩ load switch</t>
  </si>
  <si>
    <t>Load switches</t>
  </si>
  <si>
    <t>Catalog</t>
  </si>
  <si>
    <t>DSBGA</t>
  </si>
  <si>
    <t/>
  </si>
  <si>
    <t>-40 to 85</t>
  </si>
  <si>
    <t>1.25 x 1.25</t>
  </si>
  <si>
    <t>ACTIVE</t>
  </si>
  <si>
    <t>6-String 400-mA WLED driver with Independent PWM dimming for Each String</t>
  </si>
  <si>
    <t>Backlight LED drivers</t>
  </si>
  <si>
    <t>Catalog</t>
  </si>
  <si>
    <t>Boost</t>
  </si>
  <si>
    <t>HTSSOP</t>
  </si>
  <si>
    <t/>
  </si>
  <si>
    <t>-40 to 85</t>
  </si>
  <si>
    <t>9.7 x 6.4</t>
  </si>
  <si>
    <t>ACTIVE</t>
  </si>
  <si>
    <t>Automotive 150-mA, high-PSRR, low-IQ, low-dropout voltage regulator with enable</t>
  </si>
  <si>
    <t>Linear &amp; low-dropout (LDO) regulators</t>
  </si>
  <si>
    <t>Automotive</t>
  </si>
  <si>
    <t>SOT-SC70,WSON</t>
  </si>
  <si>
    <t/>
  </si>
  <si>
    <t>-40 to 125</t>
  </si>
  <si>
    <t>5,6</t>
  </si>
  <si>
    <t>2.25,4,4.2</t>
  </si>
  <si>
    <t>1.5 x 1.5,2 x 2,2 x 2.1</t>
  </si>
  <si>
    <t>0.8,1.1</t>
  </si>
  <si>
    <t>0.5,0.65</t>
  </si>
  <si>
    <t>ACTIVE</t>
  </si>
  <si>
    <t>40-V, N channel NexFET™ power MOSFET, single TO-220, 4.5 mOhm</t>
  </si>
  <si>
    <t>MOSFETs</t>
  </si>
  <si>
    <t>Catalog</t>
  </si>
  <si>
    <t>TO-220</t>
  </si>
  <si>
    <t/>
  </si>
  <si>
    <t>-55 to 175</t>
  </si>
  <si>
    <t>10.16 x 4.55</t>
  </si>
  <si>
    <t>ACTIVE</t>
  </si>
  <si>
    <t>3.1V to 5.5V Input, DCAP2 Mode, 3A, 900KHz Integrated Step-Down Converter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</si>
  <si>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</si>
  <si>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</si>
  <si>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</si>
  <si>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</si>
  <si>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</si>
  <si>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</si>
  <si>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</si>
  <si>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</si>
  <si>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3V to 5.5V input, DCAP2, 1MHz, Step-Down DC/DC Converter for nVidia Graphics PEX (PCI-Express) Rail</t>
  </si>
  <si>
    <t>AC/DC &amp; DC/DC converters (integrated FET)</t>
  </si>
  <si>
    <t>Catalog</t>
  </si>
  <si>
    <t>Buck</t>
  </si>
  <si>
    <t>VSON</t>
  </si>
  <si>
    <t/>
  </si>
  <si>
    <t>-10 to 85</t>
  </si>
  <si>
    <t>3 x 3</t>
  </si>
  <si>
    <t>ACTIVE</t>
  </si>
  <si>
    <t>0.7-VIN, 5-V fixed output voltage boost converter with 5.5-μA quiescent current</t>
  </si>
  <si>
    <t>AC/DC &amp; DC/DC converters (integrated FET)</t>
  </si>
  <si>
    <t>HiRel Enhanced Product</t>
  </si>
  <si>
    <t>Boost</t>
  </si>
  <si>
    <t>SOT-SC70</t>
  </si>
  <si>
    <t/>
  </si>
  <si>
    <t>-55 to 145</t>
  </si>
  <si>
    <t>2 x 2.1</t>
  </si>
  <si>
    <t>ACTIVE</t>
  </si>
  <si>
    <t>30-V, N channel NexFET™ power MOSFET, single SON 3 mm x 3 mm, 9 mOhm</t>
  </si>
  <si>
    <t>MOSFETs</t>
  </si>
  <si>
    <t>Catalog</t>
  </si>
  <si>
    <t>VSONP</t>
  </si>
  <si>
    <t/>
  </si>
  <si>
    <t>-55 to 150</t>
  </si>
  <si>
    <t>3.3 x 3.3</t>
  </si>
  <si>
    <t>ACTIVE</t>
  </si>
  <si>
    <t>60-V, N channel NexFET™ power MOSFET, single TO-220, 6.3 mOhm</t>
  </si>
  <si>
    <t>MOSFETs</t>
  </si>
  <si>
    <t>Catalog</t>
  </si>
  <si>
    <t>TO-220</t>
  </si>
  <si>
    <t/>
  </si>
  <si>
    <t>-55 to 175</t>
  </si>
  <si>
    <t>10.16 x 4.55</t>
  </si>
  <si>
    <t>ACTIVE</t>
  </si>
  <si>
    <t>60-V, N channel NexFET™ power MOSFET, single SON 5 mm x 6 mm, 5.9 mOhm</t>
  </si>
  <si>
    <t>MOSFETs</t>
  </si>
  <si>
    <t>Catalog</t>
  </si>
  <si>
    <t>VSONP</t>
  </si>
  <si>
    <t/>
  </si>
  <si>
    <t>-55 to 150</t>
  </si>
  <si>
    <t>4.9 x 6</t>
  </si>
  <si>
    <t>ACTIVE</t>
  </si>
  <si>
    <t>60-V, N channel NexFET™ power MOSFET, single TO-220, 9.5 mOhm</t>
  </si>
  <si>
    <t>MOSFETs</t>
  </si>
  <si>
    <t>Catalog</t>
  </si>
  <si>
    <t>TO-220</t>
  </si>
  <si>
    <t/>
  </si>
  <si>
    <t>-55 to 175</t>
  </si>
  <si>
    <t>10.16 x 4.55</t>
  </si>
  <si>
    <t>ACTIVE</t>
  </si>
  <si>
    <t>25-V, N channel synchronous buck NexFET™ power MOSFET, SON 5 mm x 6 mm power block, 50 A</t>
  </si>
  <si>
    <t>MOSFETs</t>
  </si>
  <si>
    <t>Catalog</t>
  </si>
  <si>
    <t>LSON-CLIP</t>
  </si>
  <si>
    <t/>
  </si>
  <si>
    <t>-55 to 150</t>
  </si>
  <si>
    <t>5 x 6</t>
  </si>
  <si>
    <t>ACTIVE</t>
  </si>
  <si>
    <t>150-mA, capacitor-free low-dropout voltage regulator with active output discharge &amp; enable</t>
  </si>
  <si>
    <t>Linear &amp; low-dropout (LDO) regulators</t>
  </si>
  <si>
    <t>Catalog</t>
  </si>
  <si>
    <t>SOT-23,X2SON</t>
  </si>
  <si>
    <t/>
  </si>
  <si>
    <t>-40 to 125</t>
  </si>
  <si>
    <t>4,5</t>
  </si>
  <si>
    <t>1,8.12</t>
  </si>
  <si>
    <t>1 x 1,2.9 x 2.8</t>
  </si>
  <si>
    <t>0.4,1.45</t>
  </si>
  <si>
    <t>0.65,0.95</t>
  </si>
  <si>
    <t>ACTIVE</t>
  </si>
  <si>
    <t>4.5V to 60 V Input, 3.5 A Step-Down Converter with Eco-mode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</si>
  <si>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</si>
  <si>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</si>
  <si>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</si>
  <si>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</si>
  <si>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</si>
  <si>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</si>
  <si>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</si>
  <si>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</si>
  <si>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8-V, 3-A, 44-mΩ load switch with adj. rise time</t>
  </si>
  <si>
    <t>Load switches</t>
  </si>
  <si>
    <t>Catalog</t>
  </si>
  <si>
    <t>SOT-23-THN</t>
  </si>
  <si>
    <t/>
  </si>
  <si>
    <t>-40 to 85</t>
  </si>
  <si>
    <t>2.9 x 2.8</t>
  </si>
  <si>
    <t>ACTIVE</t>
  </si>
  <si>
    <t>3.5V to 28V Input, 1.7A Output, Non-Synchronous Step-Down Regulator with Integrated MOSFET</t>
  </si>
  <si>
    <t>AC/DC &amp; DC/DC converters (integrated FET)</t>
  </si>
  <si>
    <t>Catalog</t>
  </si>
  <si>
    <t>Buck</t>
  </si>
  <si>
    <t>SOIC</t>
  </si>
  <si>
    <t/>
  </si>
  <si>
    <t>-40 to 125</t>
  </si>
  <si>
    <t>4.9 x 6</t>
  </si>
  <si>
    <t>ACTIVE</t>
  </si>
  <si>
    <t>4.5V to 28V Input, 3.3V, 1.7A Output, Non-Synchronous Step-Down Regulator with Integrated MOSFET</t>
  </si>
  <si>
    <t>AC/DC &amp; DC/DC converters (integrated FET)</t>
  </si>
  <si>
    <t>Catalog</t>
  </si>
  <si>
    <t>Buck</t>
  </si>
  <si>
    <t>SOIC</t>
  </si>
  <si>
    <t/>
  </si>
  <si>
    <t>-40 to 125</t>
  </si>
  <si>
    <t>4.9 x 6</t>
  </si>
  <si>
    <t>ACTIVE</t>
  </si>
  <si>
    <t>IEEE 802.3at PoE interface with flyback DC-DC controller</t>
  </si>
  <si>
    <t>Powered devices</t>
  </si>
  <si>
    <t>Catalog</t>
  </si>
  <si>
    <t>HTSSOP</t>
  </si>
  <si>
    <t/>
  </si>
  <si>
    <t>-40 to 85</t>
  </si>
  <si>
    <t>5 x 6.4</t>
  </si>
  <si>
    <t>ACTIVE</t>
  </si>
  <si>
    <t>IEEE 802.3at PoE interface with flyback DC-DC controller and Sleep Mode Feature</t>
  </si>
  <si>
    <t>Powered devices</t>
  </si>
  <si>
    <t>Catalog</t>
  </si>
  <si>
    <t>HTSSOP</t>
  </si>
  <si>
    <t/>
  </si>
  <si>
    <t>-40 to 85</t>
  </si>
  <si>
    <t>6.5 x 6.4</t>
  </si>
  <si>
    <t>ACTIVE</t>
  </si>
  <si>
    <t>4.5-V to 28-V, 25-A synchronous D-CAP2 buck controller with power good</t>
  </si>
  <si>
    <t>AC/DC &amp; DC/DC controllers (external FET)</t>
  </si>
  <si>
    <t>Catalog</t>
  </si>
  <si>
    <t>Buck</t>
  </si>
  <si>
    <t>VSSOP</t>
  </si>
  <si>
    <t/>
  </si>
  <si>
    <t>-40 to 85</t>
  </si>
  <si>
    <t>3 x 4.9</t>
  </si>
  <si>
    <t>ACTIVE</t>
  </si>
  <si>
    <t>1-A 48-V Step-Down DC/DC Converter with Low Iq</t>
  </si>
  <si>
    <t>AC/DC &amp; DC/DC converters (integrated FET)</t>
  </si>
  <si>
    <t>High Temp</t>
  </si>
  <si>
    <t>Buck</t>
  </si>
  <si>
    <t>HTSSOP</t>
  </si>
  <si>
    <t/>
  </si>
  <si>
    <t>-55 to 175</t>
  </si>
  <si>
    <t>6.5 x 6.4</t>
  </si>
  <si>
    <t>ACTIVE</t>
  </si>
  <si>
    <t>Fully Programmable Digital Power Controller with up to Two Regulated Outputs and Six DPWM Outputs</t>
  </si>
  <si>
    <t>AC/DC &amp; DC/DC controllers (external FET)</t>
  </si>
  <si>
    <t>Catalog</t>
  </si>
  <si>
    <t>VQFN</t>
  </si>
  <si>
    <t/>
  </si>
  <si>
    <t>-40 to 125</t>
  </si>
  <si>
    <t>7 x 7</t>
  </si>
  <si>
    <t>ACTIVE</t>
  </si>
  <si>
    <t>3-A, 2-A or 1-A half bridge gate driver with 8-V UVLO and TTL inputs</t>
  </si>
  <si>
    <t>Half-bridge drivers</t>
  </si>
  <si>
    <t>Catalog</t>
  </si>
  <si>
    <t>HSOIC,HVSSOP,SOIC,WSON</t>
  </si>
  <si>
    <t/>
  </si>
  <si>
    <t>-40 to 125</t>
  </si>
  <si>
    <t>8,10</t>
  </si>
  <si>
    <t>14.7,16,29.4</t>
  </si>
  <si>
    <t>3 x 4.9,4 x 4,4.9 x 6</t>
  </si>
  <si>
    <t>0.8,1.1,1.7,1.75</t>
  </si>
  <si>
    <t>0.65,0.8,1.27</t>
  </si>
  <si>
    <t>ACTIVE</t>
  </si>
  <si>
    <t>6MHz, 800mA Miniature, Adjustable, Step-Down DC-DC Converter with Bypass</t>
  </si>
  <si>
    <t>AC/DC &amp; DC/DC converters (integrated FET)</t>
  </si>
  <si>
    <t>Catalog</t>
  </si>
  <si>
    <t>Buck</t>
  </si>
  <si>
    <t>DSBGA</t>
  </si>
  <si>
    <t/>
  </si>
  <si>
    <t>-30 to 90</t>
  </si>
  <si>
    <t>1.4000000000000001 x 1.4000000000000001</t>
  </si>
  <si>
    <t>ACTIVE</t>
  </si>
  <si>
    <t>2.9-V to 20-V, 30mΩ, 0.8-6.5A eFuse</t>
  </si>
  <si>
    <t>eFuses (integrated hot swaps)</t>
  </si>
  <si>
    <t>Catalog</t>
  </si>
  <si>
    <t>VQFN</t>
  </si>
  <si>
    <t/>
  </si>
  <si>
    <t>-40 to 125</t>
  </si>
  <si>
    <t>4 x 4</t>
  </si>
  <si>
    <t>ACTIVE</t>
  </si>
  <si>
    <t>1.5A Synchronous Boost LED flash driver w/ high-side current</t>
  </si>
  <si>
    <t>Illumination  LED drivers</t>
  </si>
  <si>
    <t>Catalog</t>
  </si>
  <si>
    <t>Boost,current mode</t>
  </si>
  <si>
    <t>DSBGA</t>
  </si>
  <si>
    <t/>
  </si>
  <si>
    <t>-40 to 85</t>
  </si>
  <si>
    <t>1.75 x 1.75</t>
  </si>
  <si>
    <t>ACTIVE</t>
  </si>
  <si>
    <t>5.7-V, 6-A, 16-mΩ load switch with adj. rise time and optional output discharge</t>
  </si>
  <si>
    <t>Load switches</t>
  </si>
  <si>
    <t>Catalog</t>
  </si>
  <si>
    <t>WSON</t>
  </si>
  <si>
    <t/>
  </si>
  <si>
    <t>-40 to 105</t>
  </si>
  <si>
    <t>2 x 2</t>
  </si>
  <si>
    <t>ACTIVE</t>
  </si>
  <si>
    <t>4.5V to 40V, 2A up to 15W Negative-Output Integrated Power Solution</t>
  </si>
  <si>
    <t>Power modules (integrated inductor)</t>
  </si>
  <si>
    <t>Catalog</t>
  </si>
  <si>
    <t>Buck-Boost,Inverting</t>
  </si>
  <si>
    <t>B1QFN</t>
  </si>
  <si>
    <t/>
  </si>
  <si>
    <t>-40 to 85</t>
  </si>
  <si>
    <t>11 x 9</t>
  </si>
  <si>
    <t>ACTIVE</t>
  </si>
  <si>
    <t>40-V, N channel NexFET™ power MOSFET, single TO-220, 2.9 mOhm</t>
  </si>
  <si>
    <t>MOSFETs</t>
  </si>
  <si>
    <t>Catalog</t>
  </si>
  <si>
    <t>TO-220</t>
  </si>
  <si>
    <t/>
  </si>
  <si>
    <t>-55 to 175</t>
  </si>
  <si>
    <t>10.16 x 4.55</t>
  </si>
  <si>
    <t>ACTIVE</t>
  </si>
  <si>
    <t>60-V, N channel NexFET™ power MOSFET, single TO-220, 4.2 mOhm</t>
  </si>
  <si>
    <t>MOSFETs</t>
  </si>
  <si>
    <t>Catalog</t>
  </si>
  <si>
    <t>TO-220</t>
  </si>
  <si>
    <t/>
  </si>
  <si>
    <t>-55 to 175</t>
  </si>
  <si>
    <t>10.16 x 4.55</t>
  </si>
  <si>
    <t>ACTIVE</t>
  </si>
  <si>
    <t>High Efficient Single Inductor Buck-Boost Converter with 1-A Switches</t>
  </si>
  <si>
    <t>AC/DC &amp; DC/DC converters (integrated FET)</t>
  </si>
  <si>
    <t>Catalog</t>
  </si>
  <si>
    <t>Buck-Boost</t>
  </si>
  <si>
    <t>DSBGA</t>
  </si>
  <si>
    <t/>
  </si>
  <si>
    <t>-40 to 125</t>
  </si>
  <si>
    <t>1 x 1.8</t>
  </si>
  <si>
    <t>ACTIVE</t>
  </si>
  <si>
    <t>3.5-MHz, 5.1-V, 1.5-A load boost converter in 1.2-mm x 1.3-mm WCSP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</si>
  <si>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</si>
  <si>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</si>
  <si>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</si>
  <si>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</si>
  <si>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</si>
  <si>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</si>
  <si>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</si>
  <si>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</si>
  <si>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7V to 50V, 2.5A Step-Down Integrated Power Solution</t>
  </si>
  <si>
    <t>Power modules (integrated inductor)</t>
  </si>
  <si>
    <t>Catalog</t>
  </si>
  <si>
    <t>Buck</t>
  </si>
  <si>
    <t>B1QFN</t>
  </si>
  <si>
    <t/>
  </si>
  <si>
    <t>-40 to 85</t>
  </si>
  <si>
    <t>11 x 9</t>
  </si>
  <si>
    <t>ACTIVE</t>
  </si>
  <si>
    <t>5.5V, 3A 3MHz Step-Down Regulator in WSON Package</t>
  </si>
  <si>
    <t>AC/DC &amp; DC/DC converters (integrated FET)</t>
  </si>
  <si>
    <t>Catalog</t>
  </si>
  <si>
    <t>Buck</t>
  </si>
  <si>
    <t>WSON</t>
  </si>
  <si>
    <t/>
  </si>
  <si>
    <t>-40 to 125</t>
  </si>
  <si>
    <t>3 x 3</t>
  </si>
  <si>
    <t>ACTIVE</t>
  </si>
  <si>
    <t>20Vin, 1.5A Step-Down Voltage Regulator in LLP-10</t>
  </si>
  <si>
    <t>AC/DC &amp; DC/DC converters (integrated FET)</t>
  </si>
  <si>
    <t>Catalog</t>
  </si>
  <si>
    <t>Buck</t>
  </si>
  <si>
    <t>WSON</t>
  </si>
  <si>
    <t/>
  </si>
  <si>
    <t>-40 to 125</t>
  </si>
  <si>
    <t>3 x 3</t>
  </si>
  <si>
    <t>ACTIVE</t>
  </si>
  <si>
    <t>3V to 20V, 2.0A Step-Down DC/DC Switching Regulator in LLP-10</t>
  </si>
  <si>
    <t>AC/DC &amp; DC/DC converters (integrated FET)</t>
  </si>
  <si>
    <t>Catalog</t>
  </si>
  <si>
    <t>Buck</t>
  </si>
  <si>
    <t>WSON</t>
  </si>
  <si>
    <t/>
  </si>
  <si>
    <t>-40 to 125</t>
  </si>
  <si>
    <t>3 x 3</t>
  </si>
  <si>
    <t>ACTIVE</t>
  </si>
  <si>
    <t>1.2V to 14V, 2.85A 2MHz Step-Up Voltage Regulator</t>
  </si>
  <si>
    <t>AC/DC &amp; DC/DC converters (integrated FET)</t>
  </si>
  <si>
    <t>Catalog</t>
  </si>
  <si>
    <t>Boost,SEPIC</t>
  </si>
  <si>
    <t>VSSOP</t>
  </si>
  <si>
    <t/>
  </si>
  <si>
    <t>-40 to 85</t>
  </si>
  <si>
    <t>3 x 4.9</t>
  </si>
  <si>
    <t>ACTIVE</t>
  </si>
  <si>
    <t>120V Boot, 3-A Peak, High Frequency, High-Side/Low-Side Driver</t>
  </si>
  <si>
    <t>Half-bridge drivers</t>
  </si>
  <si>
    <t>Catalog</t>
  </si>
  <si>
    <t>DIESALE</t>
  </si>
  <si>
    <t/>
  </si>
  <si>
    <t>0 to 0</t>
  </si>
  <si>
    <t>See data sheet</t>
  </si>
  <si>
    <t>See data sheet</t>
  </si>
  <si>
    <t>—</t>
  </si>
  <si>
    <t>—</t>
  </si>
  <si>
    <t>ACTIVE</t>
  </si>
  <si>
    <t>7.5-100V Wide Vin, 100mA Integrated Secondary Bias Regulator for Isolated DC/DC Converters</t>
  </si>
  <si>
    <t>AC/DC &amp; DC/DC converters (integrated FET)</t>
  </si>
  <si>
    <t>Catalog</t>
  </si>
  <si>
    <t>Buck,Flybuck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</si>
  <si>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</si>
  <si>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</si>
  <si>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</si>
  <si>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</si>
  <si>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</si>
  <si>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</si>
  <si>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</si>
  <si>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</si>
  <si>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7.5-100V Wide Vin, 300mA Integrated Secondary Bias Regulator for Isolated DC/DC Converters</t>
  </si>
  <si>
    <t>AC/DC &amp; DC/DC converters (integrated FET)</t>
  </si>
  <si>
    <t>Catalog</t>
  </si>
  <si>
    <t>Buck,Flybuck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</si>
  <si>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</si>
  <si>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</si>
  <si>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</si>
  <si>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</si>
  <si>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</si>
  <si>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</si>
  <si>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</si>
  <si>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</si>
  <si>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7.5-100V Wide Vin, 300mA Constant On-Time Synchronous Buck Regulator</t>
  </si>
  <si>
    <t>AC/DC &amp; DC/DC converters (integrated FET)</t>
  </si>
  <si>
    <t>Catalog</t>
  </si>
  <si>
    <t>Buck,Flybuck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</si>
  <si>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</si>
  <si>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</si>
  <si>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</si>
  <si>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</si>
  <si>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</si>
  <si>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</si>
  <si>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</si>
  <si>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</si>
  <si>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7.5-100V Wide Vin, 100mA Constant On-Time Synchronous Buck Regulator</t>
  </si>
  <si>
    <t>AC/DC &amp; DC/DC converters (integrated FET)</t>
  </si>
  <si>
    <t>Catalog</t>
  </si>
  <si>
    <t>Buck,Flybuck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</si>
  <si>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</si>
  <si>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</si>
  <si>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</si>
  <si>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</si>
  <si>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</si>
  <si>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</si>
  <si>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</si>
  <si>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</si>
  <si>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Automotive 2V to 40V Low Iq Single Boost &amp; Dual Synchronous Buck Controller</t>
  </si>
  <si>
    <t>Multi-channel ICs (PMICs)</t>
  </si>
  <si>
    <t>Automotive</t>
  </si>
  <si>
    <t>HTSSOP</t>
  </si>
  <si>
    <t/>
  </si>
  <si>
    <t>-40 to 125</t>
  </si>
  <si>
    <t>12.5 x 8.1</t>
  </si>
  <si>
    <t>ACTIVE</t>
  </si>
  <si>
    <t>1-A, high-PSRR, ultra-low-dropout voltage regulator with enable</t>
  </si>
  <si>
    <t>Linear &amp; low-dropout (LDO) regulators</t>
  </si>
  <si>
    <t>Catalog</t>
  </si>
  <si>
    <t>HTSSOP</t>
  </si>
  <si>
    <t/>
  </si>
  <si>
    <t>-40 to 125</t>
  </si>
  <si>
    <t>5 x 6.4</t>
  </si>
  <si>
    <t>ACTIVE</t>
  </si>
  <si>
    <t>6 channel high-efficiency/Efficacy LED backlight driver</t>
  </si>
  <si>
    <t>Backlight LED drivers</t>
  </si>
  <si>
    <t>Catalog</t>
  </si>
  <si>
    <t>Boost</t>
  </si>
  <si>
    <t>DSBGA,WQFN</t>
  </si>
  <si>
    <t/>
  </si>
  <si>
    <t>-30 to 85</t>
  </si>
  <si>
    <t>20,24</t>
  </si>
  <si>
    <t>3.96,16</t>
  </si>
  <si>
    <t>2.2 x 1.8,4 x 4</t>
  </si>
  <si>
    <t>0.675,0.8</t>
  </si>
  <si>
    <t>0.4,0.5</t>
  </si>
  <si>
    <t>ACTIVE</t>
  </si>
  <si>
    <t>0.5A loading, 2.7-5.5V, 97mΩ USB power switch, active-high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</si>
  <si>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</si>
  <si>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</si>
  <si>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</si>
  <si>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</si>
  <si>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</si>
  <si>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</si>
  <si>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</si>
  <si>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4.5V to 18V, 3A, Precision Adjustable Current Limited Power Distribution Switch</t>
  </si>
  <si>
    <t>AC/DC &amp; DC/DC converters (integrated FET)</t>
  </si>
  <si>
    <t>Catalog</t>
  </si>
  <si>
    <t>Buck</t>
  </si>
  <si>
    <t>VQFN</t>
  </si>
  <si>
    <t/>
  </si>
  <si>
    <t>-40 to 125</t>
  </si>
  <si>
    <t>4 x 4</t>
  </si>
  <si>
    <t>ACTIVE</t>
  </si>
  <si>
    <t>Triple Outputs AMOLED Display Power Supply</t>
  </si>
  <si>
    <t>LCD &amp; OLED display power &amp; drivers</t>
  </si>
  <si>
    <t>Catalog</t>
  </si>
  <si>
    <t>Boost,Buck-Boost</t>
  </si>
  <si>
    <t>WQFN</t>
  </si>
  <si>
    <t/>
  </si>
  <si>
    <t>-40 to 85</t>
  </si>
  <si>
    <t>3 x 3</t>
  </si>
  <si>
    <t>ACTIVE</t>
  </si>
  <si>
    <t>Constant-voltage, constant-current PWM with PSR, NTC option, and 0 mV cable compensation</t>
  </si>
  <si>
    <t>AC/DC &amp; DC/DC controllers (external FET)</t>
  </si>
  <si>
    <t>Catalog</t>
  </si>
  <si>
    <t>Buck,Flyback</t>
  </si>
  <si>
    <t>SOT-23</t>
  </si>
  <si>
    <t/>
  </si>
  <si>
    <t>-20 to 125</t>
  </si>
  <si>
    <t>2.9 x 2.8</t>
  </si>
  <si>
    <t>ACTIVE</t>
  </si>
  <si>
    <t>4A Processor Supply with I2C Compatible Interface and Remote Sense</t>
  </si>
  <si>
    <t>AC/DC &amp; DC/DC converters (integrated FET)</t>
  </si>
  <si>
    <t>Catalog</t>
  </si>
  <si>
    <t>Buck,Step-Down Converter,Synchronous Buck</t>
  </si>
  <si>
    <t>DSBGA</t>
  </si>
  <si>
    <t/>
  </si>
  <si>
    <t>-40 to 150</t>
  </si>
  <si>
    <t>2.25 x 2.25</t>
  </si>
  <si>
    <t>ACTIVE</t>
  </si>
  <si>
    <t>4A Processor Supply with I2C Compatible Interface and Remote Sense</t>
  </si>
  <si>
    <t>AC/DC &amp; DC/DC converters (integrated FET)</t>
  </si>
  <si>
    <t>Catalog</t>
  </si>
  <si>
    <t>Buck,Step-Down Converter,Synchronous Buck</t>
  </si>
  <si>
    <t>DSBGA</t>
  </si>
  <si>
    <t/>
  </si>
  <si>
    <t>-40 to 150</t>
  </si>
  <si>
    <t>2.25 x 2.25</t>
  </si>
  <si>
    <t>ACTIVE</t>
  </si>
  <si>
    <t>4.5 V to 18 V input, 2 A / 3 A dual channel synchronous step-down converter, adjustable soft start</t>
  </si>
  <si>
    <t>AC/DC &amp; DC/DC converters (integrated FET)</t>
  </si>
  <si>
    <t>Catalog</t>
  </si>
  <si>
    <t>Buck</t>
  </si>
  <si>
    <t>HTSSOP,VQFN</t>
  </si>
  <si>
    <t/>
  </si>
  <si>
    <t>-40 to 85</t>
  </si>
  <si>
    <t>16,32</t>
  </si>
  <si>
    <t>4 x 4,5 x 6.4</t>
  </si>
  <si>
    <t>1,1.2</t>
  </si>
  <si>
    <t>ACTIVE</t>
  </si>
  <si>
    <t>1-A, high-PSRR, negative, adjustable low-dropout voltage regulator with enable</t>
  </si>
  <si>
    <t>Linear &amp; low-dropout (LDO) regulators</t>
  </si>
  <si>
    <t>Catalog</t>
  </si>
  <si>
    <t>VQFN</t>
  </si>
  <si>
    <t/>
  </si>
  <si>
    <t>-40 to 125</t>
  </si>
  <si>
    <t>5 x 5</t>
  </si>
  <si>
    <t>ACTIVE</t>
  </si>
  <si>
    <t>4.5 V to 18 V input, 2 A / 3 A dual channel synchronous step-down converter, 1 ms fixed soft start</t>
  </si>
  <si>
    <t>AC/DC &amp; DC/DC converters (integrated FET)</t>
  </si>
  <si>
    <t>Catalog</t>
  </si>
  <si>
    <t>Buck</t>
  </si>
  <si>
    <t>HTSSOP,VQFN</t>
  </si>
  <si>
    <t/>
  </si>
  <si>
    <t>-40 to 85</t>
  </si>
  <si>
    <t>16,32</t>
  </si>
  <si>
    <t>4 x 4,5 x 6.4</t>
  </si>
  <si>
    <t>1,1.2</t>
  </si>
  <si>
    <t>ACTIVE</t>
  </si>
  <si>
    <t>8.5-V to 15-V dual channelHot Swap with Oring and Impro-Ved Slew Rate Immunity</t>
  </si>
  <si>
    <t>Hot-swap controllers</t>
  </si>
  <si>
    <t>Catalog</t>
  </si>
  <si>
    <t>VQFN</t>
  </si>
  <si>
    <t/>
  </si>
  <si>
    <t>-40 to 85</t>
  </si>
  <si>
    <t>6 x 6</t>
  </si>
  <si>
    <t>ACTIVE</t>
  </si>
  <si>
    <t>Seamless Transition Buck/Boost Converter for LTE and HSPA RF Power Amplifiers</t>
  </si>
  <si>
    <t>AC/DC &amp; DC/DC converters (integrated FET)</t>
  </si>
  <si>
    <t>Catalog</t>
  </si>
  <si>
    <t>Buck</t>
  </si>
  <si>
    <t>DSBGA</t>
  </si>
  <si>
    <t/>
  </si>
  <si>
    <t>-30 to 85</t>
  </si>
  <si>
    <t>2.25 x 1.75</t>
  </si>
  <si>
    <t>ACTIVE</t>
  </si>
  <si>
    <t>3.6-V, 1-A, 28-mΩ load switch with output discharge</t>
  </si>
  <si>
    <t>Load switches</t>
  </si>
  <si>
    <t>Catalog</t>
  </si>
  <si>
    <t>DSBGA</t>
  </si>
  <si>
    <t/>
  </si>
  <si>
    <t>-40 to 85</t>
  </si>
  <si>
    <t>1.25 x 1.25</t>
  </si>
  <si>
    <t>ACTIVE</t>
  </si>
  <si>
    <t>4-A/8-A single-channel gate driver with 5-V UVLO and split outputs in SON package</t>
  </si>
  <si>
    <t>Low-side drivers</t>
  </si>
  <si>
    <t>Catalog</t>
  </si>
  <si>
    <t>WSON</t>
  </si>
  <si>
    <t/>
  </si>
  <si>
    <t>-40 to 140</t>
  </si>
  <si>
    <t>3 x 3</t>
  </si>
  <si>
    <t>ACTIVE</t>
  </si>
  <si>
    <t>2.8V to 5.5V, 300mA Buck/Boost Negative Output Voltage Regulator</t>
  </si>
  <si>
    <t>AC/DC &amp; DC/DC converters (integrated FET)</t>
  </si>
  <si>
    <t>Catalog</t>
  </si>
  <si>
    <t>Inverting</t>
  </si>
  <si>
    <t>DSBGA</t>
  </si>
  <si>
    <t/>
  </si>
  <si>
    <t>-40 to 125</t>
  </si>
  <si>
    <t>1.8 x 1</t>
  </si>
  <si>
    <t>ACTIVE</t>
  </si>
  <si>
    <t>2.95V to 6V Input, 6A Synchronous Step-Down SWIFT™ Converter with Hiccup Current Limit</t>
  </si>
  <si>
    <t>AC/DC &amp; DC/DC converters (integrated FET)</t>
  </si>
  <si>
    <t>Catalog</t>
  </si>
  <si>
    <t>Buck</t>
  </si>
  <si>
    <t>WQFN</t>
  </si>
  <si>
    <t/>
  </si>
  <si>
    <t>-40 to 150</t>
  </si>
  <si>
    <t>3 x 3</t>
  </si>
  <si>
    <t>ACTIVE</t>
  </si>
  <si>
    <t>Constant-voltage, constant-current PWM with PSR &amp; Programmable cable compensation</t>
  </si>
  <si>
    <t>AC/DC &amp; DC/DC controllers (external FET)</t>
  </si>
  <si>
    <t>Catalog</t>
  </si>
  <si>
    <t>Buck,Flyback</t>
  </si>
  <si>
    <t>SOT-23</t>
  </si>
  <si>
    <t/>
  </si>
  <si>
    <t>-20 to 125</t>
  </si>
  <si>
    <t>2.9 x 2.8</t>
  </si>
  <si>
    <t>ACTIVE</t>
  </si>
  <si>
    <t>4MHz, high-current flash LED driver</t>
  </si>
  <si>
    <t>Illumination  LED drivers</t>
  </si>
  <si>
    <t>Catalog</t>
  </si>
  <si>
    <t>Boost,current mode</t>
  </si>
  <si>
    <t>DSBGA</t>
  </si>
  <si>
    <t/>
  </si>
  <si>
    <t>-30 to 85</t>
  </si>
  <si>
    <t>2.25 x 2.25</t>
  </si>
  <si>
    <t>ACTIVE</t>
  </si>
  <si>
    <t>30-V, N channel NexFET™ power MOSFET, single SON 5 mm x 6 mm, 2.7 mOhm</t>
  </si>
  <si>
    <t>MOSFETs</t>
  </si>
  <si>
    <t>Catalog</t>
  </si>
  <si>
    <t>VSONP</t>
  </si>
  <si>
    <t/>
  </si>
  <si>
    <t>-55 to 150</t>
  </si>
  <si>
    <t>4.9 x 6</t>
  </si>
  <si>
    <t>ACTIVE</t>
  </si>
  <si>
    <t>1-A, 36-V, low-noise, high-PSRR, low-dropout voltage regulator with enable</t>
  </si>
  <si>
    <t>Linear &amp; low-dropout (LDO) regulators</t>
  </si>
  <si>
    <t>Catalog</t>
  </si>
  <si>
    <t>VQFN</t>
  </si>
  <si>
    <t/>
  </si>
  <si>
    <t>-40 to 125</t>
  </si>
  <si>
    <t>5 x 5</t>
  </si>
  <si>
    <t>ACTIVE</t>
  </si>
  <si>
    <t>30-V, N channel NexFET™ power MOSFET, single SON 5 mm x 6 mm, 8.8 mOhm</t>
  </si>
  <si>
    <t>MOSFETs</t>
  </si>
  <si>
    <t>Catalog</t>
  </si>
  <si>
    <t>VSONP</t>
  </si>
  <si>
    <t/>
  </si>
  <si>
    <t>-55 to 150</t>
  </si>
  <si>
    <t>4.9 x 6</t>
  </si>
  <si>
    <t>ACTIVE</t>
  </si>
  <si>
    <t>5-A/5-A dual-channel gate driver with 5-V UVLO, inverting inputs, and enable</t>
  </si>
  <si>
    <t>Low-side drivers</t>
  </si>
  <si>
    <t>Catalog</t>
  </si>
  <si>
    <t>HVSSOP,SOIC,WSON</t>
  </si>
  <si>
    <t/>
  </si>
  <si>
    <t>-40 to 140</t>
  </si>
  <si>
    <t>9,14.7,29.4</t>
  </si>
  <si>
    <t>3 x 3,3 x 4.9,4.9 x 6</t>
  </si>
  <si>
    <t>0.8,1.1,1.75</t>
  </si>
  <si>
    <t>0.65,1.27</t>
  </si>
  <si>
    <t>ACTIVE</t>
  </si>
  <si>
    <t>5-A/5-A dual-channel gate driver with 5-V UVLO, enable, and inverting/non-inverting inputs</t>
  </si>
  <si>
    <t>Low-side drivers</t>
  </si>
  <si>
    <t>Catalog</t>
  </si>
  <si>
    <t>HVSSOP,SOIC,WSON</t>
  </si>
  <si>
    <t/>
  </si>
  <si>
    <t>-40 to 140</t>
  </si>
  <si>
    <t>9,14.7,29.4</t>
  </si>
  <si>
    <t>3 x 3,3 x 4.9,4.9 x 6</t>
  </si>
  <si>
    <t>0.8,1.1,1.75</t>
  </si>
  <si>
    <t>0.65,1.27</t>
  </si>
  <si>
    <t>ACTIVE</t>
  </si>
  <si>
    <t>40-V, N channel NexFET™ power MOSFET, single SON 5 mm x 6 mm, 3.2 mOhm</t>
  </si>
  <si>
    <t>MOSFETs</t>
  </si>
  <si>
    <t>Catalog</t>
  </si>
  <si>
    <t>VSONP</t>
  </si>
  <si>
    <t/>
  </si>
  <si>
    <t>-55 to 150</t>
  </si>
  <si>
    <t>4.9 x 6</t>
  </si>
  <si>
    <t>ACTIVE</t>
  </si>
  <si>
    <t>2-ch, 5.5-V, 6-A, 16-mΩ, load switch with adj. rise time and output discharge</t>
  </si>
  <si>
    <t>Load switches</t>
  </si>
  <si>
    <t>Catalog</t>
  </si>
  <si>
    <t>WSON</t>
  </si>
  <si>
    <t/>
  </si>
  <si>
    <t>-40 to 105</t>
  </si>
  <si>
    <t>3 x 2</t>
  </si>
  <si>
    <t>ACTIVE</t>
  </si>
  <si>
    <t>6.5V to 28V Input, 5V Fixed Output at 2A Step-Down Regulator with Intregrated MosFET</t>
  </si>
  <si>
    <t>AC/DC &amp; DC/DC converters (integrated FET)</t>
  </si>
  <si>
    <t>Catalog</t>
  </si>
  <si>
    <t>Buck</t>
  </si>
  <si>
    <t>SOIC</t>
  </si>
  <si>
    <t/>
  </si>
  <si>
    <t>-40 to 125</t>
  </si>
  <si>
    <t>4.9 x 6</t>
  </si>
  <si>
    <t>ACTIVE</t>
  </si>
  <si>
    <t>5.5V to 18V input, fixed 5V output, 4A synchronous buck converter with dual load switches</t>
  </si>
  <si>
    <t>AC/DC &amp; DC/DC converters (integrated FET)</t>
  </si>
  <si>
    <t>Catalog</t>
  </si>
  <si>
    <t>Buck</t>
  </si>
  <si>
    <t>VQFN</t>
  </si>
  <si>
    <t/>
  </si>
  <si>
    <t>-40 to 85</t>
  </si>
  <si>
    <t>4 x 4</t>
  </si>
  <si>
    <t>ACTIVE</t>
  </si>
  <si>
    <t>40-V, N channel NexFET™ power MOSFET, single SON 5 mm x 6 mm, 4.3 mOhm</t>
  </si>
  <si>
    <t>MOSFETs</t>
  </si>
  <si>
    <t>Catalog</t>
  </si>
  <si>
    <t>VSONP</t>
  </si>
  <si>
    <t/>
  </si>
  <si>
    <t>-55 to 150</t>
  </si>
  <si>
    <t>4.9 x 6</t>
  </si>
  <si>
    <t>ACTIVE</t>
  </si>
  <si>
    <t>40-V, N channel NexFET™ power MOSFET, single SON 5 mm x 6 mm, 6.6 mOhm</t>
  </si>
  <si>
    <t>MOSFETs</t>
  </si>
  <si>
    <t>Catalog</t>
  </si>
  <si>
    <t>VSONP</t>
  </si>
  <si>
    <t/>
  </si>
  <si>
    <t>-55 to 150</t>
  </si>
  <si>
    <t>4.9 x 6</t>
  </si>
  <si>
    <t>ACTIVE</t>
  </si>
  <si>
    <t>60-V, N channel NexFET™ power MOSFET, single SON 5 mm x 6 mm, 4.6 mOhm</t>
  </si>
  <si>
    <t>MOSFETs</t>
  </si>
  <si>
    <t>Catalog</t>
  </si>
  <si>
    <t>VSONP</t>
  </si>
  <si>
    <t/>
  </si>
  <si>
    <t>-55 to 150</t>
  </si>
  <si>
    <t>4.9 x 6</t>
  </si>
  <si>
    <t>ACTIVE</t>
  </si>
  <si>
    <t>5.5-V to 24-V, dual-synchronous buck controller with 5-V and 3.3-V LDOs</t>
  </si>
  <si>
    <t>AC/DC &amp; DC/DC controllers (external FET)</t>
  </si>
  <si>
    <t>Catalog</t>
  </si>
  <si>
    <t>Buck</t>
  </si>
  <si>
    <t>WQFN</t>
  </si>
  <si>
    <t/>
  </si>
  <si>
    <t>-40 to 85</t>
  </si>
  <si>
    <t>3 x 3</t>
  </si>
  <si>
    <t>ACTIVE</t>
  </si>
  <si>
    <t>5.5-V to 24-V, dual-synchronous buck controller with VREG5 always-on LDO</t>
  </si>
  <si>
    <t>AC/DC &amp; DC/DC controllers (external FET)</t>
  </si>
  <si>
    <t>Catalog</t>
  </si>
  <si>
    <t>Buck</t>
  </si>
  <si>
    <t>WQFN</t>
  </si>
  <si>
    <t/>
  </si>
  <si>
    <t>-40 to 125</t>
  </si>
  <si>
    <t>3 x 3</t>
  </si>
  <si>
    <t>ACTIVE</t>
  </si>
  <si>
    <t>1.5-V to 22-V, 8-A synchronous buck converter with eco-mode</t>
  </si>
  <si>
    <t>AC/DC &amp; DC/DC converters (integrated FET)</t>
  </si>
  <si>
    <t>Catalog</t>
  </si>
  <si>
    <t>Buck</t>
  </si>
  <si>
    <t>LSON-CLIP</t>
  </si>
  <si>
    <t/>
  </si>
  <si>
    <t>-40 to 125</t>
  </si>
  <si>
    <t>6 x 5</t>
  </si>
  <si>
    <t>ACTIVE</t>
  </si>
  <si>
    <t>3A Dual Channel Synchronous Step-Down Switcher with Integrated FET</t>
  </si>
  <si>
    <t>AC/DC &amp; DC/DC converters (integrated FET)</t>
  </si>
  <si>
    <t>Catalog</t>
  </si>
  <si>
    <t>Buck</t>
  </si>
  <si>
    <t>HTSSOP,VQFN</t>
  </si>
  <si>
    <t/>
  </si>
  <si>
    <t>-40 to 85</t>
  </si>
  <si>
    <t>16,32</t>
  </si>
  <si>
    <t>4 x 4,5 x 6.4</t>
  </si>
  <si>
    <t>1,1.2</t>
  </si>
  <si>
    <t>ACTIVE</t>
  </si>
  <si>
    <t>4.5V to 18V Input, Dual 3A Output, Synchronous Step-Down Converter</t>
  </si>
  <si>
    <t>AC/DC &amp; DC/DC converters (integrated FET)</t>
  </si>
  <si>
    <t>Catalog</t>
  </si>
  <si>
    <t>Buck</t>
  </si>
  <si>
    <t>HTSSOP,VQFN</t>
  </si>
  <si>
    <t/>
  </si>
  <si>
    <t>-40 to 85</t>
  </si>
  <si>
    <t>16,32</t>
  </si>
  <si>
    <t>4 x 4,5 x 6.4</t>
  </si>
  <si>
    <t>1,1.2</t>
  </si>
  <si>
    <t>ACTIVE</t>
  </si>
  <si>
    <t>4A Dual Channel Synchronous Step-Down Switcher with Integrated FET</t>
  </si>
  <si>
    <t>AC/DC &amp; DC/DC converters (integrated FET)</t>
  </si>
  <si>
    <t>Catalog</t>
  </si>
  <si>
    <t>Buck</t>
  </si>
  <si>
    <t>HTSSOP,VQFN</t>
  </si>
  <si>
    <t/>
  </si>
  <si>
    <t>-40 to 85</t>
  </si>
  <si>
    <t>16,32</t>
  </si>
  <si>
    <t>4 x 4,5 x 6.4</t>
  </si>
  <si>
    <t>1,1.2</t>
  </si>
  <si>
    <t>ACTIVE</t>
  </si>
  <si>
    <t>4.5V to 18V Input, Dual 4A/2A Output, Synchronous Step-Down Converter</t>
  </si>
  <si>
    <t>AC/DC &amp; DC/DC converters (integrated FET)</t>
  </si>
  <si>
    <t>Catalog</t>
  </si>
  <si>
    <t>Buck</t>
  </si>
  <si>
    <t>HTSSOP,VQFN</t>
  </si>
  <si>
    <t/>
  </si>
  <si>
    <t>-40 to 85</t>
  </si>
  <si>
    <t>16,32</t>
  </si>
  <si>
    <t>4 x 4,5 x 6.4</t>
  </si>
  <si>
    <t>1,1.2</t>
  </si>
  <si>
    <t>ACTIVE</t>
  </si>
  <si>
    <t>600mA Fully Integrated, Low Noise Step-Down Converter Module in MicroSiP&amp;trade;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</si>
  <si>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</si>
  <si>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</si>
  <si>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</si>
  <si>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</si>
  <si>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</si>
  <si>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</si>
  <si>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</si>
  <si>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</si>
  <si>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Automotive 200-mA, high-PSRR, low-IQ, low-dropout voltage regulator with enable</t>
  </si>
  <si>
    <t>Linear &amp; low-dropout (LDO) regulators</t>
  </si>
  <si>
    <t>Automotive</t>
  </si>
  <si>
    <t>SOT-SC70</t>
  </si>
  <si>
    <t>Functional Safety-Capable</t>
  </si>
  <si>
    <t>-40 to 125</t>
  </si>
  <si>
    <t>2 x 2.1</t>
  </si>
  <si>
    <t>ACTIVE</t>
  </si>
  <si>
    <t>4.5V to 18V Input, 5.5-A Synchronous Step-Down Converter</t>
  </si>
  <si>
    <t>AC/DC &amp; DC/DC converters (integrated FET)</t>
  </si>
  <si>
    <t>Catalog</t>
  </si>
  <si>
    <t>Buck</t>
  </si>
  <si>
    <t>HTSSOP</t>
  </si>
  <si>
    <t/>
  </si>
  <si>
    <t>-40 to 85</t>
  </si>
  <si>
    <t>5 x 6.4</t>
  </si>
  <si>
    <t>ACTIVE</t>
  </si>
  <si>
    <t>4.5V to 18V Input, 5.5A Synchronous Step-Down Converter with Eco-Mode&amp;trade;</t>
  </si>
  <si>
    <t>AC/DC &amp; DC/DC converters (integrated FET)</t>
  </si>
  <si>
    <t>Catalog</t>
  </si>
  <si>
    <t>Buck</t>
  </si>
  <si>
    <t>HTSSOP,VQFN</t>
  </si>
  <si>
    <t/>
  </si>
  <si>
    <t>-40 to 85</t>
  </si>
  <si>
    <t>14,16</t>
  </si>
  <si>
    <t>16,32</t>
  </si>
  <si>
    <t>4 x 4,5 x 6.4</t>
  </si>
  <si>
    <t>1,1.2</t>
  </si>
  <si>
    <t>ACTIVE</t>
  </si>
  <si>
    <t>Automotive 4.5V to 15.5V digitally Assisted push-pull PWM controller</t>
  </si>
  <si>
    <t>AC/DC &amp; DC/DC controllers (external FET)</t>
  </si>
  <si>
    <t>Automotive</t>
  </si>
  <si>
    <t>Full bridge,Half bridge,Push pull</t>
  </si>
  <si>
    <t>HTSSOP</t>
  </si>
  <si>
    <t/>
  </si>
  <si>
    <t>-40 to 125</t>
  </si>
  <si>
    <t>5 x 6.4</t>
  </si>
  <si>
    <t>ACTIVE</t>
  </si>
  <si>
    <t>Radiation-tolerant QMLV, -4.2-V to -40-V, 1.5-A adjustable negative linear regulator</t>
  </si>
  <si>
    <t>Linear &amp; low-dropout (LDO) regulators</t>
  </si>
  <si>
    <t>Space</t>
  </si>
  <si>
    <t>TO-CAN</t>
  </si>
  <si>
    <t/>
  </si>
  <si>
    <t>-55 to 125</t>
  </si>
  <si>
    <t>10.03 x 9.14</t>
  </si>
  <si>
    <t>ACTIVE</t>
  </si>
  <si>
    <t>1.5-V to 22-V, 14-A synchronous buck converter with eco-mode</t>
  </si>
  <si>
    <t>AC/DC &amp; DC/DC converters (integrated FET)</t>
  </si>
  <si>
    <t>Catalog</t>
  </si>
  <si>
    <t>Buck</t>
  </si>
  <si>
    <t>LSON-CLIP</t>
  </si>
  <si>
    <t/>
  </si>
  <si>
    <t>-40 to 125</t>
  </si>
  <si>
    <t>6 x 5</t>
  </si>
  <si>
    <t>ACTIVE</t>
  </si>
  <si>
    <t>2.95V to 6V Input, 7A Synchronous Step-Down DC/DC Converter</t>
  </si>
  <si>
    <t>AC/DC &amp; DC/DC converters (integrated FET)</t>
  </si>
  <si>
    <t>Catalog</t>
  </si>
  <si>
    <t>Buck</t>
  </si>
  <si>
    <t>WQFN</t>
  </si>
  <si>
    <t/>
  </si>
  <si>
    <t>-40 to 140</t>
  </si>
  <si>
    <t>3 x 3</t>
  </si>
  <si>
    <t>ACTIVE</t>
  </si>
  <si>
    <t>USB dedicated charging port controller and 2.2A power switch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</si>
  <si>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</si>
  <si>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</si>
  <si>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</si>
  <si>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</si>
  <si>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</si>
  <si>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</si>
  <si>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</si>
  <si>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Automotive 5.6V to 40V, 1.2A buck converter with 3 LDOs</t>
  </si>
  <si>
    <t>Multi-channel ICs (PMICs)</t>
  </si>
  <si>
    <t>Automotive</t>
  </si>
  <si>
    <t>HTSSOP,VQFN</t>
  </si>
  <si>
    <t/>
  </si>
  <si>
    <t>-40 to 125</t>
  </si>
  <si>
    <t>20,49.92</t>
  </si>
  <si>
    <t>5 x 4,7.8 x 6.4</t>
  </si>
  <si>
    <t>1,1.2</t>
  </si>
  <si>
    <t>0.5,0.65</t>
  </si>
  <si>
    <t>ACTIVE</t>
  </si>
  <si>
    <t>30-V, N channel NexFET™ power MOSFET, single SON 5 mm x 6 mm, 3.1 mOhm</t>
  </si>
  <si>
    <t>MOSFETs</t>
  </si>
  <si>
    <t>Catalog</t>
  </si>
  <si>
    <t>VSONP</t>
  </si>
  <si>
    <t/>
  </si>
  <si>
    <t>-55 to 150</t>
  </si>
  <si>
    <t>4.9 x 6</t>
  </si>
  <si>
    <t>ACTIVE</t>
  </si>
  <si>
    <t>4-A/4-A single-channel gate driver with 5-V UVLO and 13-ns prop delay in SON package</t>
  </si>
  <si>
    <t>Low-side drivers</t>
  </si>
  <si>
    <t>Catalog</t>
  </si>
  <si>
    <t>WSON</t>
  </si>
  <si>
    <t/>
  </si>
  <si>
    <t>-40 to 140</t>
  </si>
  <si>
    <t>3 x 3</t>
  </si>
  <si>
    <t>ACTIVE</t>
  </si>
  <si>
    <t>16 channel constant current LED driver with pre-charge FET</t>
  </si>
  <si>
    <t>RGB LED drivers</t>
  </si>
  <si>
    <t>Catalog</t>
  </si>
  <si>
    <t>SSOP,VQFN</t>
  </si>
  <si>
    <t/>
  </si>
  <si>
    <t>-40 to 85</t>
  </si>
  <si>
    <t>16,51.9</t>
  </si>
  <si>
    <t>4 x 4,8.65 x 6</t>
  </si>
  <si>
    <t>1,1.75</t>
  </si>
  <si>
    <t>0.5,0.635</t>
  </si>
  <si>
    <t>ACTIVE</t>
  </si>
  <si>
    <t>0.7V Low Input Voltage Step-Up Converter with 5uA Iq</t>
  </si>
  <si>
    <t>AC/DC &amp; DC/DC converters (integrated FET)</t>
  </si>
  <si>
    <t>Catalog</t>
  </si>
  <si>
    <t>Boost</t>
  </si>
  <si>
    <t>SOT-23</t>
  </si>
  <si>
    <t/>
  </si>
  <si>
    <t>-40 to 85</t>
  </si>
  <si>
    <t>2.9 x 2.8</t>
  </si>
  <si>
    <t>ACTIVE</t>
  </si>
  <si>
    <t>Dual channel SVID, D-CAP+; step down industrial grade controller for IMVP-7 Vcore with 1.1V VBoot</t>
  </si>
  <si>
    <t>AC/DC &amp; DC/DC controllers (external FET)</t>
  </si>
  <si>
    <t>Catalog</t>
  </si>
  <si>
    <t>Multiphase</t>
  </si>
  <si>
    <t>VQFN</t>
  </si>
  <si>
    <t/>
  </si>
  <si>
    <t>-40 to 105</t>
  </si>
  <si>
    <t>6 x 6</t>
  </si>
  <si>
    <t>ACTIVE</t>
  </si>
  <si>
    <t>20-V, 7-ch NMOS array low-side driver</t>
  </si>
  <si>
    <t>Low-side switches</t>
  </si>
  <si>
    <t>Catalog</t>
  </si>
  <si>
    <t>SOIC,TSSOP</t>
  </si>
  <si>
    <t/>
  </si>
  <si>
    <t>-40 to 125</t>
  </si>
  <si>
    <t>32,59.4</t>
  </si>
  <si>
    <t>5 x 6.4,9.9 x 6</t>
  </si>
  <si>
    <t>1.2,1.75</t>
  </si>
  <si>
    <t>0.65,1.27</t>
  </si>
  <si>
    <t>ACTIVE</t>
  </si>
  <si>
    <t>7.6-A/4.5-A single channel gate driver with 4-V UVLO and complementary pilot output</t>
  </si>
  <si>
    <t>Low-side drivers</t>
  </si>
  <si>
    <t>Catalog</t>
  </si>
  <si>
    <t>SOT-23,WSON</t>
  </si>
  <si>
    <t/>
  </si>
  <si>
    <t>-40 to 125</t>
  </si>
  <si>
    <t>8.12,9</t>
  </si>
  <si>
    <t>2.9 x 2.8,3 x 3</t>
  </si>
  <si>
    <t>0.8,1.45</t>
  </si>
  <si>
    <t>ACTIVE</t>
  </si>
  <si>
    <t>30-V half bridge gate driver with dead-time control</t>
  </si>
  <si>
    <t>AC/DC &amp; DC/DC controllers (external FET)</t>
  </si>
  <si>
    <t>Catalog</t>
  </si>
  <si>
    <t>VSON</t>
  </si>
  <si>
    <t/>
  </si>
  <si>
    <t>-40 to 105</t>
  </si>
  <si>
    <t>3 x 3</t>
  </si>
  <si>
    <t>ACTIVE</t>
  </si>
  <si>
    <t>4.5-V to 28-V, 25-A synchronous D-CAP2 buck controller</t>
  </si>
  <si>
    <t>AC/DC &amp; DC/DC controllers (external FET)</t>
  </si>
  <si>
    <t>Catalog</t>
  </si>
  <si>
    <t>Buck</t>
  </si>
  <si>
    <t>VSSOP</t>
  </si>
  <si>
    <t/>
  </si>
  <si>
    <t>-40 to 85</t>
  </si>
  <si>
    <t>3 x 4.9</t>
  </si>
  <si>
    <t>ACTIVE</t>
  </si>
  <si>
    <t>4.7V to 60V Input, 200mA Synchronous Step-Down Converter with Low IQ</t>
  </si>
  <si>
    <t>AC/DC &amp; DC/DC converters (integrated FET)</t>
  </si>
  <si>
    <t>Catalog</t>
  </si>
  <si>
    <t>Buck</t>
  </si>
  <si>
    <t>VSON</t>
  </si>
  <si>
    <t/>
  </si>
  <si>
    <t>-40 to 150</t>
  </si>
  <si>
    <t>3 x 3</t>
  </si>
  <si>
    <t>ACTIVE</t>
  </si>
  <si>
    <t>3.5V to 42V Input, 1.5A Step-Down Converter with Eco-Mode</t>
  </si>
  <si>
    <t>AC/DC &amp; DC/DC converters (integrated FET)</t>
  </si>
  <si>
    <t>Catalog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</si>
  <si>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</si>
  <si>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</si>
  <si>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</si>
  <si>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</si>
  <si>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</si>
  <si>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</si>
  <si>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</si>
  <si>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</si>
  <si>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3.5V to 60V Input, 1.5A Step-Down Converter with Eco-Mode</t>
  </si>
  <si>
    <t>AC/DC &amp; DC/DC converters (integrated FET)</t>
  </si>
  <si>
    <t>Catalog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</si>
  <si>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</si>
  <si>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</si>
  <si>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</si>
  <si>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</si>
  <si>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</si>
  <si>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</si>
  <si>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</si>
  <si>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</si>
  <si>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5.5-V, 2-A, 60-mΩ load switch with  active high enable</t>
  </si>
  <si>
    <t>Load switches</t>
  </si>
  <si>
    <t>Catalog</t>
  </si>
  <si>
    <t>DSBGA</t>
  </si>
  <si>
    <t/>
  </si>
  <si>
    <t>-40 to 85</t>
  </si>
  <si>
    <t>1.25 x 1.25</t>
  </si>
  <si>
    <t>ACTIVE</t>
  </si>
  <si>
    <t>5-A, 40-V, wide VIN boost, flyback, &amp; SEPIC converter</t>
  </si>
  <si>
    <t>AC/DC &amp; DC/DC converters (integrated FET)</t>
  </si>
  <si>
    <t>Catalog</t>
  </si>
  <si>
    <t>Boost,Flyback,SEPIC</t>
  </si>
  <si>
    <t>HTSSOP,WQFN</t>
  </si>
  <si>
    <t/>
  </si>
  <si>
    <t>-40 to 150</t>
  </si>
  <si>
    <t>14,16</t>
  </si>
  <si>
    <t>9,32</t>
  </si>
  <si>
    <t>3 x 3,5 x 6.4</t>
  </si>
  <si>
    <t>0.8,1.2</t>
  </si>
  <si>
    <t>0.5,0.65</t>
  </si>
  <si>
    <t>ACTIVE</t>
  </si>
  <si>
    <t>Automotive 4-A/4-A single-channel gate driver with 5-V UVLO, enable</t>
  </si>
  <si>
    <t>Low-side drivers</t>
  </si>
  <si>
    <t>Catalog</t>
  </si>
  <si>
    <t>SOT-23</t>
  </si>
  <si>
    <t/>
  </si>
  <si>
    <t>-40 to 140</t>
  </si>
  <si>
    <t>2.9 x 2.8</t>
  </si>
  <si>
    <t>ACTIVE</t>
  </si>
  <si>
    <t>4-A/4-A single-channel gate driver with 5-V UVLO, enable, and CMOS input</t>
  </si>
  <si>
    <t>Low-side drivers</t>
  </si>
  <si>
    <t>Catalog</t>
  </si>
  <si>
    <t>SOT-23</t>
  </si>
  <si>
    <t/>
  </si>
  <si>
    <t>-40 to 140</t>
  </si>
  <si>
    <t>2.9 x 2.8</t>
  </si>
  <si>
    <t>ACTIVE</t>
  </si>
  <si>
    <t>3.5-MHz, 5-V, 1.5-A load boost converter in 1.2-mm x 1.3-mm WCSP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</si>
  <si>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</si>
  <si>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</si>
  <si>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</si>
  <si>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</si>
  <si>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</si>
  <si>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</si>
  <si>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</si>
  <si>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</si>
  <si>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3.5-MHz, 4.5-V, 1.5-A load boost converter in 1.2-mm x 1.3-mm WCSP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</si>
  <si>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</si>
  <si>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</si>
  <si>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</si>
  <si>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</si>
  <si>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</si>
  <si>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</si>
  <si>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</si>
  <si>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</si>
  <si>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Highly Integrated Digital Controller for Isolated Power with 3 Feedback Loops and 8 DPWM Outputs</t>
  </si>
  <si>
    <t>AC/DC &amp; DC/DC controllers (external FET)</t>
  </si>
  <si>
    <t>Catalog</t>
  </si>
  <si>
    <t>VQFN,WQFN</t>
  </si>
  <si>
    <t/>
  </si>
  <si>
    <t>-40 to 125</t>
  </si>
  <si>
    <t>40,64</t>
  </si>
  <si>
    <t>36,81</t>
  </si>
  <si>
    <t>6 x 6,9 x 9</t>
  </si>
  <si>
    <t>0.8,1</t>
  </si>
  <si>
    <t>ACTIVE</t>
  </si>
  <si>
    <t>200-mA, low-IQ, low-dropout voltage regulator in wafer chip scale packaging</t>
  </si>
  <si>
    <t>Linear &amp; low-dropout (LDO) regulators</t>
  </si>
  <si>
    <t>Catalog</t>
  </si>
  <si>
    <t>DSBGA</t>
  </si>
  <si>
    <t/>
  </si>
  <si>
    <t>-40 to 125</t>
  </si>
  <si>
    <t>1.25 x 1.616</t>
  </si>
  <si>
    <t>ACTIVE</t>
  </si>
  <si>
    <t>6-channel high-Voltage, constant current LED driver with Dynamic Headroom Control</t>
  </si>
  <si>
    <t>Illumination  LED drivers</t>
  </si>
  <si>
    <t>Catalog</t>
  </si>
  <si>
    <t>Current Sink,Multi-Channel</t>
  </si>
  <si>
    <t>WQFN</t>
  </si>
  <si>
    <t/>
  </si>
  <si>
    <t>-40 to 125</t>
  </si>
  <si>
    <t>7 x 7</t>
  </si>
  <si>
    <t>ACTIVE</t>
  </si>
  <si>
    <t>5-A/5-A dual-channel gate driver with 5-V UVLO, enable, and dual TTL inputs</t>
  </si>
  <si>
    <t>Low-side drivers</t>
  </si>
  <si>
    <t>Catalog</t>
  </si>
  <si>
    <t>WSON</t>
  </si>
  <si>
    <t/>
  </si>
  <si>
    <t>-40 to 140</t>
  </si>
  <si>
    <t>3 x 3</t>
  </si>
  <si>
    <t>ACTIVE</t>
  </si>
  <si>
    <t>450mA 14W constant current buck LED driver micro-module</t>
  </si>
  <si>
    <t>Illumination  LED drivers</t>
  </si>
  <si>
    <t>Catalog</t>
  </si>
  <si>
    <t>Buck</t>
  </si>
  <si>
    <t>TO-PMOD</t>
  </si>
  <si>
    <t/>
  </si>
  <si>
    <t>-40 to 125</t>
  </si>
  <si>
    <t>10.16 x 13.77</t>
  </si>
  <si>
    <t>ACTIVE</t>
  </si>
  <si>
    <t>450mA 23W constant current buck LED driver micro-module</t>
  </si>
  <si>
    <t>Illumination  LED drivers</t>
  </si>
  <si>
    <t>Catalog</t>
  </si>
  <si>
    <t>Buck</t>
  </si>
  <si>
    <t>TO-PMOD</t>
  </si>
  <si>
    <t/>
  </si>
  <si>
    <t>-40 to 125</t>
  </si>
  <si>
    <t>10.16 x 13.77</t>
  </si>
  <si>
    <t>ACTIVE</t>
  </si>
  <si>
    <t>3V-17V, 300mA Buck Converter With Adjustable Enable Threshold And Hysteresis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</si>
  <si>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</si>
  <si>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</si>
  <si>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</si>
  <si>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</si>
  <si>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</si>
  <si>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</si>
  <si>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</si>
  <si>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</si>
  <si>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8-Channel Level-Shifter supporting 2-, 3-Channel Charge-Sharing and Panel Discharge</t>
  </si>
  <si>
    <t>LCD &amp; OLED display power &amp; drivers</t>
  </si>
  <si>
    <t>Catalog</t>
  </si>
  <si>
    <t>WQFN</t>
  </si>
  <si>
    <t/>
  </si>
  <si>
    <t>-40 to 85</t>
  </si>
  <si>
    <t>4 x 4</t>
  </si>
  <si>
    <t>ACTIVE</t>
  </si>
  <si>
    <t>600kHz/1.25MHz, 2.5A, step-up PWM DC/DC converter, AEC-Q100 qualified</t>
  </si>
  <si>
    <t>AC/DC &amp; DC/DC converters (integrated FET)</t>
  </si>
  <si>
    <t>Automotive</t>
  </si>
  <si>
    <t>Boost</t>
  </si>
  <si>
    <t>TSSOP</t>
  </si>
  <si>
    <t/>
  </si>
  <si>
    <t>-40 to 105</t>
  </si>
  <si>
    <t>5 x 6.4</t>
  </si>
  <si>
    <t>ACTIVE</t>
  </si>
  <si>
    <t>600mA Fully Integrated, Low Noise Step-Down Converter in MicroSiP™ Package</t>
  </si>
  <si>
    <t>Power modules (integrated inductor)</t>
  </si>
  <si>
    <t>Catalog</t>
  </si>
  <si>
    <t>Buck,Step-Down Converter,Synchronous Buck</t>
  </si>
  <si>
    <t>USIP,uSIP</t>
  </si>
  <si>
    <t/>
  </si>
  <si>
    <t>-40 to 125</t>
  </si>
  <si>
    <t>6.67,See data sheet</t>
  </si>
  <si>
    <t>2.3 x 2.9,See data sheet</t>
  </si>
  <si>
    <t>1,—</t>
  </si>
  <si>
    <t>1,—</t>
  </si>
  <si>
    <t>ACTIVE</t>
  </si>
  <si>
    <t>600mA Fully Integrated, Low Noise Step-Down Converter in MicroSiP™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</si>
  <si>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</si>
  <si>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</si>
  <si>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</si>
  <si>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</si>
  <si>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</si>
  <si>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</si>
  <si>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</si>
  <si>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</si>
  <si>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150-mA, low-IQ, low-dropout voltage regulator with active output discharge &amp; enable</t>
  </si>
  <si>
    <t>Linear &amp; low-dropout (LDO) regulators</t>
  </si>
  <si>
    <t>Catalog</t>
  </si>
  <si>
    <t>X2SON</t>
  </si>
  <si>
    <t/>
  </si>
  <si>
    <t>-40 to 85</t>
  </si>
  <si>
    <t>1 x 1</t>
  </si>
  <si>
    <t>ACTIVE</t>
  </si>
  <si>
    <t>Phase dimmable, primary side power Regulated, PFC Flyback controller for LED Lighting</t>
  </si>
  <si>
    <t>Illumination  LED drivers</t>
  </si>
  <si>
    <t>Catalog</t>
  </si>
  <si>
    <t>Flyback</t>
  </si>
  <si>
    <t>TSSOP</t>
  </si>
  <si>
    <t/>
  </si>
  <si>
    <t>-40 to 125</t>
  </si>
  <si>
    <t>5 x 6.4</t>
  </si>
  <si>
    <t>ACTIVE</t>
  </si>
  <si>
    <t>Complete lighting solution for smartphone handsets</t>
  </si>
  <si>
    <t>Backlight LED drivers</t>
  </si>
  <si>
    <t>Catalog</t>
  </si>
  <si>
    <t>Boost</t>
  </si>
  <si>
    <t>DSBGA</t>
  </si>
  <si>
    <t/>
  </si>
  <si>
    <t>-40 to 125</t>
  </si>
  <si>
    <t>2.2 x 1.8</t>
  </si>
  <si>
    <t>ACTIVE</t>
  </si>
  <si>
    <t>8V, 7-ch NMOS array low-side driver</t>
  </si>
  <si>
    <t>Low-side switches</t>
  </si>
  <si>
    <t>Catalog</t>
  </si>
  <si>
    <t>SOIC,TSSOP</t>
  </si>
  <si>
    <t/>
  </si>
  <si>
    <t>-40 to 85</t>
  </si>
  <si>
    <t>32,59.4</t>
  </si>
  <si>
    <t>5 x 6.4,9.9 x 6</t>
  </si>
  <si>
    <t>1.2,1.75</t>
  </si>
  <si>
    <t>0.65,1.27</t>
  </si>
  <si>
    <t>ACTIVE</t>
  </si>
  <si>
    <t>High-voltage (18-V) window voltage detector for overvoltage and undervoltage monitoring</t>
  </si>
  <si>
    <t>Supply-voltage supervisors</t>
  </si>
  <si>
    <t>Catalog</t>
  </si>
  <si>
    <t>SOT-23-THN,WSON</t>
  </si>
  <si>
    <t/>
  </si>
  <si>
    <t>-40 to 125</t>
  </si>
  <si>
    <t>2.25,8.12</t>
  </si>
  <si>
    <t>1.5 x 1.5,2.9 x 2.8</t>
  </si>
  <si>
    <t>0.8,1.1</t>
  </si>
  <si>
    <t>0.5,0.95</t>
  </si>
  <si>
    <t>ACTIVE</t>
  </si>
  <si>
    <t>IEEE 802.3at PoE High-Power PD interface with external gate driver</t>
  </si>
  <si>
    <t>Powered devices</t>
  </si>
  <si>
    <t>Catalog</t>
  </si>
  <si>
    <t>HSOIC</t>
  </si>
  <si>
    <t/>
  </si>
  <si>
    <t>-40 to 85</t>
  </si>
  <si>
    <t>4.9 x 6</t>
  </si>
  <si>
    <t>ACTIVE</t>
  </si>
  <si>
    <t>programmable single LED driver with simple single wire control and small solution size</t>
  </si>
  <si>
    <t>RGB LED drivers</t>
  </si>
  <si>
    <t>Catalog</t>
  </si>
  <si>
    <t>Linear</t>
  </si>
  <si>
    <t>DSBGA</t>
  </si>
  <si>
    <t/>
  </si>
  <si>
    <t>-30 to 85</t>
  </si>
  <si>
    <t>1 x 1</t>
  </si>
  <si>
    <t>ACTIVE</t>
  </si>
  <si>
    <t>Automotive Grade 4.5-42V Wide Vin, Current Mode Synchronous Buck Controller with Tracking</t>
  </si>
  <si>
    <t>AC/DC &amp; DC/DC controllers (external FET)</t>
  </si>
  <si>
    <t>Automotive</t>
  </si>
  <si>
    <t>Buck Controller</t>
  </si>
  <si>
    <t>HTSSOP,WQFN</t>
  </si>
  <si>
    <t/>
  </si>
  <si>
    <t>-40 to 125</t>
  </si>
  <si>
    <t>20,24</t>
  </si>
  <si>
    <t>16,41.6</t>
  </si>
  <si>
    <t>4 x 4,6.5 x 6.4</t>
  </si>
  <si>
    <t>0.8,1.2</t>
  </si>
  <si>
    <t>0.5,0.65</t>
  </si>
  <si>
    <t>ACTIVE</t>
  </si>
  <si>
    <t>Automotive, 100-ppm/°C precision micropower shunt voltage reference</t>
  </si>
  <si>
    <t>Shunt voltage references</t>
  </si>
  <si>
    <t>Automotive</t>
  </si>
  <si>
    <t>SOT-23</t>
  </si>
  <si>
    <t>Functional Safety-Capable</t>
  </si>
  <si>
    <t>-40 to 125</t>
  </si>
  <si>
    <t>2.92 x 2.37</t>
  </si>
  <si>
    <t>ACTIVE</t>
  </si>
  <si>
    <t>16-ch ES-PWM LED driver, 7-bit dot Cor, 7-bit global brightness, power Save Mode, Full diagnostics</t>
  </si>
  <si>
    <t>LED display drivers</t>
  </si>
  <si>
    <t>Catalog</t>
  </si>
  <si>
    <t>HTSSOP,SSOP</t>
  </si>
  <si>
    <t/>
  </si>
  <si>
    <t>-40 to 85</t>
  </si>
  <si>
    <t>49.92,51.9</t>
  </si>
  <si>
    <t>7.8 x 6.4,8.65 x 6</t>
  </si>
  <si>
    <t>1.2,1.75</t>
  </si>
  <si>
    <t>0.635,0.65</t>
  </si>
  <si>
    <t>ACTIVE</t>
  </si>
  <si>
    <t>2-ch, 0.25-2.8A adj. ILIMIT (tuned for 2.3±0.2A),  2.5-6.5V, 44mΩ USB power switch, active-low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</si>
  <si>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</si>
  <si>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</si>
  <si>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</si>
  <si>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</si>
  <si>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</si>
  <si>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</si>
  <si>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</si>
  <si>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2-ch, 0.25-2.8A adj. ILIMIT (tuned for 2.3±0.2A),  2.5-6.5V, 44mΩ USB power switch, active-high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</si>
  <si>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</si>
  <si>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</si>
  <si>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</si>
  <si>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</si>
  <si>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</si>
  <si>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</si>
  <si>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</si>
  <si>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IEEE 802.3at PoE High-Power PD interface with AUX Control</t>
  </si>
  <si>
    <t>Powered devices</t>
  </si>
  <si>
    <t>Catalog</t>
  </si>
  <si>
    <t>HSOIC</t>
  </si>
  <si>
    <t/>
  </si>
  <si>
    <t>-40 to 85</t>
  </si>
  <si>
    <t>4.9 x 6</t>
  </si>
  <si>
    <t>ACTIVE</t>
  </si>
  <si>
    <t>2-ch, 1.5A loading, 4.5-5.5V, 70mΩ USB power switch, active-low, output discharge, reverse blocking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</si>
  <si>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</si>
  <si>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</si>
  <si>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</si>
  <si>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</si>
  <si>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</si>
  <si>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</si>
  <si>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</si>
  <si>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Automotive 4.5V to 60V Synchronous Buck Controller with Voltage Tracking</t>
  </si>
  <si>
    <t>AC/DC &amp; DC/DC controllers (external FET)</t>
  </si>
  <si>
    <t>Automotive</t>
  </si>
  <si>
    <t>Buck</t>
  </si>
  <si>
    <t>VQFN</t>
  </si>
  <si>
    <t/>
  </si>
  <si>
    <t>-40 to 125</t>
  </si>
  <si>
    <t>4.5 x 3.5</t>
  </si>
  <si>
    <t>ACTIVE</t>
  </si>
  <si>
    <t>Automotive 4.5V to 28V, 600kHz Fixed Frequency Dual 3A Buck Converter</t>
  </si>
  <si>
    <t>AC/DC &amp; DC/DC converters (integrated FET)</t>
  </si>
  <si>
    <t>Automotive</t>
  </si>
  <si>
    <t>Buck</t>
  </si>
  <si>
    <t>HTSSOP</t>
  </si>
  <si>
    <t/>
  </si>
  <si>
    <t>-40 to 105</t>
  </si>
  <si>
    <t>5 x 6.4</t>
  </si>
  <si>
    <t>ACTIVE</t>
  </si>
  <si>
    <t>Automotive 2V to 6V, 2.25MHz Fixed Frequency, 300mA Buck Converter with 1.2V Fixed Output Voltage</t>
  </si>
  <si>
    <t>AC/DC &amp; DC/DC converters (integrated FET)</t>
  </si>
  <si>
    <t>Automotive</t>
  </si>
  <si>
    <t>Buck</t>
  </si>
  <si>
    <t>SOT-23-THN</t>
  </si>
  <si>
    <t/>
  </si>
  <si>
    <t>-40 to 115</t>
  </si>
  <si>
    <t>2.9 x 2.8</t>
  </si>
  <si>
    <t>ACTIVE</t>
  </si>
  <si>
    <t>Automotive, 100-mA, 60-V, ultra-low-IQ, low-dropout voltage regulator with power good and enable</t>
  </si>
  <si>
    <t>Linear &amp; low-dropout (LDO) regulators</t>
  </si>
  <si>
    <t>Automotive</t>
  </si>
  <si>
    <t>HVSSOP</t>
  </si>
  <si>
    <t/>
  </si>
  <si>
    <t>-40 to 125</t>
  </si>
  <si>
    <t>3 x 4.9</t>
  </si>
  <si>
    <t>ACTIVE</t>
  </si>
  <si>
    <t>250-mA, low-noise, high-PSRR, ultra-low-dropout voltage regulator with low IQ and enable</t>
  </si>
  <si>
    <t>Linear &amp; low-dropout (LDO) regulators</t>
  </si>
  <si>
    <t>Catalog</t>
  </si>
  <si>
    <t>DSBGA,SOT-23,X2SON</t>
  </si>
  <si>
    <t/>
  </si>
  <si>
    <t>-40 to 125</t>
  </si>
  <si>
    <t>4,5</t>
  </si>
  <si>
    <t>0.469225,0.765625,1,8.12</t>
  </si>
  <si>
    <t>0.685 x 0.685,0.875 x 0.875,1 x 1,2.9 x 2.8</t>
  </si>
  <si>
    <t>0.33,0.4,0.445,0.495,1.45</t>
  </si>
  <si>
    <t>0.35,0.65,0.95</t>
  </si>
  <si>
    <t>ACTIVE</t>
  </si>
  <si>
    <t>3A High Efficiency Step Down Converter in 3x3mm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</si>
  <si>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</si>
  <si>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</si>
  <si>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</si>
  <si>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</si>
  <si>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</si>
  <si>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</si>
  <si>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</si>
  <si>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</si>
  <si>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Automotive 300-mA, high-PSRR, low-IQ, low-dropout voltage regulator with enable for 1.2 V</t>
  </si>
  <si>
    <t>Linear &amp; low-dropout (LDO) regulators</t>
  </si>
  <si>
    <t>Automotive</t>
  </si>
  <si>
    <t>SOT-23-THN</t>
  </si>
  <si>
    <t>Functional Safety-Capable</t>
  </si>
  <si>
    <t>-40 to 125</t>
  </si>
  <si>
    <t>2.9 x 2.8</t>
  </si>
  <si>
    <t>ACTIVE</t>
  </si>
  <si>
    <t>Automotive 3.5V to 28V, 300kHz Fixed Frequency 2A Buck Converter with Eco-Mode&amp;trade;</t>
  </si>
  <si>
    <t>AC/DC &amp; DC/DC converters (integrated FET)</t>
  </si>
  <si>
    <t>Automotive</t>
  </si>
  <si>
    <t>Buck</t>
  </si>
  <si>
    <t>SOIC</t>
  </si>
  <si>
    <t/>
  </si>
  <si>
    <t>-40 to 125</t>
  </si>
  <si>
    <t>4.9 x 6</t>
  </si>
  <si>
    <t>ACTIVE</t>
  </si>
  <si>
    <t>3A, 6V input, up to 97% efficiency, Synchronous Step Down Converter with DCS™ Control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</si>
  <si>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</si>
  <si>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</si>
  <si>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</si>
  <si>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</si>
  <si>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</si>
  <si>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</si>
  <si>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</si>
  <si>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</si>
  <si>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3A,2.5V to 6V input, up to 97% efficiency, Synchronous Step Down Converter with DCS™ Control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</si>
  <si>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</si>
  <si>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</si>
  <si>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</si>
  <si>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</si>
  <si>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</si>
  <si>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</si>
  <si>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</si>
  <si>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</si>
  <si>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3A,2.5V to 6V input, up to 97% efficiency, Synchronous Step Down Converter with DCS™ Control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</si>
  <si>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</si>
  <si>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</si>
  <si>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</si>
  <si>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</si>
  <si>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</si>
  <si>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</si>
  <si>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</si>
  <si>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</si>
  <si>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3A,2.5V to 6V input, up to 97% efficiency, Synchronous Step Down Converter with DCS™ Control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</si>
  <si>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</si>
  <si>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</si>
  <si>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</si>
  <si>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</si>
  <si>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</si>
  <si>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</si>
  <si>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</si>
  <si>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</si>
  <si>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Automotive 2.3V to 5.5V, 6MHz Fixed Frequency 800mA Buck Converter</t>
  </si>
  <si>
    <t>AC/DC &amp; DC/DC converters (integrated FET)</t>
  </si>
  <si>
    <t>Automotive</t>
  </si>
  <si>
    <t>Buck</t>
  </si>
  <si>
    <t>DSBGA</t>
  </si>
  <si>
    <t/>
  </si>
  <si>
    <t>-40 to 105</t>
  </si>
  <si>
    <t>1.4000000000000001 x 1.4000000000000001</t>
  </si>
  <si>
    <t>ACTIVE</t>
  </si>
  <si>
    <t>Automotive 1-A, low-dropout voltage regulator with enable</t>
  </si>
  <si>
    <t>Linear &amp; low-dropout (LDO) regulators</t>
  </si>
  <si>
    <t>Automotive</t>
  </si>
  <si>
    <t>SOT-223</t>
  </si>
  <si>
    <t/>
  </si>
  <si>
    <t>-40 to 125</t>
  </si>
  <si>
    <t>6.5 x 7.06</t>
  </si>
  <si>
    <t>ACTIVE</t>
  </si>
  <si>
    <t>Automotive transition-mode&amp;nbsp;interleaved PFC controller with improved audible noise immunity&lt;/</t>
  </si>
  <si>
    <t>AC/DC &amp; DC/DC controllers (external FET)</t>
  </si>
  <si>
    <t>Automotive</t>
  </si>
  <si>
    <t>Boost,PFC controller</t>
  </si>
  <si>
    <t>SOIC</t>
  </si>
  <si>
    <t/>
  </si>
  <si>
    <t>-40 to 125</t>
  </si>
  <si>
    <t>9.9 x 6</t>
  </si>
  <si>
    <t>ACTIVE</t>
  </si>
  <si>
    <t>1.2A High Efficient Step Down Converter in 2x2mm SON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</si>
  <si>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</si>
  <si>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</si>
  <si>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</si>
  <si>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</si>
  <si>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</si>
  <si>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</si>
  <si>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</si>
  <si>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</si>
  <si>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1-A, ultra-low-dropout voltage regulator with low-noise &amp; power good</t>
  </si>
  <si>
    <t>Linear &amp; low-dropout (LDO) regulators</t>
  </si>
  <si>
    <t>Catalog</t>
  </si>
  <si>
    <t>VQFN</t>
  </si>
  <si>
    <t/>
  </si>
  <si>
    <t>-40 to 125</t>
  </si>
  <si>
    <t>16,20</t>
  </si>
  <si>
    <t>9,25</t>
  </si>
  <si>
    <t>3 x 3,5 x 5</t>
  </si>
  <si>
    <t>0.5,0.65</t>
  </si>
  <si>
    <t>ACTIVE</t>
  </si>
  <si>
    <t>2-A, low-VIN (1.43-V), ultra-low-dropout voltage regulator with power good &amp; enable</t>
  </si>
  <si>
    <t>Linear &amp; low-dropout (LDO) regulators</t>
  </si>
  <si>
    <t>Catalog</t>
  </si>
  <si>
    <t>VQFN</t>
  </si>
  <si>
    <t/>
  </si>
  <si>
    <t>-40 to 125</t>
  </si>
  <si>
    <t>16,20</t>
  </si>
  <si>
    <t>9,25</t>
  </si>
  <si>
    <t>3 x 3,5 x 5</t>
  </si>
  <si>
    <t>0.5,0.65</t>
  </si>
  <si>
    <t>ACTIVE</t>
  </si>
  <si>
    <t>3-A, low-VIN (1.43-V), ultra-low-dropout voltage regulator with power good &amp; enable</t>
  </si>
  <si>
    <t>Linear &amp; low-dropout (LDO) regulators</t>
  </si>
  <si>
    <t>Catalog</t>
  </si>
  <si>
    <t>VQFN</t>
  </si>
  <si>
    <t/>
  </si>
  <si>
    <t>-40 to 125</t>
  </si>
  <si>
    <t>5 x 5</t>
  </si>
  <si>
    <t>ACTIVE</t>
  </si>
  <si>
    <t>Automotive high contrast 2-channel dimmable LED driver with boost converter and current regulator</t>
  </si>
  <si>
    <t>Automotive LED drivers</t>
  </si>
  <si>
    <t>Automotive</t>
  </si>
  <si>
    <t>Boost with Current Sink</t>
  </si>
  <si>
    <t>HTSSOP</t>
  </si>
  <si>
    <t/>
  </si>
  <si>
    <t>-40 to 125</t>
  </si>
  <si>
    <t>6.5 x 6.4</t>
  </si>
  <si>
    <t>ACTIVE</t>
  </si>
  <si>
    <t>3.5V to 42V Input, 0.5A Step-Down Converter with Eco-Mode</t>
  </si>
  <si>
    <t>AC/DC &amp; DC/DC converters (integrated FET)</t>
  </si>
  <si>
    <t>Catalog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</si>
  <si>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</si>
  <si>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</si>
  <si>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</si>
  <si>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</si>
  <si>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</si>
  <si>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</si>
  <si>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</si>
  <si>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</si>
  <si>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3.5V to 60V Input, 0.5A Step-Down Converter with Eco-Mode</t>
  </si>
  <si>
    <t>AC/DC &amp; DC/DC converters (integrated FET)</t>
  </si>
  <si>
    <t>Catalog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</si>
  <si>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</si>
  <si>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</si>
  <si>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</si>
  <si>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</si>
  <si>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</si>
  <si>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</si>
  <si>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</si>
  <si>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</si>
  <si>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Processor Core Supply with I2C Compatible Interface and Remote Sense</t>
  </si>
  <si>
    <t>AC/DC &amp; DC/DC converters (integrated FET)</t>
  </si>
  <si>
    <t>Catalog</t>
  </si>
  <si>
    <t>Buck</t>
  </si>
  <si>
    <t>DSBGA</t>
  </si>
  <si>
    <t/>
  </si>
  <si>
    <t>-40 to 85</t>
  </si>
  <si>
    <t>2.25 x 2.25</t>
  </si>
  <si>
    <t>ACTIVE</t>
  </si>
  <si>
    <t>Low-Noise 1A Power Supply with Integrated DC-DC Converter and Low-Dropout Regulator</t>
  </si>
  <si>
    <t>AC/DC &amp; DC/DC converters (integrated FET)</t>
  </si>
  <si>
    <t>Catalog</t>
  </si>
  <si>
    <t>Buck</t>
  </si>
  <si>
    <t>VQFN</t>
  </si>
  <si>
    <t/>
  </si>
  <si>
    <t>-40 to 125</t>
  </si>
  <si>
    <t>5.5 x 3.5</t>
  </si>
  <si>
    <t>ACTIVE</t>
  </si>
  <si>
    <t>2.95V to 6V Input, 3A Synchronous Step-Down Converter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</si>
  <si>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</si>
  <si>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</si>
  <si>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</si>
  <si>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</si>
  <si>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</si>
  <si>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</si>
  <si>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</si>
  <si>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</si>
  <si>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Two-phase Interleaved CCM PFC controller with Extended Frequency Range (10kHz to 300kHz)</t>
  </si>
  <si>
    <t>AC/DC &amp; DC/DC controllers (external FET)</t>
  </si>
  <si>
    <t>Catalog</t>
  </si>
  <si>
    <t>Boost,PFC controller</t>
  </si>
  <si>
    <t>TSSOP</t>
  </si>
  <si>
    <t/>
  </si>
  <si>
    <t>-40 to 125</t>
  </si>
  <si>
    <t>6.5 x 6.4</t>
  </si>
  <si>
    <t>ACTIVE</t>
  </si>
  <si>
    <t>high contrast 2-channel individual dimmable LED driver with boost converter and current regulator</t>
  </si>
  <si>
    <t>Illumination  LED drivers</t>
  </si>
  <si>
    <t>Catalog</t>
  </si>
  <si>
    <t>Boost,Boost with Current Sink,Multi-Channel</t>
  </si>
  <si>
    <t>HTSSOP</t>
  </si>
  <si>
    <t/>
  </si>
  <si>
    <t>-40 to 125</t>
  </si>
  <si>
    <t>6.5 x 6.4</t>
  </si>
  <si>
    <t>ACTIVE</t>
  </si>
  <si>
    <t>2-ch, 1A loading, 4.5-5.5V, 70mΩ USB power switch, active-low, output discharge, reverse blocking</t>
  </si>
  <si>
    <t>USB power switches &amp; charging port controllers</t>
  </si>
  <si>
    <t>Catalog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</si>
  <si>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</si>
  <si>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</si>
  <si>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</si>
  <si>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</si>
  <si>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</si>
  <si>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</si>
  <si>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</si>
  <si>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</si>
  <si>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2-ch, 1A loading, 4.5-5.5V, 70mΩ USB power switch, active-high, output discharge, reverse blocking</t>
  </si>
  <si>
    <t>USB power switches &amp; charging port controllers</t>
  </si>
  <si>
    <t>Catalog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</si>
  <si>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</si>
  <si>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</si>
  <si>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</si>
  <si>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</si>
  <si>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</si>
  <si>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</si>
  <si>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</si>
  <si>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</si>
  <si>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4-A/4-A single-channel gate driver with 5-V UVLO and 13-ns prop delay in SOT-23 package</t>
  </si>
  <si>
    <t>Low-side drivers</t>
  </si>
  <si>
    <t>Catalog</t>
  </si>
  <si>
    <t>SOT-23</t>
  </si>
  <si>
    <t/>
  </si>
  <si>
    <t>-40 to 140</t>
  </si>
  <si>
    <t>2.9 x 2.8</t>
  </si>
  <si>
    <t>ACTIVE</t>
  </si>
  <si>
    <t>LM3556 1.5A Inductive white LED Camera flash Device</t>
  </si>
  <si>
    <t>Illumination  LED drivers</t>
  </si>
  <si>
    <t>Catalog</t>
  </si>
  <si>
    <t>Boost,current mode</t>
  </si>
  <si>
    <t>DSBGA</t>
  </si>
  <si>
    <t/>
  </si>
  <si>
    <t>-40 to 85</t>
  </si>
  <si>
    <t>1.8 x 1.8</t>
  </si>
  <si>
    <t>ACTIVE</t>
  </si>
  <si>
    <t>Dual 2 A, automotive-qualified, high-efficiency synchronous DC/DC converter</t>
  </si>
  <si>
    <t>AC/DC &amp; DC/DC converters (integrated FET)</t>
  </si>
  <si>
    <t>Automotive</t>
  </si>
  <si>
    <t>Buck</t>
  </si>
  <si>
    <t>HTSSOP,WQFN</t>
  </si>
  <si>
    <t>Functional Safety-Capable</t>
  </si>
  <si>
    <t>-40 to 125</t>
  </si>
  <si>
    <t>16,20</t>
  </si>
  <si>
    <t>16,41.6</t>
  </si>
  <si>
    <t>4 x 4,6.5 x 6.4</t>
  </si>
  <si>
    <t>0.8,1.2</t>
  </si>
  <si>
    <t>ACTIVE</t>
  </si>
  <si>
    <t>Power Management IC (PMIC) with 4DC/DCs, 10 LDOs, 3 LED outputs &amp; 32kHz RC oscillator</t>
  </si>
  <si>
    <t>Multi-channel ICs (PMICs)</t>
  </si>
  <si>
    <t>Catalog</t>
  </si>
  <si>
    <t>DSBGA</t>
  </si>
  <si>
    <t/>
  </si>
  <si>
    <t>-40 to 85</t>
  </si>
  <si>
    <t>4 x 4</t>
  </si>
  <si>
    <t>ACTIVE</t>
  </si>
  <si>
    <t>25-V, N channel NexFET™ power MOSFET, single SON 5 mm x 6 mm, 5.5 mOhm</t>
  </si>
  <si>
    <t>MOSFETs</t>
  </si>
  <si>
    <t>Catalog</t>
  </si>
  <si>
    <t>VSONP</t>
  </si>
  <si>
    <t/>
  </si>
  <si>
    <t>-55 to 150</t>
  </si>
  <si>
    <t>4.9 x 6</t>
  </si>
  <si>
    <t>ACTIVE</t>
  </si>
  <si>
    <t>3.3-V/5-V Input, D-CAP+&amp;trade; Mode Synchronous Step-Down Integrated FETs Converter with 2-Bit VID</t>
  </si>
  <si>
    <t>AC/DC &amp; DC/DC converters (integrated FET)</t>
  </si>
  <si>
    <t>Catalog</t>
  </si>
  <si>
    <t>Buck</t>
  </si>
  <si>
    <t>VQFN</t>
  </si>
  <si>
    <t/>
  </si>
  <si>
    <t>-40 to 85</t>
  </si>
  <si>
    <t>4 x 4</t>
  </si>
  <si>
    <t>ACTIVE</t>
  </si>
  <si>
    <t>Dual Channel (3-Phase CPU / 2-Phase GPU) SVID, D-CAP+TM Step-Down Controller</t>
  </si>
  <si>
    <t>AC/DC &amp; DC/DC controllers (external FET)</t>
  </si>
  <si>
    <t>Catalog</t>
  </si>
  <si>
    <t>Multiphase</t>
  </si>
  <si>
    <t>VQFN</t>
  </si>
  <si>
    <t/>
  </si>
  <si>
    <t>-40 to 105</t>
  </si>
  <si>
    <t>6 x 6</t>
  </si>
  <si>
    <t>ACTIVE</t>
  </si>
  <si>
    <t>1.2A High Efficient Step Down Converter in 2x2mm SON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</si>
  <si>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</si>
  <si>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</si>
  <si>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</si>
  <si>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</si>
  <si>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</si>
  <si>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</si>
  <si>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</si>
  <si>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</si>
  <si>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Power Management IC (PMIC) w/ 3 DC/DCs, 4 LDOs, linear battery charger &amp; white LED driver</t>
  </si>
  <si>
    <t>Multi-channel ICs (PMICs)</t>
  </si>
  <si>
    <t>Catalog</t>
  </si>
  <si>
    <t>VQFN</t>
  </si>
  <si>
    <t/>
  </si>
  <si>
    <t>-40 to 105</t>
  </si>
  <si>
    <t>6 x 6</t>
  </si>
  <si>
    <t>ACTIVE</t>
  </si>
  <si>
    <t>4-A/8-A single-channel gate driver with 5-V UVLO, split outputs, and 13-ns Prop delay</t>
  </si>
  <si>
    <t>Low-side drivers</t>
  </si>
  <si>
    <t>Catalog</t>
  </si>
  <si>
    <t>SOT-23</t>
  </si>
  <si>
    <t/>
  </si>
  <si>
    <t>-40 to 140</t>
  </si>
  <si>
    <t>2.9 x 2.8</t>
  </si>
  <si>
    <t>ACTIVE</t>
  </si>
  <si>
    <t>Programmable Maximum Power Point Tracking Controller with Adjustable PWM Frequency</t>
  </si>
  <si>
    <t>AC/DC &amp; DC/DC controllers (external FET)</t>
  </si>
  <si>
    <t>Catalog</t>
  </si>
  <si>
    <t>Buck-Boost</t>
  </si>
  <si>
    <t>TSSOP</t>
  </si>
  <si>
    <t/>
  </si>
  <si>
    <t>-40 to 125</t>
  </si>
  <si>
    <t>9.7 x 6.4</t>
  </si>
  <si>
    <t>ACTIVE</t>
  </si>
  <si>
    <t>3-17V 3A Step-Down Converter in 3x3 QFN Package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</si>
  <si>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</si>
  <si>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</si>
  <si>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</si>
  <si>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</si>
  <si>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</si>
  <si>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</si>
  <si>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</si>
  <si>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</si>
  <si>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4-17V 1A Step-Down Converter with DCS-Control&amp;trade;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</si>
  <si>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</si>
  <si>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</si>
  <si>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</si>
  <si>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</si>
  <si>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</si>
  <si>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</si>
  <si>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</si>
  <si>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</si>
  <si>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USB charging port controller and 2.5A power switch with load detection</t>
  </si>
  <si>
    <t>USB power switches &amp; charging port controllers</t>
  </si>
  <si>
    <t>Catalog</t>
  </si>
  <si>
    <t>WQFN</t>
  </si>
  <si>
    <t/>
  </si>
  <si>
    <t>-40 to 125</t>
  </si>
  <si>
    <t>3 x 3</t>
  </si>
  <si>
    <t>ACTIVE</t>
  </si>
  <si>
    <t>Off-line primary side sensing LED driver with PFC</t>
  </si>
  <si>
    <t>Illumination  LED drivers</t>
  </si>
  <si>
    <t>Catalog</t>
  </si>
  <si>
    <t>Buck,Flyback</t>
  </si>
  <si>
    <t>VSSOP</t>
  </si>
  <si>
    <t/>
  </si>
  <si>
    <t>-40 to 125</t>
  </si>
  <si>
    <t>3 x 4.9</t>
  </si>
  <si>
    <t>ACTIVE</t>
  </si>
  <si>
    <t>Fully integrated Power Management IC (PMIC) with power path and battery charger</t>
  </si>
  <si>
    <t>Multi-channel ICs (PMICs)</t>
  </si>
  <si>
    <t>Catalog</t>
  </si>
  <si>
    <t>DSBGA</t>
  </si>
  <si>
    <t/>
  </si>
  <si>
    <t>-40 to 85</t>
  </si>
  <si>
    <t>5.6 x 5.6</t>
  </si>
  <si>
    <t>PREVIEW</t>
  </si>
  <si>
    <t>-20-V, P channel NexFET™ power MOSFET, single WLP 1 mm x 1.5 mm, 33 mOhm, gate ESD protection</t>
  </si>
  <si>
    <t>MOSFETs</t>
  </si>
  <si>
    <t>Catalog</t>
  </si>
  <si>
    <t>DSBGA</t>
  </si>
  <si>
    <t/>
  </si>
  <si>
    <t>-55 to 150</t>
  </si>
  <si>
    <t>1.75 x 1.25</t>
  </si>
  <si>
    <t>ACTIVE</t>
  </si>
  <si>
    <t>5.5-V to 24-V, dual-synchronous buck controller with 5-V and 3.3-V LDOs</t>
  </si>
  <si>
    <t>AC/DC &amp; DC/DC controllers (external FET)</t>
  </si>
  <si>
    <t>Catalog</t>
  </si>
  <si>
    <t>Buck</t>
  </si>
  <si>
    <t>WQFN</t>
  </si>
  <si>
    <t/>
  </si>
  <si>
    <t>-40 to 85</t>
  </si>
  <si>
    <t>3 x 3</t>
  </si>
  <si>
    <t>ACTIVE</t>
  </si>
  <si>
    <t>5.5-V to 24-V, dual-synchronous buck controller with Out-of-Audio™ mode</t>
  </si>
  <si>
    <t>AC/DC &amp; DC/DC controllers (external FET)</t>
  </si>
  <si>
    <t>Catalog</t>
  </si>
  <si>
    <t>Buck</t>
  </si>
  <si>
    <t>WQFN</t>
  </si>
  <si>
    <t/>
  </si>
  <si>
    <t>-40 to 85</t>
  </si>
  <si>
    <t>3 x 3</t>
  </si>
  <si>
    <t>ACTIVE</t>
  </si>
  <si>
    <t>7.5-100V Wide Vin, 600mA Integrated Secondary Bias Regulator for Isolated DC/DC Converters</t>
  </si>
  <si>
    <t>AC/DC &amp; DC/DC converters (integrated FET)</t>
  </si>
  <si>
    <t>Catalog</t>
  </si>
  <si>
    <t>Buck,Flybuck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</si>
  <si>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</si>
  <si>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</si>
  <si>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</si>
  <si>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</si>
  <si>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</si>
  <si>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</si>
  <si>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</si>
  <si>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</si>
  <si>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7.6-A/1.3-A single channel gate driver with 4-V UVLO and split outputs</t>
  </si>
  <si>
    <t>Low-side drivers</t>
  </si>
  <si>
    <t>Catalog</t>
  </si>
  <si>
    <t>SOT-23,WSON</t>
  </si>
  <si>
    <t/>
  </si>
  <si>
    <t>-40 to 125</t>
  </si>
  <si>
    <t>8.12,9</t>
  </si>
  <si>
    <t>2.9 x 2.8,3 x 3</t>
  </si>
  <si>
    <t>0.8,1.45</t>
  </si>
  <si>
    <t>ACTIVE</t>
  </si>
  <si>
    <t>7.5-100V Wide Vin, 600mA Constant On-Time Synchronous Buck Regulator</t>
  </si>
  <si>
    <t>AC/DC &amp; DC/DC converters (integrated FET)</t>
  </si>
  <si>
    <t>Catalog</t>
  </si>
  <si>
    <t>Buck,Flybuck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</si>
  <si>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</si>
  <si>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</si>
  <si>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</si>
  <si>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</si>
  <si>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</si>
  <si>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</si>
  <si>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</si>
  <si>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</si>
  <si>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LCD Bias Solution with Level Shifters for GOA Panels</t>
  </si>
  <si>
    <t>LCD &amp; OLED display power &amp; drivers</t>
  </si>
  <si>
    <t>Catalog</t>
  </si>
  <si>
    <t>Boost</t>
  </si>
  <si>
    <t>VQFN</t>
  </si>
  <si>
    <t/>
  </si>
  <si>
    <t>-40 to 85</t>
  </si>
  <si>
    <t>5 x 5</t>
  </si>
  <si>
    <t>ACTIVE</t>
  </si>
  <si>
    <t>500-mA, High-Efficiency MicroSiP™ Step-Down Converter (Profile &lt;1mm). Vout=2.5V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</si>
  <si>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</si>
  <si>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</si>
  <si>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</si>
  <si>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</si>
  <si>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</si>
  <si>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</si>
  <si>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</si>
  <si>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</si>
  <si>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12-channel, 16-bit, ES-PWM RGB LED driver with 3.3V Linear Regulator and Watchdog Timer</t>
  </si>
  <si>
    <t>RGB LED drivers</t>
  </si>
  <si>
    <t>Catalog</t>
  </si>
  <si>
    <t>HTSSOP</t>
  </si>
  <si>
    <t/>
  </si>
  <si>
    <t>-40 to 85</t>
  </si>
  <si>
    <t>6.5 x 6.4</t>
  </si>
  <si>
    <t>ACTIVE</t>
  </si>
  <si>
    <t>600-mA, High-Efficiency MicroSiP&amp;trade; Step-Down Converter Module (Profile &lt;1.0mm)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</si>
  <si>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</si>
  <si>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</si>
  <si>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</si>
  <si>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</si>
  <si>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</si>
  <si>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</si>
  <si>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</si>
  <si>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</si>
  <si>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Dual Channel (3-Phase CPU / 2-Phase GPU) SVID, D-CAP+ Step-Down Controller for IMVP-7 Vcore</t>
  </si>
  <si>
    <t>AC/DC &amp; DC/DC controllers (external FET)</t>
  </si>
  <si>
    <t>Catalog</t>
  </si>
  <si>
    <t>Multiphase</t>
  </si>
  <si>
    <t>VQFN</t>
  </si>
  <si>
    <t/>
  </si>
  <si>
    <t>-10 to 105</t>
  </si>
  <si>
    <t>6 x 6</t>
  </si>
  <si>
    <t>ACTIVE</t>
  </si>
  <si>
    <t>2-A, adjustable ultra-low-dropout voltage regulator with enable</t>
  </si>
  <si>
    <t>Linear &amp; low-dropout (LDO) regulators</t>
  </si>
  <si>
    <t>Catalog</t>
  </si>
  <si>
    <t>HSOIC</t>
  </si>
  <si>
    <t/>
  </si>
  <si>
    <t>-40 to 125</t>
  </si>
  <si>
    <t>4.9 x 6</t>
  </si>
  <si>
    <t>ACTIVE</t>
  </si>
  <si>
    <t>Dual channel SVID, D-CAP+; step down commercial grade controller for IMVP-7 Vcore with 0V VBoot</t>
  </si>
  <si>
    <t>AC/DC &amp; DC/DC controllers (external FET)</t>
  </si>
  <si>
    <t>Catalog</t>
  </si>
  <si>
    <t>Multiphase</t>
  </si>
  <si>
    <t>VQFN</t>
  </si>
  <si>
    <t/>
  </si>
  <si>
    <t>-10 to 105</t>
  </si>
  <si>
    <t>6 x 6</t>
  </si>
  <si>
    <t>ACTIVE</t>
  </si>
  <si>
    <t>Dual channel SVID, D-CAP+; step down industrial grade controller for IMVP-7 Vcore with 0V VBoot</t>
  </si>
  <si>
    <t>AC/DC &amp; DC/DC controllers (external FET)</t>
  </si>
  <si>
    <t>Catalog</t>
  </si>
  <si>
    <t>Multiphase</t>
  </si>
  <si>
    <t>VQFN</t>
  </si>
  <si>
    <t/>
  </si>
  <si>
    <t>-40 to 105</t>
  </si>
  <si>
    <t>6 x 6</t>
  </si>
  <si>
    <t>ACTIVE</t>
  </si>
  <si>
    <t>600mA, High-Efficiency MicroSiP&amp;trade; Step-Down Converter Module (Profile &lt;1.0mm).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</si>
  <si>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</si>
  <si>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</si>
  <si>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</si>
  <si>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</si>
  <si>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</si>
  <si>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</si>
  <si>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</si>
  <si>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</si>
  <si>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High Current Step Down DC/DC converter for 2G/3G/4G Power Amplifiers</t>
  </si>
  <si>
    <t>AC/DC &amp; DC/DC converters (integrated FET)</t>
  </si>
  <si>
    <t>Catalog</t>
  </si>
  <si>
    <t>Buck</t>
  </si>
  <si>
    <t>DSBGA</t>
  </si>
  <si>
    <t/>
  </si>
  <si>
    <t>-30 to 90</t>
  </si>
  <si>
    <t>1.8 x 1.8</t>
  </si>
  <si>
    <t>ACTIVE</t>
  </si>
  <si>
    <t>High Current Step Down DC/DC converter for 2G/3G/4G Power Amplifiers</t>
  </si>
  <si>
    <t>AC/DC &amp; DC/DC converters (integrated FET)</t>
  </si>
  <si>
    <t>Catalog</t>
  </si>
  <si>
    <t>Buck</t>
  </si>
  <si>
    <t>DSBGA</t>
  </si>
  <si>
    <t/>
  </si>
  <si>
    <t>-30 to 90</t>
  </si>
  <si>
    <t>1.8 x 1.8</t>
  </si>
  <si>
    <t>ACTIVE</t>
  </si>
  <si>
    <t>8-Channel High Quality Low-Power Audio Codec For Portable Applications</t>
  </si>
  <si>
    <t>Multi-channel ICs (PMICs)</t>
  </si>
  <si>
    <t>Catalog</t>
  </si>
  <si>
    <t>DSBGA</t>
  </si>
  <si>
    <t/>
  </si>
  <si>
    <t>-40 to 85</t>
  </si>
  <si>
    <t>4 x 4</t>
  </si>
  <si>
    <t>ACTIVE</t>
  </si>
  <si>
    <t>12-Rail Sequencer and System Health Monitor with Fan Control and ACPI Support</t>
  </si>
  <si>
    <t>Sequencers</t>
  </si>
  <si>
    <t>Catalog</t>
  </si>
  <si>
    <t>VQFN</t>
  </si>
  <si>
    <t/>
  </si>
  <si>
    <t>-40 to 125</t>
  </si>
  <si>
    <t>9 x 9</t>
  </si>
  <si>
    <t>ACTIVE</t>
  </si>
  <si>
    <t>5.5-V to 24-V, dual-synchronous buck controller with VREG5 always-on LDO</t>
  </si>
  <si>
    <t>AC/DC &amp; DC/DC controllers (external FET)</t>
  </si>
  <si>
    <t>Catalog</t>
  </si>
  <si>
    <t>Buck</t>
  </si>
  <si>
    <t>WQFN</t>
  </si>
  <si>
    <t/>
  </si>
  <si>
    <t>-40 to 85</t>
  </si>
  <si>
    <t>3 x 3</t>
  </si>
  <si>
    <t>ACTIVE</t>
  </si>
  <si>
    <t>Dual Output or Multiphase Synchronous Buck Controller with PMBus</t>
  </si>
  <si>
    <t>AC/DC &amp; DC/DC controllers (external FET)</t>
  </si>
  <si>
    <t>Catalog</t>
  </si>
  <si>
    <t>Multiphase</t>
  </si>
  <si>
    <t>VQFN,WQFN</t>
  </si>
  <si>
    <t/>
  </si>
  <si>
    <t>-40 to 125</t>
  </si>
  <si>
    <t>25,36</t>
  </si>
  <si>
    <t>5 x 5,6 x 6</t>
  </si>
  <si>
    <t>0.8,1</t>
  </si>
  <si>
    <t>0.4,0.5</t>
  </si>
  <si>
    <t>ACTIVE</t>
  </si>
  <si>
    <t>Fully Integrated Power Management IC (PMIC) with Power Path and Battery Charger</t>
  </si>
  <si>
    <t>Multi-channel ICs (PMICs)</t>
  </si>
  <si>
    <t>Catalog</t>
  </si>
  <si>
    <t>DSBGA</t>
  </si>
  <si>
    <t/>
  </si>
  <si>
    <t>-40 to 85</t>
  </si>
  <si>
    <t>5.6 x 5.6</t>
  </si>
  <si>
    <t>ACTIVE</t>
  </si>
  <si>
    <t>Synchronous 1MHz 2.5A Step-Down Voltage  Regulator</t>
  </si>
  <si>
    <t>AC/DC &amp; DC/DC converters (integrated FET)</t>
  </si>
  <si>
    <t>Automotive</t>
  </si>
  <si>
    <t>Buck</t>
  </si>
  <si>
    <t>HTSSOP</t>
  </si>
  <si>
    <t/>
  </si>
  <si>
    <t>-40 to 125</t>
  </si>
  <si>
    <t>6.5 x 6.4</t>
  </si>
  <si>
    <t>ACTIVE</t>
  </si>
  <si>
    <t>2.7MHz, 2.5A Step-Down DC-DC Converter with Analog Bypass Mode for 2G/3G/4G PAs</t>
  </si>
  <si>
    <t>AC/DC &amp; DC/DC converters (integrated FET)</t>
  </si>
  <si>
    <t>Catalog</t>
  </si>
  <si>
    <t>Buck</t>
  </si>
  <si>
    <t>DSBGA</t>
  </si>
  <si>
    <t/>
  </si>
  <si>
    <t>-30 to 90</t>
  </si>
  <si>
    <t>1.8 x 1.8</t>
  </si>
  <si>
    <t>ACTIVE</t>
  </si>
  <si>
    <t>100-mA, 60-V, ultra-low-IQ, low-dropout (LDO) voltage regulator with power good and enable</t>
  </si>
  <si>
    <t>Linear &amp; low-dropout (LDO) regulators</t>
  </si>
  <si>
    <t>Catalog</t>
  </si>
  <si>
    <t>HVSSOP,VSON</t>
  </si>
  <si>
    <t/>
  </si>
  <si>
    <t>-40 to 125</t>
  </si>
  <si>
    <t>9,14.7</t>
  </si>
  <si>
    <t>3 x 3,3 x 4.9</t>
  </si>
  <si>
    <t>1,1.1</t>
  </si>
  <si>
    <t>ACTIVE</t>
  </si>
  <si>
    <t>3-V to 28-V, 20-A, synchronous D-CAP buck controller with Eco Mode</t>
  </si>
  <si>
    <t>AC/DC &amp; DC/DC controllers (external FET)</t>
  </si>
  <si>
    <t>Catalog</t>
  </si>
  <si>
    <t>Buck</t>
  </si>
  <si>
    <t>VQFN</t>
  </si>
  <si>
    <t/>
  </si>
  <si>
    <t>-40 to 85</t>
  </si>
  <si>
    <t>3 x 3</t>
  </si>
  <si>
    <t>ACTIVE</t>
  </si>
  <si>
    <t>Automotive 300-mA, high-PSRR, low-IQ, low-dropout voltage regulator with enable for 1.8 V</t>
  </si>
  <si>
    <t>Linear &amp; low-dropout (LDO) regulators</t>
  </si>
  <si>
    <t>Automotive</t>
  </si>
  <si>
    <t>SOT-23-THN</t>
  </si>
  <si>
    <t>Functional Safety-Capable</t>
  </si>
  <si>
    <t>-40 to 125</t>
  </si>
  <si>
    <t>2.9 x 2.8</t>
  </si>
  <si>
    <t>ACTIVE</t>
  </si>
  <si>
    <t>3.3-V/5-V Input, D-CAP+&amp;trade; Mode Synchronous Step-Down Integrated FETs Converter With 2-Bit VID</t>
  </si>
  <si>
    <t>AC/DC &amp; DC/DC converters (integrated FET)</t>
  </si>
  <si>
    <t>Catalog</t>
  </si>
  <si>
    <t>Buck</t>
  </si>
  <si>
    <t>VQFN</t>
  </si>
  <si>
    <t/>
  </si>
  <si>
    <t>-40 to 85</t>
  </si>
  <si>
    <t>4 x 4</t>
  </si>
  <si>
    <t>ACTIVE</t>
  </si>
  <si>
    <t>Automotive high brightness White LED driver</t>
  </si>
  <si>
    <t>Backlight LED drivers,Automotive LED drivers</t>
  </si>
  <si>
    <t>Automotive</t>
  </si>
  <si>
    <t>Boost</t>
  </si>
  <si>
    <t>SOT-23</t>
  </si>
  <si>
    <t/>
  </si>
  <si>
    <t>-40 to 105</t>
  </si>
  <si>
    <t>2.9 x 2.8</t>
  </si>
  <si>
    <t>ACTIVE</t>
  </si>
  <si>
    <t>5.5-V, 1.8-A, 115-mΩ load switch with output discharge</t>
  </si>
  <si>
    <t>Load switches</t>
  </si>
  <si>
    <t>Catalog</t>
  </si>
  <si>
    <t>SOT-23</t>
  </si>
  <si>
    <t/>
  </si>
  <si>
    <t>-40 to 85</t>
  </si>
  <si>
    <t>2.9 x 2.8</t>
  </si>
  <si>
    <t>ACTIVE</t>
  </si>
  <si>
    <t>Automotive 2-ch, 0.25-2.8A adj. ILIMIT,  2.5-6.5V, 44mΩ USB power switch, active-high</t>
  </si>
  <si>
    <t>USB power switches &amp; charging port controllers</t>
  </si>
  <si>
    <t>Automotive</t>
  </si>
  <si>
    <t>VSON</t>
  </si>
  <si>
    <t/>
  </si>
  <si>
    <t>-40 to 125</t>
  </si>
  <si>
    <t>3 x 3</t>
  </si>
  <si>
    <t>ACTIVE</t>
  </si>
  <si>
    <t>18.5-V, 3.2-A, 650-kHz, 1.2-MHz step-up DC/DC converter with forced PWM mode, AEC-Q100 qualified</t>
  </si>
  <si>
    <t>AC/DC &amp; DC/DC converters (integrated FET)</t>
  </si>
  <si>
    <t>Automotive</t>
  </si>
  <si>
    <t>Boost</t>
  </si>
  <si>
    <t>VSON</t>
  </si>
  <si>
    <t>Functional Safety-Capable</t>
  </si>
  <si>
    <t>-40 to 125</t>
  </si>
  <si>
    <t>3 x 3</t>
  </si>
  <si>
    <t>ACTIVE</t>
  </si>
  <si>
    <t>Automotive 2V to 6V, 500mA Buck Converter with 1.8V Fixed Output Voltage in 1x1.5mm SON Package</t>
  </si>
  <si>
    <t>AC/DC &amp; DC/DC converters (integrated FET)</t>
  </si>
  <si>
    <t>Automotive</t>
  </si>
  <si>
    <t>Buck</t>
  </si>
  <si>
    <t>USON</t>
  </si>
  <si>
    <t/>
  </si>
  <si>
    <t>-40 to 105</t>
  </si>
  <si>
    <t>1.45 x 1</t>
  </si>
  <si>
    <t>ACTIVE</t>
  </si>
  <si>
    <t>Automotive 2V to 6V, 500mA Buck Converter with 1.5V Fixed Output Voltage in 1x1.5mm SON Package</t>
  </si>
  <si>
    <t>AC/DC &amp; DC/DC converters (integrated FET)</t>
  </si>
  <si>
    <t>Automotive</t>
  </si>
  <si>
    <t>Buck</t>
  </si>
  <si>
    <t>USON</t>
  </si>
  <si>
    <t/>
  </si>
  <si>
    <t>-40 to 105</t>
  </si>
  <si>
    <t>1.45 x 1</t>
  </si>
  <si>
    <t>ACTIVE</t>
  </si>
  <si>
    <t>2.5V to 12V input voltage, 93% Efficient, 2.25A Switch Current Limit, Buck-Boost Converter</t>
  </si>
  <si>
    <t>AC/DC &amp; DC/DC converters (integrated FET)</t>
  </si>
  <si>
    <t>Catalog</t>
  </si>
  <si>
    <t>Buck-Boost</t>
  </si>
  <si>
    <t>WSON</t>
  </si>
  <si>
    <t/>
  </si>
  <si>
    <t>-40 to 125</t>
  </si>
  <si>
    <t>3 x 3</t>
  </si>
  <si>
    <t>ACTIVE</t>
  </si>
  <si>
    <t>2.5V to 12V input voltage, 93% Efficient, 2.25A Switch Current Limit, Buck-Boost Converter</t>
  </si>
  <si>
    <t>AC/DC &amp; DC/DC converters (integrated FET)</t>
  </si>
  <si>
    <t>Catalog</t>
  </si>
  <si>
    <t>Buck-Boost</t>
  </si>
  <si>
    <t>WSON</t>
  </si>
  <si>
    <t/>
  </si>
  <si>
    <t>-40 to 125</t>
  </si>
  <si>
    <t>3 x 3</t>
  </si>
  <si>
    <t>ACTIVE</t>
  </si>
  <si>
    <t>Automotive 250-mA, low-IQ, low-dropout voltage regulator with enable</t>
  </si>
  <si>
    <t>Linear &amp; low-dropout (LDO) regulators</t>
  </si>
  <si>
    <t>Automotive</t>
  </si>
  <si>
    <t>SOT-23-THN</t>
  </si>
  <si>
    <t/>
  </si>
  <si>
    <t>-40 to 105</t>
  </si>
  <si>
    <t>2.9 x 2.8</t>
  </si>
  <si>
    <t>ACTIVE</t>
  </si>
  <si>
    <t>25-V, N channel NexFET™ power MOSFET, single SON 3 mm x 3 mm, 4.8 mOhm</t>
  </si>
  <si>
    <t>MOSFETs</t>
  </si>
  <si>
    <t>Catalog</t>
  </si>
  <si>
    <t>VSON-CLIP</t>
  </si>
  <si>
    <t/>
  </si>
  <si>
    <t>-55 to 150</t>
  </si>
  <si>
    <t>3.3 x 3.3</t>
  </si>
  <si>
    <t>ACTIVE</t>
  </si>
  <si>
    <t>480kHz 1.5V to 40V, 1A buck-boost converter with 5V Fixed output Voltage, AEC-Q100 qualified</t>
  </si>
  <si>
    <t>AC/DC &amp; DC/DC converters (integrated FET)</t>
  </si>
  <si>
    <t>Automotive</t>
  </si>
  <si>
    <t>Buck-Boost</t>
  </si>
  <si>
    <t>HTSSOP</t>
  </si>
  <si>
    <t/>
  </si>
  <si>
    <t>-40 to 125</t>
  </si>
  <si>
    <t>6.5 x 6.4</t>
  </si>
  <si>
    <t>ACTIVE</t>
  </si>
  <si>
    <t>Automotive 4-A, 27-V half bridge gate driver with 4-V UVLO for synchronous rectification</t>
  </si>
  <si>
    <t>Half-bridge drivers</t>
  </si>
  <si>
    <t>Automotive</t>
  </si>
  <si>
    <t>SOIC,VSON</t>
  </si>
  <si>
    <t/>
  </si>
  <si>
    <t>-40 to 105</t>
  </si>
  <si>
    <t>9,29.4</t>
  </si>
  <si>
    <t>3 x 3,4.9 x 6</t>
  </si>
  <si>
    <t>1,1.75</t>
  </si>
  <si>
    <t>0.65,1.27</t>
  </si>
  <si>
    <t>ACTIVE</t>
  </si>
  <si>
    <t>Automotive 4V to 40V dual synchronous buck controller, 2A buck converter, and 300mA LDO</t>
  </si>
  <si>
    <t>Multi-channel ICs (PMICs)</t>
  </si>
  <si>
    <t>Automotive</t>
  </si>
  <si>
    <t>HTQFP</t>
  </si>
  <si>
    <t/>
  </si>
  <si>
    <t>-40 to 125</t>
  </si>
  <si>
    <t>9 x 9</t>
  </si>
  <si>
    <t>ACTIVE</t>
  </si>
  <si>
    <t>High-Efficiency, 5-A Step-Down Regulator with Integrated Switcher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</si>
  <si>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</si>
  <si>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</si>
  <si>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</si>
  <si>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</si>
  <si>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</si>
  <si>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</si>
  <si>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</si>
  <si>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</si>
  <si>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3-42V Wide Vin, Current Mode Non-Synchronous Buck-Boost Controller</t>
  </si>
  <si>
    <t>AC/DC &amp; DC/DC controllers (external FET)</t>
  </si>
  <si>
    <t>Catalog</t>
  </si>
  <si>
    <t>Buck-Boost</t>
  </si>
  <si>
    <t>HTSSOP</t>
  </si>
  <si>
    <t/>
  </si>
  <si>
    <t>-40 to 125</t>
  </si>
  <si>
    <t>6.5 x 6.4</t>
  </si>
  <si>
    <t>ACTIVE</t>
  </si>
  <si>
    <t>Single Phase D-CAP and D-CAP2 Controller with 2-bit Flexible VID Controller</t>
  </si>
  <si>
    <t>AC/DC &amp; DC/DC controllers (external FET)</t>
  </si>
  <si>
    <t>Catalog</t>
  </si>
  <si>
    <t>Multiphase</t>
  </si>
  <si>
    <t>WQFN</t>
  </si>
  <si>
    <t/>
  </si>
  <si>
    <t>-10 to 105</t>
  </si>
  <si>
    <t>3 x 3</t>
  </si>
  <si>
    <t>ACTIVE</t>
  </si>
  <si>
    <t>1-A, high-PSRR, adjustable ultra-low-dropout voltage regulator with enable</t>
  </si>
  <si>
    <t>Linear &amp; low-dropout (LDO) regulators</t>
  </si>
  <si>
    <t>Catalog</t>
  </si>
  <si>
    <t>VSON</t>
  </si>
  <si>
    <t/>
  </si>
  <si>
    <t>-40 to 125</t>
  </si>
  <si>
    <t>3 x 3</t>
  </si>
  <si>
    <t>ACTIVE</t>
  </si>
  <si>
    <t>Thunderbolt Host/Peripheral Power Multiplexer</t>
  </si>
  <si>
    <t>Power muxes</t>
  </si>
  <si>
    <t>Catalog</t>
  </si>
  <si>
    <t>VQFN</t>
  </si>
  <si>
    <t/>
  </si>
  <si>
    <t>-40 to 85</t>
  </si>
  <si>
    <t>4 x 4</t>
  </si>
  <si>
    <t>ACTIVE</t>
  </si>
  <si>
    <t>Adjustable Micropower Low-Dropout Voltage Regulator</t>
  </si>
  <si>
    <t>Linear &amp; low-dropout (LDO) regulators</t>
  </si>
  <si>
    <t>Military</t>
  </si>
  <si>
    <t>CFP</t>
  </si>
  <si>
    <t/>
  </si>
  <si>
    <t>-55 to 125</t>
  </si>
  <si>
    <t>9.91 x 6.35</t>
  </si>
  <si>
    <t>ACTIVE</t>
  </si>
  <si>
    <t>150-mA 24-V ultra-low-IQ low-dropout voltage regulator for 3 V and 3.3 V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</si>
  <si>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</si>
  <si>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</si>
  <si>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</si>
  <si>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</si>
  <si>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</si>
  <si>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</si>
  <si>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</si>
  <si>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50-mA, 50-V, low-IQ, adjustable low-dropout voltage regulator with enable</t>
  </si>
  <si>
    <t>Linear &amp; low-dropout (LDO) regulators</t>
  </si>
  <si>
    <t>Catalog</t>
  </si>
  <si>
    <t>HVSSOP</t>
  </si>
  <si>
    <t/>
  </si>
  <si>
    <t>-40 to 125</t>
  </si>
  <si>
    <t>3 x 4.9</t>
  </si>
  <si>
    <t>ACTIVE</t>
  </si>
  <si>
    <t>50-mA, 28-V, low-IQ, adjustable low-dropout voltage regulator with enable</t>
  </si>
  <si>
    <t>Linear &amp; low-dropout (LDO) regulators</t>
  </si>
  <si>
    <t>Catalog</t>
  </si>
  <si>
    <t>HVSSOP</t>
  </si>
  <si>
    <t/>
  </si>
  <si>
    <t>-40 to 125</t>
  </si>
  <si>
    <t>3 x 4.9</t>
  </si>
  <si>
    <t>ACTIVE</t>
  </si>
  <si>
    <t>2.95-V to 14.5-V Input, 6-A Synchronous Buck, Integrated Power Solution</t>
  </si>
  <si>
    <t>Power modules (integrated inductor)</t>
  </si>
  <si>
    <t>Catalog</t>
  </si>
  <si>
    <t>Buck</t>
  </si>
  <si>
    <t>B1QFN</t>
  </si>
  <si>
    <t/>
  </si>
  <si>
    <t>-40 to 85</t>
  </si>
  <si>
    <t>15 x 9</t>
  </si>
  <si>
    <t>ACTIVE</t>
  </si>
  <si>
    <t>5-A/5-A dual-channel gate driver with 5-V UVLO, enable, and 1-ns delay Matching</t>
  </si>
  <si>
    <t>Low-side drivers</t>
  </si>
  <si>
    <t>Catalog</t>
  </si>
  <si>
    <t>HVSSOP,PDIP,SOIC,WSON</t>
  </si>
  <si>
    <t/>
  </si>
  <si>
    <t>-40 to 150</t>
  </si>
  <si>
    <t>9,14.7,29.4,92.5083</t>
  </si>
  <si>
    <t>3 x 3,3 x 4.9,4.9 x 6,9.81 x 9.43</t>
  </si>
  <si>
    <t>0.8,1.1,1.75,5.08</t>
  </si>
  <si>
    <t>0.65,1.27,2.54</t>
  </si>
  <si>
    <t>ACTIVE</t>
  </si>
  <si>
    <t>Advanced Power Management IC (PMIC)</t>
  </si>
  <si>
    <t>Multi-channel ICs (PMICs)</t>
  </si>
  <si>
    <t>Catalog</t>
  </si>
  <si>
    <t>NFBGA</t>
  </si>
  <si>
    <t>Functional Safety-Capable</t>
  </si>
  <si>
    <t>-40 to 85</t>
  </si>
  <si>
    <t>12 x 12</t>
  </si>
  <si>
    <t>ACTIVE</t>
  </si>
  <si>
    <t>2MHz, 600mA Step-Down DC-DC Converter</t>
  </si>
  <si>
    <t>AC/DC &amp; DC/DC converters (integrated FET)</t>
  </si>
  <si>
    <t>Automotive</t>
  </si>
  <si>
    <t>Buck</t>
  </si>
  <si>
    <t>DSBGA,SOT-23</t>
  </si>
  <si>
    <t/>
  </si>
  <si>
    <t>-40 to 125</t>
  </si>
  <si>
    <t>2.02,8.12</t>
  </si>
  <si>
    <t>1.616 x 1.25,2.9 x 2.8</t>
  </si>
  <si>
    <t>0.675,1.45</t>
  </si>
  <si>
    <t>0.5,0.95</t>
  </si>
  <si>
    <t>ACTIVE</t>
  </si>
  <si>
    <t>Automotive 2V to 40V Single Boost &amp; Dual Synchronous Buck Controller with Freq. Spread Spectrum</t>
  </si>
  <si>
    <t>Multi-channel ICs (PMICs)</t>
  </si>
  <si>
    <t>Automotive</t>
  </si>
  <si>
    <t>HTSSOP</t>
  </si>
  <si>
    <t/>
  </si>
  <si>
    <t>-40 to 125</t>
  </si>
  <si>
    <t>12.5 x 8.1</t>
  </si>
  <si>
    <t>ACTIVE</t>
  </si>
  <si>
    <t>4.5 V to 18 V input, dual 2 A output, synchronous step-down converter, with 1 ms fixed soft start</t>
  </si>
  <si>
    <t>AC/DC &amp; DC/DC converters (integrated FET)</t>
  </si>
  <si>
    <t>Catalog</t>
  </si>
  <si>
    <t>Buck</t>
  </si>
  <si>
    <t>HTSSOP,VQFN</t>
  </si>
  <si>
    <t/>
  </si>
  <si>
    <t>-40 to 85</t>
  </si>
  <si>
    <t>16,32</t>
  </si>
  <si>
    <t>4 x 4,5 x 6.4</t>
  </si>
  <si>
    <t>1,1.2</t>
  </si>
  <si>
    <t>ACTIVE</t>
  </si>
  <si>
    <t>4.5V to 18V Input, 4-A Synchronous Step-Down SWIFT™ Converter with Eco-mode™</t>
  </si>
  <si>
    <t>AC/DC &amp; DC/DC converters (integrated FET)</t>
  </si>
  <si>
    <t>Catalog</t>
  </si>
  <si>
    <t>Buck</t>
  </si>
  <si>
    <t>HSOIC,VSON</t>
  </si>
  <si>
    <t/>
  </si>
  <si>
    <t>-40 to 85</t>
  </si>
  <si>
    <t>8,10</t>
  </si>
  <si>
    <t>9,29.4</t>
  </si>
  <si>
    <t>3 x 3,4.9 x 6</t>
  </si>
  <si>
    <t>1,1.7</t>
  </si>
  <si>
    <t>0.5,1.27</t>
  </si>
  <si>
    <t>ACTIVE</t>
  </si>
  <si>
    <t>Automotive 2V to 40V low Iq single boost &amp; dual synchronous buck controller</t>
  </si>
  <si>
    <t>Multi-channel ICs (PMICs)</t>
  </si>
  <si>
    <t>Automotive</t>
  </si>
  <si>
    <t>HTSSOP</t>
  </si>
  <si>
    <t/>
  </si>
  <si>
    <t>-40 to 125</t>
  </si>
  <si>
    <t>12.5 x 8.1</t>
  </si>
  <si>
    <t>ACTIVE</t>
  </si>
  <si>
    <t>Automotive 2V to 40V Single Boost &amp; Dual Synchronous Buck Controller with Freq. Spread Spectrum</t>
  </si>
  <si>
    <t>Multi-channel ICs (PMICs)</t>
  </si>
  <si>
    <t>Automotive</t>
  </si>
  <si>
    <t>HTSSOP</t>
  </si>
  <si>
    <t/>
  </si>
  <si>
    <t>-40 to 125</t>
  </si>
  <si>
    <t>12.5 x 8.1</t>
  </si>
  <si>
    <t>ACTIVE</t>
  </si>
  <si>
    <t>40V Dual Synchronous Buck Controller</t>
  </si>
  <si>
    <t>Multi-channel ICs (PMICs)</t>
  </si>
  <si>
    <t>Automotive</t>
  </si>
  <si>
    <t>HTSSOP</t>
  </si>
  <si>
    <t/>
  </si>
  <si>
    <t>-40 to 125</t>
  </si>
  <si>
    <t>12.5 x 8.1</t>
  </si>
  <si>
    <t>ACTIVE</t>
  </si>
  <si>
    <t>40V Dual Synchronous Buck Controller with Frequency Spread Spectrum</t>
  </si>
  <si>
    <t>Multi-channel ICs (PMICs)</t>
  </si>
  <si>
    <t>Automotive</t>
  </si>
  <si>
    <t>HTSSOP</t>
  </si>
  <si>
    <t/>
  </si>
  <si>
    <t>-40 to 125</t>
  </si>
  <si>
    <t>12.5 x 8.1</t>
  </si>
  <si>
    <t>ACTIVE</t>
  </si>
  <si>
    <t>2.95-V to 6-V Input, 6-A synchronous buck, integrated power solution</t>
  </si>
  <si>
    <t>Power modules (integrated inductor)</t>
  </si>
  <si>
    <t>Catalog</t>
  </si>
  <si>
    <t>Buck,Step-Down Converter,Synchronous Buck</t>
  </si>
  <si>
    <t>B1QFN</t>
  </si>
  <si>
    <t/>
  </si>
  <si>
    <t>-40 to 125</t>
  </si>
  <si>
    <t>11 x 9</t>
  </si>
  <si>
    <t>ACTIVE</t>
  </si>
  <si>
    <t>4-A, 120-V half bridge gate driver with 8-V UVLO and TTL inputs</t>
  </si>
  <si>
    <t>Half-bridge drivers</t>
  </si>
  <si>
    <t>Catalog</t>
  </si>
  <si>
    <t>HSOIC,SOIC,VSON,WSON</t>
  </si>
  <si>
    <t/>
  </si>
  <si>
    <t>-40 to 150</t>
  </si>
  <si>
    <t>8,10</t>
  </si>
  <si>
    <t>16,29.4</t>
  </si>
  <si>
    <t>4 x 4,4.9 x 6</t>
  </si>
  <si>
    <t>0.8,1,1.7,1.75</t>
  </si>
  <si>
    <t>0.8,1.27</t>
  </si>
  <si>
    <t>ACTIVE</t>
  </si>
  <si>
    <t>3–17V 1A Step-Down Converter with DCS-Control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</si>
  <si>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</si>
  <si>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</si>
  <si>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</si>
  <si>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</si>
  <si>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</si>
  <si>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</si>
  <si>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</si>
  <si>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</si>
  <si>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3–17V 1A Step-Down Converter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</si>
  <si>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</si>
  <si>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</si>
  <si>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</si>
  <si>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</si>
  <si>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</si>
  <si>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</si>
  <si>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</si>
  <si>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</si>
  <si>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3–17V 1A Step-Down Converter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</si>
  <si>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</si>
  <si>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</si>
  <si>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</si>
  <si>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</si>
  <si>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</si>
  <si>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</si>
  <si>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</si>
  <si>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</si>
  <si>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3–17V 1A Step-Down Converter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</si>
  <si>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</si>
  <si>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</si>
  <si>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</si>
  <si>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</si>
  <si>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</si>
  <si>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</si>
  <si>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</si>
  <si>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</si>
  <si>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Multi-String LED current balancer for use with constant current power Supplies</t>
  </si>
  <si>
    <t>Illumination  LED drivers</t>
  </si>
  <si>
    <t>Catalog</t>
  </si>
  <si>
    <t>Current Sink,Multi-Channel</t>
  </si>
  <si>
    <t>HSOIC,TO-220</t>
  </si>
  <si>
    <t/>
  </si>
  <si>
    <t>-40 to 125</t>
  </si>
  <si>
    <t>7,8</t>
  </si>
  <si>
    <t>29.4,45.212</t>
  </si>
  <si>
    <t>10.16 x 4.45,4.9 x 6</t>
  </si>
  <si>
    <t>1.7,15.49</t>
  </si>
  <si>
    <t>ACTIVE</t>
  </si>
  <si>
    <t>4.5 V to 18 V input, dual 2 A output, synchronous step-down converter, with adjustable soft start</t>
  </si>
  <si>
    <t>AC/DC &amp; DC/DC converters (integrated FET)</t>
  </si>
  <si>
    <t>Catalog</t>
  </si>
  <si>
    <t>Buck</t>
  </si>
  <si>
    <t>HTSSOP,VQFN</t>
  </si>
  <si>
    <t/>
  </si>
  <si>
    <t>-40 to 85</t>
  </si>
  <si>
    <t>16,32</t>
  </si>
  <si>
    <t>4 x 4,5 x 6.4</t>
  </si>
  <si>
    <t>1,1.2</t>
  </si>
  <si>
    <t>ACTIVE</t>
  </si>
  <si>
    <t>4.5V to 18V Input, 4-A Synchronous Step-Down Converter</t>
  </si>
  <si>
    <t>AC/DC &amp; DC/DC converters (integrated FET)</t>
  </si>
  <si>
    <t>Catalog</t>
  </si>
  <si>
    <t>Buck</t>
  </si>
  <si>
    <t>HSOIC,VSON</t>
  </si>
  <si>
    <t/>
  </si>
  <si>
    <t>-40 to 85</t>
  </si>
  <si>
    <t>8,10</t>
  </si>
  <si>
    <t>9,29.4</t>
  </si>
  <si>
    <t>3 x 3,4.9 x 6</t>
  </si>
  <si>
    <t>1,1.7</t>
  </si>
  <si>
    <t>0.5,1.27</t>
  </si>
  <si>
    <t>ACTIVE</t>
  </si>
  <si>
    <t>3-17V 3A Step-Down Converter with DCS-Control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</si>
  <si>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</si>
  <si>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</si>
  <si>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</si>
  <si>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</si>
  <si>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</si>
  <si>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</si>
  <si>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</si>
  <si>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</si>
  <si>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3-17V 3A Step-Down Converter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</si>
  <si>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</si>
  <si>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</si>
  <si>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</si>
  <si>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</si>
  <si>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</si>
  <si>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</si>
  <si>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</si>
  <si>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</si>
  <si>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3-17V 3A Step-Down Converter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</si>
  <si>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</si>
  <si>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</si>
  <si>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</si>
  <si>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</si>
  <si>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</si>
  <si>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</si>
  <si>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</si>
  <si>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</si>
  <si>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3-17V 3A Step-Down Converter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</si>
  <si>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</si>
  <si>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</si>
  <si>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</si>
  <si>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</si>
  <si>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</si>
  <si>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</si>
  <si>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</si>
  <si>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</si>
  <si>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3–17V 2A Step-Down Converter with DCS-Control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</si>
  <si>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</si>
  <si>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</si>
  <si>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</si>
  <si>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</si>
  <si>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</si>
  <si>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</si>
  <si>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</si>
  <si>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</si>
  <si>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3–17V 2A Step-Down Converter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</si>
  <si>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</si>
  <si>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</si>
  <si>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</si>
  <si>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</si>
  <si>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</si>
  <si>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</si>
  <si>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</si>
  <si>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</si>
  <si>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3–17V 2A Step-Down Converter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</si>
  <si>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</si>
  <si>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</si>
  <si>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</si>
  <si>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</si>
  <si>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</si>
  <si>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</si>
  <si>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</si>
  <si>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</si>
  <si>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3–17V 2A Step-Down Converter in 3x3 QFN package</t>
  </si>
  <si>
    <t>AC/DC &amp; DC/DC converters (integrated FET)</t>
  </si>
  <si>
    <t>Catalog</t>
  </si>
  <si>
    <t>Buck</t>
  </si>
  <si>
    <t>VQFN</t>
  </si>
  <si>
    <t/>
  </si>
  <si>
    <t>-40 to 125</t>
  </si>
  <si>
    <t>3 x 3</t>
  </si>
  <si>
    <t>ACTIVE</t>
  </si>
  <si>
    <t>2-ch 1.5A loading, 4.5-5.5V, 70mΩ USB power switch, active-high, output discharge, reverse blocking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</si>
  <si>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</si>
  <si>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</si>
  <si>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</si>
  <si>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</si>
  <si>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</si>
  <si>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</si>
  <si>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</si>
  <si>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Split-Rail Converter, Single-Inductor, Multiple-Output (SIMO) Regulator</t>
  </si>
  <si>
    <t>AC/DC &amp; DC/DC converters (integrated FET),LCD &amp; OLED display power &amp; drivers</t>
  </si>
  <si>
    <t>Catalog</t>
  </si>
  <si>
    <t>Split-Rail</t>
  </si>
  <si>
    <t>WQFN</t>
  </si>
  <si>
    <t/>
  </si>
  <si>
    <t>-40 to 85</t>
  </si>
  <si>
    <t>3 x 3</t>
  </si>
  <si>
    <t>ACTIVE</t>
  </si>
  <si>
    <t>12V to 105V Input, 0.2A Output Switching Converter</t>
  </si>
  <si>
    <t>AC/DC &amp; DC/DC converters (integrated FET)</t>
  </si>
  <si>
    <t>Catalog</t>
  </si>
  <si>
    <t>Buck,Flybuck</t>
  </si>
  <si>
    <t>VSON</t>
  </si>
  <si>
    <t/>
  </si>
  <si>
    <t>-40 to 125</t>
  </si>
  <si>
    <t>4 x 4</t>
  </si>
  <si>
    <t>ACTIVE</t>
  </si>
  <si>
    <t>3V-17V 1A Step-Down Converters with DCS-Control&amp;trade;</t>
  </si>
  <si>
    <t>AC/DC &amp; DC/DC converters (integrated FET)</t>
  </si>
  <si>
    <t>Catalog</t>
  </si>
  <si>
    <t>Buck</t>
  </si>
  <si>
    <t>VSSOP,WSON</t>
  </si>
  <si>
    <t/>
  </si>
  <si>
    <t>-40 to 125</t>
  </si>
  <si>
    <t>4,14.7</t>
  </si>
  <si>
    <t>2 x 2,3 x 4.9</t>
  </si>
  <si>
    <t>0.8,1.1</t>
  </si>
  <si>
    <t>0.5,0.65</t>
  </si>
  <si>
    <t>ACTIVE</t>
  </si>
  <si>
    <t>3V-17V 1A Step-Down Converters with DCS-Control&amp;trade;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</si>
  <si>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</si>
  <si>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</si>
  <si>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</si>
  <si>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</si>
  <si>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</si>
  <si>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</si>
  <si>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</si>
  <si>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</si>
  <si>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3V-17V 1A Step-Down Converters with DCS-Control&amp;trade;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</si>
  <si>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</si>
  <si>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</si>
  <si>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</si>
  <si>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</si>
  <si>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</si>
  <si>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</si>
  <si>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</si>
  <si>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</si>
  <si>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3V-17V 1A Step-Down Converters with DCS-Control™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</si>
  <si>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</si>
  <si>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</si>
  <si>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</si>
  <si>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</si>
  <si>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</si>
  <si>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</si>
  <si>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</si>
  <si>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</si>
  <si>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3–17V 0.5A Step-Down Converter in 2x2 QFN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</si>
  <si>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</si>
  <si>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</si>
  <si>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</si>
  <si>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</si>
  <si>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</si>
  <si>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</si>
  <si>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</si>
  <si>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</si>
  <si>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3–17V 0.5A Step-Down Converter in 2x2 QFN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</si>
  <si>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</si>
  <si>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</si>
  <si>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</si>
  <si>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</si>
  <si>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</si>
  <si>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</si>
  <si>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</si>
  <si>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</si>
  <si>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Automotive Grade 2.95-5.5V, 4A, Current Mode Synchronous Buck Regulator with Adjustable Frequency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</si>
  <si>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</si>
  <si>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</si>
  <si>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</si>
  <si>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</si>
  <si>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</si>
  <si>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</si>
  <si>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</si>
  <si>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</si>
  <si>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Automotive Grade 2.95-5.5V, 5A, Current Mode Synchronous Buck Regulator with Adjustable Frequency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</si>
  <si>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</si>
  <si>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</si>
  <si>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</si>
  <si>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</si>
  <si>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</si>
  <si>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</si>
  <si>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</si>
  <si>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</si>
  <si>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3–17V 0.5A Step-Down Converter with DCS-Control in 2x2 QFN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</si>
  <si>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</si>
  <si>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</si>
  <si>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</si>
  <si>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</si>
  <si>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</si>
  <si>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</si>
  <si>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</si>
  <si>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</si>
  <si>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3–17V 0.5A Step-Down Converter in 2x2 QFN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</si>
  <si>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</si>
  <si>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</si>
  <si>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</si>
  <si>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</si>
  <si>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</si>
  <si>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</si>
  <si>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</si>
  <si>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</si>
  <si>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5.5-V, 2-A, 60-mΩ load switch  with active low enable</t>
  </si>
  <si>
    <t>Load switches</t>
  </si>
  <si>
    <t>Catalog</t>
  </si>
  <si>
    <t>DSBGA</t>
  </si>
  <si>
    <t/>
  </si>
  <si>
    <t>-40 to 85</t>
  </si>
  <si>
    <t>1.25 x 1.25</t>
  </si>
  <si>
    <t>ACTIVE</t>
  </si>
  <si>
    <t>USB charging port controller and 2.5A power switch with output discharge</t>
  </si>
  <si>
    <t>USB power switches &amp; charging port controllers</t>
  </si>
  <si>
    <t>Catalog</t>
  </si>
  <si>
    <t>WQFN</t>
  </si>
  <si>
    <t/>
  </si>
  <si>
    <t>-40 to 85</t>
  </si>
  <si>
    <t>3 x 3</t>
  </si>
  <si>
    <t>ACTIVE</t>
  </si>
  <si>
    <t>4.5V to 18V Input, 3A Synchronous Step-Down Converter w/ D-CAP2 Mode and Light Load Efficiency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</si>
  <si>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</si>
  <si>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</si>
  <si>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</si>
  <si>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</si>
  <si>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</si>
  <si>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</si>
  <si>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</si>
  <si>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</si>
  <si>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4.5V to 18V Input, 2-A Synchronous Step-Down Converter with Eco-Mode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</si>
  <si>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</si>
  <si>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</si>
  <si>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</si>
  <si>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</si>
  <si>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</si>
  <si>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</si>
  <si>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</si>
  <si>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</si>
  <si>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3.5-MHz, 5-V, 900-mA load boost converter in 1.2-mm x 1.3-mm WCSP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</si>
  <si>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</si>
  <si>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</si>
  <si>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</si>
  <si>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</si>
  <si>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</si>
  <si>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</si>
  <si>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</si>
  <si>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</si>
  <si>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3-A, 120-V half bridge gate driver with 8-V UVLO, negative voltage handling and CMOS inputs</t>
  </si>
  <si>
    <t>Half-bridge drivers</t>
  </si>
  <si>
    <t>Catalog</t>
  </si>
  <si>
    <t>HSOIC,SOIC,VSON</t>
  </si>
  <si>
    <t/>
  </si>
  <si>
    <t>-40 to 150</t>
  </si>
  <si>
    <t>8,9</t>
  </si>
  <si>
    <t>9,16,29.4</t>
  </si>
  <si>
    <t>3 x 3,4 x 4,4.9 x 6</t>
  </si>
  <si>
    <t>1,1.7,1.75</t>
  </si>
  <si>
    <t>0.5,0.8,1.27</t>
  </si>
  <si>
    <t>ACTIVE</t>
  </si>
  <si>
    <t>-6-V to -100-V&amp;nbsp;690-uA IQ ORing FET controller</t>
  </si>
  <si>
    <t>Ideal diode &amp; ORing controllers</t>
  </si>
  <si>
    <t>Catalog</t>
  </si>
  <si>
    <t>SOIC</t>
  </si>
  <si>
    <t/>
  </si>
  <si>
    <t>-40 to 125</t>
  </si>
  <si>
    <t>4.9 x 6</t>
  </si>
  <si>
    <t>ACTIVE</t>
  </si>
  <si>
    <t>3-42-V wide VIN, current mode non-synchronous buck-boost controller, AEC-Q100 qualified</t>
  </si>
  <si>
    <t>AC/DC &amp; DC/DC controllers (external FET)</t>
  </si>
  <si>
    <t>Automotive</t>
  </si>
  <si>
    <t>Buck-Boost</t>
  </si>
  <si>
    <t>HTSSOP</t>
  </si>
  <si>
    <t/>
  </si>
  <si>
    <t>-40 to 125</t>
  </si>
  <si>
    <t>6.5 x 6.4</t>
  </si>
  <si>
    <t>ACTIVE</t>
  </si>
  <si>
    <t>-10-V to -80-V hot swap controller with PMBus</t>
  </si>
  <si>
    <t>Hot-swap controllers</t>
  </si>
  <si>
    <t>Catalog</t>
  </si>
  <si>
    <t>HTSSOP</t>
  </si>
  <si>
    <t/>
  </si>
  <si>
    <t>-40 to 125</t>
  </si>
  <si>
    <t>9.7 x 6.4</t>
  </si>
  <si>
    <t>ACTIVE</t>
  </si>
  <si>
    <t>4.5V to 42V, 0.3A Step-Down DC/DC Switching Regulator in SOT-23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</si>
  <si>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</si>
  <si>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</si>
  <si>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</si>
  <si>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</si>
  <si>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</si>
  <si>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</si>
  <si>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</si>
  <si>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</si>
  <si>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4.5V to 42V, 0.6A Step-Down DC/DC Switching Regulator in SOT-23 Package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</si>
  <si>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</si>
  <si>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</si>
  <si>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</si>
  <si>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</si>
  <si>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</si>
  <si>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</si>
  <si>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</si>
  <si>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</si>
  <si>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SIMPLE SWITCHER 2.7V to 5.5V, 24Vout, 2.1A Boost Converter in SOT-23</t>
  </si>
  <si>
    <t>AC/DC &amp; DC/DC converters (integrated FET)</t>
  </si>
  <si>
    <t>Catalog</t>
  </si>
  <si>
    <t>Boost</t>
  </si>
  <si>
    <t>SOT-23,WSON</t>
  </si>
  <si>
    <t/>
  </si>
  <si>
    <t>-40 to 125</t>
  </si>
  <si>
    <t>5,6</t>
  </si>
  <si>
    <t>8.12,9</t>
  </si>
  <si>
    <t>2.9 x 2.8,3 x 3</t>
  </si>
  <si>
    <t>0.8,1.45</t>
  </si>
  <si>
    <t>ACTIVE</t>
  </si>
  <si>
    <t>Single-channel, ultra-small, adjustable supervisor with active-high, push-pull output</t>
  </si>
  <si>
    <t>Reset &amp; watchdog ICs</t>
  </si>
  <si>
    <t>Catalog</t>
  </si>
  <si>
    <t>USON</t>
  </si>
  <si>
    <t/>
  </si>
  <si>
    <t>-40 to 125</t>
  </si>
  <si>
    <t>1.45 x 1</t>
  </si>
  <si>
    <t>ACTIVE</t>
  </si>
  <si>
    <t>Single-channel, ultra-small, adjustable supervisor with active-low, push-pull output</t>
  </si>
  <si>
    <t>Reset &amp; watchdog ICs</t>
  </si>
  <si>
    <t>Catalog</t>
  </si>
  <si>
    <t>USON</t>
  </si>
  <si>
    <t/>
  </si>
  <si>
    <t>-40 to 125</t>
  </si>
  <si>
    <t>1.45 x 1</t>
  </si>
  <si>
    <t>ACTIVE</t>
  </si>
  <si>
    <t>Single-channel, ultra-small, adjustable supervisor with active-high, open-drain output</t>
  </si>
  <si>
    <t>Reset &amp; watchdog ICs</t>
  </si>
  <si>
    <t>Catalog</t>
  </si>
  <si>
    <t>USON</t>
  </si>
  <si>
    <t/>
  </si>
  <si>
    <t>-40 to 125</t>
  </si>
  <si>
    <t>1.45 x 1</t>
  </si>
  <si>
    <t>ACTIVE</t>
  </si>
  <si>
    <t>Single-channel, ultra-small, adjustable supervisor with active-low, open-drain output</t>
  </si>
  <si>
    <t>Reset &amp; watchdog ICs</t>
  </si>
  <si>
    <t>Catalog</t>
  </si>
  <si>
    <t>USON</t>
  </si>
  <si>
    <t/>
  </si>
  <si>
    <t>-40 to 125</t>
  </si>
  <si>
    <t>1.45 x 1</t>
  </si>
  <si>
    <t>ACTIVE</t>
  </si>
  <si>
    <t>Integrated Power Management IC (PMIC) with 4 DC/DCs, 9 LDOs and RTC</t>
  </si>
  <si>
    <t>Multi-channel ICs (PMICs)</t>
  </si>
  <si>
    <t>Catalog</t>
  </si>
  <si>
    <t>JRBGA,NFBGA</t>
  </si>
  <si>
    <t/>
  </si>
  <si>
    <t>-40 to 85</t>
  </si>
  <si>
    <t>9 x 6</t>
  </si>
  <si>
    <t>ACTIVE</t>
  </si>
  <si>
    <t>3V to 5.5V, 1A Step-Down DC/DC Switching Regulator in SOT-23 Package</t>
  </si>
  <si>
    <t>AC/DC &amp; DC/DC converters (integrated FET)</t>
  </si>
  <si>
    <t>Catalog</t>
  </si>
  <si>
    <t>Buck</t>
  </si>
  <si>
    <t>SOT-23,WSON</t>
  </si>
  <si>
    <t/>
  </si>
  <si>
    <t>-40 to 125</t>
  </si>
  <si>
    <t>5,6</t>
  </si>
  <si>
    <t>8.12,9</t>
  </si>
  <si>
    <t>2.9 x 2.8,3 x 3</t>
  </si>
  <si>
    <t>0.8,1.45</t>
  </si>
  <si>
    <t>ACTIVE</t>
  </si>
  <si>
    <t>5.5Vin, 1.5A Step-Down Voltage Regulator in SOT-23 and LLP</t>
  </si>
  <si>
    <t>AC/DC &amp; DC/DC converters (integrated FET)</t>
  </si>
  <si>
    <t>Catalog</t>
  </si>
  <si>
    <t>Buck</t>
  </si>
  <si>
    <t>SOT-23,WSON</t>
  </si>
  <si>
    <t/>
  </si>
  <si>
    <t>-40 to 125</t>
  </si>
  <si>
    <t>5,6</t>
  </si>
  <si>
    <t>8.12,9</t>
  </si>
  <si>
    <t>2.9 x 2.8,3 x 3</t>
  </si>
  <si>
    <t>0.8,1.45</t>
  </si>
  <si>
    <t>ACTIVE</t>
  </si>
  <si>
    <t>5.5-VIN, 2-A step-down voltage regulator in WSON</t>
  </si>
  <si>
    <t>AC/DC &amp; DC/DC converters (integrated FET)</t>
  </si>
  <si>
    <t>Catalog</t>
  </si>
  <si>
    <t>Buck</t>
  </si>
  <si>
    <t>WSON</t>
  </si>
  <si>
    <t/>
  </si>
  <si>
    <t>-40 to 125</t>
  </si>
  <si>
    <t>3 x 3</t>
  </si>
  <si>
    <t>ACTIVE</t>
  </si>
  <si>
    <t>Enhanced product, negative VIN, 200-mA, ultra-low noise, high PSRR, LDO regular</t>
  </si>
  <si>
    <t>Linear &amp; low-dropout (LDO) regulators</t>
  </si>
  <si>
    <t>HiRel Enhanced Product</t>
  </si>
  <si>
    <t>HVSSOP</t>
  </si>
  <si>
    <t/>
  </si>
  <si>
    <t>-55 to 125</t>
  </si>
  <si>
    <t>3 x 4.9</t>
  </si>
  <si>
    <t>ACTIVE</t>
  </si>
  <si>
    <t>Automotive 3.6V to 48V, 3A Buck Converter with Low Iq and Voltage Supervisor</t>
  </si>
  <si>
    <t>AC/DC &amp; DC/DC converters (integrated FET)</t>
  </si>
  <si>
    <t>Automotive</t>
  </si>
  <si>
    <t>Buck</t>
  </si>
  <si>
    <t>HTSSOP</t>
  </si>
  <si>
    <t/>
  </si>
  <si>
    <t>-40 to 125</t>
  </si>
  <si>
    <t>6.5 x 6.4</t>
  </si>
  <si>
    <t>ACTIVE</t>
  </si>
  <si>
    <t>4.5-V to 17-V, 8-A synchronous buck converter with hiccup current limit</t>
  </si>
  <si>
    <t>AC/DC &amp; DC/DC converters (integrated FET)</t>
  </si>
  <si>
    <t>Catalog</t>
  </si>
  <si>
    <t>Buck</t>
  </si>
  <si>
    <t>VQFN</t>
  </si>
  <si>
    <t/>
  </si>
  <si>
    <t>-40 to 125</t>
  </si>
  <si>
    <t>3.5 x 3.5</t>
  </si>
  <si>
    <t>ACTIVE</t>
  </si>
  <si>
    <t>1.5-V to 19-V, single phase PWM buck controller with light-load efficiency</t>
  </si>
  <si>
    <t>AC/DC &amp; DC/DC controllers (external FET)</t>
  </si>
  <si>
    <t>Catalog</t>
  </si>
  <si>
    <t>Buck</t>
  </si>
  <si>
    <t>VQFN</t>
  </si>
  <si>
    <t/>
  </si>
  <si>
    <t>-40 to 85</t>
  </si>
  <si>
    <t>3 x 3</t>
  </si>
  <si>
    <t>ACTIVE</t>
  </si>
  <si>
    <t>3-pin voltage supervisor with active-low open-drain reset in reverse pin out</t>
  </si>
  <si>
    <t>Reset &amp; watchdog ICs</t>
  </si>
  <si>
    <t>Catalog</t>
  </si>
  <si>
    <t>SOT-23</t>
  </si>
  <si>
    <t/>
  </si>
  <si>
    <t>-40 to 125</t>
  </si>
  <si>
    <t>2.92 x 2.37</t>
  </si>
  <si>
    <t>ACTIVE</t>
  </si>
  <si>
    <t>Compact Sequential Mode RGB LED driver with IC Control interface</t>
  </si>
  <si>
    <t>RGB LED drivers</t>
  </si>
  <si>
    <t>Catalog</t>
  </si>
  <si>
    <t>WQFN</t>
  </si>
  <si>
    <t/>
  </si>
  <si>
    <t>-40 to 125</t>
  </si>
  <si>
    <t>5 x 5</t>
  </si>
  <si>
    <t>ACTIVE</t>
  </si>
  <si>
    <t>42Vin, 1.0A Step-Down Voltage Regulator in micro SMD</t>
  </si>
  <si>
    <t>AC/DC &amp; DC/DC converters (integrated FET)</t>
  </si>
  <si>
    <t>Catalog</t>
  </si>
  <si>
    <t>Buck</t>
  </si>
  <si>
    <t>DSBGA</t>
  </si>
  <si>
    <t/>
  </si>
  <si>
    <t>-40 to 125</t>
  </si>
  <si>
    <t>0.75 x 0.75</t>
  </si>
  <si>
    <t>ACTIVE</t>
  </si>
  <si>
    <t>42Vin, 2.0A Step-Down Voltage Regulator in micro SMD</t>
  </si>
  <si>
    <t>AC/DC &amp; DC/DC converters (integrated FET)</t>
  </si>
  <si>
    <t>Catalog</t>
  </si>
  <si>
    <t>Buck</t>
  </si>
  <si>
    <t>DSBGA</t>
  </si>
  <si>
    <t/>
  </si>
  <si>
    <t>-20 to 125</t>
  </si>
  <si>
    <t>0.75 x 0.75</t>
  </si>
  <si>
    <t>ACTIVE</t>
  </si>
  <si>
    <t>30-V, N channel synchronous buck NexFET™ power MOSFET, SON 3 mm x 3 mm power block, 20 A</t>
  </si>
  <si>
    <t>MOSFETs</t>
  </si>
  <si>
    <t>Catalog</t>
  </si>
  <si>
    <t>VSON-CLIP</t>
  </si>
  <si>
    <t/>
  </si>
  <si>
    <t>-55 to 150</t>
  </si>
  <si>
    <t>3.3 x 3.3</t>
  </si>
  <si>
    <t>ACTIVE</t>
  </si>
  <si>
    <t>30-V, N channel synchronous buck NexFET™ power MOSFET, SON 3 mm x 3 mm power block, 15 A</t>
  </si>
  <si>
    <t>MOSFETs</t>
  </si>
  <si>
    <t>Catalog</t>
  </si>
  <si>
    <t>LSON-CLIP</t>
  </si>
  <si>
    <t/>
  </si>
  <si>
    <t>-55 to 150</t>
  </si>
  <si>
    <t>3.3 x 3.3</t>
  </si>
  <si>
    <t>ACTIVE</t>
  </si>
  <si>
    <t>30-V, N channel synchronous buck NexFET™ power MOSFET, SON 5 mm x 6 mm power block, 40 A</t>
  </si>
  <si>
    <t>MOSFETs</t>
  </si>
  <si>
    <t>Catalog</t>
  </si>
  <si>
    <t>LSON-CLIP</t>
  </si>
  <si>
    <t/>
  </si>
  <si>
    <t>-55 to 150</t>
  </si>
  <si>
    <t>5 x 6</t>
  </si>
  <si>
    <t>ACTIVE</t>
  </si>
  <si>
    <t>30 V 25 A SON 5 x 6 mm synchronous buck NexFET™ power stage with 4 V PWM logic level high</t>
  </si>
  <si>
    <t>Si power stages</t>
  </si>
  <si>
    <t>Catalog</t>
  </si>
  <si>
    <t>LSON-CLIP</t>
  </si>
  <si>
    <t/>
  </si>
  <si>
    <t>-55 to 150</t>
  </si>
  <si>
    <t>6 x 5</t>
  </si>
  <si>
    <t>ACTIVE</t>
  </si>
  <si>
    <t>SIMPLE SWITCHER&amp;reg; 2.7V to 14V, 1.4A Step-Up Regulator in SOT-23 Package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</si>
  <si>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</si>
  <si>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</si>
  <si>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</si>
  <si>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</si>
  <si>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</si>
  <si>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</si>
  <si>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</si>
  <si>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</si>
  <si>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Automotive 2-ch, 1A loading, 2.7-5.5V, 70mΩ USB power switch, active-high</t>
  </si>
  <si>
    <t>USB power switches &amp; charging port controllers</t>
  </si>
  <si>
    <t>Automotive</t>
  </si>
  <si>
    <t>HVSSOP</t>
  </si>
  <si>
    <t/>
  </si>
  <si>
    <t>-40 to 125</t>
  </si>
  <si>
    <t>3 x 4.9</t>
  </si>
  <si>
    <t>ACTIVE</t>
  </si>
  <si>
    <t>4.5V to 18V Input, 2-A Synchronous Step-Down Converter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</si>
  <si>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</si>
  <si>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</si>
  <si>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</si>
  <si>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</si>
  <si>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</si>
  <si>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</si>
  <si>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</si>
  <si>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</si>
  <si>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4.5-V to 16-V input, 3A/2A/2A output, Synchronous triple buck converter</t>
  </si>
  <si>
    <t>AC/DC &amp; DC/DC converters (integrated FET)</t>
  </si>
  <si>
    <t>Catalog</t>
  </si>
  <si>
    <t>Buck</t>
  </si>
  <si>
    <t>VQFN</t>
  </si>
  <si>
    <t/>
  </si>
  <si>
    <t>-40 to 85</t>
  </si>
  <si>
    <t>6 x 6</t>
  </si>
  <si>
    <t>ACTIVE</t>
  </si>
  <si>
    <t>Automotive 300-mA, off-battery (40-V), low-IQ, adjustable low-dropout voltage regulator with WD</t>
  </si>
  <si>
    <t>Linear &amp; low-dropout (LDO) regulators</t>
  </si>
  <si>
    <t>Automotive</t>
  </si>
  <si>
    <t>HTSSOP</t>
  </si>
  <si>
    <t/>
  </si>
  <si>
    <t>-40 to 125</t>
  </si>
  <si>
    <t>5 x 6.4</t>
  </si>
  <si>
    <t>ACTIVE</t>
  </si>
  <si>
    <t>3-V to 6-V Input, 2-A Synchronous Buck, Integrated Power Solution</t>
  </si>
  <si>
    <t>Power modules (integrated inductor)</t>
  </si>
  <si>
    <t>Catalog</t>
  </si>
  <si>
    <t>Buck,Step-Down Converter,Synchronous Buck</t>
  </si>
  <si>
    <t>B1QFN</t>
  </si>
  <si>
    <t/>
  </si>
  <si>
    <t>-40 to 125</t>
  </si>
  <si>
    <t>11 x 9</t>
  </si>
  <si>
    <t>ACTIVE</t>
  </si>
  <si>
    <t>4.5-V to 14.5-V Input, 3-A Synchronous Buck, Integrated Power Solution</t>
  </si>
  <si>
    <t>Power modules (integrated inductor)</t>
  </si>
  <si>
    <t>Catalog</t>
  </si>
  <si>
    <t>Buck</t>
  </si>
  <si>
    <t>B1QFN</t>
  </si>
  <si>
    <t/>
  </si>
  <si>
    <t>-40 to 85</t>
  </si>
  <si>
    <t>15 x 9</t>
  </si>
  <si>
    <t>ACTIVE</t>
  </si>
  <si>
    <t>3-V to 6-V Input, 4-A Synchronous Buck, Integrated Power Solution</t>
  </si>
  <si>
    <t>Power modules (integrated inductor)</t>
  </si>
  <si>
    <t>Catalog</t>
  </si>
  <si>
    <t>Buck,Step-Down Converter,Synchronous Buck</t>
  </si>
  <si>
    <t>B1QFN</t>
  </si>
  <si>
    <t/>
  </si>
  <si>
    <t>-40 to 125</t>
  </si>
  <si>
    <t>11 x 9</t>
  </si>
  <si>
    <t>ACTIVE</t>
  </si>
  <si>
    <t>Automotive, 18-CH Gamma Voltage Generator with Two Programmable VCOM Channels</t>
  </si>
  <si>
    <t>LCD &amp; OLED display power &amp; drivers</t>
  </si>
  <si>
    <t>Automotive</t>
  </si>
  <si>
    <t>HTSSOP</t>
  </si>
  <si>
    <t/>
  </si>
  <si>
    <t>-40 to 105</t>
  </si>
  <si>
    <t>9.7 x 6.4</t>
  </si>
  <si>
    <t>ACTIVE</t>
  </si>
  <si>
    <t>3-Input, 2.5-V to 12-V, 2.4-&amp;Omega;, 0.05-A power mux with LDO</t>
  </si>
  <si>
    <t>Power muxes</t>
  </si>
  <si>
    <t>Catalog</t>
  </si>
  <si>
    <t>UQFN</t>
  </si>
  <si>
    <t/>
  </si>
  <si>
    <t>-40 to 85</t>
  </si>
  <si>
    <t>1.5 x 1.5</t>
  </si>
  <si>
    <t>ACTIVE</t>
  </si>
  <si>
    <t>2.95V to 6V Input, 5A Synchronous Step-Down Converter</t>
  </si>
  <si>
    <t>AC/DC &amp; DC/DC converters (integrated FET)</t>
  </si>
  <si>
    <t>Catalog</t>
  </si>
  <si>
    <t>Buck</t>
  </si>
  <si>
    <t>WQFN</t>
  </si>
  <si>
    <t/>
  </si>
  <si>
    <t>-40 to 140</t>
  </si>
  <si>
    <t>3 x 3</t>
  </si>
  <si>
    <t>ACTIVE</t>
  </si>
  <si>
    <t>4.5-V to 17-V, 6-A synchronous SWIFT™ buck converter with light load efficiency</t>
  </si>
  <si>
    <t>AC/DC &amp; DC/DC converters (integrated FET)</t>
  </si>
  <si>
    <t>Catalog</t>
  </si>
  <si>
    <t>Buck</t>
  </si>
  <si>
    <t>VQFN</t>
  </si>
  <si>
    <t/>
  </si>
  <si>
    <t>-40 to 150</t>
  </si>
  <si>
    <t>3.5 x 3.5</t>
  </si>
  <si>
    <t>ACTIVE</t>
  </si>
  <si>
    <t>3-V to 18-V wide input range, 1.2-A boost converter in 2-mm x 2-mm QFN package, AEC-Q100 qualified</t>
  </si>
  <si>
    <t>AC/DC &amp; DC/DC converters (integrated FET)</t>
  </si>
  <si>
    <t>Automotive</t>
  </si>
  <si>
    <t>Boost,Flyback,SEPIC</t>
  </si>
  <si>
    <t>WSON</t>
  </si>
  <si>
    <t>Functional Safety-Capable</t>
  </si>
  <si>
    <t>-40 to 125</t>
  </si>
  <si>
    <t>2 x 2</t>
  </si>
  <si>
    <t>ACTIVE</t>
  </si>
  <si>
    <t>5.5-V, 2-A, 60-mΩ load switch with output discharge</t>
  </si>
  <si>
    <t>Load switches</t>
  </si>
  <si>
    <t>Catalog</t>
  </si>
  <si>
    <t>DSBGA</t>
  </si>
  <si>
    <t/>
  </si>
  <si>
    <t>-40 to 85</t>
  </si>
  <si>
    <t>1.25 x 1.25</t>
  </si>
  <si>
    <t>ACTIVE</t>
  </si>
  <si>
    <t>4.5V to 18V Input, 3A Synchronous Step-Down Converter with D-CAP2 Mode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</si>
  <si>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</si>
  <si>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</si>
  <si>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</si>
  <si>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</si>
  <si>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</si>
  <si>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</si>
  <si>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</si>
  <si>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</si>
  <si>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1.2A High Efficient Step Down Converter in 2x2mm SON Package, with Adjustable Vout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</si>
  <si>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</si>
  <si>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</si>
  <si>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</si>
  <si>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</si>
  <si>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</si>
  <si>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</si>
  <si>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</si>
  <si>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</si>
  <si>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1.2A Wide Range Efficient Step Down Converter with Snooze Mode. 1.8 Vout (Min)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</si>
  <si>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</si>
  <si>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</si>
  <si>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</si>
  <si>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</si>
  <si>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</si>
  <si>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</si>
  <si>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</si>
  <si>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</si>
  <si>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1.2A High Efficient Step Down Converter in 2x2mm SON Package. 3.3 Vout (Min)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</si>
  <si>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</si>
  <si>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</si>
  <si>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</si>
  <si>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</si>
  <si>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</si>
  <si>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</si>
  <si>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</si>
  <si>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</si>
  <si>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4.5v to 16v input, 3A/2A/2A output Synchronous triple buck converter with USB switch</t>
  </si>
  <si>
    <t>AC/DC &amp; DC/DC converters (integrated FET)</t>
  </si>
  <si>
    <t>Catalog</t>
  </si>
  <si>
    <t>Buck</t>
  </si>
  <si>
    <t>VQFN</t>
  </si>
  <si>
    <t/>
  </si>
  <si>
    <t>-40 to 85</t>
  </si>
  <si>
    <t>6 x 6</t>
  </si>
  <si>
    <t>ACTIVE</t>
  </si>
  <si>
    <t>3 DC-DC converters with Integrated FET &amp; 2 USB Switches</t>
  </si>
  <si>
    <t>AC/DC &amp; DC/DC converters (integrated FET)</t>
  </si>
  <si>
    <t>Catalog</t>
  </si>
  <si>
    <t>Buck</t>
  </si>
  <si>
    <t>VQFN</t>
  </si>
  <si>
    <t/>
  </si>
  <si>
    <t>-40 to 85</t>
  </si>
  <si>
    <t>6 x 6</t>
  </si>
  <si>
    <t>ACTIVE</t>
  </si>
  <si>
    <t>0.5A loading, ±30% ILIMIT accuracy, 2.7-5.5V, 70mΩ USB power switch, active-low</t>
  </si>
  <si>
    <t>USB power switches &amp; charging port controllers</t>
  </si>
  <si>
    <t>HiRel Enhanced Product</t>
  </si>
  <si>
    <t>SOT-23</t>
  </si>
  <si>
    <t/>
  </si>
  <si>
    <t>-55 to 125</t>
  </si>
  <si>
    <t>2.9 x 2.8</t>
  </si>
  <si>
    <t>ACTIVE</t>
  </si>
  <si>
    <t>3.5-MHz, 4.5-V, 800-mA load boost converter in 1.2-mm x 1.3-mm WCSP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</si>
  <si>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</si>
  <si>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</si>
  <si>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</si>
  <si>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</si>
  <si>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</si>
  <si>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</si>
  <si>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</si>
  <si>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</si>
  <si>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LCD Bias IC for TV</t>
  </si>
  <si>
    <t>LCD &amp; OLED display power &amp; drivers</t>
  </si>
  <si>
    <t>Catalog</t>
  </si>
  <si>
    <t>Boost,Buck</t>
  </si>
  <si>
    <t>VQFN</t>
  </si>
  <si>
    <t/>
  </si>
  <si>
    <t>-40 to 85</t>
  </si>
  <si>
    <t>5 x 5</t>
  </si>
  <si>
    <t>ACTIVE</t>
  </si>
  <si>
    <t>10-V to 80-V hot swap controller with current, -Voltage and power monitoring and PMBus</t>
  </si>
  <si>
    <t>Hot-swap controllers</t>
  </si>
  <si>
    <t>Catalog</t>
  </si>
  <si>
    <t>HTSSOP</t>
  </si>
  <si>
    <t/>
  </si>
  <si>
    <t>-40 to 125</t>
  </si>
  <si>
    <t>9.7 x 6.4</t>
  </si>
  <si>
    <t>ACTIVE</t>
  </si>
  <si>
    <t>3V to 20V, 1A Step-Down DC/DC Switching Regulator in SOT-23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</si>
  <si>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</si>
  <si>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</si>
  <si>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</si>
  <si>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</si>
  <si>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</si>
  <si>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</si>
  <si>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</si>
  <si>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</si>
  <si>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SIMPLE SWITCHER&amp;reg; 2.7V to 14V, 1A Step-Up Regulator in SOT-23 Package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</si>
  <si>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</si>
  <si>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</si>
  <si>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</si>
  <si>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</si>
  <si>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</si>
  <si>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</si>
  <si>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</si>
  <si>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</si>
  <si>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PMIC for E-Ink® Vizplex™ Enabled Electronic Paper Display</t>
  </si>
  <si>
    <t>Multi-channel ICs (PMICs)</t>
  </si>
  <si>
    <t>Catalog</t>
  </si>
  <si>
    <t>VQFN</t>
  </si>
  <si>
    <t/>
  </si>
  <si>
    <t>-10 to 85</t>
  </si>
  <si>
    <t>7 x 7</t>
  </si>
  <si>
    <t>ACTIVE</t>
  </si>
  <si>
    <t>2 Buck Converter with 4.5V to 16V Input Voltage, 2A/3A Output Current</t>
  </si>
  <si>
    <t>AC/DC &amp; DC/DC converters (integrated FET)</t>
  </si>
  <si>
    <t>Catalog</t>
  </si>
  <si>
    <t>Buck</t>
  </si>
  <si>
    <t>HTSSOP,VQFN</t>
  </si>
  <si>
    <t/>
  </si>
  <si>
    <t>-40 to 85</t>
  </si>
  <si>
    <t>16,49.92</t>
  </si>
  <si>
    <t>4 x 4,7.8 x 6.4</t>
  </si>
  <si>
    <t>1,1.2</t>
  </si>
  <si>
    <t>0.5,0.65</t>
  </si>
  <si>
    <t>ACTIVE</t>
  </si>
  <si>
    <t>Automotive 500-mA, 10-V, low-dropout voltage regulator</t>
  </si>
  <si>
    <t>Linear &amp; low-dropout (LDO) regulators</t>
  </si>
  <si>
    <t>Automotive</t>
  </si>
  <si>
    <t>WSON</t>
  </si>
  <si>
    <t/>
  </si>
  <si>
    <t>-40 to 125</t>
  </si>
  <si>
    <t>3 x 3</t>
  </si>
  <si>
    <t>ACTIVE</t>
  </si>
  <si>
    <t>200-mA, low-noise, high-PSRR, low-IQ, low-dropout voltage regulator with low-IQ &amp; enable</t>
  </si>
  <si>
    <t>Linear &amp; low-dropout (LDO) regulators</t>
  </si>
  <si>
    <t>Catalog</t>
  </si>
  <si>
    <t>DSBGA</t>
  </si>
  <si>
    <t/>
  </si>
  <si>
    <t>-40 to 125</t>
  </si>
  <si>
    <t>1 x 1</t>
  </si>
  <si>
    <t>ACTIVE</t>
  </si>
  <si>
    <t>Natural Interleaving transition-mode PFC controller with improved audible noise immunity</t>
  </si>
  <si>
    <t>AC/DC &amp; DC/DC controllers (external FET)</t>
  </si>
  <si>
    <t>Catalog</t>
  </si>
  <si>
    <t>Boost,PFC controller</t>
  </si>
  <si>
    <t>SOIC</t>
  </si>
  <si>
    <t/>
  </si>
  <si>
    <t>-40 to 125</t>
  </si>
  <si>
    <t>9.9 x 6</t>
  </si>
  <si>
    <t>ACTIVE</t>
  </si>
  <si>
    <t>200-mA, high-PSRR, low-IQ, low-dropout voltage regulator with low-noise &amp; enable</t>
  </si>
  <si>
    <t>Linear &amp; low-dropout (LDO) regulators</t>
  </si>
  <si>
    <t>Catalog</t>
  </si>
  <si>
    <t>DSBGA,PICOSTAR</t>
  </si>
  <si>
    <t/>
  </si>
  <si>
    <t>-40 to 125</t>
  </si>
  <si>
    <t>0.5929,1</t>
  </si>
  <si>
    <t>0.77 x 0.77,1 x 1</t>
  </si>
  <si>
    <t>0.15,0.5,0.625</t>
  </si>
  <si>
    <t>ACTIVE</t>
  </si>
  <si>
    <t>0.5A loading, 4.5-5.5V, 97mΩ USB power switch, active-high, output discharge, reverse blocking</t>
  </si>
  <si>
    <t>USB power switches &amp; charging port controllers</t>
  </si>
  <si>
    <t>Catalog</t>
  </si>
  <si>
    <t>SOT-23</t>
  </si>
  <si>
    <t/>
  </si>
  <si>
    <t>-40 to 125</t>
  </si>
  <si>
    <t>2.9 x 2.8</t>
  </si>
  <si>
    <t>ACTIVE</t>
  </si>
  <si>
    <t>600mA, High-Efficiency MicroSiP™ Step-Down Converter (Profile &lt;1.0mm)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</si>
  <si>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</si>
  <si>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</si>
  <si>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</si>
  <si>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</si>
  <si>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</si>
  <si>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</si>
  <si>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</si>
  <si>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</si>
  <si>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Integrated power management IC (PMIC) audio codec silicon</t>
  </si>
  <si>
    <t>Multi-channel ICs (PMICs)</t>
  </si>
  <si>
    <t>Catalog</t>
  </si>
  <si>
    <t>NFBGA</t>
  </si>
  <si>
    <t>Functional Safety-Capable</t>
  </si>
  <si>
    <t>-40 to 85</t>
  </si>
  <si>
    <t>12 x 12</t>
  </si>
  <si>
    <t>ACTIVE</t>
  </si>
  <si>
    <t>High-efficiency 1.5-V to 15-V, 20-A synchronous SWIFT™ buck converter with eco-mode</t>
  </si>
  <si>
    <t>AC/DC &amp; DC/DC converters (integrated FET)</t>
  </si>
  <si>
    <t>Catalog</t>
  </si>
  <si>
    <t>Buck</t>
  </si>
  <si>
    <t>LSON-CLIP</t>
  </si>
  <si>
    <t/>
  </si>
  <si>
    <t>-40 to 125</t>
  </si>
  <si>
    <t>6 x 5</t>
  </si>
  <si>
    <t>ACTIVE</t>
  </si>
  <si>
    <t>4.5V to 18V Input, 5-A Synchronous Step-Down Converter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</si>
  <si>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</si>
  <si>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</si>
  <si>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</si>
  <si>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</si>
  <si>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</si>
  <si>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</si>
  <si>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</si>
  <si>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</si>
  <si>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4.5V to 18V Input, 5-A Synchronous Step-Down Converter with Eco-mode&amp;trade;</t>
  </si>
  <si>
    <t>AC/DC &amp; DC/DC converters (integrated FET)</t>
  </si>
  <si>
    <t>Catalog</t>
  </si>
  <si>
    <t>Buck</t>
  </si>
  <si>
    <t>HSOIC</t>
  </si>
  <si>
    <t/>
  </si>
  <si>
    <t>-40 to 85</t>
  </si>
  <si>
    <t>4.9 x 6</t>
  </si>
  <si>
    <t>ACTIVE</t>
  </si>
  <si>
    <t>250mA Dual Outputs AMOLED Display Power Supply</t>
  </si>
  <si>
    <t>LCD &amp; OLED display power &amp; drivers</t>
  </si>
  <si>
    <t>Catalog</t>
  </si>
  <si>
    <t>Boost,Inverting Buck-Boost</t>
  </si>
  <si>
    <t>WSON</t>
  </si>
  <si>
    <t/>
  </si>
  <si>
    <t>-40 to 85</t>
  </si>
  <si>
    <t>3 x 3</t>
  </si>
  <si>
    <t>ACTIVE</t>
  </si>
  <si>
    <t>Processor Core Supply with I2C Compatible Interface and Remote Sense. 0.77 to 1.4 Vout</t>
  </si>
  <si>
    <t>AC/DC &amp; DC/DC converters (integrated FET)</t>
  </si>
  <si>
    <t>Catalog</t>
  </si>
  <si>
    <t>Buck</t>
  </si>
  <si>
    <t>DSBGA</t>
  </si>
  <si>
    <t/>
  </si>
  <si>
    <t>-40 to 85</t>
  </si>
  <si>
    <t>2.25 x 2.25</t>
  </si>
  <si>
    <t>ACTIVE</t>
  </si>
  <si>
    <t>10-Channel Sequencer and System Health Monitor</t>
  </si>
  <si>
    <t>Sequencers</t>
  </si>
  <si>
    <t>Catalog</t>
  </si>
  <si>
    <t>VQFN</t>
  </si>
  <si>
    <t/>
  </si>
  <si>
    <t>-40 to 125</t>
  </si>
  <si>
    <t>7 x 7</t>
  </si>
  <si>
    <t>ACTIVE</t>
  </si>
  <si>
    <t>2A loading, 4.5-5.5V, 72mΩ USB power switch, active-low, output discharge, reverse blocking</t>
  </si>
  <si>
    <t>USB power switches &amp; charging port controllers</t>
  </si>
  <si>
    <t>Catalog</t>
  </si>
  <si>
    <t>HVSSOP,VSSOP</t>
  </si>
  <si>
    <t/>
  </si>
  <si>
    <t>-40 to 125</t>
  </si>
  <si>
    <t>3 x 4.9</t>
  </si>
  <si>
    <t>ACTIVE</t>
  </si>
  <si>
    <t>2A loading, 4.5-5.5V, 72mΩ USB power switch, active-high, output discharge, reverse blocking</t>
  </si>
  <si>
    <t>USB power switches &amp; charging port controllers</t>
  </si>
  <si>
    <t>Catalog</t>
  </si>
  <si>
    <t>HVSSOP,VSSOP</t>
  </si>
  <si>
    <t/>
  </si>
  <si>
    <t>-40 to 125</t>
  </si>
  <si>
    <t>3 x 4.9</t>
  </si>
  <si>
    <t>ACTIVE</t>
  </si>
  <si>
    <t>1.5A loading, 4.5-5.5V, 69mΩ USB power switch, active-high, output discharge, reverse blocking</t>
  </si>
  <si>
    <t>USB power switches &amp; charging port controllers</t>
  </si>
  <si>
    <t>Catalog</t>
  </si>
  <si>
    <t>HVSSOP,SOT-23</t>
  </si>
  <si>
    <t/>
  </si>
  <si>
    <t>-40 to 125</t>
  </si>
  <si>
    <t>5,8</t>
  </si>
  <si>
    <t>8.12,14.7</t>
  </si>
  <si>
    <t>2.9 x 2.8,3 x 4.9</t>
  </si>
  <si>
    <t>1.1,1.45</t>
  </si>
  <si>
    <t>0.65,0.95</t>
  </si>
  <si>
    <t>ACTIVE</t>
  </si>
  <si>
    <t>1A loading, 4.5-5.5V, 86mΩ USB power switch, active-high, output discharge, reverse blocking</t>
  </si>
  <si>
    <t>USB power switches &amp; charging port controllers</t>
  </si>
  <si>
    <t>Catalog</t>
  </si>
  <si>
    <t>HVSSOP,SOT-23</t>
  </si>
  <si>
    <t/>
  </si>
  <si>
    <t>-40 to 125</t>
  </si>
  <si>
    <t>5,8</t>
  </si>
  <si>
    <t>8.12,14.7</t>
  </si>
  <si>
    <t>2.9 x 2.8,3 x 4.9</t>
  </si>
  <si>
    <t>1.1,1.45</t>
  </si>
  <si>
    <t>0.65,0.95</t>
  </si>
  <si>
    <t>ACTIVE</t>
  </si>
  <si>
    <t>Automotive 500-mA, 10-V, adjustable low-dropout voltage regulator with enable</t>
  </si>
  <si>
    <t>Linear &amp; low-dropout (LDO) regulators</t>
  </si>
  <si>
    <t>Automotive</t>
  </si>
  <si>
    <t>WSON</t>
  </si>
  <si>
    <t/>
  </si>
  <si>
    <t>-40 to 125</t>
  </si>
  <si>
    <t>3 x 3</t>
  </si>
  <si>
    <t>ACTIVE</t>
  </si>
  <si>
    <t>Automotive 500-mA, 10-V, low-dropout voltage regulator with enable</t>
  </si>
  <si>
    <t>Linear &amp; low-dropout (LDO) regulators</t>
  </si>
  <si>
    <t>Automotive</t>
  </si>
  <si>
    <t>WSON</t>
  </si>
  <si>
    <t/>
  </si>
  <si>
    <t>-40 to 125</t>
  </si>
  <si>
    <t>3 x 3</t>
  </si>
  <si>
    <t>ACTIVE</t>
  </si>
  <si>
    <t>8-Channel High Quality Low-Power Audio Codec For Portable Applications</t>
  </si>
  <si>
    <t>Multi-channel ICs (PMICs)</t>
  </si>
  <si>
    <t>Catalog</t>
  </si>
  <si>
    <t>JRBGA,NFBGA</t>
  </si>
  <si>
    <t/>
  </si>
  <si>
    <t>-40 to 85</t>
  </si>
  <si>
    <t>6 x 6</t>
  </si>
  <si>
    <t>ACTIVE</t>
  </si>
  <si>
    <t>Advanced Power Management IC (PMIC) with Integrated MSP430 For Active Shutter 3D Glasses</t>
  </si>
  <si>
    <t>Multi-channel ICs (PMICs)</t>
  </si>
  <si>
    <t>Catalog</t>
  </si>
  <si>
    <t>VQFN</t>
  </si>
  <si>
    <t/>
  </si>
  <si>
    <t>-40 to 85</t>
  </si>
  <si>
    <t>5 x 5</t>
  </si>
  <si>
    <t>ACTIVE</t>
  </si>
  <si>
    <t>1.6 MHz boost converter with 30V Internal FET switch in SOT-23, AEC-Q100 qualified</t>
  </si>
  <si>
    <t>AC/DC &amp; DC/DC converters (integrated FET)</t>
  </si>
  <si>
    <t>Automotive</t>
  </si>
  <si>
    <t>Boost</t>
  </si>
  <si>
    <t>SOT-23</t>
  </si>
  <si>
    <t/>
  </si>
  <si>
    <t>-40 to 125</t>
  </si>
  <si>
    <t>2.9 x 2.8</t>
  </si>
  <si>
    <t>ACTIVE</t>
  </si>
  <si>
    <t>USB charging port controller and 2.5A power switch</t>
  </si>
  <si>
    <t>USB power switches &amp; charging port controllers</t>
  </si>
  <si>
    <t>Catalog</t>
  </si>
  <si>
    <t>WQFN</t>
  </si>
  <si>
    <t/>
  </si>
  <si>
    <t>-40 to 85</t>
  </si>
  <si>
    <t>3 x 3</t>
  </si>
  <si>
    <t>ACTIVE</t>
  </si>
  <si>
    <t>3-V to 20-V, 30-A, synchronous buck controller with PMBus™, including Telemetry</t>
  </si>
  <si>
    <t>AC/DC &amp; DC/DC controllers (external FET)</t>
  </si>
  <si>
    <t>Catalog</t>
  </si>
  <si>
    <t>Buck</t>
  </si>
  <si>
    <t>VQFN</t>
  </si>
  <si>
    <t/>
  </si>
  <si>
    <t>-40 to 125</t>
  </si>
  <si>
    <t>5.5 x 3.5</t>
  </si>
  <si>
    <t>ACTIVE</t>
  </si>
  <si>
    <t>3.5-MHz, 5-V, 1-A load boost converter in 1.2-mm x 1.3-mm WCSP</t>
  </si>
  <si>
    <t>AC/DC &amp; DC/DC converters (integrated FET)</t>
  </si>
  <si>
    <t>Catalog</t>
  </si>
  <si>
    <t>Boost</t>
  </si>
  <si>
    <t>DSBGA</t>
  </si>
  <si>
    <t/>
  </si>
  <si>
    <t>-40 to 125</t>
  </si>
  <si>
    <t>1.4000000000000001 x 1.4000000000000001</t>
  </si>
  <si>
    <t>ACTIVE</t>
  </si>
  <si>
    <t>High efficiency white LED driver with programmable Ambient Light Sensing Capability and I2C Compati</t>
  </si>
  <si>
    <t>Backlight LED drivers</t>
  </si>
  <si>
    <t>Catalog</t>
  </si>
  <si>
    <t>Boost</t>
  </si>
  <si>
    <t>DSBGA</t>
  </si>
  <si>
    <t/>
  </si>
  <si>
    <t>-40 to 125</t>
  </si>
  <si>
    <t>1.8 x 1.8</t>
  </si>
  <si>
    <t>ACTIVE</t>
  </si>
  <si>
    <t>LCD Bias Solution For LCD Panels with 6ch WLED Driver</t>
  </si>
  <si>
    <t>LCD &amp; OLED display power &amp; drivers</t>
  </si>
  <si>
    <t>Catalog</t>
  </si>
  <si>
    <t>Boost</t>
  </si>
  <si>
    <t>WQFN</t>
  </si>
  <si>
    <t/>
  </si>
  <si>
    <t>-40 to 85</t>
  </si>
  <si>
    <t>6 x 3</t>
  </si>
  <si>
    <t>ACTIVE</t>
  </si>
  <si>
    <t>3-pin voltage supervisor (reset IC) with active-low &amp; open-drain reset</t>
  </si>
  <si>
    <t>Reset &amp; watchdog ICs</t>
  </si>
  <si>
    <t>Catalog</t>
  </si>
  <si>
    <t>SOT-23</t>
  </si>
  <si>
    <t/>
  </si>
  <si>
    <t>-40 to 125</t>
  </si>
  <si>
    <t>2.92 x 2.37</t>
  </si>
  <si>
    <t>ACTIVE</t>
  </si>
  <si>
    <t>3-pin voltage supervisor (reset IC) with active-high, push-pull reset</t>
  </si>
  <si>
    <t>Reset &amp; watchdog ICs</t>
  </si>
  <si>
    <t>Catalog</t>
  </si>
  <si>
    <t>SOT-23</t>
  </si>
  <si>
    <t/>
  </si>
  <si>
    <t>-40 to 125</t>
  </si>
  <si>
    <t>2.92 x 2.37</t>
  </si>
  <si>
    <t>ACTIVE</t>
  </si>
  <si>
    <t>Fully Programmable LCD Bias IC for TV with 6-Channel Gamma Buffer, Vcom Reference and Dynamic Gain</t>
  </si>
  <si>
    <t>LCD &amp; OLED display power &amp; drivers</t>
  </si>
  <si>
    <t>Catalog</t>
  </si>
  <si>
    <t>Boost,Buck</t>
  </si>
  <si>
    <t>VQFN</t>
  </si>
  <si>
    <t/>
  </si>
  <si>
    <t>-40 to 85</t>
  </si>
  <si>
    <t>6 x 6</t>
  </si>
  <si>
    <t>ACTIVE</t>
  </si>
  <si>
    <t>4.5-42V Wide Vin, Current Mode Synchronous Buck Controller with Tracking</t>
  </si>
  <si>
    <t>AC/DC &amp; DC/DC controllers (external FET)</t>
  </si>
  <si>
    <t>Catalog</t>
  </si>
  <si>
    <t>Buck Controller</t>
  </si>
  <si>
    <t>HTSSOP,WQFN</t>
  </si>
  <si>
    <t/>
  </si>
  <si>
    <t>-40 to 125</t>
  </si>
  <si>
    <t>20,24</t>
  </si>
  <si>
    <t>16,41.6</t>
  </si>
  <si>
    <t>4 x 4,6.5 x 6.4</t>
  </si>
  <si>
    <t>0.8,1.2</t>
  </si>
  <si>
    <t>0.5,0.65</t>
  </si>
  <si>
    <t>ACTIVE</t>
  </si>
  <si>
    <t>30-V, N channel synchronous buck NexFET™ power MOSFET, SON 5 mm x 6 mm power block, 25 A</t>
  </si>
  <si>
    <t>MOSFETs</t>
  </si>
  <si>
    <t>Catalog</t>
  </si>
  <si>
    <t>LSON-CLIP</t>
  </si>
  <si>
    <t/>
  </si>
  <si>
    <t>-55 to 150</t>
  </si>
  <si>
    <t>5 x 6</t>
  </si>
  <si>
    <t>ACTIVE</t>
  </si>
  <si>
    <t>200-mA, low-IQ, negative, adjustable low-dropout voltage regulator with enable</t>
  </si>
  <si>
    <t>Linear &amp; low-dropout (LDO) regulators</t>
  </si>
  <si>
    <t>Catalog</t>
  </si>
  <si>
    <t>HVSSOP</t>
  </si>
  <si>
    <t/>
  </si>
  <si>
    <t>-40 to 125</t>
  </si>
  <si>
    <t>3 x 4.9</t>
  </si>
  <si>
    <t>ACTIVE</t>
  </si>
  <si>
    <t>30-V, N channel NexFET™ power MOSFET, single SON 5 mm x 6 mm, 12.4 mOhm</t>
  </si>
  <si>
    <t>MOSFETs</t>
  </si>
  <si>
    <t>Catalog</t>
  </si>
  <si>
    <t>VSONP</t>
  </si>
  <si>
    <t/>
  </si>
  <si>
    <t>-55 to 150</t>
  </si>
  <si>
    <t>4.9 x 6</t>
  </si>
  <si>
    <t>ACTIVE</t>
  </si>
  <si>
    <t>30-V, N channel NexFET™ power MOSFET, single SON 5 mm x 6 mm, 15.5 mOhm</t>
  </si>
  <si>
    <t>MOSFETs</t>
  </si>
  <si>
    <t>Catalog</t>
  </si>
  <si>
    <t>VSONP</t>
  </si>
  <si>
    <t/>
  </si>
  <si>
    <t>-55 to 150</t>
  </si>
  <si>
    <t>4.9 x 6</t>
  </si>
  <si>
    <t>ACTIVE</t>
  </si>
  <si>
    <t>30-V, N channel NexFET™ power MOSFET, single SON 5 mm x 6 mm, 8.1 mOhm</t>
  </si>
  <si>
    <t>MOSFETs</t>
  </si>
  <si>
    <t>Catalog</t>
  </si>
  <si>
    <t>VSONP</t>
  </si>
  <si>
    <t/>
  </si>
  <si>
    <t>-55 to 150</t>
  </si>
  <si>
    <t>4.9 x 6</t>
  </si>
  <si>
    <t>ACTIVE</t>
  </si>
  <si>
    <t>30-V, N channel NexFET™ power MOSFET, single SON 5 mm x 6 mm, 10.8 mOhm</t>
  </si>
  <si>
    <t>MOSFETs</t>
  </si>
  <si>
    <t>Catalog</t>
  </si>
  <si>
    <t>VSONP</t>
  </si>
  <si>
    <t/>
  </si>
  <si>
    <t>-55 to 150</t>
  </si>
  <si>
    <t>4.9 x 6</t>
  </si>
  <si>
    <t>ACTIVE</t>
  </si>
  <si>
    <t>Automotive 100mA 30V low-dropout voltage regulator with power good and enable</t>
  </si>
  <si>
    <t>Linear &amp; low-dropout (LDO) regulators</t>
  </si>
  <si>
    <t>Automotive</t>
  </si>
  <si>
    <t>SOIC,WSON</t>
  </si>
  <si>
    <t>Functional Safety-Capable</t>
  </si>
  <si>
    <t>-40 to 125</t>
  </si>
  <si>
    <t>9,29.4</t>
  </si>
  <si>
    <t>3 x 3,4.9 x 6</t>
  </si>
  <si>
    <t>0.73,1.75</t>
  </si>
  <si>
    <t>0.5,1.27</t>
  </si>
  <si>
    <t>ACTIVE</t>
  </si>
  <si>
    <t>3.6-V, 4-A, 5.3-mΩ load switch with output discharge</t>
  </si>
  <si>
    <t>Load switches</t>
  </si>
  <si>
    <t>Catalog</t>
  </si>
  <si>
    <t>DSBGA</t>
  </si>
  <si>
    <t/>
  </si>
  <si>
    <t>-40 to 85</t>
  </si>
  <si>
    <t>2.25 x 1.25</t>
  </si>
  <si>
    <t>ACTIVE</t>
  </si>
  <si>
    <t>0.5-2.5A adjustable, 2 settable ILIMIT, 4.5-5.5V, 73mΩ USB power switch, active-high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</si>
  <si>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</si>
  <si>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</si>
  <si>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</si>
  <si>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</si>
  <si>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</si>
  <si>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</si>
  <si>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</si>
  <si>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0.5-2.5A adjustable, 2 settable ILIMIT, 4.5-5.5V,&amp;nbsp;73m&amp;Omega; USB power switch, active-low&lt;/p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</si>
  <si>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</si>
  <si>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</si>
  <si>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</si>
  <si>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</si>
  <si>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</si>
  <si>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</si>
  <si>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</si>
  <si>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Automotive 300-mA, off-battery (40-V), low-IQ, low-dropout voltage regulator with watchdog timer</t>
  </si>
  <si>
    <t>Linear &amp; low-dropout (LDO) regulators</t>
  </si>
  <si>
    <t>Automotive</t>
  </si>
  <si>
    <t>HTSSOP,VSON</t>
  </si>
  <si>
    <t/>
  </si>
  <si>
    <t>-40 to 125</t>
  </si>
  <si>
    <t>10,14</t>
  </si>
  <si>
    <t>12,32</t>
  </si>
  <si>
    <t>4 x 3,5 x 6.4</t>
  </si>
  <si>
    <t>1,1.2</t>
  </si>
  <si>
    <t>0.5,0.65</t>
  </si>
  <si>
    <t>ACTIVE</t>
  </si>
  <si>
    <t>6MHz, 750mA Miniature, Adjustable, Step-Down DC-DC Converter with Bypass</t>
  </si>
  <si>
    <t>AC/DC &amp; DC/DC converters (integrated FET)</t>
  </si>
  <si>
    <t>Catalog</t>
  </si>
  <si>
    <t>Buck</t>
  </si>
  <si>
    <t>DSBGA</t>
  </si>
  <si>
    <t/>
  </si>
  <si>
    <t>-30 to 90</t>
  </si>
  <si>
    <t>1.4000000000000001 x 1.4000000000000001</t>
  </si>
  <si>
    <t>ACTIVE</t>
  </si>
  <si>
    <t>Automotive 4.5V to 18V, 2A Synchronous Buck Converter with DCAP2 Mode</t>
  </si>
  <si>
    <t>AC/DC &amp; DC/DC converters (integrated FET)</t>
  </si>
  <si>
    <t>Automotive</t>
  </si>
  <si>
    <t>Buck</t>
  </si>
  <si>
    <t>HTSSOP</t>
  </si>
  <si>
    <t/>
  </si>
  <si>
    <t>-40 to 105</t>
  </si>
  <si>
    <t>5 x 6.4</t>
  </si>
  <si>
    <t>ACTIVE</t>
  </si>
  <si>
    <t>Automotive 4.5V to 18V, 3A Synchronous Buck Converter with DCAP2 Mode</t>
  </si>
  <si>
    <t>AC/DC &amp; DC/DC converters (integrated FET)</t>
  </si>
  <si>
    <t>Automotive</t>
  </si>
  <si>
    <t>Buck</t>
  </si>
  <si>
    <t>HTSSOP</t>
  </si>
  <si>
    <t/>
  </si>
  <si>
    <t>-40 to 105</t>
  </si>
  <si>
    <t>5 x 6.4</t>
  </si>
  <si>
    <t>ACTIVE</t>
  </si>
  <si>
    <t>1.5-A, low-VIN (1.2-V), ultra-low-dropout voltage regulator</t>
  </si>
  <si>
    <t>Linear &amp; low-dropout (LDO) regulators</t>
  </si>
  <si>
    <t>Catalog</t>
  </si>
  <si>
    <t>VSSOP</t>
  </si>
  <si>
    <t/>
  </si>
  <si>
    <t>-40 to 125</t>
  </si>
  <si>
    <t>3 x 4.9</t>
  </si>
  <si>
    <t>ACTIVE</t>
  </si>
  <si>
    <t>18-CH Gamma-Voltage Generator w/Two High Slew Rate VCOMs</t>
  </si>
  <si>
    <t>LCD &amp; OLED display power &amp; drivers</t>
  </si>
  <si>
    <t>Catalog</t>
  </si>
  <si>
    <t>VQFN</t>
  </si>
  <si>
    <t/>
  </si>
  <si>
    <t>-40 to 85</t>
  </si>
  <si>
    <t>7 x 5</t>
  </si>
  <si>
    <t>ACTIVE</t>
  </si>
  <si>
    <t>Automotive 1.5V to 6.5V, two buck and three LDO Power Management IC (PMIC)</t>
  </si>
  <si>
    <t>Multi-channel ICs (PMICs)</t>
  </si>
  <si>
    <t>Automotive</t>
  </si>
  <si>
    <t>VQFN</t>
  </si>
  <si>
    <t/>
  </si>
  <si>
    <t>-40 to 85</t>
  </si>
  <si>
    <t>4 x 4</t>
  </si>
  <si>
    <t>ACTIVE</t>
  </si>
  <si>
    <t>2.95V to 6V Input, 4A Synchronous Step-Down SWIFT™ Converter with Hiccup Current Limit</t>
  </si>
  <si>
    <t>AC/DC &amp; DC/DC converters (integrated FET)</t>
  </si>
  <si>
    <t>Catalog</t>
  </si>
  <si>
    <t>Buck</t>
  </si>
  <si>
    <t>WQFN</t>
  </si>
  <si>
    <t/>
  </si>
  <si>
    <t>-40 to 150</t>
  </si>
  <si>
    <t>3 x 3</t>
  </si>
  <si>
    <t>ACTIVE</t>
  </si>
  <si>
    <t>13-Channel Level Shifter with Op-Amp for LCD TVs and Monitors</t>
  </si>
  <si>
    <t>LCD &amp; OLED display power &amp; drivers</t>
  </si>
  <si>
    <t>Catalog</t>
  </si>
  <si>
    <t>WQFN</t>
  </si>
  <si>
    <t/>
  </si>
  <si>
    <t>-40 to 85</t>
  </si>
  <si>
    <t>4 x 4</t>
  </si>
  <si>
    <t>ACTIVE</t>
  </si>
  <si>
    <t>4.5V to 16V input, 2.5A/3.5A output Dual Buck Converter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</si>
  <si>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</si>
  <si>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</si>
  <si>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</si>
  <si>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</si>
  <si>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</si>
  <si>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</si>
  <si>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</si>
  <si>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</si>
  <si>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30 V 25 A SON 5 x 6 mm synchronous buck NexFET™ power stage</t>
  </si>
  <si>
    <t>Si power stages</t>
  </si>
  <si>
    <t>Catalog</t>
  </si>
  <si>
    <t>LSON-CLIP</t>
  </si>
  <si>
    <t/>
  </si>
  <si>
    <t>-55 to 150</t>
  </si>
  <si>
    <t>6 x 5</t>
  </si>
  <si>
    <t>ACTIVE</t>
  </si>
  <si>
    <t>16-ch constant current LED driver with 7-bit global brightness, power-Save, and self-diagnostics</t>
  </si>
  <si>
    <t>LED display drivers</t>
  </si>
  <si>
    <t>Catalog</t>
  </si>
  <si>
    <t>HTSSOP,SSOP,VQFN</t>
  </si>
  <si>
    <t/>
  </si>
  <si>
    <t>-40 to 85</t>
  </si>
  <si>
    <t>16,49.92,51.9</t>
  </si>
  <si>
    <t>4 x 4,7.8 x 6.4,8.65 x 6</t>
  </si>
  <si>
    <t>1,1.2,1.75</t>
  </si>
  <si>
    <t>0.5,0.635,0.65</t>
  </si>
  <si>
    <t>ACTIVE</t>
  </si>
  <si>
    <t>2.95V To 6V Input, 2W, Isolated DC/DC Converter with Integrated FETS</t>
  </si>
  <si>
    <t>AC/DC &amp; DC/DC controllers (external FET)</t>
  </si>
  <si>
    <t>Catalog</t>
  </si>
  <si>
    <t>Boost,PFC controller</t>
  </si>
  <si>
    <t>WQFN</t>
  </si>
  <si>
    <t/>
  </si>
  <si>
    <t>-40 to 150</t>
  </si>
  <si>
    <t>3 x 3</t>
  </si>
  <si>
    <t>ACTIVE</t>
  </si>
  <si>
    <t>Power Management IC (PMIC) for Active Shutter 3D Glasses</t>
  </si>
  <si>
    <t>Multi-channel ICs (PMICs)</t>
  </si>
  <si>
    <t>Catalog</t>
  </si>
  <si>
    <t>WQFN</t>
  </si>
  <si>
    <t/>
  </si>
  <si>
    <t>-40 to 85</t>
  </si>
  <si>
    <t>4 x 4</t>
  </si>
  <si>
    <t>ACTIVE</t>
  </si>
  <si>
    <t>Synchronous boost flash driver w/ dual 1A high side current sources (2A Total flash current)</t>
  </si>
  <si>
    <t>Illumination  LED drivers</t>
  </si>
  <si>
    <t>Catalog</t>
  </si>
  <si>
    <t>Boost,current mode</t>
  </si>
  <si>
    <t>DSBGA</t>
  </si>
  <si>
    <t/>
  </si>
  <si>
    <t>-40 to 85</t>
  </si>
  <si>
    <t>2.25 x 2.25</t>
  </si>
  <si>
    <t>ACTIVE</t>
  </si>
  <si>
    <t>Automotive Grade 2.95-5.5V, 3A, Current Mode Synchronous Buck Regulator with Adjustable Frequency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</si>
  <si>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</si>
  <si>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</si>
  <si>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</si>
  <si>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</si>
  <si>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</si>
  <si>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</si>
  <si>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</si>
  <si>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</si>
  <si>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Low Input Voltage, 6A Synchronous Step-Down SWIFT&amp;trade; Converter for DDR Memory Termination</t>
  </si>
  <si>
    <t>Multi-channel ICs (PMICs),DDR memory power ICs</t>
  </si>
  <si>
    <t>Catalog</t>
  </si>
  <si>
    <t>VQFN</t>
  </si>
  <si>
    <t/>
  </si>
  <si>
    <t>-40 to 85</t>
  </si>
  <si>
    <t>4 x 3.5</t>
  </si>
  <si>
    <t>ACTIVE</t>
  </si>
  <si>
    <t>6-channel WLED driver with Four integrated LDOs</t>
  </si>
  <si>
    <t>Backlight LED drivers</t>
  </si>
  <si>
    <t>Catalog</t>
  </si>
  <si>
    <t>Multi-Channel</t>
  </si>
  <si>
    <t>DSBGA</t>
  </si>
  <si>
    <t/>
  </si>
  <si>
    <t>-30 to 110</t>
  </si>
  <si>
    <t>2.5999999999999996 x 2.2</t>
  </si>
  <si>
    <t>ACTIVE</t>
  </si>
  <si>
    <t>Dual Output or Two-phase Synchronous Buck Controller</t>
  </si>
  <si>
    <t>AC/DC &amp; DC/DC controllers (external FET)</t>
  </si>
  <si>
    <t>Catalog</t>
  </si>
  <si>
    <t>Multiphase</t>
  </si>
  <si>
    <t>VQFN</t>
  </si>
  <si>
    <t/>
  </si>
  <si>
    <t>-40 to 125</t>
  </si>
  <si>
    <t>5 x 5</t>
  </si>
  <si>
    <t>ACTIVE</t>
  </si>
  <si>
    <t>7V to 18V Input, 4.5A Synchronous Step-Down DCAP2 Mode Converter</t>
  </si>
  <si>
    <t>AC/DC &amp; DC/DC converters (integrated FET)</t>
  </si>
  <si>
    <t>Catalog</t>
  </si>
  <si>
    <t>Buck</t>
  </si>
  <si>
    <t>HTSSOP</t>
  </si>
  <si>
    <t/>
  </si>
  <si>
    <t>-20 to 85</t>
  </si>
  <si>
    <t>5 x 6.4</t>
  </si>
  <si>
    <t>ACTIVE</t>
  </si>
  <si>
    <t>7V to 18V Input, 4.5A Synchronous Step-Down DCAP2 Mode Converter with Eco-Mode</t>
  </si>
  <si>
    <t>AC/DC &amp; DC/DC converters (integrated FET)</t>
  </si>
  <si>
    <t>Catalog</t>
  </si>
  <si>
    <t>Buck</t>
  </si>
  <si>
    <t>HTSSOP,VQFN</t>
  </si>
  <si>
    <t/>
  </si>
  <si>
    <t>-20 to 85</t>
  </si>
  <si>
    <t>14,16</t>
  </si>
  <si>
    <t>16,32</t>
  </si>
  <si>
    <t>4 x 4,5 x 6.4</t>
  </si>
  <si>
    <t>1,1.2</t>
  </si>
  <si>
    <t>ACTIVE</t>
  </si>
  <si>
    <t>3-18V, 5A, Current Mode Synchronous Buck Regulator with Adjustable Frequency</t>
  </si>
  <si>
    <t>AC/DC &amp; DC/DC converters (integrated FET)</t>
  </si>
  <si>
    <t>Catalog</t>
  </si>
  <si>
    <t>Buck</t>
  </si>
  <si>
    <t>WQFN</t>
  </si>
  <si>
    <t/>
  </si>
  <si>
    <t>-40 to 85</t>
  </si>
  <si>
    <t>5 x 5</t>
  </si>
  <si>
    <t>ACTIVE</t>
  </si>
  <si>
    <t>8-channel WLED driver with Four integrated LDOs</t>
  </si>
  <si>
    <t>Backlight LED drivers</t>
  </si>
  <si>
    <t>Catalog</t>
  </si>
  <si>
    <t>Boost,Multi-Channel</t>
  </si>
  <si>
    <t>DSBGA</t>
  </si>
  <si>
    <t/>
  </si>
  <si>
    <t>-30 to 110</t>
  </si>
  <si>
    <t>2.5999999999999996 x 2.2</t>
  </si>
  <si>
    <t>ACTIVE</t>
  </si>
  <si>
    <t>Processor Core Supply with I2C Compatible Interface and Remote Sense. 0.77 to 1.4 Vout</t>
  </si>
  <si>
    <t>AC/DC &amp; DC/DC converters (integrated FET)</t>
  </si>
  <si>
    <t>Catalog</t>
  </si>
  <si>
    <t>Buck</t>
  </si>
  <si>
    <t>DSBGA</t>
  </si>
  <si>
    <t/>
  </si>
  <si>
    <t>-40 to 85</t>
  </si>
  <si>
    <t>2.25 x 2.25</t>
  </si>
  <si>
    <t>ACTIVE</t>
  </si>
  <si>
    <t>Processor Core Supply with I2C Compatible Interface and Remote Sense. 0.5 to 1.77 Vout</t>
  </si>
  <si>
    <t>AC/DC &amp; DC/DC converters (integrated FET)</t>
  </si>
  <si>
    <t>Catalog</t>
  </si>
  <si>
    <t>Buck</t>
  </si>
  <si>
    <t>DSBGA</t>
  </si>
  <si>
    <t/>
  </si>
  <si>
    <t>-40 to 85</t>
  </si>
  <si>
    <t>2.25 x 2.25</t>
  </si>
  <si>
    <t>ACTIVE</t>
  </si>
  <si>
    <t>Synchronous boost flash driver with dual 900 mA high side current sources (1.8A Total flash current</t>
  </si>
  <si>
    <t>Illumination  LED drivers</t>
  </si>
  <si>
    <t>Catalog</t>
  </si>
  <si>
    <t>Boost,current mode</t>
  </si>
  <si>
    <t>DSBGA</t>
  </si>
  <si>
    <t/>
  </si>
  <si>
    <t>-40 to 85</t>
  </si>
  <si>
    <t>2.25 x 2.25</t>
  </si>
  <si>
    <t>ACTIVE</t>
  </si>
  <si>
    <t>PMIC for E-Ink® Vizplex™ Enabled Electronic Paper Display w/ Active Discharge</t>
  </si>
  <si>
    <t>Multi-channel ICs (PMICs)</t>
  </si>
  <si>
    <t>Catalog</t>
  </si>
  <si>
    <t>VQFN</t>
  </si>
  <si>
    <t/>
  </si>
  <si>
    <t>-40 to 85</t>
  </si>
  <si>
    <t>36,49</t>
  </si>
  <si>
    <t>6 x 6,7 x 7</t>
  </si>
  <si>
    <t>0.4,0.5</t>
  </si>
  <si>
    <t>ACTIVE</t>
  </si>
  <si>
    <t>Step Down Converter with Bypass Mode for Ultra Low Power Wireless Applications</t>
  </si>
  <si>
    <t>AC/DC &amp; DC/DC converters (integrated FET)</t>
  </si>
  <si>
    <t>Catalog</t>
  </si>
  <si>
    <t>Buck</t>
  </si>
  <si>
    <t>USON</t>
  </si>
  <si>
    <t/>
  </si>
  <si>
    <t>-40 to 85</t>
  </si>
  <si>
    <t>1.45 x 1</t>
  </si>
  <si>
    <t>ACTIVE</t>
  </si>
  <si>
    <t>600mA, High-Efficiency MicroSiP&amp;trade; Step-Down Converter Module (Profile &lt;1.0mm).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</si>
  <si>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</si>
  <si>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</si>
  <si>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</si>
  <si>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</si>
  <si>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</si>
  <si>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</si>
  <si>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</si>
  <si>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</si>
  <si>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Buck PFC controller</t>
  </si>
  <si>
    <t>AC/DC &amp; DC/DC controllers (external FET)</t>
  </si>
  <si>
    <t>Catalog</t>
  </si>
  <si>
    <t>Boost,PFC controller</t>
  </si>
  <si>
    <t>TSSOP</t>
  </si>
  <si>
    <t/>
  </si>
  <si>
    <t>-40 to 85</t>
  </si>
  <si>
    <t>5 x 6.4</t>
  </si>
  <si>
    <t>ACTIVE</t>
  </si>
  <si>
    <t>Tiny Low Input Voltage Boost Converter with 3.3 Output Voltage</t>
  </si>
  <si>
    <t>AC/DC &amp; DC/DC converters (integrated FET)</t>
  </si>
  <si>
    <t>Catalog</t>
  </si>
  <si>
    <t>Boost</t>
  </si>
  <si>
    <t>WSON</t>
  </si>
  <si>
    <t/>
  </si>
  <si>
    <t>-40 to 125</t>
  </si>
  <si>
    <t>2 x 2</t>
  </si>
  <si>
    <t>ACTIVE</t>
  </si>
  <si>
    <t>1-A, low-dropout voltage regulator</t>
  </si>
  <si>
    <t>Linear &amp; low-dropout (LDO) regulators</t>
  </si>
  <si>
    <t>Catalog</t>
  </si>
  <si>
    <t>SOT-223</t>
  </si>
  <si>
    <t/>
  </si>
  <si>
    <t>-40 to 125</t>
  </si>
  <si>
    <t>6.5 x 7</t>
  </si>
  <si>
    <t>ACTIVE</t>
  </si>
  <si>
    <t>4.5-V to 25-V, 6-A synchronous buck converter</t>
  </si>
  <si>
    <t>AC/DC &amp; DC/DC converters (integrated FET)</t>
  </si>
  <si>
    <t>Catalog</t>
  </si>
  <si>
    <t>Buck</t>
  </si>
  <si>
    <t>VQFN</t>
  </si>
  <si>
    <t/>
  </si>
  <si>
    <t>-40 to 85</t>
  </si>
  <si>
    <t>7 x 5</t>
  </si>
  <si>
    <t>ACTIVE</t>
  </si>
  <si>
    <t>4.7V to 60V Input, 50mA Synchronous Step-Down Converter with Low IQ</t>
  </si>
  <si>
    <t>AC/DC &amp; DC/DC converters (integrated FET)</t>
  </si>
  <si>
    <t>Catalog</t>
  </si>
  <si>
    <t>Buck</t>
  </si>
  <si>
    <t>VSON,VSSOP</t>
  </si>
  <si>
    <t/>
  </si>
  <si>
    <t>-40 to 125</t>
  </si>
  <si>
    <t>9,14.7</t>
  </si>
  <si>
    <t>3 x 3,3 x 4.9</t>
  </si>
  <si>
    <t>1,1.1</t>
  </si>
  <si>
    <t>ACTIVE</t>
  </si>
  <si>
    <t>Tiny Low Input Voltage Boost Converter with Adjustable Output Voltage</t>
  </si>
  <si>
    <t>AC/DC &amp; DC/DC converters (integrated FET)</t>
  </si>
  <si>
    <t>Catalog</t>
  </si>
  <si>
    <t>Boost</t>
  </si>
  <si>
    <t>WSON</t>
  </si>
  <si>
    <t/>
  </si>
  <si>
    <t>-40 to 85</t>
  </si>
  <si>
    <t>2 x 2</t>
  </si>
  <si>
    <t>ACTIVE</t>
  </si>
  <si>
    <t>4.5 V to 18 V input, 2 A synchronous step-down converter in HSOP and VSON package</t>
  </si>
  <si>
    <t>AC/DC &amp; DC/DC converters (integrated FET)</t>
  </si>
  <si>
    <t>Catalog</t>
  </si>
  <si>
    <t>Buck</t>
  </si>
  <si>
    <t>HSOIC,VSON</t>
  </si>
  <si>
    <t/>
  </si>
  <si>
    <t>-40 to 85</t>
  </si>
  <si>
    <t>8,10</t>
  </si>
  <si>
    <t>9,29.4</t>
  </si>
  <si>
    <t>3 x 3,4.9 x 6</t>
  </si>
  <si>
    <t>1,1.7</t>
  </si>
  <si>
    <t>0.5,1.27</t>
  </si>
  <si>
    <t>ACTIVE</t>
  </si>
  <si>
    <t>4.5V to 18V Input, 2-A Synchronous Step-Down Converter with Eco-mode™</t>
  </si>
  <si>
    <t>AC/DC &amp; DC/DC converters (integrated FET)</t>
  </si>
  <si>
    <t>Catalog</t>
  </si>
  <si>
    <t>Buck</t>
  </si>
  <si>
    <t>HSOIC,SOIC,VSON</t>
  </si>
  <si>
    <t/>
  </si>
  <si>
    <t>-40 to 85</t>
  </si>
  <si>
    <t>8,10</t>
  </si>
  <si>
    <t>9,29.4</t>
  </si>
  <si>
    <t>3 x 3,4.9 x 6</t>
  </si>
  <si>
    <t>1,1.7,1.75</t>
  </si>
  <si>
    <t>0.5,1.27</t>
  </si>
  <si>
    <t>ACTIVE</t>
  </si>
  <si>
    <t>2A Peak Sink/Source DDR Termination Regulator with VTTREF Buffered Reference for DDR2/3/3L/4</t>
  </si>
  <si>
    <t>Multi-channel ICs (PMICs),DDR memory power ICs</t>
  </si>
  <si>
    <t>Catalog</t>
  </si>
  <si>
    <t>WSON</t>
  </si>
  <si>
    <t/>
  </si>
  <si>
    <t>-40 to 105</t>
  </si>
  <si>
    <t>2 x 2</t>
  </si>
  <si>
    <t>ACTIVE</t>
  </si>
  <si>
    <t>Integrated Power Management IC (PMIC) with 3 DC/DC's, 4 LDO's, USB HS Transceiver</t>
  </si>
  <si>
    <t>Multi-channel ICs (PMICs)</t>
  </si>
  <si>
    <t>Catalog</t>
  </si>
  <si>
    <t>NFBGA</t>
  </si>
  <si>
    <t/>
  </si>
  <si>
    <t>-40 to 85</t>
  </si>
  <si>
    <t>10 x 10</t>
  </si>
  <si>
    <t>ACTIVE</t>
  </si>
  <si>
    <t>Integrated Power Management IC (PMIC) with 3 DC/DC's, 4 LDO's, Audio Codec, USB HS Transceiver</t>
  </si>
  <si>
    <t>Multi-channel ICs (PMICs)</t>
  </si>
  <si>
    <t>Catalog</t>
  </si>
  <si>
    <t>NFBGA</t>
  </si>
  <si>
    <t/>
  </si>
  <si>
    <t>-40 to 85</t>
  </si>
  <si>
    <t>10 x 10</t>
  </si>
  <si>
    <t>ACTIVE</t>
  </si>
  <si>
    <t>5.5-65V Wide Vin, Current Mode Synchronous Buck Controller with Analog Current Monitor</t>
  </si>
  <si>
    <t>AC/DC &amp; DC/DC controllers (external FET)</t>
  </si>
  <si>
    <t>Catalog</t>
  </si>
  <si>
    <t>Buck</t>
  </si>
  <si>
    <t>HTSSOP,WQFN</t>
  </si>
  <si>
    <t/>
  </si>
  <si>
    <t>-40 to 125</t>
  </si>
  <si>
    <t>20,24</t>
  </si>
  <si>
    <t>16,41.6</t>
  </si>
  <si>
    <t>4 x 4,6.5 x 6.4</t>
  </si>
  <si>
    <t>0.8,1.2</t>
  </si>
  <si>
    <t>0.5,0.65</t>
  </si>
  <si>
    <t>ACTIVE</t>
  </si>
  <si>
    <t>Automotive Grade 5.5-65V Wide Vin, Current Mode Synchronous Buck Controller w Analog Current Monitor</t>
  </si>
  <si>
    <t>AC/DC &amp; DC/DC controllers (external FET)</t>
  </si>
  <si>
    <t>Automotive</t>
  </si>
  <si>
    <t>Buck</t>
  </si>
  <si>
    <t>HTSSOP,WQFN</t>
  </si>
  <si>
    <t/>
  </si>
  <si>
    <t>-40 to 125</t>
  </si>
  <si>
    <t>20,24</t>
  </si>
  <si>
    <t>16,41.6</t>
  </si>
  <si>
    <t>4 x 4,6.5 x 6.4</t>
  </si>
  <si>
    <t>0.8,1.2</t>
  </si>
  <si>
    <t>0.5,0.65</t>
  </si>
  <si>
    <t>ACTIVE</t>
  </si>
  <si>
    <t>Digital Control Compatible Synchronous-Buck Gate Driver with Current Sense and Fault Protection</t>
  </si>
  <si>
    <t>AC/DC &amp; DC/DC controllers (external FET)</t>
  </si>
  <si>
    <t>Catalog</t>
  </si>
  <si>
    <t>WQFN</t>
  </si>
  <si>
    <t/>
  </si>
  <si>
    <t>-40 to 125</t>
  </si>
  <si>
    <t>4 x 4</t>
  </si>
  <si>
    <t>ACTIVE</t>
  </si>
  <si>
    <t>Digital Synchronous Buck Power Driver</t>
  </si>
  <si>
    <t>AC/DC &amp; DC/DC controllers (external FET)</t>
  </si>
  <si>
    <t>Catalog</t>
  </si>
  <si>
    <t>VQFN-HR</t>
  </si>
  <si>
    <t/>
  </si>
  <si>
    <t>-40 to 125</t>
  </si>
  <si>
    <t>3 x 3</t>
  </si>
  <si>
    <t>ACTIVE</t>
  </si>
  <si>
    <t>8A SIMPLE SWITCHER&amp;reg; Power Module with 36V Maximum Input Voltage</t>
  </si>
  <si>
    <t>Power modules (integrated inductor)</t>
  </si>
  <si>
    <t>Catalog</t>
  </si>
  <si>
    <t>Buck,Inverting Buck-Boost,Synchronous Buck</t>
  </si>
  <si>
    <t>TO-PMOD</t>
  </si>
  <si>
    <t/>
  </si>
  <si>
    <t>-40 to 85</t>
  </si>
  <si>
    <t>15 x 17.79</t>
  </si>
  <si>
    <t>ACTIVE</t>
  </si>
  <si>
    <t>10A SIMPLE SWITCHER&amp;reg; Power Module with 36V Maximum Input Voltage</t>
  </si>
  <si>
    <t>Power modules (integrated inductor)</t>
  </si>
  <si>
    <t>Catalog</t>
  </si>
  <si>
    <t>Buck,Inverting Buck-Boost,Synchronous Buck</t>
  </si>
  <si>
    <t>TO-PMOD</t>
  </si>
  <si>
    <t/>
  </si>
  <si>
    <t>-40 to 85</t>
  </si>
  <si>
    <t>15 x 17.79</t>
  </si>
  <si>
    <t>ACTIVE</t>
  </si>
  <si>
    <t>8A SIMPLE SWITCHER&amp;reg; Power Module with 36V Maximum Input Voltage and Current Sharing</t>
  </si>
  <si>
    <t>Power modules (integrated inductor)</t>
  </si>
  <si>
    <t>Catalog</t>
  </si>
  <si>
    <t>Buck,Inverting Buck-Boost,Synchronous Buck</t>
  </si>
  <si>
    <t>TO-PMOD</t>
  </si>
  <si>
    <t/>
  </si>
  <si>
    <t>-40 to 85</t>
  </si>
  <si>
    <t>15 x 17.79</t>
  </si>
  <si>
    <t>ACTIVE</t>
  </si>
  <si>
    <t>2.5-V to 18-V hot swap controller</t>
  </si>
  <si>
    <t>Hot-swap controllers</t>
  </si>
  <si>
    <t>Catalog</t>
  </si>
  <si>
    <t>VSSOP</t>
  </si>
  <si>
    <t/>
  </si>
  <si>
    <t>-40 to 85</t>
  </si>
  <si>
    <t>3 x 4.9</t>
  </si>
  <si>
    <t>ACTIVE</t>
  </si>
  <si>
    <t>2.5-V to 18-V hot swap controller with soft-start</t>
  </si>
  <si>
    <t>Hot-swap controllers</t>
  </si>
  <si>
    <t>Catalog</t>
  </si>
  <si>
    <t>VSSOP</t>
  </si>
  <si>
    <t/>
  </si>
  <si>
    <t>-40 to 85</t>
  </si>
  <si>
    <t>3 x 4.9</t>
  </si>
  <si>
    <t>ACTIVE</t>
  </si>
  <si>
    <t>2.5-V to 18-V hot swap controller with power limiting with fault output</t>
  </si>
  <si>
    <t>Hot-swap controllers</t>
  </si>
  <si>
    <t>Catalog</t>
  </si>
  <si>
    <t>VSSOP</t>
  </si>
  <si>
    <t/>
  </si>
  <si>
    <t>-40 to 85</t>
  </si>
  <si>
    <t>3 x 4.9</t>
  </si>
  <si>
    <t>ACTIVE</t>
  </si>
  <si>
    <t>2.5-V to 18-V hot swap controller with power limiting</t>
  </si>
  <si>
    <t>Hot-swap controllers</t>
  </si>
  <si>
    <t>Catalog</t>
  </si>
  <si>
    <t>VSSOP</t>
  </si>
  <si>
    <t/>
  </si>
  <si>
    <t>-40 to 85</t>
  </si>
  <si>
    <t>3 x 4.9</t>
  </si>
  <si>
    <t>ACTIVE</t>
  </si>
  <si>
    <t>2.5-V to 18-V hot swap controller with power limiting with soft-start</t>
  </si>
  <si>
    <t>Hot-swap controllers</t>
  </si>
  <si>
    <t>Catalog</t>
  </si>
  <si>
    <t>VSSOP</t>
  </si>
  <si>
    <t/>
  </si>
  <si>
    <t>-40 to 85</t>
  </si>
  <si>
    <t>3 x 4.9</t>
  </si>
  <si>
    <t>ACTIVE</t>
  </si>
  <si>
    <t>2.5-V to 18-V hot swap controller with power limiting with auto retry fault response</t>
  </si>
  <si>
    <t>Hot-swap controllers</t>
  </si>
  <si>
    <t>Catalog</t>
  </si>
  <si>
    <t>VSSOP</t>
  </si>
  <si>
    <t/>
  </si>
  <si>
    <t>-40 to 85</t>
  </si>
  <si>
    <t>3 x 4.9</t>
  </si>
  <si>
    <t>ACTIVE</t>
  </si>
  <si>
    <t>2.5-V to 18-V hot swap controller with power limiting and current monitoring</t>
  </si>
  <si>
    <t>Hot-swap controllers</t>
  </si>
  <si>
    <t>Catalog</t>
  </si>
  <si>
    <t>VQFN</t>
  </si>
  <si>
    <t/>
  </si>
  <si>
    <t>-40 to 85</t>
  </si>
  <si>
    <t>3 x 3</t>
  </si>
  <si>
    <t>ACTIVE</t>
  </si>
  <si>
    <t>16-Rail Power Supply Sequencer with ACPI Support</t>
  </si>
  <si>
    <t>Sequencers</t>
  </si>
  <si>
    <t>Catalog</t>
  </si>
  <si>
    <t>VQFN</t>
  </si>
  <si>
    <t/>
  </si>
  <si>
    <t>-40 to 125</t>
  </si>
  <si>
    <t>9 x 9</t>
  </si>
  <si>
    <t>ACTIVE</t>
  </si>
  <si>
    <t>5-V to 75-V&amp;nbsp;400-uA IQ ORing FET controller</t>
  </si>
  <si>
    <t>Ideal diode &amp; ORing controllers</t>
  </si>
  <si>
    <t>Catalog</t>
  </si>
  <si>
    <t>SOT-23-THN</t>
  </si>
  <si>
    <t/>
  </si>
  <si>
    <t>-40 to 125</t>
  </si>
  <si>
    <t>2.9 x 2.8</t>
  </si>
  <si>
    <t>ACTIVE</t>
  </si>
  <si>
    <t>PMIC for E Ink Vizplex Enabled Electronic Paper Display</t>
  </si>
  <si>
    <t>Multi-channel ICs (PMICs)</t>
  </si>
  <si>
    <t>Catalog</t>
  </si>
  <si>
    <t>VQFN</t>
  </si>
  <si>
    <t/>
  </si>
  <si>
    <t>-10 to 85</t>
  </si>
  <si>
    <t>7 x 7</t>
  </si>
  <si>
    <t>ACTIVE</t>
  </si>
  <si>
    <t>PMIC for E Ink Vizplex Enabled Electronic Paper Display</t>
  </si>
  <si>
    <t>Multi-channel ICs (PMICs)</t>
  </si>
  <si>
    <t>Catalog</t>
  </si>
  <si>
    <t>VQFN</t>
  </si>
  <si>
    <t/>
  </si>
  <si>
    <t>-10 to 85</t>
  </si>
  <si>
    <t>7 x 7</t>
  </si>
  <si>
    <t>ACTIVE</t>
  </si>
  <si>
    <t>PMIC for E Ink Vizplex Enabled Electronic Paper Display.</t>
  </si>
  <si>
    <t>Multi-channel ICs (PMICs)</t>
  </si>
  <si>
    <t>Catalog</t>
  </si>
  <si>
    <t>VQFN</t>
  </si>
  <si>
    <t/>
  </si>
  <si>
    <t>-10 to 85</t>
  </si>
  <si>
    <t>7 x 7</t>
  </si>
  <si>
    <t>ACTIVE</t>
  </si>
  <si>
    <t>3MHz, 1.6A Step-Down Converter in 2x2mm SON Package, Vout=1.8V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</si>
  <si>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</si>
  <si>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</si>
  <si>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</si>
  <si>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</si>
  <si>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</si>
  <si>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</si>
  <si>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</si>
  <si>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</si>
  <si>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3MHz, 1.6A Step-Down Converter in 2x2mm SON Package, Vout=3.3V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</si>
  <si>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</si>
  <si>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</si>
  <si>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</si>
  <si>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</si>
  <si>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</si>
  <si>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</si>
  <si>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</si>
  <si>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</si>
  <si>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500-mA, 6-MHz High-Efficiency Step-Down Converter, Vout=1.8V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</si>
  <si>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</si>
  <si>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</si>
  <si>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</si>
  <si>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</si>
  <si>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</si>
  <si>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</si>
  <si>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</si>
  <si>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</si>
  <si>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500-mA, 6-MHz High-Efficiency Step-Down Converter, Vout=1.2V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</si>
  <si>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</si>
  <si>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</si>
  <si>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</si>
  <si>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</si>
  <si>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</si>
  <si>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</si>
  <si>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</si>
  <si>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</si>
  <si>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Dual Output AMOLED Display Power Supply</t>
  </si>
  <si>
    <t>LCD &amp; OLED display power &amp; drivers</t>
  </si>
  <si>
    <t>Catalog</t>
  </si>
  <si>
    <t>Boost,Inverting Buck-Boost</t>
  </si>
  <si>
    <t>VSON</t>
  </si>
  <si>
    <t/>
  </si>
  <si>
    <t>-40 to 85</t>
  </si>
  <si>
    <t>3 x 3</t>
  </si>
  <si>
    <t>ACTIVE</t>
  </si>
  <si>
    <t>Space-grade QMLV adjustable precision analog controller</t>
  </si>
  <si>
    <t>Shunt voltage references</t>
  </si>
  <si>
    <t>Space</t>
  </si>
  <si>
    <t>CDIP</t>
  </si>
  <si>
    <t/>
  </si>
  <si>
    <t>-55 to 125</t>
  </si>
  <si>
    <t>9.6 x 6.67</t>
  </si>
  <si>
    <t>ACTIVE</t>
  </si>
  <si>
    <t>12-Rail Power Supply Sequencer and Monitor with ACPI Support</t>
  </si>
  <si>
    <t>Sequencers</t>
  </si>
  <si>
    <t>Catalog</t>
  </si>
  <si>
    <t>VQFN</t>
  </si>
  <si>
    <t/>
  </si>
  <si>
    <t>-40 to 125</t>
  </si>
  <si>
    <t>9 x 9</t>
  </si>
  <si>
    <t>ACTIVE</t>
  </si>
  <si>
    <t>30-V, N channel NexFET™ power MOSFET, single SON 5 mm x 6 mm, 2.9 mOhm</t>
  </si>
  <si>
    <t>MOSFETs</t>
  </si>
  <si>
    <t>Catalog</t>
  </si>
  <si>
    <t>VSONP</t>
  </si>
  <si>
    <t/>
  </si>
  <si>
    <t>-55 to 150</t>
  </si>
  <si>
    <t>4.9 x 6</t>
  </si>
  <si>
    <t>ACTIVE</t>
  </si>
  <si>
    <t>2.95-5.5V, 15A,  Voltage Mode Synchronous Buck Regulator with Frequency Synchronization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</si>
  <si>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</si>
  <si>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</si>
  <si>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</si>
  <si>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</si>
  <si>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</si>
  <si>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</si>
  <si>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</si>
  <si>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</si>
  <si>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Military Grade 1A 5V Output Linear Regulator / LDO</t>
  </si>
  <si>
    <t>Linear &amp; low-dropout (LDO) regulators</t>
  </si>
  <si>
    <t>Military</t>
  </si>
  <si>
    <t>CFP,WAFERSALE</t>
  </si>
  <si>
    <t/>
  </si>
  <si>
    <t>-55 to 125</t>
  </si>
  <si>
    <t>0,16</t>
  </si>
  <si>
    <t>62.9285,See data sheet</t>
  </si>
  <si>
    <t>9.91 x 6.35,See data sheet</t>
  </si>
  <si>
    <t>2.03,—</t>
  </si>
  <si>
    <t>1.27,—</t>
  </si>
  <si>
    <t>ACTIVE</t>
  </si>
  <si>
    <t>3.6-V, 2-A, 18.3-mΩ load switch with output discharge and rise time of 100-µs at 3.6-V</t>
  </si>
  <si>
    <t>Load switches</t>
  </si>
  <si>
    <t>Catalog</t>
  </si>
  <si>
    <t>DSBGA</t>
  </si>
  <si>
    <t/>
  </si>
  <si>
    <t>-40 to 85</t>
  </si>
  <si>
    <t>2.1875,See data sheet</t>
  </si>
  <si>
    <t>1.25 x 1.75,1.75 x 1.25,See data sheet</t>
  </si>
  <si>
    <t>0.35,0.5,—</t>
  </si>
  <si>
    <t>0.5,—</t>
  </si>
  <si>
    <t>ACTIVE</t>
  </si>
  <si>
    <t>3-A, 120-V half bridge gate driver with 8-V UVLO and negative voltage handling</t>
  </si>
  <si>
    <t>Half-bridge drivers</t>
  </si>
  <si>
    <t>Catalog</t>
  </si>
  <si>
    <t>HSOIC,SOIC,VSON,WSON</t>
  </si>
  <si>
    <t/>
  </si>
  <si>
    <t>-40 to 150</t>
  </si>
  <si>
    <t>8,9,10</t>
  </si>
  <si>
    <t>9,16,29.4</t>
  </si>
  <si>
    <t>3 x 3,4 x 4,4.9 x 6</t>
  </si>
  <si>
    <t>0.8,1,1.7,1.75</t>
  </si>
  <si>
    <t>0.5,0.8,1.27</t>
  </si>
  <si>
    <t>ACTIVE</t>
  </si>
  <si>
    <t>Phase-shifted full-bridge PWM controller with integrated MOSFET drivers</t>
  </si>
  <si>
    <t>AC/DC &amp; DC/DC controllers (external FET)</t>
  </si>
  <si>
    <t>Catalog</t>
  </si>
  <si>
    <t>Phase-shifted full bridge</t>
  </si>
  <si>
    <t>HTSSOP,WQFN</t>
  </si>
  <si>
    <t/>
  </si>
  <si>
    <t>-40 to 125</t>
  </si>
  <si>
    <t>25,62.08</t>
  </si>
  <si>
    <t>5 x 5,9.7 x 6.4</t>
  </si>
  <si>
    <t>0.8,1.2</t>
  </si>
  <si>
    <t>0.5,0.65</t>
  </si>
  <si>
    <t>ACTIVE</t>
  </si>
  <si>
    <t>8A SIMPLE SWITCHER&amp;reg; Power Module with 20V Maximum Input Voltage</t>
  </si>
  <si>
    <t>Power modules (integrated inductor)</t>
  </si>
  <si>
    <t>Catalog</t>
  </si>
  <si>
    <t>Buck,Synchronous Buck</t>
  </si>
  <si>
    <t>TO-PMOD</t>
  </si>
  <si>
    <t/>
  </si>
  <si>
    <t>-40 to 85</t>
  </si>
  <si>
    <t>15 x 17.79</t>
  </si>
  <si>
    <t>ACTIVE</t>
  </si>
  <si>
    <t>10A SIMPLE SWITCHER&amp;reg; Power Module with 20V Maximum Input Voltage</t>
  </si>
  <si>
    <t>Power modules (integrated inductor)</t>
  </si>
  <si>
    <t>Catalog</t>
  </si>
  <si>
    <t>Buck,Synchronous Buck</t>
  </si>
  <si>
    <t>TO-PMOD</t>
  </si>
  <si>
    <t/>
  </si>
  <si>
    <t>-40 to 85</t>
  </si>
  <si>
    <t>15 x 17.79</t>
  </si>
  <si>
    <t>ACTIVE</t>
  </si>
  <si>
    <t>8A SIMPLE SWITCHER&amp;reg; Power Module with 20V Maximum Input Voltage and Current Sharing</t>
  </si>
  <si>
    <t>Power modules (integrated inductor)</t>
  </si>
  <si>
    <t>Catalog</t>
  </si>
  <si>
    <t>Buck,Synchronous Buck</t>
  </si>
  <si>
    <t>TO-PMOD</t>
  </si>
  <si>
    <t/>
  </si>
  <si>
    <t>-40 to 85</t>
  </si>
  <si>
    <t>15 x 17.79</t>
  </si>
  <si>
    <t>ACTIVE</t>
  </si>
  <si>
    <t>10A SIMPLE SWITCHER&amp;reg; Power Module with 20V Maximum Input Voltage and Current Sharing</t>
  </si>
  <si>
    <t>Power modules (integrated inductor)</t>
  </si>
  <si>
    <t>Catalog</t>
  </si>
  <si>
    <t>Buck,Synchronous Buck</t>
  </si>
  <si>
    <t>TO-PMOD</t>
  </si>
  <si>
    <t/>
  </si>
  <si>
    <t>-40 to 85</t>
  </si>
  <si>
    <t>15 x 17.79</t>
  </si>
  <si>
    <t>ACTIVE</t>
  </si>
  <si>
    <t>30-V, N channel NexFET™ power MOSFET, single SON 5 mm x 6 mm, 4 mOhm</t>
  </si>
  <si>
    <t>MOSFETs</t>
  </si>
  <si>
    <t>Catalog</t>
  </si>
  <si>
    <t>VSONP</t>
  </si>
  <si>
    <t/>
  </si>
  <si>
    <t>-55 to 150</t>
  </si>
  <si>
    <t>4.9 x 6</t>
  </si>
  <si>
    <t>ACTIVE</t>
  </si>
  <si>
    <t>6-75V Wide Vin, 600mA Constant On-Time Non-Synchronous Buck Regulator</t>
  </si>
  <si>
    <t>AC/DC &amp; DC/DC converters (integrated FET)</t>
  </si>
  <si>
    <t>Catalog</t>
  </si>
  <si>
    <t>Buck</t>
  </si>
  <si>
    <t>VSSOP</t>
  </si>
  <si>
    <t/>
  </si>
  <si>
    <t>-40 to 125</t>
  </si>
  <si>
    <t>3 x 4.9</t>
  </si>
  <si>
    <t>ACTIVE</t>
  </si>
  <si>
    <t>3-V to 28-V, synchronous peak current mode automotive buck controller in RSN/RTV package</t>
  </si>
  <si>
    <t>AC/DC &amp; DC/DC controllers (external FET)</t>
  </si>
  <si>
    <t>Automotive</t>
  </si>
  <si>
    <t>Buck</t>
  </si>
  <si>
    <t>WQFN</t>
  </si>
  <si>
    <t/>
  </si>
  <si>
    <t>-40 to 85</t>
  </si>
  <si>
    <t>5 x 5</t>
  </si>
  <si>
    <t>ACTIVE</t>
  </si>
  <si>
    <t>3.3V / 5V Input, 6A, D-CAP+ Mode Synchronous Step-Down Converter</t>
  </si>
  <si>
    <t>AC/DC &amp; DC/DC converters (integrated FET)</t>
  </si>
  <si>
    <t>Catalog</t>
  </si>
  <si>
    <t>Buck</t>
  </si>
  <si>
    <t>VQFN</t>
  </si>
  <si>
    <t/>
  </si>
  <si>
    <t>-40 to 85</t>
  </si>
  <si>
    <t>4 x 3.5</t>
  </si>
  <si>
    <t>ACTIVE</t>
  </si>
  <si>
    <t>4.5-V to 17-V, 6-A synchronous SWIFT™ buck converter with hiccup current limit</t>
  </si>
  <si>
    <t>AC/DC &amp; DC/DC converters (integrated FET)</t>
  </si>
  <si>
    <t>Catalog</t>
  </si>
  <si>
    <t>Buck</t>
  </si>
  <si>
    <t>VQFN</t>
  </si>
  <si>
    <t/>
  </si>
  <si>
    <t>-40 to 150</t>
  </si>
  <si>
    <t>3.5 x 3.5</t>
  </si>
  <si>
    <t>ACTIVE</t>
  </si>
  <si>
    <t>4.5 V to 60 V Wide-Input Synchronous PWM Buck Controller</t>
  </si>
  <si>
    <t>AC/DC &amp; DC/DC controllers (external FET)</t>
  </si>
  <si>
    <t>Catalog</t>
  </si>
  <si>
    <t>Buck</t>
  </si>
  <si>
    <t>VQFN</t>
  </si>
  <si>
    <t/>
  </si>
  <si>
    <t>-40 to 125</t>
  </si>
  <si>
    <t>4.5 x 3.5</t>
  </si>
  <si>
    <t>ACTIVE</t>
  </si>
  <si>
    <t>Automotive 8V to 20V full-bridge, phase-shifted  PWM controller with synchronous rectification</t>
  </si>
  <si>
    <t>AC/DC &amp; DC/DC controllers (external FET)</t>
  </si>
  <si>
    <t>Automotive</t>
  </si>
  <si>
    <t>Phase-shifted full bridge</t>
  </si>
  <si>
    <t>TSSOP</t>
  </si>
  <si>
    <t/>
  </si>
  <si>
    <t>-40 to 125</t>
  </si>
  <si>
    <t>7.8 x 6.4</t>
  </si>
  <si>
    <t>ACTIVE</t>
  </si>
  <si>
    <t>6-28V, 2A Constant On-Time Non-Synchronous Buck Regulator with Adjustable Current Limit</t>
  </si>
  <si>
    <t>AC/DC &amp; DC/DC converters (integrated FET)</t>
  </si>
  <si>
    <t>Catalog</t>
  </si>
  <si>
    <t>Buck</t>
  </si>
  <si>
    <t>HVSSOP</t>
  </si>
  <si>
    <t/>
  </si>
  <si>
    <t>-40 to 125</t>
  </si>
  <si>
    <t>3 x 4.9</t>
  </si>
  <si>
    <t>ACTIVE</t>
  </si>
  <si>
    <t>Synchronous boost converter with 600mA high side LED driver and I2C-compatible interface</t>
  </si>
  <si>
    <t>Illumination  LED drivers</t>
  </si>
  <si>
    <t>Catalog</t>
  </si>
  <si>
    <t>Boost,current mode</t>
  </si>
  <si>
    <t>DSBGA</t>
  </si>
  <si>
    <t/>
  </si>
  <si>
    <t>-40 to 85</t>
  </si>
  <si>
    <t>1.8 x 1.4000000000000001</t>
  </si>
  <si>
    <t>ACTIVE</t>
  </si>
  <si>
    <t>Four channel high-efficiency LED backlight driver for notebooks with 3.3V PWM logic level</t>
  </si>
  <si>
    <t>Backlight LED drivers</t>
  </si>
  <si>
    <t>Catalog</t>
  </si>
  <si>
    <t>Boost</t>
  </si>
  <si>
    <t>DSBGA</t>
  </si>
  <si>
    <t/>
  </si>
  <si>
    <t>-30 to 85</t>
  </si>
  <si>
    <t>2.75 x 2.75</t>
  </si>
  <si>
    <t>ACTIVE</t>
  </si>
  <si>
    <t>Automotive 1.5V to 6.5V, 3 buck &amp; 3 LDO Power Management IC</t>
  </si>
  <si>
    <t>Multi-channel ICs (PMICs)</t>
  </si>
  <si>
    <t>Automotive</t>
  </si>
  <si>
    <t>VQFN</t>
  </si>
  <si>
    <t/>
  </si>
  <si>
    <t>-40 to 125</t>
  </si>
  <si>
    <t>5 x 5</t>
  </si>
  <si>
    <t>ACTIVE</t>
  </si>
  <si>
    <t>200-mA, low-IQ, low-dropout voltage regulator with enable &amp; active output discharge</t>
  </si>
  <si>
    <t>Linear &amp; low-dropout (LDO) regulators</t>
  </si>
  <si>
    <t>Catalog</t>
  </si>
  <si>
    <t>X2SON</t>
  </si>
  <si>
    <t/>
  </si>
  <si>
    <t>-40 to 125</t>
  </si>
  <si>
    <t>1 x 1</t>
  </si>
  <si>
    <t>ACTIVE</t>
  </si>
  <si>
    <t>500-mA, 4-MHz, 2.85-Vout High-Efficiency Step-Down Converter in Chip Scale Packaging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</si>
  <si>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</si>
  <si>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</si>
  <si>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</si>
  <si>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</si>
  <si>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</si>
  <si>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</si>
  <si>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</si>
  <si>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</si>
  <si>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Automotive 300-mA, off-battery (40-V), low-IQ, adjustable low-dropout voltage regulator with enable</t>
  </si>
  <si>
    <t>Linear &amp; low-dropout (LDO) regulators</t>
  </si>
  <si>
    <t>Automotive</t>
  </si>
  <si>
    <t>TO-263</t>
  </si>
  <si>
    <t/>
  </si>
  <si>
    <t>-40 to 125</t>
  </si>
  <si>
    <t>10.16 x 15.24</t>
  </si>
  <si>
    <t>ACTIVE</t>
  </si>
  <si>
    <t>3A SIMPLE SWITCHER&amp;reg; Power Module with 20V Maximum Input Voltage</t>
  </si>
  <si>
    <t>Power modules (integrated inductor)</t>
  </si>
  <si>
    <t>Catalog</t>
  </si>
  <si>
    <t>Buck,Synchronous Buck</t>
  </si>
  <si>
    <t>TO-PMOD</t>
  </si>
  <si>
    <t/>
  </si>
  <si>
    <t>-40 to 85</t>
  </si>
  <si>
    <t>10.16 x 13.77</t>
  </si>
  <si>
    <t>ACTIVE</t>
  </si>
  <si>
    <t>5A SIMPLE SWITCHER&amp;reg; Power Module with 20V Maximum Input Voltage</t>
  </si>
  <si>
    <t>Power modules (integrated inductor)</t>
  </si>
  <si>
    <t>Catalog</t>
  </si>
  <si>
    <t>Buck,Synchronous Buck</t>
  </si>
  <si>
    <t>TO-PMOD</t>
  </si>
  <si>
    <t/>
  </si>
  <si>
    <t>-40 to 85</t>
  </si>
  <si>
    <t>10.16 x 13.77</t>
  </si>
  <si>
    <t>ACTIVE</t>
  </si>
  <si>
    <t>3A SIMPLE SWITCHER&amp;reg; Power Module with 36V Maximum Input Voltage</t>
  </si>
  <si>
    <t>Power modules (integrated inductor)</t>
  </si>
  <si>
    <t>Catalog</t>
  </si>
  <si>
    <t>Buck,Inverting Buck-Boost,Synchronous Buck</t>
  </si>
  <si>
    <t>TO-PMOD</t>
  </si>
  <si>
    <t/>
  </si>
  <si>
    <t>-40 to 85</t>
  </si>
  <si>
    <t>10.16 x 13.77</t>
  </si>
  <si>
    <t>ACTIVE</t>
  </si>
  <si>
    <t>Single cell 3V output voltage high efficient step-up converter in 6 pin SC-70 package</t>
  </si>
  <si>
    <t>AC/DC &amp; DC/DC converters (integrated FET)</t>
  </si>
  <si>
    <t>Catalog</t>
  </si>
  <si>
    <t>Boost</t>
  </si>
  <si>
    <t>SOT-SC70</t>
  </si>
  <si>
    <t/>
  </si>
  <si>
    <t>-40 to 85</t>
  </si>
  <si>
    <t>2 x 2.1</t>
  </si>
  <si>
    <t>ACTIVE</t>
  </si>
  <si>
    <t>4.5-V to 14-V, 15-A synchronous SWIFT™ buck converter</t>
  </si>
  <si>
    <t>AC/DC &amp; DC/DC converters (integrated FET)</t>
  </si>
  <si>
    <t>Catalog</t>
  </si>
  <si>
    <t>Buck</t>
  </si>
  <si>
    <t>LSON-CLIP</t>
  </si>
  <si>
    <t/>
  </si>
  <si>
    <t>-40 to 125</t>
  </si>
  <si>
    <t>6 x 5</t>
  </si>
  <si>
    <t>ACTIVE</t>
  </si>
  <si>
    <t>4.5-V to 14-V, 25-A synchronous SWIFT™ buck converter</t>
  </si>
  <si>
    <t>AC/DC &amp; DC/DC converters (integrated FET)</t>
  </si>
  <si>
    <t>Catalog</t>
  </si>
  <si>
    <t>Buck</t>
  </si>
  <si>
    <t>LSON-CLIP</t>
  </si>
  <si>
    <t/>
  </si>
  <si>
    <t>-40 to 125</t>
  </si>
  <si>
    <t>6 x 5</t>
  </si>
  <si>
    <t>ACTIVE</t>
  </si>
  <si>
    <t>50-mA, 100-V, low-IQ, adjustable low-dropout voltage regulator with enable</t>
  </si>
  <si>
    <t>Linear &amp; low-dropout (LDO) regulators</t>
  </si>
  <si>
    <t>Catalog</t>
  </si>
  <si>
    <t>HVSSOP</t>
  </si>
  <si>
    <t/>
  </si>
  <si>
    <t>-40 to 125</t>
  </si>
  <si>
    <t>3 x 4.9</t>
  </si>
  <si>
    <t>ACTIVE</t>
  </si>
  <si>
    <t>Automotive 300-mA, off-battery (40-V), low-IQ, low-dropout voltage regulator</t>
  </si>
  <si>
    <t>Linear &amp; low-dropout (LDO) regulators</t>
  </si>
  <si>
    <t>Automotive</t>
  </si>
  <si>
    <t>TO-252</t>
  </si>
  <si>
    <t/>
  </si>
  <si>
    <t>-40 to 125</t>
  </si>
  <si>
    <t>6.6 x 10.11</t>
  </si>
  <si>
    <t>ACTIVE</t>
  </si>
  <si>
    <t>LED TV backlight controller</t>
  </si>
  <si>
    <t>AC/DC &amp; DC/DC controllers (external FET)</t>
  </si>
  <si>
    <t>Catalog</t>
  </si>
  <si>
    <t>Half bridge,LLC</t>
  </si>
  <si>
    <t>SOIC</t>
  </si>
  <si>
    <t/>
  </si>
  <si>
    <t>-40 to 125</t>
  </si>
  <si>
    <t>12.8 x 10.3</t>
  </si>
  <si>
    <t>ACTIVE</t>
  </si>
  <si>
    <t>80V, 600 mA Constant On-Time Buck Switching Regulator</t>
  </si>
  <si>
    <t>AC/DC &amp; DC/DC converters (integrated FET)</t>
  </si>
  <si>
    <t>Catalog</t>
  </si>
  <si>
    <t>Buck</t>
  </si>
  <si>
    <t>VSSOP</t>
  </si>
  <si>
    <t/>
  </si>
  <si>
    <t>-40 to 125</t>
  </si>
  <si>
    <t>3 x 4.9</t>
  </si>
  <si>
    <t>ACTIVE</t>
  </si>
  <si>
    <t>30-V, N channel synchronous buck NexFET™ power MOSFET, SON 5 mm x 6 mm power block, 32 A</t>
  </si>
  <si>
    <t>MOSFETs</t>
  </si>
  <si>
    <t>Catalog</t>
  </si>
  <si>
    <t>LSON-CLIP</t>
  </si>
  <si>
    <t/>
  </si>
  <si>
    <t>-55 to 150</t>
  </si>
  <si>
    <t>5 x 6</t>
  </si>
  <si>
    <t>ACTIVE</t>
  </si>
  <si>
    <t>High-efficiency 1.5-V to 15-V, 30-A synchronous SWIFT™ buck converter with eco-mode</t>
  </si>
  <si>
    <t>AC/DC &amp; DC/DC converters (integrated FET)</t>
  </si>
  <si>
    <t>Catalog</t>
  </si>
  <si>
    <t>Buck</t>
  </si>
  <si>
    <t>LSON-CLIP</t>
  </si>
  <si>
    <t/>
  </si>
  <si>
    <t>-40 to 125</t>
  </si>
  <si>
    <t>6 x 5</t>
  </si>
  <si>
    <t>ACTIVE</t>
  </si>
  <si>
    <t>Automotive Grade 4.5-42V Wide Vin, Current Mode Non-Synchronous Buck Controller</t>
  </si>
  <si>
    <t>AC/DC &amp; DC/DC controllers (external FET)</t>
  </si>
  <si>
    <t>Automotive</t>
  </si>
  <si>
    <t>Buck Controller</t>
  </si>
  <si>
    <t>HTSSOP</t>
  </si>
  <si>
    <t/>
  </si>
  <si>
    <t>-40 to 125</t>
  </si>
  <si>
    <t>5 x 6.4</t>
  </si>
  <si>
    <t>ACTIVE</t>
  </si>
  <si>
    <t>Automotive Grade 4.5-75V Wide Vin, Current Mode Non-Synchronous Buck Controller</t>
  </si>
  <si>
    <t>AC/DC &amp; DC/DC controllers (external FET)</t>
  </si>
  <si>
    <t>Automotive</t>
  </si>
  <si>
    <t>Buck</t>
  </si>
  <si>
    <t>HTSSOP</t>
  </si>
  <si>
    <t/>
  </si>
  <si>
    <t>-40 to 125</t>
  </si>
  <si>
    <t>5 x 6.4</t>
  </si>
  <si>
    <t>ACTIVE</t>
  </si>
  <si>
    <t>30-V, N channel synchronous buck NexFET™ power MOSFET, SON 5 mm x 6 mm power block, 40 A</t>
  </si>
  <si>
    <t>MOSFETs</t>
  </si>
  <si>
    <t>Catalog</t>
  </si>
  <si>
    <t>LSON-CLIP</t>
  </si>
  <si>
    <t/>
  </si>
  <si>
    <t>-55 to 150</t>
  </si>
  <si>
    <t>5 x 6</t>
  </si>
  <si>
    <t>ACTIVE</t>
  </si>
  <si>
    <t>Full-bridge PWM controller with Integrated MOSFET Drivers</t>
  </si>
  <si>
    <t>AC/DC &amp; DC/DC controllers (external FET)</t>
  </si>
  <si>
    <t>Catalog</t>
  </si>
  <si>
    <t>Full bridge,Half bridge,Push pull</t>
  </si>
  <si>
    <t>HTSSOP,WQFN</t>
  </si>
  <si>
    <t/>
  </si>
  <si>
    <t>-40 to 125</t>
  </si>
  <si>
    <t>25,62.08</t>
  </si>
  <si>
    <t>5 x 5,9.7 x 6.4</t>
  </si>
  <si>
    <t>0.8,1.2</t>
  </si>
  <si>
    <t>0.5,0.65</t>
  </si>
  <si>
    <t>ACTIVE</t>
  </si>
  <si>
    <t>Six Strings LED driver for notebook application</t>
  </si>
  <si>
    <t>Backlight LED drivers</t>
  </si>
  <si>
    <t>Catalog</t>
  </si>
  <si>
    <t>Boost</t>
  </si>
  <si>
    <t>WQFN</t>
  </si>
  <si>
    <t/>
  </si>
  <si>
    <t>-40 to 85</t>
  </si>
  <si>
    <t>3 x 3</t>
  </si>
  <si>
    <t>ACTIVE</t>
  </si>
  <si>
    <t>2A SIMPLE SWITCHER&amp;reg;, Step-Down Voltage Regulator with Precision Enable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</si>
  <si>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</si>
  <si>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</si>
  <si>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</si>
  <si>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</si>
  <si>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</si>
  <si>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</si>
  <si>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</si>
  <si>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</si>
  <si>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3A SIMPLE SWITCHER, Step-Down Voltage Regulator with Precision Enable</t>
  </si>
  <si>
    <t>AC/DC &amp; DC/DC converters (integrated FET)</t>
  </si>
  <si>
    <t>Automotive</t>
  </si>
  <si>
    <t>Buck</t>
  </si>
  <si>
    <t>HSOIC,TO-263</t>
  </si>
  <si>
    <t/>
  </si>
  <si>
    <t>-40 to 125</t>
  </si>
  <si>
    <t>7,8</t>
  </si>
  <si>
    <t>29.4,142.3416</t>
  </si>
  <si>
    <t>10.16 x 14.01,4.9 x 6</t>
  </si>
  <si>
    <t>1.7,2.1</t>
  </si>
  <si>
    <t>ACTIVE</t>
  </si>
  <si>
    <t>5A SIMPLE SWITCHER, Step-Down Voltage Regulator with Precision Enable</t>
  </si>
  <si>
    <t>AC/DC &amp; DC/DC converters (integrated FET)</t>
  </si>
  <si>
    <t>Automotive</t>
  </si>
  <si>
    <t>Buck</t>
  </si>
  <si>
    <t>TO-263</t>
  </si>
  <si>
    <t/>
  </si>
  <si>
    <t>-40 to 125</t>
  </si>
  <si>
    <t>10.16 x 14.01</t>
  </si>
  <si>
    <t>ACTIVE</t>
  </si>
  <si>
    <t>Six channel high-efficiency LED backlight driver for notebooks with BGA package</t>
  </si>
  <si>
    <t>Backlight LED drivers</t>
  </si>
  <si>
    <t>Catalog</t>
  </si>
  <si>
    <t>Boost</t>
  </si>
  <si>
    <t>DSBGA</t>
  </si>
  <si>
    <t/>
  </si>
  <si>
    <t>-40 to 85</t>
  </si>
  <si>
    <t>2.75 x 2.75</t>
  </si>
  <si>
    <t>ACTIVE</t>
  </si>
  <si>
    <t>2.95-5.5V, 12A, Voltage Mode Synchronous Buck Regulator with Frequency Synchronization</t>
  </si>
  <si>
    <t>AC/DC &amp; DC/DC converters (integrated FET)</t>
  </si>
  <si>
    <t>Catalog</t>
  </si>
  <si>
    <t>Buck,Step-Down Converter,Synchronous Buck</t>
  </si>
  <si>
    <t>HTSSOP</t>
  </si>
  <si>
    <t/>
  </si>
  <si>
    <t>-40 to 125</t>
  </si>
  <si>
    <t>6.5 x 6.4</t>
  </si>
  <si>
    <t>ACTIVE</t>
  </si>
  <si>
    <t>2.95-5.5V, 12A, Voltage Mode Synchronous Buck Regulator with Adjustable Frequency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</si>
  <si>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</si>
  <si>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</si>
  <si>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</si>
  <si>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</si>
  <si>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</si>
  <si>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</si>
  <si>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</si>
  <si>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</si>
  <si>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2.95-5.5V, 15A, Voltage Mode Synchronous Buck Regulator with Adjustable Frequency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</si>
  <si>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</si>
  <si>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</si>
  <si>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</si>
  <si>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</si>
  <si>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</si>
  <si>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</si>
  <si>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</si>
  <si>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</si>
  <si>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Automotive 2V to 6V, 2.25MHz Fixed Frequency 600mA Buck Converter in 2x2mm SON/TSOT23 Package</t>
  </si>
  <si>
    <t>AC/DC &amp; DC/DC converters (integrated FET)</t>
  </si>
  <si>
    <t>Automotive</t>
  </si>
  <si>
    <t>Buck</t>
  </si>
  <si>
    <t>SOT-23-THN,WSON</t>
  </si>
  <si>
    <t/>
  </si>
  <si>
    <t>-40 to 105</t>
  </si>
  <si>
    <t>5,6</t>
  </si>
  <si>
    <t>4,8.12</t>
  </si>
  <si>
    <t>2 x 2,2.9 x 2.8</t>
  </si>
  <si>
    <t>0.8,1.1</t>
  </si>
  <si>
    <t>0.65,0.95</t>
  </si>
  <si>
    <t>ACTIVE</t>
  </si>
  <si>
    <t>200-mA, high-PSRR, dual-channel low-dropout voltage regulator with enable &amp; active pulldown</t>
  </si>
  <si>
    <t>Linear &amp; low-dropout (LDO) regulators</t>
  </si>
  <si>
    <t>Catalog</t>
  </si>
  <si>
    <t>WSON</t>
  </si>
  <si>
    <t/>
  </si>
  <si>
    <t>-40 to 125</t>
  </si>
  <si>
    <t>1.5 x 1.5</t>
  </si>
  <si>
    <t>ACTIVE</t>
  </si>
  <si>
    <t>3-V to 28-V, synchronous buck controller with differential voltage feedback</t>
  </si>
  <si>
    <t>AC/DC &amp; DC/DC controllers (external FET)</t>
  </si>
  <si>
    <t>Catalog</t>
  </si>
  <si>
    <t>Buck</t>
  </si>
  <si>
    <t>WQFN</t>
  </si>
  <si>
    <t/>
  </si>
  <si>
    <t>-40 to 85</t>
  </si>
  <si>
    <t>3 x 3</t>
  </si>
  <si>
    <t>ACTIVE</t>
  </si>
  <si>
    <t>800mA, 6MHz High Efficiency Step-Down Converter with I2C Compatible Interface</t>
  </si>
  <si>
    <t>AC/DC &amp; DC/DC converters (integrated FET)</t>
  </si>
  <si>
    <t>Catalog</t>
  </si>
  <si>
    <t>Buck</t>
  </si>
  <si>
    <t>DSBGA</t>
  </si>
  <si>
    <t/>
  </si>
  <si>
    <t>-40 to 85</t>
  </si>
  <si>
    <t>1.4000000000000001 x 1.4000000000000001</t>
  </si>
  <si>
    <t>ACTIVE</t>
  </si>
  <si>
    <t>Automotive 1.5V to 6.5V, three buck &amp; two LDO Power Management IC (PMIC)</t>
  </si>
  <si>
    <t>Multi-channel ICs (PMICs)</t>
  </si>
  <si>
    <t>Automotive</t>
  </si>
  <si>
    <t>VQFN</t>
  </si>
  <si>
    <t/>
  </si>
  <si>
    <t>-40 to 105</t>
  </si>
  <si>
    <t>6 x 6</t>
  </si>
  <si>
    <t>ACTIVE</t>
  </si>
  <si>
    <t>High Temperature 17-V, 1.5-A, Synchronous Step-Down Converter</t>
  </si>
  <si>
    <t>AC/DC &amp; DC/DC converters (integrated FET)</t>
  </si>
  <si>
    <t>High Temp</t>
  </si>
  <si>
    <t>Buck</t>
  </si>
  <si>
    <t>HTSSOP</t>
  </si>
  <si>
    <t/>
  </si>
  <si>
    <t>-55 to 175</t>
  </si>
  <si>
    <t>5 x 6.4</t>
  </si>
  <si>
    <t>ACTIVE</t>
  </si>
  <si>
    <t>500-mA, 6-MHz High-Efficiency Step-Down Converter, Vout=1.26V, with Output Capacitor Discharge</t>
  </si>
  <si>
    <t>AC/DC &amp; DC/DC converters (integrated FET)</t>
  </si>
  <si>
    <t>Catalog</t>
  </si>
  <si>
    <t>Buck</t>
  </si>
  <si>
    <t>PICOSTAR</t>
  </si>
  <si>
    <t/>
  </si>
  <si>
    <t>-40 to 85</t>
  </si>
  <si>
    <t>1.1 x 1.5</t>
  </si>
  <si>
    <t>ACTIVE</t>
  </si>
  <si>
    <t>25-V, N channel synchronous buck NexFET™ power MOSFET, SON 3 mm x 3 mm power block, 20 A</t>
  </si>
  <si>
    <t>MOSFETs</t>
  </si>
  <si>
    <t>Catalog</t>
  </si>
  <si>
    <t>LSON-CLIP</t>
  </si>
  <si>
    <t/>
  </si>
  <si>
    <t>-55 to 150</t>
  </si>
  <si>
    <t>3.3 x 3.3</t>
  </si>
  <si>
    <t>ACTIVE</t>
  </si>
  <si>
    <t>High Frequency Synchronous Buck NexFET&amp;trade; Power Stage</t>
  </si>
  <si>
    <t>Si power stages</t>
  </si>
  <si>
    <t>Catalog</t>
  </si>
  <si>
    <t>LSON-CLIP</t>
  </si>
  <si>
    <t/>
  </si>
  <si>
    <t>-55 to 150</t>
  </si>
  <si>
    <t>6 x 5</t>
  </si>
  <si>
    <t>ACTIVE</t>
  </si>
  <si>
    <t>Integrated Power Management IC (PMIC) w/ 4 DC/DCs, 8 LDOs and RTC in 6x6mm QFN family</t>
  </si>
  <si>
    <t>Multi-channel ICs (PMICs)</t>
  </si>
  <si>
    <t>Catalog</t>
  </si>
  <si>
    <t>VQFN</t>
  </si>
  <si>
    <t/>
  </si>
  <si>
    <t>-40 to 85</t>
  </si>
  <si>
    <t>6 x 6</t>
  </si>
  <si>
    <t>ACTIVE</t>
  </si>
  <si>
    <t>1.8-A, 100-V half bridge gate driver with 8-V UVLO and adaptive delay</t>
  </si>
  <si>
    <t>Half-bridge drivers</t>
  </si>
  <si>
    <t>Catalog</t>
  </si>
  <si>
    <t>SOIC,WSON</t>
  </si>
  <si>
    <t/>
  </si>
  <si>
    <t>-40 to 125</t>
  </si>
  <si>
    <t>8,10</t>
  </si>
  <si>
    <t>16,29.4</t>
  </si>
  <si>
    <t>4 x 4,4.9 x 6</t>
  </si>
  <si>
    <t>0.8,1.75</t>
  </si>
  <si>
    <t>0.8,1.27</t>
  </si>
  <si>
    <t>ACTIVE</t>
  </si>
  <si>
    <t>Dual phase digital PWM buck controller with 4/6/8-bit parallel VID</t>
  </si>
  <si>
    <t>AC/DC &amp; DC/DC controllers (external FET)</t>
  </si>
  <si>
    <t>Catalog</t>
  </si>
  <si>
    <t>VQFN</t>
  </si>
  <si>
    <t/>
  </si>
  <si>
    <t>-40 to 125</t>
  </si>
  <si>
    <t>7 x 7</t>
  </si>
  <si>
    <t>ACTIVE</t>
  </si>
  <si>
    <t>Automotive 500-mA, 10-V, adjustable low-dropout voltage regulator</t>
  </si>
  <si>
    <t>Linear &amp; low-dropout (LDO) regulators</t>
  </si>
  <si>
    <t>Automotive</t>
  </si>
  <si>
    <t>WSON</t>
  </si>
  <si>
    <t/>
  </si>
  <si>
    <t>-40 to 125</t>
  </si>
  <si>
    <t>3 x 3</t>
  </si>
  <si>
    <t>ACTIVE</t>
  </si>
  <si>
    <t>SIMPLE SWITCHER&amp;reg; 6V to 42V, 1A High Output Voltage Power Module</t>
  </si>
  <si>
    <t>Power modules (integrated inductor)</t>
  </si>
  <si>
    <t>Catalog</t>
  </si>
  <si>
    <t>Buck,Inverting Buck-Boost,Synchronous Buck</t>
  </si>
  <si>
    <t>TO-PMOD</t>
  </si>
  <si>
    <t/>
  </si>
  <si>
    <t>-40 to 125</t>
  </si>
  <si>
    <t>10.16 x 13.77</t>
  </si>
  <si>
    <t>ACTIVE</t>
  </si>
  <si>
    <t>SIMPLE SWITCHER&amp;reg; 6V to 42V, 2A High Output Voltage Power Module</t>
  </si>
  <si>
    <t>Power modules (integrated inductor)</t>
  </si>
  <si>
    <t>Catalog</t>
  </si>
  <si>
    <t>Buck,Inverting Buck-Boost,Synchronous Buck</t>
  </si>
  <si>
    <t>TO-PMOD</t>
  </si>
  <si>
    <t/>
  </si>
  <si>
    <t>-40 to 125</t>
  </si>
  <si>
    <t>10.16 x 13.77</t>
  </si>
  <si>
    <t>ACTIVE</t>
  </si>
  <si>
    <t>SIMPLE SWITCHER&amp;reg; 6V to 42V, 3A High Output Voltage Power Module</t>
  </si>
  <si>
    <t>Power modules (integrated inductor)</t>
  </si>
  <si>
    <t>Catalog</t>
  </si>
  <si>
    <t>Buck,Inverting Buck-Boost,Synchronous Buck</t>
  </si>
  <si>
    <t>TO-PMOD</t>
  </si>
  <si>
    <t/>
  </si>
  <si>
    <t>-40 to 125</t>
  </si>
  <si>
    <t>10.16 x 13.77</t>
  </si>
  <si>
    <t>ACTIVE</t>
  </si>
  <si>
    <t>3-A/7-A single channel gate driver with input ground for split supply operation</t>
  </si>
  <si>
    <t>Low-side drivers</t>
  </si>
  <si>
    <t>Catalog</t>
  </si>
  <si>
    <t>WSON</t>
  </si>
  <si>
    <t/>
  </si>
  <si>
    <t>-40 to 125</t>
  </si>
  <si>
    <t>3 x 3</t>
  </si>
  <si>
    <t>ACTIVE</t>
  </si>
  <si>
    <t>Single cell 3.3V output voltage high efficient step-up converter in 6 pin SC-70 package</t>
  </si>
  <si>
    <t>AC/DC &amp; DC/DC converters (integrated FET)</t>
  </si>
  <si>
    <t>Catalog</t>
  </si>
  <si>
    <t>Boost</t>
  </si>
  <si>
    <t>SOT-SC70</t>
  </si>
  <si>
    <t/>
  </si>
  <si>
    <t>-40 to 85</t>
  </si>
  <si>
    <t>2 x 2.1</t>
  </si>
  <si>
    <t>ACTIVE</t>
  </si>
  <si>
    <t>Automotive 300-mA, off-battery (40-V), low-IQ, low-dropout voltage regulator with enable</t>
  </si>
  <si>
    <t>Linear &amp; low-dropout (LDO) regulators</t>
  </si>
  <si>
    <t>Automotive</t>
  </si>
  <si>
    <t>TO-252</t>
  </si>
  <si>
    <t/>
  </si>
  <si>
    <t>-40 to 125</t>
  </si>
  <si>
    <t>6.6 x 10.11</t>
  </si>
  <si>
    <t>ACTIVE</t>
  </si>
  <si>
    <t>3-V to 15-V, 12-A synchronous buck converter with optimized light load efficiency</t>
  </si>
  <si>
    <t>AC/DC &amp; DC/DC converters (integrated FET)</t>
  </si>
  <si>
    <t>Catalog</t>
  </si>
  <si>
    <t>Buck</t>
  </si>
  <si>
    <t>VQFN</t>
  </si>
  <si>
    <t/>
  </si>
  <si>
    <t>-40 to 85</t>
  </si>
  <si>
    <t>7 x 5</t>
  </si>
  <si>
    <t>ACTIVE</t>
  </si>
  <si>
    <t>Automotive 3.5V to 60V, 2.5A Step-down Converter with Eco-Mode™</t>
  </si>
  <si>
    <t>AC/DC &amp; DC/DC converters (integrated FET)</t>
  </si>
  <si>
    <t>Automotive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</si>
  <si>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</si>
  <si>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</si>
  <si>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</si>
  <si>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</si>
  <si>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</si>
  <si>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</si>
  <si>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</si>
  <si>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</si>
  <si>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White LED driver for LCD Monitors backlighting</t>
  </si>
  <si>
    <t>Backlight LED drivers</t>
  </si>
  <si>
    <t>Catalog</t>
  </si>
  <si>
    <t>Boost</t>
  </si>
  <si>
    <t>HTSSOP,SOP</t>
  </si>
  <si>
    <t/>
  </si>
  <si>
    <t>-40 to 85</t>
  </si>
  <si>
    <t>41.6,98.28</t>
  </si>
  <si>
    <t>12.6 x 7.8,6.5 x 6.4</t>
  </si>
  <si>
    <t>1.2,2</t>
  </si>
  <si>
    <t>0.65,1.27</t>
  </si>
  <si>
    <t>ACTIVE</t>
  </si>
  <si>
    <t>Automotive 3.5V to 42V, 2.5A Buck Converter with Eco-Mode&amp;trade;</t>
  </si>
  <si>
    <t>AC/DC &amp; DC/DC converters (integrated FET)</t>
  </si>
  <si>
    <t>Automotive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</si>
  <si>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</si>
  <si>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</si>
  <si>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</si>
  <si>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</si>
  <si>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</si>
  <si>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</si>
  <si>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</si>
  <si>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</si>
  <si>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Automotive 3.5V to 42V, 1.5A Buck Converter with Eco-Mode&amp;trade;</t>
  </si>
  <si>
    <t>AC/DC &amp; DC/DC converters (integrated FET)</t>
  </si>
  <si>
    <t>Automotive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</si>
  <si>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</si>
  <si>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</si>
  <si>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</si>
  <si>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</si>
  <si>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</si>
  <si>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</si>
  <si>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</si>
  <si>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</si>
  <si>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Automotive 3.5V to 60V, 1.5A Buck Converter with Eco-Mode&amp;trade;</t>
  </si>
  <si>
    <t>AC/DC &amp; DC/DC converters (integrated FET)</t>
  </si>
  <si>
    <t>Automotive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</si>
  <si>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</si>
  <si>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</si>
  <si>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</si>
  <si>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</si>
  <si>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</si>
  <si>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</si>
  <si>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</si>
  <si>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</si>
  <si>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Automotive 3.5V to 42V, 500mA Buck Converter with Eco-Mode&amp;trade;</t>
  </si>
  <si>
    <t>AC/DC &amp; DC/DC converters (integrated FET)</t>
  </si>
  <si>
    <t>Automotive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</si>
  <si>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</si>
  <si>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</si>
  <si>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</si>
  <si>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</si>
  <si>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</si>
  <si>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</si>
  <si>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</si>
  <si>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</si>
  <si>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Automotive 3.5V to 60V, 500mA Buck Converter with Eco-Mode&amp;trade;</t>
  </si>
  <si>
    <t>AC/DC &amp; DC/DC converters (integrated FET)</t>
  </si>
  <si>
    <t>Automotive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</si>
  <si>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</si>
  <si>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</si>
  <si>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</si>
  <si>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</si>
  <si>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</si>
  <si>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</si>
  <si>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</si>
  <si>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</si>
  <si>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2.3-V to 5.5-V input range, 3.5-MHz fixed frequency 450-mA boost converter, AEC-Q100 qualified</t>
  </si>
  <si>
    <t>AC/DC &amp; DC/DC converters (integrated FET)</t>
  </si>
  <si>
    <t>Automotive</t>
  </si>
  <si>
    <t>Boost</t>
  </si>
  <si>
    <t>WSON</t>
  </si>
  <si>
    <t>Functional Safety-Capable</t>
  </si>
  <si>
    <t>-40 to 105</t>
  </si>
  <si>
    <t>2 x 2</t>
  </si>
  <si>
    <t>ACTIVE</t>
  </si>
  <si>
    <t>Automotive 2.5V to 6V, 2.25MHz Fixed Frequency 1A Buck Converter in 2x2mm SON Package</t>
  </si>
  <si>
    <t>AC/DC &amp; DC/DC converters (integrated FET)</t>
  </si>
  <si>
    <t>Automotive</t>
  </si>
  <si>
    <t>Buck</t>
  </si>
  <si>
    <t>WSON</t>
  </si>
  <si>
    <t/>
  </si>
  <si>
    <t>-40 to 105</t>
  </si>
  <si>
    <t>2 x 2</t>
  </si>
  <si>
    <t>ACTIVE</t>
  </si>
  <si>
    <t>16-channel constant current LED driver with 4-channel Grouped delay</t>
  </si>
  <si>
    <t>LED display drivers</t>
  </si>
  <si>
    <t>Catalog</t>
  </si>
  <si>
    <t>SSOP,VQFN</t>
  </si>
  <si>
    <t/>
  </si>
  <si>
    <t>-40 to 85</t>
  </si>
  <si>
    <t>16,51.9</t>
  </si>
  <si>
    <t>4 x 4,8.65 x 6</t>
  </si>
  <si>
    <t>1,1.75</t>
  </si>
  <si>
    <t>0.5,0.635</t>
  </si>
  <si>
    <t>ACTIVE</t>
  </si>
  <si>
    <t>2.9-V to 17-V hot swap controller with PMBus</t>
  </si>
  <si>
    <t>Hot-swap controllers</t>
  </si>
  <si>
    <t>Catalog</t>
  </si>
  <si>
    <t>WQFN</t>
  </si>
  <si>
    <t/>
  </si>
  <si>
    <t>-40 to 125</t>
  </si>
  <si>
    <t>5 x 4</t>
  </si>
  <si>
    <t>ACTIVE</t>
  </si>
  <si>
    <t>2.9-V to 17-V hot swap controller with I2C and PMBus with increased monitoring accuracy</t>
  </si>
  <si>
    <t>Hot-swap controllers</t>
  </si>
  <si>
    <t>Catalog</t>
  </si>
  <si>
    <t>WQFN</t>
  </si>
  <si>
    <t/>
  </si>
  <si>
    <t>-40 to 125</t>
  </si>
  <si>
    <t>5 x 4</t>
  </si>
  <si>
    <t>ACTIVE</t>
  </si>
  <si>
    <t>3.3V to 5V Input, 6A, D-CAP+ Mode Synchronous Step-Down Converter with 2-Bit VID</t>
  </si>
  <si>
    <t>AC/DC &amp; DC/DC converters (integrated FET)</t>
  </si>
  <si>
    <t>Catalog</t>
  </si>
  <si>
    <t>Buck</t>
  </si>
  <si>
    <t>VQFN</t>
  </si>
  <si>
    <t/>
  </si>
  <si>
    <t>-40 to 85</t>
  </si>
  <si>
    <t>4 x 4</t>
  </si>
  <si>
    <t>ACTIVE</t>
  </si>
  <si>
    <t> 2.9V to 6V, 3-A Step-Down Converter with Integrated MOSFETs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</si>
  <si>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</si>
  <si>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</si>
  <si>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</si>
  <si>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</si>
  <si>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</si>
  <si>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</si>
  <si>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</si>
  <si>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</si>
  <si>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 2.9V to 6V, 5-A Step-Down Converter with Integrated MOSFETs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</si>
  <si>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</si>
  <si>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</si>
  <si>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</si>
  <si>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</si>
  <si>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</si>
  <si>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</si>
  <si>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</si>
  <si>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</si>
  <si>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3.5V to 42V Input, 0.5 A Step Down Converter</t>
  </si>
  <si>
    <t>AC/DC &amp; DC/DC converters (integrated FET)</t>
  </si>
  <si>
    <t>Catalog</t>
  </si>
  <si>
    <t>Buck</t>
  </si>
  <si>
    <t>HVSSOP</t>
  </si>
  <si>
    <t/>
  </si>
  <si>
    <t>-40 to 150</t>
  </si>
  <si>
    <t>3 x 4.9</t>
  </si>
  <si>
    <t>ACTIVE</t>
  </si>
  <si>
    <t>Automotive 8-pin current mode Flyback controller with green mode</t>
  </si>
  <si>
    <t>AC/DC &amp; DC/DC controllers (external FET)</t>
  </si>
  <si>
    <t>Automotive</t>
  </si>
  <si>
    <t>Flyback</t>
  </si>
  <si>
    <t>SOIC</t>
  </si>
  <si>
    <t/>
  </si>
  <si>
    <t>-40 to 105</t>
  </si>
  <si>
    <t>4.9 x 6</t>
  </si>
  <si>
    <t>ACTIVE</t>
  </si>
  <si>
    <t>30-V, N channel NexFET™ power MOSFET, single SON 5 mm x 6 mm, 3.5 mOhm</t>
  </si>
  <si>
    <t>MOSFETs</t>
  </si>
  <si>
    <t>Catalog</t>
  </si>
  <si>
    <t>VSONP</t>
  </si>
  <si>
    <t/>
  </si>
  <si>
    <t>-55 to 150</t>
  </si>
  <si>
    <t>4.9 x 6</t>
  </si>
  <si>
    <t>ACTIVE</t>
  </si>
  <si>
    <t>3MHz 2A Step Down Converter in 2x2 SON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</si>
  <si>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</si>
  <si>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</si>
  <si>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</si>
  <si>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</si>
  <si>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</si>
  <si>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</si>
  <si>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</si>
  <si>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</si>
  <si>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4.5-V to 28-V, synchronous buck controller for notebook power</t>
  </si>
  <si>
    <t>AC/DC &amp; DC/DC controllers (external FET)</t>
  </si>
  <si>
    <t>Catalog</t>
  </si>
  <si>
    <t>Buck</t>
  </si>
  <si>
    <t>WSON</t>
  </si>
  <si>
    <t/>
  </si>
  <si>
    <t>-40 to 85</t>
  </si>
  <si>
    <t>3 x 3</t>
  </si>
  <si>
    <t>ACTIVE</t>
  </si>
  <si>
    <t>DDR2/3/3L/4 Memory Power Solution Synchronous Buck Controller</t>
  </si>
  <si>
    <t>DDR memory power ICs,Multi-channel ICs (PMICs)</t>
  </si>
  <si>
    <t>Catalog</t>
  </si>
  <si>
    <t>WQFN</t>
  </si>
  <si>
    <t/>
  </si>
  <si>
    <t>-40 to 85</t>
  </si>
  <si>
    <t>3 x 3</t>
  </si>
  <si>
    <t>ACTIVE</t>
  </si>
  <si>
    <t>DDR2/3/3L/4 Memory Power Solution Synchronous Buck Controller, 2-A LDO, Buffered Reference</t>
  </si>
  <si>
    <t>Multi-channel ICs (PMICs),DDR memory power ICs</t>
  </si>
  <si>
    <t>Catalog</t>
  </si>
  <si>
    <t>WQFN</t>
  </si>
  <si>
    <t/>
  </si>
  <si>
    <t>-40 to 85</t>
  </si>
  <si>
    <t>3 x 3</t>
  </si>
  <si>
    <t>ACTIVE</t>
  </si>
  <si>
    <t>2 MHz, 4 rail, 4 phase digital PWM buck controller with 4/6/8-bit parallel VID</t>
  </si>
  <si>
    <t>AC/DC &amp; DC/DC controllers (external FET)</t>
  </si>
  <si>
    <t>Catalog</t>
  </si>
  <si>
    <t>VQFN</t>
  </si>
  <si>
    <t/>
  </si>
  <si>
    <t>-40 to 125</t>
  </si>
  <si>
    <t>9 x 9</t>
  </si>
  <si>
    <t>ACTIVE</t>
  </si>
  <si>
    <t>4.5V to 18V Input, 3-A Synchronous Step-Down Converter with Eco-mode™</t>
  </si>
  <si>
    <t>AC/DC &amp; DC/DC converters (integrated FET)</t>
  </si>
  <si>
    <t>Catalog</t>
  </si>
  <si>
    <t>Buck</t>
  </si>
  <si>
    <t>HSOIC,VSON</t>
  </si>
  <si>
    <t/>
  </si>
  <si>
    <t>-40 to 85</t>
  </si>
  <si>
    <t>8,10</t>
  </si>
  <si>
    <t>9,29.4</t>
  </si>
  <si>
    <t>3 x 3,4.9 x 6</t>
  </si>
  <si>
    <t>1,1.7</t>
  </si>
  <si>
    <t>0.5,1.27</t>
  </si>
  <si>
    <t>ACTIVE</t>
  </si>
  <si>
    <t>4.5V to 18V Input, 3-A Synchronous Step-Down Converter</t>
  </si>
  <si>
    <t>AC/DC &amp; DC/DC converters (integrated FET)</t>
  </si>
  <si>
    <t>Catalog</t>
  </si>
  <si>
    <t>Buck</t>
  </si>
  <si>
    <t>HSOIC,VSON</t>
  </si>
  <si>
    <t/>
  </si>
  <si>
    <t>-40 to 85</t>
  </si>
  <si>
    <t>8,10</t>
  </si>
  <si>
    <t>9,29.4</t>
  </si>
  <si>
    <t>3 x 3,4.9 x 6</t>
  </si>
  <si>
    <t>1,1.7</t>
  </si>
  <si>
    <t>0.5,1.27</t>
  </si>
  <si>
    <t>ACTIVE</t>
  </si>
  <si>
    <t>2.95V to 6V Input, 6A, Synchronous Step-Down SWIFT™ Converter</t>
  </si>
  <si>
    <t>AC/DC &amp; DC/DC converters (integrated FET)</t>
  </si>
  <si>
    <t>Catalog</t>
  </si>
  <si>
    <t>Buck</t>
  </si>
  <si>
    <t>WQFN</t>
  </si>
  <si>
    <t/>
  </si>
  <si>
    <t>-40 to 150</t>
  </si>
  <si>
    <t>3 x 3</t>
  </si>
  <si>
    <t>ACTIVE</t>
  </si>
  <si>
    <t>LED drivers with active power factor correction and phase dimming decoder</t>
  </si>
  <si>
    <t>Illumination  LED drivers</t>
  </si>
  <si>
    <t>Catalog</t>
  </si>
  <si>
    <t>Boost,Flyback</t>
  </si>
  <si>
    <t>TSSOP</t>
  </si>
  <si>
    <t/>
  </si>
  <si>
    <t>-40 to 125</t>
  </si>
  <si>
    <t>5 x 6.4</t>
  </si>
  <si>
    <t>ACTIVE</t>
  </si>
  <si>
    <t>95-V LED driver with Dynamic Headroom Control and Thermal Control interfaces</t>
  </si>
  <si>
    <t>Illumination  LED drivers</t>
  </si>
  <si>
    <t>Catalog</t>
  </si>
  <si>
    <t>Current Sink,Multi-Channel</t>
  </si>
  <si>
    <t>HTSSOP</t>
  </si>
  <si>
    <t/>
  </si>
  <si>
    <t>-40 to 125</t>
  </si>
  <si>
    <t>9.7 x 6.4</t>
  </si>
  <si>
    <t>ACTIVE</t>
  </si>
  <si>
    <t>Automotive 3.5V to 28V, 570kHz Fixed Frequency 3A Buck Converter with Eco-Mode&amp;trade;</t>
  </si>
  <si>
    <t>AC/DC &amp; DC/DC converters (integrated FET)</t>
  </si>
  <si>
    <t>Automotive</t>
  </si>
  <si>
    <t>Buck</t>
  </si>
  <si>
    <t>SOIC</t>
  </si>
  <si>
    <t/>
  </si>
  <si>
    <t>-40 to 150</t>
  </si>
  <si>
    <t>4.9 x 6</t>
  </si>
  <si>
    <t>ACTIVE</t>
  </si>
  <si>
    <t>AC-DC offline LED driver</t>
  </si>
  <si>
    <t>Illumination  LED drivers</t>
  </si>
  <si>
    <t>Catalog</t>
  </si>
  <si>
    <t>Buck,Flyback</t>
  </si>
  <si>
    <t>SOIC,VSSOP</t>
  </si>
  <si>
    <t/>
  </si>
  <si>
    <t>-40 to 125</t>
  </si>
  <si>
    <t>8,10</t>
  </si>
  <si>
    <t>14.7,29.4</t>
  </si>
  <si>
    <t>3 x 4.9,4.9 x 6</t>
  </si>
  <si>
    <t>1.1,1.75</t>
  </si>
  <si>
    <t>0.5,1.27</t>
  </si>
  <si>
    <t>ACTIVE</t>
  </si>
  <si>
    <t>1.5A/4.1A multiple LED Camera flash driver with I2CTM compatible interface and Hardware Reset Input</t>
  </si>
  <si>
    <t>Illumination  LED drivers</t>
  </si>
  <si>
    <t>Catalog</t>
  </si>
  <si>
    <t>Boost,current mode</t>
  </si>
  <si>
    <t>DSBGA</t>
  </si>
  <si>
    <t/>
  </si>
  <si>
    <t>-40 to 85</t>
  </si>
  <si>
    <t>1.8 x 2.2</t>
  </si>
  <si>
    <t>ACTIVE</t>
  </si>
  <si>
    <t>6-V to 75-V&amp;nbsp;400-uA IQ ORing FET controller</t>
  </si>
  <si>
    <t>Ideal diode &amp; ORing controllers</t>
  </si>
  <si>
    <t>Catalog</t>
  </si>
  <si>
    <t>SOT-23-THN</t>
  </si>
  <si>
    <t/>
  </si>
  <si>
    <t>-40 to 125</t>
  </si>
  <si>
    <t>2.9 x 2.8</t>
  </si>
  <si>
    <t>ACTIVE</t>
  </si>
  <si>
    <t>12-CH Gamma Voltage Generator with Dual Memory Banks and EEPROM Access</t>
  </si>
  <si>
    <t>LCD &amp; OLED display power &amp; drivers</t>
  </si>
  <si>
    <t>Catalog</t>
  </si>
  <si>
    <t>VQFN</t>
  </si>
  <si>
    <t/>
  </si>
  <si>
    <t>-40 to 95</t>
  </si>
  <si>
    <t>4 x 4</t>
  </si>
  <si>
    <t>ACTIVE</t>
  </si>
  <si>
    <t>4 Channel Power Management IC (PMIC) in Small Chipscale</t>
  </si>
  <si>
    <t>Multi-channel ICs (PMICs)</t>
  </si>
  <si>
    <t>Catalog</t>
  </si>
  <si>
    <t>DSBGA</t>
  </si>
  <si>
    <t/>
  </si>
  <si>
    <t>-40 to 85</t>
  </si>
  <si>
    <t>2.25 x 2.25</t>
  </si>
  <si>
    <t>ACTIVE</t>
  </si>
  <si>
    <t>4.5V to 16V input, 3A/2A output dual buck converter with an USB switch</t>
  </si>
  <si>
    <t>AC/DC &amp; DC/DC converters (integrated FET)</t>
  </si>
  <si>
    <t>Catalog</t>
  </si>
  <si>
    <t>Buck</t>
  </si>
  <si>
    <t>VQFN</t>
  </si>
  <si>
    <t/>
  </si>
  <si>
    <t>-40 to 85</t>
  </si>
  <si>
    <t>5 x 5</t>
  </si>
  <si>
    <t>ACTIVE</t>
  </si>
  <si>
    <t>150-mA 24-V ultra-low-IQ low-dropout (LDO) voltage regulator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</si>
  <si>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</si>
  <si>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</si>
  <si>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</si>
  <si>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</si>
  <si>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</si>
  <si>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</si>
  <si>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</si>
  <si>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600mA Fully Integrated, Low Noise Step-Down Converter Module in MicroSiP&amp;trade;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</si>
  <si>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</si>
  <si>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</si>
  <si>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</si>
  <si>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</si>
  <si>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</si>
  <si>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</si>
  <si>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</si>
  <si>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</si>
  <si>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600mA Fully Integrated, Low Noise Step-Down Converter Module in MicroSiP&amp;trade; Package</t>
  </si>
  <si>
    <t>Power modules (integrated inductor)</t>
  </si>
  <si>
    <t>Catalog</t>
  </si>
  <si>
    <t>Buck,Step-Down Converter,Synchronous Buck</t>
  </si>
  <si>
    <t>uSIP</t>
  </si>
  <si>
    <t/>
  </si>
  <si>
    <t>-40 to 125</t>
  </si>
  <si>
    <t>2.3 x 2.9</t>
  </si>
  <si>
    <t>ACTIVE</t>
  </si>
  <si>
    <t>4.5-V to 14.5-V Input, 6-A Synchronous Buck, Integrated Power Solution</t>
  </si>
  <si>
    <t>Power modules (integrated inductor)</t>
  </si>
  <si>
    <t>Catalog</t>
  </si>
  <si>
    <t>Buck</t>
  </si>
  <si>
    <t>B1QFN</t>
  </si>
  <si>
    <t/>
  </si>
  <si>
    <t>-40 to 85</t>
  </si>
  <si>
    <t>15 x 9</t>
  </si>
  <si>
    <t>ACTIVE</t>
  </si>
  <si>
    <t>8-CH Gamma-Voltage Generator w/Adjustable Gain Vcom &amp; 1/2 AVDD Topology</t>
  </si>
  <si>
    <t>LCD &amp; OLED display power &amp; drivers</t>
  </si>
  <si>
    <t>Catalog</t>
  </si>
  <si>
    <t>VQFN</t>
  </si>
  <si>
    <t/>
  </si>
  <si>
    <t>-40 to 95</t>
  </si>
  <si>
    <t>5 x 5</t>
  </si>
  <si>
    <t>ACTIVE</t>
  </si>
  <si>
    <t>High Precision 6MHz, 600 mA Synchronous Step-Down DC-DC Converter for Mobile Applications</t>
  </si>
  <si>
    <t>AC/DC &amp; DC/DC converters (integrated FET)</t>
  </si>
  <si>
    <t>Catalog</t>
  </si>
  <si>
    <t>Buck</t>
  </si>
  <si>
    <t>DSBGA</t>
  </si>
  <si>
    <t/>
  </si>
  <si>
    <t>-30 to 85</t>
  </si>
  <si>
    <t>0.36000000000000012000000000000001,1.4000000000000001</t>
  </si>
  <si>
    <t>0.6000000000000001 x 0.6000000000000001,1.4000000000000001 x 1</t>
  </si>
  <si>
    <t>0.295,0.675</t>
  </si>
  <si>
    <t>ACTIVE</t>
  </si>
  <si>
    <t>Dual Phase D-CAP+&amp;trade; Mode Step Down Controller for IMVP6+ CPU/GPU Vcore in Embedded Computing</t>
  </si>
  <si>
    <t>AC/DC &amp; DC/DC controllers (external FET)</t>
  </si>
  <si>
    <t>Catalog</t>
  </si>
  <si>
    <t>Multiphase</t>
  </si>
  <si>
    <t>VQFN</t>
  </si>
  <si>
    <t/>
  </si>
  <si>
    <t>-40 to 105</t>
  </si>
  <si>
    <t>6 x 6</t>
  </si>
  <si>
    <t>ACTIVE</t>
  </si>
  <si>
    <t>USB charging port controller</t>
  </si>
  <si>
    <t>USB power switches &amp; charging port controllers</t>
  </si>
  <si>
    <t>Catalog</t>
  </si>
  <si>
    <t>WQFN</t>
  </si>
  <si>
    <t/>
  </si>
  <si>
    <t>-40 to 85</t>
  </si>
  <si>
    <t>3 x 3</t>
  </si>
  <si>
    <t>ACTIVE</t>
  </si>
  <si>
    <t>USB charging port controller with output discharge</t>
  </si>
  <si>
    <t>USB power switches &amp; charging port controllers</t>
  </si>
  <si>
    <t>Catalog</t>
  </si>
  <si>
    <t>WQFN</t>
  </si>
  <si>
    <t/>
  </si>
  <si>
    <t>-40 to 85</t>
  </si>
  <si>
    <t>3 x 3</t>
  </si>
  <si>
    <t>ACTIVE</t>
  </si>
  <si>
    <t>Automotive 2-channel individual dimmable LED driver with boost converter and fast current regulator</t>
  </si>
  <si>
    <t>Automotive LED drivers</t>
  </si>
  <si>
    <t>Automotive</t>
  </si>
  <si>
    <t>Boost with Current Sink</t>
  </si>
  <si>
    <t>HTSSOP</t>
  </si>
  <si>
    <t/>
  </si>
  <si>
    <t>-40 to 125</t>
  </si>
  <si>
    <t>6.5 x 6.4</t>
  </si>
  <si>
    <t>ACTIVE</t>
  </si>
  <si>
    <t>300-mA, high-PSRR, low-IQ, low-dropout voltage regulator with enable</t>
  </si>
  <si>
    <t>Linear &amp; low-dropout (LDO) regulators</t>
  </si>
  <si>
    <t>Catalog</t>
  </si>
  <si>
    <t>SOT-23,WSON</t>
  </si>
  <si>
    <t/>
  </si>
  <si>
    <t>-40 to 125</t>
  </si>
  <si>
    <t>5,6</t>
  </si>
  <si>
    <t>2.25,8.12</t>
  </si>
  <si>
    <t>1.5 x 1.5,2.9 x 2.8</t>
  </si>
  <si>
    <t>0.8,1.45</t>
  </si>
  <si>
    <t>0.5,0.95</t>
  </si>
  <si>
    <t>ACTIVE</t>
  </si>
  <si>
    <t>300-mA, high-PSRR, low-IQ, low-dropout voltage regulator with enable &amp; active output discharge</t>
  </si>
  <si>
    <t>Linear &amp; low-dropout (LDO) regulators</t>
  </si>
  <si>
    <t>Catalog</t>
  </si>
  <si>
    <t>SOT-23,WSON</t>
  </si>
  <si>
    <t/>
  </si>
  <si>
    <t>-40 to 125</t>
  </si>
  <si>
    <t>5,6</t>
  </si>
  <si>
    <t>2.25,8.12</t>
  </si>
  <si>
    <t>1.5 x 1.5,2.9 x 2.8</t>
  </si>
  <si>
    <t>0.8,1.45</t>
  </si>
  <si>
    <t>0.5,0.95</t>
  </si>
  <si>
    <t>ACTIVE</t>
  </si>
  <si>
    <t>300-mA, high-PSRR, low-IQ, low-VOUT, low-dropout voltage regulator with enable</t>
  </si>
  <si>
    <t>Linear &amp; low-dropout (LDO) regulators</t>
  </si>
  <si>
    <t>Catalog</t>
  </si>
  <si>
    <t>SOT-23,WSON</t>
  </si>
  <si>
    <t/>
  </si>
  <si>
    <t>-40 to 125</t>
  </si>
  <si>
    <t>5,6</t>
  </si>
  <si>
    <t>2.25,8.12</t>
  </si>
  <si>
    <t>1.5 x 1.5,2.9 x 2.8</t>
  </si>
  <si>
    <t>0.8,1.45</t>
  </si>
  <si>
    <t>0.5,0.95</t>
  </si>
  <si>
    <t>ACTIVE</t>
  </si>
  <si>
    <t>3.5-MHz, 1.5-A, 92% efficient boost converter, adjustable input current Limit, ±10% current accuracy</t>
  </si>
  <si>
    <t>AC/DC &amp; DC/DC converters (integrated FET)</t>
  </si>
  <si>
    <t>Catalog</t>
  </si>
  <si>
    <t>Boost</t>
  </si>
  <si>
    <t>WSON</t>
  </si>
  <si>
    <t/>
  </si>
  <si>
    <t>-40 to 125</t>
  </si>
  <si>
    <t>2 x 2</t>
  </si>
  <si>
    <t>ACTIVE</t>
  </si>
  <si>
    <t>3.5-MHz, 1.5-A, 92% efficient boost converter, adjustable input current Limit, ±20% current accuracy</t>
  </si>
  <si>
    <t>AC/DC &amp; DC/DC converters (integrated FET)</t>
  </si>
  <si>
    <t>Catalog</t>
  </si>
  <si>
    <t>Boost</t>
  </si>
  <si>
    <t>WSON</t>
  </si>
  <si>
    <t/>
  </si>
  <si>
    <t>-40 to 125</t>
  </si>
  <si>
    <t>2 x 2</t>
  </si>
  <si>
    <t>ACTIVE</t>
  </si>
  <si>
    <t>LCD Bias Solution For LCD Panels Using ASG/GIP Technology</t>
  </si>
  <si>
    <t>LCD &amp; OLED display power &amp; drivers</t>
  </si>
  <si>
    <t>Catalog</t>
  </si>
  <si>
    <t>Boost</t>
  </si>
  <si>
    <t>VQFN</t>
  </si>
  <si>
    <t/>
  </si>
  <si>
    <t>-40 to 85</t>
  </si>
  <si>
    <t>7 x 7</t>
  </si>
  <si>
    <t>ACTIVE</t>
  </si>
  <si>
    <t>Automotive, 1.5-A low-VIN (0.8 V) adjustable LDO voltage regulator with power good and enable</t>
  </si>
  <si>
    <t>Linear &amp; low-dropout (LDO) regulators</t>
  </si>
  <si>
    <t>Automotive</t>
  </si>
  <si>
    <t>VQFN,VSON</t>
  </si>
  <si>
    <t/>
  </si>
  <si>
    <t>-40 to 150</t>
  </si>
  <si>
    <t>10,20</t>
  </si>
  <si>
    <t>9,25</t>
  </si>
  <si>
    <t>3 x 3,5 x 5</t>
  </si>
  <si>
    <t>0.5,0.65</t>
  </si>
  <si>
    <t>ACTIVE</t>
  </si>
  <si>
    <t>Automotive 500-mA, adjustable low-dropout voltage regulator with enable</t>
  </si>
  <si>
    <t>Linear &amp; low-dropout (LDO) regulators</t>
  </si>
  <si>
    <t>Automotive</t>
  </si>
  <si>
    <t>VSON</t>
  </si>
  <si>
    <t/>
  </si>
  <si>
    <t>-40 to 125</t>
  </si>
  <si>
    <t>3 x 3</t>
  </si>
  <si>
    <t>ACTIVE</t>
  </si>
  <si>
    <t>Single 10-A Output, 4.75V to 14V Input, Non-Isolated, Digital PowerTrain Module</t>
  </si>
  <si>
    <t>Power modules (integrated inductor)</t>
  </si>
  <si>
    <t>Catalog</t>
  </si>
  <si>
    <t>Buck</t>
  </si>
  <si>
    <t>DIPMODULE</t>
  </si>
  <si>
    <t/>
  </si>
  <si>
    <t>-40 to 85</t>
  </si>
  <si>
    <t>15.24 x 20.32</t>
  </si>
  <si>
    <t>ACTIVE</t>
  </si>
  <si>
    <t>Automotive, low-noise, very-low drift, precision 3-V series voltage reference</t>
  </si>
  <si>
    <t>Series voltage references</t>
  </si>
  <si>
    <t>Automotive</t>
  </si>
  <si>
    <t>SOIC</t>
  </si>
  <si>
    <t>Functional Safety-Capable</t>
  </si>
  <si>
    <t>-40 to 125</t>
  </si>
  <si>
    <t>4.9 x 6</t>
  </si>
  <si>
    <t>ACTIVE</t>
  </si>
  <si>
    <t>Automotive, low-noise, very-low drift, precision 4.096-V series voltage reference</t>
  </si>
  <si>
    <t>Series voltage references</t>
  </si>
  <si>
    <t>Automotive</t>
  </si>
  <si>
    <t>SOIC</t>
  </si>
  <si>
    <t>Functional Safety-Capable</t>
  </si>
  <si>
    <t>-40 to 125</t>
  </si>
  <si>
    <t>4.9 x 6</t>
  </si>
  <si>
    <t>ACTIVE</t>
  </si>
  <si>
    <t>Automotive, low-noise, very-low drift, precision 5-V series voltage reference</t>
  </si>
  <si>
    <t>Series voltage references</t>
  </si>
  <si>
    <t>Automotive</t>
  </si>
  <si>
    <t>SOIC</t>
  </si>
  <si>
    <t>Functional Safety-Capable</t>
  </si>
  <si>
    <t>-40 to 125</t>
  </si>
  <si>
    <t>4.9 x 6</t>
  </si>
  <si>
    <t>ACTIVE</t>
  </si>
  <si>
    <t>Automotive, quad-supply voltage supervisors with programmable delay &amp; watchdog timer</t>
  </si>
  <si>
    <t>Reset &amp; watchdog ICs</t>
  </si>
  <si>
    <t>Automotive</t>
  </si>
  <si>
    <t>VQFN</t>
  </si>
  <si>
    <t/>
  </si>
  <si>
    <t>-40 to 125</t>
  </si>
  <si>
    <t>4 x 4</t>
  </si>
  <si>
    <t>ACTIVE</t>
  </si>
  <si>
    <t>Automotive 200-mA, negative, adjustable low-dropout voltage regulator with enable</t>
  </si>
  <si>
    <t>Linear &amp; low-dropout (LDO) regulators</t>
  </si>
  <si>
    <t>Automotive</t>
  </si>
  <si>
    <t>SOT-23</t>
  </si>
  <si>
    <t/>
  </si>
  <si>
    <t>-40 to 125</t>
  </si>
  <si>
    <t>2.9 x 2.8</t>
  </si>
  <si>
    <t>ACTIVE</t>
  </si>
  <si>
    <t>Automotive Catalog 1-A Simple Step-Down Switching Voltage Regulators</t>
  </si>
  <si>
    <t>AC/DC &amp; DC/DC converters (integrated FET)</t>
  </si>
  <si>
    <t>Automotive</t>
  </si>
  <si>
    <t>Buck</t>
  </si>
  <si>
    <t>TO-263</t>
  </si>
  <si>
    <t/>
  </si>
  <si>
    <t>-40 to 125</t>
  </si>
  <si>
    <t>10.16 x 15.24</t>
  </si>
  <si>
    <t>ACTIVE</t>
  </si>
  <si>
    <t>Automotive Catalog 1-A Simple Step-Down Switching Voltage Regulators</t>
  </si>
  <si>
    <t>AC/DC &amp; DC/DC converters (integrated FET)</t>
  </si>
  <si>
    <t>Automotive</t>
  </si>
  <si>
    <t>Buck</t>
  </si>
  <si>
    <t>TO-263</t>
  </si>
  <si>
    <t/>
  </si>
  <si>
    <t>-40 to 125</t>
  </si>
  <si>
    <t>10.16 x 15.24</t>
  </si>
  <si>
    <t>ACTIVE</t>
  </si>
  <si>
    <t>Automotive 2.3V to 6V, 2.25MHz Fixed Frequency 1A Buck Converter in 2x2mm SON/TSOT23 Package</t>
  </si>
  <si>
    <t>AC/DC &amp; DC/DC converters (integrated FET)</t>
  </si>
  <si>
    <t>Automotive</t>
  </si>
  <si>
    <t>Buck</t>
  </si>
  <si>
    <t>WSON</t>
  </si>
  <si>
    <t/>
  </si>
  <si>
    <t>-40 to 105</t>
  </si>
  <si>
    <t>2 x 2</t>
  </si>
  <si>
    <t>ACTIVE</t>
  </si>
  <si>
    <t>Automotive 2.3V to 6V, 2.25MHz Fixed Frequency 1A Buck Converter with 1.8V Fixed Output Voltage</t>
  </si>
  <si>
    <t>AC/DC &amp; DC/DC converters (integrated FET)</t>
  </si>
  <si>
    <t>Automotive</t>
  </si>
  <si>
    <t>Buck</t>
  </si>
  <si>
    <t>WSON</t>
  </si>
  <si>
    <t/>
  </si>
  <si>
    <t>-40 to 105</t>
  </si>
  <si>
    <t>2 x 2</t>
  </si>
  <si>
    <t>ACTIVE</t>
  </si>
  <si>
    <t>1000mA, 6-MHz Synchronous Step-Down Converter in Chip Scale Packaging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</si>
  <si>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</si>
  <si>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</si>
  <si>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</si>
  <si>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</si>
  <si>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</si>
  <si>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</si>
  <si>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</si>
  <si>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</si>
  <si>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Automotive 400-mA, high-accuracy, low-dropout voltage regulator with reverse current protection</t>
  </si>
  <si>
    <t>Linear &amp; low-dropout (LDO) regulators</t>
  </si>
  <si>
    <t>Automotive</t>
  </si>
  <si>
    <t>SOT-223,SOT-23</t>
  </si>
  <si>
    <t/>
  </si>
  <si>
    <t>-40 to 125</t>
  </si>
  <si>
    <t>5,6</t>
  </si>
  <si>
    <t>8.12,45.89</t>
  </si>
  <si>
    <t>2.9 x 2.8,6.5 x 7.06</t>
  </si>
  <si>
    <t>1.45,1.8</t>
  </si>
  <si>
    <t>0.95,1.27</t>
  </si>
  <si>
    <t>ACTIVE</t>
  </si>
  <si>
    <t>4.5-42V Wide Vin, Current Mode Dual Synchronous Buck Controller</t>
  </si>
  <si>
    <t>AC/DC &amp; DC/DC controllers (external FET)</t>
  </si>
  <si>
    <t>Catalog</t>
  </si>
  <si>
    <t>Multiphase</t>
  </si>
  <si>
    <t>WQFN</t>
  </si>
  <si>
    <t/>
  </si>
  <si>
    <t>-40 to 125</t>
  </si>
  <si>
    <t>5 x 5</t>
  </si>
  <si>
    <t>ACTIVE</t>
  </si>
  <si>
    <t>5.5-65V Wide Vin, Current Mode Dual Synchronous Buck Controller</t>
  </si>
  <si>
    <t>AC/DC &amp; DC/DC controllers (external FET)</t>
  </si>
  <si>
    <t>Catalog</t>
  </si>
  <si>
    <t>Multiphase</t>
  </si>
  <si>
    <t>WQFN</t>
  </si>
  <si>
    <t/>
  </si>
  <si>
    <t>-40 to 125</t>
  </si>
  <si>
    <t>5 x 5</t>
  </si>
  <si>
    <t>ACTIVE</t>
  </si>
  <si>
    <t>4.5V to 17V Input, 3A Synchronous Step-Down SWIFT&amp;trade; Converter</t>
  </si>
  <si>
    <t>AC/DC &amp; DC/DC converters (integrated FET)</t>
  </si>
  <si>
    <t>Catalog</t>
  </si>
  <si>
    <t>Buck</t>
  </si>
  <si>
    <t>VQFN</t>
  </si>
  <si>
    <t/>
  </si>
  <si>
    <t>-40 to 150</t>
  </si>
  <si>
    <t>3.5 x 3.5</t>
  </si>
  <si>
    <t>ACTIVE</t>
  </si>
  <si>
    <t>Secondary side synchronous rectifier controller</t>
  </si>
  <si>
    <t>AC/DC &amp; DC/DC controllers (external FET)</t>
  </si>
  <si>
    <t>Catalog</t>
  </si>
  <si>
    <t>Active-clamp flyback,Active-clamp forward,CCM,DCM,Forward,Full bridge,Half bridge,LLC,Quasi resonant</t>
  </si>
  <si>
    <t>SOIC,VSON</t>
  </si>
  <si>
    <t/>
  </si>
  <si>
    <t>-40 to 125</t>
  </si>
  <si>
    <t>9,29.4</t>
  </si>
  <si>
    <t>3 x 3,4.9 x 6</t>
  </si>
  <si>
    <t>1,1.75</t>
  </si>
  <si>
    <t>0.65,1.27</t>
  </si>
  <si>
    <t>ACTIVE</t>
  </si>
  <si>
    <t>Resonant-Switching Driver Controller for LED Lighting</t>
  </si>
  <si>
    <t>AC/DC &amp; DC/DC controllers (external FET)</t>
  </si>
  <si>
    <t>Catalog</t>
  </si>
  <si>
    <t>Half bridge,LLC</t>
  </si>
  <si>
    <t>SOIC</t>
  </si>
  <si>
    <t/>
  </si>
  <si>
    <t>-40 to 125</t>
  </si>
  <si>
    <t>4.9 x 6</t>
  </si>
  <si>
    <t>ACTIVE</t>
  </si>
  <si>
    <t>15V, 75mA, 96% efficiency Step-Down Converter with DCS-Control</t>
  </si>
  <si>
    <t>AC/DC &amp; DC/DC converters (integrated FET)</t>
  </si>
  <si>
    <t>Catalog</t>
  </si>
  <si>
    <t>Buck</t>
  </si>
  <si>
    <t>SOT-23</t>
  </si>
  <si>
    <t/>
  </si>
  <si>
    <t>-40 to 85</t>
  </si>
  <si>
    <t>2.9 x 1.6</t>
  </si>
  <si>
    <t>ACTIVE</t>
  </si>
  <si>
    <t>200-mA, low-IQ, low-dropout voltage regulator with enable</t>
  </si>
  <si>
    <t>Linear &amp; low-dropout (LDO) regulators</t>
  </si>
  <si>
    <t>Catalog</t>
  </si>
  <si>
    <t>X2SON</t>
  </si>
  <si>
    <t/>
  </si>
  <si>
    <t>-40 to 125</t>
  </si>
  <si>
    <t>1 x 1</t>
  </si>
  <si>
    <t>ACTIVE</t>
  </si>
  <si>
    <t>Integrated Power Management IC (PMIC) with 3 DC/DC's, 4 LDOs, USB HS Transceiver</t>
  </si>
  <si>
    <t>Multi-channel ICs (PMICs)</t>
  </si>
  <si>
    <t>Catalog</t>
  </si>
  <si>
    <t>JRBGA,NFBGA</t>
  </si>
  <si>
    <t/>
  </si>
  <si>
    <t>-40 to 85</t>
  </si>
  <si>
    <t>6 x 6</t>
  </si>
  <si>
    <t>ACTIVE</t>
  </si>
  <si>
    <t>2-channel individual dimmable LED driver with boost converter and fast current regulator</t>
  </si>
  <si>
    <t>Illumination  LED drivers</t>
  </si>
  <si>
    <t>Catalog</t>
  </si>
  <si>
    <t>Boost,Boost with Current Sink,Multi-Channel</t>
  </si>
  <si>
    <t>HTSSOP</t>
  </si>
  <si>
    <t/>
  </si>
  <si>
    <t>-40 to 125</t>
  </si>
  <si>
    <t>6.5 x 6.4</t>
  </si>
  <si>
    <t>ACTIVE</t>
  </si>
  <si>
    <t>8-channel LED driver controller with integrated Intelligent Thermal controller</t>
  </si>
  <si>
    <t>Backlight LED drivers</t>
  </si>
  <si>
    <t>Catalog</t>
  </si>
  <si>
    <t>TSSOP</t>
  </si>
  <si>
    <t/>
  </si>
  <si>
    <t>-40 to 85</t>
  </si>
  <si>
    <t>12.5 x 8.1</t>
  </si>
  <si>
    <t>ACTIVE</t>
  </si>
  <si>
    <t>12-channel, 16-bit ES-PWM RGB LED driver with 3.3V Linear Regulator</t>
  </si>
  <si>
    <t>RGB LED drivers</t>
  </si>
  <si>
    <t>Catalog</t>
  </si>
  <si>
    <t>HTSSOP,VQFN</t>
  </si>
  <si>
    <t/>
  </si>
  <si>
    <t>-40 to 85</t>
  </si>
  <si>
    <t>20,24</t>
  </si>
  <si>
    <t>16,41.6</t>
  </si>
  <si>
    <t>4 x 4,6.5 x 6.4</t>
  </si>
  <si>
    <t>1,1.2</t>
  </si>
  <si>
    <t>0.5,0.65</t>
  </si>
  <si>
    <t>ACTIVE</t>
  </si>
  <si>
    <t>4.5-V to 24-V, synchronous dual-D-CAP2 buck controller</t>
  </si>
  <si>
    <t>AC/DC &amp; DC/DC controllers (external FET)</t>
  </si>
  <si>
    <t>Catalog</t>
  </si>
  <si>
    <t>Buck</t>
  </si>
  <si>
    <t>TSSOP,VQFN</t>
  </si>
  <si>
    <t/>
  </si>
  <si>
    <t>-40 to 85</t>
  </si>
  <si>
    <t>16,49.92</t>
  </si>
  <si>
    <t>4 x 4,7.8 x 6.4</t>
  </si>
  <si>
    <t>1,1.2</t>
  </si>
  <si>
    <t>0.5,0.65</t>
  </si>
  <si>
    <t>ACTIVE</t>
  </si>
  <si>
    <t>30-V, N channel NexFET™ power MOSFET, single SON 5 mm x 6 mm, 10.8 mOhm</t>
  </si>
  <si>
    <t>MOSFETs</t>
  </si>
  <si>
    <t>Catalog</t>
  </si>
  <si>
    <t>VSONP</t>
  </si>
  <si>
    <t/>
  </si>
  <si>
    <t>-55 to 150</t>
  </si>
  <si>
    <t>4.9 x 6</t>
  </si>
  <si>
    <t>ACTIVE</t>
  </si>
  <si>
    <t>30-V, N channel NexFET™ power MOSFET, single SON 5 mm x 6 mm, 5.2 mOhm</t>
  </si>
  <si>
    <t>MOSFETs</t>
  </si>
  <si>
    <t>Catalog</t>
  </si>
  <si>
    <t>VSONP</t>
  </si>
  <si>
    <t/>
  </si>
  <si>
    <t>-55 to 150</t>
  </si>
  <si>
    <t>4.9 x 6</t>
  </si>
  <si>
    <t>ACTIVE</t>
  </si>
  <si>
    <t>Power Management IC (PMIC) for Li-Ion Powered Systems</t>
  </si>
  <si>
    <t>Multi-channel ICs (PMICs)</t>
  </si>
  <si>
    <t>Catalog</t>
  </si>
  <si>
    <t>DSBGA,WQFN</t>
  </si>
  <si>
    <t/>
  </si>
  <si>
    <t>-40 to 85</t>
  </si>
  <si>
    <t>40,49</t>
  </si>
  <si>
    <t>9,25</t>
  </si>
  <si>
    <t>3 x 3,5 x 5</t>
  </si>
  <si>
    <t>0.625,0.8</t>
  </si>
  <si>
    <t>ACTIVE</t>
  </si>
  <si>
    <t>200-mA, low-IQ, high-PSRR, dual-channel low-dropout voltage regulator with enable</t>
  </si>
  <si>
    <t>Linear &amp; low-dropout (LDO) regulators</t>
  </si>
  <si>
    <t>Catalog</t>
  </si>
  <si>
    <t>WSON</t>
  </si>
  <si>
    <t/>
  </si>
  <si>
    <t>-40 to 125</t>
  </si>
  <si>
    <t>1.5 x 1.5</t>
  </si>
  <si>
    <t>ACTIVE</t>
  </si>
  <si>
    <t>Four channel high-efficiency LED backlight driver for notebooks with VDDIO PWM logic level</t>
  </si>
  <si>
    <t>Backlight LED drivers</t>
  </si>
  <si>
    <t>Catalog</t>
  </si>
  <si>
    <t>Boost</t>
  </si>
  <si>
    <t>DSBGA</t>
  </si>
  <si>
    <t/>
  </si>
  <si>
    <t>-30 to 85</t>
  </si>
  <si>
    <t>2.75 x 2.75</t>
  </si>
  <si>
    <t>ACTIVE</t>
  </si>
  <si>
    <t>9-V to 80-V hot swap controller with power limiting, latch off and analog current monitor</t>
  </si>
  <si>
    <t>Hot-swap controllers</t>
  </si>
  <si>
    <t>Catalog</t>
  </si>
  <si>
    <t>TSSOP</t>
  </si>
  <si>
    <t/>
  </si>
  <si>
    <t>-40 to 125</t>
  </si>
  <si>
    <t>5 x 6.4</t>
  </si>
  <si>
    <t>ACTIVE</t>
  </si>
  <si>
    <t>9-V to 80-V hot swap controller with power limiting, Auto Retry and analog current monitor</t>
  </si>
  <si>
    <t>Hot-swap controllers</t>
  </si>
  <si>
    <t>Catalog</t>
  </si>
  <si>
    <t>TSSOP</t>
  </si>
  <si>
    <t/>
  </si>
  <si>
    <t>-40 to 125</t>
  </si>
  <si>
    <t>5 x 6.4</t>
  </si>
  <si>
    <t>ACTIVE</t>
  </si>
  <si>
    <t>4.5V to 18V Input, 4A Synchronous Step-Down Converter</t>
  </si>
  <si>
    <t>AC/DC &amp; DC/DC converters (integrated FET)</t>
  </si>
  <si>
    <t>Catalog</t>
  </si>
  <si>
    <t>Buck</t>
  </si>
  <si>
    <t>HTSSOP</t>
  </si>
  <si>
    <t/>
  </si>
  <si>
    <t>-40 to 85</t>
  </si>
  <si>
    <t>5 x 6.4</t>
  </si>
  <si>
    <t>ACTIVE</t>
  </si>
  <si>
    <t>4.5V to 18V Input, 4A Synchronous Step-Down Converter with Eco-Mode&amp;trade;</t>
  </si>
  <si>
    <t>AC/DC &amp; DC/DC converters (integrated FET)</t>
  </si>
  <si>
    <t>Catalog</t>
  </si>
  <si>
    <t>Buck</t>
  </si>
  <si>
    <t>HTSSOP,VQFN</t>
  </si>
  <si>
    <t/>
  </si>
  <si>
    <t>-40 to 85</t>
  </si>
  <si>
    <t>14,16</t>
  </si>
  <si>
    <t>16,32</t>
  </si>
  <si>
    <t>4 x 4,5 x 6.4</t>
  </si>
  <si>
    <t>1,1.2</t>
  </si>
  <si>
    <t>ACTIVE</t>
  </si>
  <si>
    <t>Advanced half-bridge/full-bridge PWM controller with pre-bias operation</t>
  </si>
  <si>
    <t>AC/DC &amp; DC/DC controllers (external FET)</t>
  </si>
  <si>
    <t>Catalog</t>
  </si>
  <si>
    <t>Forward,Full bridge,Half bridge,Push pull</t>
  </si>
  <si>
    <t>TSSOP,VQFN</t>
  </si>
  <si>
    <t/>
  </si>
  <si>
    <t>-40 to 125</t>
  </si>
  <si>
    <t>16,41.6</t>
  </si>
  <si>
    <t>4 x 4,6.5 x 6.4</t>
  </si>
  <si>
    <t>1,1.2</t>
  </si>
  <si>
    <t>0.5,0.65</t>
  </si>
  <si>
    <t>ACTIVE</t>
  </si>
  <si>
    <t>WLED driver for notebooks with PWM interface and Auto Phase Shift function</t>
  </si>
  <si>
    <t>Backlight LED drivers</t>
  </si>
  <si>
    <t>Catalog</t>
  </si>
  <si>
    <t>Boost</t>
  </si>
  <si>
    <t>WQFN</t>
  </si>
  <si>
    <t/>
  </si>
  <si>
    <t>-40 to 85</t>
  </si>
  <si>
    <t>4 x 4</t>
  </si>
  <si>
    <t>ACTIVE</t>
  </si>
  <si>
    <t>WLED driver for notebooks with PWM interface and programmable PWM dimming</t>
  </si>
  <si>
    <t>Backlight LED drivers</t>
  </si>
  <si>
    <t>Catalog</t>
  </si>
  <si>
    <t>Boost</t>
  </si>
  <si>
    <t>WQFN</t>
  </si>
  <si>
    <t/>
  </si>
  <si>
    <t>-40 to 85</t>
  </si>
  <si>
    <t>4 x 4</t>
  </si>
  <si>
    <t>ACTIVE</t>
  </si>
  <si>
    <t>High-Efficiency LED Backlight Driver for Notebooks</t>
  </si>
  <si>
    <t>Backlight LED drivers</t>
  </si>
  <si>
    <t>Catalog</t>
  </si>
  <si>
    <t>Boost</t>
  </si>
  <si>
    <t>DSBGA</t>
  </si>
  <si>
    <t/>
  </si>
  <si>
    <t>-30 to 85</t>
  </si>
  <si>
    <t>2.75 x 2.75</t>
  </si>
  <si>
    <t>ACTIVE</t>
  </si>
  <si>
    <t>2.25MHz 600mA/1000mA Dual Step Down Converter In Small 3x3mm QFN Package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</si>
  <si>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</si>
  <si>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</si>
  <si>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</si>
  <si>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</si>
  <si>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</si>
  <si>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</si>
  <si>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</si>
  <si>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</si>
  <si>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150-mA, 36-V, low-noise, high-PSRR, adjustable low-dropout voltage regulator with enable</t>
  </si>
  <si>
    <t>Linear &amp; low-dropout (LDO) regulators</t>
  </si>
  <si>
    <t>Catalog</t>
  </si>
  <si>
    <t>HVSSOP,VSON</t>
  </si>
  <si>
    <t/>
  </si>
  <si>
    <t>-40 to 125</t>
  </si>
  <si>
    <t>9,14.7</t>
  </si>
  <si>
    <t>3 x 3,3 x 4.9</t>
  </si>
  <si>
    <t>1,1.1</t>
  </si>
  <si>
    <t>ACTIVE</t>
  </si>
  <si>
    <t>200-mA, low-noise, high-PSRR, negative, adjustable low-dropout voltage regulator with enable</t>
  </si>
  <si>
    <t>Linear &amp; low-dropout (LDO) regulators</t>
  </si>
  <si>
    <t>Catalog</t>
  </si>
  <si>
    <t>HVSSOP,VSON</t>
  </si>
  <si>
    <t/>
  </si>
  <si>
    <t>-40 to 125</t>
  </si>
  <si>
    <t>9,14.7</t>
  </si>
  <si>
    <t>3 x 3,3 x 4.9</t>
  </si>
  <si>
    <t>1,1.1</t>
  </si>
  <si>
    <t>ACTIVE</t>
  </si>
  <si>
    <t>High power sequential LED driver</t>
  </si>
  <si>
    <t>RGB LED drivers</t>
  </si>
  <si>
    <t>Catalog</t>
  </si>
  <si>
    <t>Boost</t>
  </si>
  <si>
    <t>WQFN</t>
  </si>
  <si>
    <t/>
  </si>
  <si>
    <t>-30 to 85</t>
  </si>
  <si>
    <t>4 x 4</t>
  </si>
  <si>
    <t>ACTIVE</t>
  </si>
  <si>
    <t>3.6-V, 1-A, 63-mΩ load switch with output discharge</t>
  </si>
  <si>
    <t>Load switches</t>
  </si>
  <si>
    <t>Catalog</t>
  </si>
  <si>
    <t>DSBGA</t>
  </si>
  <si>
    <t/>
  </si>
  <si>
    <t>-40 to 85</t>
  </si>
  <si>
    <t>1.25 x 1.25</t>
  </si>
  <si>
    <t>ACTIVE</t>
  </si>
  <si>
    <t>3-V to 28-V, dual-synchronous buck controller for low output voltage rails in embedded computing</t>
  </si>
  <si>
    <t>AC/DC &amp; DC/DC controllers (external FET)</t>
  </si>
  <si>
    <t>Catalog</t>
  </si>
  <si>
    <t>Buck</t>
  </si>
  <si>
    <t>VQFN</t>
  </si>
  <si>
    <t/>
  </si>
  <si>
    <t>-40 to 85</t>
  </si>
  <si>
    <t>4 x 4</t>
  </si>
  <si>
    <t>ACTIVE</t>
  </si>
  <si>
    <t>42-V 60-W common Anode Capable constant current buck LED driver Requires No Ext. current sensing Res</t>
  </si>
  <si>
    <t>Illumination  LED drivers</t>
  </si>
  <si>
    <t>Catalog</t>
  </si>
  <si>
    <t>Buck</t>
  </si>
  <si>
    <t>HSOIC,WSON</t>
  </si>
  <si>
    <t/>
  </si>
  <si>
    <t>-40 to 125</t>
  </si>
  <si>
    <t>9,29.4</t>
  </si>
  <si>
    <t>3 x 3,4.9 x 6</t>
  </si>
  <si>
    <t>0.8,1.7</t>
  </si>
  <si>
    <t>0.5,1.27</t>
  </si>
  <si>
    <t>ACTIVE</t>
  </si>
  <si>
    <t>65-V 60-W common Anode Capable constant current buck LED driver Requires No Ext. current sensing Res</t>
  </si>
  <si>
    <t>Illumination  LED drivers</t>
  </si>
  <si>
    <t>Catalog</t>
  </si>
  <si>
    <t>Buck</t>
  </si>
  <si>
    <t>HSOIC,WSON</t>
  </si>
  <si>
    <t/>
  </si>
  <si>
    <t>-40 to 125</t>
  </si>
  <si>
    <t>9,29.4</t>
  </si>
  <si>
    <t>3 x 3,4.9 x 6</t>
  </si>
  <si>
    <t>0.8,1.7</t>
  </si>
  <si>
    <t>0.5,1.27</t>
  </si>
  <si>
    <t>ACTIVE</t>
  </si>
  <si>
    <t>Automotive 150-mA, off-battery (40-V), low-dropout voltage regulator</t>
  </si>
  <si>
    <t>Linear &amp; low-dropout (LDO) regulators</t>
  </si>
  <si>
    <t>Automotive</t>
  </si>
  <si>
    <t>SOIC</t>
  </si>
  <si>
    <t/>
  </si>
  <si>
    <t>-40 to 125</t>
  </si>
  <si>
    <t>4.9 x 6</t>
  </si>
  <si>
    <t>ACTIVE</t>
  </si>
  <si>
    <t>Complete DDR, DDR2, and DDR3 Memory Power Solution, Sync Buck Controller for Embedded Computing</t>
  </si>
  <si>
    <t>Multi-channel ICs (PMICs),DDR memory power ICs</t>
  </si>
  <si>
    <t>Catalog</t>
  </si>
  <si>
    <t>VQFN</t>
  </si>
  <si>
    <t/>
  </si>
  <si>
    <t>-40 to 85</t>
  </si>
  <si>
    <t>4 x 4</t>
  </si>
  <si>
    <t>ACTIVE</t>
  </si>
  <si>
    <t>Automotive 50-mA, off-battery (60-V), low-dropout voltage regulator with reverse voltage protection</t>
  </si>
  <si>
    <t>Linear &amp; low-dropout (LDO) regulators</t>
  </si>
  <si>
    <t>Automotive</t>
  </si>
  <si>
    <t>SOIC,SOT-223,TO-252,VSSOP</t>
  </si>
  <si>
    <t/>
  </si>
  <si>
    <t>-40 to 125</t>
  </si>
  <si>
    <t>3,4,8</t>
  </si>
  <si>
    <t>14.7,29.4,45.5,65.2078</t>
  </si>
  <si>
    <t>3 x 4.9,4.9 x 6,6.5 x 7,6.58 x 9.91</t>
  </si>
  <si>
    <t>1.1,1.75,1.8,2.55</t>
  </si>
  <si>
    <t>0.65,1.27,2.3,4.57</t>
  </si>
  <si>
    <t>ACTIVE</t>
  </si>
  <si>
    <t>1A SIMPLE SWITCHER Power Module with 20V Maximum Input Voltage for Military and Rugged App</t>
  </si>
  <si>
    <t>Power modules (integrated inductor)</t>
  </si>
  <si>
    <t>Catalog</t>
  </si>
  <si>
    <t>Buck,Synchronous Buck</t>
  </si>
  <si>
    <t>TO-PMOD</t>
  </si>
  <si>
    <t/>
  </si>
  <si>
    <t>-55 to 125</t>
  </si>
  <si>
    <t>10.16 x 13.77</t>
  </si>
  <si>
    <t>ACTIVE</t>
  </si>
  <si>
    <t>2A SIMPLE SWITCHER Power Module with 20V Maximum Input Voltage for Military and Rugged App</t>
  </si>
  <si>
    <t>Power modules (integrated inductor)</t>
  </si>
  <si>
    <t>Catalog</t>
  </si>
  <si>
    <t>Buck,Synchronous Buck</t>
  </si>
  <si>
    <t>TO-PMOD</t>
  </si>
  <si>
    <t/>
  </si>
  <si>
    <t>-55 to 125</t>
  </si>
  <si>
    <t>10.16 x 13.77</t>
  </si>
  <si>
    <t>ACTIVE</t>
  </si>
  <si>
    <t>3A SIMPLE SWITCHER Power Module with 20V Maximum Input Voltage for Military and Rugged App</t>
  </si>
  <si>
    <t>Power modules (integrated inductor)</t>
  </si>
  <si>
    <t>Catalog</t>
  </si>
  <si>
    <t>Buck,Synchronous Buck</t>
  </si>
  <si>
    <t>TO-PMOD</t>
  </si>
  <si>
    <t/>
  </si>
  <si>
    <t>-55 to 125</t>
  </si>
  <si>
    <t>10.16 x 13.77</t>
  </si>
  <si>
    <t>ACTIVE</t>
  </si>
  <si>
    <t>1A SIMPLE SWITCHER Power Module with 42V Maximum Input Voltage for Military and Rugged App</t>
  </si>
  <si>
    <t>Power modules (integrated inductor)</t>
  </si>
  <si>
    <t>Catalog</t>
  </si>
  <si>
    <t>Buck,Inverting Buck-Boost,Synchronous Buck</t>
  </si>
  <si>
    <t>TO-PMOD</t>
  </si>
  <si>
    <t/>
  </si>
  <si>
    <t>-55 to 125</t>
  </si>
  <si>
    <t>10.16 x 13.77</t>
  </si>
  <si>
    <t>ACTIVE</t>
  </si>
  <si>
    <t>2A SIMPLE SWITCHER Power Module with 42V Maximum Input Voltage for Military and Rugged App</t>
  </si>
  <si>
    <t>Power modules (integrated inductor)</t>
  </si>
  <si>
    <t>Catalog</t>
  </si>
  <si>
    <t>Buck,Inverting Buck-Boost,Synchronous Buck</t>
  </si>
  <si>
    <t>TO-PMOD</t>
  </si>
  <si>
    <t/>
  </si>
  <si>
    <t>-55 to 125</t>
  </si>
  <si>
    <t>10.16 x 13.77</t>
  </si>
  <si>
    <t>ACTIVE</t>
  </si>
  <si>
    <t>3A SIMPLE SWITCHER Power Module with 42V Maximum Input Voltage for Military and Rugged App</t>
  </si>
  <si>
    <t>Power modules (integrated inductor)</t>
  </si>
  <si>
    <t>Catalog</t>
  </si>
  <si>
    <t>Buck,Inverting Buck-Boost,Synchronous Buck</t>
  </si>
  <si>
    <t>TO-PMOD</t>
  </si>
  <si>
    <t/>
  </si>
  <si>
    <t>-55 to 125</t>
  </si>
  <si>
    <t>10.16 x 13.77</t>
  </si>
  <si>
    <t>ACTIVE</t>
  </si>
  <si>
    <t>Automotive 50-mA, off-battery (40-V), low-IQ, low-dropout voltage regulator</t>
  </si>
  <si>
    <t>Linear &amp; low-dropout (LDO) regulators</t>
  </si>
  <si>
    <t>Automotive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</si>
  <si>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</si>
  <si>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</si>
  <si>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</si>
  <si>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</si>
  <si>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</si>
  <si>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</si>
  <si>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</si>
  <si>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</si>
  <si>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15V, 75mA, 96% efficiency Step-Down Converter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</si>
  <si>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</si>
  <si>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</si>
  <si>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</si>
  <si>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</si>
  <si>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</si>
  <si>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</si>
  <si>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</si>
  <si>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</si>
  <si>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6-channel Power Management IC (PMIC) with 3DC/DCs, 3 LDOs, I2C Interface and DVS</t>
  </si>
  <si>
    <t>Multi-channel ICs (PMICs)</t>
  </si>
  <si>
    <t>Catalog</t>
  </si>
  <si>
    <t>WQFN</t>
  </si>
  <si>
    <t/>
  </si>
  <si>
    <t>-40 to 85</t>
  </si>
  <si>
    <t>5 x 5</t>
  </si>
  <si>
    <t>ACTIVE</t>
  </si>
  <si>
    <t>10-Rail Sequencer and System Health Monitor with Integrated 10-Channel Fan Controller</t>
  </si>
  <si>
    <t>Sequencers</t>
  </si>
  <si>
    <t>Catalog</t>
  </si>
  <si>
    <t>VQFN</t>
  </si>
  <si>
    <t/>
  </si>
  <si>
    <t>-40 to 125</t>
  </si>
  <si>
    <t>9 x 9</t>
  </si>
  <si>
    <t>ACTIVE</t>
  </si>
  <si>
    <t>Quad voltage supervisor with manual reset Input</t>
  </si>
  <si>
    <t>Reset &amp; watchdog ICs</t>
  </si>
  <si>
    <t>Catalog</t>
  </si>
  <si>
    <t>VSSOP</t>
  </si>
  <si>
    <t/>
  </si>
  <si>
    <t>-40 to 125</t>
  </si>
  <si>
    <t>3 x 4.9</t>
  </si>
  <si>
    <t>ACTIVE</t>
  </si>
  <si>
    <t>80-V LED driver with Dynamic Headroom Control and Thermal Control interfaces</t>
  </si>
  <si>
    <t>Illumination  LED drivers</t>
  </si>
  <si>
    <t>Catalog</t>
  </si>
  <si>
    <t>Current Sink,Multi-Channel</t>
  </si>
  <si>
    <t>HTSSOP</t>
  </si>
  <si>
    <t/>
  </si>
  <si>
    <t>-40 to 125</t>
  </si>
  <si>
    <t>9.7 x 6.4</t>
  </si>
  <si>
    <t>ACTIVE</t>
  </si>
  <si>
    <t>3-A Power module with 5.5-V maximum input voltage for military and rugged applications</t>
  </si>
  <si>
    <t>Power modules (integrated inductor)</t>
  </si>
  <si>
    <t>Catalog</t>
  </si>
  <si>
    <t>Buck,Step-Down Converter,Synchronous Buck</t>
  </si>
  <si>
    <t>TO-PMOD</t>
  </si>
  <si>
    <t/>
  </si>
  <si>
    <t>-55 to 125</t>
  </si>
  <si>
    <t>10.16 x 13.77</t>
  </si>
  <si>
    <t>ACTIVE</t>
  </si>
  <si>
    <t>4-A Power module with 5.5-V maximum input voltage for military and rugged applications</t>
  </si>
  <si>
    <t>Power modules (integrated inductor)</t>
  </si>
  <si>
    <t>Catalog</t>
  </si>
  <si>
    <t>Buck,Step-Down Converter,Synchronous Buck</t>
  </si>
  <si>
    <t>TO-PMOD</t>
  </si>
  <si>
    <t/>
  </si>
  <si>
    <t>-55 to 125</t>
  </si>
  <si>
    <t>10.16 x 13.77</t>
  </si>
  <si>
    <t>ACTIVE</t>
  </si>
  <si>
    <t>5-A Power module with 5.5-V maximum input voltage for military and rugged applications</t>
  </si>
  <si>
    <t>Power modules (integrated inductor)</t>
  </si>
  <si>
    <t>Catalog</t>
  </si>
  <si>
    <t>Buck,Step-Down Converter,Synchronous Buck</t>
  </si>
  <si>
    <t>TO-PMOD</t>
  </si>
  <si>
    <t/>
  </si>
  <si>
    <t>-55 to 125</t>
  </si>
  <si>
    <t>10.16 x 13.77</t>
  </si>
  <si>
    <t>ACTIVE</t>
  </si>
  <si>
    <t>9-V to 80-V hot swap controller with I2C current monitor and latch off</t>
  </si>
  <si>
    <t>Hot-swap controllers</t>
  </si>
  <si>
    <t>Catalog</t>
  </si>
  <si>
    <t>TSSOP</t>
  </si>
  <si>
    <t/>
  </si>
  <si>
    <t>-40 to 125</t>
  </si>
  <si>
    <t>6.5 x 6.4</t>
  </si>
  <si>
    <t>ACTIVE</t>
  </si>
  <si>
    <t>9-V to 80-V hot swap controller with I2C current monitor and Auto Retry</t>
  </si>
  <si>
    <t>Hot-swap controllers</t>
  </si>
  <si>
    <t>Catalog</t>
  </si>
  <si>
    <t>TSSOP</t>
  </si>
  <si>
    <t/>
  </si>
  <si>
    <t>-40 to 125</t>
  </si>
  <si>
    <t>6.5 x 6.4</t>
  </si>
  <si>
    <t>ACTIVE</t>
  </si>
  <si>
    <t>Enhanced Product Low-Noise, Very Low Drift, Precision Voltage Reference</t>
  </si>
  <si>
    <t>Series voltage references</t>
  </si>
  <si>
    <t>HiRel Enhanced Product</t>
  </si>
  <si>
    <t>SOIC</t>
  </si>
  <si>
    <t/>
  </si>
  <si>
    <t>-55 to 125</t>
  </si>
  <si>
    <t>4.9 x 6</t>
  </si>
  <si>
    <t>ACTIVE</t>
  </si>
  <si>
    <t>High Temperature Wide Input Range Current Mode Boost Controller</t>
  </si>
  <si>
    <t>AC/DC &amp; DC/DC controllers (external FET)</t>
  </si>
  <si>
    <t>High Temp</t>
  </si>
  <si>
    <t>Boost</t>
  </si>
  <si>
    <t>CFP,DIESALE</t>
  </si>
  <si>
    <t/>
  </si>
  <si>
    <t>-55 to 210</t>
  </si>
  <si>
    <t>0,10</t>
  </si>
  <si>
    <t>40.3225,See data sheet</t>
  </si>
  <si>
    <t>6.35 x 6.35,See data sheet</t>
  </si>
  <si>
    <t>2.31,—</t>
  </si>
  <si>
    <t>1.27,—</t>
  </si>
  <si>
    <t>ACTIVE</t>
  </si>
  <si>
    <t>17V Input, 5A Synchronous Step-Down Converter</t>
  </si>
  <si>
    <t>AC/DC &amp; DC/DC converters (integrated FET)</t>
  </si>
  <si>
    <t>Catalog</t>
  </si>
  <si>
    <t>Buck</t>
  </si>
  <si>
    <t>VQFN</t>
  </si>
  <si>
    <t/>
  </si>
  <si>
    <t>-40 to 125</t>
  </si>
  <si>
    <t>3.5 x 3.5</t>
  </si>
  <si>
    <t>ACTIVE</t>
  </si>
  <si>
    <t>30-V, N channel NexFET™ power MOSFET, single SON 5 mm x 6 mm, 2.3 mOhm</t>
  </si>
  <si>
    <t>MOSFETs</t>
  </si>
  <si>
    <t>Catalog</t>
  </si>
  <si>
    <t>VSON-CLIP</t>
  </si>
  <si>
    <t/>
  </si>
  <si>
    <t>-55 to 150</t>
  </si>
  <si>
    <t>6 x 5</t>
  </si>
  <si>
    <t>ACTIVE</t>
  </si>
  <si>
    <t>1-A, high-PSRR, ultra-low-dropout voltage regulator with low-IQ &amp; enable</t>
  </si>
  <si>
    <t>Linear &amp; low-dropout (LDO) regulators</t>
  </si>
  <si>
    <t>Catalog</t>
  </si>
  <si>
    <t>VSON</t>
  </si>
  <si>
    <t/>
  </si>
  <si>
    <t>-40 to 125</t>
  </si>
  <si>
    <t>3 x 3</t>
  </si>
  <si>
    <t>ACTIVE</t>
  </si>
  <si>
    <t>Automotive two-phase interleaved continuous conduction(CCM) mode PFC controller</t>
  </si>
  <si>
    <t>AC/DC &amp; DC/DC controllers (external FET)</t>
  </si>
  <si>
    <t>Automotive</t>
  </si>
  <si>
    <t>Boost,PFC controller</t>
  </si>
  <si>
    <t>TSSOP</t>
  </si>
  <si>
    <t/>
  </si>
  <si>
    <t>-40 to 125</t>
  </si>
  <si>
    <t>6.5 x 6.4</t>
  </si>
  <si>
    <t>ACTIVE</t>
  </si>
  <si>
    <t>Automotive 2x1.75mm, 6-40V Wide Vin, 600mA, 2.6MHz Constant On-Time Non-Synchronous Buck Regulator</t>
  </si>
  <si>
    <t>AC/DC &amp; DC/DC converters (integrated FET)</t>
  </si>
  <si>
    <t>Automotive</t>
  </si>
  <si>
    <t>Buck</t>
  </si>
  <si>
    <t>DSBGA</t>
  </si>
  <si>
    <t/>
  </si>
  <si>
    <t>-40 to 125</t>
  </si>
  <si>
    <t>2.25 x 1.75</t>
  </si>
  <si>
    <t>ACTIVE</t>
  </si>
  <si>
    <t>Power Management IC (PMIC) with battery monitor switch for wireless accessories</t>
  </si>
  <si>
    <t>Multi-channel ICs (PMICs)</t>
  </si>
  <si>
    <t>Catalog</t>
  </si>
  <si>
    <t>VQFN</t>
  </si>
  <si>
    <t/>
  </si>
  <si>
    <t>-40 to 85</t>
  </si>
  <si>
    <t>4 x 4</t>
  </si>
  <si>
    <t>ACTIVE</t>
  </si>
  <si>
    <t>30-V, N channel NexFET™ power MOSFET, single SON 5 mm x 6 mm, 1.7 mOhm</t>
  </si>
  <si>
    <t>MOSFETs</t>
  </si>
  <si>
    <t>Catalog</t>
  </si>
  <si>
    <t>VSON-CLIP</t>
  </si>
  <si>
    <t/>
  </si>
  <si>
    <t>-55 to 150</t>
  </si>
  <si>
    <t>6 x 5</t>
  </si>
  <si>
    <t>ACTIVE</t>
  </si>
  <si>
    <t>Micropower voltage regulator</t>
  </si>
  <si>
    <t>Linear &amp; low-dropout (LDO) regulators</t>
  </si>
  <si>
    <t>Catalog</t>
  </si>
  <si>
    <t>TO-252</t>
  </si>
  <si>
    <t/>
  </si>
  <si>
    <t>-40 to 125</t>
  </si>
  <si>
    <t>6.58 x 9.91</t>
  </si>
  <si>
    <t>ACTIVE</t>
  </si>
  <si>
    <t>3-A, 100-V full bridge gate driver with Integrated current sense amplifier</t>
  </si>
  <si>
    <t>Half-bridge drivers</t>
  </si>
  <si>
    <t>Catalog</t>
  </si>
  <si>
    <t>SOIC</t>
  </si>
  <si>
    <t/>
  </si>
  <si>
    <t>-40 to 125</t>
  </si>
  <si>
    <t>17.9 x 10.3</t>
  </si>
  <si>
    <t>ACTIVE</t>
  </si>
  <si>
    <t>Dual 5A Compound gate driver</t>
  </si>
  <si>
    <t>Low-side drivers</t>
  </si>
  <si>
    <t>Catalog</t>
  </si>
  <si>
    <t>SOIC</t>
  </si>
  <si>
    <t/>
  </si>
  <si>
    <t>-40 to 125</t>
  </si>
  <si>
    <t>4.9 x 6</t>
  </si>
  <si>
    <t>ACTIVE</t>
  </si>
  <si>
    <t>100V, 150 mA Constant On-Time Buck Switching Regulator</t>
  </si>
  <si>
    <t>AC/DC &amp; DC/DC converters (integrated FET)</t>
  </si>
  <si>
    <t>Catalog</t>
  </si>
  <si>
    <t>Buck</t>
  </si>
  <si>
    <t>VSSOP,WSON</t>
  </si>
  <si>
    <t/>
  </si>
  <si>
    <t>-40 to 125</t>
  </si>
  <si>
    <t>14.7,16</t>
  </si>
  <si>
    <t>3 x 4.9,4 x 4</t>
  </si>
  <si>
    <t>0.8,1.1</t>
  </si>
  <si>
    <t>0.65,0.8</t>
  </si>
  <si>
    <t>ACTIVE</t>
  </si>
  <si>
    <t>25-V, N channel NexFET™ power MOSFET, dual common source WLP1.7 mm x 2.3 mm, 42 mOhm</t>
  </si>
  <si>
    <t>MOSFETs</t>
  </si>
  <si>
    <t>Catalog</t>
  </si>
  <si>
    <t>DSBGA</t>
  </si>
  <si>
    <t/>
  </si>
  <si>
    <t>-55 to 150</t>
  </si>
  <si>
    <t>2.25 x 1.75</t>
  </si>
  <si>
    <t>ACTIVE</t>
  </si>
  <si>
    <t>2.9V to 6V Input, 3A Synchronous Step-Down Converter with Eco-Mode and Smooth PWM</t>
  </si>
  <si>
    <t>AC/DC &amp; DC/DC converters (integrated FET)</t>
  </si>
  <si>
    <t>Catalog</t>
  </si>
  <si>
    <t>Buck</t>
  </si>
  <si>
    <t>VQFN</t>
  </si>
  <si>
    <t/>
  </si>
  <si>
    <t>-40 to 85</t>
  </si>
  <si>
    <t>3 x 3</t>
  </si>
  <si>
    <t>ACTIVE</t>
  </si>
  <si>
    <t>2.95 V to 6 V input, 3 A, 2 MHz SWIFT™ synchronous step-down converter in a 3 mm x 3 mm QFN package</t>
  </si>
  <si>
    <t>AC/DC &amp; DC/DC converters (integrated FET)</t>
  </si>
  <si>
    <t>Catalog</t>
  </si>
  <si>
    <t>Buck</t>
  </si>
  <si>
    <t>WQFN</t>
  </si>
  <si>
    <t/>
  </si>
  <si>
    <t>-40 to 150</t>
  </si>
  <si>
    <t>3 x 3</t>
  </si>
  <si>
    <t>ACTIVE</t>
  </si>
  <si>
    <t>SN1002018: 24-Channel, 12-Bit PWM LED Driver with 7-Bit Dot Correction</t>
  </si>
  <si>
    <t>Illumination  LED drivers</t>
  </si>
  <si>
    <t>Catalog</t>
  </si>
  <si>
    <t>HTSSOP</t>
  </si>
  <si>
    <t/>
  </si>
  <si>
    <t xml:space="preserve"> to </t>
  </si>
  <si>
    <t>12.5 x 8.1</t>
  </si>
  <si>
    <t>ACTIVE</t>
  </si>
  <si>
    <t>2x1.75mm, 6-40V Wide Vin, 600mA, Constant On-Time Non-Synchronous Buck Regulator</t>
  </si>
  <si>
    <t>AC/DC &amp; DC/DC converters (integrated FET)</t>
  </si>
  <si>
    <t>Catalog</t>
  </si>
  <si>
    <t>Buck</t>
  </si>
  <si>
    <t>DSBGA</t>
  </si>
  <si>
    <t/>
  </si>
  <si>
    <t>-40 to 125</t>
  </si>
  <si>
    <t>2.25 x 1.75</t>
  </si>
  <si>
    <t>ACTIVE</t>
  </si>
  <si>
    <t>Dual 10A, 4.75V to 14V, Non-Isolated, Digital PowerTrain Module</t>
  </si>
  <si>
    <t>Power modules (integrated inductor)</t>
  </si>
  <si>
    <t>Catalog</t>
  </si>
  <si>
    <t>Buck</t>
  </si>
  <si>
    <t>SIPMODULE</t>
  </si>
  <si>
    <t/>
  </si>
  <si>
    <t>-40 to 85</t>
  </si>
  <si>
    <t>15.24 x 27.94</t>
  </si>
  <si>
    <t>ACTIVE</t>
  </si>
  <si>
    <t>25-V, N channel synchronous buck NexFET™ power MOSFET, SON 5 mm x 6 mm power block, 40 A</t>
  </si>
  <si>
    <t>MOSFETs</t>
  </si>
  <si>
    <t>Catalog</t>
  </si>
  <si>
    <t>LSON-CLIP</t>
  </si>
  <si>
    <t/>
  </si>
  <si>
    <t>-55 to 150</t>
  </si>
  <si>
    <t>5 x 6</t>
  </si>
  <si>
    <t>ACTIVE</t>
  </si>
  <si>
    <t>Dual Phase D-CAP+&amp;trade;Mode Step Down Controller for IMVP6.5 CPU/GPU Vcore in Embedded Computing</t>
  </si>
  <si>
    <t>AC/DC &amp; DC/DC controllers (external FET)</t>
  </si>
  <si>
    <t>Catalog</t>
  </si>
  <si>
    <t>Multiphase</t>
  </si>
  <si>
    <t>VQFN</t>
  </si>
  <si>
    <t/>
  </si>
  <si>
    <t>-40 to 105</t>
  </si>
  <si>
    <t>6 x 6</t>
  </si>
  <si>
    <t>ACTIVE</t>
  </si>
  <si>
    <t>96 LED, 8-channel white LED driver for LCD backlight with SMBus interface</t>
  </si>
  <si>
    <t>Backlight LED drivers</t>
  </si>
  <si>
    <t>Catalog</t>
  </si>
  <si>
    <t>Boost</t>
  </si>
  <si>
    <t>WQFN</t>
  </si>
  <si>
    <t/>
  </si>
  <si>
    <t>-40 to 85</t>
  </si>
  <si>
    <t>4 x 4</t>
  </si>
  <si>
    <t>ACTIVE</t>
  </si>
  <si>
    <t>30-V, N channel NexFET™ power MOSFET, single SON 3 mm x 3 mm, 8.8 mOhm</t>
  </si>
  <si>
    <t>MOSFETs</t>
  </si>
  <si>
    <t>Catalog</t>
  </si>
  <si>
    <t>VSON-CLIP</t>
  </si>
  <si>
    <t/>
  </si>
  <si>
    <t>-55 to 150</t>
  </si>
  <si>
    <t>3.3 x 3.3</t>
  </si>
  <si>
    <t>ACTIVE</t>
  </si>
  <si>
    <t>Quadruple Operational Amplifier</t>
  </si>
  <si>
    <t>AC/DC &amp; DC/DC converters (integrated FET)</t>
  </si>
  <si>
    <t>Catalog</t>
  </si>
  <si>
    <t>DSBGA</t>
  </si>
  <si>
    <t/>
  </si>
  <si>
    <t xml:space="preserve"> to </t>
  </si>
  <si>
    <t>2.75 x 2.75</t>
  </si>
  <si>
    <t>ACTIVE</t>
  </si>
  <si>
    <t>2A WLED driver for notebooks with PWM control interface</t>
  </si>
  <si>
    <t>Backlight LED drivers</t>
  </si>
  <si>
    <t>Catalog</t>
  </si>
  <si>
    <t>Boost</t>
  </si>
  <si>
    <t>VQFN</t>
  </si>
  <si>
    <t/>
  </si>
  <si>
    <t>-40 to 85</t>
  </si>
  <si>
    <t>4 x 4</t>
  </si>
  <si>
    <t>ACTIVE</t>
  </si>
  <si>
    <t>3-V to 20-V, 25-A, 600 kHz synchronous buck controller with FSS and wide operating temp range</t>
  </si>
  <si>
    <t>AC/DC &amp; DC/DC controllers (external FET)</t>
  </si>
  <si>
    <t>Catalog</t>
  </si>
  <si>
    <t>Buck</t>
  </si>
  <si>
    <t>VSON</t>
  </si>
  <si>
    <t/>
  </si>
  <si>
    <t>-40 to 145</t>
  </si>
  <si>
    <t>3 x 3</t>
  </si>
  <si>
    <t>ACTIVE</t>
  </si>
  <si>
    <t>Radiation-hardened QMLV, 6-V to 26-V input, 1-A, 5-V output linear regulator</t>
  </si>
  <si>
    <t>Linear &amp; low-dropout (LDO) regulators</t>
  </si>
  <si>
    <t>Space</t>
  </si>
  <si>
    <t>CFP,DIESALE</t>
  </si>
  <si>
    <t/>
  </si>
  <si>
    <t>-55 to 125</t>
  </si>
  <si>
    <t>0,16</t>
  </si>
  <si>
    <t>62.9285,See data sheet</t>
  </si>
  <si>
    <t>9.91 x 6.35,See data sheet</t>
  </si>
  <si>
    <t>2.03,—</t>
  </si>
  <si>
    <t>1.27,—</t>
  </si>
  <si>
    <t>ACTIVE</t>
  </si>
  <si>
    <t>Dual, 400mA and 600mA, 2.25MHz Step-Down Converter with 1-Wire Interface in QFN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</si>
  <si>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</si>
  <si>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</si>
  <si>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</si>
  <si>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</si>
  <si>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</si>
  <si>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</si>
  <si>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</si>
  <si>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</si>
  <si>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Intelligent lighting management unit That Fuses a 1.2A dual high-side Flash LED Drive</t>
  </si>
  <si>
    <t>RGB LED drivers</t>
  </si>
  <si>
    <t>Catalog</t>
  </si>
  <si>
    <t>Boost</t>
  </si>
  <si>
    <t>DSBGA</t>
  </si>
  <si>
    <t/>
  </si>
  <si>
    <t>-30 to 85</t>
  </si>
  <si>
    <t>2.5999999999999996 x 2.2</t>
  </si>
  <si>
    <t>ACTIVE</t>
  </si>
  <si>
    <t>Li+ Battery Charger With WLED Driver and Current Shunt Monitor</t>
  </si>
  <si>
    <t>Multi-channel ICs (PMICs)</t>
  </si>
  <si>
    <t>Catalog</t>
  </si>
  <si>
    <t>DSBGA</t>
  </si>
  <si>
    <t/>
  </si>
  <si>
    <t>-40 to 85</t>
  </si>
  <si>
    <t>1 x 1.4000000000000001</t>
  </si>
  <si>
    <t>ACTIVE</t>
  </si>
  <si>
    <t>Enhanced Product 16 Channel LED Driver With DOT Correction and Grayscale PWM Control</t>
  </si>
  <si>
    <t>RGB LED drivers</t>
  </si>
  <si>
    <t>HiRel Enhanced Product</t>
  </si>
  <si>
    <t>HTSSOP,VQFN</t>
  </si>
  <si>
    <t/>
  </si>
  <si>
    <t>-40 to 125</t>
  </si>
  <si>
    <t>28,32</t>
  </si>
  <si>
    <t>25,62.08</t>
  </si>
  <si>
    <t>5 x 5,9.7 x 6.4</t>
  </si>
  <si>
    <t>1,1.2</t>
  </si>
  <si>
    <t>0.5,0.65</t>
  </si>
  <si>
    <t>ACTIVE</t>
  </si>
  <si>
    <t>500-mA, 6-MHz High-Efficiency Step-Down Converter in Low Profile Chip Scale Packaging, Vout=1.26V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</si>
  <si>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</si>
  <si>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</si>
  <si>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</si>
  <si>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</si>
  <si>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</si>
  <si>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</si>
  <si>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</si>
  <si>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</si>
  <si>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Enhanced Product Low-Noise, Very Low Drift, Precision Voltage Reference</t>
  </si>
  <si>
    <t>Series voltage references</t>
  </si>
  <si>
    <t>HiRel Enhanced Product</t>
  </si>
  <si>
    <t>SOIC</t>
  </si>
  <si>
    <t/>
  </si>
  <si>
    <t>-55 to 125</t>
  </si>
  <si>
    <t>4.9 x 6</t>
  </si>
  <si>
    <t>ACTIVE</t>
  </si>
  <si>
    <t>Enhanced Product Low-Noise, Very Low Drift, Precision Voltage Reference</t>
  </si>
  <si>
    <t>Series voltage references</t>
  </si>
  <si>
    <t>HiRel Enhanced Product</t>
  </si>
  <si>
    <t>SOIC</t>
  </si>
  <si>
    <t/>
  </si>
  <si>
    <t>-55 to 125</t>
  </si>
  <si>
    <t>4.9 x 6</t>
  </si>
  <si>
    <t>ACTIVE</t>
  </si>
  <si>
    <t>Enhanced Product Low-Noise, Very Low Drift, Precision Voltage Reference</t>
  </si>
  <si>
    <t>Series voltage references</t>
  </si>
  <si>
    <t>HiRel Enhanced Product</t>
  </si>
  <si>
    <t>SOIC</t>
  </si>
  <si>
    <t/>
  </si>
  <si>
    <t>-55 to 125</t>
  </si>
  <si>
    <t>4.9 x 6</t>
  </si>
  <si>
    <t>ACTIVE</t>
  </si>
  <si>
    <t>3.5V to 42V Input, 2.5A Step-Down Converter with Eco-Mode</t>
  </si>
  <si>
    <t>AC/DC &amp; DC/DC converters (integrated FET)</t>
  </si>
  <si>
    <t>Catalog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</si>
  <si>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</si>
  <si>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</si>
  <si>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</si>
  <si>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</si>
  <si>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</si>
  <si>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</si>
  <si>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</si>
  <si>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</si>
  <si>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8.5-V to 15-V dual channelHot Swap with Oring</t>
  </si>
  <si>
    <t>Hot-swap controllers</t>
  </si>
  <si>
    <t>Catalog</t>
  </si>
  <si>
    <t>VQFN</t>
  </si>
  <si>
    <t/>
  </si>
  <si>
    <t>-40 to 85</t>
  </si>
  <si>
    <t>6 x 6</t>
  </si>
  <si>
    <t>ACTIVE</t>
  </si>
  <si>
    <t>4.5V to 18V, 3A/2A/2A output, synchronous triple buck converter</t>
  </si>
  <si>
    <t>AC/DC &amp; DC/DC converters (integrated FET)</t>
  </si>
  <si>
    <t>Catalog</t>
  </si>
  <si>
    <t>Buck</t>
  </si>
  <si>
    <t>VQFN</t>
  </si>
  <si>
    <t/>
  </si>
  <si>
    <t>-40 to 125</t>
  </si>
  <si>
    <t>6 x 6</t>
  </si>
  <si>
    <t>ACTIVE</t>
  </si>
  <si>
    <t>4.5-V TO 18-V input, 3A/2A/2A output, synchronous triple buck converter</t>
  </si>
  <si>
    <t>AC/DC &amp; DC/DC converters (integrated FET)</t>
  </si>
  <si>
    <t>Catalog</t>
  </si>
  <si>
    <t>Buck</t>
  </si>
  <si>
    <t>VQFN</t>
  </si>
  <si>
    <t/>
  </si>
  <si>
    <t>-40 to 125</t>
  </si>
  <si>
    <t>6 x 6</t>
  </si>
  <si>
    <t>ACTIVE</t>
  </si>
  <si>
    <t>8-bit Parallel In/Out Darlington source driver with Latch and Enhanced Hold Time</t>
  </si>
  <si>
    <t>RGB LED drivers</t>
  </si>
  <si>
    <t>Catalog</t>
  </si>
  <si>
    <t>Linear</t>
  </si>
  <si>
    <t>PDIP,TSSOP</t>
  </si>
  <si>
    <t/>
  </si>
  <si>
    <t>-40 to 85</t>
  </si>
  <si>
    <t>41.6,228.702</t>
  </si>
  <si>
    <t>24.33 x 9.4,6.5 x 6.4</t>
  </si>
  <si>
    <t>1.2,5.08</t>
  </si>
  <si>
    <t>0.65,2.54</t>
  </si>
  <si>
    <t>ACTIVE</t>
  </si>
  <si>
    <t>Single Phase, D-CAP+&amp;trade; Sync Buck Controller for IMVP6+ CPU and GPU in Embedded Computing</t>
  </si>
  <si>
    <t>AC/DC &amp; DC/DC controllers (external FET)</t>
  </si>
  <si>
    <t>Catalog</t>
  </si>
  <si>
    <t>Multiphase</t>
  </si>
  <si>
    <t>VQFN</t>
  </si>
  <si>
    <t/>
  </si>
  <si>
    <t>-40 to 105</t>
  </si>
  <si>
    <t>5 x 5</t>
  </si>
  <si>
    <t>ACTIVE</t>
  </si>
  <si>
    <t>Automotive 2.5V to 6V, 2.25MHz Fixed Frequency Dual (800mA/800mA) Buck Converter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</si>
  <si>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</si>
  <si>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</si>
  <si>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</si>
  <si>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</si>
  <si>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</si>
  <si>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</si>
  <si>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</si>
  <si>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</si>
  <si>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High Efficiency Single Inductor Buck-Boost Converter with 4A Switch</t>
  </si>
  <si>
    <t>AC/DC &amp; DC/DC converters (integrated FET)</t>
  </si>
  <si>
    <t>Catalog</t>
  </si>
  <si>
    <t>Buck-Boost</t>
  </si>
  <si>
    <t>VSON</t>
  </si>
  <si>
    <t/>
  </si>
  <si>
    <t>-40 to 125</t>
  </si>
  <si>
    <t>4 x 3</t>
  </si>
  <si>
    <t>ACTIVE</t>
  </si>
  <si>
    <t>High Efficiency Single Inductor Buck-Boost Converter with 4A Switch</t>
  </si>
  <si>
    <t>AC/DC &amp; DC/DC converters (integrated FET)</t>
  </si>
  <si>
    <t>Catalog</t>
  </si>
  <si>
    <t>Buck-Boost</t>
  </si>
  <si>
    <t>VSON</t>
  </si>
  <si>
    <t/>
  </si>
  <si>
    <t>-40 to 125</t>
  </si>
  <si>
    <t>4 x 3</t>
  </si>
  <si>
    <t>ACTIVE</t>
  </si>
  <si>
    <t>Adjustable, 600-mA switch, 1200-kHz boost converter in ThinSOT-23 with forced PWM mode</t>
  </si>
  <si>
    <t>AC/DC &amp; DC/DC converters (integrated FET)</t>
  </si>
  <si>
    <t>Automotive</t>
  </si>
  <si>
    <t>Boost</t>
  </si>
  <si>
    <t>SOT-23-THN</t>
  </si>
  <si>
    <t/>
  </si>
  <si>
    <t>-40 to 125</t>
  </si>
  <si>
    <t>2.9 x 2.8</t>
  </si>
  <si>
    <t>ACTIVE</t>
  </si>
  <si>
    <t>42-V automotive PFET buck controller for high power LED Drives</t>
  </si>
  <si>
    <t>Automotive LED drivers</t>
  </si>
  <si>
    <t>Automotive</t>
  </si>
  <si>
    <t>Buck Controller</t>
  </si>
  <si>
    <t>HVSSOP</t>
  </si>
  <si>
    <t/>
  </si>
  <si>
    <t>-40 to 125</t>
  </si>
  <si>
    <t>3 x 4.9</t>
  </si>
  <si>
    <t>ACTIVE</t>
  </si>
  <si>
    <t>75-V automotive PFET buck controller for high power LED drivers</t>
  </si>
  <si>
    <t>Automotive LED drivers</t>
  </si>
  <si>
    <t>Automotive</t>
  </si>
  <si>
    <t>Buck Controller</t>
  </si>
  <si>
    <t>HVSSOP</t>
  </si>
  <si>
    <t/>
  </si>
  <si>
    <t>-40 to 125</t>
  </si>
  <si>
    <t>3 x 4.9</t>
  </si>
  <si>
    <t>ACTIVE</t>
  </si>
  <si>
    <t>3.6-V, 0.5-A, 66-mΩ load switch  with output discharge</t>
  </si>
  <si>
    <t>Load switches</t>
  </si>
  <si>
    <t>Catalog</t>
  </si>
  <si>
    <t>DSBGA</t>
  </si>
  <si>
    <t/>
  </si>
  <si>
    <t>-40 to 85</t>
  </si>
  <si>
    <t>1 x 1</t>
  </si>
  <si>
    <t>ACTIVE</t>
  </si>
  <si>
    <t>30-V, N channel NexFET™ power MOSFET, single SON 3 mm x 3 mm, 6.3 mOhm</t>
  </si>
  <si>
    <t>MOSFETs</t>
  </si>
  <si>
    <t>Catalog</t>
  </si>
  <si>
    <t>VSON-CLIP</t>
  </si>
  <si>
    <t/>
  </si>
  <si>
    <t>-55 to 150</t>
  </si>
  <si>
    <t>3.3 x 3.3</t>
  </si>
  <si>
    <t>ACTIVE</t>
  </si>
  <si>
    <t>SIMPLE SWITCHER&amp;reg; 4.5V to 20V, 1A DC/DC Power Module</t>
  </si>
  <si>
    <t>Power modules (integrated inductor)</t>
  </si>
  <si>
    <t>Catalog</t>
  </si>
  <si>
    <t>Buck,Synchronous Buck</t>
  </si>
  <si>
    <t>TO-PMOD</t>
  </si>
  <si>
    <t/>
  </si>
  <si>
    <t>-40 to 125</t>
  </si>
  <si>
    <t>10.16 x 13.77</t>
  </si>
  <si>
    <t>ACTIVE</t>
  </si>
  <si>
    <t>SIMPLE SWITCHER® 4.5V to 20V, 2A Power Module in Leaded Surface Mount TO Package</t>
  </si>
  <si>
    <t>Power modules (integrated inductor)</t>
  </si>
  <si>
    <t>Catalog</t>
  </si>
  <si>
    <t>Buck,Synchronous Buck</t>
  </si>
  <si>
    <t>TO-PMOD</t>
  </si>
  <si>
    <t/>
  </si>
  <si>
    <t>-40 to 125</t>
  </si>
  <si>
    <t>10.16 x 13.77</t>
  </si>
  <si>
    <t>ACTIVE</t>
  </si>
  <si>
    <t>SIMPLE SWITCHER&amp;reg; 6V to 42V, 1A Power Module in Leaded Surface Mount TO Package</t>
  </si>
  <si>
    <t>Power modules (integrated inductor)</t>
  </si>
  <si>
    <t>Catalog</t>
  </si>
  <si>
    <t>Buck,Inverting Buck-Boost,Synchronous Buck</t>
  </si>
  <si>
    <t>TO-PMOD</t>
  </si>
  <si>
    <t/>
  </si>
  <si>
    <t>-40 to 125</t>
  </si>
  <si>
    <t>10.16 x 13.77</t>
  </si>
  <si>
    <t>ACTIVE</t>
  </si>
  <si>
    <t>SIMPLE SWITCHER&amp;reg; 6V to 42V, 2A Power Module in Leaded SMT-TO Package</t>
  </si>
  <si>
    <t>Power modules (integrated inductor)</t>
  </si>
  <si>
    <t>Catalog</t>
  </si>
  <si>
    <t>Buck,Inverting Buck-Boost,Synchronous Buck</t>
  </si>
  <si>
    <t>TO-PMOD</t>
  </si>
  <si>
    <t/>
  </si>
  <si>
    <t>-40 to 125</t>
  </si>
  <si>
    <t>10.16 x 13.77</t>
  </si>
  <si>
    <t>ACTIVE</t>
  </si>
  <si>
    <t>1.5A multiple LED Camera flash driver with I2C compatible interface</t>
  </si>
  <si>
    <t>Illumination  LED drivers</t>
  </si>
  <si>
    <t>Catalog</t>
  </si>
  <si>
    <t>Boost,current mode</t>
  </si>
  <si>
    <t>DSBGA</t>
  </si>
  <si>
    <t/>
  </si>
  <si>
    <t>-40 to 85</t>
  </si>
  <si>
    <t>1.8 x 2.2</t>
  </si>
  <si>
    <t>ACTIVE</t>
  </si>
  <si>
    <t>1.5A/4.1A multiple LED Camera flash driver with I2C compatible interface</t>
  </si>
  <si>
    <t>Illumination  LED drivers</t>
  </si>
  <si>
    <t>Catalog</t>
  </si>
  <si>
    <t>Boost,current mode</t>
  </si>
  <si>
    <t>DSBGA</t>
  </si>
  <si>
    <t/>
  </si>
  <si>
    <t>-40 to 85</t>
  </si>
  <si>
    <t>1.8 x 2.2</t>
  </si>
  <si>
    <t>ACTIVE</t>
  </si>
  <si>
    <t>350-mA, 6-MHz, 1.5Vout High Efficiency Step-Down Converter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</si>
  <si>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</si>
  <si>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</si>
  <si>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</si>
  <si>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</si>
  <si>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</si>
  <si>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</si>
  <si>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</si>
  <si>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</si>
  <si>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350-mA, 6-MHz, 2.15Vout High Efficiency Step-Down Converter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</si>
  <si>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</si>
  <si>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</si>
  <si>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</si>
  <si>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</si>
  <si>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</si>
  <si>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</si>
  <si>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</si>
  <si>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</si>
  <si>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350-mA, 6-MHz, 1.8Vout High Efficiency Step-Down Converter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</si>
  <si>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</si>
  <si>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</si>
  <si>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</si>
  <si>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</si>
  <si>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</si>
  <si>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</si>
  <si>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</si>
  <si>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</si>
  <si>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1000mA, 6MHz Synchronous Step-Down Converter in Chip Scale Packaging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</si>
  <si>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</si>
  <si>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</si>
  <si>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</si>
  <si>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</si>
  <si>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</si>
  <si>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</si>
  <si>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</si>
  <si>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</si>
  <si>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Automotive 1.5-A, 20-V, adjustable low-dropout voltage regulator with reverse current protection</t>
  </si>
  <si>
    <t>Linear &amp; low-dropout (LDO) regulators</t>
  </si>
  <si>
    <t>Automotive</t>
  </si>
  <si>
    <t>TO-263</t>
  </si>
  <si>
    <t/>
  </si>
  <si>
    <t>-40 to 125</t>
  </si>
  <si>
    <t>10.16 x 15.24</t>
  </si>
  <si>
    <t>ACTIVE</t>
  </si>
  <si>
    <t>Fixed voltage, 0.1%, 50-ppm/°C automotive precision micropower shunt voltage reference</t>
  </si>
  <si>
    <t>AC/DC &amp; DC/DC controllers (external FET)</t>
  </si>
  <si>
    <t>Automotive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</si>
  <si>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</si>
  <si>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</si>
  <si>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</si>
  <si>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</si>
  <si>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</si>
  <si>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</si>
  <si>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</si>
  <si>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</si>
  <si>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</si>
  <si>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4.5-V to 24-V, 700 kHz synchronous dual-D-CAP2 buck controller</t>
  </si>
  <si>
    <t>AC/DC &amp; DC/DC controllers (external FET)</t>
  </si>
  <si>
    <t>Catalog</t>
  </si>
  <si>
    <t>Buck</t>
  </si>
  <si>
    <t>TSSOP,VQFN</t>
  </si>
  <si>
    <t/>
  </si>
  <si>
    <t>-40 to 85</t>
  </si>
  <si>
    <t>16,49.92</t>
  </si>
  <si>
    <t>4 x 4,7.8 x 6.4</t>
  </si>
  <si>
    <t>1,1.2</t>
  </si>
  <si>
    <t>0.5,0.65</t>
  </si>
  <si>
    <t>ACTIVE</t>
  </si>
  <si>
    <t>Automotive 500-mA, low-VIN (0.8-V), adjustable ultra-low-dropout voltage regulator with power good</t>
  </si>
  <si>
    <t>Linear &amp; low-dropout (LDO) regulators</t>
  </si>
  <si>
    <t>Automotive</t>
  </si>
  <si>
    <t>VSON</t>
  </si>
  <si>
    <t>Functional Safety-Capable</t>
  </si>
  <si>
    <t>-40 to 150</t>
  </si>
  <si>
    <t>3 x 3</t>
  </si>
  <si>
    <t>ACTIVE</t>
  </si>
  <si>
    <t>30-V, N channel NexFET™ power MOSFET, single SON 5 mm x 6 mm, 2.6 mOhm</t>
  </si>
  <si>
    <t>MOSFETs</t>
  </si>
  <si>
    <t>Catalog</t>
  </si>
  <si>
    <t>VSON-CLIP</t>
  </si>
  <si>
    <t/>
  </si>
  <si>
    <t>-55 to 150</t>
  </si>
  <si>
    <t>6 x 5</t>
  </si>
  <si>
    <t>ACTIVE</t>
  </si>
  <si>
    <t>30-V, N channel NexFET™ power MOSFET, single SON 2 mm x 2 mm, 32 mOhm</t>
  </si>
  <si>
    <t>MOSFETs</t>
  </si>
  <si>
    <t>Catalog</t>
  </si>
  <si>
    <t>WSON</t>
  </si>
  <si>
    <t/>
  </si>
  <si>
    <t>-55 to 150</t>
  </si>
  <si>
    <t>2 x 2</t>
  </si>
  <si>
    <t>ACTIVE</t>
  </si>
  <si>
    <t>Automotive 1.5V to 6.5V, 3 Buck &amp; 3 LDO Power Management IC</t>
  </si>
  <si>
    <t>Multi-channel ICs (PMICs)</t>
  </si>
  <si>
    <t>Automotive</t>
  </si>
  <si>
    <t>VQFN</t>
  </si>
  <si>
    <t/>
  </si>
  <si>
    <t>-40 to 125</t>
  </si>
  <si>
    <t>5 x 5</t>
  </si>
  <si>
    <t>ACTIVE</t>
  </si>
  <si>
    <t>3.5V to 60V Input, 2.5A Step-Down Converter with Eco-Mode</t>
  </si>
  <si>
    <t>AC/DC &amp; DC/DC converters (integrated FET)</t>
  </si>
  <si>
    <t>Catalog</t>
  </si>
  <si>
    <t>Buck</t>
  </si>
  <si>
    <t>HVSSOP,VSON</t>
  </si>
  <si>
    <t/>
  </si>
  <si>
    <t>-40 to 125</t>
  </si>
  <si>
    <t>9,14.7</t>
  </si>
  <si>
    <t>3 x 3,3 x 4.9</t>
  </si>
  <si>
    <t>1,1.1</t>
  </si>
  <si>
    <t>ACTIVE</t>
  </si>
  <si>
    <t>3MHz, 1.6A Step-Down Converter in 2x2 SON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</si>
  <si>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</si>
  <si>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</si>
  <si>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</si>
  <si>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</si>
  <si>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</si>
  <si>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</si>
  <si>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</si>
  <si>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</si>
  <si>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Enhanced product 3-A LDO 0.8-V to 3.6-V output, fast transient response and programmable soft start</t>
  </si>
  <si>
    <t>Linear &amp; low-dropout (LDO) regulators</t>
  </si>
  <si>
    <t>HiRel Enhanced Product</t>
  </si>
  <si>
    <t>VQFN</t>
  </si>
  <si>
    <t/>
  </si>
  <si>
    <t>-55 to 125</t>
  </si>
  <si>
    <t>5 x 5</t>
  </si>
  <si>
    <t>ACTIVE</t>
  </si>
  <si>
    <t>Integrated Power Management IC (PMIC) with 3 DC/DCs, 11 LDOs, Audio Codec, USB HS Transceiver</t>
  </si>
  <si>
    <t>Multi-channel ICs (PMICs)</t>
  </si>
  <si>
    <t>Catalog</t>
  </si>
  <si>
    <t>NFBGA</t>
  </si>
  <si>
    <t/>
  </si>
  <si>
    <t>-40 to 85</t>
  </si>
  <si>
    <t>7 x 7</t>
  </si>
  <si>
    <t>ACTIVE</t>
  </si>
  <si>
    <t>1-A, 20-V, adjustable low-dropout voltage regulator with reverse current and voltage protection</t>
  </si>
  <si>
    <t>Linear &amp; low-dropout (LDO) regulators</t>
  </si>
  <si>
    <t>Catalog</t>
  </si>
  <si>
    <t>SOT-223</t>
  </si>
  <si>
    <t/>
  </si>
  <si>
    <t>-40 to 125</t>
  </si>
  <si>
    <t>6.5 x 7.06</t>
  </si>
  <si>
    <t>ACTIVE</t>
  </si>
  <si>
    <t>30-V, N channel NexFET™ power MOSFET, single SON 3 mm x 3 mm, 11.8 mOhm</t>
  </si>
  <si>
    <t>MOSFETs</t>
  </si>
  <si>
    <t>Catalog</t>
  </si>
  <si>
    <t>VSON-CLIP</t>
  </si>
  <si>
    <t/>
  </si>
  <si>
    <t>-55 to 150</t>
  </si>
  <si>
    <t>3.3 x 3.3</t>
  </si>
  <si>
    <t>ACTIVE</t>
  </si>
  <si>
    <t>0.8-V to 16.5-V 1.2A IQ 291-uA Igate source N+1 and OR-ing power rail controller with enable</t>
  </si>
  <si>
    <t>Ideal diode &amp; ORing controllers</t>
  </si>
  <si>
    <t>Catalog</t>
  </si>
  <si>
    <t>SOIC,TSSOP</t>
  </si>
  <si>
    <t/>
  </si>
  <si>
    <t>-40 to 85</t>
  </si>
  <si>
    <t>19.2,29.4</t>
  </si>
  <si>
    <t>3 x 6.4,4.9 x 6</t>
  </si>
  <si>
    <t>1.2,1.75</t>
  </si>
  <si>
    <t>0.65,1.27</t>
  </si>
  <si>
    <t>ACTIVE</t>
  </si>
  <si>
    <t>10A SIMPLE SWITCHER&amp;reg; Power Module with 36V Maximum Input Voltage and Current Sharing</t>
  </si>
  <si>
    <t>Power modules (integrated inductor)</t>
  </si>
  <si>
    <t>Catalog</t>
  </si>
  <si>
    <t>Buck,Inverting Buck-Boost,Synchronous Buck</t>
  </si>
  <si>
    <t>TO-PMOD</t>
  </si>
  <si>
    <t/>
  </si>
  <si>
    <t>-40 to 85</t>
  </si>
  <si>
    <t>15 x 17.79</t>
  </si>
  <si>
    <t>ACTIVE</t>
  </si>
  <si>
    <t>3MHz, 2A Step-Down Converter in 2x2 SON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</si>
  <si>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</si>
  <si>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</si>
  <si>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</si>
  <si>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</si>
  <si>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</si>
  <si>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</si>
  <si>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</si>
  <si>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</si>
  <si>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3MHz, 2A Step-Down Converter in 2x2 SON Package</t>
  </si>
  <si>
    <t>AC/DC &amp; DC/DC converters (integrated FET)</t>
  </si>
  <si>
    <t>Catalog</t>
  </si>
  <si>
    <t>Buck</t>
  </si>
  <si>
    <t>WSON</t>
  </si>
  <si>
    <t/>
  </si>
  <si>
    <t>-40 to 125</t>
  </si>
  <si>
    <t>2 x 2</t>
  </si>
  <si>
    <t>ACTIVE</t>
  </si>
  <si>
    <t>Automotive 300-mA, off-battery (40-V), low-IQ, low-dropout voltage regulator with power good</t>
  </si>
  <si>
    <t>Linear &amp; low-dropout (LDO) regulators</t>
  </si>
  <si>
    <t>Automotive</t>
  </si>
  <si>
    <t>TO-252,TO-263</t>
  </si>
  <si>
    <t/>
  </si>
  <si>
    <t>-40 to 125</t>
  </si>
  <si>
    <t>66.726,154.8384</t>
  </si>
  <si>
    <t>10.16 x 15.24,6.6 x 10.11</t>
  </si>
  <si>
    <t>2.52,4.83</t>
  </si>
  <si>
    <t>1.14,1.7</t>
  </si>
  <si>
    <t>ACTIVE</t>
  </si>
  <si>
    <t>5.5V, 3A Power Module in Leaded Surface Mount TO Package</t>
  </si>
  <si>
    <t>Power modules (integrated inductor)</t>
  </si>
  <si>
    <t>Catalog</t>
  </si>
  <si>
    <t>Buck,Synchronous Buck</t>
  </si>
  <si>
    <t>TO-PMOD</t>
  </si>
  <si>
    <t/>
  </si>
  <si>
    <t>-40 to 125</t>
  </si>
  <si>
    <t>10.16 x 13.77</t>
  </si>
  <si>
    <t>ACTIVE</t>
  </si>
  <si>
    <t>5.5V, 5A Power Module in Leaded Surface Mount TO Package</t>
  </si>
  <si>
    <t>Power modules (integrated inductor)</t>
  </si>
  <si>
    <t>Catalog</t>
  </si>
  <si>
    <t>Buck,Synchronous Buck</t>
  </si>
  <si>
    <t>TO-PMOD</t>
  </si>
  <si>
    <t/>
  </si>
  <si>
    <t>-40 to 125</t>
  </si>
  <si>
    <t>10.16 x 13.77</t>
  </si>
  <si>
    <t>ACTIVE</t>
  </si>
  <si>
    <t>Green phase-shifted full-bridge controller with Synchronous Rectification control</t>
  </si>
  <si>
    <t>AC/DC &amp; DC/DC controllers (external FET)</t>
  </si>
  <si>
    <t>Catalog</t>
  </si>
  <si>
    <t>Phase-shifted full bridge</t>
  </si>
  <si>
    <t>TSSOP</t>
  </si>
  <si>
    <t/>
  </si>
  <si>
    <t>-40 to 125</t>
  </si>
  <si>
    <t>7.8 x 6.4</t>
  </si>
  <si>
    <t>ACTIVE</t>
  </si>
  <si>
    <t>Automotive 3V to 17V, 1.5A Buck Converter in QFN-16 package</t>
  </si>
  <si>
    <t>AC/DC &amp; DC/DC converters (integrated FET)</t>
  </si>
  <si>
    <t>Automotive</t>
  </si>
  <si>
    <t>Buck</t>
  </si>
  <si>
    <t>VQFN</t>
  </si>
  <si>
    <t/>
  </si>
  <si>
    <t>-40 to 125</t>
  </si>
  <si>
    <t>4 x 4</t>
  </si>
  <si>
    <t>ACTIVE</t>
  </si>
  <si>
    <t>6MHz, 750mA Miniature, Adjustable, Step-Down DC-DC Converter for RF Power Amplifiers</t>
  </si>
  <si>
    <t>AC/DC &amp; DC/DC converters (integrated FET)</t>
  </si>
  <si>
    <t>Catalog</t>
  </si>
  <si>
    <t>Buck</t>
  </si>
  <si>
    <t>DSBGA</t>
  </si>
  <si>
    <t/>
  </si>
  <si>
    <t>-40 to 85</t>
  </si>
  <si>
    <t>1.75 x 1.25</t>
  </si>
  <si>
    <t>ACTIVE</t>
  </si>
  <si>
    <t>150-mA, nano-IQ, low-dropout voltage regulator with enable from -40°C to +105°C</t>
  </si>
  <si>
    <t>Linear &amp; low-dropout (LDO) regulators</t>
  </si>
  <si>
    <t>Catalog</t>
  </si>
  <si>
    <t>SOT-23-THN</t>
  </si>
  <si>
    <t/>
  </si>
  <si>
    <t>-40 to 105</t>
  </si>
  <si>
    <t>2.9 x 2.8</t>
  </si>
  <si>
    <t>ACTIVE</t>
  </si>
  <si>
    <t>3-Channel Power Management IC (PMIC)</t>
  </si>
  <si>
    <t>Multi-channel ICs (PMICs)</t>
  </si>
  <si>
    <t>Catalog</t>
  </si>
  <si>
    <t>DSBGA</t>
  </si>
  <si>
    <t/>
  </si>
  <si>
    <t>-40 to 85</t>
  </si>
  <si>
    <t>2.25 x 2.25</t>
  </si>
  <si>
    <t>ACTIVE</t>
  </si>
  <si>
    <t>25-V, N channel NexFET™ power MOSFET, single SON 5 mm x 6 mm, 1.8 mOhm</t>
  </si>
  <si>
    <t>MOSFETs</t>
  </si>
  <si>
    <t>Catalog</t>
  </si>
  <si>
    <t>VSON-CLIP</t>
  </si>
  <si>
    <t/>
  </si>
  <si>
    <t>-55 to 150</t>
  </si>
  <si>
    <t>6 x 5</t>
  </si>
  <si>
    <t>ACTIVE</t>
  </si>
  <si>
    <t>30-V, N channel NexFET™ power MOSFET, single SON 5 mm x 6 mm, 9 mOhm</t>
  </si>
  <si>
    <t>MOSFETs</t>
  </si>
  <si>
    <t>Catalog</t>
  </si>
  <si>
    <t>VSONP</t>
  </si>
  <si>
    <t/>
  </si>
  <si>
    <t>-55 to 150</t>
  </si>
  <si>
    <t>4.9 x 6</t>
  </si>
  <si>
    <t>ACTIVE</t>
  </si>
  <si>
    <t>30-V, N channel NexFET™ power MOSFET, single SON 5 mm x 6 mm, 3.6 mOhm</t>
  </si>
  <si>
    <t>MOSFETs</t>
  </si>
  <si>
    <t>Catalog</t>
  </si>
  <si>
    <t>VSONP</t>
  </si>
  <si>
    <t/>
  </si>
  <si>
    <t>-55 to 150</t>
  </si>
  <si>
    <t>4.9 x 6</t>
  </si>
  <si>
    <t>ACTIVE</t>
  </si>
  <si>
    <t>30-V, N channel NexFET™ power MOSFET, single SON 5 mm x 6 mm, 4.2 mOhm</t>
  </si>
  <si>
    <t>MOSFETs</t>
  </si>
  <si>
    <t>Catalog</t>
  </si>
  <si>
    <t>VSONP</t>
  </si>
  <si>
    <t/>
  </si>
  <si>
    <t>-55 to 150</t>
  </si>
  <si>
    <t>4.9 x 6</t>
  </si>
  <si>
    <t>ACTIVE</t>
  </si>
  <si>
    <t>30-V, N channel NexFET™ power MOSFET, single SON 5 mm x 6 mm, 12.1 mOhm</t>
  </si>
  <si>
    <t>MOSFETs</t>
  </si>
  <si>
    <t>Catalog</t>
  </si>
  <si>
    <t>VSONP</t>
  </si>
  <si>
    <t/>
  </si>
  <si>
    <t>-55 to 150</t>
  </si>
  <si>
    <t>4.9 x 6</t>
  </si>
  <si>
    <t>ACTIVE</t>
  </si>
  <si>
    <t>30-V, N channel NexFET™ power MOSFET, single SON 5 mm x 6 mm, 5.9 mOhm</t>
  </si>
  <si>
    <t>MOSFETs</t>
  </si>
  <si>
    <t>Catalog</t>
  </si>
  <si>
    <t>VSONP</t>
  </si>
  <si>
    <t/>
  </si>
  <si>
    <t>-55 to 150</t>
  </si>
  <si>
    <t>4.9 x 6</t>
  </si>
  <si>
    <t>ACTIVE</t>
  </si>
  <si>
    <t>12-Rail Sequencer and System Health Controller with Fan Control</t>
  </si>
  <si>
    <t>Sequencers</t>
  </si>
  <si>
    <t>Catalog</t>
  </si>
  <si>
    <t>VQFN</t>
  </si>
  <si>
    <t/>
  </si>
  <si>
    <t>-40 to 125</t>
  </si>
  <si>
    <t>9 x 9</t>
  </si>
  <si>
    <t>ACTIVE</t>
  </si>
  <si>
    <t>Half-bridge PWM controller with advanced current limit</t>
  </si>
  <si>
    <t>AC/DC &amp; DC/DC controllers (external FET)</t>
  </si>
  <si>
    <t>Catalog</t>
  </si>
  <si>
    <t>Half bridge</t>
  </si>
  <si>
    <t>HTSSOP,WQFN</t>
  </si>
  <si>
    <t/>
  </si>
  <si>
    <t>-40 to 125</t>
  </si>
  <si>
    <t>20,24</t>
  </si>
  <si>
    <t>20,41.6</t>
  </si>
  <si>
    <t>5 x 4,6.5 x 6.4</t>
  </si>
  <si>
    <t>0.8,1.2</t>
  </si>
  <si>
    <t>0.5,0.65</t>
  </si>
  <si>
    <t>ACTIVE</t>
  </si>
  <si>
    <t>0.1-1.1A adj. ILIMIT,  1.8-5.25V, 80mΩ USB power switch + 5.1V 1.1A boost converter &amp; 0.2A 3.3V LDO</t>
  </si>
  <si>
    <t>USB power switches &amp; charging port controllers</t>
  </si>
  <si>
    <t>Catalog</t>
  </si>
  <si>
    <t>VQFN</t>
  </si>
  <si>
    <t/>
  </si>
  <si>
    <t>-40 to 125</t>
  </si>
  <si>
    <t>5 x 5</t>
  </si>
  <si>
    <t>ACTIVE</t>
  </si>
  <si>
    <t>2 MHz, 2 rail, 4 phase digital PWM buck controller with improved sequencing</t>
  </si>
  <si>
    <t>AC/DC &amp; DC/DC controllers (external FET)</t>
  </si>
  <si>
    <t>Catalog</t>
  </si>
  <si>
    <t>VQFN</t>
  </si>
  <si>
    <t/>
  </si>
  <si>
    <t>-40 to 125</t>
  </si>
  <si>
    <t>7 x 7</t>
  </si>
  <si>
    <t>ACTIVE</t>
  </si>
  <si>
    <t>Digital PWM system controller</t>
  </si>
  <si>
    <t>AC/DC &amp; DC/DC controllers (external FET)</t>
  </si>
  <si>
    <t>Catalog</t>
  </si>
  <si>
    <t>TQFP</t>
  </si>
  <si>
    <t/>
  </si>
  <si>
    <t>-40 to 125</t>
  </si>
  <si>
    <t>14 x 14</t>
  </si>
  <si>
    <t>ACTIVE</t>
  </si>
  <si>
    <t>30-V, N channel NexFET™ power MOSFET, single SON 5 mm x 6 mm, 3 mOhm</t>
  </si>
  <si>
    <t>MOSFETs</t>
  </si>
  <si>
    <t>Catalog</t>
  </si>
  <si>
    <t>VSONP</t>
  </si>
  <si>
    <t/>
  </si>
  <si>
    <t>-55 to 150</t>
  </si>
  <si>
    <t>4.9 x 6</t>
  </si>
  <si>
    <t>ACTIVE</t>
  </si>
  <si>
    <t>16-channel, constant-current LED driver without LED open Detection</t>
  </si>
  <si>
    <t>LED display drivers</t>
  </si>
  <si>
    <t>Catalog</t>
  </si>
  <si>
    <t>SSOP,VQFN</t>
  </si>
  <si>
    <t/>
  </si>
  <si>
    <t>-40 to 85</t>
  </si>
  <si>
    <t>16,51.9</t>
  </si>
  <si>
    <t>4 x 4,8.65 x 6</t>
  </si>
  <si>
    <t>1,1.75</t>
  </si>
  <si>
    <t>0.5,0.635</t>
  </si>
  <si>
    <t>ACTIVE</t>
  </si>
  <si>
    <t>Digital Dual Synchronous Buck Power Driver</t>
  </si>
  <si>
    <t>AC/DC &amp; DC/DC controllers (external FET)</t>
  </si>
  <si>
    <t>Catalog</t>
  </si>
  <si>
    <t>VQFN-HR</t>
  </si>
  <si>
    <t/>
  </si>
  <si>
    <t>-40 to 125</t>
  </si>
  <si>
    <t>6 x 6</t>
  </si>
  <si>
    <t>ACTIVE</t>
  </si>
  <si>
    <t>Automotive 200-mA, high-PSRR, low-IQ, low-dropout voltage regulator</t>
  </si>
  <si>
    <t>Linear &amp; low-dropout (LDO) regulators</t>
  </si>
  <si>
    <t>Automotive</t>
  </si>
  <si>
    <t>SOT-23-THN</t>
  </si>
  <si>
    <t>Functional Safety-Capable</t>
  </si>
  <si>
    <t>-40 to 125</t>
  </si>
  <si>
    <t>2.9 x 2.8</t>
  </si>
  <si>
    <t>ACTIVE</t>
  </si>
  <si>
    <t>Quasi-Resonant Driver Controller for LED Lighting</t>
  </si>
  <si>
    <t>AC/DC &amp; DC/DC controllers (external FET)</t>
  </si>
  <si>
    <t>Catalog</t>
  </si>
  <si>
    <t>Flyback</t>
  </si>
  <si>
    <t>SOIC</t>
  </si>
  <si>
    <t/>
  </si>
  <si>
    <t>-40 to 105</t>
  </si>
  <si>
    <t>4.9 x 6</t>
  </si>
  <si>
    <t>ACTIVE</t>
  </si>
  <si>
    <t>Constant-On Time Driver Controller with Cascoded MOSFET for LED Lighting</t>
  </si>
  <si>
    <t>AC/DC &amp; DC/DC controllers (external FET)</t>
  </si>
  <si>
    <t>Catalog</t>
  </si>
  <si>
    <t>Buck,Flyback</t>
  </si>
  <si>
    <t>SOIC</t>
  </si>
  <si>
    <t/>
  </si>
  <si>
    <t>-40 to 125</t>
  </si>
  <si>
    <t>4.9 x 6</t>
  </si>
  <si>
    <t>ACTIVE</t>
  </si>
  <si>
    <t>Automotive N-channel constant current LED controller with series DIM FET driver</t>
  </si>
  <si>
    <t>Automotive LED drivers</t>
  </si>
  <si>
    <t>Automotive</t>
  </si>
  <si>
    <t>Boost Controller,Buck-Boost Controller,SEPIC Controller</t>
  </si>
  <si>
    <t>HTSSOP</t>
  </si>
  <si>
    <t/>
  </si>
  <si>
    <t>-40 to 150</t>
  </si>
  <si>
    <t>5 x 6.4</t>
  </si>
  <si>
    <t>ACTIVE</t>
  </si>
  <si>
    <t>5.5V, 4A Power Module in Leaded Surface Mount TO Package</t>
  </si>
  <si>
    <t>Power modules (integrated inductor)</t>
  </si>
  <si>
    <t>Catalog</t>
  </si>
  <si>
    <t>Buck,Synchronous Buck</t>
  </si>
  <si>
    <t>TO-PMOD</t>
  </si>
  <si>
    <t/>
  </si>
  <si>
    <t>-40 to 125</t>
  </si>
  <si>
    <t>10.16 x 13.77</t>
  </si>
  <si>
    <t>ACTIVE</t>
  </si>
  <si>
    <t>3A SIMPLE SWITCHER&amp;reg; Power Module with 20V Maximum Input Voltage</t>
  </si>
  <si>
    <t>Power modules (integrated inductor)</t>
  </si>
  <si>
    <t>Catalog</t>
  </si>
  <si>
    <t>Buck,Synchronous Buck</t>
  </si>
  <si>
    <t>TO-PMOD</t>
  </si>
  <si>
    <t/>
  </si>
  <si>
    <t>-40 to 125</t>
  </si>
  <si>
    <t>10.16 x 13.77</t>
  </si>
  <si>
    <t>ACTIVE</t>
  </si>
  <si>
    <t>SIMPLE SWITCHER&amp;reg; 6V to 42V, 3A Power Module in Leaded Surface Mount TO Package</t>
  </si>
  <si>
    <t>Power modules (integrated inductor)</t>
  </si>
  <si>
    <t>Catalog</t>
  </si>
  <si>
    <t>Buck,Inverting Buck-Boost,Synchronous Buck</t>
  </si>
  <si>
    <t>TO-PMOD</t>
  </si>
  <si>
    <t/>
  </si>
  <si>
    <t>-40 to 125</t>
  </si>
  <si>
    <t>10.16 x 13.77</t>
  </si>
  <si>
    <t>ACTIVE</t>
  </si>
  <si>
    <t>2MHz, 4 rail, 6 phase digital PWM buck controller</t>
  </si>
  <si>
    <t>AC/DC &amp; DC/DC controllers (external FET)</t>
  </si>
  <si>
    <t>Catalog</t>
  </si>
  <si>
    <t>VQFN</t>
  </si>
  <si>
    <t/>
  </si>
  <si>
    <t>-40 to 125</t>
  </si>
  <si>
    <t>9 x 9</t>
  </si>
  <si>
    <t>ACTIVE</t>
  </si>
  <si>
    <t>Single-chip Power Management IC (PMIC) for navigation systems</t>
  </si>
  <si>
    <t>Multi-channel ICs (PMICs)</t>
  </si>
  <si>
    <t>Catalog</t>
  </si>
  <si>
    <t>VQFN</t>
  </si>
  <si>
    <t/>
  </si>
  <si>
    <t>-40 to 85</t>
  </si>
  <si>
    <t>6 x 6</t>
  </si>
  <si>
    <t>ACTIVE</t>
  </si>
  <si>
    <t>PWM controller with Integrated half-bridge and 5V SyncFET Drive output with Increased max duty cycle</t>
  </si>
  <si>
    <t>AC/DC &amp; DC/DC controllers (external FET)</t>
  </si>
  <si>
    <t>Catalog</t>
  </si>
  <si>
    <t>Half bridge,Push pull</t>
  </si>
  <si>
    <t>HTSSOP,WQFN</t>
  </si>
  <si>
    <t/>
  </si>
  <si>
    <t>-40 to 125</t>
  </si>
  <si>
    <t>20,24</t>
  </si>
  <si>
    <t>20,41.6</t>
  </si>
  <si>
    <t>5 x 4,6.5 x 6.4</t>
  </si>
  <si>
    <t>0.8,1.2</t>
  </si>
  <si>
    <t>0.5,0.65</t>
  </si>
  <si>
    <t>ACTIVE</t>
  </si>
  <si>
    <t>25-V, N channel NexFET™ power MOSFET, single SON 3 mm x 3 mm, 5.5 mOhm</t>
  </si>
  <si>
    <t>MOSFETs</t>
  </si>
  <si>
    <t>Catalog</t>
  </si>
  <si>
    <t>VSON-CLIP</t>
  </si>
  <si>
    <t/>
  </si>
  <si>
    <t>-55 to 150</t>
  </si>
  <si>
    <t>3.3 x 3.3</t>
  </si>
  <si>
    <t>ACTIVE</t>
  </si>
  <si>
    <t>Automotive 7-A/3-A single channel gate driver with 4-V UVLO and dedicated input ground</t>
  </si>
  <si>
    <t>Low-side drivers</t>
  </si>
  <si>
    <t>Automotive</t>
  </si>
  <si>
    <t>WSON</t>
  </si>
  <si>
    <t/>
  </si>
  <si>
    <t>-40 to 125</t>
  </si>
  <si>
    <t>3 x 3</t>
  </si>
  <si>
    <t>ACTIVE</t>
  </si>
  <si>
    <t>2.5-V, 0.2%, 50-ppm/°C automotive precision micropower shunt voltage reference</t>
  </si>
  <si>
    <t>Shunt voltage references</t>
  </si>
  <si>
    <t>Automotive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</si>
  <si>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</si>
  <si>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</si>
  <si>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</si>
  <si>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</si>
  <si>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</si>
  <si>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</si>
  <si>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</si>
  <si>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</si>
  <si>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</si>
  <si>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Automotive 2V to 6V, 2.25MHz Fixed Frequency 600mA Buck Converter with 1.8V Fixed Output Voltage</t>
  </si>
  <si>
    <t>AC/DC &amp; DC/DC converters (integrated FET)</t>
  </si>
  <si>
    <t>Automotive</t>
  </si>
  <si>
    <t>Buck</t>
  </si>
  <si>
    <t>WSON</t>
  </si>
  <si>
    <t/>
  </si>
  <si>
    <t>-40 to 105</t>
  </si>
  <si>
    <t>2 x 2</t>
  </si>
  <si>
    <t>ACTIVE</t>
  </si>
  <si>
    <t>Automotive 2V to 6V, 2.25MHz Fixed Frequency 600mA Buck Converter with 1.2V Fixed Output Voltage</t>
  </si>
  <si>
    <t>AC/DC &amp; DC/DC converters (integrated FET)</t>
  </si>
  <si>
    <t>Automotive</t>
  </si>
  <si>
    <t>Buck</t>
  </si>
  <si>
    <t>WSON</t>
  </si>
  <si>
    <t/>
  </si>
  <si>
    <t>-40 to 105</t>
  </si>
  <si>
    <t>2 x 2</t>
  </si>
  <si>
    <t>ACTIVE</t>
  </si>
  <si>
    <t>Automotive 2V to 6V, 2.25MHz Fixed Frequency 600mA Buck Converter with 2.5V Fixed Output Voltage</t>
  </si>
  <si>
    <t>AC/DC &amp; DC/DC converters (integrated FET)</t>
  </si>
  <si>
    <t>Automotive</t>
  </si>
  <si>
    <t>Buck</t>
  </si>
  <si>
    <t>WSON</t>
  </si>
  <si>
    <t/>
  </si>
  <si>
    <t>-40 to 105</t>
  </si>
  <si>
    <t>2 x 2</t>
  </si>
  <si>
    <t>ACTIVE</t>
  </si>
  <si>
    <t>Automotive 2.5V to 6V, 2.25MHz Fixed Frequency Dual (400mA/600mA) Buck Converter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</si>
  <si>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</si>
  <si>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</si>
  <si>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</si>
  <si>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</si>
  <si>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</si>
  <si>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</si>
  <si>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</si>
  <si>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</si>
  <si>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Automotive 150-mA, nano-IQ, low-dropout voltage regulator with enable</t>
  </si>
  <si>
    <t>Linear &amp; low-dropout (LDO) regulators</t>
  </si>
  <si>
    <t>Automotive</t>
  </si>
  <si>
    <t>WSON</t>
  </si>
  <si>
    <t/>
  </si>
  <si>
    <t>-40 to 125</t>
  </si>
  <si>
    <t>2 x 2</t>
  </si>
  <si>
    <t>ACTIVE</t>
  </si>
  <si>
    <t>16-channel LED driver with dot correction and grayscale PWM control</t>
  </si>
  <si>
    <t>LED display drivers</t>
  </si>
  <si>
    <t>Catalog</t>
  </si>
  <si>
    <t>HTSSOP,VQFN</t>
  </si>
  <si>
    <t/>
  </si>
  <si>
    <t>-40 to 85</t>
  </si>
  <si>
    <t>28,32</t>
  </si>
  <si>
    <t>25,62.08</t>
  </si>
  <si>
    <t>5 x 5,9.7 x 6.4</t>
  </si>
  <si>
    <t>1,1.2</t>
  </si>
  <si>
    <t>0.5,0.65</t>
  </si>
  <si>
    <t>ACTIVE</t>
  </si>
  <si>
    <t>Automotive 2.5V to 6V, 2.25MHz Fixed Frequency Dual (1A/600mA) Buck Converter with 1-Wire Interface</t>
  </si>
  <si>
    <t>AC/DC &amp; DC/DC converters (integrated FET)</t>
  </si>
  <si>
    <t>Automotive</t>
  </si>
  <si>
    <t>Buck</t>
  </si>
  <si>
    <t>VSON</t>
  </si>
  <si>
    <t/>
  </si>
  <si>
    <t>-40 to 125</t>
  </si>
  <si>
    <t>3 x 3</t>
  </si>
  <si>
    <t>ACTIVE</t>
  </si>
  <si>
    <t>350-mA, 6-MHz, 1.2Vout High Efficiency Step-Down Converter</t>
  </si>
  <si>
    <t>AC/DC &amp; DC/DC converters (integrated FET)</t>
  </si>
  <si>
    <t>Catalog</t>
  </si>
  <si>
    <t>Buck</t>
  </si>
  <si>
    <t>DSBGA</t>
  </si>
  <si>
    <t/>
  </si>
  <si>
    <t>-40 to 85</t>
  </si>
  <si>
    <t>1.4000000000000001 x 1</t>
  </si>
  <si>
    <t>ACTIVE</t>
  </si>
  <si>
    <t>Automotive 9-A/9-A single-channel gate driver with inverting input and split outputs</t>
  </si>
  <si>
    <t>Low-side drivers</t>
  </si>
  <si>
    <t>Automotive</t>
  </si>
  <si>
    <t>SOIC</t>
  </si>
  <si>
    <t/>
  </si>
  <si>
    <t>-40 to 125</t>
  </si>
  <si>
    <t>4.9 x 6</t>
  </si>
  <si>
    <t>ACTIVE</t>
  </si>
  <si>
    <t>Automotive 9-A/9-A single-channel gate driver with noninverting inputs</t>
  </si>
  <si>
    <t>Low-side drivers</t>
  </si>
  <si>
    <t>Automotive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</si>
  <si>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</si>
  <si>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</si>
  <si>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</si>
  <si>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</si>
  <si>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</si>
  <si>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</si>
  <si>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</si>
  <si>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</si>
  <si>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2-ch, 0.25-2.8A adjustable ILIMIT, 2.5-6.5V, 44mΩ USB power switch, active-low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</si>
  <si>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</si>
  <si>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</si>
  <si>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</si>
  <si>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</si>
  <si>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</si>
  <si>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</si>
  <si>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</si>
  <si>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2-ch, 0.25-2.8A adjustable ILIMIT,  2.5-6.5V, 44mΩ USB power switch, active-high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</si>
  <si>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</si>
  <si>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</si>
  <si>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</si>
  <si>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</si>
  <si>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</si>
  <si>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</si>
  <si>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</si>
  <si>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18.5V, 2A, 650kHz, 1.2MHz Step-Up DC-DC Converter with Forced PWM Mode (extended temp range)</t>
  </si>
  <si>
    <t>AC/DC &amp; DC/DC converters (integrated FET)</t>
  </si>
  <si>
    <t>Automotive</t>
  </si>
  <si>
    <t>Boost</t>
  </si>
  <si>
    <t>TSSOP,VSSOP</t>
  </si>
  <si>
    <t/>
  </si>
  <si>
    <t>-40 to 125</t>
  </si>
  <si>
    <t>14.7,19.2</t>
  </si>
  <si>
    <t>3 x 4.9,3 x 6.4</t>
  </si>
  <si>
    <t>1.1,1.2</t>
  </si>
  <si>
    <t>ACTIVE</t>
  </si>
  <si>
    <t>Automotive, 20-V, low-power current-mode PWM controller, 7-V/6.6-V UVLO, 50% duty cycle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</si>
  <si>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</si>
  <si>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</si>
  <si>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</si>
  <si>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</si>
  <si>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</si>
  <si>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125</t>
  </si>
  <si>
    <t>4.9 x 6</t>
  </si>
  <si>
    <t>ACTIVE</t>
  </si>
  <si>
    <t>3.6-V, 2-A, 18.3-mΩ load switch with output discharge and rise time of 800-µs at 3.6-V</t>
  </si>
  <si>
    <t>Load switches</t>
  </si>
  <si>
    <t>Catalog</t>
  </si>
  <si>
    <t>DSBGA</t>
  </si>
  <si>
    <t/>
  </si>
  <si>
    <t>-40 to 85</t>
  </si>
  <si>
    <t>1.75 x 1.25</t>
  </si>
  <si>
    <t>ACTIVE</t>
  </si>
  <si>
    <t>Wide input voltage power management IC (PMIC) in a 6 mm x 6 mm QFN package</t>
  </si>
  <si>
    <t>AC/DC &amp; DC/DC converters (integrated FET)</t>
  </si>
  <si>
    <t>Catalog</t>
  </si>
  <si>
    <t>Buck</t>
  </si>
  <si>
    <t>VQFN</t>
  </si>
  <si>
    <t/>
  </si>
  <si>
    <t>0 to 85</t>
  </si>
  <si>
    <t>6 x 6</t>
  </si>
  <si>
    <t>ACTIVE</t>
  </si>
  <si>
    <t>Wide input voltage power management IC (PMIC) in a HTSSOP package</t>
  </si>
  <si>
    <t>AC/DC &amp; DC/DC converters (integrated FET)</t>
  </si>
  <si>
    <t>Catalog</t>
  </si>
  <si>
    <t>Buck</t>
  </si>
  <si>
    <t>HTSSOP</t>
  </si>
  <si>
    <t/>
  </si>
  <si>
    <t>0 to 85</t>
  </si>
  <si>
    <t>12.5 x 8.1</t>
  </si>
  <si>
    <t>ACTIVE</t>
  </si>
  <si>
    <t>15A, 4.75 V to 14 V Input, Non-Isolated, Digital PowerTrain Module</t>
  </si>
  <si>
    <t>Power modules (integrated inductor)</t>
  </si>
  <si>
    <t>Catalog</t>
  </si>
  <si>
    <t>DIPMODULE</t>
  </si>
  <si>
    <t/>
  </si>
  <si>
    <t>-40 to 85</t>
  </si>
  <si>
    <t>19.94 x 16.76</t>
  </si>
  <si>
    <t>ACTIVE</t>
  </si>
  <si>
    <t>Automotive 5V to 30V Dual LDO &amp; Dual Synchronous Buck Controller</t>
  </si>
  <si>
    <t>Multi-channel ICs (PMICs)</t>
  </si>
  <si>
    <t>Automotive</t>
  </si>
  <si>
    <t>HTSSOP</t>
  </si>
  <si>
    <t/>
  </si>
  <si>
    <t>-40 to 125</t>
  </si>
  <si>
    <t>12.5 x 8.1</t>
  </si>
  <si>
    <t>ACTIVE</t>
  </si>
  <si>
    <t>3-V to 20-V, 25-A, 300-kHz synchronous buck controller with FSS</t>
  </si>
  <si>
    <t>AC/DC &amp; DC/DC controllers (external FET)</t>
  </si>
  <si>
    <t>Catalog</t>
  </si>
  <si>
    <t>Buck</t>
  </si>
  <si>
    <t>VSON</t>
  </si>
  <si>
    <t/>
  </si>
  <si>
    <t>-40 to 125</t>
  </si>
  <si>
    <t>3 x 3</t>
  </si>
  <si>
    <t>ACTIVE</t>
  </si>
  <si>
    <t>3-V to 20-V, 25-A, 600-kHz synchronous buck controller with FSS</t>
  </si>
  <si>
    <t>AC/DC &amp; DC/DC controllers (external FET)</t>
  </si>
  <si>
    <t>Catalog</t>
  </si>
  <si>
    <t>Buck</t>
  </si>
  <si>
    <t>VSON</t>
  </si>
  <si>
    <t/>
  </si>
  <si>
    <t>-40 to 125</t>
  </si>
  <si>
    <t>3 x 3</t>
  </si>
  <si>
    <t>ACTIVE</t>
  </si>
  <si>
    <t>3-V to 20-V, 25-A, 1.2-MHz synchronous buck controller with FSS</t>
  </si>
  <si>
    <t>AC/DC &amp; DC/DC controllers (external FET)</t>
  </si>
  <si>
    <t>Catalog</t>
  </si>
  <si>
    <t>Buck</t>
  </si>
  <si>
    <t>VSON</t>
  </si>
  <si>
    <t/>
  </si>
  <si>
    <t>-40 to 125</t>
  </si>
  <si>
    <t>3 x 3</t>
  </si>
  <si>
    <t>ACTIVE</t>
  </si>
  <si>
    <t>Power Management IC (PMIC)for Application/Multimedia Processors and Sub-Systems</t>
  </si>
  <si>
    <t>Multi-channel ICs (PMICs)</t>
  </si>
  <si>
    <t>Catalog</t>
  </si>
  <si>
    <t>DSBGA</t>
  </si>
  <si>
    <t/>
  </si>
  <si>
    <t>-40 to 85</t>
  </si>
  <si>
    <t>3.25 x 2.75</t>
  </si>
  <si>
    <t>ACTIVE</t>
  </si>
  <si>
    <t>3-pin voltage supervisor (reset IC) with active-low, push-pull reset</t>
  </si>
  <si>
    <t>Reset &amp; watchdog ICs</t>
  </si>
  <si>
    <t>Catalog</t>
  </si>
  <si>
    <t>SOT-23</t>
  </si>
  <si>
    <t/>
  </si>
  <si>
    <t>-40 to 85</t>
  </si>
  <si>
    <t>6.9204,8.12</t>
  </si>
  <si>
    <t>2.9 x 2.8,2.92 x 2.37</t>
  </si>
  <si>
    <t>1.12,1.45</t>
  </si>
  <si>
    <t>0.95,0.96</t>
  </si>
  <si>
    <t>ACTIVE</t>
  </si>
  <si>
    <t>Digital Control Compatible Synchronous Buck Gate Driver with Current Sense and Fault Protection</t>
  </si>
  <si>
    <t>AC/DC &amp; DC/DC controllers (external FET)</t>
  </si>
  <si>
    <t>Catalog</t>
  </si>
  <si>
    <t>WQFN</t>
  </si>
  <si>
    <t/>
  </si>
  <si>
    <t>-40 to 125</t>
  </si>
  <si>
    <t>4 x 4</t>
  </si>
  <si>
    <t>ACTIVE</t>
  </si>
  <si>
    <t>Automotive, precision micropower shunt voltage reference</t>
  </si>
  <si>
    <t>Shunt voltage references</t>
  </si>
  <si>
    <t>Automotive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</si>
  <si>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</si>
  <si>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</si>
  <si>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</si>
  <si>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</si>
  <si>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</si>
  <si>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</si>
  <si>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</si>
  <si>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</si>
  <si>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</si>
  <si>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Single Phase, D-CAP+&amp;trade; Mode Step-Down Controller for IMVP6.5&amp;trade; CPU/GPU Vcore</t>
  </si>
  <si>
    <t>AC/DC &amp; DC/DC controllers (external FET)</t>
  </si>
  <si>
    <t>Catalog</t>
  </si>
  <si>
    <t>Multiphase</t>
  </si>
  <si>
    <t>VQFN</t>
  </si>
  <si>
    <t/>
  </si>
  <si>
    <t>-10 to 105</t>
  </si>
  <si>
    <t>5 x 5</t>
  </si>
  <si>
    <t>ACTIVE</t>
  </si>
  <si>
    <t>5A SIMPLE SWITCHER&amp;reg; Power Module with 36V Maximum Input Voltage</t>
  </si>
  <si>
    <t>Power modules (integrated inductor)</t>
  </si>
  <si>
    <t>Catalog</t>
  </si>
  <si>
    <t>Buck,Inverting Buck-Boost,Synchronous Buck</t>
  </si>
  <si>
    <t>TO-PMOD</t>
  </si>
  <si>
    <t/>
  </si>
  <si>
    <t>-40 to 85</t>
  </si>
  <si>
    <t>10.16 x 13.77</t>
  </si>
  <si>
    <t>ACTIVE</t>
  </si>
  <si>
    <t>0.5-5A adjustable ILIMIT, 2.5-6.5V, 22m&amp;Omega; USB power switch, active-low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</si>
  <si>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</si>
  <si>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</si>
  <si>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</si>
  <si>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</si>
  <si>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</si>
  <si>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</si>
  <si>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</si>
  <si>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0.5-5A adjustable ILIMIT, 2.5-6.5V, 22m&amp;Omega; USB power switch, active-high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</si>
  <si>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</si>
  <si>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</si>
  <si>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</si>
  <si>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</si>
  <si>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</si>
  <si>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</si>
  <si>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</si>
  <si>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4.5 V to 18 V input, 300 kHz, 1.5 / 2.5 A dual synchronous step-down converter</t>
  </si>
  <si>
    <t>AC/DC &amp; DC/DC converters (integrated FET)</t>
  </si>
  <si>
    <t>Catalog</t>
  </si>
  <si>
    <t>Buck</t>
  </si>
  <si>
    <t>HTSSOP</t>
  </si>
  <si>
    <t/>
  </si>
  <si>
    <t>-40 to 145</t>
  </si>
  <si>
    <t>5 x 6.4</t>
  </si>
  <si>
    <t>ACTIVE</t>
  </si>
  <si>
    <t>4.5 V to 18 V input, 600 kHz, 1.5 / 2.5 A dual synchronous step-down converter</t>
  </si>
  <si>
    <t>AC/DC &amp; DC/DC converters (integrated FET)</t>
  </si>
  <si>
    <t>Catalog</t>
  </si>
  <si>
    <t>Buck</t>
  </si>
  <si>
    <t>HTSSOP</t>
  </si>
  <si>
    <t/>
  </si>
  <si>
    <t>-40 to 145</t>
  </si>
  <si>
    <t>5 x 6.4</t>
  </si>
  <si>
    <t>ACTIVE</t>
  </si>
  <si>
    <t>4.5 V to 18 V input, 1.2 MHz, 1.5 / 2.5 A dual synchronous step-down converter</t>
  </si>
  <si>
    <t>AC/DC &amp; DC/DC converters (integrated FET)</t>
  </si>
  <si>
    <t>Catalog</t>
  </si>
  <si>
    <t>Buck</t>
  </si>
  <si>
    <t>HTSSOP</t>
  </si>
  <si>
    <t/>
  </si>
  <si>
    <t>-40 to 145</t>
  </si>
  <si>
    <t>5 x 6.4</t>
  </si>
  <si>
    <t>ACTIVE</t>
  </si>
  <si>
    <t>3.6-V, 0.5-A, 55-mΩ, 80nA leakage load switch with output discharge</t>
  </si>
  <si>
    <t>Load switches</t>
  </si>
  <si>
    <t>Catalog</t>
  </si>
  <si>
    <t>DSBGA</t>
  </si>
  <si>
    <t/>
  </si>
  <si>
    <t>-40 to 85</t>
  </si>
  <si>
    <t>1 x 1.4000000000000001</t>
  </si>
  <si>
    <t>ACTIVE</t>
  </si>
  <si>
    <t>2.25MHz Step-Down Converter with Dual LDOs &amp; SVS Power Management IC (PMIC)</t>
  </si>
  <si>
    <t>Multi-channel ICs (PMICs)</t>
  </si>
  <si>
    <t>Catalog</t>
  </si>
  <si>
    <t>WQFN</t>
  </si>
  <si>
    <t/>
  </si>
  <si>
    <t>-40 to 85</t>
  </si>
  <si>
    <t>3 x 3</t>
  </si>
  <si>
    <t>ACTIVE</t>
  </si>
  <si>
    <t>2.25MHz Step-Down Converter with Dual LDOs &amp; SVS Power Management IC (PMIC)</t>
  </si>
  <si>
    <t>Multi-channel ICs (PMICs)</t>
  </si>
  <si>
    <t>Catalog</t>
  </si>
  <si>
    <t>WQFN</t>
  </si>
  <si>
    <t/>
  </si>
  <si>
    <t>-40 to 85</t>
  </si>
  <si>
    <t>3 x 3</t>
  </si>
  <si>
    <t>ACTIVE</t>
  </si>
  <si>
    <t>2.25MHz Step-Down Converter with Dual LDOs &amp; SVS Power Management IC (PMIC)</t>
  </si>
  <si>
    <t>Multi-channel ICs (PMICs)</t>
  </si>
  <si>
    <t>Catalog</t>
  </si>
  <si>
    <t>WQFN</t>
  </si>
  <si>
    <t/>
  </si>
  <si>
    <t>-55 to 125</t>
  </si>
  <si>
    <t>3 x 3</t>
  </si>
  <si>
    <t>ACTIVE</t>
  </si>
  <si>
    <t>2.25MHz Step-Down Converter with Dual LDOs &amp; SVS Power Management IC (PMIC)</t>
  </si>
  <si>
    <t>Multi-channel ICs (PMICs)</t>
  </si>
  <si>
    <t>Catalog</t>
  </si>
  <si>
    <t>WQFN</t>
  </si>
  <si>
    <t/>
  </si>
  <si>
    <t>-40 to 85</t>
  </si>
  <si>
    <t>3 x 3</t>
  </si>
  <si>
    <t>ACTIVE</t>
  </si>
  <si>
    <t>2-Channel Power Management IC (PMIC) with battery charger, one step-down converter and one LDO</t>
  </si>
  <si>
    <t>Multi-channel ICs (PMICs)</t>
  </si>
  <si>
    <t>Catalog</t>
  </si>
  <si>
    <t>DSBGA</t>
  </si>
  <si>
    <t/>
  </si>
  <si>
    <t>-40 to 85</t>
  </si>
  <si>
    <t>2.2 x 2.2</t>
  </si>
  <si>
    <t>ACTIVE</t>
  </si>
  <si>
    <t>Power Management IC (PMIC) with battery charger, one step-down converter and one LDO</t>
  </si>
  <si>
    <t>Multi-channel ICs (PMICs)</t>
  </si>
  <si>
    <t>Catalog</t>
  </si>
  <si>
    <t>WQFN</t>
  </si>
  <si>
    <t/>
  </si>
  <si>
    <t>-40 to 85</t>
  </si>
  <si>
    <t>4 x 4</t>
  </si>
  <si>
    <t>ACTIVE</t>
  </si>
  <si>
    <t>Six channel high-efficiency LED backlight driver for notebooks with flexible ext/int FET control</t>
  </si>
  <si>
    <t>Backlight LED drivers</t>
  </si>
  <si>
    <t>Catalog</t>
  </si>
  <si>
    <t>Boost</t>
  </si>
  <si>
    <t>WQFN</t>
  </si>
  <si>
    <t/>
  </si>
  <si>
    <t>-30 to 85</t>
  </si>
  <si>
    <t>4 x 4</t>
  </si>
  <si>
    <t>ACTIVE</t>
  </si>
  <si>
    <t>Dual Phase, D-CAP+&amp;trade;Mode Step-Down Controller for IMVP6.5 CPU/GPU Vcore</t>
  </si>
  <si>
    <t>AC/DC &amp; DC/DC controllers (external FET)</t>
  </si>
  <si>
    <t>Catalog</t>
  </si>
  <si>
    <t>Multiphase</t>
  </si>
  <si>
    <t>VQFN</t>
  </si>
  <si>
    <t/>
  </si>
  <si>
    <t>-10 to 105</t>
  </si>
  <si>
    <t>6 x 6</t>
  </si>
  <si>
    <t>ACTIVE</t>
  </si>
  <si>
    <t>4.5V to 18V Input, 2A Synchronous Step-Down Converter with Eco-Mode&amp;trade;</t>
  </si>
  <si>
    <t>AC/DC &amp; DC/DC converters (integrated FET)</t>
  </si>
  <si>
    <t>Catalog</t>
  </si>
  <si>
    <t>Buck</t>
  </si>
  <si>
    <t>HTSSOP,VQFN</t>
  </si>
  <si>
    <t/>
  </si>
  <si>
    <t>-40 to 85</t>
  </si>
  <si>
    <t>14,16</t>
  </si>
  <si>
    <t>9,32</t>
  </si>
  <si>
    <t>3 x 3,5 x 6.4</t>
  </si>
  <si>
    <t>1,1.2</t>
  </si>
  <si>
    <t>0.5,0.65</t>
  </si>
  <si>
    <t>ACTIVE</t>
  </si>
  <si>
    <t>25-V, N channel NexFET™ power MOSFET, single SON 5 mm x 6 mm, 6.8 mOhm</t>
  </si>
  <si>
    <t>MOSFETs</t>
  </si>
  <si>
    <t>Catalog</t>
  </si>
  <si>
    <t>VSON-CLIP</t>
  </si>
  <si>
    <t/>
  </si>
  <si>
    <t>-55 to 150</t>
  </si>
  <si>
    <t>6 x 5</t>
  </si>
  <si>
    <t>ACTIVE</t>
  </si>
  <si>
    <t>4.5 V to 18 V input, 2 A synchronous step-down converter in HTSSOP package</t>
  </si>
  <si>
    <t>AC/DC &amp; DC/DC converters (integrated FET)</t>
  </si>
  <si>
    <t>Catalog</t>
  </si>
  <si>
    <t>Buck</t>
  </si>
  <si>
    <t>HTSSOP</t>
  </si>
  <si>
    <t/>
  </si>
  <si>
    <t>-40 to 85</t>
  </si>
  <si>
    <t>5 x 6.4</t>
  </si>
  <si>
    <t>ACTIVE</t>
  </si>
  <si>
    <t>5.5-V, 0.04-A, 500-mΩ, load switch with current limit and active high enable</t>
  </si>
  <si>
    <t>Load switches</t>
  </si>
  <si>
    <t>Catalog</t>
  </si>
  <si>
    <t>SOT-SC70</t>
  </si>
  <si>
    <t/>
  </si>
  <si>
    <t>-40 to 85</t>
  </si>
  <si>
    <t>2 x 2.1</t>
  </si>
  <si>
    <t>ACTIVE</t>
  </si>
  <si>
    <t>4.5-V to 24-V, 350 kHz synchronous dual-D-CAP2 buck controller</t>
  </si>
  <si>
    <t>AC/DC &amp; DC/DC controllers (external FET)</t>
  </si>
  <si>
    <t>Catalog</t>
  </si>
  <si>
    <t>Buck</t>
  </si>
  <si>
    <t>TSSOP,VQFN</t>
  </si>
  <si>
    <t/>
  </si>
  <si>
    <t>-40 to 85</t>
  </si>
  <si>
    <t>16,49.92</t>
  </si>
  <si>
    <t>4 x 4,7.8 x 6.4</t>
  </si>
  <si>
    <t>1,1.2</t>
  </si>
  <si>
    <t>0.5,0.65</t>
  </si>
  <si>
    <t>ACTIVE</t>
  </si>
  <si>
    <t>4.5V to 18V Input, 3A Synchronous Step-Down Converter with Eco-Mode&amp;trade;</t>
  </si>
  <si>
    <t>AC/DC &amp; DC/DC converters (integrated FET)</t>
  </si>
  <si>
    <t>Catalog</t>
  </si>
  <si>
    <t>Buck</t>
  </si>
  <si>
    <t>HTSSOP,VQFN</t>
  </si>
  <si>
    <t/>
  </si>
  <si>
    <t>-40 to 85</t>
  </si>
  <si>
    <t>14,16</t>
  </si>
  <si>
    <t>9,32</t>
  </si>
  <si>
    <t>3 x 3,5 x 6.4</t>
  </si>
  <si>
    <t>1,1.2</t>
  </si>
  <si>
    <t>0.5,0.65</t>
  </si>
  <si>
    <t>ACTIVE</t>
  </si>
  <si>
    <t>Automotive 3.6V to 48V, 1A Buck Converter with Low Iq and Voltage Supervision</t>
  </si>
  <si>
    <t>AC/DC &amp; DC/DC converters (integrated FET)</t>
  </si>
  <si>
    <t>Automotive</t>
  </si>
  <si>
    <t>Buck</t>
  </si>
  <si>
    <t>HTSSOP</t>
  </si>
  <si>
    <t/>
  </si>
  <si>
    <t>-40 to 125</t>
  </si>
  <si>
    <t>6.5 x 6.4</t>
  </si>
  <si>
    <t>ACTIVE</t>
  </si>
  <si>
    <t>High Temperature Wide Input Non-Synchronous Buck DC/DC Controller</t>
  </si>
  <si>
    <t>AC/DC &amp; DC/DC controllers (external FET)</t>
  </si>
  <si>
    <t>High Temp</t>
  </si>
  <si>
    <t>Buck Controller</t>
  </si>
  <si>
    <t>CFP,DIESALE,SOIC</t>
  </si>
  <si>
    <t/>
  </si>
  <si>
    <t>-55 to 210</t>
  </si>
  <si>
    <t>0,8</t>
  </si>
  <si>
    <t>29.4,38.985,See data sheet</t>
  </si>
  <si>
    <t>4.9 x 6,6.9 x 5.65,See data sheet</t>
  </si>
  <si>
    <t>1.65,1.75,2.8,—</t>
  </si>
  <si>
    <t>1.27,—</t>
  </si>
  <si>
    <t>ACTIVE</t>
  </si>
  <si>
    <t>25-V, N channel NexFET™ power MOSFET, single SON 2 mm x 2 mm, 29 mOhm</t>
  </si>
  <si>
    <t>MOSFETs</t>
  </si>
  <si>
    <t>Catalog</t>
  </si>
  <si>
    <t>WSON</t>
  </si>
  <si>
    <t/>
  </si>
  <si>
    <t>-55 to 150</t>
  </si>
  <si>
    <t>2 x 2</t>
  </si>
  <si>
    <t>ACTIVE</t>
  </si>
  <si>
    <t>Automotive constant current N-channel controller with Thermal Foldback for driving LEDs</t>
  </si>
  <si>
    <t>Automotive LED drivers</t>
  </si>
  <si>
    <t>Automotive</t>
  </si>
  <si>
    <t>Boost Controller,Buck-Boost Controller,SEPIC Controller</t>
  </si>
  <si>
    <t>HTSSOP</t>
  </si>
  <si>
    <t/>
  </si>
  <si>
    <t>-40 to 125</t>
  </si>
  <si>
    <t>6.5 x 6.4</t>
  </si>
  <si>
    <t>ACTIVE</t>
  </si>
  <si>
    <t>140mA, 5V Charge Pump in 2x2 QFN</t>
  </si>
  <si>
    <t>AC/DC &amp; DC/DC converters (integrated FET)</t>
  </si>
  <si>
    <t>Catalog</t>
  </si>
  <si>
    <t>WSON</t>
  </si>
  <si>
    <t/>
  </si>
  <si>
    <t>-40 to 85</t>
  </si>
  <si>
    <t>2 x 2</t>
  </si>
  <si>
    <t>ACTIVE</t>
  </si>
  <si>
    <t>0.9-V to 5.5-V input range, 1.8-A boost converter, AEC-Q100 qualified</t>
  </si>
  <si>
    <t>AC/DC &amp; DC/DC converters (integrated FET)</t>
  </si>
  <si>
    <t>Automotive</t>
  </si>
  <si>
    <t>Boost</t>
  </si>
  <si>
    <t>VSON</t>
  </si>
  <si>
    <t/>
  </si>
  <si>
    <t>-40 to 125</t>
  </si>
  <si>
    <t>3 x 3</t>
  </si>
  <si>
    <t>ACTIVE</t>
  </si>
  <si>
    <t>Low Input, 20V/1.1A Step-Up DC/DC Converter with Integrated Power Diode and Input/Output Isolation</t>
  </si>
  <si>
    <t>AC/DC &amp; DC/DC converters (integrated FET)</t>
  </si>
  <si>
    <t>Catalog</t>
  </si>
  <si>
    <t>Boost</t>
  </si>
  <si>
    <t>WSON</t>
  </si>
  <si>
    <t/>
  </si>
  <si>
    <t>-40 to 125</t>
  </si>
  <si>
    <t>2.5 x 2.5</t>
  </si>
  <si>
    <t>ACTIVE</t>
  </si>
  <si>
    <t>White LED driver w/ integrated power Diode and Fast Burst dimming Mode</t>
  </si>
  <si>
    <t>Backlight LED drivers</t>
  </si>
  <si>
    <t>Catalog</t>
  </si>
  <si>
    <t>Boost</t>
  </si>
  <si>
    <t>WSON</t>
  </si>
  <si>
    <t/>
  </si>
  <si>
    <t>-40 to 85</t>
  </si>
  <si>
    <t>2.5 x 2.5</t>
  </si>
  <si>
    <t>ACTIVE</t>
  </si>
  <si>
    <t>Seamless Transition Buck-Boost DC/DC regulator for RF Power Amplifiers</t>
  </si>
  <si>
    <t>AC/DC &amp; DC/DC converters (integrated FET)</t>
  </si>
  <si>
    <t>Catalog</t>
  </si>
  <si>
    <t>Buck</t>
  </si>
  <si>
    <t>DSBGA</t>
  </si>
  <si>
    <t/>
  </si>
  <si>
    <t>-30 to 85</t>
  </si>
  <si>
    <t>2.25 x 1.75</t>
  </si>
  <si>
    <t>ACTIVE</t>
  </si>
  <si>
    <t>5.5-V to 65-V high side protection controller</t>
  </si>
  <si>
    <t>Hot-swap controllers</t>
  </si>
  <si>
    <t>Catalog</t>
  </si>
  <si>
    <t>VSSOP</t>
  </si>
  <si>
    <t/>
  </si>
  <si>
    <t>-40 to 125</t>
  </si>
  <si>
    <t>3 x 4.9</t>
  </si>
  <si>
    <t>ACTIVE</t>
  </si>
  <si>
    <t>Automotive 5.5-V to 65-V high side protection controller</t>
  </si>
  <si>
    <t>Hot-swap controllers</t>
  </si>
  <si>
    <t>Automotive</t>
  </si>
  <si>
    <t>VSSOP</t>
  </si>
  <si>
    <t>Functional Safety-Capable</t>
  </si>
  <si>
    <t>-40 to 125</t>
  </si>
  <si>
    <t>3 x 4.9</t>
  </si>
  <si>
    <t>ACTIVE</t>
  </si>
  <si>
    <t>High Temperature Low Noise, Very Low Drift, Precision Voltage References</t>
  </si>
  <si>
    <t>Series voltage references</t>
  </si>
  <si>
    <t>High Temp</t>
  </si>
  <si>
    <t>CFP,DIESALE</t>
  </si>
  <si>
    <t/>
  </si>
  <si>
    <t>-55 to 210</t>
  </si>
  <si>
    <t>0,8</t>
  </si>
  <si>
    <t>38.985,See data sheet</t>
  </si>
  <si>
    <t>6.9 x 5.65,See data sheet</t>
  </si>
  <si>
    <t>1.65,2.8,—</t>
  </si>
  <si>
    <t>1.27,—</t>
  </si>
  <si>
    <t>ACTIVE</t>
  </si>
  <si>
    <t>5.5-V, 0.04-A, 500-mΩ, load switch with current limit and active low enable</t>
  </si>
  <si>
    <t>Load switches</t>
  </si>
  <si>
    <t>Catalog</t>
  </si>
  <si>
    <t>SOT-SC70</t>
  </si>
  <si>
    <t/>
  </si>
  <si>
    <t>-40 to 85</t>
  </si>
  <si>
    <t>2 x 2.1</t>
  </si>
  <si>
    <t>ACTIVE</t>
  </si>
  <si>
    <t>5.5-V, 0.1-A, 500-mΩ, load switch with current limit and active high enable</t>
  </si>
  <si>
    <t>Load switches</t>
  </si>
  <si>
    <t>Catalog</t>
  </si>
  <si>
    <t>SOT-SC70</t>
  </si>
  <si>
    <t/>
  </si>
  <si>
    <t>-40 to 85</t>
  </si>
  <si>
    <t>2 x 2.1</t>
  </si>
  <si>
    <t>ACTIVE</t>
  </si>
  <si>
    <t>5.5-V, 0.15-A, 400-mΩ load switch with selectable current limit</t>
  </si>
  <si>
    <t>Load switches</t>
  </si>
  <si>
    <t>Catalog</t>
  </si>
  <si>
    <t>DSBGA</t>
  </si>
  <si>
    <t/>
  </si>
  <si>
    <t>-40 to 85</t>
  </si>
  <si>
    <t>1.75 x 1.25</t>
  </si>
  <si>
    <t>ACTIVE</t>
  </si>
  <si>
    <t>Automotive 3.6V to 60V, 2A Buck Converter with Low Iq and Voltage Supervision</t>
  </si>
  <si>
    <t>AC/DC &amp; DC/DC converters (integrated FET)</t>
  </si>
  <si>
    <t>Automotive</t>
  </si>
  <si>
    <t>Buck</t>
  </si>
  <si>
    <t>HTSSOP</t>
  </si>
  <si>
    <t/>
  </si>
  <si>
    <t>-40 to 125</t>
  </si>
  <si>
    <t>6.5 x 6.4</t>
  </si>
  <si>
    <t>ACTIVE</t>
  </si>
  <si>
    <t>Automotive 4-A/4-A dual-channel gate driver with inverting/non-inverting inputs</t>
  </si>
  <si>
    <t>Low-side drivers</t>
  </si>
  <si>
    <t>Automotive</t>
  </si>
  <si>
    <t>SOIC</t>
  </si>
  <si>
    <t/>
  </si>
  <si>
    <t>-40 to 125</t>
  </si>
  <si>
    <t>4.9 x 6</t>
  </si>
  <si>
    <t>ACTIVE</t>
  </si>
  <si>
    <t>Automotive 16-bit constant-current LED sink driver with Vled Short detection</t>
  </si>
  <si>
    <t>Automotive LED drivers</t>
  </si>
  <si>
    <t>Automotive</t>
  </si>
  <si>
    <t>Current Sink</t>
  </si>
  <si>
    <t>HTSSOP</t>
  </si>
  <si>
    <t/>
  </si>
  <si>
    <t>-40 to 125</t>
  </si>
  <si>
    <t>7.8 x 6.4</t>
  </si>
  <si>
    <t>ACTIVE</t>
  </si>
  <si>
    <t>200-mA, high-PSRR, low-IQ, low-dropout voltage regulator with enable</t>
  </si>
  <si>
    <t>Linear &amp; low-dropout (LDO) regulators</t>
  </si>
  <si>
    <t>Catalog</t>
  </si>
  <si>
    <t>SOT-23-THN,SOT-SC70,WSON</t>
  </si>
  <si>
    <t/>
  </si>
  <si>
    <t>-40 to 125</t>
  </si>
  <si>
    <t>5,6</t>
  </si>
  <si>
    <t>2.25,4.2,8.12</t>
  </si>
  <si>
    <t>1.5 x 1.5,2 x 2.1,2.9 x 2.8</t>
  </si>
  <si>
    <t>0.8,1.1</t>
  </si>
  <si>
    <t>0.5,0.65,0.95</t>
  </si>
  <si>
    <t>ACTIVE</t>
  </si>
  <si>
    <t>Automotive Catalog Sink/Source DDR Termination Regulator</t>
  </si>
  <si>
    <t>DDR memory power ICs,Multi-channel ICs (PMICs)</t>
  </si>
  <si>
    <t>Automotive</t>
  </si>
  <si>
    <t>VSON</t>
  </si>
  <si>
    <t/>
  </si>
  <si>
    <t>-40 to 125</t>
  </si>
  <si>
    <t>3 x 3</t>
  </si>
  <si>
    <t>ACTIVE</t>
  </si>
  <si>
    <t>Automotive 5.5V to 36V, 500kHz Fixed Frequency 1A Buck Converter</t>
  </si>
  <si>
    <t>AC/DC &amp; DC/DC converters (integrated FET)</t>
  </si>
  <si>
    <t>Automotive</t>
  </si>
  <si>
    <t>Buck</t>
  </si>
  <si>
    <t>SOIC</t>
  </si>
  <si>
    <t/>
  </si>
  <si>
    <t>-40 to 125</t>
  </si>
  <si>
    <t>4.9 x 6</t>
  </si>
  <si>
    <t>ACTIVE</t>
  </si>
  <si>
    <t>Automotive White LED driver with Digital and PWM brightness control in 2mm x 2mm QFN Package</t>
  </si>
  <si>
    <t>Backlight LED drivers,Automotive LED drivers</t>
  </si>
  <si>
    <t>Automotive</t>
  </si>
  <si>
    <t>Boost</t>
  </si>
  <si>
    <t>WSON</t>
  </si>
  <si>
    <t/>
  </si>
  <si>
    <t>-40 to 125</t>
  </si>
  <si>
    <t>2 x 2</t>
  </si>
  <si>
    <t>ACTIVE</t>
  </si>
  <si>
    <t>2.25MHz, Step-Down Converter w/ Programmble Input Current Limits for USB powered Applications</t>
  </si>
  <si>
    <t>AC/DC &amp; DC/DC converters (integrated FET)</t>
  </si>
  <si>
    <t>Catalog</t>
  </si>
  <si>
    <t>Buck</t>
  </si>
  <si>
    <t>WSON</t>
  </si>
  <si>
    <t/>
  </si>
  <si>
    <t>-40 to 85</t>
  </si>
  <si>
    <t>2.5 x 2.5</t>
  </si>
  <si>
    <t>ACTIVE</t>
  </si>
  <si>
    <t>2.95V to 6V Input, 3A Synchronous Step-Down SWIFT&amp;trade; Converter</t>
  </si>
  <si>
    <t>AC/DC &amp; DC/DC converters (integrated FET)</t>
  </si>
  <si>
    <t>Catalog</t>
  </si>
  <si>
    <t>Buck</t>
  </si>
  <si>
    <t>WQFN</t>
  </si>
  <si>
    <t/>
  </si>
  <si>
    <t>-40 to 150</t>
  </si>
  <si>
    <t>3 x 3</t>
  </si>
  <si>
    <t>ACTIVE</t>
  </si>
  <si>
    <t>250-mA, ultra-low-IQ, low-dropout voltage regulator with enable</t>
  </si>
  <si>
    <t>Linear &amp; low-dropout (LDO) regulators</t>
  </si>
  <si>
    <t>Catalog</t>
  </si>
  <si>
    <t>DSBGA,WSON</t>
  </si>
  <si>
    <t/>
  </si>
  <si>
    <t>-40 to 125</t>
  </si>
  <si>
    <t>4,6</t>
  </si>
  <si>
    <t>1,2.25</t>
  </si>
  <si>
    <t>1 x 1,1.5 x 1.5</t>
  </si>
  <si>
    <t>0.625,0.8</t>
  </si>
  <si>
    <t>0.4,0.5</t>
  </si>
  <si>
    <t>ACTIVE</t>
  </si>
  <si>
    <t>8-CH Gamma-Voltage Generator and High Slew Rate Vcom with Integrated Two-Bank Memory</t>
  </si>
  <si>
    <t>LCD &amp; OLED display power &amp; drivers</t>
  </si>
  <si>
    <t>Catalog</t>
  </si>
  <si>
    <t>HTSSOP</t>
  </si>
  <si>
    <t/>
  </si>
  <si>
    <t>-40 to 95</t>
  </si>
  <si>
    <t>6.5 x 6.4</t>
  </si>
  <si>
    <t>ACTIVE</t>
  </si>
  <si>
    <t>Automotive 1.5V to 6.5V, three buck and three LDO Power Management IC (PMIC)</t>
  </si>
  <si>
    <t>Multi-channel ICs (PMICs)</t>
  </si>
  <si>
    <t>Automotive</t>
  </si>
  <si>
    <t>VQFN</t>
  </si>
  <si>
    <t/>
  </si>
  <si>
    <t>-40 to 125</t>
  </si>
  <si>
    <t>5 x 5</t>
  </si>
  <si>
    <t>ACTIVE</t>
  </si>
  <si>
    <t>10-Channel Level Shifter for LCD Displays w/ VCOM Op-Amp</t>
  </si>
  <si>
    <t>LCD &amp; OLED display power &amp; drivers</t>
  </si>
  <si>
    <t>Catalog</t>
  </si>
  <si>
    <t>VQFN</t>
  </si>
  <si>
    <t/>
  </si>
  <si>
    <t>-40 to 85</t>
  </si>
  <si>
    <t>5 x 5</t>
  </si>
  <si>
    <t>ACTIVE</t>
  </si>
  <si>
    <t>Open-drain, quad-supply voltage supervisors with programmable delay &amp; watchdog timer</t>
  </si>
  <si>
    <t>Reset &amp; watchdog ICs</t>
  </si>
  <si>
    <t>Catalog</t>
  </si>
  <si>
    <t>VQFN</t>
  </si>
  <si>
    <t/>
  </si>
  <si>
    <t>-40 to 125</t>
  </si>
  <si>
    <t>4 x 4</t>
  </si>
  <si>
    <t>ACTIVE</t>
  </si>
  <si>
    <t>Push-pull, quad-supply voltage supervisors with programmable delay &amp; watchdog timer</t>
  </si>
  <si>
    <t>Reset &amp; watchdog ICs</t>
  </si>
  <si>
    <t>Catalog</t>
  </si>
  <si>
    <t>VQFN</t>
  </si>
  <si>
    <t/>
  </si>
  <si>
    <t>-40 to 125</t>
  </si>
  <si>
    <t>4 x 4</t>
  </si>
  <si>
    <t>ACTIVE</t>
  </si>
  <si>
    <t>Enhanced Product 5.5V to 36V, 1A, 500kHz Step Down Converter</t>
  </si>
  <si>
    <t>AC/DC &amp; DC/DC converters (integrated FET)</t>
  </si>
  <si>
    <t>HiRel Enhanced Product</t>
  </si>
  <si>
    <t>Buck</t>
  </si>
  <si>
    <t>SOIC</t>
  </si>
  <si>
    <t/>
  </si>
  <si>
    <t>-55 to 125</t>
  </si>
  <si>
    <t>4.9 x 6</t>
  </si>
  <si>
    <t>ACTIVE</t>
  </si>
  <si>
    <t>Automotive 1.5V to 6.5V, 3 Buck &amp; 3 LDO Power Management IC</t>
  </si>
  <si>
    <t>Multi-channel ICs (PMICs)</t>
  </si>
  <si>
    <t>Automotive</t>
  </si>
  <si>
    <t>VQFN</t>
  </si>
  <si>
    <t/>
  </si>
  <si>
    <t>-40 to 125</t>
  </si>
  <si>
    <t>5 x 5</t>
  </si>
  <si>
    <t>ACTIVE</t>
  </si>
  <si>
    <t>Automotive Grade 4.5-42V Wide Vin, Constant On-Time Non-Synchronous PFET Buck Controller</t>
  </si>
  <si>
    <t>AC/DC &amp; DC/DC controllers (external FET)</t>
  </si>
  <si>
    <t>Automotive</t>
  </si>
  <si>
    <t>Buck Controller</t>
  </si>
  <si>
    <t>HVSSOP</t>
  </si>
  <si>
    <t/>
  </si>
  <si>
    <t>-40 to 125</t>
  </si>
  <si>
    <t>3 x 4.9</t>
  </si>
  <si>
    <t>ACTIVE</t>
  </si>
  <si>
    <t>2.95V to 6V Input, 2A Synchronous Step-Down SWIFT&amp;trade; Converter</t>
  </si>
  <si>
    <t>AC/DC &amp; DC/DC converters (integrated FET)</t>
  </si>
  <si>
    <t>Catalog</t>
  </si>
  <si>
    <t>Buck</t>
  </si>
  <si>
    <t>WQFN</t>
  </si>
  <si>
    <t/>
  </si>
  <si>
    <t>-40 to 150</t>
  </si>
  <si>
    <t>3 x 3</t>
  </si>
  <si>
    <t>ACTIVE</t>
  </si>
  <si>
    <t>Radiation-hardened QMLV, 2.5-V or 5-V shunt voltage reference</t>
  </si>
  <si>
    <t>Shunt voltage references</t>
  </si>
  <si>
    <t>Space</t>
  </si>
  <si>
    <t>CFP</t>
  </si>
  <si>
    <t/>
  </si>
  <si>
    <t>-55 to 125</t>
  </si>
  <si>
    <t>9.91 x 6.35</t>
  </si>
  <si>
    <t>ACTIVE</t>
  </si>
  <si>
    <t>Power Management IC (PMIC) for Digital Set Top Boxes</t>
  </si>
  <si>
    <t>AC/DC &amp; DC/DC converters (integrated FET)</t>
  </si>
  <si>
    <t>Catalog</t>
  </si>
  <si>
    <t>Buck</t>
  </si>
  <si>
    <t>HTSSOP</t>
  </si>
  <si>
    <t/>
  </si>
  <si>
    <t>0 to 85</t>
  </si>
  <si>
    <t>12.5 x 8.1</t>
  </si>
  <si>
    <t>ACTIVE</t>
  </si>
  <si>
    <t>25-V, N channel NexFET™ power MOSFET, single SON 5 mm x 6 mm, 5.8 mOhm</t>
  </si>
  <si>
    <t>MOSFETs</t>
  </si>
  <si>
    <t>Catalog</t>
  </si>
  <si>
    <t>VSON-CLIP</t>
  </si>
  <si>
    <t/>
  </si>
  <si>
    <t>-55 to 150</t>
  </si>
  <si>
    <t>6 x 5</t>
  </si>
  <si>
    <t>ACTIVE</t>
  </si>
  <si>
    <t>0.13-1.4A adjustable ILIMIT, 1.8-5.25V, 80mΩ USB power switch + boost converter in Eco-mode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</si>
  <si>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</si>
  <si>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</si>
  <si>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</si>
  <si>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</si>
  <si>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</si>
  <si>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</si>
  <si>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</si>
  <si>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0.13-1.4A adj. ILIMIT,  1.8-5.25V, 80mΩ USB power switch + boost converter in constant frequency</t>
  </si>
  <si>
    <t>USB power switches &amp; charging port controllers</t>
  </si>
  <si>
    <t>Catalog</t>
  </si>
  <si>
    <t>VSON</t>
  </si>
  <si>
    <t/>
  </si>
  <si>
    <t>-40 to 125</t>
  </si>
  <si>
    <t>3 x 3</t>
  </si>
  <si>
    <t>ACTIVE</t>
  </si>
  <si>
    <t>12-Channel Sequencer and System Health Monitor</t>
  </si>
  <si>
    <t>Sequencers</t>
  </si>
  <si>
    <t>Catalog</t>
  </si>
  <si>
    <t>VQFN</t>
  </si>
  <si>
    <t/>
  </si>
  <si>
    <t>-40 to 125</t>
  </si>
  <si>
    <t>9 x 9</t>
  </si>
  <si>
    <t>ACTIVE</t>
  </si>
  <si>
    <t>18.5-V, 2-A, 2-MHz step-up DC/DC converter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</si>
  <si>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</si>
  <si>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</si>
  <si>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</si>
  <si>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</si>
  <si>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</si>
  <si>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</si>
  <si>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</si>
  <si>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</si>
  <si>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Power Management IC (PMIC) for Digital Set-Top Boxes</t>
  </si>
  <si>
    <t>AC/DC &amp; DC/DC converters (integrated FET)</t>
  </si>
  <si>
    <t>Catalog</t>
  </si>
  <si>
    <t>Buck</t>
  </si>
  <si>
    <t>HTSSOP</t>
  </si>
  <si>
    <t/>
  </si>
  <si>
    <t>0 to 85</t>
  </si>
  <si>
    <t>12.5 x 8.1</t>
  </si>
  <si>
    <t>ACTIVE</t>
  </si>
  <si>
    <t>Automotive 2-ch, 1A loading, 2.7-5.5V, 70mΩ USB power switch, active-low</t>
  </si>
  <si>
    <t>USB power switches &amp; charging port controllers</t>
  </si>
  <si>
    <t>Automotive</t>
  </si>
  <si>
    <t>HVSSOP</t>
  </si>
  <si>
    <t/>
  </si>
  <si>
    <t>-40 to 125</t>
  </si>
  <si>
    <t>3 x 4.9</t>
  </si>
  <si>
    <t>ACTIVE</t>
  </si>
  <si>
    <t>16-bit Fast-Mode Plus (FM+) I2C-Bus LED driver</t>
  </si>
  <si>
    <t>RGB LED drivers</t>
  </si>
  <si>
    <t>Catalog</t>
  </si>
  <si>
    <t>Current Sink,Linear</t>
  </si>
  <si>
    <t>TSSOP,VQFN</t>
  </si>
  <si>
    <t/>
  </si>
  <si>
    <t>-40 to 85</t>
  </si>
  <si>
    <t>28,32</t>
  </si>
  <si>
    <t>25,62.08</t>
  </si>
  <si>
    <t>5 x 5,9.7 x 6.4</t>
  </si>
  <si>
    <t>1,1.2</t>
  </si>
  <si>
    <t>0.5,0.65</t>
  </si>
  <si>
    <t>ACTIVE</t>
  </si>
  <si>
    <t>800-mA, 6-MHz Synchronous Step-Down Converter in Chip Scale Packaging</t>
  </si>
  <si>
    <t>AC/DC &amp; DC/DC converters (integrated FET)</t>
  </si>
  <si>
    <t>Catalog</t>
  </si>
  <si>
    <t>Buck</t>
  </si>
  <si>
    <t>DSBGA</t>
  </si>
  <si>
    <t/>
  </si>
  <si>
    <t>-40 to 85</t>
  </si>
  <si>
    <t>1.4000000000000001 x 1.4000000000000001</t>
  </si>
  <si>
    <t>ACTIVE</t>
  </si>
  <si>
    <t>25-V, N channel NexFET™ power MOSFET, single SON 5 mm x 6 mm, 2.2 mOhm</t>
  </si>
  <si>
    <t>MOSFETs</t>
  </si>
  <si>
    <t>Catalog</t>
  </si>
  <si>
    <t>VSON-CLIP</t>
  </si>
  <si>
    <t/>
  </si>
  <si>
    <t>-55 to 150</t>
  </si>
  <si>
    <t>6 x 5</t>
  </si>
  <si>
    <t>ACTIVE</t>
  </si>
  <si>
    <t>Constant current N-channel controller with Thermal Foldback for driving LEDs</t>
  </si>
  <si>
    <t>Illumination  LED drivers</t>
  </si>
  <si>
    <t>Catalog</t>
  </si>
  <si>
    <t>Boost,Boost Controller,Buck-Boost,SEPIC</t>
  </si>
  <si>
    <t>HTSSOP</t>
  </si>
  <si>
    <t/>
  </si>
  <si>
    <t>-40 to 125</t>
  </si>
  <si>
    <t>6.5 x 6.4</t>
  </si>
  <si>
    <t>ACTIVE</t>
  </si>
  <si>
    <t>Enhanced Product 5.5V to 36V Input, 5A, 500kHz Step-Down Converter</t>
  </si>
  <si>
    <t>AC/DC &amp; DC/DC converters (integrated FET)</t>
  </si>
  <si>
    <t>HiRel Enhanced Product</t>
  </si>
  <si>
    <t>Buck</t>
  </si>
  <si>
    <t>HSOIC</t>
  </si>
  <si>
    <t/>
  </si>
  <si>
    <t>-55 to 125</t>
  </si>
  <si>
    <t>4.9 x 6</t>
  </si>
  <si>
    <t>ACTIVE</t>
  </si>
  <si>
    <t>5-Channel Level Shifter for LCD Displays (Dual Channel Scan Driver)</t>
  </si>
  <si>
    <t>LCD &amp; OLED display power &amp; drivers</t>
  </si>
  <si>
    <t>Catalog</t>
  </si>
  <si>
    <t>VQFN</t>
  </si>
  <si>
    <t/>
  </si>
  <si>
    <t>-40 to 85</t>
  </si>
  <si>
    <t>4 x 4</t>
  </si>
  <si>
    <t>ACTIVE</t>
  </si>
  <si>
    <t>Class 3 PoE PD with flyback/Forward DC-DC controller &amp; 12V-57V Adapter Support</t>
  </si>
  <si>
    <t>Powered devices</t>
  </si>
  <si>
    <t>Catalog</t>
  </si>
  <si>
    <t>TSSOP</t>
  </si>
  <si>
    <t/>
  </si>
  <si>
    <t>-40 to 125</t>
  </si>
  <si>
    <t>6.5 x 6.4</t>
  </si>
  <si>
    <t>ACTIVE</t>
  </si>
  <si>
    <t>Power Management IC (PMIC) with battery charger, three step-down converters and two LDOs</t>
  </si>
  <si>
    <t>Multi-channel ICs (PMICs)</t>
  </si>
  <si>
    <t>Catalog</t>
  </si>
  <si>
    <t>VQFN</t>
  </si>
  <si>
    <t/>
  </si>
  <si>
    <t>-40 to 85</t>
  </si>
  <si>
    <t>6 x 6</t>
  </si>
  <si>
    <t>ACTIVE</t>
  </si>
  <si>
    <t>5-Channel Power Management IC (PMIC) with 3 DC/DCs, 2 LDOs in 6x6mm QFN</t>
  </si>
  <si>
    <t>Multi-channel ICs (PMICs)</t>
  </si>
  <si>
    <t>Catalog</t>
  </si>
  <si>
    <t>VQFN</t>
  </si>
  <si>
    <t/>
  </si>
  <si>
    <t>-40 to 85</t>
  </si>
  <si>
    <t>6 x 6</t>
  </si>
  <si>
    <t>ACTIVE</t>
  </si>
  <si>
    <t>5-Channel Power Management IC (PMIC) with three DC/DCs, two LDOs in 6x6mm QFN</t>
  </si>
  <si>
    <t>Multi-channel ICs (PMICs)</t>
  </si>
  <si>
    <t>Catalog</t>
  </si>
  <si>
    <t>VQFN</t>
  </si>
  <si>
    <t/>
  </si>
  <si>
    <t>-40 to 85</t>
  </si>
  <si>
    <t>6 x 6</t>
  </si>
  <si>
    <t>ACTIVE</t>
  </si>
  <si>
    <t>5-Channel Power Management IC (PMIC) with 3 DC/DCs, 2 LDOs in 6x6mm QFN</t>
  </si>
  <si>
    <t>Multi-channel ICs (PMICs)</t>
  </si>
  <si>
    <t>Catalog</t>
  </si>
  <si>
    <t>VQFN</t>
  </si>
  <si>
    <t/>
  </si>
  <si>
    <t>-40 to 85</t>
  </si>
  <si>
    <t>6 x 6</t>
  </si>
  <si>
    <t>ACTIVE</t>
  </si>
  <si>
    <t>IEEE 802.3-2005 PoE interface and Isolated Converter controller with Enhanced ESD Ride-Through</t>
  </si>
  <si>
    <t>Powered devices</t>
  </si>
  <si>
    <t>Catalog</t>
  </si>
  <si>
    <t>TSSOP</t>
  </si>
  <si>
    <t/>
  </si>
  <si>
    <t>-40 to 125</t>
  </si>
  <si>
    <t>5 x 6.4</t>
  </si>
  <si>
    <t>ACTIVE</t>
  </si>
  <si>
    <t>600-mA, 6-MHz, Vout 1.8V, 90% Efficiency Step-Down Converter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</si>
  <si>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</si>
  <si>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</si>
  <si>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</si>
  <si>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</si>
  <si>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</si>
  <si>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</si>
  <si>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</si>
  <si>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</si>
  <si>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600-mA, 6-MHz, Vout 1.5V, 90% Efficiency Step-Down Converter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</si>
  <si>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</si>
  <si>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</si>
  <si>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</si>
  <si>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</si>
  <si>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</si>
  <si>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</si>
  <si>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</si>
  <si>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</si>
  <si>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600-mA, 6-MHz, Vout 1.225V, 90% Efficiency Step-Down Converter</t>
  </si>
  <si>
    <t>AC/DC &amp; DC/DC converters (integrated FET)</t>
  </si>
  <si>
    <t>Catalog</t>
  </si>
  <si>
    <t>Buck</t>
  </si>
  <si>
    <t>DSBGA</t>
  </si>
  <si>
    <t/>
  </si>
  <si>
    <t>-40 to 85</t>
  </si>
  <si>
    <t>1 x 1.4000000000000001,1.4000000000000001 x 1</t>
  </si>
  <si>
    <t>0.4,0.625</t>
  </si>
  <si>
    <t>ACTIVE</t>
  </si>
  <si>
    <t>600-mA, 6-MHz, Vout 1.2V, 90% Efficiency Step-Down Converter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</si>
  <si>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</si>
  <si>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</si>
  <si>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</si>
  <si>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</si>
  <si>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</si>
  <si>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</si>
  <si>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</si>
  <si>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</si>
  <si>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600-mA, 6-MHz, Vout 1.2V with Active Output Cap Discharge Capability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</si>
  <si>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</si>
  <si>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</si>
  <si>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</si>
  <si>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</si>
  <si>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</si>
  <si>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</si>
  <si>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</si>
  <si>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</si>
  <si>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3-V to 20-V, 30mΩ, 2-5A eFuse</t>
  </si>
  <si>
    <t>eFuses (integrated hot swaps)</t>
  </si>
  <si>
    <t>Catalog</t>
  </si>
  <si>
    <t>VQFN</t>
  </si>
  <si>
    <t/>
  </si>
  <si>
    <t>-40 to 125</t>
  </si>
  <si>
    <t>4 x 4</t>
  </si>
  <si>
    <t>ACTIVE</t>
  </si>
  <si>
    <t>2.25MHz, Step-Down Converter w/ Programmable Input Current Limits for USB powered Applications</t>
  </si>
  <si>
    <t>AC/DC &amp; DC/DC converters (integrated FET)</t>
  </si>
  <si>
    <t>Catalog</t>
  </si>
  <si>
    <t>Buck</t>
  </si>
  <si>
    <t>WSON</t>
  </si>
  <si>
    <t/>
  </si>
  <si>
    <t>-40 to 85</t>
  </si>
  <si>
    <t>2.5 x 2.5</t>
  </si>
  <si>
    <t>ACTIVE</t>
  </si>
  <si>
    <t>9-Channel Level Shifter for LCD Displays with GPM</t>
  </si>
  <si>
    <t>LCD &amp; OLED display power &amp; drivers</t>
  </si>
  <si>
    <t>Catalog</t>
  </si>
  <si>
    <t>VQFN</t>
  </si>
  <si>
    <t/>
  </si>
  <si>
    <t>-40 to 85</t>
  </si>
  <si>
    <t>5 x 5</t>
  </si>
  <si>
    <t>ACTIVE</t>
  </si>
  <si>
    <t>3-V to 75-V wide VIN, current mode non-synchronous buck-boost controller</t>
  </si>
  <si>
    <t>AC/DC &amp; DC/DC controllers (external FET)</t>
  </si>
  <si>
    <t>Automotive</t>
  </si>
  <si>
    <t>Buck-Boost</t>
  </si>
  <si>
    <t>HTSSOP</t>
  </si>
  <si>
    <t/>
  </si>
  <si>
    <t>-40 to 125</t>
  </si>
  <si>
    <t>6.5 x 6.4</t>
  </si>
  <si>
    <t>ACTIVE</t>
  </si>
  <si>
    <t>Automotive 16-bit constant-current LED sink driver</t>
  </si>
  <si>
    <t>Automotive LED drivers</t>
  </si>
  <si>
    <t>Automotive</t>
  </si>
  <si>
    <t>Current Sink</t>
  </si>
  <si>
    <t>HTSSOP</t>
  </si>
  <si>
    <t/>
  </si>
  <si>
    <t>-40 to 125</t>
  </si>
  <si>
    <t>7.8 x 6.4</t>
  </si>
  <si>
    <t>ACTIVE</t>
  </si>
  <si>
    <t>PWM controller with Integrated half-bridge and SyncFET Drivers with Increased max duty cycle</t>
  </si>
  <si>
    <t>AC/DC &amp; DC/DC controllers (external FET)</t>
  </si>
  <si>
    <t>Catalog</t>
  </si>
  <si>
    <t>Half bridge</t>
  </si>
  <si>
    <t>HTSSOP,WQFN</t>
  </si>
  <si>
    <t/>
  </si>
  <si>
    <t>-40 to 125</t>
  </si>
  <si>
    <t>20,24</t>
  </si>
  <si>
    <t>20,41.6</t>
  </si>
  <si>
    <t>5 x 4,6.5 x 6.4</t>
  </si>
  <si>
    <t>0.8,1.2</t>
  </si>
  <si>
    <t>0.5,0.65</t>
  </si>
  <si>
    <t>ACTIVE</t>
  </si>
  <si>
    <t>Automotive 3.5V to 5.5V, 60mA Buck/Boost Charge Pump for 5.5V Systems in ThinSOT-23 Package</t>
  </si>
  <si>
    <t>AC/DC &amp; DC/DC converters (integrated FET)</t>
  </si>
  <si>
    <t>Automotive</t>
  </si>
  <si>
    <t>SOT-23-THN</t>
  </si>
  <si>
    <t/>
  </si>
  <si>
    <t>-40 to 85</t>
  </si>
  <si>
    <t>2.9 x 2.8</t>
  </si>
  <si>
    <t>ACTIVE</t>
  </si>
  <si>
    <t>Low-power 16-channel constant-current LED sink driver with 3.0-5.5V supply voltage</t>
  </si>
  <si>
    <t>LED display drivers</t>
  </si>
  <si>
    <t>Catalog</t>
  </si>
  <si>
    <t>SSOP</t>
  </si>
  <si>
    <t/>
  </si>
  <si>
    <t>-40 to 125</t>
  </si>
  <si>
    <t>8.65 x 6</t>
  </si>
  <si>
    <t>ACTIVE</t>
  </si>
  <si>
    <t>Automotive 0.5A loading, 2.7-5.5V, 105mΩ USB power switch, active-low</t>
  </si>
  <si>
    <t>USB power switches &amp; charging port controllers</t>
  </si>
  <si>
    <t>Automotive</t>
  </si>
  <si>
    <t>SOT-23</t>
  </si>
  <si>
    <t/>
  </si>
  <si>
    <t>-40 to 125</t>
  </si>
  <si>
    <t>2.9 x 2.8</t>
  </si>
  <si>
    <t>ACTIVE</t>
  </si>
  <si>
    <t>1.5A/4.1A multiple LED Camera flash driver with I2CTM compatible interface</t>
  </si>
  <si>
    <t>Illumination  LED drivers</t>
  </si>
  <si>
    <t>Catalog</t>
  </si>
  <si>
    <t>Boost,current mode</t>
  </si>
  <si>
    <t>DSBGA</t>
  </si>
  <si>
    <t/>
  </si>
  <si>
    <t>-40 to 85</t>
  </si>
  <si>
    <t>1.8 x 2.2</t>
  </si>
  <si>
    <t>ACTIVE</t>
  </si>
  <si>
    <t>1.5A/4.1A multiple LED Camera flash driver with I2CTM compatible interface and LED Temp Monitoring</t>
  </si>
  <si>
    <t>Illumination  LED drivers</t>
  </si>
  <si>
    <t>Catalog</t>
  </si>
  <si>
    <t>Boost,current mode</t>
  </si>
  <si>
    <t>DSBGA</t>
  </si>
  <si>
    <t/>
  </si>
  <si>
    <t>-40 to 85</t>
  </si>
  <si>
    <t>1.8 x 2.2</t>
  </si>
  <si>
    <t>ACTIVE</t>
  </si>
  <si>
    <t>Automotive 1.8V to 5.5V Input Range, 1.8A High Efficiency Buck/Boost Converter</t>
  </si>
  <si>
    <t>AC/DC &amp; DC/DC converters (integrated FET)</t>
  </si>
  <si>
    <t>Automotive</t>
  </si>
  <si>
    <t>Buck-Boost</t>
  </si>
  <si>
    <t>VSON</t>
  </si>
  <si>
    <t/>
  </si>
  <si>
    <t>-40 to 125</t>
  </si>
  <si>
    <t>3 x 3</t>
  </si>
  <si>
    <t>ACTIVE</t>
  </si>
  <si>
    <t>Fully Programmable Digital Power Controller with up to Two Regulated Outputs and Eight DPWM Outputs</t>
  </si>
  <si>
    <t>AC/DC &amp; DC/DC controllers (external FET)</t>
  </si>
  <si>
    <t>Catalog</t>
  </si>
  <si>
    <t>VQFN</t>
  </si>
  <si>
    <t/>
  </si>
  <si>
    <t>-40 to 125</t>
  </si>
  <si>
    <t>6 x 6</t>
  </si>
  <si>
    <t>ACTIVE</t>
  </si>
  <si>
    <t>2.25MHz Step-Down Converter with Dual LDOs &amp; SVS Power Management IC (PMIC)</t>
  </si>
  <si>
    <t>Multi-channel ICs (PMICs)</t>
  </si>
  <si>
    <t>Catalog</t>
  </si>
  <si>
    <t>WQFN</t>
  </si>
  <si>
    <t/>
  </si>
  <si>
    <t>-40 to 85</t>
  </si>
  <si>
    <t>3 x 3</t>
  </si>
  <si>
    <t>ACTIVE</t>
  </si>
  <si>
    <t>2.25MHz Step-Down Converter with Dual LDOs &amp; SVS Power Management IC (PMIC)</t>
  </si>
  <si>
    <t>Multi-channel ICs (PMICs)</t>
  </si>
  <si>
    <t>Catalog</t>
  </si>
  <si>
    <t>WQFN</t>
  </si>
  <si>
    <t/>
  </si>
  <si>
    <t>-40 to 85</t>
  </si>
  <si>
    <t>3 x 3</t>
  </si>
  <si>
    <t>ACTIVE</t>
  </si>
  <si>
    <t>1.5-V to 60-V wide input range, 3-A boost converter with voltage supervisor, AEC-Q100 qualified</t>
  </si>
  <si>
    <t>AC/DC &amp; DC/DC converters (integrated FET)</t>
  </si>
  <si>
    <t>Automotive</t>
  </si>
  <si>
    <t>Boost,Flyback,Forward,SEPIC</t>
  </si>
  <si>
    <t>HTSSOP</t>
  </si>
  <si>
    <t/>
  </si>
  <si>
    <t>-40 to 150</t>
  </si>
  <si>
    <t>6.5 x 6.4</t>
  </si>
  <si>
    <t>ACTIVE</t>
  </si>
  <si>
    <t>6A, 4.75V to 14V, Non-Isolated, Digital PowerTrain Module</t>
  </si>
  <si>
    <t>Power modules (integrated inductor)</t>
  </si>
  <si>
    <t>Catalog</t>
  </si>
  <si>
    <t>Buck</t>
  </si>
  <si>
    <t>DIPMODULE</t>
  </si>
  <si>
    <t/>
  </si>
  <si>
    <t>-40 to 85</t>
  </si>
  <si>
    <t>19.94 x 16.76</t>
  </si>
  <si>
    <t>ACTIVE</t>
  </si>
  <si>
    <t>Automotive 5.5V to 75V, 1.2A gate driver, dual-mode PWM controller With Alternating outputs -40-125C</t>
  </si>
  <si>
    <t>AC/DC &amp; DC/DC controllers (external FET)</t>
  </si>
  <si>
    <t>Automotive</t>
  </si>
  <si>
    <t>Full bridge,Half bridge,Push pull</t>
  </si>
  <si>
    <t>TSSOP</t>
  </si>
  <si>
    <t/>
  </si>
  <si>
    <t>-40 to 125</t>
  </si>
  <si>
    <t>5 x 6.4</t>
  </si>
  <si>
    <t>ACTIVE</t>
  </si>
  <si>
    <t>3-V to 28-V, 20-A, synchronous D-CAP buck controller for notebook power</t>
  </si>
  <si>
    <t>AC/DC &amp; DC/DC controllers (external FET)</t>
  </si>
  <si>
    <t>Catalog</t>
  </si>
  <si>
    <t>Buck</t>
  </si>
  <si>
    <t>WSON</t>
  </si>
  <si>
    <t/>
  </si>
  <si>
    <t>-40 to 85</t>
  </si>
  <si>
    <t>3 x 3</t>
  </si>
  <si>
    <t>ACTIVE</t>
  </si>
  <si>
    <t>5A Step-Down Energy Management Unit With PowerWise&amp;reg; Adaptive Voltage Scaling</t>
  </si>
  <si>
    <t>AC/DC &amp; DC/DC converters (integrated FET)</t>
  </si>
  <si>
    <t>Catalog</t>
  </si>
  <si>
    <t>Buck</t>
  </si>
  <si>
    <t>WQFN</t>
  </si>
  <si>
    <t/>
  </si>
  <si>
    <t>-40 to 85</t>
  </si>
  <si>
    <t>5 x 5</t>
  </si>
  <si>
    <t>ACTIVE</t>
  </si>
  <si>
    <t>24-channel constant-current LED driver with global brightness and LED open Short Detection</t>
  </si>
  <si>
    <t>LED display drivers</t>
  </si>
  <si>
    <t>Catalog</t>
  </si>
  <si>
    <t>HTSSOP</t>
  </si>
  <si>
    <t/>
  </si>
  <si>
    <t>-40 to 85</t>
  </si>
  <si>
    <t>11 x 8.1</t>
  </si>
  <si>
    <t>ACTIVE</t>
  </si>
  <si>
    <t>42-V PFET buck controller for high power LED drives</t>
  </si>
  <si>
    <t>Illumination  LED drivers</t>
  </si>
  <si>
    <t>Catalog</t>
  </si>
  <si>
    <t>Buck</t>
  </si>
  <si>
    <t>HVSSOP,PDIP</t>
  </si>
  <si>
    <t/>
  </si>
  <si>
    <t>-40 to 125</t>
  </si>
  <si>
    <t>10,14</t>
  </si>
  <si>
    <t>14.7,158.4268</t>
  </si>
  <si>
    <t>19.18 x 8.26,3 x 4.9</t>
  </si>
  <si>
    <t>1.1,5.3299868</t>
  </si>
  <si>
    <t>0.5,2.54</t>
  </si>
  <si>
    <t>ACTIVE</t>
  </si>
  <si>
    <t>75-V PFET buck controller for high power LED drivers</t>
  </si>
  <si>
    <t>Illumination  LED drivers</t>
  </si>
  <si>
    <t>Catalog</t>
  </si>
  <si>
    <t>Buck</t>
  </si>
  <si>
    <t>HVSSOP</t>
  </si>
  <si>
    <t/>
  </si>
  <si>
    <t>-40 to 125</t>
  </si>
  <si>
    <t>3 x 4.9</t>
  </si>
  <si>
    <t>ACTIVE</t>
  </si>
  <si>
    <t>Synchronous boost converter with 1.2A dual high side LED driver and I2C compatible interface</t>
  </si>
  <si>
    <t>Illumination  LED drivers</t>
  </si>
  <si>
    <t>Catalog</t>
  </si>
  <si>
    <t>Boost,current mode</t>
  </si>
  <si>
    <t>DSBGA</t>
  </si>
  <si>
    <t/>
  </si>
  <si>
    <t>-30 to 85</t>
  </si>
  <si>
    <t>1.8 x 1.8</t>
  </si>
  <si>
    <t>ACTIVE</t>
  </si>
  <si>
    <t>Class 4 PoE PD with flyback/forward DC-DC controller &amp; 12V-57V adapter support</t>
  </si>
  <si>
    <t>Powered devices</t>
  </si>
  <si>
    <t>Catalog</t>
  </si>
  <si>
    <t>HTSSOP</t>
  </si>
  <si>
    <t/>
  </si>
  <si>
    <t>-40 to 125</t>
  </si>
  <si>
    <t>6.5 x 6.4</t>
  </si>
  <si>
    <t>ACTIVE</t>
  </si>
  <si>
    <t>4.5-V to 24-V, synchronous dual-D-CAP2 buck controller with selectable switching frequency</t>
  </si>
  <si>
    <t>AC/DC &amp; DC/DC controllers (external FET)</t>
  </si>
  <si>
    <t>Catalog</t>
  </si>
  <si>
    <t>Buck</t>
  </si>
  <si>
    <t>TSSOP,VQFN</t>
  </si>
  <si>
    <t/>
  </si>
  <si>
    <t>-40 to 85</t>
  </si>
  <si>
    <t>16,49.92</t>
  </si>
  <si>
    <t>4 x 4,7.8 x 6.4</t>
  </si>
  <si>
    <t>1,1.2</t>
  </si>
  <si>
    <t>0.5,0.65</t>
  </si>
  <si>
    <t>ACTIVE</t>
  </si>
  <si>
    <t>4.5V to 18V Input, 3A Synchronous Step-Down Converter</t>
  </si>
  <si>
    <t>AC/DC &amp; DC/DC converters (integrated FET)</t>
  </si>
  <si>
    <t>Catalog</t>
  </si>
  <si>
    <t>Buck</t>
  </si>
  <si>
    <t>HTSSOP</t>
  </si>
  <si>
    <t/>
  </si>
  <si>
    <t>-40 to 85</t>
  </si>
  <si>
    <t>5 x 6.4</t>
  </si>
  <si>
    <t>ACTIVE</t>
  </si>
  <si>
    <t>3-V to 14-V, 10-A synchronous buck converter with D-CAP control</t>
  </si>
  <si>
    <t>AC/DC &amp; DC/DC controllers (external FET)</t>
  </si>
  <si>
    <t>Catalog</t>
  </si>
  <si>
    <t>Buck</t>
  </si>
  <si>
    <t>VQFN</t>
  </si>
  <si>
    <t/>
  </si>
  <si>
    <t>-40 to 125</t>
  </si>
  <si>
    <t>7 x 5</t>
  </si>
  <si>
    <t>ACTIVE</t>
  </si>
  <si>
    <t>4.5-V to 17-V, 6-A synchronous SWIFT™ buck converter</t>
  </si>
  <si>
    <t>AC/DC &amp; DC/DC converters (integrated FET)</t>
  </si>
  <si>
    <t>Catalog</t>
  </si>
  <si>
    <t>Buck</t>
  </si>
  <si>
    <t>VQFN</t>
  </si>
  <si>
    <t/>
  </si>
  <si>
    <t>-40 to 150</t>
  </si>
  <si>
    <t>3.5 x 3.5</t>
  </si>
  <si>
    <t>ACTIVE</t>
  </si>
  <si>
    <t>4-CH LCD Bias w/ GPM, VCOM, Reset, LCD Discharge, HVS, Ext. Isolation Switch &amp; LDO for Gamma</t>
  </si>
  <si>
    <t>LCD &amp; OLED display power &amp; drivers</t>
  </si>
  <si>
    <t>Catalog</t>
  </si>
  <si>
    <t>Boost</t>
  </si>
  <si>
    <t>VQFN</t>
  </si>
  <si>
    <t/>
  </si>
  <si>
    <t>-40 to 85</t>
  </si>
  <si>
    <t>5 x 5</t>
  </si>
  <si>
    <t>ACTIVE</t>
  </si>
  <si>
    <t>Dual 2 A, high-efficiency synchronous DC/DC converter</t>
  </si>
  <si>
    <t>AC/DC &amp; DC/DC converters (integrated FET)</t>
  </si>
  <si>
    <t>Catalog</t>
  </si>
  <si>
    <t>Buck</t>
  </si>
  <si>
    <t>HTSSOP,WQFN</t>
  </si>
  <si>
    <t/>
  </si>
  <si>
    <t>-40 to 125</t>
  </si>
  <si>
    <t>16,20</t>
  </si>
  <si>
    <t>16,41.6</t>
  </si>
  <si>
    <t>4 x 4,6.5 x 6.4</t>
  </si>
  <si>
    <t>0.8,1.2</t>
  </si>
  <si>
    <t>ACTIVE</t>
  </si>
  <si>
    <t>2.95V to 6V Input, 4A Synchronous Step-Down SWIFT&amp;trade; Converter</t>
  </si>
  <si>
    <t>AC/DC &amp; DC/DC converters (integrated FET)</t>
  </si>
  <si>
    <t>Catalog</t>
  </si>
  <si>
    <t>Buck</t>
  </si>
  <si>
    <t>WQFN</t>
  </si>
  <si>
    <t/>
  </si>
  <si>
    <t>-40 to 150</t>
  </si>
  <si>
    <t>3 x 3</t>
  </si>
  <si>
    <t>ACTIVE</t>
  </si>
  <si>
    <t>Automotive, low-voltage adjustable precision shunt regulator</t>
  </si>
  <si>
    <t>Shunt voltage references</t>
  </si>
  <si>
    <t>Automotive</t>
  </si>
  <si>
    <t>SOT-23</t>
  </si>
  <si>
    <t/>
  </si>
  <si>
    <t>-40 to 125</t>
  </si>
  <si>
    <t>2.9 x 2.8</t>
  </si>
  <si>
    <t>ACTIVE</t>
  </si>
  <si>
    <t>6-95V Wide Vin, 350mA Constant On-Time Non-Synchronous Buck Regulator</t>
  </si>
  <si>
    <t>AC/DC &amp; DC/DC converters (integrated FET)</t>
  </si>
  <si>
    <t>Catalog</t>
  </si>
  <si>
    <t>Buck</t>
  </si>
  <si>
    <t>VSSOP,WSON</t>
  </si>
  <si>
    <t/>
  </si>
  <si>
    <t>-40 to 125</t>
  </si>
  <si>
    <t>14.7,16</t>
  </si>
  <si>
    <t>3 x 4.9,4 x 4</t>
  </si>
  <si>
    <t>0.8,1.1</t>
  </si>
  <si>
    <t>0.65,0.8</t>
  </si>
  <si>
    <t>ACTIVE</t>
  </si>
  <si>
    <t>6-95V Wide Vin, 150mA Constant On-Time Non-Synchronous Buck Regulator</t>
  </si>
  <si>
    <t>AC/DC &amp; DC/DC converters (integrated FET)</t>
  </si>
  <si>
    <t>Catalog</t>
  </si>
  <si>
    <t>Buck</t>
  </si>
  <si>
    <t>VSSOP,WSON</t>
  </si>
  <si>
    <t/>
  </si>
  <si>
    <t>-40 to 125</t>
  </si>
  <si>
    <t>14.7,16</t>
  </si>
  <si>
    <t>3 x 4.9,4 x 4</t>
  </si>
  <si>
    <t>0.8,1.1</t>
  </si>
  <si>
    <t>0.65,0.8</t>
  </si>
  <si>
    <t>ACTIVE</t>
  </si>
  <si>
    <t>25-V, N channel NexFET™ power MOSFET, single SON 3 mm x 3 mm, 5.5 mOhm</t>
  </si>
  <si>
    <t>MOSFETs</t>
  </si>
  <si>
    <t>Catalog</t>
  </si>
  <si>
    <t>VSON-CLIP</t>
  </si>
  <si>
    <t/>
  </si>
  <si>
    <t>-55 to 150</t>
  </si>
  <si>
    <t>3.3 x 3.3</t>
  </si>
  <si>
    <t>ACTIVE</t>
  </si>
  <si>
    <t>3-V to 28-V, 20-A, synchronous D-CAP buck controller for notebook power</t>
  </si>
  <si>
    <t>AC/DC &amp; DC/DC controllers (external FET)</t>
  </si>
  <si>
    <t>Catalog</t>
  </si>
  <si>
    <t>Buck</t>
  </si>
  <si>
    <t>WSON</t>
  </si>
  <si>
    <t/>
  </si>
  <si>
    <t>-40 to 85</t>
  </si>
  <si>
    <t>3 x 3</t>
  </si>
  <si>
    <t>ACTIVE</t>
  </si>
  <si>
    <t>2-ch, 5.5-V, 0.5-A, 435-mΩ load switch with output discharge</t>
  </si>
  <si>
    <t>Load switches</t>
  </si>
  <si>
    <t>Catalog</t>
  </si>
  <si>
    <t>SOT-23,UQFN</t>
  </si>
  <si>
    <t/>
  </si>
  <si>
    <t>-40 to 85</t>
  </si>
  <si>
    <t>2.25,4.64</t>
  </si>
  <si>
    <t>1.5 x 1.5,2.9 x 1.6</t>
  </si>
  <si>
    <t>0.6,1.3</t>
  </si>
  <si>
    <t>0.5,0.65</t>
  </si>
  <si>
    <t>ACTIVE</t>
  </si>
  <si>
    <t>SMBus/I2C controlled WLED driver for Medium Sized LCD backlight</t>
  </si>
  <si>
    <t>Backlight LED drivers</t>
  </si>
  <si>
    <t>Catalog</t>
  </si>
  <si>
    <t>Boost,Current Sink</t>
  </si>
  <si>
    <t>WQFN</t>
  </si>
  <si>
    <t/>
  </si>
  <si>
    <t>-30 to 85</t>
  </si>
  <si>
    <t>4 x 4</t>
  </si>
  <si>
    <t>ACTIVE</t>
  </si>
  <si>
    <t>5V, 500mA, 4MHz Step-Up DC/DC Converter</t>
  </si>
  <si>
    <t>AC/DC &amp; DC/DC converters (integrated FET)</t>
  </si>
  <si>
    <t>Catalog</t>
  </si>
  <si>
    <t>Boost</t>
  </si>
  <si>
    <t>DSBGA</t>
  </si>
  <si>
    <t/>
  </si>
  <si>
    <t>-40 to 125</t>
  </si>
  <si>
    <t>1 x 1.4000000000000001</t>
  </si>
  <si>
    <t>ACTIVE</t>
  </si>
  <si>
    <t>Automotive, low-voltage adjustable precision shunt regulator</t>
  </si>
  <si>
    <t>Shunt voltage references</t>
  </si>
  <si>
    <t>Automotive</t>
  </si>
  <si>
    <t>SOT-23</t>
  </si>
  <si>
    <t/>
  </si>
  <si>
    <t>-40 to 125</t>
  </si>
  <si>
    <t>2.9 x 2.8</t>
  </si>
  <si>
    <t>ACTIVE</t>
  </si>
  <si>
    <t>White LED driver with PWM brightness control in 2mm x 2mm WSON Package. up to 10 LEDs in Series</t>
  </si>
  <si>
    <t>Backlight LED drivers</t>
  </si>
  <si>
    <t>Catalog</t>
  </si>
  <si>
    <t>Boost</t>
  </si>
  <si>
    <t>WSON</t>
  </si>
  <si>
    <t/>
  </si>
  <si>
    <t>-40 to 85</t>
  </si>
  <si>
    <t>2 x 2</t>
  </si>
  <si>
    <t>ACTIVE</t>
  </si>
  <si>
    <t>25-V, N channel NexFET™ power MOSFET, single SON 5 mm x 6 mm, 2.6 mOhm</t>
  </si>
  <si>
    <t>MOSFETs</t>
  </si>
  <si>
    <t>Catalog</t>
  </si>
  <si>
    <t>VSON-CLIP</t>
  </si>
  <si>
    <t/>
  </si>
  <si>
    <t>-55 to 150</t>
  </si>
  <si>
    <t>6 x 5</t>
  </si>
  <si>
    <t>ACTIVE</t>
  </si>
  <si>
    <t>Automotive, low-voltage adjustable precision shunt regulator (reverse pinout)</t>
  </si>
  <si>
    <t>Shunt voltage references</t>
  </si>
  <si>
    <t>Automotive</t>
  </si>
  <si>
    <t>SOT-23</t>
  </si>
  <si>
    <t/>
  </si>
  <si>
    <t>-40 to 125</t>
  </si>
  <si>
    <t>3,5</t>
  </si>
  <si>
    <t>6.9204,8.12</t>
  </si>
  <si>
    <t>2.9 x 2.8,2.92 x 2.37</t>
  </si>
  <si>
    <t>1.12,1.45</t>
  </si>
  <si>
    <t>0.95,0.96</t>
  </si>
  <si>
    <t>ACTIVE</t>
  </si>
  <si>
    <t>A flash LED driver with Automatic Vf and ESR Detection for Mobile Camera Systems</t>
  </si>
  <si>
    <t>Illumination  LED drivers</t>
  </si>
  <si>
    <t>Catalog</t>
  </si>
  <si>
    <t>Charge pump</t>
  </si>
  <si>
    <t>UQFN</t>
  </si>
  <si>
    <t/>
  </si>
  <si>
    <t>-30 to 85</t>
  </si>
  <si>
    <t>3 x 2.5</t>
  </si>
  <si>
    <t>ACTIVE</t>
  </si>
  <si>
    <t>2.3-V to 5.5-V input range, 3.5-MHz fixed frequency 450-mA boost converter</t>
  </si>
  <si>
    <t>AC/DC &amp; DC/DC converters (integrated FET)</t>
  </si>
  <si>
    <t>Catalog</t>
  </si>
  <si>
    <t>Boost</t>
  </si>
  <si>
    <t>DSBGA,WSON</t>
  </si>
  <si>
    <t/>
  </si>
  <si>
    <t>-40 to 125</t>
  </si>
  <si>
    <t>1.4000000000000001,4</t>
  </si>
  <si>
    <t>1 x 1.4000000000000001,2 x 2</t>
  </si>
  <si>
    <t>0.625,0.8</t>
  </si>
  <si>
    <t>0.4,0.65</t>
  </si>
  <si>
    <t>ACTIVE</t>
  </si>
  <si>
    <t>2 MHz Ultra Small Step Down Converter with DCS-Control in 1x1.5 SON Package</t>
  </si>
  <si>
    <t>AC/DC &amp; DC/DC converters (integrated FET)</t>
  </si>
  <si>
    <t>Catalog</t>
  </si>
  <si>
    <t>Buck</t>
  </si>
  <si>
    <t>USON</t>
  </si>
  <si>
    <t/>
  </si>
  <si>
    <t>-40 to 125</t>
  </si>
  <si>
    <t>1.45 x 1</t>
  </si>
  <si>
    <t>ACTIVE</t>
  </si>
  <si>
    <t>16-channel, 12-bit PWM LED driver, 6-bit dot correction with Auto Output Off function Removed</t>
  </si>
  <si>
    <t>LED display drivers</t>
  </si>
  <si>
    <t>Catalog</t>
  </si>
  <si>
    <t>HTSSOP</t>
  </si>
  <si>
    <t/>
  </si>
  <si>
    <t>-40 to 85</t>
  </si>
  <si>
    <t>9.7 x 6.4</t>
  </si>
  <si>
    <t>ACTIVE</t>
  </si>
  <si>
    <t>IEEE 802.3at, high efficiency, PoE interface and DC/DC controller</t>
  </si>
  <si>
    <t>Powered devices</t>
  </si>
  <si>
    <t>Catalog</t>
  </si>
  <si>
    <t>HTSSOP</t>
  </si>
  <si>
    <t/>
  </si>
  <si>
    <t>-40 to 125</t>
  </si>
  <si>
    <t>6.5 x 6.4</t>
  </si>
  <si>
    <t>ACTIVE</t>
  </si>
  <si>
    <t>IEEE 802.3at PoE interface and isolated converter controller</t>
  </si>
  <si>
    <t>Powered devices</t>
  </si>
  <si>
    <t>Catalog</t>
  </si>
  <si>
    <t>HTSSOP</t>
  </si>
  <si>
    <t/>
  </si>
  <si>
    <t>-40 to 125</t>
  </si>
  <si>
    <t>6.5 x 6.4</t>
  </si>
  <si>
    <t>ACTIVE</t>
  </si>
  <si>
    <t>40-V wide VIN low-side N-channel controller for switching regulators with 10-µA shutdown current</t>
  </si>
  <si>
    <t>AC/DC &amp; DC/DC controllers (external FET)</t>
  </si>
  <si>
    <t>Automotive</t>
  </si>
  <si>
    <t>Boost,Flyback,Forward,SEPIC</t>
  </si>
  <si>
    <t>VSSOP</t>
  </si>
  <si>
    <t/>
  </si>
  <si>
    <t>-40 to 125</t>
  </si>
  <si>
    <t>3 x 4.9</t>
  </si>
  <si>
    <t>ACTIVE</t>
  </si>
  <si>
    <t>40-V wide VIN low-side N-channel controller for switching regulators with 5-µA shutdown current</t>
  </si>
  <si>
    <t>AC/DC &amp; DC/DC controllers (external FET)</t>
  </si>
  <si>
    <t>Automotive</t>
  </si>
  <si>
    <t>Boost,Flyback,Forward,SEPIC</t>
  </si>
  <si>
    <t>VSSOP</t>
  </si>
  <si>
    <t/>
  </si>
  <si>
    <t>-40 to 125</t>
  </si>
  <si>
    <t>3 x 4.9</t>
  </si>
  <si>
    <t>ACTIVE</t>
  </si>
  <si>
    <t>1.5A Switching Regulator with High Efficiency Sleep Mode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</si>
  <si>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</si>
  <si>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</si>
  <si>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</si>
  <si>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</si>
  <si>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</si>
  <si>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</si>
  <si>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</si>
  <si>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</si>
  <si>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Automotive 1.5V to 6.5V, 3 Buck &amp; 3 LDO Power Management IC</t>
  </si>
  <si>
    <t>Multi-channel ICs (PMICs)</t>
  </si>
  <si>
    <t>Automotive</t>
  </si>
  <si>
    <t>VQFN,WQFN</t>
  </si>
  <si>
    <t/>
  </si>
  <si>
    <t>-40 to 125</t>
  </si>
  <si>
    <t>25,36</t>
  </si>
  <si>
    <t>5 x 5,6 x 6</t>
  </si>
  <si>
    <t>0.8,1</t>
  </si>
  <si>
    <t>0.4,0.5</t>
  </si>
  <si>
    <t>ACTIVE</t>
  </si>
  <si>
    <t>White LED driver with PWM brightness control in 2mm x 2mm Package. up to 10 LEDs in Series</t>
  </si>
  <si>
    <t>Backlight LED drivers</t>
  </si>
  <si>
    <t>Catalog</t>
  </si>
  <si>
    <t>Boost</t>
  </si>
  <si>
    <t>WSON</t>
  </si>
  <si>
    <t/>
  </si>
  <si>
    <t>-40 to 85</t>
  </si>
  <si>
    <t>2 x 2</t>
  </si>
  <si>
    <t>ACTIVE</t>
  </si>
  <si>
    <t>5-V, 0.5%, 50-ppm/°C automotive precision micropower shunt voltage reference</t>
  </si>
  <si>
    <t>Shunt voltage references</t>
  </si>
  <si>
    <t>Automotive</t>
  </si>
  <si>
    <t>SOT-23</t>
  </si>
  <si>
    <t/>
  </si>
  <si>
    <t>-40 to 125</t>
  </si>
  <si>
    <t>2.92 x 2.37</t>
  </si>
  <si>
    <t>ACTIVE</t>
  </si>
  <si>
    <t>Cascaded PWM controller with Ref pin Diable Option</t>
  </si>
  <si>
    <t>AC/DC &amp; DC/DC controllers (external FET)</t>
  </si>
  <si>
    <t>Catalog</t>
  </si>
  <si>
    <t>Push pull</t>
  </si>
  <si>
    <t>TSSOP</t>
  </si>
  <si>
    <t/>
  </si>
  <si>
    <t>-40 to 125</t>
  </si>
  <si>
    <t>5 x 6.4</t>
  </si>
  <si>
    <t>ACTIVE</t>
  </si>
  <si>
    <t>3-V to 20-V, 33mΩ, 1.8-5.5A eFuse</t>
  </si>
  <si>
    <t>eFuses (integrated hot swaps)</t>
  </si>
  <si>
    <t>Catalog</t>
  </si>
  <si>
    <t>HSOIC</t>
  </si>
  <si>
    <t/>
  </si>
  <si>
    <t>-40 to 125</t>
  </si>
  <si>
    <t>4.9 x 6</t>
  </si>
  <si>
    <t>ACTIVE</t>
  </si>
  <si>
    <t>3-V to 20-V, 33mΩ, 1.8-5.5A eFuse with thermal shutdown</t>
  </si>
  <si>
    <t>eFuses (integrated hot swaps)</t>
  </si>
  <si>
    <t>Catalog</t>
  </si>
  <si>
    <t>HSOIC</t>
  </si>
  <si>
    <t/>
  </si>
  <si>
    <t>-40 to 125</t>
  </si>
  <si>
    <t>4.9 x 6</t>
  </si>
  <si>
    <t>ACTIVE</t>
  </si>
  <si>
    <t>Enhanced Product 5.5V to 36V Input, 3A, 500kHz Step Down Converter</t>
  </si>
  <si>
    <t>AC/DC &amp; DC/DC converters (integrated FET)</t>
  </si>
  <si>
    <t>HiRel Enhanced Product</t>
  </si>
  <si>
    <t>Buck</t>
  </si>
  <si>
    <t>HSOIC</t>
  </si>
  <si>
    <t/>
  </si>
  <si>
    <t>-55 to 125</t>
  </si>
  <si>
    <t>4.9 x 6</t>
  </si>
  <si>
    <t>ACTIVE</t>
  </si>
  <si>
    <t>4.5-V to 13.2-V, 300 kHz synchronous buck controller with high current gate driver</t>
  </si>
  <si>
    <t>AC/DC &amp; DC/DC controllers (external FET)</t>
  </si>
  <si>
    <t>Catalog</t>
  </si>
  <si>
    <t>Buck</t>
  </si>
  <si>
    <t>VSON</t>
  </si>
  <si>
    <t/>
  </si>
  <si>
    <t>-40 to 85</t>
  </si>
  <si>
    <t>3 x 3</t>
  </si>
  <si>
    <t>ACTIVE</t>
  </si>
  <si>
    <t>24-ch 12-bit PWM LED driver w/7-bit dot correction 8-bit global brightness</t>
  </si>
  <si>
    <t>LED display drivers</t>
  </si>
  <si>
    <t>Catalog</t>
  </si>
  <si>
    <t>HTSSOP,VQFN,WQFN</t>
  </si>
  <si>
    <t/>
  </si>
  <si>
    <t>-40 to 85</t>
  </si>
  <si>
    <t>38,40</t>
  </si>
  <si>
    <t>36,101.25</t>
  </si>
  <si>
    <t>12.5 x 8.1,6 x 6</t>
  </si>
  <si>
    <t>0.8,1,1.2</t>
  </si>
  <si>
    <t>0.5,0.65</t>
  </si>
  <si>
    <t>ACTIVE</t>
  </si>
  <si>
    <t>Automotive, low-voltage adjustable precision shunt regulator</t>
  </si>
  <si>
    <t>Shunt voltage references</t>
  </si>
  <si>
    <t>Automotive</t>
  </si>
  <si>
    <t>SOT-23</t>
  </si>
  <si>
    <t/>
  </si>
  <si>
    <t>-40 to 125</t>
  </si>
  <si>
    <t>3,5</t>
  </si>
  <si>
    <t>6.9204,8.12</t>
  </si>
  <si>
    <t>2.9 x 2.8,2.92 x 2.37</t>
  </si>
  <si>
    <t>1.12,1.45</t>
  </si>
  <si>
    <t>0.95,0.96</t>
  </si>
  <si>
    <t>ACTIVE</t>
  </si>
  <si>
    <t>3.5V to 42V Input, 0.5A Step-Down Converter with Eco-Mode</t>
  </si>
  <si>
    <t>AC/DC &amp; DC/DC converters (integrated FET)</t>
  </si>
  <si>
    <t>Catalog</t>
  </si>
  <si>
    <t>Buck</t>
  </si>
  <si>
    <t>HVSSOP</t>
  </si>
  <si>
    <t/>
  </si>
  <si>
    <t>-40 to 150</t>
  </si>
  <si>
    <t>3 x 4.9</t>
  </si>
  <si>
    <t>ACTIVE</t>
  </si>
  <si>
    <t>6-42V Wide Vin, 2A Constant-On Time Buck Regulator with Adjustable Current Limit</t>
  </si>
  <si>
    <t>AC/DC &amp; DC/DC converters (integrated FET)</t>
  </si>
  <si>
    <t>Catalog</t>
  </si>
  <si>
    <t>Buck</t>
  </si>
  <si>
    <t>HVSSOP</t>
  </si>
  <si>
    <t/>
  </si>
  <si>
    <t>-40 to 125</t>
  </si>
  <si>
    <t>3 x 4.9</t>
  </si>
  <si>
    <t>ACTIVE</t>
  </si>
  <si>
    <t>Automotive 6-42V Wide Vin, 2A Constant-On Time Non-Synchronous Buck Regulator w/ Adj Current Limit</t>
  </si>
  <si>
    <t>AC/DC &amp; DC/DC converters (integrated FET)</t>
  </si>
  <si>
    <t>Automotive</t>
  </si>
  <si>
    <t>Buck</t>
  </si>
  <si>
    <t>HVSSOP</t>
  </si>
  <si>
    <t/>
  </si>
  <si>
    <t>-40 to 125</t>
  </si>
  <si>
    <t>3 x 4.9</t>
  </si>
  <si>
    <t>ACTIVE</t>
  </si>
  <si>
    <t>600-mA, 6-MHz, Vout 1.82V, 90% Efficiency Step-Down Converter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</si>
  <si>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</si>
  <si>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</si>
  <si>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</si>
  <si>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</si>
  <si>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</si>
  <si>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</si>
  <si>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</si>
  <si>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</si>
  <si>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2.25MHz 400mA Step-Down Converter with Selectable VOUT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</si>
  <si>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</si>
  <si>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</si>
  <si>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</si>
  <si>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</si>
  <si>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</si>
  <si>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</si>
  <si>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</si>
  <si>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</si>
  <si>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4.5-V, 0.1-A, 350-mΩ, load switch with current limit and LDO</t>
  </si>
  <si>
    <t>Load switches</t>
  </si>
  <si>
    <t>Catalog</t>
  </si>
  <si>
    <t>WSON</t>
  </si>
  <si>
    <t/>
  </si>
  <si>
    <t>-40 to 85</t>
  </si>
  <si>
    <t>3 x 3</t>
  </si>
  <si>
    <t>ACTIVE</t>
  </si>
  <si>
    <t>3-V to 15-V hot swap controller with Oring and Load current monitor</t>
  </si>
  <si>
    <t>Hot-swap controllers</t>
  </si>
  <si>
    <t>Catalog</t>
  </si>
  <si>
    <t>VQFN</t>
  </si>
  <si>
    <t/>
  </si>
  <si>
    <t>-40 to 85</t>
  </si>
  <si>
    <t>5 x 5</t>
  </si>
  <si>
    <t>ACTIVE</t>
  </si>
  <si>
    <t>3-V to 15-V hot swap controller with Oring and I2C</t>
  </si>
  <si>
    <t>Hot-swap controllers</t>
  </si>
  <si>
    <t>Catalog</t>
  </si>
  <si>
    <t>VQFN</t>
  </si>
  <si>
    <t/>
  </si>
  <si>
    <t>-40 to 85</t>
  </si>
  <si>
    <t>5 x 5</t>
  </si>
  <si>
    <t>ACTIVE</t>
  </si>
  <si>
    <t>3.5V to 60V Input, 0.5A Step-Down Converter with Eco-Mode</t>
  </si>
  <si>
    <t>AC/DC &amp; DC/DC converters (integrated FET)</t>
  </si>
  <si>
    <t>Catalog</t>
  </si>
  <si>
    <t>Buck</t>
  </si>
  <si>
    <t>HVSSOP,VSON</t>
  </si>
  <si>
    <t/>
  </si>
  <si>
    <t>-40 to 150</t>
  </si>
  <si>
    <t>9,14.7</t>
  </si>
  <si>
    <t>3 x 3,3 x 4.9</t>
  </si>
  <si>
    <t>1,1.1</t>
  </si>
  <si>
    <t>ACTIVE</t>
  </si>
  <si>
    <t>Fully Programmable Digital Power Controller with up to Two Regulated Outputs and Six DPWM Outputs</t>
  </si>
  <si>
    <t>AC/DC &amp; DC/DC controllers (external FET)</t>
  </si>
  <si>
    <t>Catalog</t>
  </si>
  <si>
    <t>VQFN</t>
  </si>
  <si>
    <t/>
  </si>
  <si>
    <t>-40 to 125</t>
  </si>
  <si>
    <t>7 x 7</t>
  </si>
  <si>
    <t>ACTIVE</t>
  </si>
  <si>
    <t>25-V, N channel NexFET™ power MOSFET, single SON 3 mm x 3 mm, 15 mOhm</t>
  </si>
  <si>
    <t>MOSFETs</t>
  </si>
  <si>
    <t>Catalog</t>
  </si>
  <si>
    <t>VSON-CLIP</t>
  </si>
  <si>
    <t/>
  </si>
  <si>
    <t>-55 to 150</t>
  </si>
  <si>
    <t>3.3 x 3.3</t>
  </si>
  <si>
    <t>ACTIVE</t>
  </si>
  <si>
    <t>25-V, N channel NexFET™ power MOSFET, single SON 5 mm x 6 mm, 2.6 mOhm</t>
  </si>
  <si>
    <t>MOSFETs</t>
  </si>
  <si>
    <t>Catalog</t>
  </si>
  <si>
    <t>VSON-CLIP</t>
  </si>
  <si>
    <t/>
  </si>
  <si>
    <t>-55 to 150</t>
  </si>
  <si>
    <t>6 x 5</t>
  </si>
  <si>
    <t>ACTIVE</t>
  </si>
  <si>
    <t>42V, 3A Step-Down Switching Regulator</t>
  </si>
  <si>
    <t>AC/DC &amp; DC/DC converters (integrated FET)</t>
  </si>
  <si>
    <t>Automotive</t>
  </si>
  <si>
    <t>HTSSOP</t>
  </si>
  <si>
    <t/>
  </si>
  <si>
    <t>-40 to 125</t>
  </si>
  <si>
    <t>6.5 x 6.4</t>
  </si>
  <si>
    <t>ACTIVE</t>
  </si>
  <si>
    <t>1.5-A, 17-Vin Step-Down Converter with LBI function in QFN-16</t>
  </si>
  <si>
    <t>AC/DC &amp; DC/DC converters (integrated FET)</t>
  </si>
  <si>
    <t>Catalog</t>
  </si>
  <si>
    <t>Buck</t>
  </si>
  <si>
    <t>VQFN</t>
  </si>
  <si>
    <t/>
  </si>
  <si>
    <t>-40 to 85</t>
  </si>
  <si>
    <t>4 x 4</t>
  </si>
  <si>
    <t>ACTIVE</t>
  </si>
  <si>
    <t>2.2-V Output, 400-mA, 95% Efficient Step-Down Converter, 15uA, ThinSOT-23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</si>
  <si>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</si>
  <si>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</si>
  <si>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</si>
  <si>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</si>
  <si>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</si>
  <si>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</si>
  <si>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</si>
  <si>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</si>
  <si>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2.95-5.5V, 6A, Current Mode Synchronous Buck Regulator with  Input Synchronization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</si>
  <si>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</si>
  <si>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</si>
  <si>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</si>
  <si>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</si>
  <si>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</si>
  <si>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</si>
  <si>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</si>
  <si>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</si>
  <si>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6A, Adjustable Frequency Synchronous Buck  Regulator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</si>
  <si>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</si>
  <si>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</si>
  <si>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</si>
  <si>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</si>
  <si>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</si>
  <si>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</si>
  <si>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</si>
  <si>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</si>
  <si>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42V, 0.5A Step-Down Switching Regulator</t>
  </si>
  <si>
    <t>AC/DC &amp; DC/DC converters (integrated FET)</t>
  </si>
  <si>
    <t>Automotive</t>
  </si>
  <si>
    <t>Buck</t>
  </si>
  <si>
    <t>TSSOP</t>
  </si>
  <si>
    <t/>
  </si>
  <si>
    <t>-40 to 125</t>
  </si>
  <si>
    <t>5 x 6.4</t>
  </si>
  <si>
    <t>ACTIVE</t>
  </si>
  <si>
    <t>42V, 1.5A Step-Down Switching Regulator</t>
  </si>
  <si>
    <t>AC/DC &amp; DC/DC converters (integrated FET)</t>
  </si>
  <si>
    <t>Automotive</t>
  </si>
  <si>
    <t>Buck</t>
  </si>
  <si>
    <t>HTSSOP</t>
  </si>
  <si>
    <t/>
  </si>
  <si>
    <t>-40 to 125</t>
  </si>
  <si>
    <t>5 x 6.4</t>
  </si>
  <si>
    <t>ACTIVE</t>
  </si>
  <si>
    <t>8-bit Fast-Mode Plus (FM+) I2C-Bus LED driver</t>
  </si>
  <si>
    <t>RGB LED drivers</t>
  </si>
  <si>
    <t>Catalog</t>
  </si>
  <si>
    <t>Current Sink,Linear</t>
  </si>
  <si>
    <t>TSSOP,VQFN</t>
  </si>
  <si>
    <t/>
  </si>
  <si>
    <t>-40 to 85</t>
  </si>
  <si>
    <t>14,32</t>
  </si>
  <si>
    <t>4 x 3.5,5 x 6.4</t>
  </si>
  <si>
    <t>1,1.2</t>
  </si>
  <si>
    <t>0.5,0.65</t>
  </si>
  <si>
    <t>ACTIVE</t>
  </si>
  <si>
    <t>4.5-42V Wide Vin, Constant On-Time Non-Synchronous PFET Buck Controller with 0.9V Reference</t>
  </si>
  <si>
    <t>AC/DC &amp; DC/DC controllers (external FET)</t>
  </si>
  <si>
    <t>Catalog</t>
  </si>
  <si>
    <t>Buck Controller</t>
  </si>
  <si>
    <t>HVSSOP,VSSOP,WSON</t>
  </si>
  <si>
    <t/>
  </si>
  <si>
    <t>-40 to 125</t>
  </si>
  <si>
    <t>9,14.7</t>
  </si>
  <si>
    <t>3 x 3,3 x 4.9</t>
  </si>
  <si>
    <t>0.8,1.1</t>
  </si>
  <si>
    <t>0.5,0.65</t>
  </si>
  <si>
    <t>ACTIVE</t>
  </si>
  <si>
    <t>Triac dimmable offline LED driver</t>
  </si>
  <si>
    <t>Illumination  LED drivers</t>
  </si>
  <si>
    <t>Catalog</t>
  </si>
  <si>
    <t>Buck,Flyback</t>
  </si>
  <si>
    <t>SOIC,VSSOP</t>
  </si>
  <si>
    <t/>
  </si>
  <si>
    <t>-40 to 125</t>
  </si>
  <si>
    <t>10,14</t>
  </si>
  <si>
    <t>14.7,51.9</t>
  </si>
  <si>
    <t>3 x 4.9,8.65 x 6</t>
  </si>
  <si>
    <t>1.1,1.75</t>
  </si>
  <si>
    <t>0.5,1.27</t>
  </si>
  <si>
    <t>ACTIVE</t>
  </si>
  <si>
    <t>25-V, N channel NexFET™ power MOSFET, single SON 5 mm x 6 mm, 2.3 mOhm</t>
  </si>
  <si>
    <t>MOSFETs</t>
  </si>
  <si>
    <t>Catalog</t>
  </si>
  <si>
    <t>VSON-CLIP</t>
  </si>
  <si>
    <t/>
  </si>
  <si>
    <t>-55 to 150</t>
  </si>
  <si>
    <t>6 x 5</t>
  </si>
  <si>
    <t>ACTIVE</t>
  </si>
  <si>
    <t>25-V, N channel NexFET™ power MOSFET, single SON 5 mm x 6 mm, 3.7 mOhm</t>
  </si>
  <si>
    <t>MOSFETs</t>
  </si>
  <si>
    <t>Catalog</t>
  </si>
  <si>
    <t>VSONP</t>
  </si>
  <si>
    <t/>
  </si>
  <si>
    <t>-55 to 150</t>
  </si>
  <si>
    <t>4.9 x 6</t>
  </si>
  <si>
    <t>ACTIVE</t>
  </si>
  <si>
    <t>25-V, N channel NexFET™ power MOSFET, single SON 5 mm x 6 mm, 7.2 mOhm</t>
  </si>
  <si>
    <t>MOSFETs</t>
  </si>
  <si>
    <t>Catalog</t>
  </si>
  <si>
    <t>VSONP</t>
  </si>
  <si>
    <t/>
  </si>
  <si>
    <t>-55 to 150</t>
  </si>
  <si>
    <t>4.9 x 6</t>
  </si>
  <si>
    <t>ACTIVE</t>
  </si>
  <si>
    <t>25-V, N channel NexFET™ power MOSFET, single SON 3 mm x 3 mm, 7.4 mOhm</t>
  </si>
  <si>
    <t>MOSFETs</t>
  </si>
  <si>
    <t>Catalog</t>
  </si>
  <si>
    <t>VSON-CLIP</t>
  </si>
  <si>
    <t/>
  </si>
  <si>
    <t>-55 to 150</t>
  </si>
  <si>
    <t>3.3 x 3.3</t>
  </si>
  <si>
    <t>ACTIVE</t>
  </si>
  <si>
    <t>25-V, N channel NexFET™ power MOSFET, single SON 5 mm x 6 mm, 3.3 mOhm</t>
  </si>
  <si>
    <t>MOSFETs</t>
  </si>
  <si>
    <t>Catalog</t>
  </si>
  <si>
    <t>VSON-CLIP</t>
  </si>
  <si>
    <t/>
  </si>
  <si>
    <t>-55 to 150</t>
  </si>
  <si>
    <t>6 x 5</t>
  </si>
  <si>
    <t>ACTIVE</t>
  </si>
  <si>
    <t>25-V, N channel NexFET™ power MOSFET, single SON 3 mm x 3 mm, 12.4 mOhm</t>
  </si>
  <si>
    <t>MOSFETs</t>
  </si>
  <si>
    <t>Catalog</t>
  </si>
  <si>
    <t>VSON-CLIP</t>
  </si>
  <si>
    <t/>
  </si>
  <si>
    <t>-55 to 150</t>
  </si>
  <si>
    <t>3.3 x 3.3</t>
  </si>
  <si>
    <t>ACTIVE</t>
  </si>
  <si>
    <t>25-V, N channel NexFET™ power MOSFET, single SON 5 mm x 6 mm, 12 mOhm</t>
  </si>
  <si>
    <t>MOSFETs</t>
  </si>
  <si>
    <t>Catalog</t>
  </si>
  <si>
    <t>VSONP</t>
  </si>
  <si>
    <t/>
  </si>
  <si>
    <t>-55 to 150</t>
  </si>
  <si>
    <t>4.9 x 6</t>
  </si>
  <si>
    <t>ACTIVE</t>
  </si>
  <si>
    <t>25-V, N channel NexFET™ power MOSFET, single SON 5 mm x 6 mm, 16 mOhm</t>
  </si>
  <si>
    <t>MOSFETs</t>
  </si>
  <si>
    <t>Catalog</t>
  </si>
  <si>
    <t>VSONP</t>
  </si>
  <si>
    <t/>
  </si>
  <si>
    <t>-55 to 150</t>
  </si>
  <si>
    <t>4.9 x 6</t>
  </si>
  <si>
    <t>ACTIVE</t>
  </si>
  <si>
    <t>25-V, N channel NexFET™ power MOSFET, single SON 5 mm x 6 mm, 5.6 mOhm</t>
  </si>
  <si>
    <t>MOSFETs</t>
  </si>
  <si>
    <t>Catalog</t>
  </si>
  <si>
    <t>VSONP</t>
  </si>
  <si>
    <t/>
  </si>
  <si>
    <t>-55 to 150</t>
  </si>
  <si>
    <t>4.9 x 6</t>
  </si>
  <si>
    <t>ACTIVE</t>
  </si>
  <si>
    <t>0.7-VIN, adjustable output voltage boost converter with 5.5-μA quiescent current</t>
  </si>
  <si>
    <t>AC/DC &amp; DC/DC converters (integrated FET)</t>
  </si>
  <si>
    <t>Catalog</t>
  </si>
  <si>
    <t>Boost</t>
  </si>
  <si>
    <t>SOT-SC70</t>
  </si>
  <si>
    <t/>
  </si>
  <si>
    <t>-40 to 125</t>
  </si>
  <si>
    <t>2 x 2.1</t>
  </si>
  <si>
    <t>ACTIVE</t>
  </si>
  <si>
    <t>0.7-VIN, 3.3-V fixed output voltage boost converter with 5.5-μA quiescent current</t>
  </si>
  <si>
    <t>AC/DC &amp; DC/DC converters (integrated FET)</t>
  </si>
  <si>
    <t>Catalog</t>
  </si>
  <si>
    <t>Boost</t>
  </si>
  <si>
    <t>SOT-SC70</t>
  </si>
  <si>
    <t/>
  </si>
  <si>
    <t>-40 to 125</t>
  </si>
  <si>
    <t>2 x 2.1</t>
  </si>
  <si>
    <t>ACTIVE</t>
  </si>
  <si>
    <t>0.7-VIN, 5-V fixed output voltage boost converter with 5.5-μA quiescent current</t>
  </si>
  <si>
    <t>AC/DC &amp; DC/DC converters (integrated FET)</t>
  </si>
  <si>
    <t>Catalog</t>
  </si>
  <si>
    <t>Boost</t>
  </si>
  <si>
    <t>SOT-SC70</t>
  </si>
  <si>
    <t/>
  </si>
  <si>
    <t>-40 to 125</t>
  </si>
  <si>
    <t>2 x 2.1</t>
  </si>
  <si>
    <t>ACTIVE</t>
  </si>
  <si>
    <t>2.25MHz, 1A Step-Down Converter in 2 x 2 SON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</si>
  <si>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</si>
  <si>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</si>
  <si>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</si>
  <si>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</si>
  <si>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</si>
  <si>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</si>
  <si>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</si>
  <si>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</si>
  <si>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250-mA, low-IQ, low-dropout voltage regulator with enable</t>
  </si>
  <si>
    <t>Linear &amp; low-dropout (LDO) regulators</t>
  </si>
  <si>
    <t>Catalog</t>
  </si>
  <si>
    <t>SOT-23-THN,WSON</t>
  </si>
  <si>
    <t/>
  </si>
  <si>
    <t>-40 to 125</t>
  </si>
  <si>
    <t>5,6</t>
  </si>
  <si>
    <t>4,8.12</t>
  </si>
  <si>
    <t>2 x 2,2.9 x 2.8</t>
  </si>
  <si>
    <t>0.8,1.1</t>
  </si>
  <si>
    <t>0.65,0.95</t>
  </si>
  <si>
    <t>ACTIVE</t>
  </si>
  <si>
    <t>3-V to 20-V, 30mΩ, 1-5A eFuse</t>
  </si>
  <si>
    <t>eFuses (integrated hot swaps)</t>
  </si>
  <si>
    <t>Catalog</t>
  </si>
  <si>
    <t>VQFN</t>
  </si>
  <si>
    <t/>
  </si>
  <si>
    <t>-40 to 125</t>
  </si>
  <si>
    <t>4 x 4</t>
  </si>
  <si>
    <t>ACTIVE</t>
  </si>
  <si>
    <t>3-V to 20-V, voltage mode synchronous buck controller with DCR current sensing</t>
  </si>
  <si>
    <t>AC/DC &amp; DC/DC controllers (external FET)</t>
  </si>
  <si>
    <t>Catalog</t>
  </si>
  <si>
    <t>Buck</t>
  </si>
  <si>
    <t>HTSSOP,WQFN</t>
  </si>
  <si>
    <t/>
  </si>
  <si>
    <t>-40 to 125</t>
  </si>
  <si>
    <t>16,32</t>
  </si>
  <si>
    <t>4 x 4,5 x 6.4</t>
  </si>
  <si>
    <t>0.8,1.2</t>
  </si>
  <si>
    <t>ACTIVE</t>
  </si>
  <si>
    <t>40A, 8V to 14V Input, 3V to 5.25V Output, Non-Isolated, Power Module with TurboTrans</t>
  </si>
  <si>
    <t>Power modules (integrated inductor)</t>
  </si>
  <si>
    <t>Catalog</t>
  </si>
  <si>
    <t>Buck</t>
  </si>
  <si>
    <t>DIPMODULE</t>
  </si>
  <si>
    <t/>
  </si>
  <si>
    <t>-40 to 85</t>
  </si>
  <si>
    <t>39.62 x 26.92</t>
  </si>
  <si>
    <t>ACTIVE</t>
  </si>
  <si>
    <t>3.5V to 28V Input, 3.5A, 1MHz Step-Down Converter with Eco-mode</t>
  </si>
  <si>
    <t>AC/DC &amp; DC/DC converters (integrated FET)</t>
  </si>
  <si>
    <t>Catalog</t>
  </si>
  <si>
    <t>Buck</t>
  </si>
  <si>
    <t>HSOIC</t>
  </si>
  <si>
    <t/>
  </si>
  <si>
    <t>-40 to 150</t>
  </si>
  <si>
    <t>4.9 x 6</t>
  </si>
  <si>
    <t>ACTIVE</t>
  </si>
  <si>
    <t>Synchronous boost converter with 500 mA high side LED driver and dual-Mode control interface</t>
  </si>
  <si>
    <t>Illumination  LED drivers</t>
  </si>
  <si>
    <t>Catalog</t>
  </si>
  <si>
    <t>Boost,current mode</t>
  </si>
  <si>
    <t>DSBGA</t>
  </si>
  <si>
    <t/>
  </si>
  <si>
    <t>-30 to 85</t>
  </si>
  <si>
    <t>2.25 x 1.75</t>
  </si>
  <si>
    <t>ACTIVE</t>
  </si>
  <si>
    <t>8-bit Fast Mode Plus (FM+) I2C Bus constant-current LED sink driver</t>
  </si>
  <si>
    <t>RGB LED drivers</t>
  </si>
  <si>
    <t>Catalog</t>
  </si>
  <si>
    <t>Linear</t>
  </si>
  <si>
    <t>TSSOP,VQFN</t>
  </si>
  <si>
    <t/>
  </si>
  <si>
    <t>-40 to 85</t>
  </si>
  <si>
    <t>15.75,41.6</t>
  </si>
  <si>
    <t>4.5 x 3.5,6.5 x 6.4</t>
  </si>
  <si>
    <t>1,1.2</t>
  </si>
  <si>
    <t>0.5,0.65</t>
  </si>
  <si>
    <t>ACTIVE</t>
  </si>
  <si>
    <t>8-bit Fast-Mode Plus (FM+)  I2C-Bus LED driver</t>
  </si>
  <si>
    <t>RGB LED drivers</t>
  </si>
  <si>
    <t>Catalog</t>
  </si>
  <si>
    <t>Current Sink,Linear</t>
  </si>
  <si>
    <t>TSSOP</t>
  </si>
  <si>
    <t/>
  </si>
  <si>
    <t>-40 to 85</t>
  </si>
  <si>
    <t>6.5 x 6.4</t>
  </si>
  <si>
    <t>ACTIVE</t>
  </si>
  <si>
    <t>8-bit DMOS sink driver with Latch</t>
  </si>
  <si>
    <t>RGB LED drivers</t>
  </si>
  <si>
    <t>Catalog</t>
  </si>
  <si>
    <t>Current Sink</t>
  </si>
  <si>
    <t>PDIP,TSSOP</t>
  </si>
  <si>
    <t/>
  </si>
  <si>
    <t>-40 to 85</t>
  </si>
  <si>
    <t>41.6,228.702</t>
  </si>
  <si>
    <t>24.33 x 9.4,6.5 x 6.4</t>
  </si>
  <si>
    <t>1.2,5.08</t>
  </si>
  <si>
    <t>0.65,2.54</t>
  </si>
  <si>
    <t>ACTIVE</t>
  </si>
  <si>
    <t>8-bit DMOS sink driver</t>
  </si>
  <si>
    <t>RGB LED drivers</t>
  </si>
  <si>
    <t>Catalog</t>
  </si>
  <si>
    <t>Current Sink</t>
  </si>
  <si>
    <t>PDIP,TSSOP</t>
  </si>
  <si>
    <t/>
  </si>
  <si>
    <t>-40 to 85</t>
  </si>
  <si>
    <t>41.6,228.702</t>
  </si>
  <si>
    <t>24.33 x 9.4,6.5 x 6.4</t>
  </si>
  <si>
    <t>1.2,5.08</t>
  </si>
  <si>
    <t>0.65,2.54</t>
  </si>
  <si>
    <t>ACTIVE</t>
  </si>
  <si>
    <t>8-bit open-collector driver with Latch</t>
  </si>
  <si>
    <t>RGB LED drivers</t>
  </si>
  <si>
    <t>Catalog</t>
  </si>
  <si>
    <t>Current Sink</t>
  </si>
  <si>
    <t>TSSOP</t>
  </si>
  <si>
    <t/>
  </si>
  <si>
    <t>-40 to 85</t>
  </si>
  <si>
    <t>6.5 x 6.4</t>
  </si>
  <si>
    <t>ACTIVE</t>
  </si>
  <si>
    <t>8-channel source driver with Latch</t>
  </si>
  <si>
    <t>RGB LED drivers</t>
  </si>
  <si>
    <t>Catalog</t>
  </si>
  <si>
    <t>Linear</t>
  </si>
  <si>
    <t>PDIP,TSSOP</t>
  </si>
  <si>
    <t/>
  </si>
  <si>
    <t>-40 to 85</t>
  </si>
  <si>
    <t>41.6,228.702</t>
  </si>
  <si>
    <t>24.33 x 9.4,6.5 x 6.4</t>
  </si>
  <si>
    <t>1.2,5.08</t>
  </si>
  <si>
    <t>0.65,2.54</t>
  </si>
  <si>
    <t>ACTIVE</t>
  </si>
  <si>
    <t>Automotive catalog 16 channel LED driver with dot correction and grayscale PWM control</t>
  </si>
  <si>
    <t>Automotive LED drivers</t>
  </si>
  <si>
    <t>Automotive</t>
  </si>
  <si>
    <t>Current Sink</t>
  </si>
  <si>
    <t>HTSSOP</t>
  </si>
  <si>
    <t/>
  </si>
  <si>
    <t>-40 to 125</t>
  </si>
  <si>
    <t>9.7 x 6.4</t>
  </si>
  <si>
    <t>ACTIVE</t>
  </si>
  <si>
    <t>Automotive, low-noise, very-low drift, precision 2.5-V series voltage reference</t>
  </si>
  <si>
    <t>Series voltage references</t>
  </si>
  <si>
    <t>Automotive</t>
  </si>
  <si>
    <t>SOIC</t>
  </si>
  <si>
    <t>Functional Safety-Capable</t>
  </si>
  <si>
    <t>-40 to 125</t>
  </si>
  <si>
    <t>4.9 x 6</t>
  </si>
  <si>
    <t>ACTIVE</t>
  </si>
  <si>
    <t>Automotive, low-noise, very-low drift, precision 4.5-V series voltage reference</t>
  </si>
  <si>
    <t>Series voltage references</t>
  </si>
  <si>
    <t>Automotive</t>
  </si>
  <si>
    <t>SOIC</t>
  </si>
  <si>
    <t>Functional Safety-Capable</t>
  </si>
  <si>
    <t>-40 to 125</t>
  </si>
  <si>
    <t>4.9 x 6</t>
  </si>
  <si>
    <t>ACTIVE</t>
  </si>
  <si>
    <t>3-V to 28-V, synchronous peak current mode buck controller for notebook power in RSN/RTV package</t>
  </si>
  <si>
    <t>AC/DC &amp; DC/DC controllers (external FET)</t>
  </si>
  <si>
    <t>Catalog</t>
  </si>
  <si>
    <t>Buck</t>
  </si>
  <si>
    <t>WQFN</t>
  </si>
  <si>
    <t/>
  </si>
  <si>
    <t>-40 to 85</t>
  </si>
  <si>
    <t>16,25</t>
  </si>
  <si>
    <t>4 x 4,5 x 5</t>
  </si>
  <si>
    <t>0.4,0.5</t>
  </si>
  <si>
    <t>ACTIVE</t>
  </si>
  <si>
    <t>2.8-V to 5.5-V, 84-m&amp;Omega;, 1.25-A, automotive power mux with manual, automatic switchover and s</t>
  </si>
  <si>
    <t>Power muxes</t>
  </si>
  <si>
    <t>Automotive</t>
  </si>
  <si>
    <t>TSSOP</t>
  </si>
  <si>
    <t/>
  </si>
  <si>
    <t>-40 to 85</t>
  </si>
  <si>
    <t>3 x 6.4</t>
  </si>
  <si>
    <t>ACTIVE</t>
  </si>
  <si>
    <t>5.5-V, 0.1-A, 500-mΩ, load switch with current limit and active low enable</t>
  </si>
  <si>
    <t>Load switches</t>
  </si>
  <si>
    <t>Catalog</t>
  </si>
  <si>
    <t>SOT-SC70</t>
  </si>
  <si>
    <t/>
  </si>
  <si>
    <t>-40 to 85</t>
  </si>
  <si>
    <t>2 x 2.1</t>
  </si>
  <si>
    <t>ACTIVE</t>
  </si>
  <si>
    <t>65kHz CCM PFC controller with Enhanced Start-up and Transient Response</t>
  </si>
  <si>
    <t>AC/DC &amp; DC/DC controllers (external FET)</t>
  </si>
  <si>
    <t>Catalog</t>
  </si>
  <si>
    <t>Boost,PFC controller</t>
  </si>
  <si>
    <t>SOIC</t>
  </si>
  <si>
    <t/>
  </si>
  <si>
    <t>-40 to 125</t>
  </si>
  <si>
    <t>4.9 x 6</t>
  </si>
  <si>
    <t>ACTIVE</t>
  </si>
  <si>
    <t>110-V active clamp current mode PWM controller with P-channel clamp FET and line OV protection</t>
  </si>
  <si>
    <t>AC/DC &amp; DC/DC controllers (external FET)</t>
  </si>
  <si>
    <t>Catalog</t>
  </si>
  <si>
    <t>Active-clamp forward</t>
  </si>
  <si>
    <t>TSSOP,VQFN</t>
  </si>
  <si>
    <t/>
  </si>
  <si>
    <t>-40 to 125</t>
  </si>
  <si>
    <t>16,41.6</t>
  </si>
  <si>
    <t>4 x 4,6.5 x 6.4</t>
  </si>
  <si>
    <t>1,1.2</t>
  </si>
  <si>
    <t>0.5,0.65</t>
  </si>
  <si>
    <t>ACTIVE</t>
  </si>
  <si>
    <t>10A, 2.2V to 5.5V Input, Power Module for 3-GHz DSP Systems</t>
  </si>
  <si>
    <t>Power modules (integrated inductor)</t>
  </si>
  <si>
    <t>Catalog</t>
  </si>
  <si>
    <t>Buck</t>
  </si>
  <si>
    <t>DIPMODULE</t>
  </si>
  <si>
    <t/>
  </si>
  <si>
    <t>-40 to 85</t>
  </si>
  <si>
    <t>23.11 x 16.76</t>
  </si>
  <si>
    <t>ACTIVE</t>
  </si>
  <si>
    <t>140mA, 5V Charge Pump in 2x2 SON</t>
  </si>
  <si>
    <t>AC/DC &amp; DC/DC converters (integrated FET)</t>
  </si>
  <si>
    <t>Catalog</t>
  </si>
  <si>
    <t>WSON</t>
  </si>
  <si>
    <t/>
  </si>
  <si>
    <t>-40 to 85</t>
  </si>
  <si>
    <t>2 x 2</t>
  </si>
  <si>
    <t>ACTIVE</t>
  </si>
  <si>
    <t>Automotive 1A ultra-low-dropout voltage regulator with reverse current protection and enable</t>
  </si>
  <si>
    <t>Linear &amp; low-dropout (LDO) regulators</t>
  </si>
  <si>
    <t>Automotive</t>
  </si>
  <si>
    <t>VSON</t>
  </si>
  <si>
    <t/>
  </si>
  <si>
    <t>-40 to 125</t>
  </si>
  <si>
    <t>3 x 3</t>
  </si>
  <si>
    <t>ACTIVE</t>
  </si>
  <si>
    <t>2.25MHz 600mA Step-Down Converter in 2x2mm SON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</si>
  <si>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</si>
  <si>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</si>
  <si>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</si>
  <si>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</si>
  <si>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</si>
  <si>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</si>
  <si>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</si>
  <si>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</si>
  <si>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3.5-V to 28-V input, 2-A step-down converter with eco-mode</t>
  </si>
  <si>
    <t>AC/DC &amp; DC/DC converters (integrated FET)</t>
  </si>
  <si>
    <t>Catalog</t>
  </si>
  <si>
    <t>Buck</t>
  </si>
  <si>
    <t>SOIC</t>
  </si>
  <si>
    <t/>
  </si>
  <si>
    <t>-40 to 150</t>
  </si>
  <si>
    <t>4.9 x 6</t>
  </si>
  <si>
    <t>ACTIVE</t>
  </si>
  <si>
    <t>Configurable integrated power management (PMIC) with 3 DC/DC converters and 3 LDOs</t>
  </si>
  <si>
    <t>Multi-channel ICs (PMICs)</t>
  </si>
  <si>
    <t>Catalog</t>
  </si>
  <si>
    <t>VQFN</t>
  </si>
  <si>
    <t/>
  </si>
  <si>
    <t>-40 to 85</t>
  </si>
  <si>
    <t>5 x 5</t>
  </si>
  <si>
    <t>ACTIVE</t>
  </si>
  <si>
    <t>80-mA 24-V ultra-low-IQ low-dropout (LDO) voltage regulator</t>
  </si>
  <si>
    <t>Linear &amp; low-dropout (LDO) regulators</t>
  </si>
  <si>
    <t>Catalog</t>
  </si>
  <si>
    <t>SOT-SC70,WSON</t>
  </si>
  <si>
    <t/>
  </si>
  <si>
    <t>-40 to 125</t>
  </si>
  <si>
    <t>5,6</t>
  </si>
  <si>
    <t>4,4.2</t>
  </si>
  <si>
    <t>2 x 2,2 x 2.1</t>
  </si>
  <si>
    <t>0.8,1.1</t>
  </si>
  <si>
    <t>ACTIVE</t>
  </si>
  <si>
    <t>12-65W green-mode Flyback power supply controller</t>
  </si>
  <si>
    <t>AC/DC &amp; DC/DC controllers (external FET)</t>
  </si>
  <si>
    <t>Catalog</t>
  </si>
  <si>
    <t>Flyback</t>
  </si>
  <si>
    <t>SOIC</t>
  </si>
  <si>
    <t/>
  </si>
  <si>
    <t>-40 to 125</t>
  </si>
  <si>
    <t>4.9 x 6</t>
  </si>
  <si>
    <t>ACTIVE</t>
  </si>
  <si>
    <t>SIMPLE SWITCHER&amp;reg; 4.5V to 42V, 2A Step-Down DC/DC Switching Regulator with Precision Enable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</si>
  <si>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</si>
  <si>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</si>
  <si>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</si>
  <si>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</si>
  <si>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</si>
  <si>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</si>
  <si>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</si>
  <si>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</si>
  <si>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5.5-V, 0.1-A, 500-mΩ, load switch with current limit, active high enable, and blanking</t>
  </si>
  <si>
    <t>Load switches</t>
  </si>
  <si>
    <t>Catalog</t>
  </si>
  <si>
    <t>SOT-SC70</t>
  </si>
  <si>
    <t/>
  </si>
  <si>
    <t>-40 to 85</t>
  </si>
  <si>
    <t>2 x 2.1</t>
  </si>
  <si>
    <t>ACTIVE</t>
  </si>
  <si>
    <t>0.075-1.7A adj. ILIMIT,  2.5-6.5V, 85mΩ USB power switch, active-low, reverse blocking</t>
  </si>
  <si>
    <t>USB power switches &amp; charging port controllers</t>
  </si>
  <si>
    <t>Catalog</t>
  </si>
  <si>
    <t>SOT-23,WSON</t>
  </si>
  <si>
    <t/>
  </si>
  <si>
    <t>-40 to 125</t>
  </si>
  <si>
    <t>4,8.12</t>
  </si>
  <si>
    <t>2 x 2,2.9 x 2.8</t>
  </si>
  <si>
    <t>0.8,1.45</t>
  </si>
  <si>
    <t>0.65,0.95</t>
  </si>
  <si>
    <t>ACTIVE</t>
  </si>
  <si>
    <t>0.075-1.7A adj. ILIMIT,  2.5-6.5V, 85mΩ USB power switch, active-low, latch-off, reverse blocking</t>
  </si>
  <si>
    <t>USB power switches &amp; charging port controllers</t>
  </si>
  <si>
    <t>Catalog</t>
  </si>
  <si>
    <t>SOT-23,WSON</t>
  </si>
  <si>
    <t/>
  </si>
  <si>
    <t>-40 to 125</t>
  </si>
  <si>
    <t>4,8.12</t>
  </si>
  <si>
    <t>2 x 2,2.9 x 2.8</t>
  </si>
  <si>
    <t>0.8,1.45</t>
  </si>
  <si>
    <t>0.65,0.95</t>
  </si>
  <si>
    <t>ACTIVE</t>
  </si>
  <si>
    <t>0.075-1.7A adj. ILIMIT,  2.5-6.5V, 85mΩ USB power switch, active-high, reverse blocking</t>
  </si>
  <si>
    <t>USB power switches &amp; charging port controllers</t>
  </si>
  <si>
    <t>Catalog</t>
  </si>
  <si>
    <t>SOT-23,WSON</t>
  </si>
  <si>
    <t/>
  </si>
  <si>
    <t>-40 to 125</t>
  </si>
  <si>
    <t>4,8.12</t>
  </si>
  <si>
    <t>2 x 2,2.9 x 2.8</t>
  </si>
  <si>
    <t>0.8,1.45</t>
  </si>
  <si>
    <t>0.65,0.95</t>
  </si>
  <si>
    <t>ACTIVE</t>
  </si>
  <si>
    <t>0.075-1.7A adj. ILIMIT,  2.5-6.5V, 85mΩ USB power switch, active-high, latch-off, reverse blocking</t>
  </si>
  <si>
    <t>USB power switches &amp; charging port controllers</t>
  </si>
  <si>
    <t>Catalog</t>
  </si>
  <si>
    <t>SOT-23,WSON</t>
  </si>
  <si>
    <t/>
  </si>
  <si>
    <t>-40 to 125</t>
  </si>
  <si>
    <t>4,8.12</t>
  </si>
  <si>
    <t>2 x 2,2.9 x 2.8</t>
  </si>
  <si>
    <t>0.8,1.45</t>
  </si>
  <si>
    <t>0.65,0.95</t>
  </si>
  <si>
    <t>ACTIVE</t>
  </si>
  <si>
    <t>Multi-display LED driver with Ambient Light Sensing and Dynamic backlight control Compatibility</t>
  </si>
  <si>
    <t>Backlight LED drivers</t>
  </si>
  <si>
    <t>Catalog</t>
  </si>
  <si>
    <t>Boost,Multi-Channel</t>
  </si>
  <si>
    <t>DSBGA</t>
  </si>
  <si>
    <t/>
  </si>
  <si>
    <t>-30 to 85</t>
  </si>
  <si>
    <t>2.2 x 1.8</t>
  </si>
  <si>
    <t>ACTIVE</t>
  </si>
  <si>
    <t>3-A ,40V High Voltage Boost Converter with Soft-start and Programmable Switching Frequency</t>
  </si>
  <si>
    <t>AC/DC &amp; DC/DC converters (integrated FET)</t>
  </si>
  <si>
    <t>Catalog</t>
  </si>
  <si>
    <t>Boost,Flyback,SEPIC</t>
  </si>
  <si>
    <t>HTSSOP</t>
  </si>
  <si>
    <t/>
  </si>
  <si>
    <t>-40 to 125</t>
  </si>
  <si>
    <t>5 x 6.4</t>
  </si>
  <si>
    <t>ACTIVE</t>
  </si>
  <si>
    <t>High brightness LED driver with integrated 3-A, 40-V power switch</t>
  </si>
  <si>
    <t>Backlight LED drivers</t>
  </si>
  <si>
    <t>Catalog</t>
  </si>
  <si>
    <t>Boost</t>
  </si>
  <si>
    <t>HTSSOP</t>
  </si>
  <si>
    <t/>
  </si>
  <si>
    <t>-40 to 85</t>
  </si>
  <si>
    <t>5 x 6.4</t>
  </si>
  <si>
    <t>ACTIVE</t>
  </si>
  <si>
    <t>4.5-42V Wide Vin, Current Mode Non-Synchronous Buck Controller</t>
  </si>
  <si>
    <t>AC/DC &amp; DC/DC controllers (external FET)</t>
  </si>
  <si>
    <t>Catalog</t>
  </si>
  <si>
    <t>Buck Controller</t>
  </si>
  <si>
    <t>HTSSOP</t>
  </si>
  <si>
    <t/>
  </si>
  <si>
    <t>-40 to 125</t>
  </si>
  <si>
    <t>5 x 6.4</t>
  </si>
  <si>
    <t>ACTIVE</t>
  </si>
  <si>
    <t>4.5-75V Wide Vin, Current Mode Non-Synchronous Buck Controller</t>
  </si>
  <si>
    <t>AC/DC &amp; DC/DC controllers (external FET)</t>
  </si>
  <si>
    <t>Catalog</t>
  </si>
  <si>
    <t>Buck</t>
  </si>
  <si>
    <t>HTSSOP</t>
  </si>
  <si>
    <t/>
  </si>
  <si>
    <t>-40 to 125</t>
  </si>
  <si>
    <t>5 x 6.4</t>
  </si>
  <si>
    <t>ACTIVE</t>
  </si>
  <si>
    <t>3-CH LCD Bias w/ LDO, GPM, VCOM Buffer &amp; Reset IC </t>
  </si>
  <si>
    <t>LCD &amp; OLED display power &amp; drivers</t>
  </si>
  <si>
    <t>Catalog</t>
  </si>
  <si>
    <t>Boost</t>
  </si>
  <si>
    <t>VQFN</t>
  </si>
  <si>
    <t/>
  </si>
  <si>
    <t>-40 to 85</t>
  </si>
  <si>
    <t>4 x 4</t>
  </si>
  <si>
    <t>ACTIVE</t>
  </si>
  <si>
    <t>Automotive adjustable precision shunt regulator (pin layout: RKA)</t>
  </si>
  <si>
    <t>Shunt voltage references</t>
  </si>
  <si>
    <t>Automotive</t>
  </si>
  <si>
    <t>SOT-23</t>
  </si>
  <si>
    <t/>
  </si>
  <si>
    <t>-40 to 125</t>
  </si>
  <si>
    <t>2.92 x 2.37</t>
  </si>
  <si>
    <t>ACTIVE</t>
  </si>
  <si>
    <t>3.5V to 42V Input, 1.5A Step-Down Converter with Eco-Mode</t>
  </si>
  <si>
    <t>AC/DC &amp; DC/DC converters (integrated FET)</t>
  </si>
  <si>
    <t>Catalog</t>
  </si>
  <si>
    <t>Buck</t>
  </si>
  <si>
    <t>HVSSOP</t>
  </si>
  <si>
    <t/>
  </si>
  <si>
    <t>-40 to 150</t>
  </si>
  <si>
    <t>3 x 4.9</t>
  </si>
  <si>
    <t>ACTIVE</t>
  </si>
  <si>
    <t>800-mA, adjustable low-dropout voltage regulator with enable</t>
  </si>
  <si>
    <t>Linear &amp; low-dropout (LDO) regulators</t>
  </si>
  <si>
    <t>Catalog</t>
  </si>
  <si>
    <t>HSOIC,TO-263</t>
  </si>
  <si>
    <t/>
  </si>
  <si>
    <t>-40 to 125</t>
  </si>
  <si>
    <t>5,8</t>
  </si>
  <si>
    <t>29.4,142.3416</t>
  </si>
  <si>
    <t>10.16 x 14.01,4.9 x 6</t>
  </si>
  <si>
    <t>1.7,2.1</t>
  </si>
  <si>
    <t>1.27,1.7</t>
  </si>
  <si>
    <t>ACTIVE</t>
  </si>
  <si>
    <t>1.5-A, adjustable ultra-low-dropout voltage regulator with low noise &amp; enable</t>
  </si>
  <si>
    <t>Linear &amp; low-dropout (LDO) regulators</t>
  </si>
  <si>
    <t>Catalog</t>
  </si>
  <si>
    <t>HSOIC,TO-263</t>
  </si>
  <si>
    <t/>
  </si>
  <si>
    <t>-40 to 125</t>
  </si>
  <si>
    <t>5,8</t>
  </si>
  <si>
    <t>29.4,142.3416</t>
  </si>
  <si>
    <t>10.16 x 14.01,4.9 x 6</t>
  </si>
  <si>
    <t>1.7,2.1</t>
  </si>
  <si>
    <t>1.27,1.7</t>
  </si>
  <si>
    <t>ACTIVE</t>
  </si>
  <si>
    <t>3-A, adjustable ultra-low-dropout voltage regulator with low-noise &amp; enable</t>
  </si>
  <si>
    <t>Linear &amp; low-dropout (LDO) regulators</t>
  </si>
  <si>
    <t>Catalog</t>
  </si>
  <si>
    <t>TO-263</t>
  </si>
  <si>
    <t/>
  </si>
  <si>
    <t>-40 to 125</t>
  </si>
  <si>
    <t>10.16 x 14.01</t>
  </si>
  <si>
    <t>ACTIVE</t>
  </si>
  <si>
    <t>3.6-V, 0.5-A, 78-mΩ, 22-nA leakage load switch</t>
  </si>
  <si>
    <t>Load switches</t>
  </si>
  <si>
    <t>Catalog</t>
  </si>
  <si>
    <t>DSBGA</t>
  </si>
  <si>
    <t/>
  </si>
  <si>
    <t>-40 to 85</t>
  </si>
  <si>
    <t>1 x 1</t>
  </si>
  <si>
    <t>ACTIVE</t>
  </si>
  <si>
    <t>Automotive Grade 6-42V Wide Vin, 1A, Constant On-Time Non-Synchronous Buck Regulator</t>
  </si>
  <si>
    <t>AC/DC &amp; DC/DC converters (integrated FET)</t>
  </si>
  <si>
    <t>Automotive</t>
  </si>
  <si>
    <t>Buck</t>
  </si>
  <si>
    <t>HTSSOP</t>
  </si>
  <si>
    <t/>
  </si>
  <si>
    <t>-40 to 150</t>
  </si>
  <si>
    <t>5 x 6.4</t>
  </si>
  <si>
    <t>ACTIVE</t>
  </si>
  <si>
    <t>Automotive Grade 0 and 1, 6-75V Wide Vin, 1A Constant On-Time Non-Synchronous Buck Regulator</t>
  </si>
  <si>
    <t>AC/DC &amp; DC/DC converters (integrated FET)</t>
  </si>
  <si>
    <t>Automotive</t>
  </si>
  <si>
    <t>Buck</t>
  </si>
  <si>
    <t>HTSSOP</t>
  </si>
  <si>
    <t/>
  </si>
  <si>
    <t>-40 to 150</t>
  </si>
  <si>
    <t>5 x 6.4</t>
  </si>
  <si>
    <t>ACTIVE</t>
  </si>
  <si>
    <t>Multi-purpose 9-Output LED driver</t>
  </si>
  <si>
    <t>RGB LED drivers</t>
  </si>
  <si>
    <t>Catalog</t>
  </si>
  <si>
    <t>Charge pump</t>
  </si>
  <si>
    <t>DSBGA</t>
  </si>
  <si>
    <t/>
  </si>
  <si>
    <t>-30 to 85</t>
  </si>
  <si>
    <t>2.2 x 2.2</t>
  </si>
  <si>
    <t>ACTIVE</t>
  </si>
  <si>
    <t>3V to 6V Input, 6A Synchronous Step-Down Converter</t>
  </si>
  <si>
    <t>AC/DC &amp; DC/DC converters (integrated FET)</t>
  </si>
  <si>
    <t>Catalog</t>
  </si>
  <si>
    <t>Buck</t>
  </si>
  <si>
    <t>VQFN</t>
  </si>
  <si>
    <t/>
  </si>
  <si>
    <t>-40 to 125</t>
  </si>
  <si>
    <t>7 x 3.5</t>
  </si>
  <si>
    <t>ACTIVE</t>
  </si>
  <si>
    <t>2.25MHz 600mA Step-Down Converter in TSOT23 Package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</si>
  <si>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</si>
  <si>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</si>
  <si>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</si>
  <si>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</si>
  <si>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</si>
  <si>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</si>
  <si>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</si>
  <si>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</si>
  <si>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4.5-42V Wide Vin, Constant On-Time Non-Synchronous PFET Buck Controller</t>
  </si>
  <si>
    <t>AC/DC &amp; DC/DC controllers (external FET)</t>
  </si>
  <si>
    <t>Catalog</t>
  </si>
  <si>
    <t>Buck Controller</t>
  </si>
  <si>
    <t>HVSSOP,VSSOP,WSON</t>
  </si>
  <si>
    <t/>
  </si>
  <si>
    <t>-40 to 125</t>
  </si>
  <si>
    <t>9,14.7</t>
  </si>
  <si>
    <t>3 x 3,3 x 4.9</t>
  </si>
  <si>
    <t>0.8,1.1</t>
  </si>
  <si>
    <t>0.5,0.65</t>
  </si>
  <si>
    <t>ACTIVE</t>
  </si>
  <si>
    <t>2.25MHz, 1A Peak Current Limited Step-Down Converter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</si>
  <si>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</si>
  <si>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</si>
  <si>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</si>
  <si>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</si>
  <si>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</si>
  <si>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</si>
  <si>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</si>
  <si>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</si>
  <si>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LED Lighting Power Controller</t>
  </si>
  <si>
    <t>AC/DC &amp; DC/DC controllers (external FET)</t>
  </si>
  <si>
    <t>Catalog</t>
  </si>
  <si>
    <t>Boost,Buck,Flyback,PFC controller,SEPIC</t>
  </si>
  <si>
    <t>SOIC</t>
  </si>
  <si>
    <t/>
  </si>
  <si>
    <t>-40 to 105</t>
  </si>
  <si>
    <t>4.9 x 6</t>
  </si>
  <si>
    <t>ACTIVE</t>
  </si>
  <si>
    <t>LED Lighting Power Controller</t>
  </si>
  <si>
    <t>AC/DC &amp; DC/DC controllers (external FET)</t>
  </si>
  <si>
    <t>Catalog</t>
  </si>
  <si>
    <t>Boost,Buck,Flyback,PFC controller,SEPIC</t>
  </si>
  <si>
    <t>SOIC</t>
  </si>
  <si>
    <t/>
  </si>
  <si>
    <t>-40 to 105</t>
  </si>
  <si>
    <t>4.9 x 6</t>
  </si>
  <si>
    <t>ACTIVE</t>
  </si>
  <si>
    <t>Low Noise Negative Bias Generator</t>
  </si>
  <si>
    <t>AC/DC &amp; DC/DC converters (integrated FET)</t>
  </si>
  <si>
    <t>Catalog</t>
  </si>
  <si>
    <t>VSSOP</t>
  </si>
  <si>
    <t/>
  </si>
  <si>
    <t>-40 to 125</t>
  </si>
  <si>
    <t>3 x 4.9</t>
  </si>
  <si>
    <t>ACTIVE</t>
  </si>
  <si>
    <t>3.5 to 28V Input, 2A, 300kHz Step-Down Converter with Eco-mode</t>
  </si>
  <si>
    <t>AC/DC &amp; DC/DC converters (integrated FET)</t>
  </si>
  <si>
    <t>Catalog</t>
  </si>
  <si>
    <t>Buck</t>
  </si>
  <si>
    <t>SOIC</t>
  </si>
  <si>
    <t/>
  </si>
  <si>
    <t>-40 to 150</t>
  </si>
  <si>
    <t>4.9 x 6</t>
  </si>
  <si>
    <t>ACTIVE</t>
  </si>
  <si>
    <t>High Efficient Single Inductor Buck-Boost Converter with 1-A Switches</t>
  </si>
  <si>
    <t>AC/DC &amp; DC/DC converters (integrated FET)</t>
  </si>
  <si>
    <t>Catalog</t>
  </si>
  <si>
    <t>Buck-Boost</t>
  </si>
  <si>
    <t>WSON</t>
  </si>
  <si>
    <t/>
  </si>
  <si>
    <t>-40 to 125</t>
  </si>
  <si>
    <t>2.5 x 2.5</t>
  </si>
  <si>
    <t>ACTIVE</t>
  </si>
  <si>
    <t>High Efficient Single Inductor Buck-Boost Converter with 1-A Switches</t>
  </si>
  <si>
    <t>AC/DC &amp; DC/DC converters (integrated FET)</t>
  </si>
  <si>
    <t>Catalog</t>
  </si>
  <si>
    <t>Buck-Boost</t>
  </si>
  <si>
    <t>WSON</t>
  </si>
  <si>
    <t/>
  </si>
  <si>
    <t>-40 to 125</t>
  </si>
  <si>
    <t>2.5 x 2.5</t>
  </si>
  <si>
    <t>ACTIVE</t>
  </si>
  <si>
    <t>3.5V to 60V Input, 1.5A Step-Down Converter with Eco-Mode</t>
  </si>
  <si>
    <t>AC/DC &amp; DC/DC converters (integrated FET)</t>
  </si>
  <si>
    <t>Catalog</t>
  </si>
  <si>
    <t>Buck</t>
  </si>
  <si>
    <t>HVSSOP</t>
  </si>
  <si>
    <t/>
  </si>
  <si>
    <t>-40 to 150</t>
  </si>
  <si>
    <t>3 x 4.9</t>
  </si>
  <si>
    <t>ACTIVE</t>
  </si>
  <si>
    <t>Automotive 0.1% 75-ppm/°C SOT-23 precision micropower series voltage reference shutdown enable pin</t>
  </si>
  <si>
    <t>Series voltage references</t>
  </si>
  <si>
    <t>Automotive</t>
  </si>
  <si>
    <t>SOT-23</t>
  </si>
  <si>
    <t>Functional Safety-Capable</t>
  </si>
  <si>
    <t>-40 to 125</t>
  </si>
  <si>
    <t>2.9 x 2.8</t>
  </si>
  <si>
    <t>ACTIVE</t>
  </si>
  <si>
    <t>100VIN synchronous DC/DC buck controller in hermetic package for harsh operating environments</t>
  </si>
  <si>
    <t>AC/DC &amp; DC/DC controllers (external FET)</t>
  </si>
  <si>
    <t>Catalog</t>
  </si>
  <si>
    <t>Buck</t>
  </si>
  <si>
    <t>CFP</t>
  </si>
  <si>
    <t/>
  </si>
  <si>
    <t>-40 to 125</t>
  </si>
  <si>
    <t>13.716 x 7.239</t>
  </si>
  <si>
    <t>ACTIVE</t>
  </si>
  <si>
    <t>Enhanced product, 250-mA dual-output, ultra-low noise, high PSRR, low-dropout linear regular</t>
  </si>
  <si>
    <t>Linear &amp; low-dropout (LDO) regulators</t>
  </si>
  <si>
    <t>HiRel Enhanced Product</t>
  </si>
  <si>
    <t>VSON</t>
  </si>
  <si>
    <t/>
  </si>
  <si>
    <t>-55 to 125</t>
  </si>
  <si>
    <t>3 x 3</t>
  </si>
  <si>
    <t>ACTIVE</t>
  </si>
  <si>
    <t>4-CH LCD Bias (3.7A Min. Boost Ilim. Up to 19V, 2.5A Min. Buck Ilim, 100mA VGH/VGL)</t>
  </si>
  <si>
    <t>LCD &amp; OLED display power &amp; drivers</t>
  </si>
  <si>
    <t>Catalog</t>
  </si>
  <si>
    <t>Boost,Buck</t>
  </si>
  <si>
    <t>HTSSOP</t>
  </si>
  <si>
    <t/>
  </si>
  <si>
    <t>-40 to 85</t>
  </si>
  <si>
    <t>9.7 x 6.4</t>
  </si>
  <si>
    <t>ACTIVE</t>
  </si>
  <si>
    <t>SIMPLE SWITCHER® 4.5V to 42V, 3A Step-Down Voltage Reg. with Adjustable Soft-Start and Current Limit</t>
  </si>
  <si>
    <t>AC/DC &amp; DC/DC converters (integrated FET)</t>
  </si>
  <si>
    <t>Catalog</t>
  </si>
  <si>
    <t>Buck</t>
  </si>
  <si>
    <t>HSOIC,TO-263</t>
  </si>
  <si>
    <t/>
  </si>
  <si>
    <t>-40 to 125</t>
  </si>
  <si>
    <t>7,8</t>
  </si>
  <si>
    <t>29.4,142.3416</t>
  </si>
  <si>
    <t>10.16 x 14.01,4.9 x 6</t>
  </si>
  <si>
    <t>1.7,2.1</t>
  </si>
  <si>
    <t>ACTIVE</t>
  </si>
  <si>
    <t>SIMPLE SWITCHER&amp;reg; 4.5V to 42V, 3A Step-Down Regulator with Precision Enable</t>
  </si>
  <si>
    <t>AC/DC &amp; DC/DC converters (integrated FET)</t>
  </si>
  <si>
    <t>Catalog</t>
  </si>
  <si>
    <t>Buck</t>
  </si>
  <si>
    <t>HSOIC,TO-263</t>
  </si>
  <si>
    <t/>
  </si>
  <si>
    <t>-40 to 125</t>
  </si>
  <si>
    <t>7,8</t>
  </si>
  <si>
    <t>29.4,142.3416</t>
  </si>
  <si>
    <t>10.16 x 14.01,4.9 x 6</t>
  </si>
  <si>
    <t>1.7,2.1</t>
  </si>
  <si>
    <t>ACTIVE</t>
  </si>
  <si>
    <t>SIMPLE SWITCHER® 4.5V to 42V, 5A Step-Down Voltage Regulator with Precision Enable</t>
  </si>
  <si>
    <t>AC/DC &amp; DC/DC converters (integrated FET)</t>
  </si>
  <si>
    <t>Catalog</t>
  </si>
  <si>
    <t>Buck</t>
  </si>
  <si>
    <t>TO-263</t>
  </si>
  <si>
    <t/>
  </si>
  <si>
    <t>-40 to 125</t>
  </si>
  <si>
    <t>10.16 x 14.01</t>
  </si>
  <si>
    <t>ACTIVE</t>
  </si>
  <si>
    <t>SIMPLE SWITCHER® 4.5V to 42V, 5A Step-Down Voltage Regulator with Adjustable Soft-Start &amp; Current Li</t>
  </si>
  <si>
    <t>AC/DC &amp; DC/DC converters (integrated FET)</t>
  </si>
  <si>
    <t>Catalog</t>
  </si>
  <si>
    <t>Buck</t>
  </si>
  <si>
    <t>TO-263</t>
  </si>
  <si>
    <t/>
  </si>
  <si>
    <t>-40 to 125</t>
  </si>
  <si>
    <t>10.16 x 14.01</t>
  </si>
  <si>
    <t>ACTIVE</t>
  </si>
  <si>
    <t>75V, 3A Step-Down Switching Regulator</t>
  </si>
  <si>
    <t>AC/DC &amp; DC/DC converters (integrated FET)</t>
  </si>
  <si>
    <t>Automotive</t>
  </si>
  <si>
    <t>Buck</t>
  </si>
  <si>
    <t>HTSSOP</t>
  </si>
  <si>
    <t/>
  </si>
  <si>
    <t>-40 to 125</t>
  </si>
  <si>
    <t>6.5 x 6.4</t>
  </si>
  <si>
    <t>ACTIVE</t>
  </si>
  <si>
    <t>3.5 to 28V Input, 2A, 570kHz Step-Down Converter with Eco-mode&amp;trade;</t>
  </si>
  <si>
    <t>AC/DC &amp; DC/DC converters (integrated FET)</t>
  </si>
  <si>
    <t>Catalog</t>
  </si>
  <si>
    <t>Buck</t>
  </si>
  <si>
    <t>SOIC</t>
  </si>
  <si>
    <t/>
  </si>
  <si>
    <t>-40 to 150</t>
  </si>
  <si>
    <t>4.9 x 6</t>
  </si>
  <si>
    <t>ACTIVE</t>
  </si>
  <si>
    <t>8-CH Gamma-Voltage Generator and Vcom Calibrator with Integrated Two-Bank Memory</t>
  </si>
  <si>
    <t>LCD &amp; OLED display power &amp; drivers</t>
  </si>
  <si>
    <t>Catalog</t>
  </si>
  <si>
    <t>HTSSOP</t>
  </si>
  <si>
    <t/>
  </si>
  <si>
    <t>-40 to 95</t>
  </si>
  <si>
    <t>6.5 x 6.4</t>
  </si>
  <si>
    <t>ACTIVE</t>
  </si>
  <si>
    <t>High efficiency white LED driver with programmable Ambient Light Sensing Capability</t>
  </si>
  <si>
    <t>Backlight LED drivers</t>
  </si>
  <si>
    <t>Catalog</t>
  </si>
  <si>
    <t>Boost</t>
  </si>
  <si>
    <t>DSBGA</t>
  </si>
  <si>
    <t/>
  </si>
  <si>
    <t>-30 to 85</t>
  </si>
  <si>
    <t>1.8 x 1.4000000000000001</t>
  </si>
  <si>
    <t>0.47,0.675</t>
  </si>
  <si>
    <t>ACTIVE</t>
  </si>
  <si>
    <t>75V, 0.5A Step-Down Switching Regulator</t>
  </si>
  <si>
    <t>AC/DC &amp; DC/DC converters (integrated FET)</t>
  </si>
  <si>
    <t>Automotive</t>
  </si>
  <si>
    <t>Buck</t>
  </si>
  <si>
    <t>TSSOP</t>
  </si>
  <si>
    <t/>
  </si>
  <si>
    <t>-40 to 125</t>
  </si>
  <si>
    <t>5 x 6.4</t>
  </si>
  <si>
    <t>ACTIVE</t>
  </si>
  <si>
    <t>Automotive, low-noise, very-low drift, precision 2.048-V series voltage reference</t>
  </si>
  <si>
    <t>Series voltage references</t>
  </si>
  <si>
    <t>Automotive</t>
  </si>
  <si>
    <t>SOIC</t>
  </si>
  <si>
    <t>Functional Safety-Capable</t>
  </si>
  <si>
    <t>-40 to 125</t>
  </si>
  <si>
    <t>4.9 x 6</t>
  </si>
  <si>
    <t>ACTIVE</t>
  </si>
  <si>
    <t>1.5-V to 40-V, 500-mA buck-boost converter with 5-V fixed output voltage, AEC-Q100 qualified</t>
  </si>
  <si>
    <t>AC/DC &amp; DC/DC converters (integrated FET)</t>
  </si>
  <si>
    <t>Automotive</t>
  </si>
  <si>
    <t>Buck-Boost</t>
  </si>
  <si>
    <t>HTSSOP</t>
  </si>
  <si>
    <t/>
  </si>
  <si>
    <t>-40 to 125</t>
  </si>
  <si>
    <t>6.5 x 6.4</t>
  </si>
  <si>
    <t>ACTIVE</t>
  </si>
  <si>
    <t>4.5V to 28V Input, Dual 3A Outputs, 600kHz Step-Down Converter with External Compensation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</si>
  <si>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</si>
  <si>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</si>
  <si>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</si>
  <si>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</si>
  <si>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</si>
  <si>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</si>
  <si>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</si>
  <si>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</si>
  <si>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Low Power Battery Backup IC with Integrated Boost Converter</t>
  </si>
  <si>
    <t>AC/DC &amp; DC/DC converters (integrated FET)</t>
  </si>
  <si>
    <t>Catalog</t>
  </si>
  <si>
    <t>Buck</t>
  </si>
  <si>
    <t>VQFN</t>
  </si>
  <si>
    <t/>
  </si>
  <si>
    <t>-35 to 85</t>
  </si>
  <si>
    <t>3 x 3</t>
  </si>
  <si>
    <t>ACTIVE</t>
  </si>
  <si>
    <t>150-mA, nano-IQ, low-dropout voltage regulator with enable from -40°C to +125°C</t>
  </si>
  <si>
    <t>Linear &amp; low-dropout (LDO) regulators</t>
  </si>
  <si>
    <t>Catalog</t>
  </si>
  <si>
    <t>SOT-23-THN,WSON</t>
  </si>
  <si>
    <t/>
  </si>
  <si>
    <t>-40 to 125</t>
  </si>
  <si>
    <t>5,6</t>
  </si>
  <si>
    <t>4,8.12</t>
  </si>
  <si>
    <t>2 x 2,2.9 x 2.8</t>
  </si>
  <si>
    <t>0.8,1.1</t>
  </si>
  <si>
    <t>0.65,0.95</t>
  </si>
  <si>
    <t>ACTIVE</t>
  </si>
  <si>
    <t>Fully Programmable Digital Power Controller with Four Feedback Loops and Eight DPWM Outputs</t>
  </si>
  <si>
    <t>AC/DC &amp; DC/DC controllers (external FET)</t>
  </si>
  <si>
    <t>Catalog</t>
  </si>
  <si>
    <t>TQFP,VQFN</t>
  </si>
  <si>
    <t/>
  </si>
  <si>
    <t>-40 to 125</t>
  </si>
  <si>
    <t>64,80</t>
  </si>
  <si>
    <t>81,196</t>
  </si>
  <si>
    <t>14 x 14,9 x 9</t>
  </si>
  <si>
    <t>1,1.2</t>
  </si>
  <si>
    <t>ACTIVE</t>
  </si>
  <si>
    <t>4.5V to 42V, 3A SIMPLE SWITCHER® buck converter with frequency synchronization</t>
  </si>
  <si>
    <t>AC/DC &amp; DC/DC converters (integrated FET)</t>
  </si>
  <si>
    <t>Catalog</t>
  </si>
  <si>
    <t>Buck</t>
  </si>
  <si>
    <t>HSOIC,TO-263</t>
  </si>
  <si>
    <t/>
  </si>
  <si>
    <t>-40 to 125</t>
  </si>
  <si>
    <t>7,8</t>
  </si>
  <si>
    <t>29.4,142.3416</t>
  </si>
  <si>
    <t>10.16 x 14.01,4.9 x 6</t>
  </si>
  <si>
    <t>1.7,2.1</t>
  </si>
  <si>
    <t>ACTIVE</t>
  </si>
  <si>
    <t>3A SIMPLE SWITCHER, Step-Down Voltage Regulator with Synchronization or Adjustable Switching Freq</t>
  </si>
  <si>
    <t>AC/DC &amp; DC/DC converters (integrated FET)</t>
  </si>
  <si>
    <t>Automotive</t>
  </si>
  <si>
    <t>Buck</t>
  </si>
  <si>
    <t>HSOIC,TO-263</t>
  </si>
  <si>
    <t/>
  </si>
  <si>
    <t>-40 to 125</t>
  </si>
  <si>
    <t>7,8</t>
  </si>
  <si>
    <t>29.4,142.3416</t>
  </si>
  <si>
    <t>10.16 x 14.01,4.9 x 6</t>
  </si>
  <si>
    <t>1.7,2.1</t>
  </si>
  <si>
    <t>ACTIVE</t>
  </si>
  <si>
    <t>SIMPLE SWITCHER® 4.5V to 42V, 5A Step-Down DC/DC Switching Reg. with Frequency Synchronization</t>
  </si>
  <si>
    <t>AC/DC &amp; DC/DC converters (integrated FET)</t>
  </si>
  <si>
    <t>Catalog</t>
  </si>
  <si>
    <t>Buck</t>
  </si>
  <si>
    <t>TO-263</t>
  </si>
  <si>
    <t/>
  </si>
  <si>
    <t>-40 to 125</t>
  </si>
  <si>
    <t>10.16 x 14.01</t>
  </si>
  <si>
    <t>ACTIVE</t>
  </si>
  <si>
    <t>5A SIMPLE SWITCHER, Step-Down Voltage Reg. with Synchronization or Adjustable Switching Frequency</t>
  </si>
  <si>
    <t>AC/DC &amp; DC/DC converters (integrated FET)</t>
  </si>
  <si>
    <t>Automotive</t>
  </si>
  <si>
    <t>Buck</t>
  </si>
  <si>
    <t>TO-263</t>
  </si>
  <si>
    <t/>
  </si>
  <si>
    <t>-40 to 125</t>
  </si>
  <si>
    <t>10.16 x 14.01</t>
  </si>
  <si>
    <t>ACTIVE</t>
  </si>
  <si>
    <t>6V to 42V Synchronous Step-Down Controller with Adjustable Output Voltage</t>
  </si>
  <si>
    <t>AC/DC &amp; DC/DC controllers (external FET)</t>
  </si>
  <si>
    <t>Catalog</t>
  </si>
  <si>
    <t>Buck Controller</t>
  </si>
  <si>
    <t>HTSSOP</t>
  </si>
  <si>
    <t/>
  </si>
  <si>
    <t>-40 to 125</t>
  </si>
  <si>
    <t>5 x 6.4</t>
  </si>
  <si>
    <t>ACTIVE</t>
  </si>
  <si>
    <t>75V, 1.5A Step-Down Switching Regulator</t>
  </si>
  <si>
    <t>AC/DC &amp; DC/DC converters (integrated FET)</t>
  </si>
  <si>
    <t>Automotive</t>
  </si>
  <si>
    <t>Buck</t>
  </si>
  <si>
    <t>HTSSOP</t>
  </si>
  <si>
    <t/>
  </si>
  <si>
    <t>-40 to 150</t>
  </si>
  <si>
    <t>5 x 6.4</t>
  </si>
  <si>
    <t>ACTIVE</t>
  </si>
  <si>
    <t>4.5-V to 52-V wide input range current mode boost controller with 700-mV reference voltage</t>
  </si>
  <si>
    <t>AC/DC &amp; DC/DC controllers (external FET)</t>
  </si>
  <si>
    <t>Automotive</t>
  </si>
  <si>
    <t>Boost,Flyback,Forward,SEPIC</t>
  </si>
  <si>
    <t>HVSSOP</t>
  </si>
  <si>
    <t>Functional Safety-Capable</t>
  </si>
  <si>
    <t>-40 to 125</t>
  </si>
  <si>
    <t>3 x 4.9</t>
  </si>
  <si>
    <t>ACTIVE</t>
  </si>
  <si>
    <t>4.5-V to 52-V wide input range current mode boost controller with 260-mV reference voltage</t>
  </si>
  <si>
    <t>AC/DC &amp; DC/DC controllers (external FET)</t>
  </si>
  <si>
    <t>Automotive</t>
  </si>
  <si>
    <t>Boost,Flyback,Forward,SEPIC</t>
  </si>
  <si>
    <t>HVSSOP</t>
  </si>
  <si>
    <t>Functional Safety-Capable</t>
  </si>
  <si>
    <t>-40 to 125</t>
  </si>
  <si>
    <t>3 x 4.9</t>
  </si>
  <si>
    <t>ACTIVE</t>
  </si>
  <si>
    <t>2.25MHz Dual Step-down Converter with 4 Low Input Voltage LDOs</t>
  </si>
  <si>
    <t>Multi-channel ICs (PMICs)</t>
  </si>
  <si>
    <t>Catalog</t>
  </si>
  <si>
    <t>VQFN</t>
  </si>
  <si>
    <t/>
  </si>
  <si>
    <t>-40 to 85</t>
  </si>
  <si>
    <t>4 x 4</t>
  </si>
  <si>
    <t>ACTIVE</t>
  </si>
  <si>
    <t>Automotive 4-A/4-A dual-channel gate driver with enable and inverting inputs</t>
  </si>
  <si>
    <t>Low-side drivers</t>
  </si>
  <si>
    <t>Automotive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</si>
  <si>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</si>
  <si>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</si>
  <si>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</si>
  <si>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</si>
  <si>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</si>
  <si>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</si>
  <si>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</si>
  <si>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</si>
  <si>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Automotive 4-A/4-A dual-channel gate driver with enable</t>
  </si>
  <si>
    <t>Low-side drivers</t>
  </si>
  <si>
    <t>Automotive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</si>
  <si>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</si>
  <si>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</si>
  <si>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</si>
  <si>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</si>
  <si>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</si>
  <si>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</si>
  <si>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</si>
  <si>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</si>
  <si>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8-pin high-performance resonant mode LLC controller</t>
  </si>
  <si>
    <t>AC/DC &amp; DC/DC controllers (external FET)</t>
  </si>
  <si>
    <t>Catalog</t>
  </si>
  <si>
    <t>Full bridge,Half bridge,LLC</t>
  </si>
  <si>
    <t>SOIC</t>
  </si>
  <si>
    <t/>
  </si>
  <si>
    <t>-40 to 125</t>
  </si>
  <si>
    <t>4.9 x 6</t>
  </si>
  <si>
    <t>ACTIVE</t>
  </si>
  <si>
    <t>Low-power 16-channel constant-current LED sink driver with 3.3-5.5V supply voltage</t>
  </si>
  <si>
    <t>LED display drivers</t>
  </si>
  <si>
    <t>Catalog</t>
  </si>
  <si>
    <t>SOIC,SSOP,TSSOP</t>
  </si>
  <si>
    <t/>
  </si>
  <si>
    <t>-40 to 125</t>
  </si>
  <si>
    <t>49.92,51.9,159.65</t>
  </si>
  <si>
    <t>15.5 x 10.3,7.8 x 6.4,8.65 x 6</t>
  </si>
  <si>
    <t>1.2,1.75,2.65</t>
  </si>
  <si>
    <t>0.635,0.65,1.27</t>
  </si>
  <si>
    <t>ACTIVE</t>
  </si>
  <si>
    <t>Power Supply Sequencer and Monitor with Non-Volatile Error Logging</t>
  </si>
  <si>
    <t>Sequencers</t>
  </si>
  <si>
    <t>Catalog</t>
  </si>
  <si>
    <t>VQFN</t>
  </si>
  <si>
    <t/>
  </si>
  <si>
    <t>-40 to 85</t>
  </si>
  <si>
    <t>5 x 5</t>
  </si>
  <si>
    <t>ACTIVE</t>
  </si>
  <si>
    <t>3.6-V, 2-A, 14-mΩ, 35-nA leakage  load switch</t>
  </si>
  <si>
    <t>Load switches</t>
  </si>
  <si>
    <t>Catalog</t>
  </si>
  <si>
    <t>DSBGA</t>
  </si>
  <si>
    <t/>
  </si>
  <si>
    <t>-40 to 85</t>
  </si>
  <si>
    <t>1.4000000000000001,1.5625,2.1875</t>
  </si>
  <si>
    <t>1 x 1.4000000000000001,1.25 x 1.25,1.75 x 1.25</t>
  </si>
  <si>
    <t>0.5,0.625</t>
  </si>
  <si>
    <t>0.4,0.5</t>
  </si>
  <si>
    <t>ACTIVE</t>
  </si>
  <si>
    <t>1A switched capacitor flash LED driver with I2C compatible interface</t>
  </si>
  <si>
    <t>Illumination  LED drivers</t>
  </si>
  <si>
    <t>Catalog</t>
  </si>
  <si>
    <t>Charge pump,current mode</t>
  </si>
  <si>
    <t>WSON</t>
  </si>
  <si>
    <t/>
  </si>
  <si>
    <t>-30 to 85</t>
  </si>
  <si>
    <t>3 x 3</t>
  </si>
  <si>
    <t>ACTIVE</t>
  </si>
  <si>
    <t>2-V, 0.5%, 50-ppm/°C automotive precision micropower shunt voltage reference</t>
  </si>
  <si>
    <t>Shunt voltage references</t>
  </si>
  <si>
    <t>Automotive</t>
  </si>
  <si>
    <t>SOT-23</t>
  </si>
  <si>
    <t/>
  </si>
  <si>
    <t>-40 to 125</t>
  </si>
  <si>
    <t>2.92 x 2.37</t>
  </si>
  <si>
    <t>ACTIVE</t>
  </si>
  <si>
    <t>75V 1.5A constant current buck LED driver</t>
  </si>
  <si>
    <t>Illumination  LED drivers</t>
  </si>
  <si>
    <t>Catalog</t>
  </si>
  <si>
    <t>Buck</t>
  </si>
  <si>
    <t>HTSSOP</t>
  </si>
  <si>
    <t/>
  </si>
  <si>
    <t>-40 to 125</t>
  </si>
  <si>
    <t>5 x 6.4</t>
  </si>
  <si>
    <t>ACTIVE</t>
  </si>
  <si>
    <t>Integrated photo flash charger and IGBT driver with 2A Iout</t>
  </si>
  <si>
    <t>Illumination  LED drivers</t>
  </si>
  <si>
    <t>Catalog</t>
  </si>
  <si>
    <t>Flyback</t>
  </si>
  <si>
    <t>VQFN</t>
  </si>
  <si>
    <t/>
  </si>
  <si>
    <t>-35 to 85</t>
  </si>
  <si>
    <t>3 x 3</t>
  </si>
  <si>
    <t>ACTIVE</t>
  </si>
  <si>
    <t>Digital Point of Load System Controller</t>
  </si>
  <si>
    <t>AC/DC &amp; DC/DC controllers (external FET)</t>
  </si>
  <si>
    <t>Catalog</t>
  </si>
  <si>
    <t>TQFP,VQFN</t>
  </si>
  <si>
    <t/>
  </si>
  <si>
    <t>-40 to 125</t>
  </si>
  <si>
    <t>64,80</t>
  </si>
  <si>
    <t>81,196</t>
  </si>
  <si>
    <t>14 x 14,9 x 9</t>
  </si>
  <si>
    <t>1,1.2</t>
  </si>
  <si>
    <t>ACTIVE</t>
  </si>
  <si>
    <t>16 channel constant current LED driver with LED open Detection</t>
  </si>
  <si>
    <t>LED display drivers</t>
  </si>
  <si>
    <t>Catalog</t>
  </si>
  <si>
    <t>HTSSOP,SSOP,TSSOP,VQFN</t>
  </si>
  <si>
    <t/>
  </si>
  <si>
    <t>-40 to 85</t>
  </si>
  <si>
    <t>16,49.92,51.9</t>
  </si>
  <si>
    <t>4 x 4,7.8 x 6.4,8.65 x 6</t>
  </si>
  <si>
    <t>1,1.2,1.75</t>
  </si>
  <si>
    <t>0.5,0.635,0.65</t>
  </si>
  <si>
    <t>ACTIVE</t>
  </si>
  <si>
    <t>Single Phase D-CAP+&amp;trade;Mode Step Down Controller for IMVP6+ CPU/GPU Vcore</t>
  </si>
  <si>
    <t>AC/DC &amp; DC/DC controllers (external FET)</t>
  </si>
  <si>
    <t>Catalog</t>
  </si>
  <si>
    <t>Multiphase</t>
  </si>
  <si>
    <t>VQFN</t>
  </si>
  <si>
    <t/>
  </si>
  <si>
    <t>-40 to 105</t>
  </si>
  <si>
    <t>5 x 5</t>
  </si>
  <si>
    <t>ACTIVE</t>
  </si>
  <si>
    <t>High efficiency, multi display LED driver with 128 Exponential dimming Step</t>
  </si>
  <si>
    <t>Backlight LED drivers</t>
  </si>
  <si>
    <t>Catalog</t>
  </si>
  <si>
    <t>Boost</t>
  </si>
  <si>
    <t>DSBGA</t>
  </si>
  <si>
    <t/>
  </si>
  <si>
    <t>-40 to 85</t>
  </si>
  <si>
    <t>1.8 x 1.4000000000000001</t>
  </si>
  <si>
    <t>ACTIVE</t>
  </si>
  <si>
    <t>3.6-V, 2-A, 14-mΩ, 35-nA leakage  load switch with output discharge</t>
  </si>
  <si>
    <t>Load switches</t>
  </si>
  <si>
    <t>Catalog</t>
  </si>
  <si>
    <t>DSBGA</t>
  </si>
  <si>
    <t/>
  </si>
  <si>
    <t>-40 to 85</t>
  </si>
  <si>
    <t>1.4000000000000001,2.1875</t>
  </si>
  <si>
    <t>1 x 1.4000000000000001,1.75 x 1.25</t>
  </si>
  <si>
    <t>0.4,0.5</t>
  </si>
  <si>
    <t>ACTIVE</t>
  </si>
  <si>
    <t>16-CH Gamma-Voltage Generator and Vcom Calibrator with Integrated Two-Bank Memory</t>
  </si>
  <si>
    <t>LCD &amp; OLED display power &amp; drivers</t>
  </si>
  <si>
    <t>Catalog</t>
  </si>
  <si>
    <t>HTSSOP</t>
  </si>
  <si>
    <t/>
  </si>
  <si>
    <t>-40 to 85</t>
  </si>
  <si>
    <t>9.7 x 6.4</t>
  </si>
  <si>
    <t>ACTIVE</t>
  </si>
  <si>
    <t>500-mA, low-IQ, low-dropout voltage regulator with enable</t>
  </si>
  <si>
    <t>Linear &amp; low-dropout (LDO) regulators</t>
  </si>
  <si>
    <t>Catalog</t>
  </si>
  <si>
    <t>VSON,WSON</t>
  </si>
  <si>
    <t/>
  </si>
  <si>
    <t>-40 to 125</t>
  </si>
  <si>
    <t>6,8</t>
  </si>
  <si>
    <t>4,9</t>
  </si>
  <si>
    <t>2 x 2,3 x 3</t>
  </si>
  <si>
    <t>0.8,1</t>
  </si>
  <si>
    <t>ACTIVE</t>
  </si>
  <si>
    <t>5.5V to 75V, 1.2A gate driver, Dual-mode PWM controller With Alternating outputs, -40V to 125C</t>
  </si>
  <si>
    <t>AC/DC &amp; DC/DC controllers (external FET)</t>
  </si>
  <si>
    <t>Catalog</t>
  </si>
  <si>
    <t>Full bridge,Half bridge,Push pull</t>
  </si>
  <si>
    <t>TSSOP</t>
  </si>
  <si>
    <t/>
  </si>
  <si>
    <t>-40 to 125</t>
  </si>
  <si>
    <t>5 x 6.4</t>
  </si>
  <si>
    <t>ACTIVE</t>
  </si>
  <si>
    <t>24-channel, 12-bit PWM LED driver with internal Oscillator</t>
  </si>
  <si>
    <t>RGB LED drivers</t>
  </si>
  <si>
    <t>Catalog</t>
  </si>
  <si>
    <t>HTSSOP,VQFN</t>
  </si>
  <si>
    <t/>
  </si>
  <si>
    <t>-40 to 85</t>
  </si>
  <si>
    <t>25,89.1</t>
  </si>
  <si>
    <t>11 x 8.1,5 x 5</t>
  </si>
  <si>
    <t>1,1.2</t>
  </si>
  <si>
    <t>0.5,0.65</t>
  </si>
  <si>
    <t>ACTIVE</t>
  </si>
  <si>
    <t>3.5V to 28V Input, 3A, 570kHz Step-Down Converter with Eco-mode</t>
  </si>
  <si>
    <t>AC/DC &amp; DC/DC converters (integrated FET)</t>
  </si>
  <si>
    <t>Catalog</t>
  </si>
  <si>
    <t>Buck</t>
  </si>
  <si>
    <t>HSOIC,SOIC</t>
  </si>
  <si>
    <t/>
  </si>
  <si>
    <t>-40 to 150</t>
  </si>
  <si>
    <t>4.9 x 6</t>
  </si>
  <si>
    <t>1.7,1.75</t>
  </si>
  <si>
    <t>ACTIVE</t>
  </si>
  <si>
    <t>4.5-36V, 3A Current Mode Synchronous Buck Regulator with Adjustable Frequency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</si>
  <si>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</si>
  <si>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</si>
  <si>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</si>
  <si>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</si>
  <si>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</si>
  <si>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</si>
  <si>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</si>
  <si>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</si>
  <si>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4.5-75V Wide Vin, Constant On-Time Non-Synchronous PFET Buck Controller</t>
  </si>
  <si>
    <t>AC/DC &amp; DC/DC controllers (external FET)</t>
  </si>
  <si>
    <t>Catalog</t>
  </si>
  <si>
    <t>Buck</t>
  </si>
  <si>
    <t>HVSSOP,VSSOP,WSON</t>
  </si>
  <si>
    <t/>
  </si>
  <si>
    <t>-40 to 125</t>
  </si>
  <si>
    <t>9,14.7</t>
  </si>
  <si>
    <t>3 x 3,3 x 4.9</t>
  </si>
  <si>
    <t>0.8,1.1</t>
  </si>
  <si>
    <t>0.5,0.65</t>
  </si>
  <si>
    <t>ACTIVE</t>
  </si>
  <si>
    <t>Automotive Grade 4.5-75V Wide Vin, Constant On-Time Non-Synchronous PFET Buck Controller</t>
  </si>
  <si>
    <t>AC/DC &amp; DC/DC controllers (external FET)</t>
  </si>
  <si>
    <t>Automotive</t>
  </si>
  <si>
    <t>Buck</t>
  </si>
  <si>
    <t>HVSSOP</t>
  </si>
  <si>
    <t/>
  </si>
  <si>
    <t>-40 to 125</t>
  </si>
  <si>
    <t>3 x 4.9</t>
  </si>
  <si>
    <t>ACTIVE</t>
  </si>
  <si>
    <t>Enhanced Product Low Quiescent Current, Programmable Delay Supervisory Circuit</t>
  </si>
  <si>
    <t>Reset &amp; watchdog ICs</t>
  </si>
  <si>
    <t>HiRel Enhanced Product</t>
  </si>
  <si>
    <t>SOT-23</t>
  </si>
  <si>
    <t/>
  </si>
  <si>
    <t>-55 to 125</t>
  </si>
  <si>
    <t>2.9 x 2.8</t>
  </si>
  <si>
    <t>ACTIVE</t>
  </si>
  <si>
    <t>2.25MHz 400mA Step-Down Converter with Selectable Vout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</si>
  <si>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</si>
  <si>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</si>
  <si>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</si>
  <si>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</si>
  <si>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</si>
  <si>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</si>
  <si>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</si>
  <si>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</si>
  <si>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4.1-V, 0.2%, 50-ppm/°C automotive precision micropower shunt voltage reference</t>
  </si>
  <si>
    <t>Shunt voltage references</t>
  </si>
  <si>
    <t>Automotive</t>
  </si>
  <si>
    <t>SOT-23</t>
  </si>
  <si>
    <t/>
  </si>
  <si>
    <t>-40 to 125</t>
  </si>
  <si>
    <t>2.92 x 2.37</t>
  </si>
  <si>
    <t>ACTIVE</t>
  </si>
  <si>
    <t>350-mA, low-VIN (1.1-V), high-PSRR, low-IQ, low-dropout voltage regulator with enable</t>
  </si>
  <si>
    <t>Linear &amp; low-dropout (LDO) regulators</t>
  </si>
  <si>
    <t>Catalog</t>
  </si>
  <si>
    <t>DSBGA,WSON</t>
  </si>
  <si>
    <t/>
  </si>
  <si>
    <t>-40 to 125</t>
  </si>
  <si>
    <t>5,6</t>
  </si>
  <si>
    <t>2.02,4</t>
  </si>
  <si>
    <t>1.25 x 1.616,2 x 2</t>
  </si>
  <si>
    <t>0.625,0.8</t>
  </si>
  <si>
    <t>0.5,0.65</t>
  </si>
  <si>
    <t>ACTIVE</t>
  </si>
  <si>
    <t>Natural interleaving transition-mode PFC controller with audible noise immunity</t>
  </si>
  <si>
    <t>AC/DC &amp; DC/DC controllers (external FET)</t>
  </si>
  <si>
    <t>Catalog</t>
  </si>
  <si>
    <t>Boost,PFC controller</t>
  </si>
  <si>
    <t>SOIC</t>
  </si>
  <si>
    <t/>
  </si>
  <si>
    <t>-40 to 125</t>
  </si>
  <si>
    <t>9.9 x 6</t>
  </si>
  <si>
    <t>ACTIVE</t>
  </si>
  <si>
    <t>3.6-V, 0.5-A, 78-mΩ, 22-nA leakage load switch with output discharge</t>
  </si>
  <si>
    <t>Load switches</t>
  </si>
  <si>
    <t>Catalog</t>
  </si>
  <si>
    <t>DSBGA</t>
  </si>
  <si>
    <t/>
  </si>
  <si>
    <t>-40 to 85</t>
  </si>
  <si>
    <t>1 x 1</t>
  </si>
  <si>
    <t>ACTIVE</t>
  </si>
  <si>
    <t>Automotive 3-A, 120-V half bridge gate driver with 8-V UVLO and CMOS inputs</t>
  </si>
  <si>
    <t>Half-bridge drivers</t>
  </si>
  <si>
    <t>Automotive</t>
  </si>
  <si>
    <t>HSOIC</t>
  </si>
  <si>
    <t>Functional Safety-Capable</t>
  </si>
  <si>
    <t>-40 to 150</t>
  </si>
  <si>
    <t>4.9 x 6</t>
  </si>
  <si>
    <t>ACTIVE</t>
  </si>
  <si>
    <t>N-channel controllers for constant current LED drivers with series DIM FET driver</t>
  </si>
  <si>
    <t>Illumination  LED drivers</t>
  </si>
  <si>
    <t>Catalog</t>
  </si>
  <si>
    <t>Boost,Boost Controller,Buck-Boost,SEPIC</t>
  </si>
  <si>
    <t>HTSSOP</t>
  </si>
  <si>
    <t/>
  </si>
  <si>
    <t>-40 to 125</t>
  </si>
  <si>
    <t>5 x 6.4</t>
  </si>
  <si>
    <t>ACTIVE</t>
  </si>
  <si>
    <t>18.5-V, 2-A, 650-kHz / 1.2-MHz step-up DC/DC converter</t>
  </si>
  <si>
    <t>AC/DC &amp; DC/DC converters (integrated FET)</t>
  </si>
  <si>
    <t>Catalog</t>
  </si>
  <si>
    <t>Boost</t>
  </si>
  <si>
    <t>TSSOP,VSSOP</t>
  </si>
  <si>
    <t/>
  </si>
  <si>
    <t>-40 to 125</t>
  </si>
  <si>
    <t>14.7,19.2</t>
  </si>
  <si>
    <t>3 x 4.9,3 x 6.4</t>
  </si>
  <si>
    <t>1.1,1.2</t>
  </si>
  <si>
    <t>ACTIVE</t>
  </si>
  <si>
    <t>One Step-Down DC/DC and Five Linear Regulators with I2C Compatible Interface</t>
  </si>
  <si>
    <t>Multi-channel ICs (PMICs)</t>
  </si>
  <si>
    <t>Catalog</t>
  </si>
  <si>
    <t>DSBGA</t>
  </si>
  <si>
    <t/>
  </si>
  <si>
    <t>-40 to 125</t>
  </si>
  <si>
    <t>2.75 x 2.25</t>
  </si>
  <si>
    <t>ACTIVE</t>
  </si>
  <si>
    <t>16-channel, 12-bit PWM LED driver with 6-bit dot correction and pre-charge FET</t>
  </si>
  <si>
    <t>LED display drivers</t>
  </si>
  <si>
    <t>Catalog</t>
  </si>
  <si>
    <t>HTSSOP,VQFN</t>
  </si>
  <si>
    <t/>
  </si>
  <si>
    <t>-40 to 85</t>
  </si>
  <si>
    <t>28,32</t>
  </si>
  <si>
    <t>25,62.08</t>
  </si>
  <si>
    <t>5 x 5,9.7 x 6.4</t>
  </si>
  <si>
    <t>1,1.2</t>
  </si>
  <si>
    <t>0.5,0.65</t>
  </si>
  <si>
    <t>ACTIVE</t>
  </si>
  <si>
    <t>High Efficient Single Inductor Buck-Boost Converter with 2-A Switches</t>
  </si>
  <si>
    <t>AC/DC &amp; DC/DC converters (integrated FET)</t>
  </si>
  <si>
    <t>Catalog</t>
  </si>
  <si>
    <t>Buck-Boost</t>
  </si>
  <si>
    <t>DSBGA</t>
  </si>
  <si>
    <t/>
  </si>
  <si>
    <t>-40 to 125</t>
  </si>
  <si>
    <t>1.8 x 2.2</t>
  </si>
  <si>
    <t>ACTIVE</t>
  </si>
  <si>
    <t>High Efficient Single Inductor Buck-Boost Converter with 2-A Switches</t>
  </si>
  <si>
    <t>AC/DC &amp; DC/DC converters (integrated FET)</t>
  </si>
  <si>
    <t>Catalog</t>
  </si>
  <si>
    <t>Buck-Boost</t>
  </si>
  <si>
    <t>DSBGA</t>
  </si>
  <si>
    <t/>
  </si>
  <si>
    <t>-40 to 125</t>
  </si>
  <si>
    <t>1.8 x 2.2</t>
  </si>
  <si>
    <t>ACTIVE</t>
  </si>
  <si>
    <t>High Efficient Single Inductor Buck-Boost Converter with 2-A Switches</t>
  </si>
  <si>
    <t>AC/DC &amp; DC/DC converters (integrated FET)</t>
  </si>
  <si>
    <t>Catalog</t>
  </si>
  <si>
    <t>Buck-Boost</t>
  </si>
  <si>
    <t>DSBGA</t>
  </si>
  <si>
    <t/>
  </si>
  <si>
    <t>-40 to 125</t>
  </si>
  <si>
    <t>1.8 x 2.2</t>
  </si>
  <si>
    <t>ACTIVE</t>
  </si>
  <si>
    <t>Two DCDC and One LDO Configurable PMIC</t>
  </si>
  <si>
    <t>Multi-channel ICs (PMICs)</t>
  </si>
  <si>
    <t>Catalog</t>
  </si>
  <si>
    <t>WQFN</t>
  </si>
  <si>
    <t/>
  </si>
  <si>
    <t>-40 to 125</t>
  </si>
  <si>
    <t>5 x 4</t>
  </si>
  <si>
    <t>ACTIVE</t>
  </si>
  <si>
    <t>Automotive Grade 4.5-35V, Hysteretic Non-Synchronous PFET Buck Controller with Enable Pin</t>
  </si>
  <si>
    <t>AC/DC &amp; DC/DC controllers (external FET)</t>
  </si>
  <si>
    <t>Automotive</t>
  </si>
  <si>
    <t>Buck Controller</t>
  </si>
  <si>
    <t>VSSOP</t>
  </si>
  <si>
    <t/>
  </si>
  <si>
    <t>-40 to 125</t>
  </si>
  <si>
    <t>3 x 4.9</t>
  </si>
  <si>
    <t>ACTIVE</t>
  </si>
  <si>
    <t>16-bit constant-current LED sink driver</t>
  </si>
  <si>
    <t>LED display drivers</t>
  </si>
  <si>
    <t>Catalog</t>
  </si>
  <si>
    <t>HTSSOP,SOIC,SSOP</t>
  </si>
  <si>
    <t/>
  </si>
  <si>
    <t>-40 to 125</t>
  </si>
  <si>
    <t>49.92,51.9,159.65</t>
  </si>
  <si>
    <t>15.5 x 10.3,7.8 x 6.4,8.65 x 6</t>
  </si>
  <si>
    <t>1.2,1.75,2.65</t>
  </si>
  <si>
    <t>0.635,0.65,1.27</t>
  </si>
  <si>
    <t>ACTIVE</t>
  </si>
  <si>
    <t>16-bit constant-current LED sink driver with short detection</t>
  </si>
  <si>
    <t>LED display drivers</t>
  </si>
  <si>
    <t>Catalog</t>
  </si>
  <si>
    <t>HTSSOP,SOIC,SSOP</t>
  </si>
  <si>
    <t/>
  </si>
  <si>
    <t>-40 to 125</t>
  </si>
  <si>
    <t>49.92,51.9,159.65</t>
  </si>
  <si>
    <t>15.5 x 10.3,7.8 x 6.4,8.65 x 6</t>
  </si>
  <si>
    <t>1.2,1.75,2.65</t>
  </si>
  <si>
    <t>0.635,0.65,1.27</t>
  </si>
  <si>
    <t>ACTIVE</t>
  </si>
  <si>
    <t>low quiescent current, Accurate programmable-delay supervisor</t>
  </si>
  <si>
    <t>Reset &amp; watchdog ICs</t>
  </si>
  <si>
    <t>Catalog</t>
  </si>
  <si>
    <t>WSON</t>
  </si>
  <si>
    <t/>
  </si>
  <si>
    <t>-40 to 125</t>
  </si>
  <si>
    <t>2 x 2</t>
  </si>
  <si>
    <t>ACTIVE</t>
  </si>
  <si>
    <t>500-mA, 6-MHz Synchronous Step-Down Converter in Chip Scale Packaging</t>
  </si>
  <si>
    <t>AC/DC &amp; DC/DC converters (integrated FET)</t>
  </si>
  <si>
    <t>Catalog</t>
  </si>
  <si>
    <t>Buck</t>
  </si>
  <si>
    <t>DSBGA</t>
  </si>
  <si>
    <t/>
  </si>
  <si>
    <t>-40 to 85</t>
  </si>
  <si>
    <t>1 x 1.4000000000000001</t>
  </si>
  <si>
    <t>ACTIVE</t>
  </si>
  <si>
    <t>4.5-36V, 3A Current Mode Synchronous Buck Regulator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</si>
  <si>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</si>
  <si>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</si>
  <si>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</si>
  <si>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</si>
  <si>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</si>
  <si>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</si>
  <si>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</si>
  <si>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</si>
  <si>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4.5-36V, 3A Current Mode Synchronous Buck Regulator with Frequency Synchronization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</si>
  <si>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</si>
  <si>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</si>
  <si>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</si>
  <si>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</si>
  <si>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</si>
  <si>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</si>
  <si>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</si>
  <si>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</si>
  <si>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Simple N-channel controller for constant current LED drivers</t>
  </si>
  <si>
    <t>Illumination  LED drivers</t>
  </si>
  <si>
    <t>Catalog</t>
  </si>
  <si>
    <t>Boost,Boost Controller,Buck-Boost</t>
  </si>
  <si>
    <t>HTSSOP</t>
  </si>
  <si>
    <t/>
  </si>
  <si>
    <t>-40 to 125</t>
  </si>
  <si>
    <t>5 x 6.4</t>
  </si>
  <si>
    <t>ACTIVE</t>
  </si>
  <si>
    <t>Automotive Simple N-channel controller for constant current LED drivers</t>
  </si>
  <si>
    <t>Automotive LED drivers</t>
  </si>
  <si>
    <t>Automotive</t>
  </si>
  <si>
    <t>Boost Controller,Buck-Boost Controller,SEPIC Controller</t>
  </si>
  <si>
    <t>HTSSOP</t>
  </si>
  <si>
    <t/>
  </si>
  <si>
    <t>-40 to 125</t>
  </si>
  <si>
    <t>5 x 6.4</t>
  </si>
  <si>
    <t>ACTIVE</t>
  </si>
  <si>
    <t>1.5-A, 20-V, ultra-low-dropout voltage regulator with reverse current protection &amp; enable</t>
  </si>
  <si>
    <t>Linear &amp; low-dropout (LDO) regulators</t>
  </si>
  <si>
    <t>Catalog</t>
  </si>
  <si>
    <t>SOT-223,TO-263</t>
  </si>
  <si>
    <t/>
  </si>
  <si>
    <t>-40 to 125</t>
  </si>
  <si>
    <t>5,6</t>
  </si>
  <si>
    <t>45.89,154.8384</t>
  </si>
  <si>
    <t>10.16 x 15.24,6.5 x 7.06</t>
  </si>
  <si>
    <t>1.8,4.83</t>
  </si>
  <si>
    <t>1.27,1.7</t>
  </si>
  <si>
    <t>ACTIVE</t>
  </si>
  <si>
    <t>Automotive voltage supervisor (reset IC) with programmable window watchdog</t>
  </si>
  <si>
    <t>Reset &amp; watchdog ICs</t>
  </si>
  <si>
    <t>Automotive</t>
  </si>
  <si>
    <t>SOT-23</t>
  </si>
  <si>
    <t>Functional Safety-Capable</t>
  </si>
  <si>
    <t>-40 to 125</t>
  </si>
  <si>
    <t>2.9 x 2.8</t>
  </si>
  <si>
    <t>ACTIVE</t>
  </si>
  <si>
    <t>700mA High Power White LED Driver with standard Logic Interface</t>
  </si>
  <si>
    <t>Illumination  LED drivers</t>
  </si>
  <si>
    <t>Catalog</t>
  </si>
  <si>
    <t>Boost,current mode</t>
  </si>
  <si>
    <t>DSBGA,VSON</t>
  </si>
  <si>
    <t/>
  </si>
  <si>
    <t>-40 to 85</t>
  </si>
  <si>
    <t>10,12</t>
  </si>
  <si>
    <t>3.9375,9</t>
  </si>
  <si>
    <t>2.25 x 1.75,3 x 3</t>
  </si>
  <si>
    <t>0.625,1</t>
  </si>
  <si>
    <t>ACTIVE</t>
  </si>
  <si>
    <t>500mA High Power White LED Driver with standard Logic Interface</t>
  </si>
  <si>
    <t>Illumination  LED drivers</t>
  </si>
  <si>
    <t>Catalog</t>
  </si>
  <si>
    <t>Boost,current mode</t>
  </si>
  <si>
    <t>DSBGA,VSON</t>
  </si>
  <si>
    <t/>
  </si>
  <si>
    <t>-40 to 85</t>
  </si>
  <si>
    <t>10,12</t>
  </si>
  <si>
    <t>3.9375,9</t>
  </si>
  <si>
    <t>2.25 x 1.75,3 x 3</t>
  </si>
  <si>
    <t>0.625,1</t>
  </si>
  <si>
    <t>ACTIVE</t>
  </si>
  <si>
    <t>1.5-A, 20-V, low-dropout voltage regulator with reverse current &amp; reverse voltage protection</t>
  </si>
  <si>
    <t>Linear &amp; low-dropout (LDO) regulators</t>
  </si>
  <si>
    <t>Catalog</t>
  </si>
  <si>
    <t>SOT-223,TO-263</t>
  </si>
  <si>
    <t/>
  </si>
  <si>
    <t>-40 to 125</t>
  </si>
  <si>
    <t>4,5,6</t>
  </si>
  <si>
    <t>45.5,45.89,154.8384</t>
  </si>
  <si>
    <t>10.16 x 15.24,6.5 x 7,6.5 x 7.06</t>
  </si>
  <si>
    <t>1.8,4.83</t>
  </si>
  <si>
    <t>1.27,1.7,2.3</t>
  </si>
  <si>
    <t>ACTIVE</t>
  </si>
  <si>
    <t>18.5-V, 3.2-A, 650-kHz / 1.2-MHz step-up DC/DC converter</t>
  </si>
  <si>
    <t>AC/DC &amp; DC/DC converters (integrated FET)</t>
  </si>
  <si>
    <t>Catalog</t>
  </si>
  <si>
    <t>Boost</t>
  </si>
  <si>
    <t>VSON,WSON</t>
  </si>
  <si>
    <t/>
  </si>
  <si>
    <t>-40 to 125</t>
  </si>
  <si>
    <t>3 x 3</t>
  </si>
  <si>
    <t>0.8,1</t>
  </si>
  <si>
    <t>ACTIVE</t>
  </si>
  <si>
    <t>3A Sink/Source DDR Termination Regulator w/ VTTREF Buffered Reference for DDR2, DDR3, DDR3L and DDR4</t>
  </si>
  <si>
    <t>DDR memory power ICs,Multi-channel ICs (PMICs)</t>
  </si>
  <si>
    <t>Catalog</t>
  </si>
  <si>
    <t>VSON</t>
  </si>
  <si>
    <t/>
  </si>
  <si>
    <t>-40 to 85</t>
  </si>
  <si>
    <t>3 x 3</t>
  </si>
  <si>
    <t>ACTIVE</t>
  </si>
  <si>
    <t>Enhanced Product 3V to 6V Input, 3A, Synchronous Buck PWM Switcher with Integrated FETs</t>
  </si>
  <si>
    <t>AC/DC &amp; DC/DC converters (integrated FET)</t>
  </si>
  <si>
    <t>HiRel Enhanced Product</t>
  </si>
  <si>
    <t>Buck</t>
  </si>
  <si>
    <t>HTSSOP</t>
  </si>
  <si>
    <t/>
  </si>
  <si>
    <t>-55 to 125</t>
  </si>
  <si>
    <t>6.5 x 6.4</t>
  </si>
  <si>
    <t>ACTIVE</t>
  </si>
  <si>
    <t>3-75V Wide Vin, Current Mode Non-Synchronous Buck-Boost Controller</t>
  </si>
  <si>
    <t>AC/DC &amp; DC/DC controllers (external FET)</t>
  </si>
  <si>
    <t>Catalog</t>
  </si>
  <si>
    <t>Buck-Boost</t>
  </si>
  <si>
    <t>HTSSOP</t>
  </si>
  <si>
    <t/>
  </si>
  <si>
    <t>-40 to 125</t>
  </si>
  <si>
    <t>6.5 x 6.4</t>
  </si>
  <si>
    <t>ACTIVE</t>
  </si>
  <si>
    <t>Dual-output synchronous D-CAP synchronous buck controller for notebook power</t>
  </si>
  <si>
    <t>AC/DC &amp; DC/DC controllers (external FET)</t>
  </si>
  <si>
    <t>Catalog</t>
  </si>
  <si>
    <t>Buck</t>
  </si>
  <si>
    <t>VQFN</t>
  </si>
  <si>
    <t/>
  </si>
  <si>
    <t>-40 to 85</t>
  </si>
  <si>
    <t>5 x 5</t>
  </si>
  <si>
    <t>ACTIVE</t>
  </si>
  <si>
    <t>High efficiency charge pump for 7 WLEDs with I2C interface with 0x76 I2C slave address</t>
  </si>
  <si>
    <t>Backlight LED drivers</t>
  </si>
  <si>
    <t>Catalog</t>
  </si>
  <si>
    <t>Boost</t>
  </si>
  <si>
    <t>WQFN</t>
  </si>
  <si>
    <t/>
  </si>
  <si>
    <t>-40 to 85</t>
  </si>
  <si>
    <t>3 x 3</t>
  </si>
  <si>
    <t>ACTIVE</t>
  </si>
  <si>
    <t>Single Inductor Multiple Outputs (SIMO) for Positive and Negative Output</t>
  </si>
  <si>
    <t>LCD &amp; OLED display power &amp; drivers</t>
  </si>
  <si>
    <t>Catalog</t>
  </si>
  <si>
    <t>Buck-Boost</t>
  </si>
  <si>
    <t>WQFN</t>
  </si>
  <si>
    <t/>
  </si>
  <si>
    <t>-40 to 85</t>
  </si>
  <si>
    <t>3 x 3</t>
  </si>
  <si>
    <t>ACTIVE</t>
  </si>
  <si>
    <t>Dual-Phase,  D-CAP+&amp;trade; Mode Step Down Power Management IC for 50A+ Applications</t>
  </si>
  <si>
    <t>AC/DC &amp; DC/DC controllers (external FET)</t>
  </si>
  <si>
    <t>Catalog</t>
  </si>
  <si>
    <t>Multiphase</t>
  </si>
  <si>
    <t>VQFN</t>
  </si>
  <si>
    <t/>
  </si>
  <si>
    <t>-10 to 100</t>
  </si>
  <si>
    <t>6 x 6</t>
  </si>
  <si>
    <t>ACTIVE</t>
  </si>
  <si>
    <t>16-channel, 12-bit PWM LED driver with 6-bit dot correction</t>
  </si>
  <si>
    <t>LED display drivers</t>
  </si>
  <si>
    <t>Catalog</t>
  </si>
  <si>
    <t>HTSSOP,TSSOP,VQFN</t>
  </si>
  <si>
    <t/>
  </si>
  <si>
    <t>-40 to 85</t>
  </si>
  <si>
    <t>28,32</t>
  </si>
  <si>
    <t>25,62.08</t>
  </si>
  <si>
    <t>5 x 5,9.7 x 6.4</t>
  </si>
  <si>
    <t>1,1.2</t>
  </si>
  <si>
    <t>0.5,0.65</t>
  </si>
  <si>
    <t>ACTIVE</t>
  </si>
  <si>
    <t>Automotive 500mA, 30V, linear voltage regulator</t>
  </si>
  <si>
    <t>Linear &amp; low-dropout (LDO) regulators</t>
  </si>
  <si>
    <t>Automotive</t>
  </si>
  <si>
    <t>SOT-223</t>
  </si>
  <si>
    <t/>
  </si>
  <si>
    <t>-40 to 125</t>
  </si>
  <si>
    <t>6.5 x 7</t>
  </si>
  <si>
    <t>ACTIVE</t>
  </si>
  <si>
    <t>SIMPLE SWITCHER® 4.5V to 42V, 500mA Step-Down Voltage Regulator with Adjustable Frequency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</si>
  <si>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</si>
  <si>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</si>
  <si>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</si>
  <si>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</si>
  <si>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</si>
  <si>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</si>
  <si>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</si>
  <si>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</si>
  <si>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500mA SIMPLE SWITCHER&amp;reg;, Step-Down Voltage Regulator with Adjustable Frequency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</si>
  <si>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</si>
  <si>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</si>
  <si>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</si>
  <si>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</si>
  <si>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</si>
  <si>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</si>
  <si>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</si>
  <si>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</si>
  <si>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SIMPLE SWITCHER® 4.5V to 42V, 1A Step-Down Voltage Regulator with Adjustable Frequency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</si>
  <si>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</si>
  <si>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</si>
  <si>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</si>
  <si>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</si>
  <si>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</si>
  <si>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</si>
  <si>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</si>
  <si>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</si>
  <si>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1A SIMPLE SWITCHER&amp;reg;, Step-Down Voltage Regulator with Adjustable Frequency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</si>
  <si>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</si>
  <si>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</si>
  <si>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</si>
  <si>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</si>
  <si>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</si>
  <si>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</si>
  <si>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</si>
  <si>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</si>
  <si>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8.5-V to 15-V dual channel hot swap controller with Oring</t>
  </si>
  <si>
    <t>Hot-swap controllers</t>
  </si>
  <si>
    <t>Catalog</t>
  </si>
  <si>
    <t>VQFN</t>
  </si>
  <si>
    <t/>
  </si>
  <si>
    <t>-40 to 85</t>
  </si>
  <si>
    <t>7 x 7</t>
  </si>
  <si>
    <t>ACTIVE</t>
  </si>
  <si>
    <t>8.5-V to 15-V dual channel hot swap controller with Oring and Ad-VancedMC compliance</t>
  </si>
  <si>
    <t>Hot-swap controllers</t>
  </si>
  <si>
    <t>Catalog</t>
  </si>
  <si>
    <t>VQFN</t>
  </si>
  <si>
    <t/>
  </si>
  <si>
    <t>-40 to 85</t>
  </si>
  <si>
    <t>6 x 6</t>
  </si>
  <si>
    <t>ACTIVE</t>
  </si>
  <si>
    <t>550kHz/1.6MHz 1.5A Step-Down DC-DC Switching Regulator</t>
  </si>
  <si>
    <t>AC/DC &amp; DC/DC converters (integrated FET)</t>
  </si>
  <si>
    <t>Catalog</t>
  </si>
  <si>
    <t>Buck</t>
  </si>
  <si>
    <t>HVSSOP,WSON</t>
  </si>
  <si>
    <t/>
  </si>
  <si>
    <t>-40 to 125</t>
  </si>
  <si>
    <t>9,14.7</t>
  </si>
  <si>
    <t>3 x 3,3 x 4.9</t>
  </si>
  <si>
    <t>0.8,1.1</t>
  </si>
  <si>
    <t>0.5,0.65</t>
  </si>
  <si>
    <t>ACTIVE</t>
  </si>
  <si>
    <t>Battery Charger Management and Regulator Unit with Integrated Boomer Audio Amplifier</t>
  </si>
  <si>
    <t>Multi-channel ICs (PMICs)</t>
  </si>
  <si>
    <t>Catalog</t>
  </si>
  <si>
    <t>WQFN</t>
  </si>
  <si>
    <t/>
  </si>
  <si>
    <t>-40 to 85</t>
  </si>
  <si>
    <t>5 x 5</t>
  </si>
  <si>
    <t>ACTIVE</t>
  </si>
  <si>
    <t>Automotive non-inverting 4-A/4-A dual-channel low side gate driver</t>
  </si>
  <si>
    <t>Low-side drivers</t>
  </si>
  <si>
    <t>Automotive</t>
  </si>
  <si>
    <t>SOIC</t>
  </si>
  <si>
    <t/>
  </si>
  <si>
    <t>-40 to 125</t>
  </si>
  <si>
    <t>4.9 x 6</t>
  </si>
  <si>
    <t>ACTIVE</t>
  </si>
  <si>
    <t>4A 500 kHz / 1 MHz  Synchronous Buck Regulator</t>
  </si>
  <si>
    <t>AC/DC &amp; DC/DC converters (integrated FET)</t>
  </si>
  <si>
    <t>Catalog</t>
  </si>
  <si>
    <t>Buck</t>
  </si>
  <si>
    <t>HTSSOP</t>
  </si>
  <si>
    <t/>
  </si>
  <si>
    <t>-40 to 85</t>
  </si>
  <si>
    <t>5 x 6.4</t>
  </si>
  <si>
    <t>ACTIVE</t>
  </si>
  <si>
    <t>90V active clamp voltage mode PWM controller with P or N-channel clamp FET and 90% max duty cycle</t>
  </si>
  <si>
    <t>AC/DC &amp; DC/DC controllers (external FET)</t>
  </si>
  <si>
    <t>Catalog</t>
  </si>
  <si>
    <t>Active-clamp forward,Forward</t>
  </si>
  <si>
    <t>TSSOP</t>
  </si>
  <si>
    <t/>
  </si>
  <si>
    <t>-40 to 125</t>
  </si>
  <si>
    <t>5 x 6.4</t>
  </si>
  <si>
    <t>ACTIVE</t>
  </si>
  <si>
    <t>Automotive 200-mA, low-IQ, low-dropout voltage regulator with enable</t>
  </si>
  <si>
    <t>Linear &amp; low-dropout (LDO) regulators</t>
  </si>
  <si>
    <t>Automotive</t>
  </si>
  <si>
    <t>SOT-23-THN,WSON</t>
  </si>
  <si>
    <t/>
  </si>
  <si>
    <t>-40 to 125</t>
  </si>
  <si>
    <t>5,6</t>
  </si>
  <si>
    <t>4,8.12</t>
  </si>
  <si>
    <t>2 x 2,2.9 x 2.8</t>
  </si>
  <si>
    <t>0.8,1.1</t>
  </si>
  <si>
    <t>0.65,0.95</t>
  </si>
  <si>
    <t>ACTIVE</t>
  </si>
  <si>
    <t>20A, 4.75V to 14V, Non-Isolated, Digital PowerTrain Module</t>
  </si>
  <si>
    <t>Power modules (integrated inductor)</t>
  </si>
  <si>
    <t>Catalog</t>
  </si>
  <si>
    <t>Buck</t>
  </si>
  <si>
    <t>DIPMODULE</t>
  </si>
  <si>
    <t/>
  </si>
  <si>
    <t>-40 to 85</t>
  </si>
  <si>
    <t>26.29 x 19.94</t>
  </si>
  <si>
    <t>ACTIVE</t>
  </si>
  <si>
    <t>Two-phase Interleaved continuous conduction mode (CCM) PFC controller</t>
  </si>
  <si>
    <t>AC/DC &amp; DC/DC controllers (external FET)</t>
  </si>
  <si>
    <t>Catalog</t>
  </si>
  <si>
    <t>Boost,PFC controller</t>
  </si>
  <si>
    <t>SOIC,TSSOP</t>
  </si>
  <si>
    <t/>
  </si>
  <si>
    <t>-40 to 125</t>
  </si>
  <si>
    <t>41.6,131.84</t>
  </si>
  <si>
    <t>12.8 x 10.3,6.5 x 6.4</t>
  </si>
  <si>
    <t>1.2,2.65</t>
  </si>
  <si>
    <t>0.65,1.27</t>
  </si>
  <si>
    <t>ACTIVE</t>
  </si>
  <si>
    <t>7-channel, high efficiency 175-mA charge pump for white LED backlight</t>
  </si>
  <si>
    <t>Backlight LED drivers</t>
  </si>
  <si>
    <t>Catalog</t>
  </si>
  <si>
    <t>Boost</t>
  </si>
  <si>
    <t>WQFN</t>
  </si>
  <si>
    <t/>
  </si>
  <si>
    <t>-40 to 85</t>
  </si>
  <si>
    <t>3 x 3</t>
  </si>
  <si>
    <t>ACTIVE</t>
  </si>
  <si>
    <t>150-mA, nano-IQ, low-dropout voltage regulator with pin-selectable, dual-level output voltage</t>
  </si>
  <si>
    <t>Linear &amp; low-dropout (LDO) regulators</t>
  </si>
  <si>
    <t>Catalog</t>
  </si>
  <si>
    <t>SOT-23-THN,WSON</t>
  </si>
  <si>
    <t/>
  </si>
  <si>
    <t>-40 to 125</t>
  </si>
  <si>
    <t>5,6</t>
  </si>
  <si>
    <t>4,8.12</t>
  </si>
  <si>
    <t>2 x 2,2.9 x 2.8</t>
  </si>
  <si>
    <t>0.8,1.1</t>
  </si>
  <si>
    <t>0.65,0.95</t>
  </si>
  <si>
    <t>ACTIVE</t>
  </si>
  <si>
    <t>150-mA, ultra-low-IQ, low-dropout voltage regulator with enable</t>
  </si>
  <si>
    <t>Linear &amp; low-dropout (LDO) regulators</t>
  </si>
  <si>
    <t>Catalog</t>
  </si>
  <si>
    <t>SOT-23-THN,WSON</t>
  </si>
  <si>
    <t/>
  </si>
  <si>
    <t>-40 to 125</t>
  </si>
  <si>
    <t>5,6</t>
  </si>
  <si>
    <t>4,8.12</t>
  </si>
  <si>
    <t>2 x 2,2.9 x 2.8</t>
  </si>
  <si>
    <t>0.8,1.1</t>
  </si>
  <si>
    <t>0.65,0.95</t>
  </si>
  <si>
    <t>ACTIVE</t>
  </si>
  <si>
    <t>N-channel controllers for constant current LED drivers with series DIM FET driver and fault flag</t>
  </si>
  <si>
    <t>Illumination  LED drivers</t>
  </si>
  <si>
    <t>Catalog</t>
  </si>
  <si>
    <t>Boost,Boost Controller,Buck-Boost,SEPIC</t>
  </si>
  <si>
    <t>HTSSOP</t>
  </si>
  <si>
    <t/>
  </si>
  <si>
    <t>-40 to 125</t>
  </si>
  <si>
    <t>6.5 x 6.4</t>
  </si>
  <si>
    <t>ACTIVE</t>
  </si>
  <si>
    <t>Automotive N-channel constant current LED controller with series DIM FET driver and fault flag</t>
  </si>
  <si>
    <t>Automotive LED drivers</t>
  </si>
  <si>
    <t>Automotive</t>
  </si>
  <si>
    <t>Boost Controller,Buck-Boost Controller,SEPIC Controller</t>
  </si>
  <si>
    <t>HTSSOP</t>
  </si>
  <si>
    <t/>
  </si>
  <si>
    <t>-40 to 150</t>
  </si>
  <si>
    <t>6.5 x 6.4</t>
  </si>
  <si>
    <t>ACTIVE</t>
  </si>
  <si>
    <t>2.25MHz 1A Step-Down Converter in 2x2mm SON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</si>
  <si>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</si>
  <si>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</si>
  <si>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</si>
  <si>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</si>
  <si>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</si>
  <si>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</si>
  <si>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</si>
  <si>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</si>
  <si>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2.3x2mm, 8-33V, 1.25A, Constant On-Time Non-Synchronous Buck Regulator w/ Intelligent Current Limit</t>
  </si>
  <si>
    <t>AC/DC &amp; DC/DC converters (integrated FET)</t>
  </si>
  <si>
    <t>Catalog</t>
  </si>
  <si>
    <t>Buck</t>
  </si>
  <si>
    <t>DSBGA</t>
  </si>
  <si>
    <t/>
  </si>
  <si>
    <t>-40 to 125</t>
  </si>
  <si>
    <t>2.25 x 1.75</t>
  </si>
  <si>
    <t>ACTIVE</t>
  </si>
  <si>
    <t>4.5~52V Wide Input Range Boost/SEPIC/Flyback DC-DC Controller</t>
  </si>
  <si>
    <t>AC/DC &amp; DC/DC controllers (external FET)</t>
  </si>
  <si>
    <t>Catalog</t>
  </si>
  <si>
    <t>Boost,Flyback,Forward,SEPIC</t>
  </si>
  <si>
    <t>HVSSOP,VSON</t>
  </si>
  <si>
    <t>Functional Safety-Capable</t>
  </si>
  <si>
    <t>-40 to 125</t>
  </si>
  <si>
    <t>9,14.7</t>
  </si>
  <si>
    <t>3 x 3,3 x 4.9</t>
  </si>
  <si>
    <t>1,1.1</t>
  </si>
  <si>
    <t>ACTIVE</t>
  </si>
  <si>
    <t>4.5-V to 52-V wide input range current mode boost controller with 260-mV reference voltage</t>
  </si>
  <si>
    <t>AC/DC &amp; DC/DC controllers (external FET)</t>
  </si>
  <si>
    <t>Catalog</t>
  </si>
  <si>
    <t>Boost,Flyback,Forward,SEPIC</t>
  </si>
  <si>
    <t>HVSSOP,VSON</t>
  </si>
  <si>
    <t>Functional Safety-Capable</t>
  </si>
  <si>
    <t>-40 to 125</t>
  </si>
  <si>
    <t>9,14.7</t>
  </si>
  <si>
    <t>3 x 3,3 x 4.9</t>
  </si>
  <si>
    <t>1,1.1</t>
  </si>
  <si>
    <t>ACTIVE</t>
  </si>
  <si>
    <t>High frequency 1 A automotive step-down DC/DC converter</t>
  </si>
  <si>
    <t>AC/DC &amp; DC/DC converters (integrated FET)</t>
  </si>
  <si>
    <t>Automotive</t>
  </si>
  <si>
    <t>Buck</t>
  </si>
  <si>
    <t>SOT-23</t>
  </si>
  <si>
    <t/>
  </si>
  <si>
    <t>-40 to 125</t>
  </si>
  <si>
    <t>2.9 x 2.8</t>
  </si>
  <si>
    <t>ACTIVE</t>
  </si>
  <si>
    <t>Automotive grade 3 rail simple power sequencer with fixed time delay</t>
  </si>
  <si>
    <t>Sequencers</t>
  </si>
  <si>
    <t>Automotive</t>
  </si>
  <si>
    <t>SOT-23</t>
  </si>
  <si>
    <t/>
  </si>
  <si>
    <t>-40 to 125</t>
  </si>
  <si>
    <t>2.9 x 2.8</t>
  </si>
  <si>
    <t>ACTIVE</t>
  </si>
  <si>
    <t>2.25MHz 600mA Step-Down Converter in 2x2mm SON/TSOT23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</si>
  <si>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</si>
  <si>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</si>
  <si>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</si>
  <si>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</si>
  <si>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</si>
  <si>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</si>
  <si>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</si>
  <si>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</si>
  <si>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3 to 20 V input, 1 A, high frequency automotive step-down converter with light load efficiency</t>
  </si>
  <si>
    <t>AC/DC &amp; DC/DC converters (integrated FET)</t>
  </si>
  <si>
    <t>Automotive</t>
  </si>
  <si>
    <t>Buck</t>
  </si>
  <si>
    <t>SOT-23-THN,WSON</t>
  </si>
  <si>
    <t/>
  </si>
  <si>
    <t>-40 to 125</t>
  </si>
  <si>
    <t>8.12,9</t>
  </si>
  <si>
    <t>2.9 x 2.8,3 x 3</t>
  </si>
  <si>
    <t>0.8,1.1</t>
  </si>
  <si>
    <t>ACTIVE</t>
  </si>
  <si>
    <t>10A, 4.75V to 14V, Non-Isolated, Digital PowerTrain Module</t>
  </si>
  <si>
    <t>Power modules (integrated inductor)</t>
  </si>
  <si>
    <t>Catalog</t>
  </si>
  <si>
    <t>Buck</t>
  </si>
  <si>
    <t>DIPMODULE</t>
  </si>
  <si>
    <t/>
  </si>
  <si>
    <t>-40 to 85</t>
  </si>
  <si>
    <t>19.94 x 16.76</t>
  </si>
  <si>
    <t>ACTIVE</t>
  </si>
  <si>
    <t>4.5-V to 24-V, synchronous dual-D-CAP buck controller</t>
  </si>
  <si>
    <t>AC/DC &amp; DC/DC controllers (external FET)</t>
  </si>
  <si>
    <t>Catalog</t>
  </si>
  <si>
    <t>Buck</t>
  </si>
  <si>
    <t>TSSOP,VQFN</t>
  </si>
  <si>
    <t/>
  </si>
  <si>
    <t>-40 to 85</t>
  </si>
  <si>
    <t>24,28</t>
  </si>
  <si>
    <t>16,62.08</t>
  </si>
  <si>
    <t>4 x 4,9.7 x 6.4</t>
  </si>
  <si>
    <t>1,1.2</t>
  </si>
  <si>
    <t>0.5,0.65</t>
  </si>
  <si>
    <t>ACTIVE</t>
  </si>
  <si>
    <t>Radiation-hardened QMLV, 4.2-V to 60-V input, 500-mA adjustable output linear regulator</t>
  </si>
  <si>
    <t>Linear &amp; low-dropout (LDO) regulators</t>
  </si>
  <si>
    <t>Space</t>
  </si>
  <si>
    <t>CFP,DIESALE,TO-CAN</t>
  </si>
  <si>
    <t/>
  </si>
  <si>
    <t>-55 to 125</t>
  </si>
  <si>
    <t>0,3,16</t>
  </si>
  <si>
    <t>62.9285,91.6742,See data sheet</t>
  </si>
  <si>
    <t>10.03 x 9.14,9.91 x 6.35,See data sheet</t>
  </si>
  <si>
    <t>2.03,4.7,—</t>
  </si>
  <si>
    <t>1.27,5.08,—</t>
  </si>
  <si>
    <t>ACTIVE</t>
  </si>
  <si>
    <t>16-bit Fast-Mode Plus (FM+) I2C-Bus constant-current LED sink driver</t>
  </si>
  <si>
    <t>RGB LED drivers</t>
  </si>
  <si>
    <t>Catalog</t>
  </si>
  <si>
    <t>Linear</t>
  </si>
  <si>
    <t>TSSOP,VQFN</t>
  </si>
  <si>
    <t/>
  </si>
  <si>
    <t>-40 to 85</t>
  </si>
  <si>
    <t>28,32</t>
  </si>
  <si>
    <t>25,62.08</t>
  </si>
  <si>
    <t>5 x 5,9.7 x 6.4</t>
  </si>
  <si>
    <t>1,1.2</t>
  </si>
  <si>
    <t>0.5,0.65</t>
  </si>
  <si>
    <t>ACTIVE</t>
  </si>
  <si>
    <t>2.25MHz 600mA Step-Down Converter in 2x2mm SON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</si>
  <si>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</si>
  <si>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</si>
  <si>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</si>
  <si>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</si>
  <si>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</si>
  <si>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</si>
  <si>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</si>
  <si>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</si>
  <si>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2-ch, 1A loading, 1.6A ILIMIT, 2.7-5.5V, 70mΩ USB power switch, active-low</t>
  </si>
  <si>
    <t>USB power switches &amp; charging port controllers</t>
  </si>
  <si>
    <t>Catalog</t>
  </si>
  <si>
    <t>SOIC,VSON</t>
  </si>
  <si>
    <t/>
  </si>
  <si>
    <t>-40 to 125</t>
  </si>
  <si>
    <t>9,29.4</t>
  </si>
  <si>
    <t>3 x 3,4.9 x 6</t>
  </si>
  <si>
    <t>1,1.75</t>
  </si>
  <si>
    <t>0.65,1.27</t>
  </si>
  <si>
    <t>ACTIVE</t>
  </si>
  <si>
    <t>2.25MHz 1A Step-Down Converter in 2x2mm SON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</si>
  <si>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</si>
  <si>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</si>
  <si>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</si>
  <si>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</si>
  <si>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</si>
  <si>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</si>
  <si>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</si>
  <si>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</si>
  <si>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3 rail simple power sequencer with adjustable time delay</t>
  </si>
  <si>
    <t>Sequencers</t>
  </si>
  <si>
    <t>Catalog</t>
  </si>
  <si>
    <t>VSSOP</t>
  </si>
  <si>
    <t/>
  </si>
  <si>
    <t>-40 to 125</t>
  </si>
  <si>
    <t>3 x 4.9</t>
  </si>
  <si>
    <t>ACTIVE</t>
  </si>
  <si>
    <t>TPS65024x Power Management IC (PMIC) with 3 DC/DCs, 3 LDOs, I2C Interface and DVS</t>
  </si>
  <si>
    <t>Multi-channel ICs (PMICs)</t>
  </si>
  <si>
    <t>Catalog</t>
  </si>
  <si>
    <t>VQFN</t>
  </si>
  <si>
    <t/>
  </si>
  <si>
    <t>-40 to 85</t>
  </si>
  <si>
    <t>5 x 5</t>
  </si>
  <si>
    <t>ACTIVE</t>
  </si>
  <si>
    <t>6-channel Power Management IC (PMIC) for single cell Li-ion systems</t>
  </si>
  <si>
    <t>Multi-channel ICs (PMICs)</t>
  </si>
  <si>
    <t>Catalog</t>
  </si>
  <si>
    <t>VQFN</t>
  </si>
  <si>
    <t/>
  </si>
  <si>
    <t>-40 to 85</t>
  </si>
  <si>
    <t>5 x 5</t>
  </si>
  <si>
    <t>ACTIVE</t>
  </si>
  <si>
    <t>Power Management IC (PMIC) for Li-Ion Powered Systems</t>
  </si>
  <si>
    <t>Multi-channel ICs (PMICs)</t>
  </si>
  <si>
    <t>Catalog</t>
  </si>
  <si>
    <t>VQFN</t>
  </si>
  <si>
    <t/>
  </si>
  <si>
    <t>-40 to 85</t>
  </si>
  <si>
    <t>5 x 5</t>
  </si>
  <si>
    <t>ACTIVE</t>
  </si>
  <si>
    <t>2.9V to 17V hot swap controller with power limiting and power good signal</t>
  </si>
  <si>
    <t>Hot-swap controllers</t>
  </si>
  <si>
    <t>Catalog</t>
  </si>
  <si>
    <t>VSSOP</t>
  </si>
  <si>
    <t/>
  </si>
  <si>
    <t>-40 to 85</t>
  </si>
  <si>
    <t>3 x 4.9</t>
  </si>
  <si>
    <t>ACTIVE</t>
  </si>
  <si>
    <t>2.9-V to 17-V hot swap controller with power limiting and power good</t>
  </si>
  <si>
    <t>Hot-swap controllers</t>
  </si>
  <si>
    <t>Catalog</t>
  </si>
  <si>
    <t>VSSOP</t>
  </si>
  <si>
    <t/>
  </si>
  <si>
    <t>-40 to 85</t>
  </si>
  <si>
    <t>3 x 4.9</t>
  </si>
  <si>
    <t>ACTIVE</t>
  </si>
  <si>
    <t>Low-Ripple 1.8V/1.6V Spread-Spectrum Switched Capacitor Step-Down Regulator</t>
  </si>
  <si>
    <t>AC/DC &amp; DC/DC converters (integrated FET)</t>
  </si>
  <si>
    <t>Catalog</t>
  </si>
  <si>
    <t>DSBGA</t>
  </si>
  <si>
    <t/>
  </si>
  <si>
    <t>-30 to 85</t>
  </si>
  <si>
    <t>1.75 x 1.75</t>
  </si>
  <si>
    <t>ACTIVE</t>
  </si>
  <si>
    <t>350-mA constant, constant current output floating buck switching converter for high power LEDs</t>
  </si>
  <si>
    <t>Illumination  LED drivers</t>
  </si>
  <si>
    <t>Catalog</t>
  </si>
  <si>
    <t>Buck</t>
  </si>
  <si>
    <t>HVSSOP</t>
  </si>
  <si>
    <t/>
  </si>
  <si>
    <t>-40 to 125</t>
  </si>
  <si>
    <t>3 x 4.9</t>
  </si>
  <si>
    <t>ACTIVE</t>
  </si>
  <si>
    <t>4.5V to 42V, 500mA SIMPLE SWITCHER® buck converter with precision enable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</si>
  <si>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</si>
  <si>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</si>
  <si>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</si>
  <si>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</si>
  <si>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</si>
  <si>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</si>
  <si>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</si>
  <si>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</si>
  <si>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500 mA SIMPLE SWITCHER&amp;reg;, Step-Down Voltage Regulator with Precision Enable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</si>
  <si>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</si>
  <si>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</si>
  <si>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</si>
  <si>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</si>
  <si>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</si>
  <si>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</si>
  <si>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</si>
  <si>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</si>
  <si>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4.5V to 42V, 1A SIMPLE SWITCHER® buck converter with precision enable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</si>
  <si>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</si>
  <si>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</si>
  <si>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</si>
  <si>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</si>
  <si>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</si>
  <si>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</si>
  <si>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</si>
  <si>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</si>
  <si>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1A SIMPLE SWITCHER, Step-Down Voltage Regulator with Precision Enable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</si>
  <si>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</si>
  <si>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</si>
  <si>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</si>
  <si>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</si>
  <si>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</si>
  <si>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</si>
  <si>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</si>
  <si>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</si>
  <si>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1.2A dual flash LED driver System with I2C compatible interface</t>
  </si>
  <si>
    <t>Illumination  LED drivers</t>
  </si>
  <si>
    <t>Catalog</t>
  </si>
  <si>
    <t>Boost,current mode</t>
  </si>
  <si>
    <t>WSON</t>
  </si>
  <si>
    <t/>
  </si>
  <si>
    <t>-30 to 85</t>
  </si>
  <si>
    <t>3 x 3</t>
  </si>
  <si>
    <t>ACTIVE</t>
  </si>
  <si>
    <t>Automotive 4.5V to 52V Non-Synchronous Voltage Mode Buck Controller with P-Channel FET Driver</t>
  </si>
  <si>
    <t>AC/DC &amp; DC/DC controllers (external FET)</t>
  </si>
  <si>
    <t>Automotive</t>
  </si>
  <si>
    <t>Buck Controller</t>
  </si>
  <si>
    <t>SOIC</t>
  </si>
  <si>
    <t/>
  </si>
  <si>
    <t>-40 to 125</t>
  </si>
  <si>
    <t>4.9 x 6</t>
  </si>
  <si>
    <t>ACTIVE</t>
  </si>
  <si>
    <t>Automotive 8-bit constant-current LED sink drivers</t>
  </si>
  <si>
    <t>Automotive LED drivers</t>
  </si>
  <si>
    <t>Automotive</t>
  </si>
  <si>
    <t>Current Sink</t>
  </si>
  <si>
    <t>SOIC</t>
  </si>
  <si>
    <t/>
  </si>
  <si>
    <t>-40 to 125</t>
  </si>
  <si>
    <t>9.9 x 6</t>
  </si>
  <si>
    <t>ACTIVE</t>
  </si>
  <si>
    <t>Automotive 8-bit constant-current LED sink drivers with Vled Short detection</t>
  </si>
  <si>
    <t>Automotive LED drivers</t>
  </si>
  <si>
    <t>Automotive</t>
  </si>
  <si>
    <t>Current Sink</t>
  </si>
  <si>
    <t>SOIC</t>
  </si>
  <si>
    <t/>
  </si>
  <si>
    <t>-40 to 125</t>
  </si>
  <si>
    <t>9.9 x 6</t>
  </si>
  <si>
    <t>ACTIVE</t>
  </si>
  <si>
    <t>1.5A white LED driver for notebooks with external 3.3V IC supply</t>
  </si>
  <si>
    <t>Backlight LED drivers</t>
  </si>
  <si>
    <t>Catalog</t>
  </si>
  <si>
    <t>Boost</t>
  </si>
  <si>
    <t>WQFN</t>
  </si>
  <si>
    <t/>
  </si>
  <si>
    <t>-40 to 85</t>
  </si>
  <si>
    <t>3 x 3</t>
  </si>
  <si>
    <t>ACTIVE</t>
  </si>
  <si>
    <t>1.5A white LED driver for notebooks with build in LDO</t>
  </si>
  <si>
    <t>Backlight LED drivers</t>
  </si>
  <si>
    <t>Catalog</t>
  </si>
  <si>
    <t>Boost</t>
  </si>
  <si>
    <t>WQFN</t>
  </si>
  <si>
    <t/>
  </si>
  <si>
    <t>-40 to 85</t>
  </si>
  <si>
    <t>3 x 3</t>
  </si>
  <si>
    <t>ACTIVE</t>
  </si>
  <si>
    <t>1.5A white LED driver for notebooks with build in LDO and 1.3MHz switching frequency</t>
  </si>
  <si>
    <t>Backlight LED drivers</t>
  </si>
  <si>
    <t>Catalog</t>
  </si>
  <si>
    <t>Boost</t>
  </si>
  <si>
    <t>WQFN</t>
  </si>
  <si>
    <t/>
  </si>
  <si>
    <t>-40 to 85</t>
  </si>
  <si>
    <t>3 x 3</t>
  </si>
  <si>
    <t>ACTIVE</t>
  </si>
  <si>
    <t>4.5V to 42V, 300mA SIMPLE SWITCHER® buck converter in thin SOT-23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</si>
  <si>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</si>
  <si>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</si>
  <si>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</si>
  <si>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</si>
  <si>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</si>
  <si>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</si>
  <si>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</si>
  <si>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</si>
  <si>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SIMPLE SWITCHER&amp;reg; 42V, 300mA Step-Down DC/DC Regulator in Thin SOT-23</t>
  </si>
  <si>
    <t>AC/DC &amp; DC/DC converters (integrated FET)</t>
  </si>
  <si>
    <t>Automotive</t>
  </si>
  <si>
    <t>Buck</t>
  </si>
  <si>
    <t>SOT-23-THN</t>
  </si>
  <si>
    <t/>
  </si>
  <si>
    <t>-40 to 125</t>
  </si>
  <si>
    <t>2.9 x 2.8</t>
  </si>
  <si>
    <t>ACTIVE</t>
  </si>
  <si>
    <t>Low Pin Count, Low Vin, Synchronous Buck DCDC Controller with Tracking</t>
  </si>
  <si>
    <t>AC/DC &amp; DC/DC controllers (external FET)</t>
  </si>
  <si>
    <t>Catalog</t>
  </si>
  <si>
    <t>VSON</t>
  </si>
  <si>
    <t/>
  </si>
  <si>
    <t>-40 to 85</t>
  </si>
  <si>
    <t>3 x 3</t>
  </si>
  <si>
    <t>ACTIVE</t>
  </si>
  <si>
    <t>16-bit ES-PWM with 7-bit Device level brightness control</t>
  </si>
  <si>
    <t>LED display drivers</t>
  </si>
  <si>
    <t>Catalog</t>
  </si>
  <si>
    <t>HTSSOP,VQFN</t>
  </si>
  <si>
    <t/>
  </si>
  <si>
    <t>-40 to 85</t>
  </si>
  <si>
    <t>28,32</t>
  </si>
  <si>
    <t>25,62.08</t>
  </si>
  <si>
    <t>5 x 5,9.7 x 6.4</t>
  </si>
  <si>
    <t>1,1.2</t>
  </si>
  <si>
    <t>0.5,0.65</t>
  </si>
  <si>
    <t>ACTIVE</t>
  </si>
  <si>
    <t>Dual Phase D-CAP+&amp;trade;Mode Step Down Controller for IMVP6+ CPU/GPU Vcore</t>
  </si>
  <si>
    <t>AC/DC &amp; DC/DC controllers (external FET)</t>
  </si>
  <si>
    <t>Catalog</t>
  </si>
  <si>
    <t>Multiphase</t>
  </si>
  <si>
    <t>VQFN</t>
  </si>
  <si>
    <t/>
  </si>
  <si>
    <t>-10 to 100</t>
  </si>
  <si>
    <t>6 x 6</t>
  </si>
  <si>
    <t>ACTIVE</t>
  </si>
  <si>
    <t>500-mA, low-VIN (0.8-V), adjustable ultra-low-dropout voltage regulator with power good &amp; enable</t>
  </si>
  <si>
    <t>Linear &amp; low-dropout (LDO) regulators</t>
  </si>
  <si>
    <t>Catalog</t>
  </si>
  <si>
    <t>VSON</t>
  </si>
  <si>
    <t/>
  </si>
  <si>
    <t>-40 to 125</t>
  </si>
  <si>
    <t>3 x 3</t>
  </si>
  <si>
    <t>ACTIVE</t>
  </si>
  <si>
    <t>2 MHz 650mA Step-Down Converter for RF Power Amplifiers in tiny 8-pin WCSP Package</t>
  </si>
  <si>
    <t>AC/DC &amp; DC/DC converters (integrated FET)</t>
  </si>
  <si>
    <t>Catalog</t>
  </si>
  <si>
    <t>Buck</t>
  </si>
  <si>
    <t>DSBGA</t>
  </si>
  <si>
    <t/>
  </si>
  <si>
    <t>-40 to 85</t>
  </si>
  <si>
    <t>1.75 x 1.75</t>
  </si>
  <si>
    <t>ACTIVE</t>
  </si>
  <si>
    <t>Enhanced product, low input voltage, cap-free, 150-mA low-dropout linear regular</t>
  </si>
  <si>
    <t>Linear &amp; low-dropout (LDO) regulators</t>
  </si>
  <si>
    <t>HiRel Enhanced Product</t>
  </si>
  <si>
    <t>SOT-23</t>
  </si>
  <si>
    <t/>
  </si>
  <si>
    <t>-55 to 125</t>
  </si>
  <si>
    <t>2.9 x 2.8</t>
  </si>
  <si>
    <t>ACTIVE</t>
  </si>
  <si>
    <t>1A, 3MHz Buck Converter with I2C for Dynamic Voltage Scaling</t>
  </si>
  <si>
    <t>AC/DC &amp; DC/DC converters (integrated FET)</t>
  </si>
  <si>
    <t>Catalog</t>
  </si>
  <si>
    <t>Buck</t>
  </si>
  <si>
    <t>DSBGA</t>
  </si>
  <si>
    <t/>
  </si>
  <si>
    <t>-40 to 85</t>
  </si>
  <si>
    <t>2.25 x 1.75</t>
  </si>
  <si>
    <t>ACTIVE</t>
  </si>
  <si>
    <t>Automotive 5.5V to 36V, 500kHz Fixed Frequency 2A Buck Converter</t>
  </si>
  <si>
    <t>AC/DC &amp; DC/DC converters (integrated FET)</t>
  </si>
  <si>
    <t>Automotive</t>
  </si>
  <si>
    <t>Buck</t>
  </si>
  <si>
    <t>SOIC</t>
  </si>
  <si>
    <t/>
  </si>
  <si>
    <t>-40 to 125</t>
  </si>
  <si>
    <t>4.9 x 6</t>
  </si>
  <si>
    <t>ACTIVE</t>
  </si>
  <si>
    <t>2.25MHz 400mA Step-Down Converter with Selectable VOUT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</si>
  <si>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</si>
  <si>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</si>
  <si>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</si>
  <si>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</si>
  <si>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</si>
  <si>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</si>
  <si>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</si>
  <si>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</si>
  <si>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Automotive 5.5V to 36V, 500kHz Fixed Frequency 3A Buck Converter</t>
  </si>
  <si>
    <t>AC/DC &amp; DC/DC converters (integrated FET)</t>
  </si>
  <si>
    <t>Automotive</t>
  </si>
  <si>
    <t>Buck</t>
  </si>
  <si>
    <t>HSOIC</t>
  </si>
  <si>
    <t/>
  </si>
  <si>
    <t>-40 to 125</t>
  </si>
  <si>
    <t>4.9 x 6</t>
  </si>
  <si>
    <t>ACTIVE</t>
  </si>
  <si>
    <t>1.5-A, adjustable ultra-low-dropout voltage regulator</t>
  </si>
  <si>
    <t>Linear &amp; low-dropout (LDO) regulators</t>
  </si>
  <si>
    <t>Catalog</t>
  </si>
  <si>
    <t>TO-263,WSON</t>
  </si>
  <si>
    <t/>
  </si>
  <si>
    <t>-40 to 125</t>
  </si>
  <si>
    <t>5,8</t>
  </si>
  <si>
    <t>7.5,142.3416,154.8384</t>
  </si>
  <si>
    <t>10.16 x 14.01,10.16 x 15.24,3 x 2.5</t>
  </si>
  <si>
    <t>0.8,2.1,4.83</t>
  </si>
  <si>
    <t>0.5,1.7</t>
  </si>
  <si>
    <t>ACTIVE</t>
  </si>
  <si>
    <t>1.5-A, adjustable ultra-low-dropout voltage regulator with enable</t>
  </si>
  <si>
    <t>Linear &amp; low-dropout (LDO) regulators</t>
  </si>
  <si>
    <t>Catalog</t>
  </si>
  <si>
    <t>TO-263,WSON</t>
  </si>
  <si>
    <t/>
  </si>
  <si>
    <t>-40 to 125</t>
  </si>
  <si>
    <t>5,8</t>
  </si>
  <si>
    <t>7.5,142.3416,154.8384</t>
  </si>
  <si>
    <t>10.16 x 14.01,10.16 x 15.24,3 x 2.5</t>
  </si>
  <si>
    <t>0.8,2.1,4.83</t>
  </si>
  <si>
    <t>0.5,1.7</t>
  </si>
  <si>
    <t>ACTIVE</t>
  </si>
  <si>
    <t>Automotive 0.5A loading, 2.7-5.5V, 105mΩ USB power switch, active-high</t>
  </si>
  <si>
    <t>USB power switches &amp; charging port controllers</t>
  </si>
  <si>
    <t>Automotive</t>
  </si>
  <si>
    <t>SOIC</t>
  </si>
  <si>
    <t>Functional Safety-Capable</t>
  </si>
  <si>
    <t>-40 to 125</t>
  </si>
  <si>
    <t>4.9 x 6</t>
  </si>
  <si>
    <t>ACTIVE</t>
  </si>
  <si>
    <t>Automotive 2-ch, 0.5A loading, 2.7-5.5V, 70mΩ USB power switch, active-low</t>
  </si>
  <si>
    <t>USB power switches &amp; charging port controllers</t>
  </si>
  <si>
    <t>Automotive</t>
  </si>
  <si>
    <t>SOIC</t>
  </si>
  <si>
    <t/>
  </si>
  <si>
    <t>-40 to 125</t>
  </si>
  <si>
    <t>4.9 x 6</t>
  </si>
  <si>
    <t>ACTIVE</t>
  </si>
  <si>
    <t>3-V to 28-V, synchronous peak current mode buck controller for notebook power</t>
  </si>
  <si>
    <t>AC/DC &amp; DC/DC controllers (external FET)</t>
  </si>
  <si>
    <t>Catalog</t>
  </si>
  <si>
    <t>Buck</t>
  </si>
  <si>
    <t>VQFN</t>
  </si>
  <si>
    <t/>
  </si>
  <si>
    <t>-40 to 85</t>
  </si>
  <si>
    <t>5 x 5</t>
  </si>
  <si>
    <t>ACTIVE</t>
  </si>
  <si>
    <t>Enhanced Product 17 V, 1.5 A, Synchronous Step-Down Converter</t>
  </si>
  <si>
    <t>AC/DC &amp; DC/DC converters (integrated FET)</t>
  </si>
  <si>
    <t>HiRel Enhanced Product</t>
  </si>
  <si>
    <t>Buck</t>
  </si>
  <si>
    <t>VQFN</t>
  </si>
  <si>
    <t/>
  </si>
  <si>
    <t>-55 to 125</t>
  </si>
  <si>
    <t>4 x 4</t>
  </si>
  <si>
    <t>ACTIVE</t>
  </si>
  <si>
    <t>White LED driver with Digital and PWM brightness control in 2mm x 2mm Package</t>
  </si>
  <si>
    <t>Backlight LED drivers</t>
  </si>
  <si>
    <t>Catalog</t>
  </si>
  <si>
    <t>Boost</t>
  </si>
  <si>
    <t>WSON</t>
  </si>
  <si>
    <t/>
  </si>
  <si>
    <t>-40 to 85</t>
  </si>
  <si>
    <t>2 x 2</t>
  </si>
  <si>
    <t>ACTIVE</t>
  </si>
  <si>
    <t>White LED driver with Digital and PWM brightness control in 2mm x 2mm WSON Package</t>
  </si>
  <si>
    <t>Backlight LED drivers</t>
  </si>
  <si>
    <t>Catalog</t>
  </si>
  <si>
    <t>Boost</t>
  </si>
  <si>
    <t>WSON</t>
  </si>
  <si>
    <t/>
  </si>
  <si>
    <t>-40 to 85</t>
  </si>
  <si>
    <t>2 x 2</t>
  </si>
  <si>
    <t>ACTIVE</t>
  </si>
  <si>
    <t>High brightness white LED driver in 2mm x 2mm QFN Package</t>
  </si>
  <si>
    <t>Backlight LED drivers</t>
  </si>
  <si>
    <t>Catalog</t>
  </si>
  <si>
    <t>Boost</t>
  </si>
  <si>
    <t>SOT-23,WSON</t>
  </si>
  <si>
    <t/>
  </si>
  <si>
    <t>-40 to 85</t>
  </si>
  <si>
    <t>4,8.12</t>
  </si>
  <si>
    <t>2 x 2,2.9 x 2.8</t>
  </si>
  <si>
    <t>0.8,1.45</t>
  </si>
  <si>
    <t>0.65,0.95</t>
  </si>
  <si>
    <t>ACTIVE</t>
  </si>
  <si>
    <t>1.2A Switch, 38V High Voltage Boost Converter in 2x2mm QFN Package</t>
  </si>
  <si>
    <t>AC/DC &amp; DC/DC converters (integrated FET)</t>
  </si>
  <si>
    <t>Catalog</t>
  </si>
  <si>
    <t>Boost,Flyback,SEPIC</t>
  </si>
  <si>
    <t>WSON</t>
  </si>
  <si>
    <t/>
  </si>
  <si>
    <t>-40 to 125</t>
  </si>
  <si>
    <t>2 x 2</t>
  </si>
  <si>
    <t>ACTIVE</t>
  </si>
  <si>
    <t>3MHz, 350mA Miniature Step-Down DC-DC Converter for Ultra Low Profile Applications</t>
  </si>
  <si>
    <t>AC/DC &amp; DC/DC converters (integrated FET)</t>
  </si>
  <si>
    <t>Catalog</t>
  </si>
  <si>
    <t>Buck</t>
  </si>
  <si>
    <t>DSBGA</t>
  </si>
  <si>
    <t/>
  </si>
  <si>
    <t>-30 to 85</t>
  </si>
  <si>
    <t>1.616 x 1.25</t>
  </si>
  <si>
    <t>ACTIVE</t>
  </si>
  <si>
    <t>4-CH LCD Bias w/ Fully Int. Positive Charge Pump, LDO Controller, HVS (VDD / VGH) &amp; Temp. Sensor</t>
  </si>
  <si>
    <t>LCD &amp; OLED display power &amp; drivers</t>
  </si>
  <si>
    <t>Catalog</t>
  </si>
  <si>
    <t>Boost</t>
  </si>
  <si>
    <t>VQFN</t>
  </si>
  <si>
    <t/>
  </si>
  <si>
    <t>-40 to 85</t>
  </si>
  <si>
    <t>6 x 6</t>
  </si>
  <si>
    <t>ACTIVE</t>
  </si>
  <si>
    <t>2.95-5.5V, 3A, Current Mode Synchronous Buck Regulator with Optional Automotive Grade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</si>
  <si>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</si>
  <si>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</si>
  <si>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</si>
  <si>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</si>
  <si>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</si>
  <si>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</si>
  <si>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</si>
  <si>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</si>
  <si>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2.95-5.5V, 4A, Current Mode Synchronous Buck Regulator with Optional Automotive Grade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</si>
  <si>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</si>
  <si>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</si>
  <si>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</si>
  <si>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</si>
  <si>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</si>
  <si>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</si>
  <si>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</si>
  <si>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</si>
  <si>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2.95-5.5V, 5A, Current Mode Synchronous Buck Regulator with Optional Automotive Grade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</si>
  <si>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</si>
  <si>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</si>
  <si>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</si>
  <si>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</si>
  <si>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</si>
  <si>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</si>
  <si>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</si>
  <si>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</si>
  <si>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2.95-5.5V, 3A, Current Mode Synchronous Buck Regulator with Input Sync and Optional Automotive Grade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</si>
  <si>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</si>
  <si>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</si>
  <si>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</si>
  <si>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</si>
  <si>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</si>
  <si>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</si>
  <si>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</si>
  <si>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</si>
  <si>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2.95-5.5V, 4A, Current Mode Synchronous Buck Regulator with Input Sync and Optional Automotive Grade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</si>
  <si>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</si>
  <si>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</si>
  <si>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</si>
  <si>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</si>
  <si>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</si>
  <si>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</si>
  <si>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</si>
  <si>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</si>
  <si>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2.95-5.5V, 3A, Current Mode Synchronous Buck Regulator with Adjustable Frequency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</si>
  <si>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</si>
  <si>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</si>
  <si>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</si>
  <si>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</si>
  <si>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</si>
  <si>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</si>
  <si>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</si>
  <si>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</si>
  <si>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2.95-5.5V, 4A, Current Mode Synchronous Buck Regulator with Adjustable Frequency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</si>
  <si>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</si>
  <si>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</si>
  <si>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</si>
  <si>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</si>
  <si>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</si>
  <si>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</si>
  <si>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</si>
  <si>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</si>
  <si>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2.95-5.5V, 5A, Current Mode Synchronous Buck Regulator with Adjustable Frequency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</si>
  <si>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</si>
  <si>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</si>
  <si>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</si>
  <si>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</si>
  <si>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</si>
  <si>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</si>
  <si>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</si>
  <si>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</si>
  <si>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4A, 1MHz Synchronous Buck  Regulator with SYNCOUT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</si>
  <si>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</si>
  <si>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</si>
  <si>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</si>
  <si>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</si>
  <si>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</si>
  <si>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</si>
  <si>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</si>
  <si>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</si>
  <si>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1.2V / 300mA Step-Down Converter in 2x2mm SON/TSOT23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</si>
  <si>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</si>
  <si>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</si>
  <si>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</si>
  <si>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</si>
  <si>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</si>
  <si>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</si>
  <si>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</si>
  <si>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</si>
  <si>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10-A, 4.5V-14V Input, Non-Isolated, Wide Output, Adjustable Power Module</t>
  </si>
  <si>
    <t>Power modules (integrated inductor)</t>
  </si>
  <si>
    <t>Catalog</t>
  </si>
  <si>
    <t>Buck</t>
  </si>
  <si>
    <t>SIPMODULE</t>
  </si>
  <si>
    <t/>
  </si>
  <si>
    <t>-40 to 85</t>
  </si>
  <si>
    <t>16.51 x 11.5</t>
  </si>
  <si>
    <t>ACTIVE</t>
  </si>
  <si>
    <t>4-A, 27-V half bridge gate driver with 8-V UVLO for synchronous rectification</t>
  </si>
  <si>
    <t>Half-bridge drivers</t>
  </si>
  <si>
    <t>Catalog</t>
  </si>
  <si>
    <t>SOIC,VSON</t>
  </si>
  <si>
    <t/>
  </si>
  <si>
    <t>-40 to 125</t>
  </si>
  <si>
    <t>9,29.4</t>
  </si>
  <si>
    <t>3 x 3,4.9 x 6</t>
  </si>
  <si>
    <t>1,1.75</t>
  </si>
  <si>
    <t>0.65,1.27</t>
  </si>
  <si>
    <t>ACTIVE</t>
  </si>
  <si>
    <t>1.6-MHz, 1-A constant current buck LED driver with internal compensation</t>
  </si>
  <si>
    <t>Illumination  LED drivers</t>
  </si>
  <si>
    <t>Catalog</t>
  </si>
  <si>
    <t>Buck</t>
  </si>
  <si>
    <t>HVSSOP,SOT-23-THN</t>
  </si>
  <si>
    <t/>
  </si>
  <si>
    <t>-40 to 125</t>
  </si>
  <si>
    <t>6,8</t>
  </si>
  <si>
    <t>8.12,14.7</t>
  </si>
  <si>
    <t>2.9 x 2.8,3 x 4.9</t>
  </si>
  <si>
    <t>0.65,0.95</t>
  </si>
  <si>
    <t>ACTIVE</t>
  </si>
  <si>
    <t>4-CH LCD Bias (3.7A Min. Boost Ilim. Up to 19V, 2.3A Min. Buck Ilim)</t>
  </si>
  <si>
    <t>LCD &amp; OLED display power &amp; drivers</t>
  </si>
  <si>
    <t>Catalog</t>
  </si>
  <si>
    <t>Boost,Buck</t>
  </si>
  <si>
    <t>HTSSOP</t>
  </si>
  <si>
    <t/>
  </si>
  <si>
    <t>-40 to 85</t>
  </si>
  <si>
    <t>9.7 x 6.4</t>
  </si>
  <si>
    <t>ACTIVE</t>
  </si>
  <si>
    <t>Switched Capacitor Boost Regulator with High Impedance Output in Shutdown</t>
  </si>
  <si>
    <t>AC/DC &amp; DC/DC converters (integrated FET)</t>
  </si>
  <si>
    <t>Catalog</t>
  </si>
  <si>
    <t>DSBGA</t>
  </si>
  <si>
    <t/>
  </si>
  <si>
    <t>-30 to 85</t>
  </si>
  <si>
    <t>1.8 x 1.4000000000000001</t>
  </si>
  <si>
    <t>ACTIVE</t>
  </si>
  <si>
    <t>6-A, 4.5V to 14V Input, Non-Isolated, Wide Output, Adjustable Power Module</t>
  </si>
  <si>
    <t>Power modules (integrated inductor)</t>
  </si>
  <si>
    <t>Catalog</t>
  </si>
  <si>
    <t>Buck</t>
  </si>
  <si>
    <t>SIPMODULE</t>
  </si>
  <si>
    <t/>
  </si>
  <si>
    <t>-40 to 85</t>
  </si>
  <si>
    <t>16.51 x 11.5</t>
  </si>
  <si>
    <t>ACTIVE</t>
  </si>
  <si>
    <t>1A, 3MHz Buck Converter with I2C for Dynamic Voltage Scaling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</si>
  <si>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</si>
  <si>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</si>
  <si>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</si>
  <si>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</si>
  <si>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</si>
  <si>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</si>
  <si>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</si>
  <si>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</si>
  <si>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1.25-V, 30-ppm/°C drift, 3.9-µA, 3-pin SOT-23, 3-pin SC70, 8-pin UQFN voltage reference</t>
  </si>
  <si>
    <t>Series voltage references</t>
  </si>
  <si>
    <t>Catalog</t>
  </si>
  <si>
    <t>SOT-23,SOT-SC70,UQFN</t>
  </si>
  <si>
    <t>Functional Safety-Capable</t>
  </si>
  <si>
    <t>-40 to 125</t>
  </si>
  <si>
    <t>3,8</t>
  </si>
  <si>
    <t>2.25,4.2,6.9204</t>
  </si>
  <si>
    <t>1.5 x 1.5,2 x 2.1,2.92 x 2.37</t>
  </si>
  <si>
    <t>0.6,1.1,1.12</t>
  </si>
  <si>
    <t>0.5,0.65,0.96</t>
  </si>
  <si>
    <t>ACTIVE</t>
  </si>
  <si>
    <t>1.8-V, 30-ppm/°C drift, 3.9-µA, 3-pin SOT-23, 3-pin SC70, 8-pin UQFN voltage reference</t>
  </si>
  <si>
    <t>Series voltage references</t>
  </si>
  <si>
    <t>Catalog</t>
  </si>
  <si>
    <t>SOT-23,SOT-SC70</t>
  </si>
  <si>
    <t>Functional Safety-Capable</t>
  </si>
  <si>
    <t>-40 to 125</t>
  </si>
  <si>
    <t>4.2,6.9204</t>
  </si>
  <si>
    <t>2 x 2.1,2.92 x 2.37</t>
  </si>
  <si>
    <t>1.1,1.12</t>
  </si>
  <si>
    <t>0.65,0.96</t>
  </si>
  <si>
    <t>ACTIVE</t>
  </si>
  <si>
    <t>2.048-V, 30-ppm/°C drift, 3.9-µA, 3-pin SOT-23, 3-pin SC70, 8-pin UQFN voltage reference</t>
  </si>
  <si>
    <t>Series voltage references</t>
  </si>
  <si>
    <t>Catalog</t>
  </si>
  <si>
    <t>SOT-23,SOT-SC70</t>
  </si>
  <si>
    <t>Functional Safety-Capable</t>
  </si>
  <si>
    <t>-40 to 125</t>
  </si>
  <si>
    <t>4.2,6.9204</t>
  </si>
  <si>
    <t>2 x 2.1,2.92 x 2.37</t>
  </si>
  <si>
    <t>1.1,1.12</t>
  </si>
  <si>
    <t>0.65,0.96</t>
  </si>
  <si>
    <t>ACTIVE</t>
  </si>
  <si>
    <t>2.5-V, 30-ppm/°C drift, 3.9-µA, 3-pin SOT-23, 3-pin SC70, 8-pin UQFN voltage reference</t>
  </si>
  <si>
    <t>Series voltage references</t>
  </si>
  <si>
    <t>Catalog</t>
  </si>
  <si>
    <t>SOT-23,SOT-SC70,UQFN</t>
  </si>
  <si>
    <t>Functional Safety-Capable</t>
  </si>
  <si>
    <t>-40 to 125</t>
  </si>
  <si>
    <t>3,8</t>
  </si>
  <si>
    <t>2.25,4.2,6.9204</t>
  </si>
  <si>
    <t>1.5 x 1.5,2 x 2.1,2.92 x 2.37</t>
  </si>
  <si>
    <t>0.6,1.1,1.12</t>
  </si>
  <si>
    <t>0.5,0.65,0.96</t>
  </si>
  <si>
    <t>ACTIVE</t>
  </si>
  <si>
    <t>30-ppm/°C drift, 3.9µA, 3-pin SOT-23, 3-pin SC70, 8-pin UQFN series voltage reference</t>
  </si>
  <si>
    <t>Series voltage references</t>
  </si>
  <si>
    <t>Catalog</t>
  </si>
  <si>
    <t>SOT-23,SOT-SC70,UQFN</t>
  </si>
  <si>
    <t>Functional Safety-Capable</t>
  </si>
  <si>
    <t>-40 to 125</t>
  </si>
  <si>
    <t>3,8</t>
  </si>
  <si>
    <t>2.25,4.2,6.9204</t>
  </si>
  <si>
    <t>1.5 x 1.5,2 x 2.1,2.92 x 2.37</t>
  </si>
  <si>
    <t>0.6,1.1,1.12</t>
  </si>
  <si>
    <t>0.5,0.65,0.96</t>
  </si>
  <si>
    <t>ACTIVE</t>
  </si>
  <si>
    <t>3.3-V, 30-ppm/°C drift, 3.9-µA, 3-pin SOT-23, 3-pin SC70, 8-pin UQFN voltage reference</t>
  </si>
  <si>
    <t>Series voltage references</t>
  </si>
  <si>
    <t>Catalog</t>
  </si>
  <si>
    <t>SOT-23,SOT-SC70</t>
  </si>
  <si>
    <t>Functional Safety-Capable</t>
  </si>
  <si>
    <t>-40 to 125</t>
  </si>
  <si>
    <t>4.2,6.9204</t>
  </si>
  <si>
    <t>2 x 2.1,2.92 x 2.37</t>
  </si>
  <si>
    <t>1.1,1.12</t>
  </si>
  <si>
    <t>0.65,0.96</t>
  </si>
  <si>
    <t>ACTIVE</t>
  </si>
  <si>
    <t>200-mA, low-dropout voltage regulator with low-IQ &amp; enable</t>
  </si>
  <si>
    <t>Linear &amp; low-dropout (LDO) regulators</t>
  </si>
  <si>
    <t>Catalog</t>
  </si>
  <si>
    <t>DSBGA,WSON</t>
  </si>
  <si>
    <t/>
  </si>
  <si>
    <t>-40 to 125</t>
  </si>
  <si>
    <t>5,6</t>
  </si>
  <si>
    <t>2.02,4</t>
  </si>
  <si>
    <t>1.25 x 1.616,2 x 2</t>
  </si>
  <si>
    <t>0.625,0.8</t>
  </si>
  <si>
    <t>0.5,0.65</t>
  </si>
  <si>
    <t>ACTIVE</t>
  </si>
  <si>
    <t>Synchronous Step-Up DC/DC Converter with True Shutdown Isolation</t>
  </si>
  <si>
    <t>AC/DC &amp; DC/DC converters (integrated FET)</t>
  </si>
  <si>
    <t>Catalog</t>
  </si>
  <si>
    <t>Boost</t>
  </si>
  <si>
    <t>WSON</t>
  </si>
  <si>
    <t/>
  </si>
  <si>
    <t>-40 to 125</t>
  </si>
  <si>
    <t>3 x 3</t>
  </si>
  <si>
    <t>ACTIVE</t>
  </si>
  <si>
    <t>Enhanced Product 17-V, 1.5-A, Synchronous Step-Down Converter</t>
  </si>
  <si>
    <t>AC/DC &amp; DC/DC converters (integrated FET)</t>
  </si>
  <si>
    <t>HiRel Enhanced Product</t>
  </si>
  <si>
    <t>Buck</t>
  </si>
  <si>
    <t>VQFN</t>
  </si>
  <si>
    <t/>
  </si>
  <si>
    <t>-55 to 125</t>
  </si>
  <si>
    <t>4 x 4</t>
  </si>
  <si>
    <t>ACTIVE</t>
  </si>
  <si>
    <t>Synchronous 1MHz 2.5A Step-Down Voltage  Regulator</t>
  </si>
  <si>
    <t>AC/DC &amp; DC/DC converters (integrated FET)</t>
  </si>
  <si>
    <t>Catalog</t>
  </si>
  <si>
    <t>Buck</t>
  </si>
  <si>
    <t>DSBGA,HTSSOP</t>
  </si>
  <si>
    <t/>
  </si>
  <si>
    <t>-40 to 125</t>
  </si>
  <si>
    <t>20,28</t>
  </si>
  <si>
    <t>0.5625,41.6</t>
  </si>
  <si>
    <t>0.75 x 0.75,6.5 x 6.4</t>
  </si>
  <si>
    <t>0.675,1.2</t>
  </si>
  <si>
    <t>0.5,0.65</t>
  </si>
  <si>
    <t>ACTIVE</t>
  </si>
  <si>
    <t>Synchronous 1MHz 0.75A Step-Down Voltage  Regulator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</si>
  <si>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</si>
  <si>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</si>
  <si>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</si>
  <si>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</si>
  <si>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</si>
  <si>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</si>
  <si>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</si>
  <si>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</si>
  <si>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3-A, adjustable ultra-low-dropout voltage regulator with enable</t>
  </si>
  <si>
    <t>Linear &amp; low-dropout (LDO) regulators</t>
  </si>
  <si>
    <t>Catalog</t>
  </si>
  <si>
    <t>TO-263</t>
  </si>
  <si>
    <t/>
  </si>
  <si>
    <t>-40 to 125</t>
  </si>
  <si>
    <t>142.3416,154.8384</t>
  </si>
  <si>
    <t>10.16 x 14.01,10.16 x 15.24</t>
  </si>
  <si>
    <t>2.1,4.83</t>
  </si>
  <si>
    <t>ACTIVE</t>
  </si>
  <si>
    <t>3-A, adjustable ultra-low-dropout voltage regulator</t>
  </si>
  <si>
    <t>Linear &amp; low-dropout (LDO) regulators</t>
  </si>
  <si>
    <t>Catalog</t>
  </si>
  <si>
    <t>TO-263</t>
  </si>
  <si>
    <t/>
  </si>
  <si>
    <t>-40 to 125</t>
  </si>
  <si>
    <t>142.3416,154.8384</t>
  </si>
  <si>
    <t>10.16 x 14.01,10.16 x 15.24</t>
  </si>
  <si>
    <t>2.1,4.83</t>
  </si>
  <si>
    <t>ACTIVE</t>
  </si>
  <si>
    <t>4.5V to 28V Input, Dual 2A Output, 300kHz Step-Down Converter with Internal Compensation</t>
  </si>
  <si>
    <t>AC/DC &amp; DC/DC converters (integrated FET)</t>
  </si>
  <si>
    <t>Catalog</t>
  </si>
  <si>
    <t>Buck</t>
  </si>
  <si>
    <t>HTSSOP</t>
  </si>
  <si>
    <t/>
  </si>
  <si>
    <t>-40 to 85</t>
  </si>
  <si>
    <t>5 x 6.4</t>
  </si>
  <si>
    <t>ACTIVE</t>
  </si>
  <si>
    <t>4.5V to 28V Input, Dual 2A Output, 600kHz Step-Down Converter with Internal Compensation</t>
  </si>
  <si>
    <t>AC/DC &amp; DC/DC converters (integrated FET)</t>
  </si>
  <si>
    <t>Catalog</t>
  </si>
  <si>
    <t>Buck</t>
  </si>
  <si>
    <t>HTSSOP</t>
  </si>
  <si>
    <t/>
  </si>
  <si>
    <t>-40 to 85</t>
  </si>
  <si>
    <t>5 x 6.4</t>
  </si>
  <si>
    <t>ACTIVE</t>
  </si>
  <si>
    <t>4.5V to 28V Input, Dual 3A Outputs, 300kHz Step-Down Converter with Internal Compensation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</si>
  <si>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</si>
  <si>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</si>
  <si>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</si>
  <si>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</si>
  <si>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</si>
  <si>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</si>
  <si>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</si>
  <si>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</si>
  <si>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4.5V to 28V Input, Dual 3A Outputs, 600kHz Step-Down Converter with Internal Compensation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</si>
  <si>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</si>
  <si>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</si>
  <si>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</si>
  <si>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</si>
  <si>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</si>
  <si>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</si>
  <si>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</si>
  <si>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</si>
  <si>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525kHz/1.6MHz, constant current boost and SEPIC LED driver with internal compensation</t>
  </si>
  <si>
    <t>Illumination  LED drivers</t>
  </si>
  <si>
    <t>Catalog</t>
  </si>
  <si>
    <t>Boost,SEPIC</t>
  </si>
  <si>
    <t>HVSSOP,SOT-23,WSON</t>
  </si>
  <si>
    <t/>
  </si>
  <si>
    <t>-40 to 125</t>
  </si>
  <si>
    <t>5,6,8</t>
  </si>
  <si>
    <t>8.12,9,14.7</t>
  </si>
  <si>
    <t>2.9 x 2.8,3 x 3,3 x 4.9</t>
  </si>
  <si>
    <t>0.8,1.1,1.45</t>
  </si>
  <si>
    <t>0.65,0.95</t>
  </si>
  <si>
    <t>ACTIVE</t>
  </si>
  <si>
    <t>525kHz/1.6MHz, automotive constant current boost and SEPIC LED driver with internal compensation</t>
  </si>
  <si>
    <t>Automotive LED drivers</t>
  </si>
  <si>
    <t>Automotive</t>
  </si>
  <si>
    <t>Boost,SEPIC</t>
  </si>
  <si>
    <t>SOT-23</t>
  </si>
  <si>
    <t/>
  </si>
  <si>
    <t>-40 to 125</t>
  </si>
  <si>
    <t>2.9 x 2.8</t>
  </si>
  <si>
    <t>ACTIVE</t>
  </si>
  <si>
    <t>42-V 1.5-A constant current buck LED driver</t>
  </si>
  <si>
    <t>Illumination  LED drivers</t>
  </si>
  <si>
    <t>Catalog</t>
  </si>
  <si>
    <t>Buck</t>
  </si>
  <si>
    <t>HTSSOP</t>
  </si>
  <si>
    <t/>
  </si>
  <si>
    <t>-40 to 125</t>
  </si>
  <si>
    <t>5 x 6.4</t>
  </si>
  <si>
    <t>ACTIVE</t>
  </si>
  <si>
    <t>50A, 4.5V to 14V Input, Non-Isolated, Wide Output, Adjustable Power Module with TurboTrans</t>
  </si>
  <si>
    <t>Power modules (integrated inductor)</t>
  </si>
  <si>
    <t>Catalog</t>
  </si>
  <si>
    <t>Buck</t>
  </si>
  <si>
    <t>DIPMODULE</t>
  </si>
  <si>
    <t/>
  </si>
  <si>
    <t>-40 to 85</t>
  </si>
  <si>
    <t>39.62 x 26.92</t>
  </si>
  <si>
    <t>ACTIVE</t>
  </si>
  <si>
    <t>Hysteretic PFET controller for high power LED Drive</t>
  </si>
  <si>
    <t>Illumination  LED drivers</t>
  </si>
  <si>
    <t>Catalog</t>
  </si>
  <si>
    <t>Buck</t>
  </si>
  <si>
    <t>VSSOP</t>
  </si>
  <si>
    <t/>
  </si>
  <si>
    <t>-40 to 125</t>
  </si>
  <si>
    <t>3 x 4.9</t>
  </si>
  <si>
    <t>ACTIVE</t>
  </si>
  <si>
    <t>200-mA, low-noise, high-accuracy, dual-channel low-dropout voltage regulator with enable</t>
  </si>
  <si>
    <t>Linear &amp; low-dropout (LDO) regulators</t>
  </si>
  <si>
    <t>Catalog</t>
  </si>
  <si>
    <t>DSBGA</t>
  </si>
  <si>
    <t/>
  </si>
  <si>
    <t>-40 to 125</t>
  </si>
  <si>
    <t>1.75 x 1.25</t>
  </si>
  <si>
    <t>ACTIVE</t>
  </si>
  <si>
    <t>SIMPLE SWITCHER® CONTROLLER, 42V Synchronous Step-Down</t>
  </si>
  <si>
    <t>AC/DC &amp; DC/DC controllers (external FET)</t>
  </si>
  <si>
    <t>Catalog</t>
  </si>
  <si>
    <t>Buck Controller</t>
  </si>
  <si>
    <t>HTSSOP</t>
  </si>
  <si>
    <t/>
  </si>
  <si>
    <t>-40 to 125</t>
  </si>
  <si>
    <t>5 x 6.4</t>
  </si>
  <si>
    <t>ACTIVE</t>
  </si>
  <si>
    <t>8-bit constant-current LED sink driver with VLED short detection</t>
  </si>
  <si>
    <t>LED display drivers</t>
  </si>
  <si>
    <t>Catalog</t>
  </si>
  <si>
    <t>PDIP,SOIC,TSSOP</t>
  </si>
  <si>
    <t/>
  </si>
  <si>
    <t>-40 to 125</t>
  </si>
  <si>
    <t>32,59.4,181.42</t>
  </si>
  <si>
    <t>19.3 x 9.4,5 x 6.4,9.9 x 6</t>
  </si>
  <si>
    <t>1.2,1.75,5.08</t>
  </si>
  <si>
    <t>0.65,1.27,2.54</t>
  </si>
  <si>
    <t>ACTIVE</t>
  </si>
  <si>
    <t>Low-noise, very low-drift, wide-VIN precision voltage reference</t>
  </si>
  <si>
    <t>Series voltage references</t>
  </si>
  <si>
    <t>Catalog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</si>
  <si>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</si>
  <si>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</si>
  <si>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</si>
  <si>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</si>
  <si>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</si>
  <si>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</si>
  <si>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</si>
  <si>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</si>
  <si>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Power Management IC (PMIC) for Li-Ion Powered Systems</t>
  </si>
  <si>
    <t>Multi-channel ICs (PMICs)</t>
  </si>
  <si>
    <t>Catalog</t>
  </si>
  <si>
    <t>VQFN</t>
  </si>
  <si>
    <t/>
  </si>
  <si>
    <t>-40 to 85</t>
  </si>
  <si>
    <t>5 x 5</t>
  </si>
  <si>
    <t>ACTIVE</t>
  </si>
  <si>
    <t>Power Management IC (PMIC) for Li-Ion Powered Systems</t>
  </si>
  <si>
    <t>Multi-channel ICs (PMICs)</t>
  </si>
  <si>
    <t>Catalog</t>
  </si>
  <si>
    <t>VQFN</t>
  </si>
  <si>
    <t/>
  </si>
  <si>
    <t>-40 to 85</t>
  </si>
  <si>
    <t>5 x 5</t>
  </si>
  <si>
    <t>ACTIVE</t>
  </si>
  <si>
    <t>Power Management IC (PMIC) for Li-Ion Powered Systems</t>
  </si>
  <si>
    <t>Multi-channel ICs (PMICs)</t>
  </si>
  <si>
    <t>Catalog</t>
  </si>
  <si>
    <t>VQFN</t>
  </si>
  <si>
    <t/>
  </si>
  <si>
    <t>-40 to 85</t>
  </si>
  <si>
    <t>5 x 5</t>
  </si>
  <si>
    <t>ACTIVE</t>
  </si>
  <si>
    <t>800-mA, low-dropout voltage regulator with power good &amp; enable</t>
  </si>
  <si>
    <t>Linear &amp; low-dropout (LDO) regulators</t>
  </si>
  <si>
    <t>Catalog</t>
  </si>
  <si>
    <t>TO-263</t>
  </si>
  <si>
    <t/>
  </si>
  <si>
    <t>-40 to 125</t>
  </si>
  <si>
    <t>142.3416,154.8384</t>
  </si>
  <si>
    <t>10.16 x 14.01,10.16 x 15.24</t>
  </si>
  <si>
    <t>2.1,4.83</t>
  </si>
  <si>
    <t>ACTIVE</t>
  </si>
  <si>
    <t>1.5-A, ultra-low-dropout voltage regulator with power good &amp; enable</t>
  </si>
  <si>
    <t>Linear &amp; low-dropout (LDO) regulators</t>
  </si>
  <si>
    <t>Catalog</t>
  </si>
  <si>
    <t>TO-263</t>
  </si>
  <si>
    <t/>
  </si>
  <si>
    <t>-40 to 125</t>
  </si>
  <si>
    <t>142.3416,154.8384</t>
  </si>
  <si>
    <t>10.16 x 14.01,10.16 x 15.24</t>
  </si>
  <si>
    <t>2.1,4.83</t>
  </si>
  <si>
    <t>ACTIVE</t>
  </si>
  <si>
    <t>2.25MHz 300mA Step-Down Converter in 2x2mm SON/TSOT23 Package</t>
  </si>
  <si>
    <t>AC/DC &amp; DC/DC converters (integrated FET)</t>
  </si>
  <si>
    <t>Catalog</t>
  </si>
  <si>
    <t>Buck</t>
  </si>
  <si>
    <t>SOT-23-THN,WSON</t>
  </si>
  <si>
    <t/>
  </si>
  <si>
    <t>-40 to 85</t>
  </si>
  <si>
    <t>5,6</t>
  </si>
  <si>
    <t>4,8.12</t>
  </si>
  <si>
    <t>2 x 2,2.9 x 2.8</t>
  </si>
  <si>
    <t>0.8,1.1</t>
  </si>
  <si>
    <t>0.65,0.95</t>
  </si>
  <si>
    <t>ACTIVE</t>
  </si>
  <si>
    <t>1.8V / 300mA Step-Down Converter in 2x2mm SON/TSOT23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</si>
  <si>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</si>
  <si>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</si>
  <si>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</si>
  <si>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</si>
  <si>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</si>
  <si>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</si>
  <si>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</si>
  <si>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</si>
  <si>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2.25MHz 600mA Step-Down Converter in 2x2mm SON/TSOT23 Package</t>
  </si>
  <si>
    <t>AC/DC &amp; DC/DC converters (integrated FET)</t>
  </si>
  <si>
    <t>Catalog</t>
  </si>
  <si>
    <t>Buck</t>
  </si>
  <si>
    <t>SOT-23-THN,WSON</t>
  </si>
  <si>
    <t/>
  </si>
  <si>
    <t>-40 to 85</t>
  </si>
  <si>
    <t>5,6</t>
  </si>
  <si>
    <t>4,8.12</t>
  </si>
  <si>
    <t>2 x 2,2.9 x 2.8</t>
  </si>
  <si>
    <t>0.8,1.1</t>
  </si>
  <si>
    <t>0.65,0.95</t>
  </si>
  <si>
    <t>ACTIVE</t>
  </si>
  <si>
    <t>2.25MHz 600mA Step-Down Converter in 2x2mm SON/TSOT23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</si>
  <si>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</si>
  <si>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</si>
  <si>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</si>
  <si>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</si>
  <si>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</si>
  <si>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</si>
  <si>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</si>
  <si>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</si>
  <si>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2.25MHz 600mA Step-Down Converter in 2x2mm SON/TSOT23 Package</t>
  </si>
  <si>
    <t>AC/DC &amp; DC/DC converters (integrated FET)</t>
  </si>
  <si>
    <t>Catalog</t>
  </si>
  <si>
    <t>Buck</t>
  </si>
  <si>
    <t>SOT-23-THN,WSON</t>
  </si>
  <si>
    <t/>
  </si>
  <si>
    <t>-40 to 85</t>
  </si>
  <si>
    <t>5,6</t>
  </si>
  <si>
    <t>4,8.12</t>
  </si>
  <si>
    <t>2 x 2,2.9 x 2.8</t>
  </si>
  <si>
    <t>0.8,1.1</t>
  </si>
  <si>
    <t>0.65,0.95</t>
  </si>
  <si>
    <t>ACTIVE</t>
  </si>
  <si>
    <t>2.25MHz 1A Step-Down Converter in 2x2mm SON Package</t>
  </si>
  <si>
    <t>AC/DC &amp; DC/DC converters (integrated FET)</t>
  </si>
  <si>
    <t>Catalog</t>
  </si>
  <si>
    <t>Buck</t>
  </si>
  <si>
    <t>WSON</t>
  </si>
  <si>
    <t/>
  </si>
  <si>
    <t>-40 to 85</t>
  </si>
  <si>
    <t>2 x 2</t>
  </si>
  <si>
    <t>ACTIVE</t>
  </si>
  <si>
    <t>200-mA, high-PSRR, dual-channel low-dropout voltage regulator with enable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</si>
  <si>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</si>
  <si>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</si>
  <si>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</si>
  <si>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</si>
  <si>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</si>
  <si>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</si>
  <si>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</si>
  <si>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12-channel RGB/White-LED driver with SPI/I2C Interface</t>
  </si>
  <si>
    <t>RGB LED drivers</t>
  </si>
  <si>
    <t>Catalog</t>
  </si>
  <si>
    <t>Boost</t>
  </si>
  <si>
    <t>DSBGA</t>
  </si>
  <si>
    <t/>
  </si>
  <si>
    <t>-30 to 85</t>
  </si>
  <si>
    <t>3.25 x 3.25</t>
  </si>
  <si>
    <t>ACTIVE</t>
  </si>
  <si>
    <t>8-bit constant-current LED sink driver</t>
  </si>
  <si>
    <t>LED display drivers</t>
  </si>
  <si>
    <t>Catalog</t>
  </si>
  <si>
    <t>PDIP,SOIC,TSSOP</t>
  </si>
  <si>
    <t/>
  </si>
  <si>
    <t>-40 to 125</t>
  </si>
  <si>
    <t>32,59.4,181.42</t>
  </si>
  <si>
    <t>19.3 x 9.4,5 x 6.4,9.9 x 6</t>
  </si>
  <si>
    <t>1.2,1.75,5.08</t>
  </si>
  <si>
    <t>0.65,1.27,2.54</t>
  </si>
  <si>
    <t>ACTIVE</t>
  </si>
  <si>
    <t>Power Supply Sequencer and Monitor</t>
  </si>
  <si>
    <t>Sequencers</t>
  </si>
  <si>
    <t>Catalog</t>
  </si>
  <si>
    <t>VQFN</t>
  </si>
  <si>
    <t/>
  </si>
  <si>
    <t>-40 to 85</t>
  </si>
  <si>
    <t>5 x 5</t>
  </si>
  <si>
    <t>ACTIVE</t>
  </si>
  <si>
    <t>800-mA, low-VIN (0.915-V), adjustable ultra-low-dropout voltage regulator with enable</t>
  </si>
  <si>
    <t>Linear &amp; low-dropout (LDO) regulators</t>
  </si>
  <si>
    <t>Catalog</t>
  </si>
  <si>
    <t>HSOIC,TO-220,TO-263</t>
  </si>
  <si>
    <t/>
  </si>
  <si>
    <t>-40 to 125</t>
  </si>
  <si>
    <t>7,8</t>
  </si>
  <si>
    <t>29.4,82.6008,153.924</t>
  </si>
  <si>
    <t>10.1 x 15.24,10.16 x 8.13,4.9 x 6</t>
  </si>
  <si>
    <t>1.7,5,20.89</t>
  </si>
  <si>
    <t>ACTIVE</t>
  </si>
  <si>
    <t>3-A, low-VIN (0.8-V) adjustable ultra-low-dropout voltage regulator with power good and enable</t>
  </si>
  <si>
    <t>Linear &amp; low-dropout (LDO) regulators</t>
  </si>
  <si>
    <t>Catalog</t>
  </si>
  <si>
    <t>TO-263,VQFN,VSON</t>
  </si>
  <si>
    <t/>
  </si>
  <si>
    <t>-40 to 125</t>
  </si>
  <si>
    <t>7,10,20</t>
  </si>
  <si>
    <t>9,25,153.924</t>
  </si>
  <si>
    <t>10.1 x 15.24,3 x 3,5 x 5</t>
  </si>
  <si>
    <t>1,5</t>
  </si>
  <si>
    <t>0.5,0.65,1.27</t>
  </si>
  <si>
    <t>ACTIVE</t>
  </si>
  <si>
    <t>Natural interleaved dual-phase transition-mode PFC controller</t>
  </si>
  <si>
    <t>AC/DC &amp; DC/DC controllers (external FET)</t>
  </si>
  <si>
    <t>Catalog</t>
  </si>
  <si>
    <t>Boost,PFC controller</t>
  </si>
  <si>
    <t>SOIC</t>
  </si>
  <si>
    <t/>
  </si>
  <si>
    <t>-40 to 125</t>
  </si>
  <si>
    <t>9.9 x 6</t>
  </si>
  <si>
    <t>ACTIVE</t>
  </si>
  <si>
    <t>22-CH Gamma-Voltage Generator and Vcom Calibrator with Integrated Two-Bank Memory</t>
  </si>
  <si>
    <t>LCD &amp; OLED display power &amp; drivers</t>
  </si>
  <si>
    <t>Catalog</t>
  </si>
  <si>
    <t>HTSSOP</t>
  </si>
  <si>
    <t/>
  </si>
  <si>
    <t>-40 to 95</t>
  </si>
  <si>
    <t>9.7 x 6.4</t>
  </si>
  <si>
    <t>ACTIVE</t>
  </si>
  <si>
    <t>9-channel RGB/White LED driver with internal program memory and integrated charge Pump - DSBGA</t>
  </si>
  <si>
    <t>RGB LED drivers</t>
  </si>
  <si>
    <t>Catalog</t>
  </si>
  <si>
    <t>Charge pump</t>
  </si>
  <si>
    <t>DSBGA</t>
  </si>
  <si>
    <t/>
  </si>
  <si>
    <t>-30 to 85</t>
  </si>
  <si>
    <t>2.2 x 2.2</t>
  </si>
  <si>
    <t>ACTIVE</t>
  </si>
  <si>
    <t>Dual 2MHz 1.5A buck regulators and dual 300mA LDOs with individual enable and power good</t>
  </si>
  <si>
    <t>Multi-channel ICs (PMICs)</t>
  </si>
  <si>
    <t>Catalog</t>
  </si>
  <si>
    <t>WQFN</t>
  </si>
  <si>
    <t/>
  </si>
  <si>
    <t>-40 to 85</t>
  </si>
  <si>
    <t>4 x 4</t>
  </si>
  <si>
    <t>ACTIVE</t>
  </si>
  <si>
    <t>Externally configurable dual 1.5A step-down DC/DC and dual 300mA linear regulators</t>
  </si>
  <si>
    <t>Multi-channel ICs (PMICs)</t>
  </si>
  <si>
    <t>Automotive</t>
  </si>
  <si>
    <t>WQFN</t>
  </si>
  <si>
    <t/>
  </si>
  <si>
    <t>-40 to 125</t>
  </si>
  <si>
    <t>4 x 4</t>
  </si>
  <si>
    <t>ACTIVE</t>
  </si>
  <si>
    <t>8-50V, 1.25A Constant On-Time Non-Synchronous Buck Regulator</t>
  </si>
  <si>
    <t>AC/DC &amp; DC/DC converters (integrated FET)</t>
  </si>
  <si>
    <t>Catalog</t>
  </si>
  <si>
    <t>Buck</t>
  </si>
  <si>
    <t>WSON</t>
  </si>
  <si>
    <t/>
  </si>
  <si>
    <t>-40 to 125</t>
  </si>
  <si>
    <t>4 x 4</t>
  </si>
  <si>
    <t>ACTIVE</t>
  </si>
  <si>
    <t>4-CH LCD Bias w/ Integrated Input-to-Output Isolation Switch, 2 Op-Amps &amp; GPM</t>
  </si>
  <si>
    <t>LCD &amp; OLED display power &amp; drivers</t>
  </si>
  <si>
    <t>Catalog</t>
  </si>
  <si>
    <t>Boost,Buck</t>
  </si>
  <si>
    <t>VQFN</t>
  </si>
  <si>
    <t/>
  </si>
  <si>
    <t>-40 to 85</t>
  </si>
  <si>
    <t>7 x 7</t>
  </si>
  <si>
    <t>ACTIVE</t>
  </si>
  <si>
    <t>2x1.5mm, 8-40V Wide Vin, 600mA, Constant On-Time Non-Synchronous Buck Regulator</t>
  </si>
  <si>
    <t>AC/DC &amp; DC/DC converters (integrated FET)</t>
  </si>
  <si>
    <t>Catalog</t>
  </si>
  <si>
    <t>Buck</t>
  </si>
  <si>
    <t>DSBGA</t>
  </si>
  <si>
    <t/>
  </si>
  <si>
    <t>-40 to 125</t>
  </si>
  <si>
    <t>2.25 x 1.75</t>
  </si>
  <si>
    <t>ACTIVE</t>
  </si>
  <si>
    <t>1.225-V, 0.1% 50-ppm/°C precision micropower shunt voltage reference</t>
  </si>
  <si>
    <t>Shunt voltage references</t>
  </si>
  <si>
    <t>Catalog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</si>
  <si>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</si>
  <si>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</si>
  <si>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</si>
  <si>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</si>
  <si>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</si>
  <si>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</si>
  <si>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</si>
  <si>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</si>
  <si>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</si>
  <si>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1.225-V, 0.2% 50-ppm/°C precision micropower shunt voltage reference</t>
  </si>
  <si>
    <t>Shunt voltage references</t>
  </si>
  <si>
    <t>Catalog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</si>
  <si>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</si>
  <si>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</si>
  <si>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</si>
  <si>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</si>
  <si>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</si>
  <si>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</si>
  <si>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</si>
  <si>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</si>
  <si>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</si>
  <si>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1.225-V, 0.5% 50-ppm/°C precision micropower shunt voltage reference</t>
  </si>
  <si>
    <t>Shunt voltage references</t>
  </si>
  <si>
    <t>Catalog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</si>
  <si>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</si>
  <si>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</si>
  <si>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</si>
  <si>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</si>
  <si>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</si>
  <si>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</si>
  <si>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</si>
  <si>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</si>
  <si>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</si>
  <si>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Adjustable, 600-mA switch, 1200-kHz boost converter in ThinSOT-23 with power-saving mode</t>
  </si>
  <si>
    <t>AC/DC &amp; DC/DC converters (integrated FET)</t>
  </si>
  <si>
    <t>Catalog</t>
  </si>
  <si>
    <t>Boost</t>
  </si>
  <si>
    <t>SOT-23-THN</t>
  </si>
  <si>
    <t/>
  </si>
  <si>
    <t>-40 to 125</t>
  </si>
  <si>
    <t>2.9 x 2.8</t>
  </si>
  <si>
    <t>ACTIVE</t>
  </si>
  <si>
    <t>1.5A Switching Regulator with High Efficiency Sleep Mode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</si>
  <si>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</si>
  <si>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</si>
  <si>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</si>
  <si>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</si>
  <si>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</si>
  <si>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</si>
  <si>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</si>
  <si>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</si>
  <si>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65kHz continuous conduction mode (CCM) PFC controller</t>
  </si>
  <si>
    <t>AC/DC &amp; DC/DC controllers (external FET)</t>
  </si>
  <si>
    <t>Catalog</t>
  </si>
  <si>
    <t>Boost,PFC controller</t>
  </si>
  <si>
    <t>SOIC</t>
  </si>
  <si>
    <t/>
  </si>
  <si>
    <t>-40 to 125</t>
  </si>
  <si>
    <t>4.9 x 6</t>
  </si>
  <si>
    <t>ACTIVE</t>
  </si>
  <si>
    <t>High efficiency charge pump for 7 WLEDs with I2C interface with 0x77 I2C slave address</t>
  </si>
  <si>
    <t>Backlight LED drivers</t>
  </si>
  <si>
    <t>Catalog</t>
  </si>
  <si>
    <t>Boost</t>
  </si>
  <si>
    <t>WQFN</t>
  </si>
  <si>
    <t/>
  </si>
  <si>
    <t>-40 to 85</t>
  </si>
  <si>
    <t>3 x 3</t>
  </si>
  <si>
    <t>ACTIVE</t>
  </si>
  <si>
    <t>1.2A high power white LED driver with I2C compatible interface, DSBGA package</t>
  </si>
  <si>
    <t>Illumination  LED drivers</t>
  </si>
  <si>
    <t>Catalog</t>
  </si>
  <si>
    <t>Boost,current mode</t>
  </si>
  <si>
    <t>DSBGA,VSON</t>
  </si>
  <si>
    <t/>
  </si>
  <si>
    <t>-40 to 85</t>
  </si>
  <si>
    <t>10,12</t>
  </si>
  <si>
    <t>3.9375,9</t>
  </si>
  <si>
    <t>2.25 x 1.75,3 x 3</t>
  </si>
  <si>
    <t>0.625,1</t>
  </si>
  <si>
    <t>ACTIVE</t>
  </si>
  <si>
    <t>16-A, 2.2-V to 5.5-V Input, Ceramic Cap Version, Non-Isolated, Wide-Output, Power Module w/ TurboTra</t>
  </si>
  <si>
    <t>Power modules (integrated inductor)</t>
  </si>
  <si>
    <t>Catalog</t>
  </si>
  <si>
    <t>Buck</t>
  </si>
  <si>
    <t>DIPMODULE</t>
  </si>
  <si>
    <t/>
  </si>
  <si>
    <t>-40 to 85</t>
  </si>
  <si>
    <t>26.29 x 19.94</t>
  </si>
  <si>
    <t>—</t>
  </si>
  <si>
    <t>ACTIVE</t>
  </si>
  <si>
    <t>2-ch, 1A loading, 2.7-5.5V, 70mΩ USB power switch, active-high, output discharge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</si>
  <si>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</si>
  <si>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</si>
  <si>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</si>
  <si>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</si>
  <si>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</si>
  <si>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</si>
  <si>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</si>
  <si>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SN070305</t>
  </si>
  <si>
    <t>LCD &amp; OLED display power &amp; drivers</t>
  </si>
  <si>
    <t>Catalog</t>
  </si>
  <si>
    <t>HTSSOP</t>
  </si>
  <si>
    <t/>
  </si>
  <si>
    <t xml:space="preserve"> to </t>
  </si>
  <si>
    <t>9.7 x 6.4</t>
  </si>
  <si>
    <t>ACTIVE</t>
  </si>
  <si>
    <t>Fixed voltage, 0.1%, 50-ppm/°C precision micropower shunt voltage reference</t>
  </si>
  <si>
    <t>AC/DC &amp; DC/DC controllers (external FET)</t>
  </si>
  <si>
    <t>Catalog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</si>
  <si>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</si>
  <si>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</si>
  <si>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</si>
  <si>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</si>
  <si>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</si>
  <si>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</si>
  <si>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</si>
  <si>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</si>
  <si>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</si>
  <si>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Fixed voltage, 0.2%, 50-ppm/°C precision micropower shunt voltage reference</t>
  </si>
  <si>
    <t>AC/DC &amp; DC/DC controllers (external FET)</t>
  </si>
  <si>
    <t>Catalog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</si>
  <si>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</si>
  <si>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</si>
  <si>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</si>
  <si>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</si>
  <si>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</si>
  <si>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</si>
  <si>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</si>
  <si>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</si>
  <si>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</si>
  <si>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Fixed voltage, 0.5%, 50-ppm/°C precision micropower shunt voltage reference</t>
  </si>
  <si>
    <t>Shunt voltage references</t>
  </si>
  <si>
    <t>Catalog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</si>
  <si>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</si>
  <si>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</si>
  <si>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</si>
  <si>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</si>
  <si>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</si>
  <si>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</si>
  <si>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</si>
  <si>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</si>
  <si>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</si>
  <si>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1.5A loading, 2.7-5.5V, 70mΩ USB power switch, active-low, reverse blocking</t>
  </si>
  <si>
    <t>USB power switches &amp; charging port controllers</t>
  </si>
  <si>
    <t>Catalog</t>
  </si>
  <si>
    <t>HVSSOP,SOIC</t>
  </si>
  <si>
    <t/>
  </si>
  <si>
    <t>-40 to 105</t>
  </si>
  <si>
    <t>14.7,29.4</t>
  </si>
  <si>
    <t>3 x 4.9,4.9 x 6</t>
  </si>
  <si>
    <t>1.1,1.75</t>
  </si>
  <si>
    <t>0.65,1.27</t>
  </si>
  <si>
    <t>ACTIVE</t>
  </si>
  <si>
    <t>1.5A loading, 2.7-5.5V, 70mΩ USB power switch, active-high, reverse blocking</t>
  </si>
  <si>
    <t>USB power switches &amp; charging port controllers</t>
  </si>
  <si>
    <t>Catalog</t>
  </si>
  <si>
    <t>HVSSOP</t>
  </si>
  <si>
    <t/>
  </si>
  <si>
    <t>-40 to 105</t>
  </si>
  <si>
    <t>3 x 4.9</t>
  </si>
  <si>
    <t>ACTIVE</t>
  </si>
  <si>
    <t>1.5-A DDR termination regulator with shutdown pin</t>
  </si>
  <si>
    <t>Multi-channel ICs (PMICs),DDR memory power ICs</t>
  </si>
  <si>
    <t>Catalog</t>
  </si>
  <si>
    <t>HSOIC,SOIC</t>
  </si>
  <si>
    <t/>
  </si>
  <si>
    <t>-40 to 125</t>
  </si>
  <si>
    <t>4.9 x 6</t>
  </si>
  <si>
    <t>1.7,1.75</t>
  </si>
  <si>
    <t>ACTIVE</t>
  </si>
  <si>
    <t>16-channel LED driver w/dot correction &amp; grayscale PWM control &amp; no delay</t>
  </si>
  <si>
    <t>LED display drivers</t>
  </si>
  <si>
    <t>Catalog</t>
  </si>
  <si>
    <t>HTSSOP,VQFN</t>
  </si>
  <si>
    <t/>
  </si>
  <si>
    <t>-40 to 85</t>
  </si>
  <si>
    <t>28,32</t>
  </si>
  <si>
    <t>25,62.08</t>
  </si>
  <si>
    <t>5 x 5,9.7 x 6.4</t>
  </si>
  <si>
    <t>1,1.2</t>
  </si>
  <si>
    <t>0.5,0.65</t>
  </si>
  <si>
    <t>ACTIVE</t>
  </si>
  <si>
    <t>10-A, 2.2-V to 5.5-V Input, Ceramic Cap Version, Non-Iso, Wide-Output, Adj Power Module w/TurboTrans</t>
  </si>
  <si>
    <t>Power modules (integrated inductor)</t>
  </si>
  <si>
    <t>Catalog</t>
  </si>
  <si>
    <t>Buck</t>
  </si>
  <si>
    <t>DIPMODULE</t>
  </si>
  <si>
    <t/>
  </si>
  <si>
    <t>-40 to 85</t>
  </si>
  <si>
    <t>23.11 x 16.76</t>
  </si>
  <si>
    <t>ACTIVE</t>
  </si>
  <si>
    <t>Synchronous magnetic constant current white LED driver</t>
  </si>
  <si>
    <t>Backlight LED drivers</t>
  </si>
  <si>
    <t>Catalog</t>
  </si>
  <si>
    <t>Boost</t>
  </si>
  <si>
    <t>DSBGA</t>
  </si>
  <si>
    <t/>
  </si>
  <si>
    <t>-30 to 85</t>
  </si>
  <si>
    <t>1.75 x 1.75</t>
  </si>
  <si>
    <t>ACTIVE</t>
  </si>
  <si>
    <t>6-42V Wide Vin, Current Mode Synchronous Buck Controller</t>
  </si>
  <si>
    <t>AC/DC &amp; DC/DC controllers (external FET)</t>
  </si>
  <si>
    <t>Catalog</t>
  </si>
  <si>
    <t>Buck Controller</t>
  </si>
  <si>
    <t>HTSSOP</t>
  </si>
  <si>
    <t/>
  </si>
  <si>
    <t>-40 to 125</t>
  </si>
  <si>
    <t>6.5 x 6.4</t>
  </si>
  <si>
    <t>ACTIVE</t>
  </si>
  <si>
    <t>-9-V to -80-V hot swap controller with power limiting</t>
  </si>
  <si>
    <t>Hot-swap controllers</t>
  </si>
  <si>
    <t>Catalog</t>
  </si>
  <si>
    <t>SOIC,VSSOP</t>
  </si>
  <si>
    <t/>
  </si>
  <si>
    <t>-40 to 125</t>
  </si>
  <si>
    <t>10,14</t>
  </si>
  <si>
    <t>14.7,92.8372375</t>
  </si>
  <si>
    <t>3 x 4.9,8.9915 x 10.325</t>
  </si>
  <si>
    <t>1.1,2.65</t>
  </si>
  <si>
    <t>0.5,1.27</t>
  </si>
  <si>
    <t>ACTIVE</t>
  </si>
  <si>
    <t>Automotive 450-mA off-battery (42V) low-dropout voltage regulator with reverse voltage protection</t>
  </si>
  <si>
    <t>AC/DC &amp; DC/DC controllers (external FET)</t>
  </si>
  <si>
    <t>Automotive</t>
  </si>
  <si>
    <t>HTSSOP,TO-252,TO-263</t>
  </si>
  <si>
    <t/>
  </si>
  <si>
    <t>-40 to 125</t>
  </si>
  <si>
    <t>3,20</t>
  </si>
  <si>
    <t>41.6,66.726,154.8384</t>
  </si>
  <si>
    <t>10.16 x 15.24,6.5 x 6.4,6.6 x 10.11</t>
  </si>
  <si>
    <t>1.2,2.52,4.83</t>
  </si>
  <si>
    <t>0.65,2.29,2.54</t>
  </si>
  <si>
    <t>ACTIVE</t>
  </si>
  <si>
    <t>Step-Down DC-DC Converter with Integrated Post Linear Regulators System &amp; Low-Noise Linear Reg.</t>
  </si>
  <si>
    <t>Multi-channel ICs (PMICs)</t>
  </si>
  <si>
    <t>Catalog</t>
  </si>
  <si>
    <t>DSBGA</t>
  </si>
  <si>
    <t/>
  </si>
  <si>
    <t>-30 to 85</t>
  </si>
  <si>
    <t>2.25 x 1.75</t>
  </si>
  <si>
    <t>ACTIVE</t>
  </si>
  <si>
    <t>4.5-V to 18-V, 20-A, 600-kHz synchronous buck controller with power good</t>
  </si>
  <si>
    <t>AC/DC &amp; DC/DC controllers (external FET)</t>
  </si>
  <si>
    <t>Catalog</t>
  </si>
  <si>
    <t>Buck</t>
  </si>
  <si>
    <t>VSON</t>
  </si>
  <si>
    <t/>
  </si>
  <si>
    <t>-40 to 85</t>
  </si>
  <si>
    <t>3 x 3</t>
  </si>
  <si>
    <t>ACTIVE</t>
  </si>
  <si>
    <t>1.2A high power white LED driver with I2C compatible interface, SON package</t>
  </si>
  <si>
    <t>Illumination  LED drivers</t>
  </si>
  <si>
    <t>Catalog</t>
  </si>
  <si>
    <t>Boost,current mode</t>
  </si>
  <si>
    <t>DSBGA,VSON</t>
  </si>
  <si>
    <t/>
  </si>
  <si>
    <t>-40 to 85</t>
  </si>
  <si>
    <t>10,12</t>
  </si>
  <si>
    <t>3.9375,9</t>
  </si>
  <si>
    <t>2.25 x 1.75,3 x 3</t>
  </si>
  <si>
    <t>0.625,1</t>
  </si>
  <si>
    <t>ACTIVE</t>
  </si>
  <si>
    <t>0.3-V input voltage, adjustable ouput voltage boost converter with 1.3-A switches, 3-mm x 3-mm QFN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</si>
  <si>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</si>
  <si>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</si>
  <si>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</si>
  <si>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</si>
  <si>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</si>
  <si>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</si>
  <si>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</si>
  <si>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</si>
  <si>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0.3-V input voltage, 3.3-V fixed output voltage boost converter with 1.3-A switches, 3-mm x 3-mm QFN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</si>
  <si>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</si>
  <si>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</si>
  <si>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</si>
  <si>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</si>
  <si>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</si>
  <si>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</si>
  <si>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</si>
  <si>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</si>
  <si>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0.3-V input voltage, 5-V fixed output voltage boost converter with 1.3-A switches, 3-mm x 3-mm QF</t>
  </si>
  <si>
    <t>AC/DC &amp; DC/DC converters (integrated FET)</t>
  </si>
  <si>
    <t>Catalog</t>
  </si>
  <si>
    <t>Boost</t>
  </si>
  <si>
    <t>VSON,WSON</t>
  </si>
  <si>
    <t/>
  </si>
  <si>
    <t>-40 to 125</t>
  </si>
  <si>
    <t>3 x 3</t>
  </si>
  <si>
    <t>0.8,1</t>
  </si>
  <si>
    <t>ACTIVE</t>
  </si>
  <si>
    <t>Configurable Integrated Power Management (PMIC) with two DC/DC converters and three LDOs</t>
  </si>
  <si>
    <t>Multi-channel ICs (PMICs)</t>
  </si>
  <si>
    <t>Catalog</t>
  </si>
  <si>
    <t>VQFN</t>
  </si>
  <si>
    <t/>
  </si>
  <si>
    <t>-40 to 85</t>
  </si>
  <si>
    <t>4 x 4</t>
  </si>
  <si>
    <t>ACTIVE</t>
  </si>
  <si>
    <t>4.25-75V, Monolithic Two-Switch Forward DC-DC Regulator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</si>
  <si>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</si>
  <si>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</si>
  <si>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</si>
  <si>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</si>
  <si>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</si>
  <si>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</si>
  <si>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</si>
  <si>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</si>
  <si>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Two-Phase Synchronous Buck Controller w/Integrated Mosfet Drivers</t>
  </si>
  <si>
    <t>AC/DC &amp; DC/DC controllers (external FET)</t>
  </si>
  <si>
    <t>Catalog</t>
  </si>
  <si>
    <t>Multiphase</t>
  </si>
  <si>
    <t>VQFN</t>
  </si>
  <si>
    <t/>
  </si>
  <si>
    <t>-40 to 85</t>
  </si>
  <si>
    <t>5 x 5</t>
  </si>
  <si>
    <t>ACTIVE</t>
  </si>
  <si>
    <t>200-mA, low-IQ, high-PSRR, dual-channel low-dropout voltage regulator with active pulldown</t>
  </si>
  <si>
    <t>Linear &amp; low-dropout (LDO) regulators</t>
  </si>
  <si>
    <t>Catalog</t>
  </si>
  <si>
    <t>WSON</t>
  </si>
  <si>
    <t/>
  </si>
  <si>
    <t>-40 to 125</t>
  </si>
  <si>
    <t>2 x 2</t>
  </si>
  <si>
    <t>ACTIVE</t>
  </si>
  <si>
    <t>Enhanced Product 3-V To 6-V, 3-A Output Synchronous-Buck Pwm Switcher W/Integrated Fets</t>
  </si>
  <si>
    <t>AC/DC &amp; DC/DC converters (integrated FET)</t>
  </si>
  <si>
    <t>HiRel Enhanced Product</t>
  </si>
  <si>
    <t>Buck</t>
  </si>
  <si>
    <t>HTSSOP</t>
  </si>
  <si>
    <t/>
  </si>
  <si>
    <t>-55 to 125</t>
  </si>
  <si>
    <t>6.5 x 6.4</t>
  </si>
  <si>
    <t>ACTIVE</t>
  </si>
  <si>
    <t>Enhanced Product 3-V To 6-V, 3-A Output Synchronous-Buck Pwm Switcher W/Integrated Fets</t>
  </si>
  <si>
    <t>AC/DC &amp; DC/DC converters (integrated FET)</t>
  </si>
  <si>
    <t>HiRel Enhanced Product</t>
  </si>
  <si>
    <t>Buck</t>
  </si>
  <si>
    <t>HTSSOP</t>
  </si>
  <si>
    <t/>
  </si>
  <si>
    <t>-55 to 125</t>
  </si>
  <si>
    <t>6.5 x 6.4</t>
  </si>
  <si>
    <t>ACTIVE</t>
  </si>
  <si>
    <t>Enhanced Product 3-V To 6-V, 3-A Output Synchronous-Buck Pwm Switcher W/Integrated Fets</t>
  </si>
  <si>
    <t>AC/DC &amp; DC/DC converters (integrated FET)</t>
  </si>
  <si>
    <t>HiRel Enhanced Product</t>
  </si>
  <si>
    <t>Buck</t>
  </si>
  <si>
    <t>HTSSOP</t>
  </si>
  <si>
    <t/>
  </si>
  <si>
    <t>-55 to 125</t>
  </si>
  <si>
    <t>6.5 x 6.4</t>
  </si>
  <si>
    <t>ACTIVE</t>
  </si>
  <si>
    <t>Enhanced Product 3-V To 6-V, 3-A Output Synchronous-Buck Pwm Switcher W/Integrated Fets</t>
  </si>
  <si>
    <t>AC/DC &amp; DC/DC converters (integrated FET)</t>
  </si>
  <si>
    <t>HiRel Enhanced Product</t>
  </si>
  <si>
    <t>Buck</t>
  </si>
  <si>
    <t>HTSSOP</t>
  </si>
  <si>
    <t/>
  </si>
  <si>
    <t>-55 to 125</t>
  </si>
  <si>
    <t>6.5 x 6.4</t>
  </si>
  <si>
    <t>ACTIVE</t>
  </si>
  <si>
    <t>Enhanced Product 3-V To 6-V, 3-A Output Synchronous-Buck Pwm Switcher W/Integrated Fets</t>
  </si>
  <si>
    <t>AC/DC &amp; DC/DC converters (integrated FET)</t>
  </si>
  <si>
    <t>HiRel Enhanced Product</t>
  </si>
  <si>
    <t>Buck</t>
  </si>
  <si>
    <t>HTSSOP</t>
  </si>
  <si>
    <t/>
  </si>
  <si>
    <t>-55 to 125</t>
  </si>
  <si>
    <t>6.5 x 6.4</t>
  </si>
  <si>
    <t>ACTIVE</t>
  </si>
  <si>
    <t>1A, 3MHz Buck Converter with I2C for Dynamic Voltage Scaling</t>
  </si>
  <si>
    <t>AC/DC &amp; DC/DC converters (integrated FET)</t>
  </si>
  <si>
    <t>Catalog</t>
  </si>
  <si>
    <t>Buck</t>
  </si>
  <si>
    <t>DSBGA</t>
  </si>
  <si>
    <t/>
  </si>
  <si>
    <t>-40 to 85</t>
  </si>
  <si>
    <t>2.25 x 1.75</t>
  </si>
  <si>
    <t>ACTIVE</t>
  </si>
  <si>
    <t>1A, 3MHz Buck Converter with I2C for Dynamic Voltage Scaling</t>
  </si>
  <si>
    <t>AC/DC &amp; DC/DC converters (integrated FET)</t>
  </si>
  <si>
    <t>Catalog</t>
  </si>
  <si>
    <t>Buck</t>
  </si>
  <si>
    <t>DSBGA</t>
  </si>
  <si>
    <t/>
  </si>
  <si>
    <t>-40 to 85</t>
  </si>
  <si>
    <t>2.25 x 1.75</t>
  </si>
  <si>
    <t>ACTIVE</t>
  </si>
  <si>
    <t>Dual, 400mA and 600mA, 2.25MHz Step-Down Converter with 1-Wire Interface in QFN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</si>
  <si>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</si>
  <si>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</si>
  <si>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</si>
  <si>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</si>
  <si>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</si>
  <si>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</si>
  <si>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</si>
  <si>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</si>
  <si>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2.25MHZ 2x800mA Dual Step-Down Converter with 1-Wire Interface in QFN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</si>
  <si>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</si>
  <si>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</si>
  <si>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</si>
  <si>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</si>
  <si>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</si>
  <si>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</si>
  <si>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</si>
  <si>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</si>
  <si>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2A - Wide Input Range Buck Regulator with Frequency Synchronization</t>
  </si>
  <si>
    <t>AC/DC &amp; DC/DC converters (integrated FET)</t>
  </si>
  <si>
    <t>Catalog</t>
  </si>
  <si>
    <t>Buck</t>
  </si>
  <si>
    <t>HVSSOP,WSON</t>
  </si>
  <si>
    <t/>
  </si>
  <si>
    <t>-40 to 125</t>
  </si>
  <si>
    <t>9,14.7</t>
  </si>
  <si>
    <t>3 x 3,3 x 4.9</t>
  </si>
  <si>
    <t>0.8,1.1</t>
  </si>
  <si>
    <t>ACTIVE</t>
  </si>
  <si>
    <t>2A - Wide Input Range Buck Regulator with Frequency Synchronization</t>
  </si>
  <si>
    <t>AC/DC &amp; DC/DC converters (integrated FET)</t>
  </si>
  <si>
    <t>Automotive</t>
  </si>
  <si>
    <t>Buck</t>
  </si>
  <si>
    <t>HVSSOP</t>
  </si>
  <si>
    <t/>
  </si>
  <si>
    <t>-40 to 125</t>
  </si>
  <si>
    <t>3 x 4.9</t>
  </si>
  <si>
    <t>ACTIVE</t>
  </si>
  <si>
    <t>550kHz 1.5V to 40V, 1A buck-boost converter with 5V fixed output voltage, AEC-Q100 qualified</t>
  </si>
  <si>
    <t>AC/DC &amp; DC/DC converters (integrated FET)</t>
  </si>
  <si>
    <t>Automotive</t>
  </si>
  <si>
    <t>Buck-Boost</t>
  </si>
  <si>
    <t>HTSSOP</t>
  </si>
  <si>
    <t/>
  </si>
  <si>
    <t>-40 to 125</t>
  </si>
  <si>
    <t>6.5 x 6.4</t>
  </si>
  <si>
    <t>ACTIVE</t>
  </si>
  <si>
    <t>1A loading, 2.7-5.5V, 70mΩ USB power switch, active-high, output discharge</t>
  </si>
  <si>
    <t>USB power switches &amp; charging port controllers</t>
  </si>
  <si>
    <t>Catalog</t>
  </si>
  <si>
    <t>HVSSOP</t>
  </si>
  <si>
    <t/>
  </si>
  <si>
    <t>-40 to 125</t>
  </si>
  <si>
    <t>3 x 4.9</t>
  </si>
  <si>
    <t>ACTIVE</t>
  </si>
  <si>
    <t>High Accuracy, Miniature 1A, Step-Down DC-DC Converter for Portable Applications</t>
  </si>
  <si>
    <t>AC/DC &amp; DC/DC converters (integrated FET)</t>
  </si>
  <si>
    <t>Catalog</t>
  </si>
  <si>
    <t>Buck</t>
  </si>
  <si>
    <t>DSBGA</t>
  </si>
  <si>
    <t/>
  </si>
  <si>
    <t>-30 to 85</t>
  </si>
  <si>
    <t>1.75 x 1.25</t>
  </si>
  <si>
    <t>ACTIVE</t>
  </si>
  <si>
    <t>Automotive 8.5V to 30V, up to 500kHz current mode PWM controller</t>
  </si>
  <si>
    <t>AC/DC &amp; DC/DC controllers (external FET)</t>
  </si>
  <si>
    <t>Automotive</t>
  </si>
  <si>
    <t>Boost,Buck boost,Flyback,Forward</t>
  </si>
  <si>
    <t>SOIC</t>
  </si>
  <si>
    <t/>
  </si>
  <si>
    <t>-40 to 125</t>
  </si>
  <si>
    <t>4.9 x 6</t>
  </si>
  <si>
    <t>ACTIVE</t>
  </si>
  <si>
    <t>Multi-display inductorless LED driver with 32 exponential dimming steps in micro SMD</t>
  </si>
  <si>
    <t>Backlight LED drivers</t>
  </si>
  <si>
    <t>Catalog</t>
  </si>
  <si>
    <t>Boost,Current Sink</t>
  </si>
  <si>
    <t>DSBGA</t>
  </si>
  <si>
    <t/>
  </si>
  <si>
    <t>-30 to 85</t>
  </si>
  <si>
    <t>2.2 x 1.8</t>
  </si>
  <si>
    <t>ACTIVE</t>
  </si>
  <si>
    <t>High efficiency boost for white LED&amp;apos;s and/or OLED displays with dual current sinks</t>
  </si>
  <si>
    <t>Backlight LED drivers</t>
  </si>
  <si>
    <t>Catalog</t>
  </si>
  <si>
    <t>Boost</t>
  </si>
  <si>
    <t>WSON</t>
  </si>
  <si>
    <t/>
  </si>
  <si>
    <t>-40 to 85</t>
  </si>
  <si>
    <t>3 x 3</t>
  </si>
  <si>
    <t>ACTIVE</t>
  </si>
  <si>
    <t>Automotive, low-quiescent current programmable-delay supervisor</t>
  </si>
  <si>
    <t>Reset &amp; watchdog ICs</t>
  </si>
  <si>
    <t>Automotive</t>
  </si>
  <si>
    <t>SOT-23,WSON</t>
  </si>
  <si>
    <t>Functional Safety-Capable</t>
  </si>
  <si>
    <t>-40 to 125</t>
  </si>
  <si>
    <t>4,8.12</t>
  </si>
  <si>
    <t>2 x 2,2.9 x 2.8</t>
  </si>
  <si>
    <t>0.8,1.45</t>
  </si>
  <si>
    <t>0.65,0.95</t>
  </si>
  <si>
    <t>ACTIVE</t>
  </si>
  <si>
    <t>4.5-V to 20-V, 20-A, synchronous buck controller with power good and synchronization</t>
  </si>
  <si>
    <t>AC/DC &amp; DC/DC controllers (external FET)</t>
  </si>
  <si>
    <t>Catalog</t>
  </si>
  <si>
    <t>Buck</t>
  </si>
  <si>
    <t>TSSOP,VQFN</t>
  </si>
  <si>
    <t/>
  </si>
  <si>
    <t>-40 to 85</t>
  </si>
  <si>
    <t>14,32</t>
  </si>
  <si>
    <t>4 x 3.5,5 x 6.4</t>
  </si>
  <si>
    <t>1,1.2</t>
  </si>
  <si>
    <t>0.5,0.65</t>
  </si>
  <si>
    <t>ACTIVE</t>
  </si>
  <si>
    <t>Enhanced Product 4-A/4-A dual-channel gate driver with enable</t>
  </si>
  <si>
    <t>Low-side drivers</t>
  </si>
  <si>
    <t>HiRel Enhanced Product</t>
  </si>
  <si>
    <t>HVSSOP</t>
  </si>
  <si>
    <t/>
  </si>
  <si>
    <t>-55 to 125</t>
  </si>
  <si>
    <t>3 x 4.9</t>
  </si>
  <si>
    <t>ACTIVE</t>
  </si>
  <si>
    <t>Dual 2A, 500kHz Wide Input Range Buck Regulator</t>
  </si>
  <si>
    <t>AC/DC &amp; DC/DC converters (integrated FET)</t>
  </si>
  <si>
    <t>Catalog</t>
  </si>
  <si>
    <t>Buck</t>
  </si>
  <si>
    <t>HTSSOP,WSON</t>
  </si>
  <si>
    <t/>
  </si>
  <si>
    <t>-40 to 125</t>
  </si>
  <si>
    <t>25,32</t>
  </si>
  <si>
    <t>5 x 5,5 x 6.4</t>
  </si>
  <si>
    <t>0.8,1.2</t>
  </si>
  <si>
    <t>0.5,0.65</t>
  </si>
  <si>
    <t>ACTIVE</t>
  </si>
  <si>
    <t>0.8-V to 16.5-V 1.2A IQ 290-uA Igate source N+1 and OR-ing power rail controller</t>
  </si>
  <si>
    <t>Ideal diode &amp; ORing controllers</t>
  </si>
  <si>
    <t>Catalog</t>
  </si>
  <si>
    <t>TSSOP,UQFN</t>
  </si>
  <si>
    <t/>
  </si>
  <si>
    <t>-40 to 85</t>
  </si>
  <si>
    <t>6.25,32</t>
  </si>
  <si>
    <t>2.5 x 2.5,5 x 6.4</t>
  </si>
  <si>
    <t>0.6,1.2</t>
  </si>
  <si>
    <t>0.5,0.65</t>
  </si>
  <si>
    <t>ACTIVE</t>
  </si>
  <si>
    <t>0.8-V to 16.5-V 1.2A IQ 293-uA Igate source N+1 and OR-ing power rail controller</t>
  </si>
  <si>
    <t>Ideal diode &amp; ORing controllers</t>
  </si>
  <si>
    <t>Catalog</t>
  </si>
  <si>
    <t>TSSOP,UQFN</t>
  </si>
  <si>
    <t/>
  </si>
  <si>
    <t>-40 to 85</t>
  </si>
  <si>
    <t>6.25,32</t>
  </si>
  <si>
    <t>2.5 x 2.5,5 x 6.4</t>
  </si>
  <si>
    <t>0.6,1.2</t>
  </si>
  <si>
    <t>0.5,0.65</t>
  </si>
  <si>
    <t>ACTIVE</t>
  </si>
  <si>
    <t>0.8-V to 16.5-V 1.2A IQ 292-uA Igate source N+1 and OR-ing power rail controller</t>
  </si>
  <si>
    <t>Ideal diode &amp; ORing controllers</t>
  </si>
  <si>
    <t>Catalog</t>
  </si>
  <si>
    <t>SOIC,TSSOP</t>
  </si>
  <si>
    <t/>
  </si>
  <si>
    <t>-40 to 85</t>
  </si>
  <si>
    <t>19.2,29.4</t>
  </si>
  <si>
    <t>3 x 6.4,4.9 x 6</t>
  </si>
  <si>
    <t>1.2,1.75</t>
  </si>
  <si>
    <t>0.65,1.27</t>
  </si>
  <si>
    <t>ACTIVE</t>
  </si>
  <si>
    <t>0.8-V to 16.5-V 1.2A IQ 291-uA Igate source N+1 and OR-ing power rail controller</t>
  </si>
  <si>
    <t>Ideal diode &amp; ORing controllers</t>
  </si>
  <si>
    <t>Catalog</t>
  </si>
  <si>
    <t>SOIC,TSSOP</t>
  </si>
  <si>
    <t/>
  </si>
  <si>
    <t>-40 to 85</t>
  </si>
  <si>
    <t>19.2,29.4</t>
  </si>
  <si>
    <t>3 x 6.4,4.9 x 6</t>
  </si>
  <si>
    <t>1.2,1.75</t>
  </si>
  <si>
    <t>0.65,1.27</t>
  </si>
  <si>
    <t>ACTIVE</t>
  </si>
  <si>
    <t>42V, Secondary Side Post Regulator/Synchronous Buck Controller with Power-Up/Power-Down Tracking</t>
  </si>
  <si>
    <t>AC/DC &amp; DC/DC controllers (external FET)</t>
  </si>
  <si>
    <t>Catalog</t>
  </si>
  <si>
    <t>Buck Controller</t>
  </si>
  <si>
    <t>TSSOP</t>
  </si>
  <si>
    <t/>
  </si>
  <si>
    <t>-40 to 125</t>
  </si>
  <si>
    <t>5 x 6.4</t>
  </si>
  <si>
    <t>ACTIVE</t>
  </si>
  <si>
    <t>Enhanced Product 3-V To 6-V In, 3-A Out, Synchronous-Buck Pwm Switchers W/ Integrated Fets</t>
  </si>
  <si>
    <t>AC/DC &amp; DC/DC converters (integrated FET)</t>
  </si>
  <si>
    <t>HiRel Enhanced Product</t>
  </si>
  <si>
    <t>Buck</t>
  </si>
  <si>
    <t>HTSSOP</t>
  </si>
  <si>
    <t/>
  </si>
  <si>
    <t>-55 to 125</t>
  </si>
  <si>
    <t>6.5 x 6.4</t>
  </si>
  <si>
    <t>ACTIVE</t>
  </si>
  <si>
    <t>Enhanced Product 17 V, 1.5 A Synchronous Step-Down Converter</t>
  </si>
  <si>
    <t>AC/DC &amp; DC/DC converters (integrated FET)</t>
  </si>
  <si>
    <t>HiRel Enhanced Product</t>
  </si>
  <si>
    <t>Buck</t>
  </si>
  <si>
    <t>VQFN</t>
  </si>
  <si>
    <t/>
  </si>
  <si>
    <t>-55 to 125</t>
  </si>
  <si>
    <t>4 x 4</t>
  </si>
  <si>
    <t>ACTIVE</t>
  </si>
  <si>
    <t>1.5-A low-VIN (0.8 V) adjustable low-dropout (LDO) voltage regulator with power good and enable</t>
  </si>
  <si>
    <t>Linear &amp; low-dropout (LDO) regulators</t>
  </si>
  <si>
    <t>Catalog</t>
  </si>
  <si>
    <t>VQFN,VSON</t>
  </si>
  <si>
    <t/>
  </si>
  <si>
    <t>-40 to 125</t>
  </si>
  <si>
    <t>10,20</t>
  </si>
  <si>
    <t>9,25</t>
  </si>
  <si>
    <t>3 x 3,5 x 5</t>
  </si>
  <si>
    <t>0.5,0.65</t>
  </si>
  <si>
    <t>ACTIVE</t>
  </si>
  <si>
    <t>1-A, 100-V half bridge gate driver with 8-V UVLO and high noise immunity</t>
  </si>
  <si>
    <t>Half-bridge drivers</t>
  </si>
  <si>
    <t>Catalog</t>
  </si>
  <si>
    <t>SOIC,WSON</t>
  </si>
  <si>
    <t/>
  </si>
  <si>
    <t>-40 to 125</t>
  </si>
  <si>
    <t>16,29.4</t>
  </si>
  <si>
    <t>4 x 4,4.9 x 6</t>
  </si>
  <si>
    <t>0.8,1.75</t>
  </si>
  <si>
    <t>0.8,1.27</t>
  </si>
  <si>
    <t>ACTIVE</t>
  </si>
  <si>
    <t>Power Management IC (PMIC) with two DC/DCs and four LDOs</t>
  </si>
  <si>
    <t>Multi-channel ICs (PMICs)</t>
  </si>
  <si>
    <t>Catalog</t>
  </si>
  <si>
    <t>VQFN</t>
  </si>
  <si>
    <t/>
  </si>
  <si>
    <t>-40 to 85</t>
  </si>
  <si>
    <t>4 x 4</t>
  </si>
  <si>
    <t>ACTIVE</t>
  </si>
  <si>
    <t>42V, 0.5A Step-Down Switching Regulator</t>
  </si>
  <si>
    <t>AC/DC &amp; DC/DC converters (integrated FET)</t>
  </si>
  <si>
    <t>Catalog</t>
  </si>
  <si>
    <t>Buck</t>
  </si>
  <si>
    <t>TSSOP</t>
  </si>
  <si>
    <t/>
  </si>
  <si>
    <t>-40 to 125</t>
  </si>
  <si>
    <t>5 x 6.4</t>
  </si>
  <si>
    <t>ACTIVE</t>
  </si>
  <si>
    <t>6V to 42V, 1.5A Step-Down DC/DC Switching Regulator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</si>
  <si>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</si>
  <si>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</si>
  <si>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</si>
  <si>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</si>
  <si>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</si>
  <si>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</si>
  <si>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</si>
  <si>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</si>
  <si>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4.5V to 42V, 3A Step-Down DC/DC Switching Regulator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</si>
  <si>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</si>
  <si>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</si>
  <si>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</si>
  <si>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</si>
  <si>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</si>
  <si>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</si>
  <si>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</si>
  <si>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</si>
  <si>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3.1-75V Wide Vin, 1A Current Mode Non-Synchronous Switch Mode Regulator</t>
  </si>
  <si>
    <t>AC/DC &amp; DC/DC converters (integrated FET)</t>
  </si>
  <si>
    <t>Catalog</t>
  </si>
  <si>
    <t>Boost,Flyback,Forward,SEPIC</t>
  </si>
  <si>
    <t>SOIC,WSON</t>
  </si>
  <si>
    <t/>
  </si>
  <si>
    <t>-40 to 125</t>
  </si>
  <si>
    <t>16,29.4</t>
  </si>
  <si>
    <t>4 x 4,4.9 x 6</t>
  </si>
  <si>
    <t>0.8,1.75</t>
  </si>
  <si>
    <t>0.8,1.27</t>
  </si>
  <si>
    <t>ACTIVE</t>
  </si>
  <si>
    <t>3.1-75V Wide Vin, 0.5A Current Mode Boost, Flyback, Sepic Converter</t>
  </si>
  <si>
    <t>AC/DC &amp; DC/DC converters (integrated FET)</t>
  </si>
  <si>
    <t>Catalog</t>
  </si>
  <si>
    <t>Boost,Flyback,Forward,SEPIC</t>
  </si>
  <si>
    <t>SOIC,WSON</t>
  </si>
  <si>
    <t/>
  </si>
  <si>
    <t>-40 to 125</t>
  </si>
  <si>
    <t>16,29.4</t>
  </si>
  <si>
    <t>4 x 4,4.9 x 6</t>
  </si>
  <si>
    <t>0.8,1.75</t>
  </si>
  <si>
    <t>0.8,1.27</t>
  </si>
  <si>
    <t>ACTIVE</t>
  </si>
  <si>
    <t>75V, 0.5A Step-Down Switching Regulator</t>
  </si>
  <si>
    <t>AC/DC &amp; DC/DC converters (integrated FET)</t>
  </si>
  <si>
    <t>Catalog</t>
  </si>
  <si>
    <t>Buck</t>
  </si>
  <si>
    <t>TSSOP</t>
  </si>
  <si>
    <t/>
  </si>
  <si>
    <t>-40 to 125</t>
  </si>
  <si>
    <t>5 x 6.4</t>
  </si>
  <si>
    <t>ACTIVE</t>
  </si>
  <si>
    <t>6V to 75V, 1.5A Wide Vin Step-Down Regulator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</si>
  <si>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</si>
  <si>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</si>
  <si>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</si>
  <si>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</si>
  <si>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</si>
  <si>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</si>
  <si>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</si>
  <si>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</si>
  <si>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6V to 75V, 3A Wide Vin Step-Down Regulator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</si>
  <si>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</si>
  <si>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</si>
  <si>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</si>
  <si>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</si>
  <si>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</si>
  <si>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</si>
  <si>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</si>
  <si>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</si>
  <si>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Adjustable, 0.1% 50-ppm/°C precision micropower shunt voltage reference</t>
  </si>
  <si>
    <t>Shunt voltage references</t>
  </si>
  <si>
    <t>Catalog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</si>
  <si>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</si>
  <si>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</si>
  <si>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</si>
  <si>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</si>
  <si>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</si>
  <si>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</si>
  <si>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</si>
  <si>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</si>
  <si>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</si>
  <si>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Adjustable, 0.2% 50-ppm/°C precision micropower shunt voltage reference</t>
  </si>
  <si>
    <t>Shunt voltage references</t>
  </si>
  <si>
    <t>Catalog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</si>
  <si>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</si>
  <si>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</si>
  <si>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</si>
  <si>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</si>
  <si>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</si>
  <si>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</si>
  <si>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</si>
  <si>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</si>
  <si>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</si>
  <si>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Adjustable, 0.5% 50-ppm/°C precision micropower shunt voltage reference</t>
  </si>
  <si>
    <t>Shunt voltage references</t>
  </si>
  <si>
    <t>Catalog</t>
  </si>
  <si>
    <t>SOT-23,SOT-SC70</t>
  </si>
  <si>
    <t/>
  </si>
  <si>
    <t>-40 to 125</t>
  </si>
  <si>
    <t>3,5</t>
  </si>
  <si>
    <t>4.2,6.9204</t>
  </si>
  <si>
    <t>2 x 2.1,2.92 x 2.37</t>
  </si>
  <si>
    <t>1.1,1.12</t>
  </si>
  <si>
    <t>0.65,0.96</t>
  </si>
  <si>
    <t>ACTIVE</t>
  </si>
  <si>
    <t>Adjustable, 600-mA switch, 600-kHz boost converter in ThinSOT-23 with forced PWM mode</t>
  </si>
  <si>
    <t>AC/DC &amp; DC/DC converters (integrated FET)</t>
  </si>
  <si>
    <t>Catalog</t>
  </si>
  <si>
    <t>Boost</t>
  </si>
  <si>
    <t>SOT-23-THN</t>
  </si>
  <si>
    <t/>
  </si>
  <si>
    <t>-40 to 125</t>
  </si>
  <si>
    <t>2.9 x 2.8</t>
  </si>
  <si>
    <t>ACTIVE</t>
  </si>
  <si>
    <t>Enhanced Product Wide-Input-Range Non-Synchronous Voltage-Mode Controller</t>
  </si>
  <si>
    <t>AC/DC &amp; DC/DC controllers (external FET)</t>
  </si>
  <si>
    <t>HiRel Enhanced Product</t>
  </si>
  <si>
    <t>Buck Controller</t>
  </si>
  <si>
    <t>SOIC</t>
  </si>
  <si>
    <t/>
  </si>
  <si>
    <t>-55 to 125</t>
  </si>
  <si>
    <t>4.9 x 6</t>
  </si>
  <si>
    <t>ACTIVE</t>
  </si>
  <si>
    <t>6-60V Wide Vin, current mode boost, SEPIC and Flyback controller</t>
  </si>
  <si>
    <t>AC/DC &amp; DC/DC controllers (external FET)</t>
  </si>
  <si>
    <t>Catalog</t>
  </si>
  <si>
    <t>Boost,Flyback,Forward,SEPIC</t>
  </si>
  <si>
    <t>VSSOP</t>
  </si>
  <si>
    <t/>
  </si>
  <si>
    <t>-40 to 125</t>
  </si>
  <si>
    <t>3 x 4.9</t>
  </si>
  <si>
    <t>ACTIVE</t>
  </si>
  <si>
    <t>Enhanced Product Triple-Supply Power Management IC (PMIC) For Powering FPGAs and DSPs</t>
  </si>
  <si>
    <t>Multi-channel ICs (PMICs)</t>
  </si>
  <si>
    <t>HiRel Enhanced Product</t>
  </si>
  <si>
    <t>VQFN</t>
  </si>
  <si>
    <t/>
  </si>
  <si>
    <t>-55 to 125</t>
  </si>
  <si>
    <t>4.5 x 3.5</t>
  </si>
  <si>
    <t>ACTIVE</t>
  </si>
  <si>
    <t>16-A, 2.2-V to 5.5-V Input, Non-Isolated, Wide-Output, Adjustable Power Module with TurboTrans</t>
  </si>
  <si>
    <t>Power modules (integrated inductor)</t>
  </si>
  <si>
    <t>Catalog</t>
  </si>
  <si>
    <t>Buck</t>
  </si>
  <si>
    <t>DIPMODULE</t>
  </si>
  <si>
    <t/>
  </si>
  <si>
    <t>-40 to 85</t>
  </si>
  <si>
    <t>26.29 x 19.94</t>
  </si>
  <si>
    <t>—</t>
  </si>
  <si>
    <t>ACTIVE</t>
  </si>
  <si>
    <t>Enhanced Product 5.5V to 36V Input, 2A, 500kHz Step Down Converter</t>
  </si>
  <si>
    <t>AC/DC &amp; DC/DC converters (integrated FET)</t>
  </si>
  <si>
    <t>HiRel Enhanced Product</t>
  </si>
  <si>
    <t>Buck</t>
  </si>
  <si>
    <t>SOIC</t>
  </si>
  <si>
    <t/>
  </si>
  <si>
    <t>-55 to 125</t>
  </si>
  <si>
    <t>4.9 x 6</t>
  </si>
  <si>
    <t>ACTIVE</t>
  </si>
  <si>
    <t>4-CH LCD Bias w/ Fully Int. Pos. Charge Pump, 3.3V LDO Contr., 0.96A Min. Boost Ilim &amp; Fault Detect</t>
  </si>
  <si>
    <t>LCD &amp; OLED display power &amp; drivers</t>
  </si>
  <si>
    <t>Catalog</t>
  </si>
  <si>
    <t>Boost</t>
  </si>
  <si>
    <t>WQFN</t>
  </si>
  <si>
    <t/>
  </si>
  <si>
    <t>-40 to 85</t>
  </si>
  <si>
    <t>5 x 5</t>
  </si>
  <si>
    <t>ACTIVE</t>
  </si>
  <si>
    <t>3-A, 120-V half bridge gate driver with 8-V UVLO and CMOS inputs</t>
  </si>
  <si>
    <t>Half-bridge drivers</t>
  </si>
  <si>
    <t>Catalog</t>
  </si>
  <si>
    <t>HSOIC,SOIC,VSON</t>
  </si>
  <si>
    <t/>
  </si>
  <si>
    <t>-40 to 150</t>
  </si>
  <si>
    <t>16,29.4</t>
  </si>
  <si>
    <t>4 x 4,4.9 x 6</t>
  </si>
  <si>
    <t>1,1.7,1.75</t>
  </si>
  <si>
    <t>0.8,1.27</t>
  </si>
  <si>
    <t>ACTIVE</t>
  </si>
  <si>
    <t>3-A, 120-V half bridge gate driver with 8-V UVLO and TTL inputs</t>
  </si>
  <si>
    <t>Half-bridge drivers</t>
  </si>
  <si>
    <t>Catalog</t>
  </si>
  <si>
    <t>HSOIC,SOIC,VSON</t>
  </si>
  <si>
    <t/>
  </si>
  <si>
    <t>-40 to 150</t>
  </si>
  <si>
    <t>16,29.4</t>
  </si>
  <si>
    <t>4 x 4,4.9 x 6</t>
  </si>
  <si>
    <t>1,1.7,1.75</t>
  </si>
  <si>
    <t>0.8,1.27</t>
  </si>
  <si>
    <t>ACTIVE</t>
  </si>
  <si>
    <t>1.5-A, low-VIN (0.93-V), adjustable ultra-low-dropout voltage regulator with enable</t>
  </si>
  <si>
    <t>Linear &amp; low-dropout (LDO) regulators</t>
  </si>
  <si>
    <t>Catalog</t>
  </si>
  <si>
    <t>HSOIC,TO-220,TO-263</t>
  </si>
  <si>
    <t/>
  </si>
  <si>
    <t>-40 to 125</t>
  </si>
  <si>
    <t>7,8</t>
  </si>
  <si>
    <t>29.4,82.6008,153.924</t>
  </si>
  <si>
    <t>10.1 x 15.24,10.16 x 8.13,4.9 x 6</t>
  </si>
  <si>
    <t>1.7,5,20.89</t>
  </si>
  <si>
    <t>ACTIVE</t>
  </si>
  <si>
    <t>1.6 MHz boost converter with 30V Internal FET switch in SOT-23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</si>
  <si>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</si>
  <si>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</si>
  <si>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</si>
  <si>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</si>
  <si>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</si>
  <si>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</si>
  <si>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</si>
  <si>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</si>
  <si>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Single channel programmable LED driver</t>
  </si>
  <si>
    <t>RGB LED drivers</t>
  </si>
  <si>
    <t>Catalog</t>
  </si>
  <si>
    <t>Linear</t>
  </si>
  <si>
    <t>DSBGA</t>
  </si>
  <si>
    <t/>
  </si>
  <si>
    <t>-30 to 85</t>
  </si>
  <si>
    <t>1.4000000000000001 x 1</t>
  </si>
  <si>
    <t>ACTIVE</t>
  </si>
  <si>
    <t>1A, 3MHz Buck Converter with I2C for Dynamic Voltage Scaling</t>
  </si>
  <si>
    <t>AC/DC &amp; DC/DC converters (integrated FET)</t>
  </si>
  <si>
    <t>Catalog</t>
  </si>
  <si>
    <t>Buck</t>
  </si>
  <si>
    <t>DSBGA</t>
  </si>
  <si>
    <t/>
  </si>
  <si>
    <t>-40 to 85</t>
  </si>
  <si>
    <t>2.25 x 1.75</t>
  </si>
  <si>
    <t>ACTIVE</t>
  </si>
  <si>
    <t>42-V 1.0-A constant current buck LED driver</t>
  </si>
  <si>
    <t>Illumination  LED drivers</t>
  </si>
  <si>
    <t>Catalog</t>
  </si>
  <si>
    <t>Buck</t>
  </si>
  <si>
    <t>HSOIC,SOIC</t>
  </si>
  <si>
    <t/>
  </si>
  <si>
    <t>-40 to 125</t>
  </si>
  <si>
    <t>4.9 x 6</t>
  </si>
  <si>
    <t>1.7,1.75</t>
  </si>
  <si>
    <t>ACTIVE</t>
  </si>
  <si>
    <t>75-V 1.0A constant current buck LED driver</t>
  </si>
  <si>
    <t>Illumination  LED drivers</t>
  </si>
  <si>
    <t>Catalog</t>
  </si>
  <si>
    <t>Buck</t>
  </si>
  <si>
    <t>HSOIC,SOIC</t>
  </si>
  <si>
    <t/>
  </si>
  <si>
    <t>-40 to 125</t>
  </si>
  <si>
    <t>4.9 x 6</t>
  </si>
  <si>
    <t>1.7,1.75</t>
  </si>
  <si>
    <t>ACTIVE</t>
  </si>
  <si>
    <t>4 channel LED driver with dual PWM brightness control</t>
  </si>
  <si>
    <t>RGB LED drivers</t>
  </si>
  <si>
    <t>Catalog</t>
  </si>
  <si>
    <t>Linear</t>
  </si>
  <si>
    <t>DSBGA</t>
  </si>
  <si>
    <t/>
  </si>
  <si>
    <t>-40 to 85</t>
  </si>
  <si>
    <t>1.4000000000000001 x 1.4000000000000001</t>
  </si>
  <si>
    <t>ACTIVE</t>
  </si>
  <si>
    <t>Type-2 non-standard wide VIN 4-channel PoE PSE with integrated FET &amp; current sense</t>
  </si>
  <si>
    <t>Power sourcing equipment</t>
  </si>
  <si>
    <t>Catalog</t>
  </si>
  <si>
    <t>HTQFP</t>
  </si>
  <si>
    <t/>
  </si>
  <si>
    <t>-40 to 125</t>
  </si>
  <si>
    <t>12 x 12</t>
  </si>
  <si>
    <t>ACTIVE</t>
  </si>
  <si>
    <t>Dual, 400mA and 600mA, 2.25MHz Step-Down Converter with 1-Wire Interface in QFN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</si>
  <si>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</si>
  <si>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</si>
  <si>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</si>
  <si>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</si>
  <si>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</si>
  <si>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</si>
  <si>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</si>
  <si>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</si>
  <si>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1-A Simple Step-Down Switching Voltage Regulators</t>
  </si>
  <si>
    <t>AC/DC &amp; DC/DC converters (integrated FET)</t>
  </si>
  <si>
    <t>Catalog</t>
  </si>
  <si>
    <t>Buck</t>
  </si>
  <si>
    <t>PDIP,TO-220,TO-263</t>
  </si>
  <si>
    <t/>
  </si>
  <si>
    <t>-40 to 125</t>
  </si>
  <si>
    <t>5,16</t>
  </si>
  <si>
    <t>83.312,154.8384,181.42</t>
  </si>
  <si>
    <t>10.16 x 15.24,10.16 x 8.2,19.3 x 9.4</t>
  </si>
  <si>
    <t>4.7,4.83,5.08</t>
  </si>
  <si>
    <t>1.7,2.54</t>
  </si>
  <si>
    <t>ACTIVE</t>
  </si>
  <si>
    <t>1-A Simple Step-Down Switching Voltage Regulators</t>
  </si>
  <si>
    <t>AC/DC &amp; DC/DC converters (integrated FET)</t>
  </si>
  <si>
    <t>Catalog</t>
  </si>
  <si>
    <t>Buck</t>
  </si>
  <si>
    <t>PDIP,TO-220,TO-263</t>
  </si>
  <si>
    <t/>
  </si>
  <si>
    <t>-40 to 125</t>
  </si>
  <si>
    <t>5,16</t>
  </si>
  <si>
    <t>83.312,154.8384,181.42</t>
  </si>
  <si>
    <t>10.16 x 15.24,10.16 x 8.2,19.3 x 9.4</t>
  </si>
  <si>
    <t>4.7,4.83,5.08</t>
  </si>
  <si>
    <t>1.7,2.54</t>
  </si>
  <si>
    <t>ACTIVE</t>
  </si>
  <si>
    <t>1-A Simple Step-Down Switching Voltage Regulators</t>
  </si>
  <si>
    <t>AC/DC &amp; DC/DC converters (integrated FET)</t>
  </si>
  <si>
    <t>Catalog</t>
  </si>
  <si>
    <t>Buck</t>
  </si>
  <si>
    <t>PDIP,TO-220,TO-263</t>
  </si>
  <si>
    <t/>
  </si>
  <si>
    <t>-40 to 125</t>
  </si>
  <si>
    <t>5,16</t>
  </si>
  <si>
    <t>83.312,154.8384,181.42</t>
  </si>
  <si>
    <t>10.16 x 15.24,10.16 x 8.2,19.3 x 9.4</t>
  </si>
  <si>
    <t>4.7,4.83,5.08</t>
  </si>
  <si>
    <t>1.7,2.54</t>
  </si>
  <si>
    <t>ACTIVE</t>
  </si>
  <si>
    <t>1-A Simple Step-Down Switching Voltage Regulators</t>
  </si>
  <si>
    <t>AC/DC &amp; DC/DC converters (integrated FET)</t>
  </si>
  <si>
    <t>Catalog</t>
  </si>
  <si>
    <t>Buck</t>
  </si>
  <si>
    <t>PDIP,TO-220,TO-263</t>
  </si>
  <si>
    <t/>
  </si>
  <si>
    <t>-40 to 125</t>
  </si>
  <si>
    <t>5,16</t>
  </si>
  <si>
    <t>83.312,154.8384,181.42</t>
  </si>
  <si>
    <t>10.16 x 15.24,10.16 x 8.2,19.3 x 9.4</t>
  </si>
  <si>
    <t>4.7,4.83,5.08</t>
  </si>
  <si>
    <t>1.7,2.54</t>
  </si>
  <si>
    <t>ACTIVE</t>
  </si>
  <si>
    <t>2MHz, 600mA Step-Down DC-DC Converter with Mode Control</t>
  </si>
  <si>
    <t>AC/DC &amp; DC/DC converters (integrated FET)</t>
  </si>
  <si>
    <t>Catalog</t>
  </si>
  <si>
    <t>Buck</t>
  </si>
  <si>
    <t>WSON</t>
  </si>
  <si>
    <t/>
  </si>
  <si>
    <t>-30 to 85</t>
  </si>
  <si>
    <t>3 x 3</t>
  </si>
  <si>
    <t>ACTIVE</t>
  </si>
  <si>
    <t>3-A, low-VIN (1.04-V), adjustable ultra-low-dropout voltage regulator with enable</t>
  </si>
  <si>
    <t>Linear &amp; low-dropout (LDO) regulators</t>
  </si>
  <si>
    <t>Catalog</t>
  </si>
  <si>
    <t>HSOIC,TO-220,TO-263</t>
  </si>
  <si>
    <t/>
  </si>
  <si>
    <t>-40 to 125</t>
  </si>
  <si>
    <t>7,8</t>
  </si>
  <si>
    <t>29.4,82.6008,153.924</t>
  </si>
  <si>
    <t>10.1 x 15.24,10.16 x 8.13,4.9 x 6</t>
  </si>
  <si>
    <t>1.7,5,20.89</t>
  </si>
  <si>
    <t>ACTIVE</t>
  </si>
  <si>
    <t>42V Synchronous Step-Down Controller with 3.3V Output and Adjustable Switching Frequency</t>
  </si>
  <si>
    <t>AC/DC &amp; DC/DC controllers (external FET)</t>
  </si>
  <si>
    <t>Catalog</t>
  </si>
  <si>
    <t>Buck Controller</t>
  </si>
  <si>
    <t>HTSSOP</t>
  </si>
  <si>
    <t/>
  </si>
  <si>
    <t>-40 to 125</t>
  </si>
  <si>
    <t>5 x 6.4</t>
  </si>
  <si>
    <t>ACTIVE</t>
  </si>
  <si>
    <t>42V Synchronous Step-Down Controller with 3.3V Output and 500kHz Switching Frequency</t>
  </si>
  <si>
    <t>AC/DC &amp; DC/DC controllers (external FET)</t>
  </si>
  <si>
    <t>Catalog</t>
  </si>
  <si>
    <t>Buck Controller</t>
  </si>
  <si>
    <t>HTSSOP</t>
  </si>
  <si>
    <t/>
  </si>
  <si>
    <t>-40 to 125</t>
  </si>
  <si>
    <t>5 x 6.4</t>
  </si>
  <si>
    <t>ACTIVE</t>
  </si>
  <si>
    <t>0.1% 75-ppm/°C SOT-23 precision micropower series voltage reference with enable pin</t>
  </si>
  <si>
    <t>Series voltage references</t>
  </si>
  <si>
    <t>Catalog</t>
  </si>
  <si>
    <t>SOT-23</t>
  </si>
  <si>
    <t/>
  </si>
  <si>
    <t>-40 to 125</t>
  </si>
  <si>
    <t>2.9 x 2.8</t>
  </si>
  <si>
    <t>ACTIVE</t>
  </si>
  <si>
    <t>10-A, 4.5V to 14V Input, Ceramic Cap Version, Non-Iso, Wide Output Adj Power Module with TurboTrans</t>
  </si>
  <si>
    <t>Power modules (integrated inductor)</t>
  </si>
  <si>
    <t>Catalog</t>
  </si>
  <si>
    <t>Buck</t>
  </si>
  <si>
    <t>DIPMODULE,SIPMODULE</t>
  </si>
  <si>
    <t/>
  </si>
  <si>
    <t>-40 to 85</t>
  </si>
  <si>
    <t>348.075,387.3236,See data sheet</t>
  </si>
  <si>
    <t>22.1 x 15.75,23.11 x 16.76,See data sheet</t>
  </si>
  <si>
    <t>8.64,—</t>
  </si>
  <si>
    <t>2.54,—</t>
  </si>
  <si>
    <t>ACTIVE</t>
  </si>
  <si>
    <t>Low-Ripple Switched Capacitor Step-Down Regulator</t>
  </si>
  <si>
    <t>AC/DC &amp; DC/DC converters (integrated FET)</t>
  </si>
  <si>
    <t>Catalog</t>
  </si>
  <si>
    <t>WSON</t>
  </si>
  <si>
    <t/>
  </si>
  <si>
    <t>-30 to 85</t>
  </si>
  <si>
    <t>3 x 3</t>
  </si>
  <si>
    <t>ACTIVE</t>
  </si>
  <si>
    <t>Voltage-to-current converter/transmitter with 3-V to 15-V regulator and resistor set I/O ratio</t>
  </si>
  <si>
    <t>Current references &amp; sources</t>
  </si>
  <si>
    <t>Catalog</t>
  </si>
  <si>
    <t>HVSSOP,VSON</t>
  </si>
  <si>
    <t>Functional Safety-Capable</t>
  </si>
  <si>
    <t>-40 to 125</t>
  </si>
  <si>
    <t>9,14.7</t>
  </si>
  <si>
    <t>3 x 3,3 x 4.9</t>
  </si>
  <si>
    <t>1,1.1</t>
  </si>
  <si>
    <t>ACTIVE</t>
  </si>
  <si>
    <t>Power Management IC (PMIC) with 3DC/DCs, 3 LDOs, I2C Interface and DVS</t>
  </si>
  <si>
    <t>Multi-channel ICs (PMICs)</t>
  </si>
  <si>
    <t>Catalog</t>
  </si>
  <si>
    <t>WQFN</t>
  </si>
  <si>
    <t/>
  </si>
  <si>
    <t>-40 to 85</t>
  </si>
  <si>
    <t>5 x 5</t>
  </si>
  <si>
    <t>ACTIVE</t>
  </si>
  <si>
    <t>Ultra-high-precision shunt voltage reference</t>
  </si>
  <si>
    <t>Shunt voltage references</t>
  </si>
  <si>
    <t>Catalog</t>
  </si>
  <si>
    <t>SOT-23</t>
  </si>
  <si>
    <t/>
  </si>
  <si>
    <t>-40 to 125</t>
  </si>
  <si>
    <t>2.9 x 2.8</t>
  </si>
  <si>
    <t>ACTIVE</t>
  </si>
  <si>
    <t>switched capacitor flash LED driver in DSBGA Package</t>
  </si>
  <si>
    <t>Illumination  LED drivers</t>
  </si>
  <si>
    <t>Catalog</t>
  </si>
  <si>
    <t>Charge pump,current mode</t>
  </si>
  <si>
    <t>DSBGA</t>
  </si>
  <si>
    <t/>
  </si>
  <si>
    <t>-40 to 85</t>
  </si>
  <si>
    <t>2.25 x 1.75</t>
  </si>
  <si>
    <t>ACTIVE</t>
  </si>
  <si>
    <t>Ultra Small 1.25A Step-Down Switching Regulator with Intelligent Current Limit</t>
  </si>
  <si>
    <t>AC/DC &amp; DC/DC converters (integrated FET)</t>
  </si>
  <si>
    <t>Catalog</t>
  </si>
  <si>
    <t>Buck</t>
  </si>
  <si>
    <t>WSON</t>
  </si>
  <si>
    <t/>
  </si>
  <si>
    <t>-40 to 125</t>
  </si>
  <si>
    <t>3 x 3</t>
  </si>
  <si>
    <t>ACTIVE</t>
  </si>
  <si>
    <t>3A 550 kHz Synchronous Buck Regulator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</si>
  <si>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</si>
  <si>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</si>
  <si>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</si>
  <si>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</si>
  <si>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</si>
  <si>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</si>
  <si>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</si>
  <si>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</si>
  <si>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low-dropout, two-bank LED driver with PWM brightness control</t>
  </si>
  <si>
    <t>RGB LED drivers</t>
  </si>
  <si>
    <t>Catalog</t>
  </si>
  <si>
    <t>Linear</t>
  </si>
  <si>
    <t>DSBGA</t>
  </si>
  <si>
    <t/>
  </si>
  <si>
    <t>-40 to 85</t>
  </si>
  <si>
    <t>1.4000000000000001 x 1.4000000000000001</t>
  </si>
  <si>
    <t>ACTIVE</t>
  </si>
  <si>
    <t>1.5-A, low-VIN (0.98-V), ultra-low-dropout voltage regulator with enable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</si>
  <si>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</si>
  <si>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</si>
  <si>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</si>
  <si>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</si>
  <si>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</si>
  <si>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</si>
  <si>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</si>
  <si>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</si>
  <si>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</si>
  <si>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1.5-A, low-VIN (0.98-V), high-accuracy, ultra-low-dropout voltage regulator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</si>
  <si>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</si>
  <si>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</si>
  <si>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</si>
  <si>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</si>
  <si>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</si>
  <si>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</si>
  <si>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</si>
  <si>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</si>
  <si>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</si>
  <si>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Enhanced Product Ultra-Low Supply-Current/Supply-Voltage Supervisory Circuits</t>
  </si>
  <si>
    <t>Reset &amp; watchdog ICs</t>
  </si>
  <si>
    <t>HiRel Enhanced Product</t>
  </si>
  <si>
    <t>SOT-23</t>
  </si>
  <si>
    <t/>
  </si>
  <si>
    <t>-55 to 125</t>
  </si>
  <si>
    <t>2.9 x 2.8</t>
  </si>
  <si>
    <t>ACTIVE</t>
  </si>
  <si>
    <t>0.1A loading, 2.7-5.5V, 400mΩ USB power switch, active-low</t>
  </si>
  <si>
    <t>USB power switches &amp; charging port controllers</t>
  </si>
  <si>
    <t>Catalog</t>
  </si>
  <si>
    <t>SOIC</t>
  </si>
  <si>
    <t/>
  </si>
  <si>
    <t>-40 to 125</t>
  </si>
  <si>
    <t>4.9 x 6</t>
  </si>
  <si>
    <t>ACTIVE</t>
  </si>
  <si>
    <t>Dual Output Boost WLED driver Using Single Inductor</t>
  </si>
  <si>
    <t>Backlight LED drivers</t>
  </si>
  <si>
    <t>Catalog</t>
  </si>
  <si>
    <t>Boost</t>
  </si>
  <si>
    <t>VSON</t>
  </si>
  <si>
    <t/>
  </si>
  <si>
    <t>-40 to 85</t>
  </si>
  <si>
    <t>3 x 3</t>
  </si>
  <si>
    <t>ACTIVE</t>
  </si>
  <si>
    <t>10-A, 2.2V to 5.5V Input, Non-Isolated, Wide Output, Adjustable Power Module with TurboTrans</t>
  </si>
  <si>
    <t>Power modules (integrated inductor)</t>
  </si>
  <si>
    <t>Catalog</t>
  </si>
  <si>
    <t>Buck</t>
  </si>
  <si>
    <t>DIPMODULE</t>
  </si>
  <si>
    <t/>
  </si>
  <si>
    <t>-40 to 85</t>
  </si>
  <si>
    <t>23.11 x 16.76</t>
  </si>
  <si>
    <t>ACTIVE</t>
  </si>
  <si>
    <t>3-A, 2.2V to 5.5V Input, Ceramic Cap Version, Non-Iso, Wide Output, Adj Power Module with TurboTrans</t>
  </si>
  <si>
    <t>Power modules (integrated inductor)</t>
  </si>
  <si>
    <t>Catalog</t>
  </si>
  <si>
    <t>Buck</t>
  </si>
  <si>
    <t>DIPMODULE</t>
  </si>
  <si>
    <t/>
  </si>
  <si>
    <t>-40 to 85</t>
  </si>
  <si>
    <t>19.94 x 16.76</t>
  </si>
  <si>
    <t>ACTIVE</t>
  </si>
  <si>
    <t>IEEE 802.3af, 600mA capable, PD controller</t>
  </si>
  <si>
    <t>Powered devices</t>
  </si>
  <si>
    <t>Catalog</t>
  </si>
  <si>
    <t>HSOIC</t>
  </si>
  <si>
    <t/>
  </si>
  <si>
    <t>-40 to 85</t>
  </si>
  <si>
    <t>4.9 x 6</t>
  </si>
  <si>
    <t>ACTIVE</t>
  </si>
  <si>
    <t>Low Dropout, Two-Bank LED driver with PWM brightness control with 25mA/ch</t>
  </si>
  <si>
    <t>RGB LED drivers</t>
  </si>
  <si>
    <t>Catalog</t>
  </si>
  <si>
    <t>Linear</t>
  </si>
  <si>
    <t>DSBGA,WSON</t>
  </si>
  <si>
    <t/>
  </si>
  <si>
    <t>-40 to 85</t>
  </si>
  <si>
    <t>9,10</t>
  </si>
  <si>
    <t>1.96000000000000028000000000000001,6.25</t>
  </si>
  <si>
    <t>1.4000000000000001 x 1.4000000000000001,2.5 x 2.5</t>
  </si>
  <si>
    <t>0.625,0.8</t>
  </si>
  <si>
    <t>0.4,0.5</t>
  </si>
  <si>
    <t>ACTIVE</t>
  </si>
  <si>
    <t>16-channel LED driver w/dot correction &amp; pre-charge FET</t>
  </si>
  <si>
    <t>LED display drivers</t>
  </si>
  <si>
    <t>Catalog</t>
  </si>
  <si>
    <t>HTSSOP,VQFN</t>
  </si>
  <si>
    <t/>
  </si>
  <si>
    <t>-40 to 85</t>
  </si>
  <si>
    <t>25,89.1</t>
  </si>
  <si>
    <t>11 x 8.1,5 x 5</t>
  </si>
  <si>
    <t>1,1.2</t>
  </si>
  <si>
    <t>0.5,0.65</t>
  </si>
  <si>
    <t>ACTIVE</t>
  </si>
  <si>
    <t>5.5V to 36V Input, 1A, 500kHz Step Down Converter</t>
  </si>
  <si>
    <t>AC/DC &amp; DC/DC converters (integrated FET)</t>
  </si>
  <si>
    <t>Catalog</t>
  </si>
  <si>
    <t>Buck</t>
  </si>
  <si>
    <t>SOIC</t>
  </si>
  <si>
    <t/>
  </si>
  <si>
    <t>-40 to 125</t>
  </si>
  <si>
    <t>4.9 x 6</t>
  </si>
  <si>
    <t>ACTIVE</t>
  </si>
  <si>
    <t>3MHz, 600mA Miniature Step-Down DC-DC Converter for Ultra Low Voltage Circuits</t>
  </si>
  <si>
    <t>AC/DC &amp; DC/DC converters (integrated FET)</t>
  </si>
  <si>
    <t>Catalog</t>
  </si>
  <si>
    <t>Buck</t>
  </si>
  <si>
    <t>DSBGA,USON</t>
  </si>
  <si>
    <t/>
  </si>
  <si>
    <t>-30 to 85</t>
  </si>
  <si>
    <t>5,6</t>
  </si>
  <si>
    <t>2.02,3</t>
  </si>
  <si>
    <t>1.616 x 1.25,2 x 1.5</t>
  </si>
  <si>
    <t>0.6,0.675</t>
  </si>
  <si>
    <t>ACTIVE</t>
  </si>
  <si>
    <t>100-mA, 30-V, low-dropout voltage regulator with power good &amp; enable</t>
  </si>
  <si>
    <t>Linear &amp; low-dropout (LDO) regulators</t>
  </si>
  <si>
    <t>Catalog</t>
  </si>
  <si>
    <t>SOIC,WSON</t>
  </si>
  <si>
    <t/>
  </si>
  <si>
    <t>-40 to 125</t>
  </si>
  <si>
    <t>9,29.4</t>
  </si>
  <si>
    <t>3 x 3,4.9 x 6</t>
  </si>
  <si>
    <t>0.73,1.75</t>
  </si>
  <si>
    <t>0.5,1.27</t>
  </si>
  <si>
    <t>ACTIVE</t>
  </si>
  <si>
    <t>24-V, 8-ch NMOS low-side driver with 5-V LDO and brown-out detect</t>
  </si>
  <si>
    <t>Low-side switches</t>
  </si>
  <si>
    <t>Catalog</t>
  </si>
  <si>
    <t>HTSSOP</t>
  </si>
  <si>
    <t/>
  </si>
  <si>
    <t>-40 to 125</t>
  </si>
  <si>
    <t>6.5 x 6.4</t>
  </si>
  <si>
    <t>ACTIVE</t>
  </si>
  <si>
    <t>2-A, 100-V half bridge gate driver with 8-V UVLO and CMOS inputs</t>
  </si>
  <si>
    <t>Half-bridge drivers</t>
  </si>
  <si>
    <t>Catalog</t>
  </si>
  <si>
    <t>SOIC,WSON</t>
  </si>
  <si>
    <t/>
  </si>
  <si>
    <t>-40 to 125</t>
  </si>
  <si>
    <t>8,10</t>
  </si>
  <si>
    <t>16,29.4</t>
  </si>
  <si>
    <t>4 x 4,4.9 x 6</t>
  </si>
  <si>
    <t>0.8,1.75</t>
  </si>
  <si>
    <t>0.8,1.27</t>
  </si>
  <si>
    <t>ACTIVE</t>
  </si>
  <si>
    <t>1-A, 100-V half bridge gate driver with 8-V UVLO and CMOS Imputs</t>
  </si>
  <si>
    <t>Half-bridge drivers</t>
  </si>
  <si>
    <t>Catalog</t>
  </si>
  <si>
    <t>SOIC</t>
  </si>
  <si>
    <t/>
  </si>
  <si>
    <t>-40 to 125</t>
  </si>
  <si>
    <t>4.9 x 6</t>
  </si>
  <si>
    <t>ACTIVE</t>
  </si>
  <si>
    <t>2-A, 100-V half bridge gate driver with 8-V UVLO and TTL inputs</t>
  </si>
  <si>
    <t>Half-bridge drivers</t>
  </si>
  <si>
    <t>Catalog</t>
  </si>
  <si>
    <t>SOIC,WSON</t>
  </si>
  <si>
    <t/>
  </si>
  <si>
    <t>-40 to 125</t>
  </si>
  <si>
    <t>8,10</t>
  </si>
  <si>
    <t>16,29.4</t>
  </si>
  <si>
    <t>4 x 4,4.9 x 6</t>
  </si>
  <si>
    <t>0.8,1.75</t>
  </si>
  <si>
    <t>0.8,1.27</t>
  </si>
  <si>
    <t>ACTIVE</t>
  </si>
  <si>
    <t>1-A, 100-V half bridge gate driver with 8-V UVLO and TTL Imputs</t>
  </si>
  <si>
    <t>Half-bridge drivers</t>
  </si>
  <si>
    <t>Catalog</t>
  </si>
  <si>
    <t>HVSSOP,SOIC,WSON</t>
  </si>
  <si>
    <t/>
  </si>
  <si>
    <t>-40 to 125</t>
  </si>
  <si>
    <t>8,10</t>
  </si>
  <si>
    <t>14.7,16,29.4</t>
  </si>
  <si>
    <t>3 x 4.9,4 x 4,4.9 x 6</t>
  </si>
  <si>
    <t>0.8,1.1,1.75</t>
  </si>
  <si>
    <t>0.65,0.8,1.27</t>
  </si>
  <si>
    <t>ACTIVE</t>
  </si>
  <si>
    <t>800mA switched capacitor flash LED driver with Time-Out Protection</t>
  </si>
  <si>
    <t>Illumination  LED drivers</t>
  </si>
  <si>
    <t>Catalog</t>
  </si>
  <si>
    <t>Charge pump,current mode</t>
  </si>
  <si>
    <t>WQFN</t>
  </si>
  <si>
    <t/>
  </si>
  <si>
    <t>-40 to 85</t>
  </si>
  <si>
    <t>4 x 4</t>
  </si>
  <si>
    <t>ACTIVE</t>
  </si>
  <si>
    <t>3 Rail Simple Power Sequencer with Fixed Time Delay</t>
  </si>
  <si>
    <t>Sequencers</t>
  </si>
  <si>
    <t>Catalog</t>
  </si>
  <si>
    <t>SOT-23</t>
  </si>
  <si>
    <t/>
  </si>
  <si>
    <t>-40 to 125</t>
  </si>
  <si>
    <t>2.9 x 2.8</t>
  </si>
  <si>
    <t>ACTIVE</t>
  </si>
  <si>
    <t>100-mA, 30-V, low-dropout voltage regulator with low IQ</t>
  </si>
  <si>
    <t>Linear &amp; low-dropout (LDO) regulators</t>
  </si>
  <si>
    <t>Catalog</t>
  </si>
  <si>
    <t>TO-92</t>
  </si>
  <si>
    <t/>
  </si>
  <si>
    <t>-40 to 125</t>
  </si>
  <si>
    <t>5.2 x 3.68</t>
  </si>
  <si>
    <t>ACTIVE</t>
  </si>
  <si>
    <t>30-V, 0.2A high Performance 500KHz current mode PWM with 16V/10V UVLO, 100% duty cycle, -40C to 85C</t>
  </si>
  <si>
    <t>AC/DC &amp; DC/DC controllers (external FET)</t>
  </si>
  <si>
    <t>Catalog</t>
  </si>
  <si>
    <t>Boost,Flyback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</si>
  <si>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</si>
  <si>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</si>
  <si>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</si>
  <si>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</si>
  <si>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</si>
  <si>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</si>
  <si>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</si>
  <si>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</si>
  <si>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</si>
  <si>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30V, 0.2A high Performance 500KHz current mode PWM with 8.4V/7.6V UVLO, 100% duty cycle, -40C to 85C</t>
  </si>
  <si>
    <t>AC/DC &amp; DC/DC controllers (external FET)</t>
  </si>
  <si>
    <t>Catalog</t>
  </si>
  <si>
    <t>Boost,Flyback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</si>
  <si>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</si>
  <si>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</si>
  <si>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</si>
  <si>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</si>
  <si>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</si>
  <si>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</si>
  <si>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</si>
  <si>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</si>
  <si>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</si>
  <si>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30V, 0.2A high Performance 500KHz current mode PWM with 16V/10V UVLO, 50% duty cycle, -40C to 85C</t>
  </si>
  <si>
    <t>AC/DC &amp; DC/DC controllers (external FET)</t>
  </si>
  <si>
    <t>Catalog</t>
  </si>
  <si>
    <t>Boost,Flyback</t>
  </si>
  <si>
    <t>SOIC</t>
  </si>
  <si>
    <t/>
  </si>
  <si>
    <t>-40 to 85</t>
  </si>
  <si>
    <t>8,14</t>
  </si>
  <si>
    <t>29.4,51.9</t>
  </si>
  <si>
    <t>4.9 x 6,8.65 x 6</t>
  </si>
  <si>
    <t>ACTIVE</t>
  </si>
  <si>
    <t>30-V, 0.2A high Performance 500KHz current mode PWM with 8.4V/7.6V UVLO, 50% duty cycle, -40C to 85C</t>
  </si>
  <si>
    <t>AC/DC &amp; DC/DC controllers (external FET)</t>
  </si>
  <si>
    <t>Catalog</t>
  </si>
  <si>
    <t>Boost,Flyback</t>
  </si>
  <si>
    <t>SOIC</t>
  </si>
  <si>
    <t/>
  </si>
  <si>
    <t>-40 to 85</t>
  </si>
  <si>
    <t>8,14</t>
  </si>
  <si>
    <t>29.4,51.9</t>
  </si>
  <si>
    <t>4.9 x 6,8.65 x 6</t>
  </si>
  <si>
    <t>ACTIVE</t>
  </si>
  <si>
    <t>30-V, 0.2A high Performance 500KHz current mode PWM with 16V/10V UVLO, 100% duty cycle, 0C to 70C</t>
  </si>
  <si>
    <t>AC/DC &amp; DC/DC controllers (external FET)</t>
  </si>
  <si>
    <t>Catalog</t>
  </si>
  <si>
    <t>Boost,Flyback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</si>
  <si>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</si>
  <si>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</si>
  <si>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</si>
  <si>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</si>
  <si>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</si>
  <si>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</si>
  <si>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</si>
  <si>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</si>
  <si>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</si>
  <si>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30V, 0.2A high Performance 500KHz current mode PWM with 8.4V/7.6V UVLO, 100% duty cycle, 0C to 70C</t>
  </si>
  <si>
    <t>AC/DC &amp; DC/DC controllers (external FET)</t>
  </si>
  <si>
    <t>Catalog</t>
  </si>
  <si>
    <t>Boost,Flyback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</si>
  <si>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</si>
  <si>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</si>
  <si>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</si>
  <si>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</si>
  <si>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</si>
  <si>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</si>
  <si>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</si>
  <si>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</si>
  <si>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</si>
  <si>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30V, 0.2A high Performance 500KHz current mode PWM with 16V/10V UVLO, 50% duty cycle, 0C to 70C</t>
  </si>
  <si>
    <t>AC/DC &amp; DC/DC controllers (external FET)</t>
  </si>
  <si>
    <t>Catalog</t>
  </si>
  <si>
    <t>Boost,Flyback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</si>
  <si>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</si>
  <si>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</si>
  <si>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</si>
  <si>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</si>
  <si>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</si>
  <si>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</si>
  <si>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</si>
  <si>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</si>
  <si>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</si>
  <si>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30-V, 0.2A high Performance 500KHz current mode PWM with 8.4V/7.6V UVLO, 50% duty cycle, 0C to 70C</t>
  </si>
  <si>
    <t>AC/DC &amp; DC/DC controllers (external FET)</t>
  </si>
  <si>
    <t>Catalog</t>
  </si>
  <si>
    <t>Boost,Flyback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</si>
  <si>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</si>
  <si>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</si>
  <si>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</si>
  <si>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</si>
  <si>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</si>
  <si>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</si>
  <si>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</si>
  <si>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</si>
  <si>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</si>
  <si>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CMOS Voltage Converter</t>
  </si>
  <si>
    <t>AC/DC &amp; DC/DC converters (integrated FET)</t>
  </si>
  <si>
    <t>Catalog</t>
  </si>
  <si>
    <t>PDIP,SOIC,VSSOP</t>
  </si>
  <si>
    <t/>
  </si>
  <si>
    <t>-40 to 125</t>
  </si>
  <si>
    <t>14.7,29.4,92.5083</t>
  </si>
  <si>
    <t>3 x 4.9,4.9 x 6,9.81 x 9.43</t>
  </si>
  <si>
    <t>1.1,1.75,5.08</t>
  </si>
  <si>
    <t>0.65,1.27,2.54</t>
  </si>
  <si>
    <t>ACTIVE</t>
  </si>
  <si>
    <t>3-channel constant current LED driver with integrated boost controller</t>
  </si>
  <si>
    <t>Illumination  LED drivers</t>
  </si>
  <si>
    <t>Catalog</t>
  </si>
  <si>
    <t>Boost,Boost with Current Sink,Multi-Channel</t>
  </si>
  <si>
    <t>HTSSOP</t>
  </si>
  <si>
    <t/>
  </si>
  <si>
    <t>-40 to 125</t>
  </si>
  <si>
    <t>9.7 x 6.4</t>
  </si>
  <si>
    <t>ACTIVE</t>
  </si>
  <si>
    <t>3-channel automotive constant current LED driver with integrated boost controller</t>
  </si>
  <si>
    <t>Automotive LED drivers</t>
  </si>
  <si>
    <t>Automotive</t>
  </si>
  <si>
    <t>Boost with Current Sink</t>
  </si>
  <si>
    <t>HTSSOP</t>
  </si>
  <si>
    <t/>
  </si>
  <si>
    <t>-40 to 125</t>
  </si>
  <si>
    <t>9.7 x 6.4</t>
  </si>
  <si>
    <t>ACTIVE</t>
  </si>
  <si>
    <t>Automotive, 450mA off-battery (42V) low-dropout voltage regulator with reset, delay</t>
  </si>
  <si>
    <t>Linear &amp; low-dropout (LDO) regulators</t>
  </si>
  <si>
    <t>Automotive</t>
  </si>
  <si>
    <t>HTSSOP,TO-252,TO-263</t>
  </si>
  <si>
    <t/>
  </si>
  <si>
    <t>-40 to 125</t>
  </si>
  <si>
    <t>5,20</t>
  </si>
  <si>
    <t>41.6,66.726,154.8384</t>
  </si>
  <si>
    <t>10.16 x 15.24,6.5 x 6.4,6.6 x 10.11</t>
  </si>
  <si>
    <t>1.2,2.52,4.83</t>
  </si>
  <si>
    <t>0.65,1.14,1.7</t>
  </si>
  <si>
    <t>ACTIVE</t>
  </si>
  <si>
    <t>Enhanced Product 3-Pin Supply Voltage Supervisor</t>
  </si>
  <si>
    <t>Reset &amp; watchdog ICs</t>
  </si>
  <si>
    <t>HiRel Enhanced Product</t>
  </si>
  <si>
    <t>SOT-23</t>
  </si>
  <si>
    <t/>
  </si>
  <si>
    <t>-55 to 125</t>
  </si>
  <si>
    <t>2.9 x 2.8</t>
  </si>
  <si>
    <t>ACTIVE</t>
  </si>
  <si>
    <t>High frequency 1 A step-down DC/DC converter</t>
  </si>
  <si>
    <t>AC/DC &amp; DC/DC converters (integrated FET)</t>
  </si>
  <si>
    <t>Catalog</t>
  </si>
  <si>
    <t>Buck</t>
  </si>
  <si>
    <t>SOT-23,WSON</t>
  </si>
  <si>
    <t/>
  </si>
  <si>
    <t>-40 to 125</t>
  </si>
  <si>
    <t>5,6</t>
  </si>
  <si>
    <t>8.12,9</t>
  </si>
  <si>
    <t>2.9 x 2.8,3 x 3</t>
  </si>
  <si>
    <t>0.8,1.45</t>
  </si>
  <si>
    <t>ACTIVE</t>
  </si>
  <si>
    <t>High Frequency 1.5A Load - Step-Down DC-DC Regulator</t>
  </si>
  <si>
    <t>AC/DC &amp; DC/DC converters (integrated FET)</t>
  </si>
  <si>
    <t>Catalog</t>
  </si>
  <si>
    <t>Buck</t>
  </si>
  <si>
    <t>SOT-23,WSON</t>
  </si>
  <si>
    <t/>
  </si>
  <si>
    <t>-40 to 125</t>
  </si>
  <si>
    <t>5,6</t>
  </si>
  <si>
    <t>8.12,9</t>
  </si>
  <si>
    <t>2.9 x 2.8,3 x 3</t>
  </si>
  <si>
    <t>0.8,1.45</t>
  </si>
  <si>
    <t>ACTIVE</t>
  </si>
  <si>
    <t>SIMPLE SWITCHER&amp;reg; 42V, 100mA Step-Down DC/DC Regulator in Thin SOT-23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</si>
  <si>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</si>
  <si>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</si>
  <si>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</si>
  <si>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</si>
  <si>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</si>
  <si>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</si>
  <si>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</si>
  <si>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</si>
  <si>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SIMPLE SWITCHER&amp;reg; 42V, 100mA Step-Down DC/DC Regulator in Thin SOT-23</t>
  </si>
  <si>
    <t>AC/DC &amp; DC/DC converters (integrated FET)</t>
  </si>
  <si>
    <t>Automotive</t>
  </si>
  <si>
    <t>Buck</t>
  </si>
  <si>
    <t>SOT-23-THN</t>
  </si>
  <si>
    <t/>
  </si>
  <si>
    <t>-40 to 125</t>
  </si>
  <si>
    <t>2.9 x 2.8</t>
  </si>
  <si>
    <t>ACTIVE</t>
  </si>
  <si>
    <t>SIMPLE SWITCHER&amp;reg; 4.5V to 42V, 0.6A Step-Down DC/DC Switching Regulator in Thin SOT-23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</si>
  <si>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</si>
  <si>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</si>
  <si>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</si>
  <si>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</si>
  <si>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</si>
  <si>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</si>
  <si>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</si>
  <si>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</si>
  <si>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SIMPLE SWITCHER&amp;reg; 4.5V to 42V, 0.6A Step-Down Regulator in Thin SOT-23</t>
  </si>
  <si>
    <t>AC/DC &amp; DC/DC converters (integrated FET)</t>
  </si>
  <si>
    <t>Automotive</t>
  </si>
  <si>
    <t>Buck</t>
  </si>
  <si>
    <t>SOT-23-THN</t>
  </si>
  <si>
    <t/>
  </si>
  <si>
    <t>-40 to 125</t>
  </si>
  <si>
    <t>2.9 x 2.8</t>
  </si>
  <si>
    <t>ACTIVE</t>
  </si>
  <si>
    <t>1-A Simple Step-Down Switching Voltage Regulators</t>
  </si>
  <si>
    <t>AC/DC &amp; DC/DC converters (integrated FET)</t>
  </si>
  <si>
    <t>Catalog</t>
  </si>
  <si>
    <t>Buck</t>
  </si>
  <si>
    <t>PDIP,TO-220,TO-263</t>
  </si>
  <si>
    <t/>
  </si>
  <si>
    <t>-40 to 125</t>
  </si>
  <si>
    <t>5,16</t>
  </si>
  <si>
    <t>83.312,154.8384,181.42</t>
  </si>
  <si>
    <t>10.16 x 15.24,10.16 x 8.2,19.3 x 9.4</t>
  </si>
  <si>
    <t>4.7,4.83,5.08</t>
  </si>
  <si>
    <t>1.7,2.54</t>
  </si>
  <si>
    <t>ACTIVE</t>
  </si>
  <si>
    <t>Enhanced Product Backup-Battery Supervisors For Ram Retention</t>
  </si>
  <si>
    <t>Reset &amp; watchdog ICs</t>
  </si>
  <si>
    <t>HiRel Enhanced Product</t>
  </si>
  <si>
    <t>VSSOP</t>
  </si>
  <si>
    <t/>
  </si>
  <si>
    <t>-55 to 125</t>
  </si>
  <si>
    <t>3 x 4.9</t>
  </si>
  <si>
    <t>ACTIVE</t>
  </si>
  <si>
    <t>Enhanced Product Nanopower Supervisory Circuit</t>
  </si>
  <si>
    <t>Reset &amp; watchdog ICs</t>
  </si>
  <si>
    <t>HiRel Enhanced Product</t>
  </si>
  <si>
    <t>SOT-23</t>
  </si>
  <si>
    <t/>
  </si>
  <si>
    <t>-55 to 125</t>
  </si>
  <si>
    <t>2.9 x 2.8</t>
  </si>
  <si>
    <t>ACTIVE</t>
  </si>
  <si>
    <t>Dual, Adjustable, 400mA and 600mA, 2.25MHz Step-Down Converter with 1-Wire Interface in QFN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</si>
  <si>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</si>
  <si>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</si>
  <si>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</si>
  <si>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</si>
  <si>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</si>
  <si>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</si>
  <si>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</si>
  <si>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</si>
  <si>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Dual, 400mA and 600mA, 2.25MHz Step-Down Converter with 1-Wire Interface in QFN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</si>
  <si>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</si>
  <si>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</si>
  <si>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</si>
  <si>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</si>
  <si>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</si>
  <si>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</si>
  <si>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</si>
  <si>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</si>
  <si>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Dual, Adjustable, 600mA and 1000mA, 2.25MHz Step-Down Converter with 1-Wire Interface in QFN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</si>
  <si>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</si>
  <si>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</si>
  <si>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</si>
  <si>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</si>
  <si>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</si>
  <si>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</si>
  <si>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</si>
  <si>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</si>
  <si>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High-Performance, Miniature 1.5A Step-Down DC-DC Converter for Handheld Applications</t>
  </si>
  <si>
    <t>AC/DC &amp; DC/DC converters (integrated FET)</t>
  </si>
  <si>
    <t>Catalog</t>
  </si>
  <si>
    <t>Buck</t>
  </si>
  <si>
    <t>WSON</t>
  </si>
  <si>
    <t/>
  </si>
  <si>
    <t>-30 to 85</t>
  </si>
  <si>
    <t>3 x 3</t>
  </si>
  <si>
    <t>ACTIVE</t>
  </si>
  <si>
    <t>1.5MHz/3MHz 3.0A  Step-Down DC-DC  Switching Regulator</t>
  </si>
  <si>
    <t>AC/DC &amp; DC/DC converters (integrated FET)</t>
  </si>
  <si>
    <t>Catalog</t>
  </si>
  <si>
    <t>Buck</t>
  </si>
  <si>
    <t>HVSSOP,WSON</t>
  </si>
  <si>
    <t/>
  </si>
  <si>
    <t>-40 to 125</t>
  </si>
  <si>
    <t>9,14.7</t>
  </si>
  <si>
    <t>3 x 3,3 x 4.9</t>
  </si>
  <si>
    <t>0.8,1.1</t>
  </si>
  <si>
    <t>ACTIVE</t>
  </si>
  <si>
    <t>1-A Simple Step-Down Switching Voltage Regulators</t>
  </si>
  <si>
    <t>AC/DC &amp; DC/DC converters (integrated FET)</t>
  </si>
  <si>
    <t>Catalog</t>
  </si>
  <si>
    <t>Buck</t>
  </si>
  <si>
    <t>PDIP,TO-220,TO-263</t>
  </si>
  <si>
    <t/>
  </si>
  <si>
    <t>-40 to 125</t>
  </si>
  <si>
    <t>5,16</t>
  </si>
  <si>
    <t>83.312,154.8384,181.42</t>
  </si>
  <si>
    <t>10.16 x 15.24,10.16 x 8.2,19.3 x 9.4</t>
  </si>
  <si>
    <t>4.7,4.83,5.08</t>
  </si>
  <si>
    <t>1.7,2.54</t>
  </si>
  <si>
    <t>ACTIVE</t>
  </si>
  <si>
    <t>Power Management IC (PMIC)  for Li-Ion Powered Systems</t>
  </si>
  <si>
    <t>Multi-channel ICs (PMICs)</t>
  </si>
  <si>
    <t>Catalog</t>
  </si>
  <si>
    <t>VQFN</t>
  </si>
  <si>
    <t/>
  </si>
  <si>
    <t>-40 to 85</t>
  </si>
  <si>
    <t>6 x 6</t>
  </si>
  <si>
    <t>ACTIVE</t>
  </si>
  <si>
    <t>Not for TI.com, Legacy:  FIXED-VOLTAGE REGULATORS FOR SCSI ACTIVE TERMINATION</t>
  </si>
  <si>
    <t>Linear &amp; low-dropout (LDO) regulators</t>
  </si>
  <si>
    <t>Catalog</t>
  </si>
  <si>
    <t>TO-220</t>
  </si>
  <si>
    <t/>
  </si>
  <si>
    <t xml:space="preserve"> to </t>
  </si>
  <si>
    <t>10.16 x 4.55</t>
  </si>
  <si>
    <t>ACTIVE</t>
  </si>
  <si>
    <t>1A, High Efficiency Dual Mode Single Inductor Buck-Boost DC/DC Converter</t>
  </si>
  <si>
    <t>AC/DC &amp; DC/DC converters (integrated FET)</t>
  </si>
  <si>
    <t>Catalog</t>
  </si>
  <si>
    <t>Buck-Boost</t>
  </si>
  <si>
    <t>WSON</t>
  </si>
  <si>
    <t/>
  </si>
  <si>
    <t>-40 to 85</t>
  </si>
  <si>
    <t>3 x 3</t>
  </si>
  <si>
    <t>ACTIVE</t>
  </si>
  <si>
    <t>Automotive 4.5V to 28V Dual Two-Phase Synchronous Buck Controller</t>
  </si>
  <si>
    <t>AC/DC &amp; DC/DC controllers (external FET)</t>
  </si>
  <si>
    <t>Automotive</t>
  </si>
  <si>
    <t>Buck Controller</t>
  </si>
  <si>
    <t>TSSOP</t>
  </si>
  <si>
    <t/>
  </si>
  <si>
    <t>-40 to 125</t>
  </si>
  <si>
    <t>7.8 x 6.4</t>
  </si>
  <si>
    <t>ACTIVE</t>
  </si>
  <si>
    <t>1A, 3MHz Buck Converter with I2C for Dynamic Voltage Scaling</t>
  </si>
  <si>
    <t>AC/DC &amp; DC/DC converters (integrated FET)</t>
  </si>
  <si>
    <t>Catalog</t>
  </si>
  <si>
    <t>Buck</t>
  </si>
  <si>
    <t>DSBGA</t>
  </si>
  <si>
    <t/>
  </si>
  <si>
    <t>-40 to 85</t>
  </si>
  <si>
    <t>2.25 x 1.75</t>
  </si>
  <si>
    <t>ACTIVE</t>
  </si>
  <si>
    <t>Low-Voltage Synchronous Buck Controller with Precision Enable and No External Compensation</t>
  </si>
  <si>
    <t>AC/DC &amp; DC/DC controllers (external FET)</t>
  </si>
  <si>
    <t>Catalog</t>
  </si>
  <si>
    <t>VSSOP,WSON</t>
  </si>
  <si>
    <t/>
  </si>
  <si>
    <t>-40 to 125</t>
  </si>
  <si>
    <t>6,8</t>
  </si>
  <si>
    <t>9,14.7</t>
  </si>
  <si>
    <t>3 x 3,3 x 4.9</t>
  </si>
  <si>
    <t>0.8,1.1</t>
  </si>
  <si>
    <t>0.65,0.95</t>
  </si>
  <si>
    <t>ACTIVE</t>
  </si>
  <si>
    <t>6-A, 4.5V to 14V Input, Non-Isolated, Wide Output Adjustable Power Module with TurboTrans</t>
  </si>
  <si>
    <t>Power modules (integrated inductor)</t>
  </si>
  <si>
    <t>Catalog</t>
  </si>
  <si>
    <t>Buck</t>
  </si>
  <si>
    <t>DIPMODULE</t>
  </si>
  <si>
    <t/>
  </si>
  <si>
    <t>-40 to 85</t>
  </si>
  <si>
    <t>19.94 x 16.76</t>
  </si>
  <si>
    <t>ACTIVE</t>
  </si>
  <si>
    <t>1.6-MHz, 1-A constant current buck regulator for powering LEDs</t>
  </si>
  <si>
    <t>Illumination  LED drivers</t>
  </si>
  <si>
    <t>Catalog</t>
  </si>
  <si>
    <t>Buck</t>
  </si>
  <si>
    <t>SOT-23-THN</t>
  </si>
  <si>
    <t/>
  </si>
  <si>
    <t>-40 to 125</t>
  </si>
  <si>
    <t>2.9 x 2.8</t>
  </si>
  <si>
    <t>ACTIVE</t>
  </si>
  <si>
    <t>Miniature, 1W, 3kVDC Isolated DC/DC Converters</t>
  </si>
  <si>
    <t>Isolated power modules (integrated transformer)</t>
  </si>
  <si>
    <t>Catalog</t>
  </si>
  <si>
    <t>Push-Pull</t>
  </si>
  <si>
    <t>SIPMODULE</t>
  </si>
  <si>
    <t/>
  </si>
  <si>
    <t>-40 to 85</t>
  </si>
  <si>
    <t>19.56 x 7.62</t>
  </si>
  <si>
    <t>ACTIVE</t>
  </si>
  <si>
    <t>Miniature, 1W, 3kVDC Isolated DC/DC Converters</t>
  </si>
  <si>
    <t>Isolated power modules (integrated transformer)</t>
  </si>
  <si>
    <t>Catalog</t>
  </si>
  <si>
    <t>Push-Pull</t>
  </si>
  <si>
    <t>SIPMODULE</t>
  </si>
  <si>
    <t/>
  </si>
  <si>
    <t>-40 to 85</t>
  </si>
  <si>
    <t>19.56 x 7.62</t>
  </si>
  <si>
    <t>ACTIVE</t>
  </si>
  <si>
    <t>Miniature, 1W, 3kVDC Isolated DC/DC Converters</t>
  </si>
  <si>
    <t>Isolated power modules (integrated transformer)</t>
  </si>
  <si>
    <t>Catalog</t>
  </si>
  <si>
    <t>Push-Pull</t>
  </si>
  <si>
    <t>SIPMODULE</t>
  </si>
  <si>
    <t/>
  </si>
  <si>
    <t>-40 to 85</t>
  </si>
  <si>
    <t>19.56 x 7.62</t>
  </si>
  <si>
    <t>ACTIVE</t>
  </si>
  <si>
    <t>Miniature, 1W, 3kVDC Isolated DC/DC Converters</t>
  </si>
  <si>
    <t>Isolated power modules (integrated transformer)</t>
  </si>
  <si>
    <t>Catalog</t>
  </si>
  <si>
    <t>Push-Pull</t>
  </si>
  <si>
    <t>SIPMODULE</t>
  </si>
  <si>
    <t/>
  </si>
  <si>
    <t>-40 to 85</t>
  </si>
  <si>
    <t>19.56 x 7.62</t>
  </si>
  <si>
    <t>ACTIVE</t>
  </si>
  <si>
    <t>Miniature, 1W, 3kVDC Isolated DC/DC Converters</t>
  </si>
  <si>
    <t>Isolated power modules (integrated transformer)</t>
  </si>
  <si>
    <t>Catalog</t>
  </si>
  <si>
    <t>Push-Pull</t>
  </si>
  <si>
    <t>SIPMODULE</t>
  </si>
  <si>
    <t/>
  </si>
  <si>
    <t>-40 to 85</t>
  </si>
  <si>
    <t>19.56 x 7.62</t>
  </si>
  <si>
    <t>ACTIVE</t>
  </si>
  <si>
    <t>Miniature, 1W, 3kVDC Isolated DC/DC Converters</t>
  </si>
  <si>
    <t>Isolated power modules (integrated transformer)</t>
  </si>
  <si>
    <t>Catalog</t>
  </si>
  <si>
    <t>Push-Pull</t>
  </si>
  <si>
    <t>SIPMODULE</t>
  </si>
  <si>
    <t/>
  </si>
  <si>
    <t>-40 to 85</t>
  </si>
  <si>
    <t>19.56 x 7.62</t>
  </si>
  <si>
    <t>ACTIVE</t>
  </si>
  <si>
    <t>Step-down DC-DC converter with integrated low dropout regulator and startup mode</t>
  </si>
  <si>
    <t>Multi-channel ICs (PMICs)</t>
  </si>
  <si>
    <t>Catalog</t>
  </si>
  <si>
    <t>DSBGA</t>
  </si>
  <si>
    <t/>
  </si>
  <si>
    <t>-30 to 125</t>
  </si>
  <si>
    <t>1.75 x 1.75</t>
  </si>
  <si>
    <t>ACTIVE</t>
  </si>
  <si>
    <t>1.5-A, low-VIN (0.8-V), low-noise, high-PSRR, adjustable ultra-low-dropout voltage regulator</t>
  </si>
  <si>
    <t>Linear &amp; low-dropout (LDO) regulators</t>
  </si>
  <si>
    <t>Catalog</t>
  </si>
  <si>
    <t>TO-263,VQFN</t>
  </si>
  <si>
    <t/>
  </si>
  <si>
    <t>-40 to 125</t>
  </si>
  <si>
    <t>7,20</t>
  </si>
  <si>
    <t>12.25,25,153.924</t>
  </si>
  <si>
    <t>10.1 x 15.24,3.5 x 3.5,5 x 5</t>
  </si>
  <si>
    <t>1,5</t>
  </si>
  <si>
    <t>0.5,0.65,1.27</t>
  </si>
  <si>
    <t>ACTIVE</t>
  </si>
  <si>
    <t>1.5-A, low-VIN (0.8-V), high-accuracy, adjustable ultra-low-dropout voltage regulator with PG</t>
  </si>
  <si>
    <t>Linear &amp; low-dropout (LDO) regulators</t>
  </si>
  <si>
    <t>Catalog</t>
  </si>
  <si>
    <t>TO-263,VQFN</t>
  </si>
  <si>
    <t/>
  </si>
  <si>
    <t>-40 to 125</t>
  </si>
  <si>
    <t>7,20</t>
  </si>
  <si>
    <t>25,153.924</t>
  </si>
  <si>
    <t>10.1 x 15.24,5 x 5</t>
  </si>
  <si>
    <t>1,5</t>
  </si>
  <si>
    <t>0.65,1.27</t>
  </si>
  <si>
    <t>ACTIVE</t>
  </si>
  <si>
    <t>3-A, low-VIN (0.8-V), low-noise, high-PSRR, adjustable ultra-low-dropout voltage regulator</t>
  </si>
  <si>
    <t>Linear &amp; low-dropout (LDO) regulators</t>
  </si>
  <si>
    <t>Catalog</t>
  </si>
  <si>
    <t>TO-263,VQFN</t>
  </si>
  <si>
    <t/>
  </si>
  <si>
    <t>-40 to 125</t>
  </si>
  <si>
    <t>7,20</t>
  </si>
  <si>
    <t>12.25,25,153.924</t>
  </si>
  <si>
    <t>10.1 x 15.24,3.5 x 3.5,5 x 5</t>
  </si>
  <si>
    <t>1,5</t>
  </si>
  <si>
    <t>0.5,0.65,1.27</t>
  </si>
  <si>
    <t>ACTIVE</t>
  </si>
  <si>
    <t>3-A, low-VIN (1.15-V), high-accuracy, ultra-low-dropout voltage regulator with enable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</si>
  <si>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</si>
  <si>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</si>
  <si>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</si>
  <si>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</si>
  <si>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</si>
  <si>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</si>
  <si>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</si>
  <si>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</si>
  <si>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</si>
  <si>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High Frequency 2.0A Load - Step-Down DC-DC Regulator</t>
  </si>
  <si>
    <t>AC/DC &amp; DC/DC converters (integrated FET)</t>
  </si>
  <si>
    <t>Catalog</t>
  </si>
  <si>
    <t>Buck</t>
  </si>
  <si>
    <t>HVSSOP,WSON</t>
  </si>
  <si>
    <t/>
  </si>
  <si>
    <t>-40 to 125</t>
  </si>
  <si>
    <t>6,8</t>
  </si>
  <si>
    <t>9,14.7</t>
  </si>
  <si>
    <t>3 x 3,3 x 4.9</t>
  </si>
  <si>
    <t>0.8,1.1</t>
  </si>
  <si>
    <t>0.65,0.95</t>
  </si>
  <si>
    <t>ACTIVE</t>
  </si>
  <si>
    <t>LP3907 Dual 1A and 600mA Buck Converters and Dual 300mA LDOs with I2C Interface</t>
  </si>
  <si>
    <t>Multi-channel ICs (PMICs)</t>
  </si>
  <si>
    <t>Catalog</t>
  </si>
  <si>
    <t>DSBGA,WQFN</t>
  </si>
  <si>
    <t/>
  </si>
  <si>
    <t>-40 to 85</t>
  </si>
  <si>
    <t>24,25</t>
  </si>
  <si>
    <t>7.5625,16</t>
  </si>
  <si>
    <t>2.75 x 2.75,4 x 4</t>
  </si>
  <si>
    <t>0.675,0.8</t>
  </si>
  <si>
    <t>ACTIVE</t>
  </si>
  <si>
    <t>Dual High-Current Step-Down DC/DC and Dual Linear Regulator with I2C-Compatible Interface</t>
  </si>
  <si>
    <t>Multi-channel ICs (PMICs)</t>
  </si>
  <si>
    <t>Automotive</t>
  </si>
  <si>
    <t>DSBGA,WQFN</t>
  </si>
  <si>
    <t/>
  </si>
  <si>
    <t>-40 to 125</t>
  </si>
  <si>
    <t>24,25</t>
  </si>
  <si>
    <t>7.5625,16</t>
  </si>
  <si>
    <t>2.75 x 2.75,4 x 4</t>
  </si>
  <si>
    <t>0.675,0.8</t>
  </si>
  <si>
    <t>ACTIVE</t>
  </si>
  <si>
    <t>8-pin quasi resonant Flyback green mode controller</t>
  </si>
  <si>
    <t>AC/DC &amp; DC/DC controllers (external FET)</t>
  </si>
  <si>
    <t>Catalog</t>
  </si>
  <si>
    <t>Flyback</t>
  </si>
  <si>
    <t>SOIC</t>
  </si>
  <si>
    <t/>
  </si>
  <si>
    <t>-40 to 105</t>
  </si>
  <si>
    <t>4.9 x 6</t>
  </si>
  <si>
    <t>ACTIVE</t>
  </si>
  <si>
    <t>1.5A Switching Regulator with High Efficiency Sleep Mode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</si>
  <si>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</si>
  <si>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</si>
  <si>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</si>
  <si>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</si>
  <si>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</si>
  <si>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</si>
  <si>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</si>
  <si>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</si>
  <si>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4-A, 27-V half bridge gate driver with 4-V UVLO for synchronous rectification</t>
  </si>
  <si>
    <t>Half-bridge drivers</t>
  </si>
  <si>
    <t>Catalog</t>
  </si>
  <si>
    <t>SOIC,VSON</t>
  </si>
  <si>
    <t/>
  </si>
  <si>
    <t>-40 to 125</t>
  </si>
  <si>
    <t>9,29.4</t>
  </si>
  <si>
    <t>3 x 3,4.9 x 6</t>
  </si>
  <si>
    <t>1,1.75</t>
  </si>
  <si>
    <t>0.65,1.27</t>
  </si>
  <si>
    <t>ACTIVE</t>
  </si>
  <si>
    <t>Charge pump LED controller with I2C compatible interface in Micro SMD</t>
  </si>
  <si>
    <t>RGB LED drivers</t>
  </si>
  <si>
    <t>Catalog</t>
  </si>
  <si>
    <t>Charge pump,Current Sink</t>
  </si>
  <si>
    <t>DSBGA</t>
  </si>
  <si>
    <t/>
  </si>
  <si>
    <t>-30 to 85</t>
  </si>
  <si>
    <t>1.9856 x 1.8</t>
  </si>
  <si>
    <t>ACTIVE</t>
  </si>
  <si>
    <t>Hysteretic PFET Buck Controller with Enable Pin</t>
  </si>
  <si>
    <t>AC/DC &amp; DC/DC controllers (external FET)</t>
  </si>
  <si>
    <t>Catalog</t>
  </si>
  <si>
    <t>Buck Controller</t>
  </si>
  <si>
    <t>VSSOP</t>
  </si>
  <si>
    <t/>
  </si>
  <si>
    <t>-40 to 125</t>
  </si>
  <si>
    <t>3 x 4.9</t>
  </si>
  <si>
    <t>ACTIVE</t>
  </si>
  <si>
    <t>Adjustable, 96% Efficiency, 1.5A Buck Converter for low input voltages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</si>
  <si>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</si>
  <si>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</si>
  <si>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</si>
  <si>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</si>
  <si>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</si>
  <si>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</si>
  <si>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</si>
  <si>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</si>
  <si>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30V, 600 mA Step Down Switching Regulator</t>
  </si>
  <si>
    <t>AC/DC &amp; DC/DC converters (integrated FET)</t>
  </si>
  <si>
    <t>Catalog</t>
  </si>
  <si>
    <t>Buck</t>
  </si>
  <si>
    <t>TSSOP,WSON</t>
  </si>
  <si>
    <t/>
  </si>
  <si>
    <t>-40 to 125</t>
  </si>
  <si>
    <t>10,14</t>
  </si>
  <si>
    <t>9,32</t>
  </si>
  <si>
    <t>3 x 3,5 x 6.4</t>
  </si>
  <si>
    <t>0.8,1.2</t>
  </si>
  <si>
    <t>0.5,0.65</t>
  </si>
  <si>
    <t>ACTIVE</t>
  </si>
  <si>
    <t>Enhanced Product Processor Supervisory Circuits With Window-Watchdog</t>
  </si>
  <si>
    <t>Reset &amp; watchdog ICs</t>
  </si>
  <si>
    <t>HiRel Enhanced Product</t>
  </si>
  <si>
    <t>SOT-23</t>
  </si>
  <si>
    <t/>
  </si>
  <si>
    <t>-55 to 125</t>
  </si>
  <si>
    <t>2.9 x 2.8</t>
  </si>
  <si>
    <t>ACTIVE</t>
  </si>
  <si>
    <t>Enhanced Product Nanopower Supervisory Circuits</t>
  </si>
  <si>
    <t>Reset &amp; watchdog ICs</t>
  </si>
  <si>
    <t>HiRel Enhanced Product</t>
  </si>
  <si>
    <t>SOT-23</t>
  </si>
  <si>
    <t/>
  </si>
  <si>
    <t>-55 to 125</t>
  </si>
  <si>
    <t>2.9 x 2.8</t>
  </si>
  <si>
    <t>ACTIVE</t>
  </si>
  <si>
    <t>200-mA, low-IQ, high-accuracy low-dropout voltage regulator with enable</t>
  </si>
  <si>
    <t>Linear &amp; low-dropout (LDO) regulators</t>
  </si>
  <si>
    <t>Catalog</t>
  </si>
  <si>
    <t>DSBGA</t>
  </si>
  <si>
    <t/>
  </si>
  <si>
    <t>-40 to 125</t>
  </si>
  <si>
    <t>1 x 1</t>
  </si>
  <si>
    <t>ACTIVE</t>
  </si>
  <si>
    <t>Wide Vin (10V-40V) Synchronous Buck DC/DC Controller with Tracking</t>
  </si>
  <si>
    <t>AC/DC &amp; DC/DC controllers (external FET)</t>
  </si>
  <si>
    <t>Catalog</t>
  </si>
  <si>
    <t>Buck Controller</t>
  </si>
  <si>
    <t>HTSSOP</t>
  </si>
  <si>
    <t/>
  </si>
  <si>
    <t>-40 to 85</t>
  </si>
  <si>
    <t>5 x 6.4</t>
  </si>
  <si>
    <t>ACTIVE</t>
  </si>
  <si>
    <t>Automotive adjustable precision shunt regulator (pin layout: KRA)</t>
  </si>
  <si>
    <t>Shunt voltage references</t>
  </si>
  <si>
    <t>Automotive</t>
  </si>
  <si>
    <t>SOT-23</t>
  </si>
  <si>
    <t>Functional Safety-Capable</t>
  </si>
  <si>
    <t>-40 to 125</t>
  </si>
  <si>
    <t>3,5</t>
  </si>
  <si>
    <t>6.9204,8.12</t>
  </si>
  <si>
    <t>2.9 x 2.8,2.92 x 2.37</t>
  </si>
  <si>
    <t>1.12,1.45</t>
  </si>
  <si>
    <t>0.95,0.96</t>
  </si>
  <si>
    <t>ACTIVE</t>
  </si>
  <si>
    <t>4-CH LCD Bias (2.8A Min. Boost Ilim. Up to 19V, 2.3A Min. Buck Ilim)</t>
  </si>
  <si>
    <t>LCD &amp; OLED display power &amp; drivers</t>
  </si>
  <si>
    <t>Catalog</t>
  </si>
  <si>
    <t>Boost,Buck</t>
  </si>
  <si>
    <t>HTSSOP</t>
  </si>
  <si>
    <t/>
  </si>
  <si>
    <t>-40 to 85</t>
  </si>
  <si>
    <t>9.7 x 6.4</t>
  </si>
  <si>
    <t>ACTIVE</t>
  </si>
  <si>
    <t>5.5V to 36V Input, 2A, 500kHz Step-Down Converter</t>
  </si>
  <si>
    <t>AC/DC &amp; DC/DC converters (integrated FET)</t>
  </si>
  <si>
    <t>Catalog</t>
  </si>
  <si>
    <t>Buck</t>
  </si>
  <si>
    <t>SOIC</t>
  </si>
  <si>
    <t/>
  </si>
  <si>
    <t>-40 to 125</t>
  </si>
  <si>
    <t>4.9 x 6</t>
  </si>
  <si>
    <t>ACTIVE</t>
  </si>
  <si>
    <t>5.5V to 23V Input, 3A, 500kHz Step-Down Converter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</si>
  <si>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</si>
  <si>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</si>
  <si>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</si>
  <si>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</si>
  <si>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</si>
  <si>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</si>
  <si>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</si>
  <si>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</si>
  <si>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High efficiency Buck-Boost Converter with 1.8A Current Switches in 3x3 QFN</t>
  </si>
  <si>
    <t>AC/DC &amp; DC/DC converters (integrated FET)</t>
  </si>
  <si>
    <t>Catalog</t>
  </si>
  <si>
    <t>Buck-Boost</t>
  </si>
  <si>
    <t>VSON</t>
  </si>
  <si>
    <t/>
  </si>
  <si>
    <t>-40 to 125</t>
  </si>
  <si>
    <t>3 x 3</t>
  </si>
  <si>
    <t>ACTIVE</t>
  </si>
  <si>
    <t>96% Buck-Boost Converter with 1.7A Current Switches, 3.3V fixed Output voltage in 3x3 QFN</t>
  </si>
  <si>
    <t>AC/DC &amp; DC/DC converters (integrated FET)</t>
  </si>
  <si>
    <t>Catalog</t>
  </si>
  <si>
    <t>Buck-Boost</t>
  </si>
  <si>
    <t>VSON</t>
  </si>
  <si>
    <t/>
  </si>
  <si>
    <t>-40 to 125</t>
  </si>
  <si>
    <t>3 x 3</t>
  </si>
  <si>
    <t>ACTIVE</t>
  </si>
  <si>
    <t>96% Buck-Boost Converter with 1.7A Current Switches, 5V fixed Output voltage in 3x3 QFN</t>
  </si>
  <si>
    <t>AC/DC &amp; DC/DC converters (integrated FET)</t>
  </si>
  <si>
    <t>Catalog</t>
  </si>
  <si>
    <t>Buck-Boost</t>
  </si>
  <si>
    <t>VSON</t>
  </si>
  <si>
    <t/>
  </si>
  <si>
    <t>-40 to 125</t>
  </si>
  <si>
    <t>3 x 3</t>
  </si>
  <si>
    <t>ACTIVE</t>
  </si>
  <si>
    <t>Adjustable Micropower Voltage Reference</t>
  </si>
  <si>
    <t>Shunt voltage references</t>
  </si>
  <si>
    <t>Military</t>
  </si>
  <si>
    <t>CFP</t>
  </si>
  <si>
    <t/>
  </si>
  <si>
    <t>-55 to 125</t>
  </si>
  <si>
    <t>9.91 x 6.35</t>
  </si>
  <si>
    <t>ACTIVE</t>
  </si>
  <si>
    <t>150-mA, high-PSRR, low-IQ, low-dropout voltage regulator with enable</t>
  </si>
  <si>
    <t>Linear &amp; low-dropout (LDO) regulators</t>
  </si>
  <si>
    <t>Catalog</t>
  </si>
  <si>
    <t>SOT-SC70,WSON</t>
  </si>
  <si>
    <t/>
  </si>
  <si>
    <t>-40 to 125</t>
  </si>
  <si>
    <t>5,6</t>
  </si>
  <si>
    <t>2.25,4,4.2</t>
  </si>
  <si>
    <t>1.5 x 1.5,2 x 2,2 x 2.1</t>
  </si>
  <si>
    <t>0.8,1.1</t>
  </si>
  <si>
    <t>0.5,0.65</t>
  </si>
  <si>
    <t>ACTIVE</t>
  </si>
  <si>
    <t>2.25 to 5.5 V input, 300 kHz, synchronous buck controller with low pin count</t>
  </si>
  <si>
    <t>AC/DC &amp; DC/DC controllers (external FET)</t>
  </si>
  <si>
    <t>Catalog</t>
  </si>
  <si>
    <t>VSON</t>
  </si>
  <si>
    <t/>
  </si>
  <si>
    <t>-40 to 85</t>
  </si>
  <si>
    <t>3 x 3</t>
  </si>
  <si>
    <t>ACTIVE</t>
  </si>
  <si>
    <t>2.25 to 5.5 V input, 600 kHz, synchronous buck controller with low pin count</t>
  </si>
  <si>
    <t>AC/DC &amp; DC/DC controllers (external FET)</t>
  </si>
  <si>
    <t>Catalog</t>
  </si>
  <si>
    <t>VSON</t>
  </si>
  <si>
    <t/>
  </si>
  <si>
    <t>-40 to 85</t>
  </si>
  <si>
    <t>3 x 3</t>
  </si>
  <si>
    <t>ACTIVE</t>
  </si>
  <si>
    <t>42-V 0.5-A constant current buck LED driver</t>
  </si>
  <si>
    <t>Illumination  LED drivers</t>
  </si>
  <si>
    <t>Catalog</t>
  </si>
  <si>
    <t>Buck</t>
  </si>
  <si>
    <t>HSOIC,VSSOP</t>
  </si>
  <si>
    <t/>
  </si>
  <si>
    <t>-40 to 125</t>
  </si>
  <si>
    <t>14.7,29.4</t>
  </si>
  <si>
    <t>3 x 4.9,4.9 x 6</t>
  </si>
  <si>
    <t>1.1,1.7</t>
  </si>
  <si>
    <t>0.65,1.27</t>
  </si>
  <si>
    <t>ACTIVE</t>
  </si>
  <si>
    <t>75-V 0.5A constant current buck LED driver</t>
  </si>
  <si>
    <t>Illumination  LED drivers</t>
  </si>
  <si>
    <t>Catalog</t>
  </si>
  <si>
    <t>Buck</t>
  </si>
  <si>
    <t>HSOIC,VSSOP</t>
  </si>
  <si>
    <t/>
  </si>
  <si>
    <t>-40 to 125</t>
  </si>
  <si>
    <t>14.7,29.4</t>
  </si>
  <si>
    <t>3 x 4.9,4.9 x 6</t>
  </si>
  <si>
    <t>1.1,1.7</t>
  </si>
  <si>
    <t>0.65,1.27</t>
  </si>
  <si>
    <t>ACTIVE</t>
  </si>
  <si>
    <t>1.2-V Output, 400-mA, 95% Efficient Step-Down Converter, 15uA, ThinSOT-23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</si>
  <si>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</si>
  <si>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</si>
  <si>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</si>
  <si>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</si>
  <si>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</si>
  <si>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</si>
  <si>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</si>
  <si>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</si>
  <si>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Class 4 non-standard PoE PD with flyback DC-DC controller &amp; 12V-57V adapter priority</t>
  </si>
  <si>
    <t>Powered devices</t>
  </si>
  <si>
    <t>Catalog</t>
  </si>
  <si>
    <t>HTSSOP</t>
  </si>
  <si>
    <t/>
  </si>
  <si>
    <t>-40 to 125</t>
  </si>
  <si>
    <t>5 x 6.4</t>
  </si>
  <si>
    <t>ACTIVE</t>
  </si>
  <si>
    <t>Low-Ripple 250mA Switched Capacitor Step-Down DC/DC Converter</t>
  </si>
  <si>
    <t>AC/DC &amp; DC/DC converters (integrated FET)</t>
  </si>
  <si>
    <t>Catalog</t>
  </si>
  <si>
    <t>WSON</t>
  </si>
  <si>
    <t/>
  </si>
  <si>
    <t>-30 to 110</t>
  </si>
  <si>
    <t>3 x 3</t>
  </si>
  <si>
    <t>ACTIVE</t>
  </si>
  <si>
    <t>Adjustable Step-Down DC-DC Converter and 3 LDOs for RF Power Management</t>
  </si>
  <si>
    <t>AC/DC &amp; DC/DC converters (integrated FET)</t>
  </si>
  <si>
    <t>Catalog</t>
  </si>
  <si>
    <t>Buck</t>
  </si>
  <si>
    <t>DSBGA</t>
  </si>
  <si>
    <t/>
  </si>
  <si>
    <t>-30 to 85</t>
  </si>
  <si>
    <t>2.25 x 2.25</t>
  </si>
  <si>
    <t>ACTIVE</t>
  </si>
  <si>
    <t>10.8-V to 13.2-V dual channelhot swap controller for PCIExpress</t>
  </si>
  <si>
    <t>Hot-swap controllers</t>
  </si>
  <si>
    <t>Catalog</t>
  </si>
  <si>
    <t>TQFP</t>
  </si>
  <si>
    <t/>
  </si>
  <si>
    <t>-40 to 85</t>
  </si>
  <si>
    <t>9 x 9</t>
  </si>
  <si>
    <t>ACTIVE</t>
  </si>
  <si>
    <t>5.0-V Output, 1.8-A Switch, 96% Efficient Boost Converter w/ LDO Down-Mode, QFN-10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</si>
  <si>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</si>
  <si>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</si>
  <si>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</si>
  <si>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</si>
  <si>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</si>
  <si>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</si>
  <si>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</si>
  <si>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</si>
  <si>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Adjustable, 1.8-A Switch, 96% Efficient Boost Converter with Down-Mode, QFN-10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</si>
  <si>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</si>
  <si>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</si>
  <si>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</si>
  <si>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</si>
  <si>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</si>
  <si>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</si>
  <si>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</si>
  <si>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</si>
  <si>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3 channel RGB/White LED driver with internal program memory and integrated charge pump</t>
  </si>
  <si>
    <t>RGB LED drivers</t>
  </si>
  <si>
    <t>Catalog</t>
  </si>
  <si>
    <t>Charge pump</t>
  </si>
  <si>
    <t>DSBGA,VQFN</t>
  </si>
  <si>
    <t/>
  </si>
  <si>
    <t>-30 to 85</t>
  </si>
  <si>
    <t>20,24</t>
  </si>
  <si>
    <t>3.96,20</t>
  </si>
  <si>
    <t>2.2 x 1.8,5 x 4</t>
  </si>
  <si>
    <t>0.675,0.91</t>
  </si>
  <si>
    <t>0.4,0.5</t>
  </si>
  <si>
    <t>ACTIVE</t>
  </si>
  <si>
    <t>9.5-95V Wide Vin, 150mA Constant On-Time Non-Synchronous Buck Regulator</t>
  </si>
  <si>
    <t>AC/DC &amp; DC/DC converters (integrated FET)</t>
  </si>
  <si>
    <t>Catalog</t>
  </si>
  <si>
    <t>Buck</t>
  </si>
  <si>
    <t>VSSOP,WSON</t>
  </si>
  <si>
    <t/>
  </si>
  <si>
    <t>-40 to 125</t>
  </si>
  <si>
    <t>14.7,16</t>
  </si>
  <si>
    <t>3 x 4.9,4 x 4</t>
  </si>
  <si>
    <t>0.8,1.1</t>
  </si>
  <si>
    <t>0.65,0.8</t>
  </si>
  <si>
    <t>ACTIVE</t>
  </si>
  <si>
    <t>2x 27V, 700mA switch, 1.2MHz boost converter - single inductor white LED &amp; OLED driver with 28V OVP</t>
  </si>
  <si>
    <t>Backlight LED drivers</t>
  </si>
  <si>
    <t>Catalog</t>
  </si>
  <si>
    <t>Boost</t>
  </si>
  <si>
    <t>VSON</t>
  </si>
  <si>
    <t/>
  </si>
  <si>
    <t>-40 to 85</t>
  </si>
  <si>
    <t>3 x 3</t>
  </si>
  <si>
    <t>ACTIVE</t>
  </si>
  <si>
    <t>2x 27V, 700mA switch, 1.2MHz boost converter - single inductor white LED &amp; OLED driver with 22V OVP</t>
  </si>
  <si>
    <t>Backlight LED drivers</t>
  </si>
  <si>
    <t>Catalog</t>
  </si>
  <si>
    <t>Boost</t>
  </si>
  <si>
    <t>VSON</t>
  </si>
  <si>
    <t/>
  </si>
  <si>
    <t>-40 to 85</t>
  </si>
  <si>
    <t>3 x 3</t>
  </si>
  <si>
    <t>ACTIVE</t>
  </si>
  <si>
    <t>Dual, 2x 27V, 700mA switch, 1.2MHz boost converter with Single Inductor white LED driver (up to 2x6)</t>
  </si>
  <si>
    <t>Backlight LED drivers</t>
  </si>
  <si>
    <t>Catalog</t>
  </si>
  <si>
    <t>Boost</t>
  </si>
  <si>
    <t>VSON</t>
  </si>
  <si>
    <t/>
  </si>
  <si>
    <t>-40 to 85</t>
  </si>
  <si>
    <t>3 x 3</t>
  </si>
  <si>
    <t>ACTIVE</t>
  </si>
  <si>
    <t>Dual, 2x 27V, 700mA switch, 1.2MHz boost converter with Single Inductor white LED diver (up to 2x6)</t>
  </si>
  <si>
    <t>Backlight LED drivers</t>
  </si>
  <si>
    <t>Catalog</t>
  </si>
  <si>
    <t>Boost</t>
  </si>
  <si>
    <t>VSON</t>
  </si>
  <si>
    <t/>
  </si>
  <si>
    <t>-40 to 85</t>
  </si>
  <si>
    <t>3 x 3</t>
  </si>
  <si>
    <t>ACTIVE</t>
  </si>
  <si>
    <t>Enhanced product, dual-output low-dropout voltage regular</t>
  </si>
  <si>
    <t>Linear &amp; low-dropout (LDO) regulators</t>
  </si>
  <si>
    <t>HiRel Enhanced Product</t>
  </si>
  <si>
    <t>HTSSOP</t>
  </si>
  <si>
    <t/>
  </si>
  <si>
    <t>-55 to 125</t>
  </si>
  <si>
    <t>9.7 x 6.4</t>
  </si>
  <si>
    <t>ACTIVE</t>
  </si>
  <si>
    <t>1.5A - Wide Input Range Buck Regulator with Frequency Synchronization</t>
  </si>
  <si>
    <t>AC/DC &amp; DC/DC converters (integrated FET)</t>
  </si>
  <si>
    <t>Catalog</t>
  </si>
  <si>
    <t>Buck</t>
  </si>
  <si>
    <t>HVSSOP,WSON</t>
  </si>
  <si>
    <t/>
  </si>
  <si>
    <t>-40 to 125</t>
  </si>
  <si>
    <t>9,14.7</t>
  </si>
  <si>
    <t>3 x 3,3 x 4.9</t>
  </si>
  <si>
    <t>0.8,1.1</t>
  </si>
  <si>
    <t>ACTIVE</t>
  </si>
  <si>
    <t>1.5A - Wide Input Range Buck Regulator with Frequency Synchronization</t>
  </si>
  <si>
    <t>AC/DC &amp; DC/DC converters (integrated FET)</t>
  </si>
  <si>
    <t>Automotive</t>
  </si>
  <si>
    <t>Buck</t>
  </si>
  <si>
    <t>HVSSOP</t>
  </si>
  <si>
    <t/>
  </si>
  <si>
    <t>-40 to 125</t>
  </si>
  <si>
    <t>3 x 4.9</t>
  </si>
  <si>
    <t>ACTIVE</t>
  </si>
  <si>
    <t>Wide Input Non-Synchronous Buck DC/DC Controller</t>
  </si>
  <si>
    <t>AC/DC &amp; DC/DC controllers (external FET)</t>
  </si>
  <si>
    <t>Catalog</t>
  </si>
  <si>
    <t>Buck Controller</t>
  </si>
  <si>
    <t>SOIC,VSON</t>
  </si>
  <si>
    <t/>
  </si>
  <si>
    <t>-40 to 85</t>
  </si>
  <si>
    <t>9,29.4</t>
  </si>
  <si>
    <t>3 x 3,4.9 x 6</t>
  </si>
  <si>
    <t>1,1.75</t>
  </si>
  <si>
    <t>0.65,1.27</t>
  </si>
  <si>
    <t>ACTIVE</t>
  </si>
  <si>
    <t>800-mA, low-dropout voltage regulator with low-noise &amp; enable</t>
  </si>
  <si>
    <t>Linear &amp; low-dropout (LDO) regulators</t>
  </si>
  <si>
    <t>Catalog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</si>
  <si>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</si>
  <si>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</si>
  <si>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</si>
  <si>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</si>
  <si>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</si>
  <si>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</si>
  <si>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</si>
  <si>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</si>
  <si>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1A ultra-low-dropout voltage regulator with reverse current protection and enable</t>
  </si>
  <si>
    <t>Linear &amp; low-dropout (LDO) regulators</t>
  </si>
  <si>
    <t>Catalog</t>
  </si>
  <si>
    <t>SOT-223,VSON,WSON</t>
  </si>
  <si>
    <t/>
  </si>
  <si>
    <t>-40 to 125</t>
  </si>
  <si>
    <t>6,8</t>
  </si>
  <si>
    <t>4,9,45.89</t>
  </si>
  <si>
    <t>2 x 2,3 x 3,6.5 x 7.06</t>
  </si>
  <si>
    <t>0.8,1,1.8</t>
  </si>
  <si>
    <t>0.65,1.27</t>
  </si>
  <si>
    <t>ACTIVE</t>
  </si>
  <si>
    <t>PWM controller with Integrated half-bridge and SyncFET Drivers</t>
  </si>
  <si>
    <t>AC/DC &amp; DC/DC controllers (external FET)</t>
  </si>
  <si>
    <t>Catalog</t>
  </si>
  <si>
    <t>Half bridge</t>
  </si>
  <si>
    <t>HTSSOP,WQFN</t>
  </si>
  <si>
    <t/>
  </si>
  <si>
    <t>-40 to 125</t>
  </si>
  <si>
    <t>20,24</t>
  </si>
  <si>
    <t>20,41.6</t>
  </si>
  <si>
    <t>5 x 4,6.5 x 6.4</t>
  </si>
  <si>
    <t>0.8,1.2</t>
  </si>
  <si>
    <t>0.5,0.65</t>
  </si>
  <si>
    <t>ACTIVE</t>
  </si>
  <si>
    <t>5.5V to 36V Input, 3A, 500kHz Step-Down Converter</t>
  </si>
  <si>
    <t>AC/DC &amp; DC/DC converters (integrated FET)</t>
  </si>
  <si>
    <t>Catalog</t>
  </si>
  <si>
    <t>Buck</t>
  </si>
  <si>
    <t>HSOIC</t>
  </si>
  <si>
    <t/>
  </si>
  <si>
    <t>-40 to 125</t>
  </si>
  <si>
    <t>4.9 x 6</t>
  </si>
  <si>
    <t>ACTIVE</t>
  </si>
  <si>
    <t>Power Management IC (PMIC) for Hard Drive Based Portable Media Players</t>
  </si>
  <si>
    <t>Multi-channel ICs (PMICs)</t>
  </si>
  <si>
    <t>Catalog</t>
  </si>
  <si>
    <t>WQFN</t>
  </si>
  <si>
    <t/>
  </si>
  <si>
    <t>-40 to 85</t>
  </si>
  <si>
    <t>6 x 6</t>
  </si>
  <si>
    <t>ACTIVE</t>
  </si>
  <si>
    <t>1-A Simple Step-Down Switching Voltage Regulators</t>
  </si>
  <si>
    <t>AC/DC &amp; DC/DC converters (integrated FET)</t>
  </si>
  <si>
    <t>Catalog</t>
  </si>
  <si>
    <t>Buck</t>
  </si>
  <si>
    <t>PDIP,TO-220,TO-263</t>
  </si>
  <si>
    <t/>
  </si>
  <si>
    <t>-40 to 125</t>
  </si>
  <si>
    <t>5,16</t>
  </si>
  <si>
    <t>83.312,154.8384,181.42</t>
  </si>
  <si>
    <t>10.16 x 15.24,10.16 x 8.2,19.3 x 9.4</t>
  </si>
  <si>
    <t>4.7,4.83,5.08</t>
  </si>
  <si>
    <t>1.7,2.54</t>
  </si>
  <si>
    <t>ACTIVE</t>
  </si>
  <si>
    <t>1-A Simple Step-Down Switching Voltage Regulators</t>
  </si>
  <si>
    <t>AC/DC &amp; DC/DC converters (integrated FET)</t>
  </si>
  <si>
    <t>Catalog</t>
  </si>
  <si>
    <t>Buck</t>
  </si>
  <si>
    <t>PDIP,TO-220,TO-263</t>
  </si>
  <si>
    <t/>
  </si>
  <si>
    <t>-40 to 125</t>
  </si>
  <si>
    <t>5,16</t>
  </si>
  <si>
    <t>83.312,154.8384,181.42</t>
  </si>
  <si>
    <t>10.16 x 15.24,10.16 x 8.2,19.3 x 9.4</t>
  </si>
  <si>
    <t>4.7,4.83,5.08</t>
  </si>
  <si>
    <t>1.7,2.54</t>
  </si>
  <si>
    <t>ACTIVE</t>
  </si>
  <si>
    <t>1.2-A, 1.8-A 100-V half bridge gate driver with 8V-UVLO and programmable dead-time</t>
  </si>
  <si>
    <t>Half-bridge drivers</t>
  </si>
  <si>
    <t>Catalog</t>
  </si>
  <si>
    <t>VSSOP,WSON</t>
  </si>
  <si>
    <t/>
  </si>
  <si>
    <t>-40 to 125</t>
  </si>
  <si>
    <t>14.7,16</t>
  </si>
  <si>
    <t>3 x 4.9,4 x 4</t>
  </si>
  <si>
    <t>0.8,1.1</t>
  </si>
  <si>
    <t>0.5,0.8</t>
  </si>
  <si>
    <t>ACTIVE</t>
  </si>
  <si>
    <t>Lighting management unit with high Voltage boost converter</t>
  </si>
  <si>
    <t>Backlight LED drivers</t>
  </si>
  <si>
    <t>Catalog</t>
  </si>
  <si>
    <t>Boost</t>
  </si>
  <si>
    <t>DSBGA</t>
  </si>
  <si>
    <t/>
  </si>
  <si>
    <t>-30 to 85</t>
  </si>
  <si>
    <t>2.75 x 2.75</t>
  </si>
  <si>
    <t>ACTIVE</t>
  </si>
  <si>
    <t>Synchronous 1MHz 1.5A Step-Down Voltage Regulator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</si>
  <si>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</si>
  <si>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</si>
  <si>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</si>
  <si>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</si>
  <si>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</si>
  <si>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</si>
  <si>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</si>
  <si>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</si>
  <si>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9-42V Wide Vin, 0.5A, Constant On-Time Non-Synchronous Buck Regulator</t>
  </si>
  <si>
    <t>AC/DC &amp; DC/DC converters (integrated FET)</t>
  </si>
  <si>
    <t>Catalog</t>
  </si>
  <si>
    <t>Buck</t>
  </si>
  <si>
    <t>VSSOP,WSON</t>
  </si>
  <si>
    <t/>
  </si>
  <si>
    <t>-40 to 125</t>
  </si>
  <si>
    <t>14.7,16</t>
  </si>
  <si>
    <t>3 x 4.9,4 x 4</t>
  </si>
  <si>
    <t>0.8,1.1</t>
  </si>
  <si>
    <t>0.65,0.8</t>
  </si>
  <si>
    <t>ACTIVE</t>
  </si>
  <si>
    <t>Dual High-Current Step-Down DC/DC and Dual Linear Regulator with I2C Compatible Interface</t>
  </si>
  <si>
    <t>Multi-channel ICs (PMICs)</t>
  </si>
  <si>
    <t>Catalog</t>
  </si>
  <si>
    <t>WQFN</t>
  </si>
  <si>
    <t/>
  </si>
  <si>
    <t>-40 to 85</t>
  </si>
  <si>
    <t>5 x 4</t>
  </si>
  <si>
    <t>ACTIVE</t>
  </si>
  <si>
    <t>7-42V Wide Vin, 2.5A, Current Mode Non-Synchronous Buck Regulator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</si>
  <si>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</si>
  <si>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</si>
  <si>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</si>
  <si>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</si>
  <si>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</si>
  <si>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</si>
  <si>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</si>
  <si>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</si>
  <si>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Dual step-down DC/DC converter with adjustable output</t>
  </si>
  <si>
    <t>AC/DC &amp; DC/DC converters (integrated FET)</t>
  </si>
  <si>
    <t>Catalog</t>
  </si>
  <si>
    <t>Buck</t>
  </si>
  <si>
    <t>TSSOP</t>
  </si>
  <si>
    <t/>
  </si>
  <si>
    <t>-40 to 125</t>
  </si>
  <si>
    <t>7.8 x 6.4</t>
  </si>
  <si>
    <t>ACTIVE</t>
  </si>
  <si>
    <t>2MHz, 600mA Step-Down DC-DC Converter in SOT 23-5</t>
  </si>
  <si>
    <t>AC/DC &amp; DC/DC converters (integrated FET)</t>
  </si>
  <si>
    <t>Catalog</t>
  </si>
  <si>
    <t>Buck</t>
  </si>
  <si>
    <t>SOT-23</t>
  </si>
  <si>
    <t/>
  </si>
  <si>
    <t>-30 to 85</t>
  </si>
  <si>
    <t>2.9 x 2.8</t>
  </si>
  <si>
    <t>ACTIVE</t>
  </si>
  <si>
    <t>30-A, 4.5V to 5.5V Input, Non-Isolated, Wide Output Adjustable Power Module with TurboTrans</t>
  </si>
  <si>
    <t>Power modules (integrated inductor)</t>
  </si>
  <si>
    <t>Catalog</t>
  </si>
  <si>
    <t>Buck</t>
  </si>
  <si>
    <t>DIPMODULE</t>
  </si>
  <si>
    <t/>
  </si>
  <si>
    <t>-40 to 85</t>
  </si>
  <si>
    <t>35.81 x 16.76</t>
  </si>
  <si>
    <t>ACTIVE</t>
  </si>
  <si>
    <t>10-A, 4.5V to 14V Input, Non-Isolated, Wide Output Adjustable Power Module with TurboTrans</t>
  </si>
  <si>
    <t>Power modules (integrated inductor)</t>
  </si>
  <si>
    <t>Catalog</t>
  </si>
  <si>
    <t>Buck</t>
  </si>
  <si>
    <t>DIPMODULE,SIPMODULE</t>
  </si>
  <si>
    <t/>
  </si>
  <si>
    <t>-40 to 85</t>
  </si>
  <si>
    <t>348.075,387.3236,See data sheet</t>
  </si>
  <si>
    <t>22.1 x 15.75,23.11 x 16.76,See data sheet</t>
  </si>
  <si>
    <t>8.64,—</t>
  </si>
  <si>
    <t>2.54,—</t>
  </si>
  <si>
    <t>ACTIVE</t>
  </si>
  <si>
    <t>1.8-V to 28-V, synchronous D-CAP buck contoller with light load efficiency</t>
  </si>
  <si>
    <t>AC/DC &amp; DC/DC controllers (external FET)</t>
  </si>
  <si>
    <t>Catalog</t>
  </si>
  <si>
    <t>Buck</t>
  </si>
  <si>
    <t>TSSOP,VQFN</t>
  </si>
  <si>
    <t/>
  </si>
  <si>
    <t>-40 to 85</t>
  </si>
  <si>
    <t>12.25,32</t>
  </si>
  <si>
    <t>3.5 x 3.5,5 x 6.4</t>
  </si>
  <si>
    <t>1,1.2</t>
  </si>
  <si>
    <t>0.5,0.65</t>
  </si>
  <si>
    <t>ACTIVE</t>
  </si>
  <si>
    <t>1-A, 100-V half bridge gate driver with 8-V UVLO</t>
  </si>
  <si>
    <t>Half-bridge drivers</t>
  </si>
  <si>
    <t>Catalog</t>
  </si>
  <si>
    <t>SOIC,WSON</t>
  </si>
  <si>
    <t/>
  </si>
  <si>
    <t>-40 to 125</t>
  </si>
  <si>
    <t>16,29.4</t>
  </si>
  <si>
    <t>4 x 4,4.9 x 6</t>
  </si>
  <si>
    <t>0.8,1.75</t>
  </si>
  <si>
    <t>0.8,1.27</t>
  </si>
  <si>
    <t>ACTIVE</t>
  </si>
  <si>
    <t>RGB Backlight LED driver</t>
  </si>
  <si>
    <t>RGB LED drivers</t>
  </si>
  <si>
    <t>Catalog</t>
  </si>
  <si>
    <t>Boost</t>
  </si>
  <si>
    <t>DSBGA</t>
  </si>
  <si>
    <t/>
  </si>
  <si>
    <t>-30 to 85</t>
  </si>
  <si>
    <t>2.75 x 2.75</t>
  </si>
  <si>
    <t>ACTIVE</t>
  </si>
  <si>
    <t>3-V to 28-V, dual-synchronous buck controller for low output voltage rails</t>
  </si>
  <si>
    <t>AC/DC &amp; DC/DC controllers (external FET)</t>
  </si>
  <si>
    <t>Catalog</t>
  </si>
  <si>
    <t>Buck</t>
  </si>
  <si>
    <t>VQFN</t>
  </si>
  <si>
    <t/>
  </si>
  <si>
    <t>-40 to 85</t>
  </si>
  <si>
    <t>4 x 4</t>
  </si>
  <si>
    <t>ACTIVE</t>
  </si>
  <si>
    <t>1.2V, 500-mA, 3-MHz Step-Down Converter in QFN or Chip-Scale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</si>
  <si>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</si>
  <si>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</si>
  <si>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</si>
  <si>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</si>
  <si>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</si>
  <si>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</si>
  <si>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</si>
  <si>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</si>
  <si>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6-42V Wide Vin, 1A, Constant On-Time Non-Synchronous Buck Regulator</t>
  </si>
  <si>
    <t>AC/DC &amp; DC/DC converters (integrated FET)</t>
  </si>
  <si>
    <t>Catalog</t>
  </si>
  <si>
    <t>Buck</t>
  </si>
  <si>
    <t>HTSSOP,WSON</t>
  </si>
  <si>
    <t/>
  </si>
  <si>
    <t>-40 to 125</t>
  </si>
  <si>
    <t>10,14</t>
  </si>
  <si>
    <t>16,32</t>
  </si>
  <si>
    <t>4 x 4,5 x 6.4</t>
  </si>
  <si>
    <t>0.8,1.2</t>
  </si>
  <si>
    <t>0.65,0.8</t>
  </si>
  <si>
    <t>ACTIVE</t>
  </si>
  <si>
    <t>White LED driver System with I2C Compatible brightness control</t>
  </si>
  <si>
    <t>Backlight LED drivers</t>
  </si>
  <si>
    <t>Catalog</t>
  </si>
  <si>
    <t>Boost</t>
  </si>
  <si>
    <t>WQFN</t>
  </si>
  <si>
    <t/>
  </si>
  <si>
    <t>-30 to 85</t>
  </si>
  <si>
    <t>4 x 4</t>
  </si>
  <si>
    <t>ACTIVE</t>
  </si>
  <si>
    <t>6-100V Wide Vin, Current Mode Synchronous Buck Controller</t>
  </si>
  <si>
    <t>AC/DC &amp; DC/DC controllers (external FET)</t>
  </si>
  <si>
    <t>Catalog</t>
  </si>
  <si>
    <t>Buck</t>
  </si>
  <si>
    <t>HTSSOP</t>
  </si>
  <si>
    <t/>
  </si>
  <si>
    <t>-40 to 150</t>
  </si>
  <si>
    <t>6.5 x 6.4</t>
  </si>
  <si>
    <t>ACTIVE</t>
  </si>
  <si>
    <t>High Voltage, Dual Synchronous Buck Converter with Oscillator Synchronization</t>
  </si>
  <si>
    <t>AC/DC &amp; DC/DC controllers (external FET)</t>
  </si>
  <si>
    <t>Catalog</t>
  </si>
  <si>
    <t>Buck Controller</t>
  </si>
  <si>
    <t>HTSSOP,TSSOP</t>
  </si>
  <si>
    <t/>
  </si>
  <si>
    <t>-40 to 125</t>
  </si>
  <si>
    <t>9.7 x 6.4</t>
  </si>
  <si>
    <t>ACTIVE</t>
  </si>
  <si>
    <t>Programmable TFT Vcom Calibrator with Non-Volatile Memory</t>
  </si>
  <si>
    <t>LCD &amp; OLED display power &amp; drivers</t>
  </si>
  <si>
    <t>Catalog</t>
  </si>
  <si>
    <t>WSON</t>
  </si>
  <si>
    <t/>
  </si>
  <si>
    <t>-40 to 85</t>
  </si>
  <si>
    <t>3 x 3</t>
  </si>
  <si>
    <t>ACTIVE</t>
  </si>
  <si>
    <t>42V, Secondary Side Post Regulator/Synchronous Buck Controller</t>
  </si>
  <si>
    <t>AC/DC &amp; DC/DC controllers (external FET)</t>
  </si>
  <si>
    <t>Catalog</t>
  </si>
  <si>
    <t>Buck Controller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</si>
  <si>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</si>
  <si>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</si>
  <si>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</si>
  <si>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</si>
  <si>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</si>
  <si>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</si>
  <si>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</si>
  <si>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</si>
  <si>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6-channel Power Management IC (PMIC) with 3DC/DCs, 3 LDOs, I2C interface and Dynamic Voltage Scaling</t>
  </si>
  <si>
    <t>Multi-channel ICs (PMICs)</t>
  </si>
  <si>
    <t>Catalog</t>
  </si>
  <si>
    <t>VQFN</t>
  </si>
  <si>
    <t/>
  </si>
  <si>
    <t>-40 to 85</t>
  </si>
  <si>
    <t>6 x 6</t>
  </si>
  <si>
    <t>ACTIVE</t>
  </si>
  <si>
    <t>White LED adaptive 1.5X/1X switched capacitor current driver with 2.8V-5.5V input voltage range</t>
  </si>
  <si>
    <t>Backlight LED drivers</t>
  </si>
  <si>
    <t>Catalog</t>
  </si>
  <si>
    <t>Boost</t>
  </si>
  <si>
    <t>WSON</t>
  </si>
  <si>
    <t/>
  </si>
  <si>
    <t>-40 to 85</t>
  </si>
  <si>
    <t>4 x 3</t>
  </si>
  <si>
    <t>ACTIVE</t>
  </si>
  <si>
    <t>30-A, 5.5-V to 14-V Input, Non-Isolated, Wide Output Adjust, Power Module w/ TurboTrans</t>
  </si>
  <si>
    <t>Power modules (integrated inductor)</t>
  </si>
  <si>
    <t>Catalog</t>
  </si>
  <si>
    <t>Buck</t>
  </si>
  <si>
    <t>DIPMODULE</t>
  </si>
  <si>
    <t/>
  </si>
  <si>
    <t>-40 to 85</t>
  </si>
  <si>
    <t>35.81 x 16.76</t>
  </si>
  <si>
    <t>ACTIVE</t>
  </si>
  <si>
    <t>50-A, 8-V to 14-V Input, Non-Isolated, Wide Output Adjust, Vertical Power Module w/ TurboTrans Techn</t>
  </si>
  <si>
    <t>Power modules (integrated inductor)</t>
  </si>
  <si>
    <t>Catalog</t>
  </si>
  <si>
    <t>Buck</t>
  </si>
  <si>
    <t>SIPMODULE</t>
  </si>
  <si>
    <t/>
  </si>
  <si>
    <t>-40 to 85</t>
  </si>
  <si>
    <t>59.94 x 9.39</t>
  </si>
  <si>
    <t>ACTIVE</t>
  </si>
  <si>
    <t>Class 3 PoE PD with flyback DC-DC controller &amp; 12V-57V Adapter Priority</t>
  </si>
  <si>
    <t>Powered devices</t>
  </si>
  <si>
    <t>Catalog</t>
  </si>
  <si>
    <t>TSSOP</t>
  </si>
  <si>
    <t/>
  </si>
  <si>
    <t>-40 to 125</t>
  </si>
  <si>
    <t>5 x 6.4</t>
  </si>
  <si>
    <t>ACTIVE</t>
  </si>
  <si>
    <t>1.6A, 1.25-MHz Buck Converter in a 3 mm SON Package</t>
  </si>
  <si>
    <t>AC/DC &amp; DC/DC controllers (external FET)</t>
  </si>
  <si>
    <t>Catalog</t>
  </si>
  <si>
    <t>VSON</t>
  </si>
  <si>
    <t/>
  </si>
  <si>
    <t>-40 to 125</t>
  </si>
  <si>
    <t>3 x 3</t>
  </si>
  <si>
    <t>ACTIVE</t>
  </si>
  <si>
    <t>6-75V Wide Vin, 1A Constant On-Time Non-Synchronous Buck Regulator</t>
  </si>
  <si>
    <t>AC/DC &amp; DC/DC converters (integrated FET)</t>
  </si>
  <si>
    <t>Catalog</t>
  </si>
  <si>
    <t>Buck</t>
  </si>
  <si>
    <t>HTSSOP,WSON</t>
  </si>
  <si>
    <t/>
  </si>
  <si>
    <t>-40 to 150</t>
  </si>
  <si>
    <t>10,14</t>
  </si>
  <si>
    <t>16,32</t>
  </si>
  <si>
    <t>4 x 4,5 x 6.4</t>
  </si>
  <si>
    <t>0.8,1.2</t>
  </si>
  <si>
    <t>0.65,0.8</t>
  </si>
  <si>
    <t>ACTIVE</t>
  </si>
  <si>
    <t>3A, Constant On Time Buck Regulator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</si>
  <si>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</si>
  <si>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</si>
  <si>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</si>
  <si>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</si>
  <si>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</si>
  <si>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</si>
  <si>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</si>
  <si>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</si>
  <si>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Miniature, 1W, Isolated, Unregulated DC/DC Converter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</si>
  <si>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</si>
  <si>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</si>
  <si>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</si>
  <si>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</si>
  <si>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</si>
  <si>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</si>
  <si>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</si>
  <si>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</si>
  <si>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</si>
  <si>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50-A, 8-V to 14-V Input, Non-Isolated, Wide-Output Adjust, Vertical Power Module</t>
  </si>
  <si>
    <t>Power modules (integrated inductor)</t>
  </si>
  <si>
    <t>Catalog</t>
  </si>
  <si>
    <t>Buck</t>
  </si>
  <si>
    <t>SIPMODULE</t>
  </si>
  <si>
    <t/>
  </si>
  <si>
    <t>-40 to 85</t>
  </si>
  <si>
    <t>59.94 x 9.39</t>
  </si>
  <si>
    <t>ACTIVE</t>
  </si>
  <si>
    <t>Digitally assisted push pull PWM controller</t>
  </si>
  <si>
    <t>AC/DC &amp; DC/DC controllers (external FET)</t>
  </si>
  <si>
    <t>Catalog</t>
  </si>
  <si>
    <t>Full bridge,Half bridge,Push pull</t>
  </si>
  <si>
    <t>HTSSOP</t>
  </si>
  <si>
    <t/>
  </si>
  <si>
    <t>-40 to 105</t>
  </si>
  <si>
    <t>5 x 6.4</t>
  </si>
  <si>
    <t>ACTIVE</t>
  </si>
  <si>
    <t>Universal, compact LCD bias Power Supply with integrated VCOM Buffer</t>
  </si>
  <si>
    <t>LCD &amp; OLED display power &amp; drivers</t>
  </si>
  <si>
    <t>Catalog</t>
  </si>
  <si>
    <t>Boost</t>
  </si>
  <si>
    <t>HTSSOP,VQFN</t>
  </si>
  <si>
    <t/>
  </si>
  <si>
    <t>-40 to 85</t>
  </si>
  <si>
    <t>16,49.92</t>
  </si>
  <si>
    <t>4 x 4,7.8 x 6.4</t>
  </si>
  <si>
    <t>1,1.2</t>
  </si>
  <si>
    <t>0.5,0.65</t>
  </si>
  <si>
    <t>ACTIVE</t>
  </si>
  <si>
    <t>Adjustable, -15V Output Inverting DC/DC Converter in 3x3 QFN</t>
  </si>
  <si>
    <t>AC/DC &amp; DC/DC converters (integrated FET)</t>
  </si>
  <si>
    <t>Catalog</t>
  </si>
  <si>
    <t>Inverting</t>
  </si>
  <si>
    <t>VSON</t>
  </si>
  <si>
    <t/>
  </si>
  <si>
    <t>-40 to 125</t>
  </si>
  <si>
    <t>3 x 3</t>
  </si>
  <si>
    <t>ACTIVE</t>
  </si>
  <si>
    <t>12-W, 3.3/5-V Input, Wide Adjust Output Boost Converter</t>
  </si>
  <si>
    <t>Power modules (integrated inductor)</t>
  </si>
  <si>
    <t>Catalog</t>
  </si>
  <si>
    <t>Boost</t>
  </si>
  <si>
    <t>DIPMODULE</t>
  </si>
  <si>
    <t/>
  </si>
  <si>
    <t>-40 to 85</t>
  </si>
  <si>
    <t>23.12 x 13.59</t>
  </si>
  <si>
    <t>ACTIVE</t>
  </si>
  <si>
    <t>6-channel Power Management IC (PMIC) with 3DC/DCs, 3 LDOs, I2C interface and dynamic voltage scaling</t>
  </si>
  <si>
    <t>Multi-channel ICs (PMICs)</t>
  </si>
  <si>
    <t>Catalog</t>
  </si>
  <si>
    <t>VQFN</t>
  </si>
  <si>
    <t/>
  </si>
  <si>
    <t>-40 to 85</t>
  </si>
  <si>
    <t>6 x 6</t>
  </si>
  <si>
    <t>ACTIVE</t>
  </si>
  <si>
    <t>Low-quiescent current, dual-channel supervisor</t>
  </si>
  <si>
    <t>Reset &amp; watchdog ICs</t>
  </si>
  <si>
    <t>Catalog</t>
  </si>
  <si>
    <t>SOT-SC70</t>
  </si>
  <si>
    <t/>
  </si>
  <si>
    <t>-40 to 85</t>
  </si>
  <si>
    <t>2 x 2.1</t>
  </si>
  <si>
    <t>ACTIVE</t>
  </si>
  <si>
    <t>16 channel LED driver with dot correction and grayscale PWM control</t>
  </si>
  <si>
    <t>LED display drivers</t>
  </si>
  <si>
    <t>Catalog</t>
  </si>
  <si>
    <t>HTSSOP,VQFN</t>
  </si>
  <si>
    <t/>
  </si>
  <si>
    <t>-40 to 85</t>
  </si>
  <si>
    <t>28,32</t>
  </si>
  <si>
    <t>25,62.08</t>
  </si>
  <si>
    <t>5 x 5,9.7 x 6.4</t>
  </si>
  <si>
    <t>1,1.2</t>
  </si>
  <si>
    <t>0.5,0.65</t>
  </si>
  <si>
    <t>ACTIVE</t>
  </si>
  <si>
    <t>1.2-V precision micropower shunt voltage reference with 0.1% accuracy</t>
  </si>
  <si>
    <t>Shunt voltage references</t>
  </si>
  <si>
    <t>Catalog</t>
  </si>
  <si>
    <t>SOT-23,SOT-SC70</t>
  </si>
  <si>
    <t/>
  </si>
  <si>
    <t>-40 to 85</t>
  </si>
  <si>
    <t>3,5</t>
  </si>
  <si>
    <t>4.2,6.9204</t>
  </si>
  <si>
    <t>2 x 2.1,2.92 x 2.37</t>
  </si>
  <si>
    <t>1.1,1.12</t>
  </si>
  <si>
    <t>0.65,0.96</t>
  </si>
  <si>
    <t>ACTIVE</t>
  </si>
  <si>
    <t>1.2-V precision micropower shunt voltage reference with 0.2% accuracy</t>
  </si>
  <si>
    <t>Shunt voltage references</t>
  </si>
  <si>
    <t>Catalog</t>
  </si>
  <si>
    <t>SOT-23,SOT-SC70</t>
  </si>
  <si>
    <t/>
  </si>
  <si>
    <t>-40 to 85</t>
  </si>
  <si>
    <t>3,5</t>
  </si>
  <si>
    <t>4.2,6.9204</t>
  </si>
  <si>
    <t>2 x 2.1,2.92 x 2.37</t>
  </si>
  <si>
    <t>1.1,1.12</t>
  </si>
  <si>
    <t>0.65,0.96</t>
  </si>
  <si>
    <t>ACTIVE</t>
  </si>
  <si>
    <t>7-75V Wide Vin, 2.5A Current Mode Non-Synchronous Buck Regulator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</si>
  <si>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</si>
  <si>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</si>
  <si>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</si>
  <si>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</si>
  <si>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</si>
  <si>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</si>
  <si>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</si>
  <si>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</si>
  <si>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Adjustable, precision micropower shunt voltage reference with 0.2% accuracy</t>
  </si>
  <si>
    <t>Shunt voltage references</t>
  </si>
  <si>
    <t>Catalog</t>
  </si>
  <si>
    <t>SOT-23,SOT-SC70</t>
  </si>
  <si>
    <t/>
  </si>
  <si>
    <t>-40 to 85</t>
  </si>
  <si>
    <t>3,5</t>
  </si>
  <si>
    <t>4.2,6.9204</t>
  </si>
  <si>
    <t>2 x 2.1,2.92 x 2.37</t>
  </si>
  <si>
    <t>1.1,1.12</t>
  </si>
  <si>
    <t>0.65,0.96</t>
  </si>
  <si>
    <t>ACTIVE</t>
  </si>
  <si>
    <t>Automotive 250-mA, high-accuracy, low-dropout voltage regulator with reverse current protection</t>
  </si>
  <si>
    <t>Linear &amp; low-dropout (LDO) regulators</t>
  </si>
  <si>
    <t>Automotive</t>
  </si>
  <si>
    <t>SOT-223,SOT-23,VSON</t>
  </si>
  <si>
    <t>Functional Safety-Capable</t>
  </si>
  <si>
    <t>-40 to 125</t>
  </si>
  <si>
    <t>5,6,8</t>
  </si>
  <si>
    <t>8.12,9,45.89</t>
  </si>
  <si>
    <t>2.9 x 2.8,3 x 3,6.5 x 7.06</t>
  </si>
  <si>
    <t>1,1.45,1.8</t>
  </si>
  <si>
    <t>0.65,0.95,1.27</t>
  </si>
  <si>
    <t>ACTIVE</t>
  </si>
  <si>
    <t>18-CH Gamma Voltage Generator with Two Programmable VCOM Channels</t>
  </si>
  <si>
    <t>LCD &amp; OLED display power &amp; drivers</t>
  </si>
  <si>
    <t>Catalog</t>
  </si>
  <si>
    <t>HTSSOP</t>
  </si>
  <si>
    <t/>
  </si>
  <si>
    <t>-40 to 95</t>
  </si>
  <si>
    <t>9.7 x 6.4</t>
  </si>
  <si>
    <t>ACTIVE</t>
  </si>
  <si>
    <t>Class 3 PoE PD with flyback integrated DC-DC controller &amp; legacy UVLO threshold</t>
  </si>
  <si>
    <t>Powered devices</t>
  </si>
  <si>
    <t>Catalog</t>
  </si>
  <si>
    <t>HTSSOP</t>
  </si>
  <si>
    <t/>
  </si>
  <si>
    <t>-40 to 85</t>
  </si>
  <si>
    <t>6.5 x 6.4</t>
  </si>
  <si>
    <t>ACTIVE</t>
  </si>
  <si>
    <t>4.5-36V, 2A Current Mode Synchronous Buck Regulator with Adjustable Frequency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</si>
  <si>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</si>
  <si>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</si>
  <si>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</si>
  <si>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</si>
  <si>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</si>
  <si>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</si>
  <si>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</si>
  <si>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</si>
  <si>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Class 3 PoE PD with flyback DC-DC controller</t>
  </si>
  <si>
    <t>Powered devices</t>
  </si>
  <si>
    <t>Catalog</t>
  </si>
  <si>
    <t>HTSSOP</t>
  </si>
  <si>
    <t/>
  </si>
  <si>
    <t>-40 to 85</t>
  </si>
  <si>
    <t>6.5 x 6.4</t>
  </si>
  <si>
    <t>ACTIVE</t>
  </si>
  <si>
    <t>350-mA, low-VIN (0.9-V), linear voltage regulator with enable</t>
  </si>
  <si>
    <t>Linear &amp; low-dropout (LDO) regulators</t>
  </si>
  <si>
    <t>Catalog</t>
  </si>
  <si>
    <t>DSBGA,USON</t>
  </si>
  <si>
    <t/>
  </si>
  <si>
    <t>-40 to 125</t>
  </si>
  <si>
    <t>5,6</t>
  </si>
  <si>
    <t>2.02,4</t>
  </si>
  <si>
    <t>1.616 x 1.25,2 x 2</t>
  </si>
  <si>
    <t>0.6,0.675</t>
  </si>
  <si>
    <t>ACTIVE</t>
  </si>
  <si>
    <t>High-Performance Synchronous Buck Controller with Comprehensive Fault Protection Features</t>
  </si>
  <si>
    <t>AC/DC &amp; DC/DC controllers (external FET)</t>
  </si>
  <si>
    <t>Catalog</t>
  </si>
  <si>
    <t>VSSOP</t>
  </si>
  <si>
    <t/>
  </si>
  <si>
    <t>-40 to 125</t>
  </si>
  <si>
    <t>3 x 4.9</t>
  </si>
  <si>
    <t>ACTIVE</t>
  </si>
  <si>
    <t>4.5-V to 28-V, dual-channel synchronous buck controller with low standby current consumption</t>
  </si>
  <si>
    <t>AC/DC &amp; DC/DC controllers (external FET)</t>
  </si>
  <si>
    <t>Catalog</t>
  </si>
  <si>
    <t>Buck</t>
  </si>
  <si>
    <t>VQFN</t>
  </si>
  <si>
    <t/>
  </si>
  <si>
    <t>-40 to 85</t>
  </si>
  <si>
    <t>5 x 5</t>
  </si>
  <si>
    <t>ACTIVE</t>
  </si>
  <si>
    <t>4.5-V to 15-V, 20-A synchronous buck controller</t>
  </si>
  <si>
    <t>AC/DC &amp; DC/DC controllers (external FET)</t>
  </si>
  <si>
    <t>Catalog</t>
  </si>
  <si>
    <t>Buck</t>
  </si>
  <si>
    <t>VSON</t>
  </si>
  <si>
    <t/>
  </si>
  <si>
    <t>-40 to 85</t>
  </si>
  <si>
    <t>3 x 3</t>
  </si>
  <si>
    <t>ACTIVE</t>
  </si>
  <si>
    <t>Step-Up PWM DC/DC Converter with Integrated Op-Amp and Gate Pulse Modulation Switch</t>
  </si>
  <si>
    <t>AC/DC &amp; DC/DC converters (integrated FET)</t>
  </si>
  <si>
    <t>Catalog</t>
  </si>
  <si>
    <t>Boost</t>
  </si>
  <si>
    <t>WQFN</t>
  </si>
  <si>
    <t/>
  </si>
  <si>
    <t>-40 to 125</t>
  </si>
  <si>
    <t>4 x 4</t>
  </si>
  <si>
    <t>ACTIVE</t>
  </si>
  <si>
    <t>3.3-V, 1.5-A, 17-V Vin Step-Down Converter in QFN-16</t>
  </si>
  <si>
    <t>AC/DC &amp; DC/DC converters (integrated FET)</t>
  </si>
  <si>
    <t>Catalog</t>
  </si>
  <si>
    <t>Buck</t>
  </si>
  <si>
    <t>VQFN</t>
  </si>
  <si>
    <t/>
  </si>
  <si>
    <t>-40 to 85</t>
  </si>
  <si>
    <t>4 x 4</t>
  </si>
  <si>
    <t>ACTIVE</t>
  </si>
  <si>
    <t>5-V, 1.5-A, 17-V Vin Step-Down Converter in QFN-16</t>
  </si>
  <si>
    <t>AC/DC &amp; DC/DC converters (integrated FET)</t>
  </si>
  <si>
    <t>Catalog</t>
  </si>
  <si>
    <t>Buck</t>
  </si>
  <si>
    <t>VQFN</t>
  </si>
  <si>
    <t/>
  </si>
  <si>
    <t>-40 to 85</t>
  </si>
  <si>
    <t>4 x 4</t>
  </si>
  <si>
    <t>ACTIVE</t>
  </si>
  <si>
    <t>1.5-A peak boost/buck/inverting switching regulator, AEC-Q100 qualified</t>
  </si>
  <si>
    <t>AC/DC &amp; DC/DC controllers (external FET)</t>
  </si>
  <si>
    <t>Automotive</t>
  </si>
  <si>
    <t>Boost,Buck,Flyback,Forward,SEPIC</t>
  </si>
  <si>
    <t>SOIC</t>
  </si>
  <si>
    <t>Functional Safety-Capable</t>
  </si>
  <si>
    <t>-40 to 125</t>
  </si>
  <si>
    <t>4.9 x 6</t>
  </si>
  <si>
    <t>ACTIVE</t>
  </si>
  <si>
    <t>Adjustable, 1.5-A, 17-V Vin Step-Down Converter in QFN-16</t>
  </si>
  <si>
    <t>AC/DC &amp; DC/DC converters (integrated FET)</t>
  </si>
  <si>
    <t>Catalog</t>
  </si>
  <si>
    <t>Buck</t>
  </si>
  <si>
    <t>VQFN</t>
  </si>
  <si>
    <t/>
  </si>
  <si>
    <t>-40 to 85</t>
  </si>
  <si>
    <t>4 x 4</t>
  </si>
  <si>
    <t>ACTIVE</t>
  </si>
  <si>
    <t>4-CH LCD Bias (2.8A Min. Boost Ilim. Up to 17.5V, 2A Min. Buck Ilim)</t>
  </si>
  <si>
    <t>LCD &amp; OLED display power &amp; drivers</t>
  </si>
  <si>
    <t>Catalog</t>
  </si>
  <si>
    <t>Boost,Buck</t>
  </si>
  <si>
    <t>HTSSOP</t>
  </si>
  <si>
    <t/>
  </si>
  <si>
    <t>-40 to 85</t>
  </si>
  <si>
    <t>9.7 x 6.4</t>
  </si>
  <si>
    <t>ACTIVE</t>
  </si>
  <si>
    <t>90V active clamp voltage mode PWM controller with P or N-channel clamp FET and 75% max duty cycle</t>
  </si>
  <si>
    <t>AC/DC &amp; DC/DC controllers (external FET)</t>
  </si>
  <si>
    <t>Catalog</t>
  </si>
  <si>
    <t>Active-clamp forward,Forward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</si>
  <si>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</si>
  <si>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</si>
  <si>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</si>
  <si>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</si>
  <si>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</si>
  <si>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</si>
  <si>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</si>
  <si>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</si>
  <si>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3.3-V to 18.5-V, dual-ouptut current mode synchronous buck controller</t>
  </si>
  <si>
    <t>AC/DC &amp; DC/DC controllers (external FET)</t>
  </si>
  <si>
    <t>Catalog</t>
  </si>
  <si>
    <t>Buck</t>
  </si>
  <si>
    <t>WQFN</t>
  </si>
  <si>
    <t/>
  </si>
  <si>
    <t>-40 to 125</t>
  </si>
  <si>
    <t>5 x 5</t>
  </si>
  <si>
    <t>ACTIVE</t>
  </si>
  <si>
    <t>1.2-V precision micropower shunt voltage reference with 0.5% accuracy</t>
  </si>
  <si>
    <t>Shunt voltage references</t>
  </si>
  <si>
    <t>Catalog</t>
  </si>
  <si>
    <t>SOT-23,SOT-SC70,TO-92</t>
  </si>
  <si>
    <t/>
  </si>
  <si>
    <t>-40 to 125</t>
  </si>
  <si>
    <t>3,5</t>
  </si>
  <si>
    <t>4.2,6.9204,19.136</t>
  </si>
  <si>
    <t>2 x 2.1,2.92 x 2.37,5.2 x 3.68</t>
  </si>
  <si>
    <t>1.1,1.12,5.34</t>
  </si>
  <si>
    <t>0.65,0.96,1.27</t>
  </si>
  <si>
    <t>ACTIVE</t>
  </si>
  <si>
    <t>1.2-V precision micropower shunt voltage reference with 1% accuracy</t>
  </si>
  <si>
    <t>Shunt voltage references</t>
  </si>
  <si>
    <t>Catalog</t>
  </si>
  <si>
    <t>SOT-23,SOT-SC70,TO-92</t>
  </si>
  <si>
    <t/>
  </si>
  <si>
    <t>-40 to 125</t>
  </si>
  <si>
    <t>3,5</t>
  </si>
  <si>
    <t>4.2,6.9204,19.136</t>
  </si>
  <si>
    <t>2 x 2.1,2.92 x 2.37,5.2 x 3.68</t>
  </si>
  <si>
    <t>1.1,1.12,5.34</t>
  </si>
  <si>
    <t>0.65,0.96,1.27</t>
  </si>
  <si>
    <t>ACTIVE</t>
  </si>
  <si>
    <t>1.25-V 4ppm/°C, 100-µA, 6-pin SOT-23 series (bandgap) voltage reference</t>
  </si>
  <si>
    <t>Series voltage references</t>
  </si>
  <si>
    <t>Catalog</t>
  </si>
  <si>
    <t>SOT-23</t>
  </si>
  <si>
    <t/>
  </si>
  <si>
    <t>-40 to 125</t>
  </si>
  <si>
    <t>2.9 x 2.8</t>
  </si>
  <si>
    <t>ACTIVE</t>
  </si>
  <si>
    <t>2.048 4ppm/°C, 100-µA, 6-pin SOT-23 series (bandgap) voltage reference</t>
  </si>
  <si>
    <t>Series voltage references</t>
  </si>
  <si>
    <t>Catalog</t>
  </si>
  <si>
    <t>SOT-23</t>
  </si>
  <si>
    <t/>
  </si>
  <si>
    <t>-40 to 125</t>
  </si>
  <si>
    <t>2.9 x 2.8</t>
  </si>
  <si>
    <t>ACTIVE</t>
  </si>
  <si>
    <t>Adjustable, 800mA Switch, 96% Efficient Boost Converter w/LDO Down-Mode, QFN-10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</si>
  <si>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</si>
  <si>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</si>
  <si>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</si>
  <si>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</si>
  <si>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</si>
  <si>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</si>
  <si>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</si>
  <si>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</si>
  <si>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4.5-V to 18-V, synchronous buck controller with advanced sequencing and output margining</t>
  </si>
  <si>
    <t>AC/DC &amp; DC/DC controllers (external FET)</t>
  </si>
  <si>
    <t>Catalog</t>
  </si>
  <si>
    <t>Buck</t>
  </si>
  <si>
    <t>VQFN</t>
  </si>
  <si>
    <t/>
  </si>
  <si>
    <t>-40 to 85</t>
  </si>
  <si>
    <t>4 x 4</t>
  </si>
  <si>
    <t>ACTIVE</t>
  </si>
  <si>
    <t>2.97V to 48V High-Efficiency Controller for Boost, SEPIC and Flyback</t>
  </si>
  <si>
    <t>AC/DC &amp; DC/DC controllers (external FET)</t>
  </si>
  <si>
    <t>Catalog</t>
  </si>
  <si>
    <t>Boost,Flyback,Forward,SEPIC</t>
  </si>
  <si>
    <t>VSSOP</t>
  </si>
  <si>
    <t/>
  </si>
  <si>
    <t>-40 to 125</t>
  </si>
  <si>
    <t>3 x 4.9</t>
  </si>
  <si>
    <t>ACTIVE</t>
  </si>
  <si>
    <t>2.97-V to 48-V high-efficiency controller for boost, SEPIC and flyback, AEC-Q100 qualified</t>
  </si>
  <si>
    <t>AC/DC &amp; DC/DC controllers (external FET)</t>
  </si>
  <si>
    <t>Automotive</t>
  </si>
  <si>
    <t>Boost,Flyback,Forward,SEPIC</t>
  </si>
  <si>
    <t>VSSOP</t>
  </si>
  <si>
    <t/>
  </si>
  <si>
    <t>-40 to 125</t>
  </si>
  <si>
    <t>3 x 4.9</t>
  </si>
  <si>
    <t>ACTIVE</t>
  </si>
  <si>
    <t>3-A, ultra-low-dropout voltage regulator with power good &amp; enable for 1.8 V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</si>
  <si>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</si>
  <si>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</si>
  <si>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</si>
  <si>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</si>
  <si>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</si>
  <si>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</si>
  <si>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</si>
  <si>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</si>
  <si>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</si>
  <si>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800-mA, 16-V, adjustable low-dropout voltage regulator with enable</t>
  </si>
  <si>
    <t>Linear &amp; low-dropout (LDO) regulators</t>
  </si>
  <si>
    <t>Catalog</t>
  </si>
  <si>
    <t>HSOIC,WSON</t>
  </si>
  <si>
    <t/>
  </si>
  <si>
    <t>-40 to 125</t>
  </si>
  <si>
    <t>16,29.4</t>
  </si>
  <si>
    <t>4 x 4,4.9 x 6</t>
  </si>
  <si>
    <t>0.8,1.7</t>
  </si>
  <si>
    <t>0.8,1.27</t>
  </si>
  <si>
    <t>ACTIVE</t>
  </si>
  <si>
    <t>9-V to 80-V hot swap controller with power limiting</t>
  </si>
  <si>
    <t>Hot-swap controllers</t>
  </si>
  <si>
    <t>Catalog</t>
  </si>
  <si>
    <t>VSSOP</t>
  </si>
  <si>
    <t/>
  </si>
  <si>
    <t>-40 to 125</t>
  </si>
  <si>
    <t>3 x 4.9</t>
  </si>
  <si>
    <t>ACTIVE</t>
  </si>
  <si>
    <t>Dual step-down DC/DC converter</t>
  </si>
  <si>
    <t>AC/DC &amp; DC/DC converters (integrated FET)</t>
  </si>
  <si>
    <t>Catalog</t>
  </si>
  <si>
    <t>Buck</t>
  </si>
  <si>
    <t>TSSOP</t>
  </si>
  <si>
    <t/>
  </si>
  <si>
    <t>-40 to 125</t>
  </si>
  <si>
    <t>7.8 x 6.4</t>
  </si>
  <si>
    <t>ACTIVE</t>
  </si>
  <si>
    <t>30V, 1MHZ current mode PWM controller</t>
  </si>
  <si>
    <t>AC/DC &amp; DC/DC controllers (external FET)</t>
  </si>
  <si>
    <t>Catalog</t>
  </si>
  <si>
    <t>Flyback,Forward</t>
  </si>
  <si>
    <t>PDIP,VSSOP</t>
  </si>
  <si>
    <t/>
  </si>
  <si>
    <t>-40 to 125</t>
  </si>
  <si>
    <t>14.7,92.5083</t>
  </si>
  <si>
    <t>3 x 4.9,9.81 x 9.43</t>
  </si>
  <si>
    <t>1.1,5.08</t>
  </si>
  <si>
    <t>0.65,2.54</t>
  </si>
  <si>
    <t>ACTIVE</t>
  </si>
  <si>
    <t>1.5 A, Wide Input, Wide Output Adjust Module</t>
  </si>
  <si>
    <t>Power modules (integrated inductor)</t>
  </si>
  <si>
    <t>Catalog</t>
  </si>
  <si>
    <t>Buck</t>
  </si>
  <si>
    <t>DIPMODULE</t>
  </si>
  <si>
    <t/>
  </si>
  <si>
    <t>-40 to 85</t>
  </si>
  <si>
    <t>19.94 x 13.59</t>
  </si>
  <si>
    <t>ACTIVE</t>
  </si>
  <si>
    <t>Power Management IC (PMIC) For Low Power Handheld Applications</t>
  </si>
  <si>
    <t>Multi-channel ICs (PMICs)</t>
  </si>
  <si>
    <t>Catalog</t>
  </si>
  <si>
    <t>WSON</t>
  </si>
  <si>
    <t/>
  </si>
  <si>
    <t>-40 to 85</t>
  </si>
  <si>
    <t>4 x 4</t>
  </si>
  <si>
    <t>ACTIVE</t>
  </si>
  <si>
    <t>White LED adaptive 1.5X/1X switched capacitor current driver  with 3V-5.5V input voltage range</t>
  </si>
  <si>
    <t>Backlight LED drivers</t>
  </si>
  <si>
    <t>Catalog</t>
  </si>
  <si>
    <t>Boost</t>
  </si>
  <si>
    <t>WSON</t>
  </si>
  <si>
    <t/>
  </si>
  <si>
    <t>-40 to 85</t>
  </si>
  <si>
    <t>4 x 3</t>
  </si>
  <si>
    <t>ACTIVE</t>
  </si>
  <si>
    <t>Digital Control Compatible Single Low-Side +/- 4Amp MOSFET Driver with Current Sense</t>
  </si>
  <si>
    <t>Low-side drivers</t>
  </si>
  <si>
    <t>Catalog</t>
  </si>
  <si>
    <t>HTSSOP</t>
  </si>
  <si>
    <t/>
  </si>
  <si>
    <t>-40 to 105</t>
  </si>
  <si>
    <t>5 x 6.4</t>
  </si>
  <si>
    <t>ACTIVE</t>
  </si>
  <si>
    <t>4 A, Wide Input, Non-Isolated, Wide Negative Output Adjust Module</t>
  </si>
  <si>
    <t>Power modules (integrated inductor)</t>
  </si>
  <si>
    <t>Catalog</t>
  </si>
  <si>
    <t>Inverting</t>
  </si>
  <si>
    <t>DIPMODULE</t>
  </si>
  <si>
    <t/>
  </si>
  <si>
    <t>-40 to 85</t>
  </si>
  <si>
    <t>38.99 x 23.11</t>
  </si>
  <si>
    <t>ACTIVE</t>
  </si>
  <si>
    <t>2-ch, 1.5A loading, 2.7-5.5V, 70mΩ USB power switch, active-low, reverse blocking</t>
  </si>
  <si>
    <t>USB power switches &amp; charging port controllers</t>
  </si>
  <si>
    <t>Catalog</t>
  </si>
  <si>
    <t>HVSSOP,VSON</t>
  </si>
  <si>
    <t/>
  </si>
  <si>
    <t>0 to 105</t>
  </si>
  <si>
    <t>9,14.7</t>
  </si>
  <si>
    <t>3 x 3,3 x 4.9</t>
  </si>
  <si>
    <t>1,1.1</t>
  </si>
  <si>
    <t>ACTIVE</t>
  </si>
  <si>
    <t>100V / 1A peak half bridge gate driver</t>
  </si>
  <si>
    <t>Half-bridge drivers</t>
  </si>
  <si>
    <t>Catalog</t>
  </si>
  <si>
    <t>SOIC</t>
  </si>
  <si>
    <t/>
  </si>
  <si>
    <t xml:space="preserve"> to </t>
  </si>
  <si>
    <t>4.9 x 6</t>
  </si>
  <si>
    <t>ACTIVE</t>
  </si>
  <si>
    <t>Fixed voltage, 45-µA, precision micropower shunt voltage reference</t>
  </si>
  <si>
    <t>Shunt voltage references</t>
  </si>
  <si>
    <t>Catalog</t>
  </si>
  <si>
    <t>SOT-23,SOT-SC70,TO-92</t>
  </si>
  <si>
    <t/>
  </si>
  <si>
    <t>-40 to 125</t>
  </si>
  <si>
    <t>3,5</t>
  </si>
  <si>
    <t>4.2,6.9204,19.136</t>
  </si>
  <si>
    <t>2 x 2.1,2.92 x 2.37,5.2 x 3.68</t>
  </si>
  <si>
    <t>1.1,1.12,5.34</t>
  </si>
  <si>
    <t>0.65,0.96,1.27</t>
  </si>
  <si>
    <t>ACTIVE</t>
  </si>
  <si>
    <t>Adjustable, precision micropower shunt voltage reference with 0.5% accuracy</t>
  </si>
  <si>
    <t>Shunt voltage references</t>
  </si>
  <si>
    <t>Catalog</t>
  </si>
  <si>
    <t>SOT-23,SOT-SC70,TO-92</t>
  </si>
  <si>
    <t/>
  </si>
  <si>
    <t>-40 to 125</t>
  </si>
  <si>
    <t>3,5</t>
  </si>
  <si>
    <t>4.2,6.9204,19.136</t>
  </si>
  <si>
    <t>2 x 2.1,2.92 x 2.37,5.2 x 3.68</t>
  </si>
  <si>
    <t>1.1,1.12,5.34</t>
  </si>
  <si>
    <t>0.65,0.96,1.27</t>
  </si>
  <si>
    <t>ACTIVE</t>
  </si>
  <si>
    <t>1.5% low-voltage wide-operating current adjustable precision shunt regulator</t>
  </si>
  <si>
    <t>Shunt voltage references</t>
  </si>
  <si>
    <t>Catalog</t>
  </si>
  <si>
    <t>SOT-23,SOT-89,SOT-SC70,TO-92</t>
  </si>
  <si>
    <t/>
  </si>
  <si>
    <t>-40 to 125</t>
  </si>
  <si>
    <t>3,5,6</t>
  </si>
  <si>
    <t>4.2,6.9204,8.12,18.4275,19.136</t>
  </si>
  <si>
    <t>2 x 2.1,2.9 x 2.8,2.92 x 2.37,4.5 x 4.095,5.2 x 3.68</t>
  </si>
  <si>
    <t>1.1,1.12,1.45,1.6,5.34</t>
  </si>
  <si>
    <t>0.65,0.95,0.96,1.27,1.5</t>
  </si>
  <si>
    <t>ACTIVE</t>
  </si>
  <si>
    <t>1% low-voltage wide-operating current adjustable precision shunt regulator</t>
  </si>
  <si>
    <t>Shunt voltage references</t>
  </si>
  <si>
    <t>Catalog</t>
  </si>
  <si>
    <t>SOT-23,SOT-89,SOT-SC70,TO-92</t>
  </si>
  <si>
    <t/>
  </si>
  <si>
    <t>-40 to 125</t>
  </si>
  <si>
    <t>3,5,6</t>
  </si>
  <si>
    <t>4.2,6.9204,8.12,18.4275,19.136</t>
  </si>
  <si>
    <t>2 x 2.1,2.9 x 2.8,2.92 x 2.37,4.5 x 4.095,5.2 x 3.68</t>
  </si>
  <si>
    <t>1.1,1.12,1.45,1.6,5.34</t>
  </si>
  <si>
    <t>0.65,0.95,0.96,1.27,1.5</t>
  </si>
  <si>
    <t>ACTIVE</t>
  </si>
  <si>
    <t>1.5% low-voltage wide-operating current adjustable precision shunt regulator (reverse pinout)</t>
  </si>
  <si>
    <t>Shunt voltage references</t>
  </si>
  <si>
    <t>Catalog</t>
  </si>
  <si>
    <t>SOT-23,SOT-89</t>
  </si>
  <si>
    <t/>
  </si>
  <si>
    <t>-40 to 125</t>
  </si>
  <si>
    <t>6.9204,18.4275</t>
  </si>
  <si>
    <t>2.92 x 2.37,4.5 x 4.095</t>
  </si>
  <si>
    <t>1.12,1.6</t>
  </si>
  <si>
    <t>0.96,1.5</t>
  </si>
  <si>
    <t>ACTIVE</t>
  </si>
  <si>
    <t>1% low-voltage wide-operating current adjustable precision shunt regulator (reverse pinout)</t>
  </si>
  <si>
    <t>Shunt voltage references</t>
  </si>
  <si>
    <t>Catalog</t>
  </si>
  <si>
    <t>SOT-23,SOT-89</t>
  </si>
  <si>
    <t/>
  </si>
  <si>
    <t>-40 to 125</t>
  </si>
  <si>
    <t>6.9204,18.4275</t>
  </si>
  <si>
    <t>2.92 x 2.37,4.5 x 4.095</t>
  </si>
  <si>
    <t>1.12,1.6</t>
  </si>
  <si>
    <t>0.96,1.5</t>
  </si>
  <si>
    <t>ACTIVE</t>
  </si>
  <si>
    <t>0.5% low-voltage wide-operating current adjustable precision shunt regulator (reverse pinout)</t>
  </si>
  <si>
    <t>Shunt voltage references</t>
  </si>
  <si>
    <t>Catalog</t>
  </si>
  <si>
    <t>SOT-23,SOT-89</t>
  </si>
  <si>
    <t/>
  </si>
  <si>
    <t>-40 to 125</t>
  </si>
  <si>
    <t>6.9204,18.4275</t>
  </si>
  <si>
    <t>2.92 x 2.37,4.5 x 4.095</t>
  </si>
  <si>
    <t>1.12,1.6</t>
  </si>
  <si>
    <t>0.96,1.5</t>
  </si>
  <si>
    <t>ACTIVE</t>
  </si>
  <si>
    <t>1-V to 14-V, voltage mode synchronous buck controller with pre-bias startup and optional clock sync</t>
  </si>
  <si>
    <t>AC/DC &amp; DC/DC controllers (external FET)</t>
  </si>
  <si>
    <t>Catalog</t>
  </si>
  <si>
    <t>Buck</t>
  </si>
  <si>
    <t>TSSOP</t>
  </si>
  <si>
    <t/>
  </si>
  <si>
    <t>-40 to 125</t>
  </si>
  <si>
    <t>5 x 6.4</t>
  </si>
  <si>
    <t>ACTIVE</t>
  </si>
  <si>
    <t>1.5 A, Wide Input, Non-Isolated, Wide Negative Output Adjust Module</t>
  </si>
  <si>
    <t>Power modules (integrated inductor)</t>
  </si>
  <si>
    <t>Catalog</t>
  </si>
  <si>
    <t>Inverting</t>
  </si>
  <si>
    <t>DIPMODULE</t>
  </si>
  <si>
    <t/>
  </si>
  <si>
    <t>-40 to 85</t>
  </si>
  <si>
    <t>19.94 x 13.59</t>
  </si>
  <si>
    <t>ACTIVE</t>
  </si>
  <si>
    <t>3 A, Wide Input Non-Isolated, Wide Negative Output Adjust Module</t>
  </si>
  <si>
    <t>Power modules (integrated inductor)</t>
  </si>
  <si>
    <t>Catalog</t>
  </si>
  <si>
    <t>Inverting</t>
  </si>
  <si>
    <t>DIPMODULE</t>
  </si>
  <si>
    <t/>
  </si>
  <si>
    <t>-40 to 85</t>
  </si>
  <si>
    <t>26.29 x 16.76</t>
  </si>
  <si>
    <t>ACTIVE</t>
  </si>
  <si>
    <t>Digital Control Compatible Dual Low Side +/- 4A MOSFET Driver with Single Common Current Sense</t>
  </si>
  <si>
    <t>Low-side drivers</t>
  </si>
  <si>
    <t>Catalog</t>
  </si>
  <si>
    <t>HTSSOP</t>
  </si>
  <si>
    <t/>
  </si>
  <si>
    <t>-40 to 105</t>
  </si>
  <si>
    <t>5 x 6.4</t>
  </si>
  <si>
    <t>ACTIVE</t>
  </si>
  <si>
    <t>60 A, 3.3/5-V Input Non-Isolated Wide-Output Adjust Power Module</t>
  </si>
  <si>
    <t>Power modules (integrated inductor)</t>
  </si>
  <si>
    <t>Catalog</t>
  </si>
  <si>
    <t>Buck</t>
  </si>
  <si>
    <t>DIPMODULE</t>
  </si>
  <si>
    <t/>
  </si>
  <si>
    <t>-40 to 85</t>
  </si>
  <si>
    <t>52.96 x 27.56</t>
  </si>
  <si>
    <t>ACTIVE</t>
  </si>
  <si>
    <t>Class 3 PoE PD with auto-retry</t>
  </si>
  <si>
    <t>Powered devices</t>
  </si>
  <si>
    <t>Catalog</t>
  </si>
  <si>
    <t>TSSOP</t>
  </si>
  <si>
    <t/>
  </si>
  <si>
    <t>-40 to 85</t>
  </si>
  <si>
    <t>3 x 6.4</t>
  </si>
  <si>
    <t>ACTIVE</t>
  </si>
  <si>
    <t>Class 3 PoE PD with legacy UVLO threshold &amp; auto-retry</t>
  </si>
  <si>
    <t>Powered devices</t>
  </si>
  <si>
    <t>Catalog</t>
  </si>
  <si>
    <t>SOIC</t>
  </si>
  <si>
    <t/>
  </si>
  <si>
    <t>-40 to 85</t>
  </si>
  <si>
    <t>4.9 x 6</t>
  </si>
  <si>
    <t>ACTIVE</t>
  </si>
  <si>
    <t>4-CH LCD Bias (2.8A Min. Boost Ilim. Up to 20V, 2A Min. Buck Ilim)</t>
  </si>
  <si>
    <t>LCD &amp; OLED display power &amp; drivers</t>
  </si>
  <si>
    <t>Catalog</t>
  </si>
  <si>
    <t>Boost,Buck</t>
  </si>
  <si>
    <t>HTSSOP</t>
  </si>
  <si>
    <t/>
  </si>
  <si>
    <t>-40 to 85</t>
  </si>
  <si>
    <t>9.7 x 6.4</t>
  </si>
  <si>
    <t>ACTIVE</t>
  </si>
  <si>
    <t>Cascaded PWM controller with buck Stage disable options</t>
  </si>
  <si>
    <t>AC/DC &amp; DC/DC controllers (external FET)</t>
  </si>
  <si>
    <t>Catalog</t>
  </si>
  <si>
    <t>Push pull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</si>
  <si>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</si>
  <si>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</si>
  <si>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</si>
  <si>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</si>
  <si>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</si>
  <si>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</si>
  <si>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</si>
  <si>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</si>
  <si>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75V, Secondary Side Post Regulator/ Synchronous Buck Controller with Power-Up/Power-Down Tracking</t>
  </si>
  <si>
    <t>AC/DC &amp; DC/DC controllers (external FET)</t>
  </si>
  <si>
    <t>Catalog</t>
  </si>
  <si>
    <t>Buck</t>
  </si>
  <si>
    <t>TSSOP</t>
  </si>
  <si>
    <t/>
  </si>
  <si>
    <t>-40 to 125</t>
  </si>
  <si>
    <t>5 x 6.4</t>
  </si>
  <si>
    <t>ACTIVE</t>
  </si>
  <si>
    <t>2MHz, 350mA Step-Down DC-DC Converter</t>
  </si>
  <si>
    <t>AC/DC &amp; DC/DC converters (integrated FET)</t>
  </si>
  <si>
    <t>Catalog</t>
  </si>
  <si>
    <t>Buck</t>
  </si>
  <si>
    <t>DSBGA</t>
  </si>
  <si>
    <t/>
  </si>
  <si>
    <t>-30 to 85</t>
  </si>
  <si>
    <t>1.616 x 1.25</t>
  </si>
  <si>
    <t>ACTIVE</t>
  </si>
  <si>
    <t>Dual Synchronous Step-Down DC-DC Converter with Dynamic Voltage Scaling Function</t>
  </si>
  <si>
    <t>AC/DC &amp; DC/DC converters (integrated FET)</t>
  </si>
  <si>
    <t>Catalog</t>
  </si>
  <si>
    <t>Buck</t>
  </si>
  <si>
    <t>DSBGA,WSON</t>
  </si>
  <si>
    <t/>
  </si>
  <si>
    <t>-30 to 85</t>
  </si>
  <si>
    <t>16,20</t>
  </si>
  <si>
    <t>6.1875,20</t>
  </si>
  <si>
    <t>2.75 x 2.25,5 x 4</t>
  </si>
  <si>
    <t>0.675,0.8</t>
  </si>
  <si>
    <t>ACTIVE</t>
  </si>
  <si>
    <t>2-ch, 1.5A loading, 2.7-5.5V, 70mΩ USB power switch, active-high, reverse blocking</t>
  </si>
  <si>
    <t>USB power switches &amp; charging port controllers</t>
  </si>
  <si>
    <t>Catalog</t>
  </si>
  <si>
    <t>HVSSOP,VSON</t>
  </si>
  <si>
    <t/>
  </si>
  <si>
    <t>0 to 105</t>
  </si>
  <si>
    <t>9,14.7</t>
  </si>
  <si>
    <t>3 x 3,3 x 4.9</t>
  </si>
  <si>
    <t>1,1.1</t>
  </si>
  <si>
    <t>ACTIVE</t>
  </si>
  <si>
    <t>Integrated and configurable Power Management IC (PMIC) with two buck controllers and one LDO</t>
  </si>
  <si>
    <t>Multi-channel ICs (PMICs)</t>
  </si>
  <si>
    <t>Catalog</t>
  </si>
  <si>
    <t>VQFN</t>
  </si>
  <si>
    <t/>
  </si>
  <si>
    <t>-40 to 85</t>
  </si>
  <si>
    <t>4.5 x 3.5</t>
  </si>
  <si>
    <t>ACTIVE</t>
  </si>
  <si>
    <t>High voltage dual Interleaved current mode controller</t>
  </si>
  <si>
    <t>AC/DC &amp; DC/DC controllers (external FET)</t>
  </si>
  <si>
    <t>Catalog</t>
  </si>
  <si>
    <t>Boost,Flyback</t>
  </si>
  <si>
    <t>TSSOP</t>
  </si>
  <si>
    <t/>
  </si>
  <si>
    <t>-40 to 125</t>
  </si>
  <si>
    <t>5 x 6.4</t>
  </si>
  <si>
    <t>ACTIVE</t>
  </si>
  <si>
    <t>High power switched capacitor Voltage Converter/flash LED driver</t>
  </si>
  <si>
    <t>Illumination  LED drivers</t>
  </si>
  <si>
    <t>Catalog</t>
  </si>
  <si>
    <t>Charge pump</t>
  </si>
  <si>
    <t>WSON</t>
  </si>
  <si>
    <t/>
  </si>
  <si>
    <t>-40 to 85</t>
  </si>
  <si>
    <t>3 x 3</t>
  </si>
  <si>
    <t>ACTIVE</t>
  </si>
  <si>
    <t>Type-1 4-Channel PoE PSE with integrated FET &amp;amp; current sense</t>
  </si>
  <si>
    <t>Power sourcing equipment</t>
  </si>
  <si>
    <t>Catalog</t>
  </si>
  <si>
    <t>HTQFP</t>
  </si>
  <si>
    <t/>
  </si>
  <si>
    <t>-40 to 125</t>
  </si>
  <si>
    <t>12 x 12</t>
  </si>
  <si>
    <t>ACTIVE</t>
  </si>
  <si>
    <t>2.25 A, 4.5-V to 18-V Input Wide Adjust Miniature Power Module</t>
  </si>
  <si>
    <t>Power modules (integrated inductor)</t>
  </si>
  <si>
    <t>Catalog</t>
  </si>
  <si>
    <t>Buck</t>
  </si>
  <si>
    <t>DIPMODULE</t>
  </si>
  <si>
    <t/>
  </si>
  <si>
    <t>-40 to 85</t>
  </si>
  <si>
    <t>16.25 x 13.72</t>
  </si>
  <si>
    <t>ACTIVE</t>
  </si>
  <si>
    <t>Radiation-hardened QMLV, 2.4-V to 36-V adjustable shunt voltage reference</t>
  </si>
  <si>
    <t>Shunt voltage references</t>
  </si>
  <si>
    <t>Space</t>
  </si>
  <si>
    <t>CDIP,CFP</t>
  </si>
  <si>
    <t/>
  </si>
  <si>
    <t>-55 to 125</t>
  </si>
  <si>
    <t>8,10</t>
  </si>
  <si>
    <t>64.032,139.36</t>
  </si>
  <si>
    <t>21.44 x 6.5,9.6 x 6.67</t>
  </si>
  <si>
    <t>2.03,5.08</t>
  </si>
  <si>
    <t>1.27,2.54</t>
  </si>
  <si>
    <t>ACTIVE</t>
  </si>
  <si>
    <t>800-mA, low-VIN (0.635-V), adjustable ultra-low-dropout voltage regulator with enable</t>
  </si>
  <si>
    <t>Linear &amp; low-dropout (LDO) regulators</t>
  </si>
  <si>
    <t>Catalog</t>
  </si>
  <si>
    <t>HSOIC</t>
  </si>
  <si>
    <t/>
  </si>
  <si>
    <t>-40 to 125</t>
  </si>
  <si>
    <t>4.9 x 6</t>
  </si>
  <si>
    <t>ACTIVE</t>
  </si>
  <si>
    <t>1.5-A, low-VIN (0.675-V), adjustable ultra-low-dropout voltage regulator with enable</t>
  </si>
  <si>
    <t>Linear &amp; low-dropout (LDO) regulators</t>
  </si>
  <si>
    <t>Catalog</t>
  </si>
  <si>
    <t>HSOIC</t>
  </si>
  <si>
    <t/>
  </si>
  <si>
    <t>-40 to 125</t>
  </si>
  <si>
    <t>4.9 x 6</t>
  </si>
  <si>
    <t>ACTIVE</t>
  </si>
  <si>
    <t>150-mA, low-IQ, dual-channel adjustable low-dropout voltage regulator with enable</t>
  </si>
  <si>
    <t>Linear &amp; low-dropout (LDO) regulators</t>
  </si>
  <si>
    <t>Catalog</t>
  </si>
  <si>
    <t>WSON</t>
  </si>
  <si>
    <t/>
  </si>
  <si>
    <t>-40 to 85</t>
  </si>
  <si>
    <t>3 x 3</t>
  </si>
  <si>
    <t>ACTIVE</t>
  </si>
  <si>
    <t>200-mA, low-IQ, low-dropout voltage regulator with low-noise &amp; enable</t>
  </si>
  <si>
    <t>Linear &amp; low-dropout (LDO) regulators</t>
  </si>
  <si>
    <t>Catalog</t>
  </si>
  <si>
    <t>DSBGA,SOT-23-THN,WSON</t>
  </si>
  <si>
    <t/>
  </si>
  <si>
    <t>-40 to 125</t>
  </si>
  <si>
    <t>5,6</t>
  </si>
  <si>
    <t>2.02,4,8.12</t>
  </si>
  <si>
    <t>1.25 x 1.616,2 x 2,2.9 x 2.8</t>
  </si>
  <si>
    <t>0.625,0.8,1.1</t>
  </si>
  <si>
    <t>0.5,0.65,0.95</t>
  </si>
  <si>
    <t>ACTIVE</t>
  </si>
  <si>
    <t>1.5-A boost, buck, inverting switching regulator, operation from -40°C to 85°C</t>
  </si>
  <si>
    <t>AC/DC &amp; DC/DC controllers (external FET)</t>
  </si>
  <si>
    <t>Catalog</t>
  </si>
  <si>
    <t>Boost,Buck,Flyback,Forward,SEPIC</t>
  </si>
  <si>
    <t>PDIP,SOIC,WSON</t>
  </si>
  <si>
    <t/>
  </si>
  <si>
    <t>-40 to 85</t>
  </si>
  <si>
    <t>16,29.4,92.5083</t>
  </si>
  <si>
    <t>4 x 4,4.9 x 6,9.81 x 9.43</t>
  </si>
  <si>
    <t>0.8,1.75,5.08</t>
  </si>
  <si>
    <t>0.8,1.27,2.54</t>
  </si>
  <si>
    <t>ACTIVE</t>
  </si>
  <si>
    <t>1.5-A boost, buck, inverting switching regulator, operation from 0°C to 70°C</t>
  </si>
  <si>
    <t>AC/DC &amp; DC/DC controllers (external FET)</t>
  </si>
  <si>
    <t>Catalog</t>
  </si>
  <si>
    <t>Boost,Buck,Flyback,Forward,SEPIC</t>
  </si>
  <si>
    <t>PDIP,SOIC,WSON</t>
  </si>
  <si>
    <t/>
  </si>
  <si>
    <t>0 to 70</t>
  </si>
  <si>
    <t>16,29.4,92.5083</t>
  </si>
  <si>
    <t>4 x 4,4.9 x 6,9.81 x 9.43</t>
  </si>
  <si>
    <t>0.8,1.75,5.08</t>
  </si>
  <si>
    <t>0.8,1.27,2.54</t>
  </si>
  <si>
    <t>ACTIVE</t>
  </si>
  <si>
    <t>2A 500/1500kHz Synchronous Buck Regulator</t>
  </si>
  <si>
    <t>AC/DC &amp; DC/DC converters (integrated FET)</t>
  </si>
  <si>
    <t>Catalog</t>
  </si>
  <si>
    <t>Buck</t>
  </si>
  <si>
    <t>HTSSOP</t>
  </si>
  <si>
    <t/>
  </si>
  <si>
    <t>-40 to 125</t>
  </si>
  <si>
    <t>5 x 6.4</t>
  </si>
  <si>
    <t>ACTIVE</t>
  </si>
  <si>
    <t>500-mA, 10-V, low-dropout voltage regulator</t>
  </si>
  <si>
    <t>Linear &amp; low-dropout (LDO) regulators</t>
  </si>
  <si>
    <t>Catalog</t>
  </si>
  <si>
    <t>TO-252,WSON</t>
  </si>
  <si>
    <t/>
  </si>
  <si>
    <t>-40 to 125</t>
  </si>
  <si>
    <t>3,6</t>
  </si>
  <si>
    <t>9,65.2078</t>
  </si>
  <si>
    <t>3 x 3,6.58 x 9.91</t>
  </si>
  <si>
    <t>0.8,2.55</t>
  </si>
  <si>
    <t>0.95,4.57</t>
  </si>
  <si>
    <t>ACTIVE</t>
  </si>
  <si>
    <t>500-mA, 10-V, adjustable low-dropout voltage regulator</t>
  </si>
  <si>
    <t>Linear &amp; low-dropout (LDO) regulators</t>
  </si>
  <si>
    <t>Catalog</t>
  </si>
  <si>
    <t>WSON</t>
  </si>
  <si>
    <t/>
  </si>
  <si>
    <t>-40 to 125</t>
  </si>
  <si>
    <t>3 x 3</t>
  </si>
  <si>
    <t>ACTIVE</t>
  </si>
  <si>
    <t>500-mA, 10-V, low-dropout voltage regulator with enable</t>
  </si>
  <si>
    <t>Linear &amp; low-dropout (LDO) regulators</t>
  </si>
  <si>
    <t>Catalog</t>
  </si>
  <si>
    <t>SOT-223,WSON</t>
  </si>
  <si>
    <t/>
  </si>
  <si>
    <t>-40 to 125</t>
  </si>
  <si>
    <t>5,6</t>
  </si>
  <si>
    <t>9,45.24</t>
  </si>
  <si>
    <t>3 x 3,6.5 x 6.96</t>
  </si>
  <si>
    <t>0.8,1.8</t>
  </si>
  <si>
    <t>0.95,1.5</t>
  </si>
  <si>
    <t>ACTIVE</t>
  </si>
  <si>
    <t>500-mA, 10-V, adjustable low-dropout voltage regulator with enable</t>
  </si>
  <si>
    <t>Linear &amp; low-dropout (LDO) regulators</t>
  </si>
  <si>
    <t>Catalog</t>
  </si>
  <si>
    <t>SOT-223,WSON</t>
  </si>
  <si>
    <t/>
  </si>
  <si>
    <t>-40 to 125</t>
  </si>
  <si>
    <t>5,6</t>
  </si>
  <si>
    <t>9,45.24</t>
  </si>
  <si>
    <t>3 x 3,6.5 x 6.96</t>
  </si>
  <si>
    <t>0.8,1.8</t>
  </si>
  <si>
    <t>0.95,1.5</t>
  </si>
  <si>
    <t>ACTIVE</t>
  </si>
  <si>
    <t>3 to 20 V input, 1 A, high frequency step-down converter with light load efficiency</t>
  </si>
  <si>
    <t>AC/DC &amp; DC/DC converters (integrated FET)</t>
  </si>
  <si>
    <t>Catalog</t>
  </si>
  <si>
    <t>Buck</t>
  </si>
  <si>
    <t>SOT-23-THN,WSON</t>
  </si>
  <si>
    <t/>
  </si>
  <si>
    <t>-40 to 125</t>
  </si>
  <si>
    <t>8.12,9</t>
  </si>
  <si>
    <t>2.9 x 2.8,3 x 3</t>
  </si>
  <si>
    <t>0.8,1.1</t>
  </si>
  <si>
    <t>ACTIVE</t>
  </si>
  <si>
    <t>16-channel LED driver with 20Mhz data transfer rate with dot correctionn and full diagnose</t>
  </si>
  <si>
    <t>LED display drivers</t>
  </si>
  <si>
    <t>Catalog</t>
  </si>
  <si>
    <t>HTSSOP,VQFN</t>
  </si>
  <si>
    <t/>
  </si>
  <si>
    <t>-40 to 85</t>
  </si>
  <si>
    <t>25,89.1</t>
  </si>
  <si>
    <t>11 x 8.1,5 x 5</t>
  </si>
  <si>
    <t>1,1.2</t>
  </si>
  <si>
    <t>0.5,0.65</t>
  </si>
  <si>
    <t>ACTIVE</t>
  </si>
  <si>
    <t>16-channel LED driver w/EEprom dot correction &amp; grayscale PWM control</t>
  </si>
  <si>
    <t>RGB LED drivers</t>
  </si>
  <si>
    <t>Catalog</t>
  </si>
  <si>
    <t>HTSSOP,VQFN</t>
  </si>
  <si>
    <t/>
  </si>
  <si>
    <t>-40 to 85</t>
  </si>
  <si>
    <t>28,32</t>
  </si>
  <si>
    <t>25,62.08</t>
  </si>
  <si>
    <t>5 x 5,9.7 x 6.4</t>
  </si>
  <si>
    <t>1,1.2</t>
  </si>
  <si>
    <t>0.5,0.65</t>
  </si>
  <si>
    <t>ACTIVE</t>
  </si>
  <si>
    <t>0.5% low-voltage wide-operating current adjustable precision shunt regulator</t>
  </si>
  <si>
    <t>Shunt voltage references</t>
  </si>
  <si>
    <t>Catalog</t>
  </si>
  <si>
    <t>SOT-23,SOT-89,SOT-SC70,TO-92</t>
  </si>
  <si>
    <t/>
  </si>
  <si>
    <t>-40 to 125</t>
  </si>
  <si>
    <t>3,5,6</t>
  </si>
  <si>
    <t>4.2,6.9204,8.12,18.4275,19.136</t>
  </si>
  <si>
    <t>2 x 2.1,2.9 x 2.8,2.92 x 2.37,4.5 x 4.095,5.2 x 3.68</t>
  </si>
  <si>
    <t>1.1,1.12,1.45,1.6,5.34</t>
  </si>
  <si>
    <t>0.65,0.95,0.96,1.27,1.5</t>
  </si>
  <si>
    <t>ACTIVE</t>
  </si>
  <si>
    <t>1.8-V to 6-V input range, 400-mA boost converter, AEC-Q100 qualified</t>
  </si>
  <si>
    <t>AC/DC &amp; DC/DC converters (integrated FET)</t>
  </si>
  <si>
    <t>Automotive</t>
  </si>
  <si>
    <t>Boost</t>
  </si>
  <si>
    <t>SOT-23</t>
  </si>
  <si>
    <t>Functional Safety-Capable</t>
  </si>
  <si>
    <t>-40 to 125</t>
  </si>
  <si>
    <t>2.9 x 2.8</t>
  </si>
  <si>
    <t>ACTIVE</t>
  </si>
  <si>
    <t>1.8-V to 6-V input range, 250-mA boost converter, AEC-Q100 qualified</t>
  </si>
  <si>
    <t>AC/DC &amp; DC/DC converters (integrated FET)</t>
  </si>
  <si>
    <t>Automotive</t>
  </si>
  <si>
    <t>Boost</t>
  </si>
  <si>
    <t>SOT-23</t>
  </si>
  <si>
    <t>Functional Safety-Capable</t>
  </si>
  <si>
    <t>-40 to 125</t>
  </si>
  <si>
    <t>2.9 x 2.8</t>
  </si>
  <si>
    <t>ACTIVE</t>
  </si>
  <si>
    <t>0.8 to 1.8-V 8-A, 12-V Input Non-Isolated Wide-Adjust SIP Module</t>
  </si>
  <si>
    <t>Power modules (integrated inductor)</t>
  </si>
  <si>
    <t>Catalog</t>
  </si>
  <si>
    <t>Buck</t>
  </si>
  <si>
    <t>SIPMODULE</t>
  </si>
  <si>
    <t/>
  </si>
  <si>
    <t>-40 to 85</t>
  </si>
  <si>
    <t>22.86 x 8.13</t>
  </si>
  <si>
    <t>ACTIVE</t>
  </si>
  <si>
    <t>1.2 to 5.5-V 8-A, 12-V Input Non-Isolated Wide-Adjust SIP Module</t>
  </si>
  <si>
    <t>Power modules (integrated inductor)</t>
  </si>
  <si>
    <t>Catalog</t>
  </si>
  <si>
    <t>Buck</t>
  </si>
  <si>
    <t>SIPMODULE</t>
  </si>
  <si>
    <t/>
  </si>
  <si>
    <t>-40 to 85</t>
  </si>
  <si>
    <t>22.86 x 8.13</t>
  </si>
  <si>
    <t>ACTIVE</t>
  </si>
  <si>
    <t>3.3-V Output, 600-mA, 95% Efficient Step-Down Converter, 18uA, MSOP/QFN-10</t>
  </si>
  <si>
    <t>AC/DC &amp; DC/DC converters (integrated FET)</t>
  </si>
  <si>
    <t>Catalog</t>
  </si>
  <si>
    <t>Buck</t>
  </si>
  <si>
    <t>HVSSOP,VSON</t>
  </si>
  <si>
    <t/>
  </si>
  <si>
    <t>-40 to 85</t>
  </si>
  <si>
    <t>9,14.7</t>
  </si>
  <si>
    <t>3 x 3,3 x 4.9</t>
  </si>
  <si>
    <t>1,1.1</t>
  </si>
  <si>
    <t>ACTIVE</t>
  </si>
  <si>
    <t>80-mA 24-V ultra-low-IQ low-dropout (LDO) voltage regulator</t>
  </si>
  <si>
    <t>Linear &amp; low-dropout (LDO) regulators</t>
  </si>
  <si>
    <t>Catalog</t>
  </si>
  <si>
    <t>VSON,WSON</t>
  </si>
  <si>
    <t/>
  </si>
  <si>
    <t>-40 to 125</t>
  </si>
  <si>
    <t>6,8</t>
  </si>
  <si>
    <t>4,9</t>
  </si>
  <si>
    <t>2 x 2,3 x 3</t>
  </si>
  <si>
    <t>0.8,1</t>
  </si>
  <si>
    <t>ACTIVE</t>
  </si>
  <si>
    <t>250-mA, dual-channel low-dropout voltage regulator with enable &amp; RESET with delay</t>
  </si>
  <si>
    <t>Linear &amp; low-dropout (LDO) regulators</t>
  </si>
  <si>
    <t>Catalog</t>
  </si>
  <si>
    <t>VSON</t>
  </si>
  <si>
    <t/>
  </si>
  <si>
    <t>-40 to 125</t>
  </si>
  <si>
    <t>3 x 3</t>
  </si>
  <si>
    <t>ACTIVE</t>
  </si>
  <si>
    <t>250-mA, dual-channel low-dropout voltage regulator with enable</t>
  </si>
  <si>
    <t>Linear &amp; low-dropout (LDO) regulators</t>
  </si>
  <si>
    <t>Catalog</t>
  </si>
  <si>
    <t>VSON</t>
  </si>
  <si>
    <t/>
  </si>
  <si>
    <t>-40 to 125</t>
  </si>
  <si>
    <t>3 x 3</t>
  </si>
  <si>
    <t>ACTIVE</t>
  </si>
  <si>
    <t>6-A Wide-Input Voltage Adjustable Switching Regulator</t>
  </si>
  <si>
    <t>Power modules (integrated inductor)</t>
  </si>
  <si>
    <t>Catalog</t>
  </si>
  <si>
    <t>Buck</t>
  </si>
  <si>
    <t>DIPMODULE</t>
  </si>
  <si>
    <t/>
  </si>
  <si>
    <t>-40 to 85</t>
  </si>
  <si>
    <t>38.99 x 23.11</t>
  </si>
  <si>
    <t>ACTIVE</t>
  </si>
  <si>
    <t>50-A, 8 to 14-V Input, Wide-Output Adjust Power Module</t>
  </si>
  <si>
    <t>Power modules (integrated inductor)</t>
  </si>
  <si>
    <t>Catalog</t>
  </si>
  <si>
    <t>Buck</t>
  </si>
  <si>
    <t>DIPMODULE</t>
  </si>
  <si>
    <t/>
  </si>
  <si>
    <t>-40 to 85</t>
  </si>
  <si>
    <t>52.96 x 27.56</t>
  </si>
  <si>
    <t>ACTIVE</t>
  </si>
  <si>
    <t>1.4-A, 100-V half bridge gate driver with 8-V UVLO</t>
  </si>
  <si>
    <t>Half-bridge drivers</t>
  </si>
  <si>
    <t>Catalog</t>
  </si>
  <si>
    <t>SOIC,WSON</t>
  </si>
  <si>
    <t/>
  </si>
  <si>
    <t>-40 to 125</t>
  </si>
  <si>
    <t>16,29.4</t>
  </si>
  <si>
    <t>4 x 4,4.9 x 6</t>
  </si>
  <si>
    <t>0.8,1.75</t>
  </si>
  <si>
    <t>0.8,1.27</t>
  </si>
  <si>
    <t>ACTIVE</t>
  </si>
  <si>
    <t>800-mA, 15-V, linear voltage regulator</t>
  </si>
  <si>
    <t>Linear &amp; low-dropout (LDO) regulators</t>
  </si>
  <si>
    <t>Catalog</t>
  </si>
  <si>
    <t>SOT-223,TO-220,TO-252,TO-263,WSON</t>
  </si>
  <si>
    <t/>
  </si>
  <si>
    <t>-40 to 125</t>
  </si>
  <si>
    <t>3,4,8</t>
  </si>
  <si>
    <t>16,45.5,46.228,66.726,154.8384</t>
  </si>
  <si>
    <t>10.16 x 15.24,10.16 x 4.55,4 x 4,6.5 x 7,6.6 x 10.11</t>
  </si>
  <si>
    <t>0.8,1.8,2.52,4.7,4.83</t>
  </si>
  <si>
    <t>0.8,2.29,2.3,2.54</t>
  </si>
  <si>
    <t>ACTIVE</t>
  </si>
  <si>
    <t>Battery Power Management IC (PMIC) for Li-Ion Powered Systems</t>
  </si>
  <si>
    <t>Multi-channel ICs (PMICs)</t>
  </si>
  <si>
    <t>Catalog</t>
  </si>
  <si>
    <t>VQFN</t>
  </si>
  <si>
    <t/>
  </si>
  <si>
    <t>-40 to 85</t>
  </si>
  <si>
    <t>7 x 7</t>
  </si>
  <si>
    <t>ACTIVE</t>
  </si>
  <si>
    <t>200-mA, low-dropout voltage regulator with enable</t>
  </si>
  <si>
    <t>Linear &amp; low-dropout (LDO) regulators</t>
  </si>
  <si>
    <t>Catalog</t>
  </si>
  <si>
    <t>DSBGA,SOT-23</t>
  </si>
  <si>
    <t/>
  </si>
  <si>
    <t>-40 to 125</t>
  </si>
  <si>
    <t>5,6</t>
  </si>
  <si>
    <t>2.045000000000000125,8.12</t>
  </si>
  <si>
    <t>1.6360000000000001 x 1.25,2.9 x 2.8</t>
  </si>
  <si>
    <t>0.6,1.45</t>
  </si>
  <si>
    <t>0.5,0.95</t>
  </si>
  <si>
    <t>ACTIVE</t>
  </si>
  <si>
    <t>3-A, 100-V half bridge gate driver with 8-V UVLO and CMOS inputs</t>
  </si>
  <si>
    <t>Half-bridge drivers</t>
  </si>
  <si>
    <t>Catalog</t>
  </si>
  <si>
    <t>HSOIC,SOIC,WSON</t>
  </si>
  <si>
    <t/>
  </si>
  <si>
    <t>-40 to 125</t>
  </si>
  <si>
    <t>8,10</t>
  </si>
  <si>
    <t>16,29.4</t>
  </si>
  <si>
    <t>4 x 4,4.9 x 6</t>
  </si>
  <si>
    <t>0.8,1.7,1.75</t>
  </si>
  <si>
    <t>0.8,1.27</t>
  </si>
  <si>
    <t>ACTIVE</t>
  </si>
  <si>
    <t>3-A, 100-V half bridge gate driver with 8-V UVLO and TTL inputs</t>
  </si>
  <si>
    <t>Half-bridge drivers</t>
  </si>
  <si>
    <t>Catalog</t>
  </si>
  <si>
    <t>HSOIC,SOIC,WSON</t>
  </si>
  <si>
    <t/>
  </si>
  <si>
    <t>-40 to 125</t>
  </si>
  <si>
    <t>8,10</t>
  </si>
  <si>
    <t>16,29.4</t>
  </si>
  <si>
    <t>4 x 4,4.9 x 6</t>
  </si>
  <si>
    <t>0.8,1.7,1.75</t>
  </si>
  <si>
    <t>0.8,1.27</t>
  </si>
  <si>
    <t>ACTIVE</t>
  </si>
  <si>
    <t>3-A, Wide-Input, Adjustable Switching Regulator Module</t>
  </si>
  <si>
    <t>Power modules (integrated inductor)</t>
  </si>
  <si>
    <t>Catalog</t>
  </si>
  <si>
    <t>Buck</t>
  </si>
  <si>
    <t>DIPMODULE</t>
  </si>
  <si>
    <t/>
  </si>
  <si>
    <t>-40 to 85</t>
  </si>
  <si>
    <t>26.29 x 16.76</t>
  </si>
  <si>
    <t>ACTIVE</t>
  </si>
  <si>
    <t>1-A, 10-V, low-dropout voltage regulator</t>
  </si>
  <si>
    <t>Linear &amp; low-dropout (LDO) regulators</t>
  </si>
  <si>
    <t>Catalog</t>
  </si>
  <si>
    <t>TO-252,WSON</t>
  </si>
  <si>
    <t/>
  </si>
  <si>
    <t>-40 to 125</t>
  </si>
  <si>
    <t>3,6</t>
  </si>
  <si>
    <t>9,65.2078</t>
  </si>
  <si>
    <t>3 x 3,6.58 x 9.91</t>
  </si>
  <si>
    <t>0.8,2.55</t>
  </si>
  <si>
    <t>0.95,4.57</t>
  </si>
  <si>
    <t>ACTIVE</t>
  </si>
  <si>
    <t>1-A, 10-V, adjustable low-dropout voltage regulator</t>
  </si>
  <si>
    <t>Linear &amp; low-dropout (LDO) regulators</t>
  </si>
  <si>
    <t>Catalog</t>
  </si>
  <si>
    <t>WSON</t>
  </si>
  <si>
    <t/>
  </si>
  <si>
    <t>-40 to 125</t>
  </si>
  <si>
    <t>3 x 3</t>
  </si>
  <si>
    <t>ACTIVE</t>
  </si>
  <si>
    <t>1-A, 10-V, low-dropout voltage regulator with enable</t>
  </si>
  <si>
    <t>Linear &amp; low-dropout (LDO) regulators</t>
  </si>
  <si>
    <t>Catalog</t>
  </si>
  <si>
    <t>SOT-223,WSON</t>
  </si>
  <si>
    <t/>
  </si>
  <si>
    <t>-40 to 125</t>
  </si>
  <si>
    <t>5,6</t>
  </si>
  <si>
    <t>9,45.24</t>
  </si>
  <si>
    <t>3 x 3,6.5 x 6.96</t>
  </si>
  <si>
    <t>0.8,1.8</t>
  </si>
  <si>
    <t>0.95,1.5</t>
  </si>
  <si>
    <t>ACTIVE</t>
  </si>
  <si>
    <t>1-A, 10-V, adjustable low-dropout voltage regulator with enable</t>
  </si>
  <si>
    <t>Linear &amp; low-dropout (LDO) regulators</t>
  </si>
  <si>
    <t>Catalog</t>
  </si>
  <si>
    <t>SOT-223,WSON</t>
  </si>
  <si>
    <t/>
  </si>
  <si>
    <t>-40 to 125</t>
  </si>
  <si>
    <t>5,6</t>
  </si>
  <si>
    <t>9,45.24</t>
  </si>
  <si>
    <t>3 x 3,6.5 x 6.96</t>
  </si>
  <si>
    <t>0.8,1.8</t>
  </si>
  <si>
    <t>0.95,1.5</t>
  </si>
  <si>
    <t>ACTIVE</t>
  </si>
  <si>
    <t>12-CH Gamma-Voltage Generator</t>
  </si>
  <si>
    <t>LCD &amp; OLED display power &amp; drivers</t>
  </si>
  <si>
    <t>Catalog</t>
  </si>
  <si>
    <t>HTSSOP</t>
  </si>
  <si>
    <t/>
  </si>
  <si>
    <t>-40 to 85</t>
  </si>
  <si>
    <t>7.8 x 6.4</t>
  </si>
  <si>
    <t>ACTIVE</t>
  </si>
  <si>
    <t>90V active clamp voltage mode PWM controller with P or N-channel clamp FET and 0.5V CS threshold</t>
  </si>
  <si>
    <t>AC/DC &amp; DC/DC controllers (external FET)</t>
  </si>
  <si>
    <t>Catalog</t>
  </si>
  <si>
    <t>Active-clamp forward,Forward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</si>
  <si>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</si>
  <si>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</si>
  <si>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</si>
  <si>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</si>
  <si>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</si>
  <si>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</si>
  <si>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</si>
  <si>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</si>
  <si>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615kHz/1.25MHz Step-up PWM DC/DC Converter</t>
  </si>
  <si>
    <t>AC/DC &amp; DC/DC converters (integrated FET)</t>
  </si>
  <si>
    <t>Catalog</t>
  </si>
  <si>
    <t>Boost</t>
  </si>
  <si>
    <t>VSSOP</t>
  </si>
  <si>
    <t/>
  </si>
  <si>
    <t>-40 to 125</t>
  </si>
  <si>
    <t>3 x 4.9</t>
  </si>
  <si>
    <t>ACTIVE</t>
  </si>
  <si>
    <t>0.5% accuracy, low-voltage, adjustable precision shunt regulator</t>
  </si>
  <si>
    <t>Shunt voltage references</t>
  </si>
  <si>
    <t>Catalog</t>
  </si>
  <si>
    <t>SOT-23,SOT-89,SOT-SC70,TO-92</t>
  </si>
  <si>
    <t/>
  </si>
  <si>
    <t>-40 to 125</t>
  </si>
  <si>
    <t>3,5,6</t>
  </si>
  <si>
    <t>4.2,6.9204,8.12,18.4275,19.136</t>
  </si>
  <si>
    <t>2 x 2.1,2.9 x 2.8,2.92 x 2.37,4.5 x 4.095,5.2 x 3.68</t>
  </si>
  <si>
    <t>1.1,1.12,1.45,1.6,5.34</t>
  </si>
  <si>
    <t>0.65,0.95,0.96,1.27,1.5</t>
  </si>
  <si>
    <t>ACTIVE</t>
  </si>
  <si>
    <t>150-mA, low-IQ, dual-channel low-dropout voltage regulator with power good &amp; enable</t>
  </si>
  <si>
    <t>Linear &amp; low-dropout (LDO) regulators</t>
  </si>
  <si>
    <t>Catalog</t>
  </si>
  <si>
    <t>WSON</t>
  </si>
  <si>
    <t/>
  </si>
  <si>
    <t>-40 to 85</t>
  </si>
  <si>
    <t>3 x 3</t>
  </si>
  <si>
    <t>ACTIVE</t>
  </si>
  <si>
    <t>2MHz, 600mA Step-Down DC-DC Converter</t>
  </si>
  <si>
    <t>AC/DC &amp; DC/DC converters (integrated FET)</t>
  </si>
  <si>
    <t>Catalog</t>
  </si>
  <si>
    <t>Buck</t>
  </si>
  <si>
    <t>DSBGA,SOT-23,USON</t>
  </si>
  <si>
    <t/>
  </si>
  <si>
    <t>-40 to 85</t>
  </si>
  <si>
    <t>5,6</t>
  </si>
  <si>
    <t>2.02,4,8.12</t>
  </si>
  <si>
    <t>1.616 x 1.25,2 x 2,2.9 x 2.8</t>
  </si>
  <si>
    <t>0.6,0.675,1.45</t>
  </si>
  <si>
    <t>0.5,0.95</t>
  </si>
  <si>
    <t>ACTIVE</t>
  </si>
  <si>
    <t>15V, 400mA switch, 1MHz boost converter w/brightness control for white LED power Supplies</t>
  </si>
  <si>
    <t>Backlight LED drivers</t>
  </si>
  <si>
    <t>Catalog</t>
  </si>
  <si>
    <t>Boost</t>
  </si>
  <si>
    <t>DSBGA,VSON</t>
  </si>
  <si>
    <t/>
  </si>
  <si>
    <t>-40 to 85</t>
  </si>
  <si>
    <t>3.0625,9</t>
  </si>
  <si>
    <t>1.75 x 1.75,3 x 3</t>
  </si>
  <si>
    <t>0.625,1</t>
  </si>
  <si>
    <t>0.5,0.65</t>
  </si>
  <si>
    <t>ACTIVE</t>
  </si>
  <si>
    <t>19V, 400mA switch, 1MHz boost converter w/brightness control for white LED power Supplies</t>
  </si>
  <si>
    <t>Backlight LED drivers</t>
  </si>
  <si>
    <t>Catalog</t>
  </si>
  <si>
    <t>Boost</t>
  </si>
  <si>
    <t>DSBGA,VSON</t>
  </si>
  <si>
    <t/>
  </si>
  <si>
    <t>-40 to 85</t>
  </si>
  <si>
    <t>3.0625,9</t>
  </si>
  <si>
    <t>1.75 x 1.75,3 x 3</t>
  </si>
  <si>
    <t>0.625,1</t>
  </si>
  <si>
    <t>0.5,0.65</t>
  </si>
  <si>
    <t>ACTIVE</t>
  </si>
  <si>
    <t>24V, 400mA switch, 1MHz boost converter w/brightness control for white LED power Supplies</t>
  </si>
  <si>
    <t>Backlight LED drivers</t>
  </si>
  <si>
    <t>Catalog</t>
  </si>
  <si>
    <t>Boost</t>
  </si>
  <si>
    <t>DSBGA,VSON</t>
  </si>
  <si>
    <t/>
  </si>
  <si>
    <t>-40 to 85</t>
  </si>
  <si>
    <t>3.0625,9</t>
  </si>
  <si>
    <t>1.75 x 1.75,3 x 3</t>
  </si>
  <si>
    <t>0.625,1</t>
  </si>
  <si>
    <t>0.5,0.65</t>
  </si>
  <si>
    <t>ACTIVE</t>
  </si>
  <si>
    <t>3-A, low-VIN (1.15-V), high-accuracy, ultra-low-dropout voltage regulator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</si>
  <si>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</si>
  <si>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</si>
  <si>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</si>
  <si>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</si>
  <si>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</si>
  <si>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</si>
  <si>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</si>
  <si>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</si>
  <si>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</si>
  <si>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3-channel, current-regulated 75-mA charge pump for white LED backlight in 3x3 QFN</t>
  </si>
  <si>
    <t>Backlight LED drivers</t>
  </si>
  <si>
    <t>Catalog</t>
  </si>
  <si>
    <t>Boost</t>
  </si>
  <si>
    <t>VQFN</t>
  </si>
  <si>
    <t/>
  </si>
  <si>
    <t>-40 to 85</t>
  </si>
  <si>
    <t>3 x 3</t>
  </si>
  <si>
    <t>ACTIVE</t>
  </si>
  <si>
    <t>Automotive, 50mA 24V ultra-low-IQ low-dropout (LDO) voltage regulator</t>
  </si>
  <si>
    <t>Linear &amp; low-dropout (LDO) regulators</t>
  </si>
  <si>
    <t>Automotive</t>
  </si>
  <si>
    <t>SOT-SC70</t>
  </si>
  <si>
    <t>Functional Safety-Capable</t>
  </si>
  <si>
    <t>-40 to 125</t>
  </si>
  <si>
    <t>2 x 2.1</t>
  </si>
  <si>
    <t>ACTIVE</t>
  </si>
  <si>
    <t>8-75V Wide Vin, 1A Constant On-Time Non-Synchronous Buck Regulator</t>
  </si>
  <si>
    <t>AC/DC &amp; DC/DC converters (integrated FET)</t>
  </si>
  <si>
    <t>Catalog</t>
  </si>
  <si>
    <t>Buck</t>
  </si>
  <si>
    <t>HTSSOP,WSON</t>
  </si>
  <si>
    <t/>
  </si>
  <si>
    <t>-40 to 125</t>
  </si>
  <si>
    <t>10,14</t>
  </si>
  <si>
    <t>16,32</t>
  </si>
  <si>
    <t>4 x 4,5 x 6.4</t>
  </si>
  <si>
    <t>0.8,1.2</t>
  </si>
  <si>
    <t>0.65,0.8</t>
  </si>
  <si>
    <t>ACTIVE</t>
  </si>
  <si>
    <t>100-V active clamp current mode PWM controller with P or N-channel clamp FET and CS restart timer</t>
  </si>
  <si>
    <t>AC/DC &amp; DC/DC controllers (external FET)</t>
  </si>
  <si>
    <t>Catalog</t>
  </si>
  <si>
    <t>Active-clamp forward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</si>
  <si>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</si>
  <si>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</si>
  <si>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</si>
  <si>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</si>
  <si>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</si>
  <si>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</si>
  <si>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</si>
  <si>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</si>
  <si>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2-ch, 0.5A loading, 2.7-5.5V, 70mΩ USB power switch, active-high</t>
  </si>
  <si>
    <t>USB power switches &amp; charging port controllers</t>
  </si>
  <si>
    <t>Catalog</t>
  </si>
  <si>
    <t>HVSSOP,SOIC,VSON</t>
  </si>
  <si>
    <t/>
  </si>
  <si>
    <t>-40 to 125</t>
  </si>
  <si>
    <t>9,14.7,29.4</t>
  </si>
  <si>
    <t>3 x 3,3 x 4.9,4.9 x 6</t>
  </si>
  <si>
    <t>1,1.1,1.75</t>
  </si>
  <si>
    <t>0.65,1.27</t>
  </si>
  <si>
    <t>ACTIVE</t>
  </si>
  <si>
    <t>1.875-V Output, 400-mA, 95% Efficient Step-Down Converter, 15uA, ThinSOT-23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</si>
  <si>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</si>
  <si>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</si>
  <si>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</si>
  <si>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</si>
  <si>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</si>
  <si>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</si>
  <si>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</si>
  <si>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</si>
  <si>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Primary-side push-pull Oscillator with Dead-Time control</t>
  </si>
  <si>
    <t>AC/DC &amp; DC/DC controllers (external FET)</t>
  </si>
  <si>
    <t>Catalog</t>
  </si>
  <si>
    <t>Full bridge,Half bridge,Push pull</t>
  </si>
  <si>
    <t>SOIC</t>
  </si>
  <si>
    <t/>
  </si>
  <si>
    <t>-40 to 105</t>
  </si>
  <si>
    <t>4.9 x 6</t>
  </si>
  <si>
    <t>ACTIVE</t>
  </si>
  <si>
    <t>4.5-A, 30-V half bridge gate driver for synchronous/asynchronous drive</t>
  </si>
  <si>
    <t>Half-bridge drivers</t>
  </si>
  <si>
    <t>Catalog</t>
  </si>
  <si>
    <t>SOIC,WSON</t>
  </si>
  <si>
    <t/>
  </si>
  <si>
    <t>-40 to 125</t>
  </si>
  <si>
    <t>16,29.4</t>
  </si>
  <si>
    <t>4 x 4,4.9 x 6</t>
  </si>
  <si>
    <t>0.8,1.75</t>
  </si>
  <si>
    <t>0.8,1.27</t>
  </si>
  <si>
    <t>ACTIVE</t>
  </si>
  <si>
    <t>3-A/7-A single channel gate driver with 4-V UVLO and input ground for split-supply operation</t>
  </si>
  <si>
    <t>Low-side drivers</t>
  </si>
  <si>
    <t>Catalog</t>
  </si>
  <si>
    <t>HVSSOP,WSON</t>
  </si>
  <si>
    <t/>
  </si>
  <si>
    <t>-40 to 125</t>
  </si>
  <si>
    <t>6,8</t>
  </si>
  <si>
    <t>9,14.7</t>
  </si>
  <si>
    <t>3 x 3,3 x 4.9</t>
  </si>
  <si>
    <t>0.8,1.1</t>
  </si>
  <si>
    <t>0.65,0.95</t>
  </si>
  <si>
    <t>ACTIVE</t>
  </si>
  <si>
    <t>6-Channel LCD Gamma Correction Buffer + 1 Vcom</t>
  </si>
  <si>
    <t>LCD &amp; OLED display power &amp; drivers</t>
  </si>
  <si>
    <t>Catalog</t>
  </si>
  <si>
    <t>HTSSOP</t>
  </si>
  <si>
    <t/>
  </si>
  <si>
    <t>-25 to 85</t>
  </si>
  <si>
    <t>6.5 x 6.4</t>
  </si>
  <si>
    <t>ACTIVE</t>
  </si>
  <si>
    <t>3-ch, 1A loading, 2.7-5.5V, 70mΩ USB power switch, active-low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</si>
  <si>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</si>
  <si>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</si>
  <si>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</si>
  <si>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</si>
  <si>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</si>
  <si>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</si>
  <si>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</si>
  <si>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3-ch, 1A loading, 2.7-5.5V, 70mΩ USB power switch, active-high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</si>
  <si>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</si>
  <si>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</si>
  <si>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</si>
  <si>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</si>
  <si>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</si>
  <si>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</si>
  <si>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</si>
  <si>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Multi-Channel 1-cell Li-Ion PMIC USB/AC Charger, 2DC/DC, 2 LDOs, I2C interface in QFN-48</t>
  </si>
  <si>
    <t>Multi-channel ICs (PMICs)</t>
  </si>
  <si>
    <t>Catalog</t>
  </si>
  <si>
    <t>VQFN</t>
  </si>
  <si>
    <t/>
  </si>
  <si>
    <t>-40 to 85</t>
  </si>
  <si>
    <t>7 x 7</t>
  </si>
  <si>
    <t>ACTIVE</t>
  </si>
  <si>
    <t>Automotive economy single ended 1MHz current mode PWM controller with 7.2V/6.9V UVLO 100% duty cycle</t>
  </si>
  <si>
    <t>AC/DC &amp; DC/DC controllers (external FET)</t>
  </si>
  <si>
    <t>Automotive</t>
  </si>
  <si>
    <t>Boost,Flyback,Forward</t>
  </si>
  <si>
    <t>SOIC</t>
  </si>
  <si>
    <t>Functional Safety-Capable</t>
  </si>
  <si>
    <t>-40 to 125</t>
  </si>
  <si>
    <t>4.9 x 6</t>
  </si>
  <si>
    <t>ACTIVE</t>
  </si>
  <si>
    <t>Automotive economy 1MHz current mode PWM controller with 12.5V/8.3V UVLO 100% duty cycle</t>
  </si>
  <si>
    <t>AC/DC &amp; DC/DC controllers (external FET)</t>
  </si>
  <si>
    <t>Automotive</t>
  </si>
  <si>
    <t>Boost,Flyback,Forward</t>
  </si>
  <si>
    <t>SOIC</t>
  </si>
  <si>
    <t>Functional Safety-Capable</t>
  </si>
  <si>
    <t>-40 to 125</t>
  </si>
  <si>
    <t>4.9 x 6</t>
  </si>
  <si>
    <t>ACTIVE</t>
  </si>
  <si>
    <t>Automotive economy single ended 1MHz current mode PWM controller with 4.1V/3.6V UVLO 100% duty cycle</t>
  </si>
  <si>
    <t>AC/DC &amp; DC/DC controllers (external FET)</t>
  </si>
  <si>
    <t>Automotive</t>
  </si>
  <si>
    <t>Boost,Flyback,Forward</t>
  </si>
  <si>
    <t>SOIC,TSSOP</t>
  </si>
  <si>
    <t>Functional Safety-Capable</t>
  </si>
  <si>
    <t>-40 to 125</t>
  </si>
  <si>
    <t>19.2,29.4</t>
  </si>
  <si>
    <t>3 x 6.4,4.9 x 6</t>
  </si>
  <si>
    <t>1.2,1.75</t>
  </si>
  <si>
    <t>0.65,1.27</t>
  </si>
  <si>
    <t>ACTIVE</t>
  </si>
  <si>
    <t>Automotive economy 1MHz current mode PWM controller with 12.5V/8.3V UVLO 50% duty cycle</t>
  </si>
  <si>
    <t>AC/DC &amp; DC/DC controllers (external FET)</t>
  </si>
  <si>
    <t>Automotive</t>
  </si>
  <si>
    <t>Boost,Flyback,Forward</t>
  </si>
  <si>
    <t>SOIC</t>
  </si>
  <si>
    <t>Functional Safety-Capable</t>
  </si>
  <si>
    <t>-40 to 125</t>
  </si>
  <si>
    <t>4.9 x 6</t>
  </si>
  <si>
    <t>ACTIVE</t>
  </si>
  <si>
    <t>Automotive economy single ended 1MHz current mode PWM controller with 4.1V/3.6V UVLO 50% duty cycle</t>
  </si>
  <si>
    <t>AC/DC &amp; DC/DC controllers (external FET)</t>
  </si>
  <si>
    <t>Automotive</t>
  </si>
  <si>
    <t>Boost,Flyback,Forward</t>
  </si>
  <si>
    <t>SOIC</t>
  </si>
  <si>
    <t>Functional Safety-Capable</t>
  </si>
  <si>
    <t>-40 to 125</t>
  </si>
  <si>
    <t>4.9 x 6</t>
  </si>
  <si>
    <t>ACTIVE</t>
  </si>
  <si>
    <t>100-mA, 16-V,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</si>
  <si>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</si>
  <si>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</si>
  <si>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</si>
  <si>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</si>
  <si>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</si>
  <si>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</si>
  <si>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</si>
  <si>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100-mA, 16-V, low-dropout voltage regulator with high-accuracy &amp;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</si>
  <si>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</si>
  <si>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</si>
  <si>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</si>
  <si>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</si>
  <si>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</si>
  <si>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</si>
  <si>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</si>
  <si>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150-mA 16-V low-dropout (LDO) voltage regulator with high-accuracy</t>
  </si>
  <si>
    <t>Linear &amp; low-dropout (LDO) regulators</t>
  </si>
  <si>
    <t>Catalog</t>
  </si>
  <si>
    <t>SOT-23</t>
  </si>
  <si>
    <t/>
  </si>
  <si>
    <t>-45 to 125</t>
  </si>
  <si>
    <t>2.9 x 2.8</t>
  </si>
  <si>
    <t>ACTIVE</t>
  </si>
  <si>
    <t>8-36V, 1.25A Constant On-Time Non-Synchronous Buck Regulator</t>
  </si>
  <si>
    <t>AC/DC &amp; DC/DC converters (integrated FET)</t>
  </si>
  <si>
    <t>Catalog</t>
  </si>
  <si>
    <t>Buck</t>
  </si>
  <si>
    <t>WSON</t>
  </si>
  <si>
    <t/>
  </si>
  <si>
    <t>-40 to 125</t>
  </si>
  <si>
    <t>4 x 4</t>
  </si>
  <si>
    <t>ACTIVE</t>
  </si>
  <si>
    <t>Adjustable precision shunt regulator (reverse pinout)</t>
  </si>
  <si>
    <t>Shunt voltage references</t>
  </si>
  <si>
    <t>Catalog</t>
  </si>
  <si>
    <t>SOT-23,SOT-89</t>
  </si>
  <si>
    <t/>
  </si>
  <si>
    <t>-40 to 125</t>
  </si>
  <si>
    <t>3,5</t>
  </si>
  <si>
    <t>6.9204,8.12,18.4275</t>
  </si>
  <si>
    <t>2.9 x 2.8,2.92 x 2.37,4.5 x 4.095</t>
  </si>
  <si>
    <t>1.12,1.45,1.6</t>
  </si>
  <si>
    <t>0.95,0.96,1.5</t>
  </si>
  <si>
    <t>ACTIVE</t>
  </si>
  <si>
    <t>1A loading, 2.7-5.5V, 70mΩ USB power switch, active-high</t>
  </si>
  <si>
    <t>USB power switches &amp; charging port controllers</t>
  </si>
  <si>
    <t>Catalog</t>
  </si>
  <si>
    <t>HVSSOP,SOIC,SOT-23</t>
  </si>
  <si>
    <t/>
  </si>
  <si>
    <t>-40 to 125</t>
  </si>
  <si>
    <t>5,8</t>
  </si>
  <si>
    <t>8.12,14.7,29.4</t>
  </si>
  <si>
    <t>2.9 x 2.8,3 x 4.9,4.9 x 6</t>
  </si>
  <si>
    <t>1.1,1.45,1.75</t>
  </si>
  <si>
    <t>0.65,0.95,1.27</t>
  </si>
  <si>
    <t>ACTIVE</t>
  </si>
  <si>
    <t>Dual display white LED driver with I2C Compatible brightness control</t>
  </si>
  <si>
    <t>Backlight LED drivers</t>
  </si>
  <si>
    <t>Catalog</t>
  </si>
  <si>
    <t>Buck</t>
  </si>
  <si>
    <t>WQFN</t>
  </si>
  <si>
    <t/>
  </si>
  <si>
    <t>-30 to 85</t>
  </si>
  <si>
    <t>4 x 4</t>
  </si>
  <si>
    <t>ACTIVE</t>
  </si>
  <si>
    <t>White LED driver with I2C compatible interface</t>
  </si>
  <si>
    <t>Backlight LED drivers</t>
  </si>
  <si>
    <t>Catalog</t>
  </si>
  <si>
    <t>Boost</t>
  </si>
  <si>
    <t>WQFN</t>
  </si>
  <si>
    <t/>
  </si>
  <si>
    <t>-30 to 85</t>
  </si>
  <si>
    <t>4 x 4</t>
  </si>
  <si>
    <t>ACTIVE</t>
  </si>
  <si>
    <t>Adjustable, 500-mA, 3-MHz Step-Down Converter in QFN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</si>
  <si>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</si>
  <si>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</si>
  <si>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</si>
  <si>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</si>
  <si>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</si>
  <si>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</si>
  <si>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</si>
  <si>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</si>
  <si>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1.5V, 500-mA, 3-MHz Step-Down Converter in QFN or Chip-Scale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</si>
  <si>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</si>
  <si>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</si>
  <si>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</si>
  <si>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</si>
  <si>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</si>
  <si>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</si>
  <si>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</si>
  <si>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</si>
  <si>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1.6V, 500-mA, 3-MHz Step-Down Converter in QFN or Chip-Scale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</si>
  <si>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</si>
  <si>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</si>
  <si>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</si>
  <si>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</si>
  <si>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</si>
  <si>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</si>
  <si>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</si>
  <si>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</si>
  <si>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1.8V, 500-mA, 3-MHz Step-Down Converter in QFN or Chip-Scale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</si>
  <si>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</si>
  <si>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</si>
  <si>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</si>
  <si>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</si>
  <si>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</si>
  <si>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</si>
  <si>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</si>
  <si>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</si>
  <si>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1.875V, 500-mA, 3-MHz Step-Down Converter in QFN or Chip-Scale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</si>
  <si>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</si>
  <si>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</si>
  <si>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</si>
  <si>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</si>
  <si>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</si>
  <si>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</si>
  <si>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</si>
  <si>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</si>
  <si>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Adjustable, 500-mA, 3-MHz Step-Down Converter in QFN or Chip-Scale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</si>
  <si>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</si>
  <si>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</si>
  <si>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</si>
  <si>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</si>
  <si>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</si>
  <si>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</si>
  <si>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</si>
  <si>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</si>
  <si>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1.5V, 500-mA, 3-MHz Step-Down Converter in QFN or Chip-Scale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</si>
  <si>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</si>
  <si>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</si>
  <si>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</si>
  <si>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</si>
  <si>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</si>
  <si>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</si>
  <si>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</si>
  <si>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</si>
  <si>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3V to 4V Input, 14A Synchronous Step-Down Converter</t>
  </si>
  <si>
    <t>AC/DC &amp; DC/DC converters (integrated FET)</t>
  </si>
  <si>
    <t>Catalog</t>
  </si>
  <si>
    <t>Buck</t>
  </si>
  <si>
    <t>HTSSOP</t>
  </si>
  <si>
    <t/>
  </si>
  <si>
    <t>-40 to 85</t>
  </si>
  <si>
    <t>9.7 x 6.4</t>
  </si>
  <si>
    <t>ACTIVE</t>
  </si>
  <si>
    <t>Complete DDR, DDR2, DDR3, DDR3L, LPDDR3 and DDR4 power solution synchronous buck controller, 3A LDO</t>
  </si>
  <si>
    <t>Multi-channel ICs (PMICs),DDR memory power ICs</t>
  </si>
  <si>
    <t>Catalog</t>
  </si>
  <si>
    <t>HTSSOP,VQFN</t>
  </si>
  <si>
    <t/>
  </si>
  <si>
    <t>-40 to 85</t>
  </si>
  <si>
    <t>20,24</t>
  </si>
  <si>
    <t>16,41.6</t>
  </si>
  <si>
    <t>4 x 4,6.5 x 6.4</t>
  </si>
  <si>
    <t>1,1.2</t>
  </si>
  <si>
    <t>0.5,0.65</t>
  </si>
  <si>
    <t>ACTIVE</t>
  </si>
  <si>
    <t>Automotive precision adjustable (programmable) shunt reference</t>
  </si>
  <si>
    <t>Shunt voltage references</t>
  </si>
  <si>
    <t>Automotive</t>
  </si>
  <si>
    <t>SOIC</t>
  </si>
  <si>
    <t/>
  </si>
  <si>
    <t>-40 to 125</t>
  </si>
  <si>
    <t>4.9 x 6</t>
  </si>
  <si>
    <t>ACTIVE</t>
  </si>
  <si>
    <t>2-ch, 0.25A loading, 2.7-5.5V, 70mΩ USB power switch, active-low</t>
  </si>
  <si>
    <t>USB power switches &amp; charging port controllers</t>
  </si>
  <si>
    <t>Catalog</t>
  </si>
  <si>
    <t>SOIC</t>
  </si>
  <si>
    <t/>
  </si>
  <si>
    <t>-40 to 125</t>
  </si>
  <si>
    <t>4.9 x 6</t>
  </si>
  <si>
    <t>ACTIVE</t>
  </si>
  <si>
    <t>3-ch, 0.25A loading, 2.7-5.5V, 70mΩ USB power switch, active-low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</si>
  <si>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</si>
  <si>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</si>
  <si>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</si>
  <si>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</si>
  <si>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</si>
  <si>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</si>
  <si>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</si>
  <si>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Enhanced-product precision adjustable (programmable) shunt reference</t>
  </si>
  <si>
    <t>Shunt voltage references</t>
  </si>
  <si>
    <t>HiRel Enhanced Product</t>
  </si>
  <si>
    <t>SOIC</t>
  </si>
  <si>
    <t/>
  </si>
  <si>
    <t>-55 to 125</t>
  </si>
  <si>
    <t>4.9 x 6</t>
  </si>
  <si>
    <t>ACTIVE</t>
  </si>
  <si>
    <t>5-A/3-A dual channel gate driver with active high or low output 4-V UVLO</t>
  </si>
  <si>
    <t>Low-side drivers</t>
  </si>
  <si>
    <t>Catalog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</si>
  <si>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</si>
  <si>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</si>
  <si>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</si>
  <si>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</si>
  <si>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</si>
  <si>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</si>
  <si>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</si>
  <si>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</si>
  <si>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3-ch, 0.5A loading, 2.7-5.5V, 70mΩ USB power switch, active-low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</si>
  <si>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</si>
  <si>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</si>
  <si>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</si>
  <si>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</si>
  <si>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</si>
  <si>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</si>
  <si>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</si>
  <si>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1A loading, 2.7-5.5V, 70mΩ USB power switch, active-low</t>
  </si>
  <si>
    <t>USB power switches &amp; charging port controllers</t>
  </si>
  <si>
    <t>Catalog</t>
  </si>
  <si>
    <t>HVSSOP,SOIC,SOT-23</t>
  </si>
  <si>
    <t/>
  </si>
  <si>
    <t>-40 to 125</t>
  </si>
  <si>
    <t>5,8</t>
  </si>
  <si>
    <t>8.12,14.7,29.4</t>
  </si>
  <si>
    <t>2.9 x 2.8,3 x 4.9,4.9 x 6</t>
  </si>
  <si>
    <t>1.1,1.45,1.75</t>
  </si>
  <si>
    <t>0.65,0.95,1.27</t>
  </si>
  <si>
    <t>ACTIVE</t>
  </si>
  <si>
    <t>5.5-V over voltage protection controller with 100-V input transient protection</t>
  </si>
  <si>
    <t>Hot-swap controllers</t>
  </si>
  <si>
    <t>Catalog</t>
  </si>
  <si>
    <t>SOT-23</t>
  </si>
  <si>
    <t/>
  </si>
  <si>
    <t>-40 to 85</t>
  </si>
  <si>
    <t>2.9 x 2.8</t>
  </si>
  <si>
    <t>ACTIVE</t>
  </si>
  <si>
    <t>Automotive Unregulated 60mA Charge Pump Voltage Inverter</t>
  </si>
  <si>
    <t>AC/DC &amp; DC/DC converters (integrated FET)</t>
  </si>
  <si>
    <t>Automotive</t>
  </si>
  <si>
    <t>SOT-23</t>
  </si>
  <si>
    <t/>
  </si>
  <si>
    <t>-40 to 125</t>
  </si>
  <si>
    <t>2.9 x 2.8</t>
  </si>
  <si>
    <t>ACTIVE</t>
  </si>
  <si>
    <t>Automotive Unregulated 60mA Charge Pump Voltage Inverter with 20kHz Fixed Frequency</t>
  </si>
  <si>
    <t>AC/DC &amp; DC/DC converters (integrated FET)</t>
  </si>
  <si>
    <t>Automotive</t>
  </si>
  <si>
    <t>SOT-23</t>
  </si>
  <si>
    <t/>
  </si>
  <si>
    <t>-40 to 125</t>
  </si>
  <si>
    <t>2.9 x 2.8</t>
  </si>
  <si>
    <t>ACTIVE</t>
  </si>
  <si>
    <t>Automotive Unregulated 60mA Charge Pump Voltage Inverter with 50kHz Fixed Frequency</t>
  </si>
  <si>
    <t>AC/DC &amp; DC/DC converters (integrated FET)</t>
  </si>
  <si>
    <t>Automotive</t>
  </si>
  <si>
    <t>SOT-23</t>
  </si>
  <si>
    <t/>
  </si>
  <si>
    <t>-40 to 125</t>
  </si>
  <si>
    <t>2.9 x 2.8</t>
  </si>
  <si>
    <t>ACTIVE</t>
  </si>
  <si>
    <t>Automotive Unregulated 60mA Charge Pump Voltage Inverter with 250kHz Fixed Frequency</t>
  </si>
  <si>
    <t>AC/DC &amp; DC/DC converters (integrated FET)</t>
  </si>
  <si>
    <t>Automotive</t>
  </si>
  <si>
    <t>SOT-23</t>
  </si>
  <si>
    <t/>
  </si>
  <si>
    <t>-40 to 125</t>
  </si>
  <si>
    <t>2.9 x 2.8</t>
  </si>
  <si>
    <t>ACTIVE</t>
  </si>
  <si>
    <t>Automotive 150mA, 10V, low-dropout voltage regulator with enable</t>
  </si>
  <si>
    <t>Linear &amp; low-dropout (LDO) regulators</t>
  </si>
  <si>
    <t>Automotive</t>
  </si>
  <si>
    <t>SOT-23</t>
  </si>
  <si>
    <t>Functional Safety-Capable</t>
  </si>
  <si>
    <t>-40 to 125</t>
  </si>
  <si>
    <t>2.9 x 2.8</t>
  </si>
  <si>
    <t>ACTIVE</t>
  </si>
  <si>
    <t>Low-quiescent current supervisor with programmable delay &amp; manual reset</t>
  </si>
  <si>
    <t>Reset &amp; watchdog ICs</t>
  </si>
  <si>
    <t>Catalog</t>
  </si>
  <si>
    <t>SOT-23,WSON</t>
  </si>
  <si>
    <t/>
  </si>
  <si>
    <t>-40 to 125</t>
  </si>
  <si>
    <t>4,8.12</t>
  </si>
  <si>
    <t>2 x 2,2.9 x 2.8</t>
  </si>
  <si>
    <t>0.8,1.45</t>
  </si>
  <si>
    <t>0.65,0.95</t>
  </si>
  <si>
    <t>ACTIVE</t>
  </si>
  <si>
    <t>1.2-V Output, 300-mA, 95% Efficient Step-Down Converter in SOT-23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</si>
  <si>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</si>
  <si>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</si>
  <si>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</si>
  <si>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</si>
  <si>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</si>
  <si>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</si>
  <si>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</si>
  <si>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</si>
  <si>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Adjustable, 600-mA, 95% Efficient Step-Down Converter, 18uA, Active-Low Mode in QFN-10</t>
  </si>
  <si>
    <t>AC/DC &amp; DC/DC converters (integrated FET)</t>
  </si>
  <si>
    <t>Catalog</t>
  </si>
  <si>
    <t>Buck</t>
  </si>
  <si>
    <t>VSON</t>
  </si>
  <si>
    <t/>
  </si>
  <si>
    <t>-40 to 85</t>
  </si>
  <si>
    <t>3 x 3</t>
  </si>
  <si>
    <t>ACTIVE</t>
  </si>
  <si>
    <t>Adjustable, 600-mA switch, 1200-kHz boost converter in ThinSOT-23 with power-saving mode</t>
  </si>
  <si>
    <t>AC/DC &amp; DC/DC converters (integrated FET)</t>
  </si>
  <si>
    <t>Catalog</t>
  </si>
  <si>
    <t>Boost</t>
  </si>
  <si>
    <t>SOT-23-THN</t>
  </si>
  <si>
    <t/>
  </si>
  <si>
    <t>-40 to 125</t>
  </si>
  <si>
    <t>2.9 x 2.8</t>
  </si>
  <si>
    <t>ACTIVE</t>
  </si>
  <si>
    <t>Adjustable, 600-mA switch, 1200-kHz boost converter in ThinSOT-23 with forced PWM mode</t>
  </si>
  <si>
    <t>AC/DC &amp; DC/DC converters (integrated FET)</t>
  </si>
  <si>
    <t>Catalog</t>
  </si>
  <si>
    <t>Boost</t>
  </si>
  <si>
    <t>SOT-23-THN</t>
  </si>
  <si>
    <t/>
  </si>
  <si>
    <t>-40 to 125</t>
  </si>
  <si>
    <t>2.9 x 2.8</t>
  </si>
  <si>
    <t>ACTIVE</t>
  </si>
  <si>
    <t>Advanced lighting management unit</t>
  </si>
  <si>
    <t>RGB LED drivers</t>
  </si>
  <si>
    <t>Catalog</t>
  </si>
  <si>
    <t>Boost</t>
  </si>
  <si>
    <t>DSBGA</t>
  </si>
  <si>
    <t/>
  </si>
  <si>
    <t>-30 to 85</t>
  </si>
  <si>
    <t>3.25 x 3.25</t>
  </si>
  <si>
    <t>ACTIVE</t>
  </si>
  <si>
    <t>5-channel, current-regulated 125-mA charge pump for white LED backlight in 3x3 QFN</t>
  </si>
  <si>
    <t>Backlight LED drivers</t>
  </si>
  <si>
    <t>Catalog</t>
  </si>
  <si>
    <t>Boost</t>
  </si>
  <si>
    <t>VQFN</t>
  </si>
  <si>
    <t/>
  </si>
  <si>
    <t>-40 to 85</t>
  </si>
  <si>
    <t>3 x 3</t>
  </si>
  <si>
    <t>ACTIVE</t>
  </si>
  <si>
    <t>DDR-II Termination Regulator</t>
  </si>
  <si>
    <t>Multi-channel ICs (PMICs),DDR memory power ICs</t>
  </si>
  <si>
    <t>Catalog</t>
  </si>
  <si>
    <t>HSOIC,SOIC</t>
  </si>
  <si>
    <t/>
  </si>
  <si>
    <t>0 to 125</t>
  </si>
  <si>
    <t>4.9 x 6</t>
  </si>
  <si>
    <t>1.7,1.75</t>
  </si>
  <si>
    <t>ACTIVE</t>
  </si>
  <si>
    <t>Class 3 PoE PD with latch protection</t>
  </si>
  <si>
    <t>Powered devices</t>
  </si>
  <si>
    <t>Catalog</t>
  </si>
  <si>
    <t>SOIC,TSSOP</t>
  </si>
  <si>
    <t/>
  </si>
  <si>
    <t>-40 to 85</t>
  </si>
  <si>
    <t>19.2,29.4</t>
  </si>
  <si>
    <t>3 x 6.4,4.9 x 6</t>
  </si>
  <si>
    <t>1.2,1.75</t>
  </si>
  <si>
    <t>0.65,1.27</t>
  </si>
  <si>
    <t>ACTIVE</t>
  </si>
  <si>
    <t>Class 3 PoE PD with adjustable UVLO threshold &amp; latch protection</t>
  </si>
  <si>
    <t>Powered devices</t>
  </si>
  <si>
    <t>Catalog</t>
  </si>
  <si>
    <t>SOIC,TSSOP</t>
  </si>
  <si>
    <t/>
  </si>
  <si>
    <t>-40 to 85</t>
  </si>
  <si>
    <t>19.2,29.4</t>
  </si>
  <si>
    <t>3 x 6.4,4.9 x 6</t>
  </si>
  <si>
    <t>1.2,1.75</t>
  </si>
  <si>
    <t>0.65,1.27</t>
  </si>
  <si>
    <t>ACTIVE</t>
  </si>
  <si>
    <t>Class 3 PoE PD with legacy UVLO threshold &amp; latch protection</t>
  </si>
  <si>
    <t>Powered devices</t>
  </si>
  <si>
    <t>Catalog</t>
  </si>
  <si>
    <t>SOIC,TSSOP</t>
  </si>
  <si>
    <t/>
  </si>
  <si>
    <t>-40 to 85</t>
  </si>
  <si>
    <t>19.2,29.4</t>
  </si>
  <si>
    <t>3 x 6.4,4.9 x 6</t>
  </si>
  <si>
    <t>1.2,1.75</t>
  </si>
  <si>
    <t>0.65,1.27</t>
  </si>
  <si>
    <t>ACTIVE</t>
  </si>
  <si>
    <t>2.25V-5.5V, 300 kHz, Synchronous Buck Controller, Source/ Sink, Prebias Operation</t>
  </si>
  <si>
    <t>AC/DC &amp; DC/DC controllers (external FET)</t>
  </si>
  <si>
    <t>Catalog</t>
  </si>
  <si>
    <t>HVSSOP</t>
  </si>
  <si>
    <t/>
  </si>
  <si>
    <t>-40 to 85</t>
  </si>
  <si>
    <t>3 x 4.9</t>
  </si>
  <si>
    <t>ACTIVE</t>
  </si>
  <si>
    <t>2.25V-5.5V, 600 kHz, Synchronous Buck Controller, Source/ Sink, Prebias Operation</t>
  </si>
  <si>
    <t>AC/DC &amp; DC/DC controllers (external FET)</t>
  </si>
  <si>
    <t>Catalog</t>
  </si>
  <si>
    <t>HVSSOP</t>
  </si>
  <si>
    <t/>
  </si>
  <si>
    <t>-40 to 85</t>
  </si>
  <si>
    <t>3 x 4.9</t>
  </si>
  <si>
    <t>ACTIVE</t>
  </si>
  <si>
    <t>100-V Dual Interleaved active clamp current mode controller with P-channel clamp FET</t>
  </si>
  <si>
    <t>AC/DC &amp; DC/DC controllers (external FET)</t>
  </si>
  <si>
    <t>Catalog</t>
  </si>
  <si>
    <t>Active-clamp forward</t>
  </si>
  <si>
    <t>TSSOP</t>
  </si>
  <si>
    <t/>
  </si>
  <si>
    <t>-40 to 125</t>
  </si>
  <si>
    <t>6.5 x 6.4</t>
  </si>
  <si>
    <t>ACTIVE</t>
  </si>
  <si>
    <t>2.3-V Output, 400-mA, 95% Efficient Step-Down Converter, 15uA, ThinSOT-23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</si>
  <si>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</si>
  <si>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</si>
  <si>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</si>
  <si>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</si>
  <si>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</si>
  <si>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</si>
  <si>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</si>
  <si>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</si>
  <si>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150-mA, low-IQ, low-dropout voltage regulator with enable</t>
  </si>
  <si>
    <t>Linear &amp; low-dropout (LDO) regulators</t>
  </si>
  <si>
    <t>Catalog</t>
  </si>
  <si>
    <t>SOT-23,SOT-SC70</t>
  </si>
  <si>
    <t/>
  </si>
  <si>
    <t>-40 to 125</t>
  </si>
  <si>
    <t>4.2,8.12</t>
  </si>
  <si>
    <t>2 x 2.1,2.9 x 2.8</t>
  </si>
  <si>
    <t>1.1,1.45</t>
  </si>
  <si>
    <t>0.65,0.95</t>
  </si>
  <si>
    <t>ACTIVE</t>
  </si>
  <si>
    <t>3A Switching Regulator with High Efficiency Sleep Mode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</si>
  <si>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</si>
  <si>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</si>
  <si>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</si>
  <si>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</si>
  <si>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</si>
  <si>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</si>
  <si>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</si>
  <si>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</si>
  <si>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3A Switching Regulator with High Efficiency Sleep Mode</t>
  </si>
  <si>
    <t>AC/DC &amp; DC/DC converters (integrated FET)</t>
  </si>
  <si>
    <t>Automotive</t>
  </si>
  <si>
    <t>Buck</t>
  </si>
  <si>
    <t>HTSSOP</t>
  </si>
  <si>
    <t/>
  </si>
  <si>
    <t>-40 to 125</t>
  </si>
  <si>
    <t>6.5 x 6.4</t>
  </si>
  <si>
    <t>ACTIVE</t>
  </si>
  <si>
    <t>3A Source/Sink DDR terminator Regulator</t>
  </si>
  <si>
    <t>DDR memory power ICs,Multi-channel ICs (PMICs)</t>
  </si>
  <si>
    <t>Catalog</t>
  </si>
  <si>
    <t>HVSSOP</t>
  </si>
  <si>
    <t/>
  </si>
  <si>
    <t>-40 to 85</t>
  </si>
  <si>
    <t>3 x 4.9</t>
  </si>
  <si>
    <t>ACTIVE</t>
  </si>
  <si>
    <t>100-V push-pull voltage mode PWM controller</t>
  </si>
  <si>
    <t>AC/DC &amp; DC/DC controllers (external FET)</t>
  </si>
  <si>
    <t>Catalog</t>
  </si>
  <si>
    <t>Push pull</t>
  </si>
  <si>
    <t>VSSOP,WSON</t>
  </si>
  <si>
    <t/>
  </si>
  <si>
    <t>-40 to 125</t>
  </si>
  <si>
    <t>14.7,16</t>
  </si>
  <si>
    <t>3 x 4.9,4 x 4</t>
  </si>
  <si>
    <t>0.8,1.1</t>
  </si>
  <si>
    <t>0.5,0.8</t>
  </si>
  <si>
    <t>ACTIVE</t>
  </si>
  <si>
    <t>Color LED driver with Audio Synchronizer</t>
  </si>
  <si>
    <t>RGB LED drivers</t>
  </si>
  <si>
    <t>Catalog</t>
  </si>
  <si>
    <t>Boost</t>
  </si>
  <si>
    <t>TLGA</t>
  </si>
  <si>
    <t/>
  </si>
  <si>
    <t>-40 to 85</t>
  </si>
  <si>
    <t>4.5 x 5.5</t>
  </si>
  <si>
    <t>ACTIVE</t>
  </si>
  <si>
    <t>2-ch, 0.5A loading, 2.7-5.5V, 70mΩ USB power switch, active-low</t>
  </si>
  <si>
    <t>USB power switches &amp; charging port controllers</t>
  </si>
  <si>
    <t>Catalog</t>
  </si>
  <si>
    <t>HVSSOP,SOIC,VSON</t>
  </si>
  <si>
    <t/>
  </si>
  <si>
    <t>-40 to 125</t>
  </si>
  <si>
    <t>9,14.7,29.4</t>
  </si>
  <si>
    <t>3 x 3,3 x 4.9,4.9 x 6</t>
  </si>
  <si>
    <t>1,1.1,1.75</t>
  </si>
  <si>
    <t>0.65,1.27</t>
  </si>
  <si>
    <t>ACTIVE</t>
  </si>
  <si>
    <t>800-mA, low-VIN (0.875-V), ultra-low-dropout voltage regulator with enable</t>
  </si>
  <si>
    <t>Linear &amp; low-dropout (LDO) regulators</t>
  </si>
  <si>
    <t>Catalog</t>
  </si>
  <si>
    <t>TO-220,TO-263</t>
  </si>
  <si>
    <t/>
  </si>
  <si>
    <t>-40 to 125</t>
  </si>
  <si>
    <t>45.212,86.0552,154.8384</t>
  </si>
  <si>
    <t>10.16 x 15.24,10.16 x 4.45,10.16 x 8.47</t>
  </si>
  <si>
    <t>4.7,4.83,20.92</t>
  </si>
  <si>
    <t>ACTIVE</t>
  </si>
  <si>
    <t>0.5A loading, 2.7-5.5V, 70mΩ USB power switch, active-high</t>
  </si>
  <si>
    <t>USB power switches &amp; charging port controllers</t>
  </si>
  <si>
    <t>Catalog</t>
  </si>
  <si>
    <t>HVSSOP,SOIC,SOT-23</t>
  </si>
  <si>
    <t/>
  </si>
  <si>
    <t>-40 to 125</t>
  </si>
  <si>
    <t>5,8</t>
  </si>
  <si>
    <t>8.12,14.7,29.4</t>
  </si>
  <si>
    <t>2.9 x 2.8,3 x 4.9,4.9 x 6</t>
  </si>
  <si>
    <t>1.1,1.45,1.75</t>
  </si>
  <si>
    <t>0.65,0.95,1.27</t>
  </si>
  <si>
    <t>ACTIVE</t>
  </si>
  <si>
    <t>4-ch, 0.5A loading, 2.7-5.5V, 70mΩ USB power switch, active-high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</si>
  <si>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</si>
  <si>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</si>
  <si>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</si>
  <si>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</si>
  <si>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</si>
  <si>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</si>
  <si>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</si>
  <si>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520kHz/1.6MHz space efficient boost and SEPIC DC-DC regulator</t>
  </si>
  <si>
    <t>AC/DC &amp; DC/DC converters (integrated FET)</t>
  </si>
  <si>
    <t>Catalog</t>
  </si>
  <si>
    <t>Boost</t>
  </si>
  <si>
    <t>HVSSOP,SOT-23,WSON</t>
  </si>
  <si>
    <t/>
  </si>
  <si>
    <t>-40 to 125</t>
  </si>
  <si>
    <t>5,6,8</t>
  </si>
  <si>
    <t>8.12,9,14.7</t>
  </si>
  <si>
    <t>2.9 x 2.8,3 x 3,3 x 4.9</t>
  </si>
  <si>
    <t>0.8,1.1,1.45</t>
  </si>
  <si>
    <t>0.65,0.95</t>
  </si>
  <si>
    <t>ACTIVE</t>
  </si>
  <si>
    <t>520-kHz, 1.6-MHz space efficient boost and SEPIC DC/DC regulator, AEC-Q100 qualified</t>
  </si>
  <si>
    <t>AC/DC &amp; DC/DC converters (integrated FET)</t>
  </si>
  <si>
    <t>Automotive</t>
  </si>
  <si>
    <t>Boost</t>
  </si>
  <si>
    <t>SOT-23,WSON</t>
  </si>
  <si>
    <t/>
  </si>
  <si>
    <t>-40 to 125</t>
  </si>
  <si>
    <t>5,6</t>
  </si>
  <si>
    <t>8.12,9</t>
  </si>
  <si>
    <t>2.9 x 2.8,3 x 3</t>
  </si>
  <si>
    <t>0.8,1.45</t>
  </si>
  <si>
    <t>ACTIVE</t>
  </si>
  <si>
    <t>1.875-V Output, 300-mA, 95% Efficient Step-Down Converter in SOT-23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</si>
  <si>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</si>
  <si>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</si>
  <si>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</si>
  <si>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</si>
  <si>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</si>
  <si>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</si>
  <si>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</si>
  <si>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</si>
  <si>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15 A 12-V Input Bus Termination Power Module for DDR/QDR Memory</t>
  </si>
  <si>
    <t>Power modules (integrated inductor)</t>
  </si>
  <si>
    <t>Catalog</t>
  </si>
  <si>
    <t>Synchronous Buck</t>
  </si>
  <si>
    <t>DIPMODULE</t>
  </si>
  <si>
    <t/>
  </si>
  <si>
    <t>-40 to 85</t>
  </si>
  <si>
    <t>600.1756,600.846</t>
  </si>
  <si>
    <t>35.81 x 16.76,35.85 x 16.76</t>
  </si>
  <si>
    <t>ACTIVE</t>
  </si>
  <si>
    <t>6 A, 12-V Input Non-Isolated DDR/QDR Memory Bus Termination Module</t>
  </si>
  <si>
    <t>Power modules (integrated inductor)</t>
  </si>
  <si>
    <t>Catalog</t>
  </si>
  <si>
    <t>Buck,Synchronous Buck</t>
  </si>
  <si>
    <t>DIPMODULE</t>
  </si>
  <si>
    <t/>
  </si>
  <si>
    <t>-40 to 85</t>
  </si>
  <si>
    <t>23.12 x 13.59</t>
  </si>
  <si>
    <t>ACTIVE</t>
  </si>
  <si>
    <t>10-A, 12-V Input bus termination power module for DDR/QDR memory</t>
  </si>
  <si>
    <t>Power modules (integrated inductor)</t>
  </si>
  <si>
    <t>Catalog</t>
  </si>
  <si>
    <t>Buck</t>
  </si>
  <si>
    <t>DIPMODULE</t>
  </si>
  <si>
    <t/>
  </si>
  <si>
    <t>-40 to 85</t>
  </si>
  <si>
    <t>26.29 x 16.76</t>
  </si>
  <si>
    <t>ACTIVE</t>
  </si>
  <si>
    <t>2.8-V to 5.5-V, 120-m&amp;Omega;, 0.75-A, power mux with manual and automatic switchover</t>
  </si>
  <si>
    <t>Power muxes</t>
  </si>
  <si>
    <t>Catalog</t>
  </si>
  <si>
    <t>TSSOP</t>
  </si>
  <si>
    <t/>
  </si>
  <si>
    <t>-40 to 85</t>
  </si>
  <si>
    <t>3 x 6.4</t>
  </si>
  <si>
    <t>ACTIVE</t>
  </si>
  <si>
    <t>2.8-V to 5.5-V, 84-m&amp;Omega;, 1.25-A, power mux with manual and automatic switchover</t>
  </si>
  <si>
    <t>Power muxes</t>
  </si>
  <si>
    <t>Catalog</t>
  </si>
  <si>
    <t>TSSOP</t>
  </si>
  <si>
    <t/>
  </si>
  <si>
    <t>-40 to 85</t>
  </si>
  <si>
    <t>3 x 6.4</t>
  </si>
  <si>
    <t>ACTIVE</t>
  </si>
  <si>
    <t>2.8-V to 5.5-V, 120-m&amp;Omega;, 0.75-A, power mux with automatic switchover and status output</t>
  </si>
  <si>
    <t>Power muxes</t>
  </si>
  <si>
    <t>Catalog</t>
  </si>
  <si>
    <t>TSSOP</t>
  </si>
  <si>
    <t/>
  </si>
  <si>
    <t>-40 to 85</t>
  </si>
  <si>
    <t>3 x 6.4</t>
  </si>
  <si>
    <t>ACTIVE</t>
  </si>
  <si>
    <t>2.8-V to 5.5-V, 84-m&amp;Omega;, 1.25-A, power mux with automatic switchover and status output</t>
  </si>
  <si>
    <t>Power muxes</t>
  </si>
  <si>
    <t>Catalog</t>
  </si>
  <si>
    <t>TSSOP,VSON</t>
  </si>
  <si>
    <t/>
  </si>
  <si>
    <t>-40 to 85</t>
  </si>
  <si>
    <t>9,19.2</t>
  </si>
  <si>
    <t>3 x 3,3 x 6.4</t>
  </si>
  <si>
    <t>1,1.2</t>
  </si>
  <si>
    <t>ACTIVE</t>
  </si>
  <si>
    <t>2.8-V to 5.5-V, 120-m&amp;Omega;, 0.75-A, power mux with manual, automatic switchover and status outp</t>
  </si>
  <si>
    <t>Power muxes</t>
  </si>
  <si>
    <t>Catalog</t>
  </si>
  <si>
    <t>TSSOP</t>
  </si>
  <si>
    <t/>
  </si>
  <si>
    <t>-40 to 85</t>
  </si>
  <si>
    <t>3 x 6.4</t>
  </si>
  <si>
    <t>ACTIVE</t>
  </si>
  <si>
    <t>2.8-V to 5.5-V, 84-m&amp;Omega;, 1.25-A, power mux with manual, automatic switchover and status outpu</t>
  </si>
  <si>
    <t>Power muxes</t>
  </si>
  <si>
    <t>Catalog</t>
  </si>
  <si>
    <t>TSSOP,VSON</t>
  </si>
  <si>
    <t/>
  </si>
  <si>
    <t>-40 to 85</t>
  </si>
  <si>
    <t>9,19.2</t>
  </si>
  <si>
    <t>3 x 3,3 x 6.4</t>
  </si>
  <si>
    <t>1,1.2</t>
  </si>
  <si>
    <t>ACTIVE</t>
  </si>
  <si>
    <t>2.2-V to 16-V, voltage mode synchronous buck controller with adjustable soft start</t>
  </si>
  <si>
    <t>AC/DC &amp; DC/DC controllers (external FET)</t>
  </si>
  <si>
    <t>Catalog</t>
  </si>
  <si>
    <t>Buck</t>
  </si>
  <si>
    <t>TSSOP</t>
  </si>
  <si>
    <t/>
  </si>
  <si>
    <t>-40 to 125</t>
  </si>
  <si>
    <t>5 x 6.4</t>
  </si>
  <si>
    <t>ACTIVE</t>
  </si>
  <si>
    <t>1.5-A, low-VIN (0.915-V), ultra-low-dropout voltage regulator with enable</t>
  </si>
  <si>
    <t>Linear &amp; low-dropout (LDO) regulators</t>
  </si>
  <si>
    <t>Catalog</t>
  </si>
  <si>
    <t>TO-220,TO-263</t>
  </si>
  <si>
    <t/>
  </si>
  <si>
    <t>-40 to 125</t>
  </si>
  <si>
    <t>45.212,154.8384</t>
  </si>
  <si>
    <t>10.16 x 15.24,10.16 x 4.45</t>
  </si>
  <si>
    <t>4.7,4.83</t>
  </si>
  <si>
    <t>ACTIVE</t>
  </si>
  <si>
    <t>3-A, low-VIN (1.01-V), ultra-low-dropout voltage regulator with enable</t>
  </si>
  <si>
    <t>Linear &amp; low-dropout (LDO) regulators</t>
  </si>
  <si>
    <t>Catalog</t>
  </si>
  <si>
    <t>TO-220,TO-263</t>
  </si>
  <si>
    <t/>
  </si>
  <si>
    <t>-40 to 125</t>
  </si>
  <si>
    <t>45.212,154.8384</t>
  </si>
  <si>
    <t>10.16 x 15.24,10.16 x 4.45</t>
  </si>
  <si>
    <t>4.7,4.83</t>
  </si>
  <si>
    <t>ACTIVE</t>
  </si>
  <si>
    <t>3-ch, 0.5A loading, 2.7-5.5V, 70mΩ USB power switch, active-high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</si>
  <si>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</si>
  <si>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</si>
  <si>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</si>
  <si>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</si>
  <si>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</si>
  <si>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</si>
  <si>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</si>
  <si>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High Efficiency Switched Capacitor Step-Down DC/DC Regulator with Sleep Mode</t>
  </si>
  <si>
    <t>AC/DC &amp; DC/DC converters (integrated FET)</t>
  </si>
  <si>
    <t>Catalog</t>
  </si>
  <si>
    <t>WSON</t>
  </si>
  <si>
    <t/>
  </si>
  <si>
    <t>-30 to 105</t>
  </si>
  <si>
    <t>3 x 3</t>
  </si>
  <si>
    <t>ACTIVE</t>
  </si>
  <si>
    <t>9.5-95V Wide Vin, 350mA Constant On-Time Non-Synchronous Buck Regulator</t>
  </si>
  <si>
    <t>AC/DC &amp; DC/DC converters (integrated FET)</t>
  </si>
  <si>
    <t>Catalog</t>
  </si>
  <si>
    <t>Buck</t>
  </si>
  <si>
    <t>VSSOP,WSON</t>
  </si>
  <si>
    <t/>
  </si>
  <si>
    <t>-40 to 125</t>
  </si>
  <si>
    <t>14.7,16</t>
  </si>
  <si>
    <t>3 x 4.9,4 x 4</t>
  </si>
  <si>
    <t>0.8,1.1</t>
  </si>
  <si>
    <t>0.65,0.8</t>
  </si>
  <si>
    <t>ACTIVE</t>
  </si>
  <si>
    <t>Multi-Channel 1-cell Li-Ion PMIC USB/AC Charger, 2DC/DC, 2 LDOs, I2C interface in QFN-48</t>
  </si>
  <si>
    <t>Multi-channel ICs (PMICs)</t>
  </si>
  <si>
    <t>Catalog</t>
  </si>
  <si>
    <t>VQFN</t>
  </si>
  <si>
    <t/>
  </si>
  <si>
    <t>-40 to 85</t>
  </si>
  <si>
    <t>7 x 7</t>
  </si>
  <si>
    <t>ACTIVE</t>
  </si>
  <si>
    <t>75V, Secondary Side Post Regulator/ Synchronous Buck Controller</t>
  </si>
  <si>
    <t>AC/DC &amp; DC/DC controllers (external FET)</t>
  </si>
  <si>
    <t>Catalog</t>
  </si>
  <si>
    <t>Buck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</si>
  <si>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</si>
  <si>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</si>
  <si>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</si>
  <si>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</si>
  <si>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</si>
  <si>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</si>
  <si>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</si>
  <si>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</si>
  <si>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Dual-display white LED driver with 3/2x switched capacitor Boost</t>
  </si>
  <si>
    <t>Backlight LED drivers</t>
  </si>
  <si>
    <t>Catalog</t>
  </si>
  <si>
    <t>Boost</t>
  </si>
  <si>
    <t>DSBGA</t>
  </si>
  <si>
    <t/>
  </si>
  <si>
    <t>-30 to 85</t>
  </si>
  <si>
    <t>2.482 x 2.25</t>
  </si>
  <si>
    <t>ACTIVE</t>
  </si>
  <si>
    <t>Automotive dual-processor supervisors with power-fail</t>
  </si>
  <si>
    <t>Reset &amp; watchdog ICs</t>
  </si>
  <si>
    <t>Automotive</t>
  </si>
  <si>
    <t>SOIC</t>
  </si>
  <si>
    <t/>
  </si>
  <si>
    <t>-40 to 125</t>
  </si>
  <si>
    <t>4.9 x 6</t>
  </si>
  <si>
    <t>ACTIVE</t>
  </si>
  <si>
    <t>Multi-Channel 1-cell Li-Ion Power PMIC USB/AC Charger, 2DC/DC, 2 LDOs, I2C interface in QFN-48</t>
  </si>
  <si>
    <t>Multi-channel ICs (PMICs)</t>
  </si>
  <si>
    <t>Catalog</t>
  </si>
  <si>
    <t>VQFN</t>
  </si>
  <si>
    <t/>
  </si>
  <si>
    <t>-40 to 85</t>
  </si>
  <si>
    <t>7 x 7</t>
  </si>
  <si>
    <t>ACTIVE</t>
  </si>
  <si>
    <t>Automotive 1-A, 10-V, dual-channel low-dropout voltage regulator with enable</t>
  </si>
  <si>
    <t>Linear &amp; low-dropout (LDO) regulators</t>
  </si>
  <si>
    <t>Automotive</t>
  </si>
  <si>
    <t>HTSSOP</t>
  </si>
  <si>
    <t/>
  </si>
  <si>
    <t>-40 to 125</t>
  </si>
  <si>
    <t>9.7 x 6.4</t>
  </si>
  <si>
    <t>ACTIVE</t>
  </si>
  <si>
    <t>Class 3 PoE PD with flyback DC-DC controller with adjustable UVLO</t>
  </si>
  <si>
    <t>Powered devices</t>
  </si>
  <si>
    <t>Catalog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</si>
  <si>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</si>
  <si>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</si>
  <si>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</si>
  <si>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</si>
  <si>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</si>
  <si>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</si>
  <si>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</si>
  <si>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</si>
  <si>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Wide Input (8V-40V) up to 1MHz Frequency Synchronous Buck Controller, source/sink</t>
  </si>
  <si>
    <t>AC/DC &amp; DC/DC controllers (external FET)</t>
  </si>
  <si>
    <t>Catalog</t>
  </si>
  <si>
    <t>Buck Controller</t>
  </si>
  <si>
    <t>HTSSOP</t>
  </si>
  <si>
    <t/>
  </si>
  <si>
    <t>-40 to 85</t>
  </si>
  <si>
    <t>5 x 6.4</t>
  </si>
  <si>
    <t>ACTIVE</t>
  </si>
  <si>
    <t>Wide Input (8V-40V) up to 1MHz Frequency Synchronous Buck Controller, source/sink with prebias</t>
  </si>
  <si>
    <t>AC/DC &amp; DC/DC controllers (external FET)</t>
  </si>
  <si>
    <t>Catalog</t>
  </si>
  <si>
    <t>Buck Controller</t>
  </si>
  <si>
    <t>HTSSOP</t>
  </si>
  <si>
    <t/>
  </si>
  <si>
    <t>-40 to 85</t>
  </si>
  <si>
    <t>5 x 6.4</t>
  </si>
  <si>
    <t>ACTIVE</t>
  </si>
  <si>
    <t>Low-Voltage SOT23 Synchronous Buck Controller With No External Compensation</t>
  </si>
  <si>
    <t>AC/DC &amp; DC/DC controllers (external FET)</t>
  </si>
  <si>
    <t>Catalog</t>
  </si>
  <si>
    <t>SOT-23</t>
  </si>
  <si>
    <t/>
  </si>
  <si>
    <t>-40 to 125</t>
  </si>
  <si>
    <t>2.9 x 2.8</t>
  </si>
  <si>
    <t>ACTIVE</t>
  </si>
  <si>
    <t>Miniature Step-Down DC-DC Converter for Ultra Low Voltage Circuits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</si>
  <si>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</si>
  <si>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</si>
  <si>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</si>
  <si>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</si>
  <si>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</si>
  <si>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</si>
  <si>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</si>
  <si>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</si>
  <si>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High voltage high side and low side gate driver</t>
  </si>
  <si>
    <t>Half-bridge drivers</t>
  </si>
  <si>
    <t>Catalog</t>
  </si>
  <si>
    <t>SOIC</t>
  </si>
  <si>
    <t/>
  </si>
  <si>
    <t xml:space="preserve"> to </t>
  </si>
  <si>
    <t>4.9 x 6</t>
  </si>
  <si>
    <t>ACTIVE</t>
  </si>
  <si>
    <t>2-A, 100-V half bridge gate driver with 8-V UVLO and programmable delay</t>
  </si>
  <si>
    <t>Half-bridge drivers</t>
  </si>
  <si>
    <t>Catalog</t>
  </si>
  <si>
    <t>VSSOP,WSON</t>
  </si>
  <si>
    <t/>
  </si>
  <si>
    <t>-40 to 125</t>
  </si>
  <si>
    <t>14.7,16</t>
  </si>
  <si>
    <t>3 x 4.9,4 x 4</t>
  </si>
  <si>
    <t>0.8,1.1</t>
  </si>
  <si>
    <t>0.5,0.8</t>
  </si>
  <si>
    <t>ACTIVE</t>
  </si>
  <si>
    <t>2-A, 100-V half bridge gate driver with 8-V UVLO and adaptive delay</t>
  </si>
  <si>
    <t>Half-bridge drivers</t>
  </si>
  <si>
    <t>Catalog</t>
  </si>
  <si>
    <t>SOIC,WSON</t>
  </si>
  <si>
    <t/>
  </si>
  <si>
    <t>-40 to 125</t>
  </si>
  <si>
    <t>8,10</t>
  </si>
  <si>
    <t>16,29.4</t>
  </si>
  <si>
    <t>4 x 4,4.9 x 6</t>
  </si>
  <si>
    <t>0.8,1.75</t>
  </si>
  <si>
    <t>0.8,1.27</t>
  </si>
  <si>
    <t>ACTIVE</t>
  </si>
  <si>
    <t>Single-Channel Voltage Detector</t>
  </si>
  <si>
    <t>Reset &amp; watchdog ICs</t>
  </si>
  <si>
    <t>HiRel Enhanced Product</t>
  </si>
  <si>
    <t>SOT-SC70</t>
  </si>
  <si>
    <t/>
  </si>
  <si>
    <t>-55 to 125</t>
  </si>
  <si>
    <t>2 x 2.1</t>
  </si>
  <si>
    <t>ACTIVE</t>
  </si>
  <si>
    <t>1.2 to 5.5 V 6-A, 12-V Input Non-Isolated Wide-Adjust Module</t>
  </si>
  <si>
    <t>Power modules (integrated inductor)</t>
  </si>
  <si>
    <t>Catalog</t>
  </si>
  <si>
    <t>Buck</t>
  </si>
  <si>
    <t>DIPMODULE</t>
  </si>
  <si>
    <t/>
  </si>
  <si>
    <t>-40 to 85</t>
  </si>
  <si>
    <t>23.12 x 13.59</t>
  </si>
  <si>
    <t>ACTIVE</t>
  </si>
  <si>
    <t>1.25-V, 20-ppm/°C max, 100-µA, 3-pin SOT-23 series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</si>
  <si>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</si>
  <si>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</si>
  <si>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</si>
  <si>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</si>
  <si>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</si>
  <si>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</si>
  <si>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</si>
  <si>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2-V, 20-ppm/°C max, 100-µA, 3-pin SOT-23 series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</si>
  <si>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</si>
  <si>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</si>
  <si>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</si>
  <si>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</si>
  <si>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</si>
  <si>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</si>
  <si>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</si>
  <si>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2.5-V, 20-ppm/°C max, 100-µA, 3-pin SOT-23 series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</si>
  <si>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</si>
  <si>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</si>
  <si>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</si>
  <si>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</si>
  <si>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</si>
  <si>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</si>
  <si>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</si>
  <si>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3-V, 20-ppm/°C max, 100-µA, 3-pin SOT-23 series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</si>
  <si>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</si>
  <si>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</si>
  <si>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</si>
  <si>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</si>
  <si>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</si>
  <si>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</si>
  <si>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</si>
  <si>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3.3-V, 20-ppm/°C max, 100-µA, 3-pin SOT-23 series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</si>
  <si>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</si>
  <si>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</si>
  <si>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</si>
  <si>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</si>
  <si>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</si>
  <si>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</si>
  <si>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</si>
  <si>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4-V, 20-ppm/°C max, 100-µA, 3-pin SOT-23 series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</si>
  <si>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</si>
  <si>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</si>
  <si>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</si>
  <si>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</si>
  <si>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</si>
  <si>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</si>
  <si>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</si>
  <si>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Automotive, single-channel voltage detectors</t>
  </si>
  <si>
    <t>Reset &amp; watchdog ICs</t>
  </si>
  <si>
    <t>Automotive</t>
  </si>
  <si>
    <t>SOT-SC70</t>
  </si>
  <si>
    <t/>
  </si>
  <si>
    <t>-40 to 125</t>
  </si>
  <si>
    <t>2 x 2.1</t>
  </si>
  <si>
    <t>ACTIVE</t>
  </si>
  <si>
    <t>Enhanced Product Dual Voltage Detectors</t>
  </si>
  <si>
    <t>Reset &amp; watchdog ICs</t>
  </si>
  <si>
    <t>HiRel Enhanced Product</t>
  </si>
  <si>
    <t>SOT-SC70</t>
  </si>
  <si>
    <t/>
  </si>
  <si>
    <t>-55 to 125</t>
  </si>
  <si>
    <t>2 x 2.1</t>
  </si>
  <si>
    <t>ACTIVE</t>
  </si>
  <si>
    <t>Automotive, dual-rail (adjustable or 3.3-V system) voltage detector</t>
  </si>
  <si>
    <t>Reset &amp; watchdog ICs</t>
  </si>
  <si>
    <t>Automotive</t>
  </si>
  <si>
    <t>SOT-SC70</t>
  </si>
  <si>
    <t/>
  </si>
  <si>
    <t>-40 to 125</t>
  </si>
  <si>
    <t>2 x 2.1</t>
  </si>
  <si>
    <t>ACTIVE</t>
  </si>
  <si>
    <t>2-ch, 1A loading, 1.5A ILIMIT, 2.7-5.5V, 70mΩ USB power switch, active-low</t>
  </si>
  <si>
    <t>USB power switches &amp; charging port controllers</t>
  </si>
  <si>
    <t>Catalog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</si>
  <si>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</si>
  <si>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</si>
  <si>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</si>
  <si>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</si>
  <si>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</si>
  <si>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</si>
  <si>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</si>
  <si>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</si>
  <si>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2-ch, 1A loading, 1.5A ILIMIT, 2.7-5.5V, 70mΩ USB power switch, active-high</t>
  </si>
  <si>
    <t>USB power switches &amp; charging port controllers</t>
  </si>
  <si>
    <t>Catalog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</si>
  <si>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</si>
  <si>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</si>
  <si>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</si>
  <si>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</si>
  <si>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</si>
  <si>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</si>
  <si>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</si>
  <si>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</si>
  <si>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9-V to 80-V hot swap controller with power limiting and latch off</t>
  </si>
  <si>
    <t>Hot-swap controllers</t>
  </si>
  <si>
    <t>Catalog</t>
  </si>
  <si>
    <t>VSSOP</t>
  </si>
  <si>
    <t/>
  </si>
  <si>
    <t>-40 to 85</t>
  </si>
  <si>
    <t>3 x 4.9</t>
  </si>
  <si>
    <t>ACTIVE</t>
  </si>
  <si>
    <t>9-V to 80-V hot swap controller with power limiting and Auto Retry</t>
  </si>
  <si>
    <t>Hot-swap controllers</t>
  </si>
  <si>
    <t>Catalog</t>
  </si>
  <si>
    <t>VSSOP</t>
  </si>
  <si>
    <t/>
  </si>
  <si>
    <t>-40 to 85</t>
  </si>
  <si>
    <t>3 x 4.9</t>
  </si>
  <si>
    <t>ACTIVE</t>
  </si>
  <si>
    <t>0.5A loading, ±25% ILIMIT accuracy, 2.7-5.5V, 70mΩ USB power switch, active-low</t>
  </si>
  <si>
    <t>USB power switches &amp; charging port controllers</t>
  </si>
  <si>
    <t>Catalog</t>
  </si>
  <si>
    <t>HVSSOP,SOIC,SOT-23</t>
  </si>
  <si>
    <t/>
  </si>
  <si>
    <t>-40 to 125</t>
  </si>
  <si>
    <t>5,8</t>
  </si>
  <si>
    <t>8.12,14.7,29.4</t>
  </si>
  <si>
    <t>2.9 x 2.8,3 x 4.9,4.9 x 6</t>
  </si>
  <si>
    <t>1.1,1.45,1.75</t>
  </si>
  <si>
    <t>0.65,0.95,1.27</t>
  </si>
  <si>
    <t>ACTIVE</t>
  </si>
  <si>
    <t>4-ch, 0.5A loading, 2.7-5.5V, 70mΩ USB power switch, active-low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</si>
  <si>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</si>
  <si>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</si>
  <si>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</si>
  <si>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</si>
  <si>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</si>
  <si>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</si>
  <si>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</si>
  <si>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TPS61043: constant current LED driver</t>
  </si>
  <si>
    <t>Backlight LED drivers</t>
  </si>
  <si>
    <t>Catalog</t>
  </si>
  <si>
    <t>Boost</t>
  </si>
  <si>
    <t>VSON</t>
  </si>
  <si>
    <t/>
  </si>
  <si>
    <t>-40 to 85</t>
  </si>
  <si>
    <t>3 x 3</t>
  </si>
  <si>
    <t>ACTIVE</t>
  </si>
  <si>
    <t>Space-grade QMLV 2.5-V &amp;nbsp;shunt voltage reference</t>
  </si>
  <si>
    <t>Shunt voltage references</t>
  </si>
  <si>
    <t>Space</t>
  </si>
  <si>
    <t>TO-CAN</t>
  </si>
  <si>
    <t/>
  </si>
  <si>
    <t>-55 to 125</t>
  </si>
  <si>
    <t>6.41 x 5.44</t>
  </si>
  <si>
    <t>ACTIVE</t>
  </si>
  <si>
    <t>Enhanced Product Dual Output Two-Phase Synchronous Buck Dc/Dc Controller</t>
  </si>
  <si>
    <t>AC/DC &amp; DC/DC controllers (external FET)</t>
  </si>
  <si>
    <t>HiRel Enhanced Product</t>
  </si>
  <si>
    <t>Buck</t>
  </si>
  <si>
    <t>TSSOP</t>
  </si>
  <si>
    <t/>
  </si>
  <si>
    <t>-55 to 125</t>
  </si>
  <si>
    <t>7.8 x 6.4</t>
  </si>
  <si>
    <t>ACTIVE</t>
  </si>
  <si>
    <t>Regulated 2X, 1.5X Switched capacitor White LED driver</t>
  </si>
  <si>
    <t>RGB LED drivers</t>
  </si>
  <si>
    <t>Catalog</t>
  </si>
  <si>
    <t>Boost</t>
  </si>
  <si>
    <t>WSON</t>
  </si>
  <si>
    <t/>
  </si>
  <si>
    <t>-40 to 85</t>
  </si>
  <si>
    <t>3 x 3</t>
  </si>
  <si>
    <t>ACTIVE</t>
  </si>
  <si>
    <t>60-mA, 5.0-V, Buck/Boost Charge Pump in ThinSOT-23</t>
  </si>
  <si>
    <t>AC/DC &amp; DC/DC converters (integrated FET)</t>
  </si>
  <si>
    <t>Catalog</t>
  </si>
  <si>
    <t>SOT-23-THN,WSON</t>
  </si>
  <si>
    <t/>
  </si>
  <si>
    <t>-40 to 85</t>
  </si>
  <si>
    <t>4,8.12</t>
  </si>
  <si>
    <t>2 x 2,2.9 x 2.8</t>
  </si>
  <si>
    <t>0.8,1.1</t>
  </si>
  <si>
    <t>0.65,0.95</t>
  </si>
  <si>
    <t>ACTIVE</t>
  </si>
  <si>
    <t>16 channel RGB/White LED driver with independent string control via SMBUS/I2C</t>
  </si>
  <si>
    <t>RGB LED drivers</t>
  </si>
  <si>
    <t>Catalog</t>
  </si>
  <si>
    <t>Linear</t>
  </si>
  <si>
    <t>WQFN</t>
  </si>
  <si>
    <t/>
  </si>
  <si>
    <t>-40 to 85</t>
  </si>
  <si>
    <t>4 x 4</t>
  </si>
  <si>
    <t>ACTIVE</t>
  </si>
  <si>
    <t>RGB/White/Blue 8-LED Fun Light driver</t>
  </si>
  <si>
    <t>RGB LED drivers</t>
  </si>
  <si>
    <t>Catalog</t>
  </si>
  <si>
    <t>Linear</t>
  </si>
  <si>
    <t>WQFN</t>
  </si>
  <si>
    <t/>
  </si>
  <si>
    <t>-40 to 85</t>
  </si>
  <si>
    <t>4 x 4</t>
  </si>
  <si>
    <t>ACTIVE</t>
  </si>
  <si>
    <t>110-V active clamp current mode PWM controller with P-channel clamp FET and 0.75V CS threshold</t>
  </si>
  <si>
    <t>AC/DC &amp; DC/DC controllers (external FET)</t>
  </si>
  <si>
    <t>Catalog</t>
  </si>
  <si>
    <t>Active-clamp forward,Flyback,Forward</t>
  </si>
  <si>
    <t>SOIC,TSSOP</t>
  </si>
  <si>
    <t/>
  </si>
  <si>
    <t>-40 to 85</t>
  </si>
  <si>
    <t>32,59.4</t>
  </si>
  <si>
    <t>5 x 6.4,9.9 x 6</t>
  </si>
  <si>
    <t>1.2,1.75</t>
  </si>
  <si>
    <t>0.65,1.27</t>
  </si>
  <si>
    <t>ACTIVE</t>
  </si>
  <si>
    <t>110-V active clamp current mode PWM controller with N-channel clamp FET and 0.75V CS threshold</t>
  </si>
  <si>
    <t>AC/DC &amp; DC/DC controllers (external FET)</t>
  </si>
  <si>
    <t>Catalog</t>
  </si>
  <si>
    <t>Active-clamp forward,Flyback,Forward</t>
  </si>
  <si>
    <t>SOIC,TSSOP</t>
  </si>
  <si>
    <t/>
  </si>
  <si>
    <t>-40 to 105</t>
  </si>
  <si>
    <t>32,59.4</t>
  </si>
  <si>
    <t>5 x 6.4,9.9 x 6</t>
  </si>
  <si>
    <t>1.2,1.75</t>
  </si>
  <si>
    <t>0.65,1.27</t>
  </si>
  <si>
    <t>ACTIVE</t>
  </si>
  <si>
    <t>High frequency boost white LED driver with high-Speed PWM brightness control</t>
  </si>
  <si>
    <t>Backlight LED drivers</t>
  </si>
  <si>
    <t>Catalog</t>
  </si>
  <si>
    <t>Boost</t>
  </si>
  <si>
    <t>SOT-23-THN</t>
  </si>
  <si>
    <t/>
  </si>
  <si>
    <t>-40 to 85</t>
  </si>
  <si>
    <t>2.9 x 2.8</t>
  </si>
  <si>
    <t>ACTIVE</t>
  </si>
  <si>
    <t>4.5V to 20V Input, 3A Synchronous Step-Down Converter with Low-Side Gate Driver</t>
  </si>
  <si>
    <t>AC/DC &amp; DC/DC converters (integrated FET)</t>
  </si>
  <si>
    <t>Catalog</t>
  </si>
  <si>
    <t>Buck</t>
  </si>
  <si>
    <t>HTSSOP</t>
  </si>
  <si>
    <t/>
  </si>
  <si>
    <t>-40 to 150</t>
  </si>
  <si>
    <t>5 x 6.4</t>
  </si>
  <si>
    <t>ACTIVE</t>
  </si>
  <si>
    <t>4-A/4-A dual-channel gate driver with 5-V UVLO, enable, and inverting inputs</t>
  </si>
  <si>
    <t>Low-side drivers</t>
  </si>
  <si>
    <t>Catalog</t>
  </si>
  <si>
    <t>HVSSOP,PDIP,SOIC</t>
  </si>
  <si>
    <t/>
  </si>
  <si>
    <t>-40 to 105</t>
  </si>
  <si>
    <t>14.7,29.4,92.5083</t>
  </si>
  <si>
    <t>3 x 4.9,4.9 x 6,9.81 x 9.43</t>
  </si>
  <si>
    <t>1.1,1.75,5.08</t>
  </si>
  <si>
    <t>0.65,1.27,2.54</t>
  </si>
  <si>
    <t>ACTIVE</t>
  </si>
  <si>
    <t>4-A/4-A dual-channel gate driver with enable and 5-V IN handling</t>
  </si>
  <si>
    <t>Low-side drivers</t>
  </si>
  <si>
    <t>Catalog</t>
  </si>
  <si>
    <t>HVSSOP,PDIP,SOIC</t>
  </si>
  <si>
    <t/>
  </si>
  <si>
    <t>-40 to 105</t>
  </si>
  <si>
    <t>14.7,29.4,92.5083</t>
  </si>
  <si>
    <t>3 x 4.9,4.9 x 6,9.81 x 9.43</t>
  </si>
  <si>
    <t>1.1,1.75,5.08</t>
  </si>
  <si>
    <t>0.65,1.27,2.54</t>
  </si>
  <si>
    <t>ACTIVE</t>
  </si>
  <si>
    <t>4-A/4-A dual-channel gate driver with enable and inverting/non-inverting inputs</t>
  </si>
  <si>
    <t>Low-side drivers</t>
  </si>
  <si>
    <t>Catalog</t>
  </si>
  <si>
    <t>HVSSOP,PDIP,SOIC</t>
  </si>
  <si>
    <t/>
  </si>
  <si>
    <t>-40 to 105</t>
  </si>
  <si>
    <t>14.7,29.4,92.5083</t>
  </si>
  <si>
    <t>3 x 4.9,4.9 x 6,9.81 x 9.43</t>
  </si>
  <si>
    <t>1.1,1.75,5.08</t>
  </si>
  <si>
    <t>0.65,1.27,2.54</t>
  </si>
  <si>
    <t>ACTIVE</t>
  </si>
  <si>
    <t>1-µA, 3-pin SOT-23 10-ppm/°C shunt voltage reference</t>
  </si>
  <si>
    <t>Shunt voltage references</t>
  </si>
  <si>
    <t>Catalog</t>
  </si>
  <si>
    <t>SOT-23</t>
  </si>
  <si>
    <t/>
  </si>
  <si>
    <t>-40 to 125</t>
  </si>
  <si>
    <t>2.92 x 2.37</t>
  </si>
  <si>
    <t>ACTIVE</t>
  </si>
  <si>
    <t>0.05% 20-ppm/°C drift precision series voltage reference with shutdown enable</t>
  </si>
  <si>
    <t>Series voltage references</t>
  </si>
  <si>
    <t>Catalog</t>
  </si>
  <si>
    <t>SOT-23</t>
  </si>
  <si>
    <t/>
  </si>
  <si>
    <t>-40 to 125</t>
  </si>
  <si>
    <t>2.9 x 2.8</t>
  </si>
  <si>
    <t>ACTIVE</t>
  </si>
  <si>
    <t>200-mA, negative, adjustable low-dropout voltage regulator with enable</t>
  </si>
  <si>
    <t>Linear &amp; low-dropout (LDO) regulators</t>
  </si>
  <si>
    <t>Catalog</t>
  </si>
  <si>
    <t>SOT-23,SOT-23-THN,WSON</t>
  </si>
  <si>
    <t/>
  </si>
  <si>
    <t>-40 to 125</t>
  </si>
  <si>
    <t>5,6</t>
  </si>
  <si>
    <t>4,8.12</t>
  </si>
  <si>
    <t>2 x 2,2.9 x 2.8</t>
  </si>
  <si>
    <t>0.8,1.1,1.45</t>
  </si>
  <si>
    <t>0.65,0.95</t>
  </si>
  <si>
    <t>ACTIVE</t>
  </si>
  <si>
    <t>150-mA, high-accuracy, ultra-low-dropout voltage regulator with reverse current protection &amp;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</si>
  <si>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</si>
  <si>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</si>
  <si>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</si>
  <si>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</si>
  <si>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</si>
  <si>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</si>
  <si>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</si>
  <si>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250mA high-accuracy, ultra-low-dropout voltage regulator with reverse current protection and enable</t>
  </si>
  <si>
    <t>Linear &amp; low-dropout (LDO) regulators</t>
  </si>
  <si>
    <t>Catalog</t>
  </si>
  <si>
    <t>SOT-223,SOT-23,VSON</t>
  </si>
  <si>
    <t/>
  </si>
  <si>
    <t>-40 to 125</t>
  </si>
  <si>
    <t>5,6,8</t>
  </si>
  <si>
    <t>8.12,9,45.89</t>
  </si>
  <si>
    <t>2.9 x 2.8,3 x 3,6.5 x 7.06</t>
  </si>
  <si>
    <t>1,1.45,1.8</t>
  </si>
  <si>
    <t>0.65,0.95,1.27</t>
  </si>
  <si>
    <t>ACTIVE</t>
  </si>
  <si>
    <t>400mA high-accuracy ultra-low-dropout voltage regulator with reverse current protection and enable</t>
  </si>
  <si>
    <t>Linear &amp; low-dropout (LDO) regulators</t>
  </si>
  <si>
    <t>Catalog</t>
  </si>
  <si>
    <t>SOT-223,SOT-23,VSON</t>
  </si>
  <si>
    <t/>
  </si>
  <si>
    <t>-40 to 125</t>
  </si>
  <si>
    <t>5,6,8</t>
  </si>
  <si>
    <t>8.12,9,45.89</t>
  </si>
  <si>
    <t>2.9 x 2.8,3 x 3,6.5 x 7.06</t>
  </si>
  <si>
    <t>1,1.45,1.8</t>
  </si>
  <si>
    <t>0.65,0.95,1.27</t>
  </si>
  <si>
    <t>ACTIVE</t>
  </si>
  <si>
    <t>150-mA, low-noise, low-IQ, low-dropout voltage regulator with enable</t>
  </si>
  <si>
    <t>Linear &amp; low-dropout (LDO) regulators</t>
  </si>
  <si>
    <t>Catalog</t>
  </si>
  <si>
    <t>DSBGA,WSON</t>
  </si>
  <si>
    <t/>
  </si>
  <si>
    <t>-40 to 125</t>
  </si>
  <si>
    <t>4,6</t>
  </si>
  <si>
    <t>1.5625,5.5</t>
  </si>
  <si>
    <t>1.25 x 1.25,2.5 x 2.2</t>
  </si>
  <si>
    <t>0.295,0.675,0.8</t>
  </si>
  <si>
    <t>0.5,0.65</t>
  </si>
  <si>
    <t>ACTIVE</t>
  </si>
  <si>
    <t>16-channel LED driver with 20Mhz data transfer rate with dot correctionn</t>
  </si>
  <si>
    <t>LED display drivers</t>
  </si>
  <si>
    <t>Catalog</t>
  </si>
  <si>
    <t>HTSSOP</t>
  </si>
  <si>
    <t/>
  </si>
  <si>
    <t>-20 to 85</t>
  </si>
  <si>
    <t>11 x 8.1</t>
  </si>
  <si>
    <t>ACTIVE</t>
  </si>
  <si>
    <t>Adjustable, 400-mA, 95% Efficient Step-Down Converter, 15uA, ThinSOT-23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</si>
  <si>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</si>
  <si>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</si>
  <si>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</si>
  <si>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</si>
  <si>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</si>
  <si>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</si>
  <si>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</si>
  <si>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</si>
  <si>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1.5-V Output, 400-mA, 95% Efficient Step-Down Converter, 15uA, ThinSOT-23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</si>
  <si>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</si>
  <si>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</si>
  <si>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</si>
  <si>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</si>
  <si>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</si>
  <si>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</si>
  <si>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</si>
  <si>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</si>
  <si>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1.8-V Output, 400-mA, 95% Efficient Step-Down Converter, 15uA, ThinSOT-23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</si>
  <si>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</si>
  <si>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</si>
  <si>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</si>
  <si>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</si>
  <si>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</si>
  <si>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</si>
  <si>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</si>
  <si>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</si>
  <si>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1.6-V Output, 400-mA, 95% Efficient Step-Down Converter, 15uA, ThinSOT-23</t>
  </si>
  <si>
    <t>AC/DC &amp; DC/DC converters (integrated FET)</t>
  </si>
  <si>
    <t>Catalog</t>
  </si>
  <si>
    <t>Buck</t>
  </si>
  <si>
    <t>SOT-23-THN</t>
  </si>
  <si>
    <t/>
  </si>
  <si>
    <t>-40 to 85</t>
  </si>
  <si>
    <t>2.9 x 2.8</t>
  </si>
  <si>
    <t>ACTIVE</t>
  </si>
  <si>
    <t>Dual Interleaved PWM controller with Programmable max duty cycle 10V/8V UVLO</t>
  </si>
  <si>
    <t>AC/DC &amp; DC/DC controllers (external FET)</t>
  </si>
  <si>
    <t>Catalog</t>
  </si>
  <si>
    <t>Flyback,Forward</t>
  </si>
  <si>
    <t>SOIC,TSSOP</t>
  </si>
  <si>
    <t/>
  </si>
  <si>
    <t>-40 to 105</t>
  </si>
  <si>
    <t>32,59.4</t>
  </si>
  <si>
    <t>5 x 6.4,9.9 x 6</t>
  </si>
  <si>
    <t>1.2,1.75</t>
  </si>
  <si>
    <t>0.65,1.27</t>
  </si>
  <si>
    <t>ACTIVE</t>
  </si>
  <si>
    <t>Adjustable, 1.5-A Switch, 96% Efficient Boost Converter with Down-Mode, QFN-10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</si>
  <si>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</si>
  <si>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</si>
  <si>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</si>
  <si>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</si>
  <si>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</si>
  <si>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</si>
  <si>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</si>
  <si>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</si>
  <si>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3.0-V Output, 1.5-A Switch, 96% Efficient Boost Converter w/ LDO Down-Mode, QFN-10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</si>
  <si>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</si>
  <si>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</si>
  <si>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</si>
  <si>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</si>
  <si>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</si>
  <si>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</si>
  <si>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</si>
  <si>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</si>
  <si>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3.3-V Output, 1.5-A Switch, 96% Efficient Boost Converter w/ LDO Down-Mode, QFN-10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</si>
  <si>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</si>
  <si>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</si>
  <si>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</si>
  <si>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</si>
  <si>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</si>
  <si>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</si>
  <si>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</si>
  <si>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</si>
  <si>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5-V Output, 1.5-A Switch, 96% Efficient Boost Converter w/ LDO Down-Mode, QFN-10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</si>
  <si>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</si>
  <si>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</si>
  <si>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</si>
  <si>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</si>
  <si>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</si>
  <si>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</si>
  <si>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</si>
  <si>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</si>
  <si>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Enhanced Product Low Power Current Mode Push-Pull PWM</t>
  </si>
  <si>
    <t>AC/DC &amp; DC/DC controllers (external FET)</t>
  </si>
  <si>
    <t>HiRel Enhanced Product</t>
  </si>
  <si>
    <t>Push pull</t>
  </si>
  <si>
    <t>SOIC</t>
  </si>
  <si>
    <t/>
  </si>
  <si>
    <t>-40 to 125</t>
  </si>
  <si>
    <t>4.9 x 6</t>
  </si>
  <si>
    <t>ACTIVE</t>
  </si>
  <si>
    <t>Automotive 8.3V to 15V, 1A push-pull current mode PWM controller</t>
  </si>
  <si>
    <t>AC/DC &amp; DC/DC controllers (external FET)</t>
  </si>
  <si>
    <t>Automotive</t>
  </si>
  <si>
    <t>Push pull</t>
  </si>
  <si>
    <t>SOIC</t>
  </si>
  <si>
    <t>Functional Safety-Capable</t>
  </si>
  <si>
    <t>-40 to 125</t>
  </si>
  <si>
    <t>4.9 x 6</t>
  </si>
  <si>
    <t>ACTIVE</t>
  </si>
  <si>
    <t>Enhanced Product Low Power Current Mode Push-Pull PWM</t>
  </si>
  <si>
    <t>AC/DC &amp; DC/DC controllers (external FET)</t>
  </si>
  <si>
    <t>HiRel Enhanced Product</t>
  </si>
  <si>
    <t>Push pull</t>
  </si>
  <si>
    <t>SOIC</t>
  </si>
  <si>
    <t/>
  </si>
  <si>
    <t>-40 to 125</t>
  </si>
  <si>
    <t>4.9 x 6</t>
  </si>
  <si>
    <t>ACTIVE</t>
  </si>
  <si>
    <t>Automotive 4.1V to 15V, 1A push-pull current mode PWM controller</t>
  </si>
  <si>
    <t>AC/DC &amp; DC/DC controllers (external FET)</t>
  </si>
  <si>
    <t>Automotive</t>
  </si>
  <si>
    <t>Push pull</t>
  </si>
  <si>
    <t>SOIC</t>
  </si>
  <si>
    <t>Functional Safety-Capable</t>
  </si>
  <si>
    <t>-40 to 125</t>
  </si>
  <si>
    <t>4.9 x 6</t>
  </si>
  <si>
    <t>ACTIVE</t>
  </si>
  <si>
    <t>1.2 to 5.5 V 12-A, 12-V Input Non-Isolated Wide-Adjust Module</t>
  </si>
  <si>
    <t>Power modules (integrated inductor)</t>
  </si>
  <si>
    <t>Catalog</t>
  </si>
  <si>
    <t>Buck</t>
  </si>
  <si>
    <t>DIPMODULE</t>
  </si>
  <si>
    <t/>
  </si>
  <si>
    <t>-40 to 85</t>
  </si>
  <si>
    <t>600.1756,600.846</t>
  </si>
  <si>
    <t>35.81 x 16.76,35.85 x 16.76</t>
  </si>
  <si>
    <t>ACTIVE</t>
  </si>
  <si>
    <t>800-mA, ultra-low-dropout voltage regulator with enable</t>
  </si>
  <si>
    <t>Linear &amp; low-dropout (LDO) regulators</t>
  </si>
  <si>
    <t>Catalog</t>
  </si>
  <si>
    <t>HSOIC,TO-263</t>
  </si>
  <si>
    <t/>
  </si>
  <si>
    <t>-40 to 125</t>
  </si>
  <si>
    <t>5,8</t>
  </si>
  <si>
    <t>29.4,154.8384</t>
  </si>
  <si>
    <t>10.16 x 15.24,4.9 x 6</t>
  </si>
  <si>
    <t>1.7,4.83</t>
  </si>
  <si>
    <t>1.27,1.7</t>
  </si>
  <si>
    <t>ACTIVE</t>
  </si>
  <si>
    <t>1.5-A, ultra-low-dropout voltage regulator with enable</t>
  </si>
  <si>
    <t>Linear &amp; low-dropout (LDO) regulators</t>
  </si>
  <si>
    <t>Catalog</t>
  </si>
  <si>
    <t>HSOIC,TO-263</t>
  </si>
  <si>
    <t/>
  </si>
  <si>
    <t>-40 to 125</t>
  </si>
  <si>
    <t>5,8</t>
  </si>
  <si>
    <t>29.4,154.8384</t>
  </si>
  <si>
    <t>10.16 x 15.24,4.9 x 6</t>
  </si>
  <si>
    <t>1.7,4.83</t>
  </si>
  <si>
    <t>1.27,1.7</t>
  </si>
  <si>
    <t>ACTIVE</t>
  </si>
  <si>
    <t>3-A, low-dropout voltage regulator with enable</t>
  </si>
  <si>
    <t>Linear &amp; low-dropout (LDO) regulators</t>
  </si>
  <si>
    <t>Catalog</t>
  </si>
  <si>
    <t>TO-263</t>
  </si>
  <si>
    <t/>
  </si>
  <si>
    <t>-40 to 125</t>
  </si>
  <si>
    <t>10.16 x 15.24</t>
  </si>
  <si>
    <t>ACTIVE</t>
  </si>
  <si>
    <t>1.5-A, 7-V, adjustable ultra-low-dropout voltage regulator with enable</t>
  </si>
  <si>
    <t>Linear &amp; low-dropout (LDO) regulators</t>
  </si>
  <si>
    <t>Catalog</t>
  </si>
  <si>
    <t>SOT-223,TO-220,TO-263</t>
  </si>
  <si>
    <t/>
  </si>
  <si>
    <t>-40 to 125</t>
  </si>
  <si>
    <t>45.24,86.0552,154.8384</t>
  </si>
  <si>
    <t>10.16 x 15.24,10.16 x 8.47,6.5 x 6.96</t>
  </si>
  <si>
    <t>1.8,4.83,20.92</t>
  </si>
  <si>
    <t>1.5,1.7</t>
  </si>
  <si>
    <t>ACTIVE</t>
  </si>
  <si>
    <t>3-A, 7-V, adjustable ultra-low-dropout voltage regulator with enable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</si>
  <si>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</si>
  <si>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</si>
  <si>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</si>
  <si>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</si>
  <si>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</si>
  <si>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</si>
  <si>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</si>
  <si>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</si>
  <si>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</si>
  <si>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800-mA, 7-V, adjustable low-dropout voltage regulator with enable</t>
  </si>
  <si>
    <t>Linear &amp; low-dropout (LDO) regulators</t>
  </si>
  <si>
    <t>Catalog</t>
  </si>
  <si>
    <t>SOT-223,TO-263</t>
  </si>
  <si>
    <t/>
  </si>
  <si>
    <t>-40 to 125</t>
  </si>
  <si>
    <t>45.24,154.8384</t>
  </si>
  <si>
    <t>10.16 x 15.24,6.5 x 6.96</t>
  </si>
  <si>
    <t>1.8,4.83</t>
  </si>
  <si>
    <t>1.5,1.7</t>
  </si>
  <si>
    <t>ACTIVE</t>
  </si>
  <si>
    <t>1.5-A, adjustable low-dropout voltage regulator with enable</t>
  </si>
  <si>
    <t>Linear &amp; low-dropout (LDO) regulators</t>
  </si>
  <si>
    <t>Catalog</t>
  </si>
  <si>
    <t>SOT-223,TO-263</t>
  </si>
  <si>
    <t/>
  </si>
  <si>
    <t>-40 to 125</t>
  </si>
  <si>
    <t>45.24,154.8384</t>
  </si>
  <si>
    <t>10.16 x 15.24,6.5 x 6.96</t>
  </si>
  <si>
    <t>1.8,4.83</t>
  </si>
  <si>
    <t>1.5,1.7</t>
  </si>
  <si>
    <t>ACTIVE</t>
  </si>
  <si>
    <t>3-A, adjustable low-dropout voltage regulator with enable</t>
  </si>
  <si>
    <t>Linear &amp; low-dropout (LDO) regulators</t>
  </si>
  <si>
    <t>Catalog</t>
  </si>
  <si>
    <t>TO-263</t>
  </si>
  <si>
    <t/>
  </si>
  <si>
    <t>-40 to 125</t>
  </si>
  <si>
    <t>10.16 x 15.24</t>
  </si>
  <si>
    <t>ACTIVE</t>
  </si>
  <si>
    <t>13-100V Wide Vin, Current Mode PWM Boost, Flyback, Sepic Controller</t>
  </si>
  <si>
    <t>AC/DC &amp; DC/DC controllers (external FET)</t>
  </si>
  <si>
    <t>Catalog</t>
  </si>
  <si>
    <t>Boost,Flyback,Forward,SEPIC</t>
  </si>
  <si>
    <t>VSSOP,WSON</t>
  </si>
  <si>
    <t/>
  </si>
  <si>
    <t>-40 to 125</t>
  </si>
  <si>
    <t>14.7,16</t>
  </si>
  <si>
    <t>3 x 4.9,4 x 4</t>
  </si>
  <si>
    <t>0.8,1.1</t>
  </si>
  <si>
    <t>0.5,0.8</t>
  </si>
  <si>
    <t>ACTIVE</t>
  </si>
  <si>
    <t>3V to 18V Input, 0.75A Step-Down Converter with Light Load Efficiency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</si>
  <si>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</si>
  <si>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</si>
  <si>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</si>
  <si>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</si>
  <si>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</si>
  <si>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</si>
  <si>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</si>
  <si>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</si>
  <si>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1.8 to 6.5 V input, 350 kHz, 95% efficient step-down controller, 20 uA, SOT-23</t>
  </si>
  <si>
    <t>AC/DC &amp; DC/DC controllers (external FET)</t>
  </si>
  <si>
    <t>Catalog</t>
  </si>
  <si>
    <t>SOT-23</t>
  </si>
  <si>
    <t/>
  </si>
  <si>
    <t>-40 to 85</t>
  </si>
  <si>
    <t>2.9 x 2.8</t>
  </si>
  <si>
    <t>ACTIVE</t>
  </si>
  <si>
    <t>1.8 to 6.5 V input, 450 kHz, 95% efficient step-down controller, 20 uA, SOT-23</t>
  </si>
  <si>
    <t>AC/DC &amp; DC/DC controllers (external FET)</t>
  </si>
  <si>
    <t>Catalog</t>
  </si>
  <si>
    <t>SOT-23</t>
  </si>
  <si>
    <t/>
  </si>
  <si>
    <t>-40 to 85</t>
  </si>
  <si>
    <t>2.9 x 2.8</t>
  </si>
  <si>
    <t>ACTIVE</t>
  </si>
  <si>
    <t>1.8 to 6.5 V input, 550 kHz, 95% efficient step-down controller, 20 uA, SOT-23</t>
  </si>
  <si>
    <t>AC/DC &amp; DC/DC controllers (external FET)</t>
  </si>
  <si>
    <t>Catalog</t>
  </si>
  <si>
    <t>SOT-23</t>
  </si>
  <si>
    <t/>
  </si>
  <si>
    <t>-40 to 85</t>
  </si>
  <si>
    <t>2.9 x 2.8</t>
  </si>
  <si>
    <t>ACTIVE</t>
  </si>
  <si>
    <t>1.8 to 6.5 V input, 800 kHz, 95% efficient step-down controller, 20 uA, SOT-23</t>
  </si>
  <si>
    <t>AC/DC &amp; DC/DC controllers (external FET)</t>
  </si>
  <si>
    <t>Catalog</t>
  </si>
  <si>
    <t>SOT-23</t>
  </si>
  <si>
    <t/>
  </si>
  <si>
    <t>-40 to 85</t>
  </si>
  <si>
    <t>2.9 x 2.8</t>
  </si>
  <si>
    <t>ACTIVE</t>
  </si>
  <si>
    <t>300-mA, low-dropout voltage regulator with enable</t>
  </si>
  <si>
    <t>Linear &amp; low-dropout (LDO) regulators</t>
  </si>
  <si>
    <t>Catalog</t>
  </si>
  <si>
    <t>DSBGA</t>
  </si>
  <si>
    <t/>
  </si>
  <si>
    <t>-40 to 125</t>
  </si>
  <si>
    <t>1.25 x 1.25</t>
  </si>
  <si>
    <t>ACTIVE</t>
  </si>
  <si>
    <t>100-V push-pull current mode PWM controller</t>
  </si>
  <si>
    <t>AC/DC &amp; DC/DC controllers (external FET)</t>
  </si>
  <si>
    <t>Catalog</t>
  </si>
  <si>
    <t>Push pull</t>
  </si>
  <si>
    <t>VSSOP,WSON</t>
  </si>
  <si>
    <t/>
  </si>
  <si>
    <t>-40 to 125</t>
  </si>
  <si>
    <t>14.7,16</t>
  </si>
  <si>
    <t>3 x 4.9,4 x 4</t>
  </si>
  <si>
    <t>0.8,1.1</t>
  </si>
  <si>
    <t>0.5,0.8</t>
  </si>
  <si>
    <t>ACTIVE</t>
  </si>
  <si>
    <t>250-mA, low-dropout voltage regulator with power good &amp; enable</t>
  </si>
  <si>
    <t>Linear &amp; low-dropout (LDO) regulators</t>
  </si>
  <si>
    <t>Catalog</t>
  </si>
  <si>
    <t>VSSOP</t>
  </si>
  <si>
    <t/>
  </si>
  <si>
    <t>-40 to 125</t>
  </si>
  <si>
    <t>3 x 4.9</t>
  </si>
  <si>
    <t>ACTIVE</t>
  </si>
  <si>
    <t>-12-V to -80-V hot swap controller with Oring</t>
  </si>
  <si>
    <t>Hot-swap controllers</t>
  </si>
  <si>
    <t>Catalog</t>
  </si>
  <si>
    <t>SOIC,TSSOP</t>
  </si>
  <si>
    <t/>
  </si>
  <si>
    <t>-40 to 85</t>
  </si>
  <si>
    <t>32,51.9</t>
  </si>
  <si>
    <t>5 x 6.4,8.65 x 6</t>
  </si>
  <si>
    <t>1.2,1.75</t>
  </si>
  <si>
    <t>0.65,1.27</t>
  </si>
  <si>
    <t>ACTIVE</t>
  </si>
  <si>
    <t>50-V, 7-ch darlington transistor array, -40 to 105C</t>
  </si>
  <si>
    <t>Low-side switches</t>
  </si>
  <si>
    <t>Catalog</t>
  </si>
  <si>
    <t>PDIP,SOIC,SOP,TSSOP</t>
  </si>
  <si>
    <t/>
  </si>
  <si>
    <t>-40 to 105</t>
  </si>
  <si>
    <t>32,59.4,79.56,181.42</t>
  </si>
  <si>
    <t>10.2 x 7.8,19.3 x 9.4,5 x 6.4,9.9 x 6</t>
  </si>
  <si>
    <t>1.2,1.75,2,5.08</t>
  </si>
  <si>
    <t>0.65,1.27,2.54</t>
  </si>
  <si>
    <t>ACTIVE</t>
  </si>
  <si>
    <t>1.8Vin, 2A Switch, 96% Efficient Boost Converter</t>
  </si>
  <si>
    <t>AC/DC &amp; DC/DC converters (integrated FET)</t>
  </si>
  <si>
    <t>Catalog</t>
  </si>
  <si>
    <t>Boost</t>
  </si>
  <si>
    <t>VQFN</t>
  </si>
  <si>
    <t/>
  </si>
  <si>
    <t>-40 to 125</t>
  </si>
  <si>
    <t>4 x 4</t>
  </si>
  <si>
    <t>ACTIVE</t>
  </si>
  <si>
    <t>5-V Output, 500-mA, 96% Efficient Boost Converter, 20uA, QFN-16</t>
  </si>
  <si>
    <t>AC/DC &amp; DC/DC converters (integrated FET)</t>
  </si>
  <si>
    <t>Catalog</t>
  </si>
  <si>
    <t>Boost</t>
  </si>
  <si>
    <t>VQFN</t>
  </si>
  <si>
    <t/>
  </si>
  <si>
    <t>-40 to 125</t>
  </si>
  <si>
    <t>4 x 4</t>
  </si>
  <si>
    <t>ACTIVE</t>
  </si>
  <si>
    <t>Adjustable, 600-mA, 95% Efficient Step-Down Converter, 18uA, MSOP-10</t>
  </si>
  <si>
    <t>AC/DC &amp; DC/DC converters (integrated FET)</t>
  </si>
  <si>
    <t>Catalog</t>
  </si>
  <si>
    <t>Buck</t>
  </si>
  <si>
    <t>HVSSOP,VSON</t>
  </si>
  <si>
    <t/>
  </si>
  <si>
    <t>-40 to 85</t>
  </si>
  <si>
    <t>9,14.7</t>
  </si>
  <si>
    <t>3 x 3,3 x 4.9</t>
  </si>
  <si>
    <t>1,1.1</t>
  </si>
  <si>
    <t>ACTIVE</t>
  </si>
  <si>
    <t>Multi-Channel 1-Cell Li-Ion PMIC USB/AC Charger, 2DC/DC, 2 LDOs, I2C interface in QFN-48</t>
  </si>
  <si>
    <t>Multi-channel ICs (PMICs)</t>
  </si>
  <si>
    <t>Catalog</t>
  </si>
  <si>
    <t>VQFN</t>
  </si>
  <si>
    <t/>
  </si>
  <si>
    <t>-40 to 85</t>
  </si>
  <si>
    <t>7 x 7</t>
  </si>
  <si>
    <t>ACTIVE</t>
  </si>
  <si>
    <t>Adjustable, 1.2-A, 95% efficient step-down converter, 18 uA, MSOP-10 and QFN</t>
  </si>
  <si>
    <t>AC/DC &amp; DC/DC converters (integrated FET)</t>
  </si>
  <si>
    <t>Catalog</t>
  </si>
  <si>
    <t>Buck</t>
  </si>
  <si>
    <t>HVSSOP,VSON</t>
  </si>
  <si>
    <t/>
  </si>
  <si>
    <t>-40 to 85</t>
  </si>
  <si>
    <t>9,14.7</t>
  </si>
  <si>
    <t>3 x 3,3 x 4.9</t>
  </si>
  <si>
    <t>1,1.1</t>
  </si>
  <si>
    <t>ACTIVE</t>
  </si>
  <si>
    <t>1.5-V Output, 1.2-A, 95% Efficient Step-Down Converter, 18uA, MSOP-10</t>
  </si>
  <si>
    <t>AC/DC &amp; DC/DC converters (integrated FET)</t>
  </si>
  <si>
    <t>Catalog</t>
  </si>
  <si>
    <t>Buck</t>
  </si>
  <si>
    <t>HVSSOP,VSON</t>
  </si>
  <si>
    <t/>
  </si>
  <si>
    <t>-40 to 85</t>
  </si>
  <si>
    <t>9,14.7</t>
  </si>
  <si>
    <t>3 x 3,3 x 4.9</t>
  </si>
  <si>
    <t>1,1.1</t>
  </si>
  <si>
    <t>ACTIVE</t>
  </si>
  <si>
    <t>1.6-V Output, 1.2-A, 95% efficient step-down converter, 18 uA, MSOP-10 or QFN</t>
  </si>
  <si>
    <t>AC/DC &amp; DC/DC converters (integrated FET)</t>
  </si>
  <si>
    <t>Catalog</t>
  </si>
  <si>
    <t>Buck</t>
  </si>
  <si>
    <t>HVSSOP,VSON</t>
  </si>
  <si>
    <t/>
  </si>
  <si>
    <t>-40 to 85</t>
  </si>
  <si>
    <t>9,14.7</t>
  </si>
  <si>
    <t>3 x 3,3 x 4.9</t>
  </si>
  <si>
    <t>1,1.1</t>
  </si>
  <si>
    <t>ACTIVE</t>
  </si>
  <si>
    <t>1.8-V Output, 1.2-A, 95% Efficient Step-Down Converter, 18uA, MSOP-10</t>
  </si>
  <si>
    <t>AC/DC &amp; DC/DC converters (integrated FET)</t>
  </si>
  <si>
    <t>Catalog</t>
  </si>
  <si>
    <t>Buck</t>
  </si>
  <si>
    <t>HVSSOP,VSON</t>
  </si>
  <si>
    <t/>
  </si>
  <si>
    <t>-40 to 85</t>
  </si>
  <si>
    <t>9,14.7</t>
  </si>
  <si>
    <t>3 x 3,3 x 4.9</t>
  </si>
  <si>
    <t>1,1.1</t>
  </si>
  <si>
    <t>ACTIVE</t>
  </si>
  <si>
    <t>3.3-V Output, 1.2-A, 95% Efficient Step-Down Converter, 18uA, MSOP-10, QFN-10</t>
  </si>
  <si>
    <t>AC/DC &amp; DC/DC converters (integrated FET)</t>
  </si>
  <si>
    <t>Catalog</t>
  </si>
  <si>
    <t>Buck</t>
  </si>
  <si>
    <t>HVSSOP,VSON</t>
  </si>
  <si>
    <t/>
  </si>
  <si>
    <t>-40 to 85</t>
  </si>
  <si>
    <t>9,14.7</t>
  </si>
  <si>
    <t>3 x 3,3 x 4.9</t>
  </si>
  <si>
    <t>1,1.1</t>
  </si>
  <si>
    <t>ACTIVE</t>
  </si>
  <si>
    <t>Transition mode PFC controller with 12.5V/9.7V UVLO and IEC61000-3-2 compliance, -40&amp;deg;C to 105</t>
  </si>
  <si>
    <t>AC/DC &amp; DC/DC controllers (external FET)</t>
  </si>
  <si>
    <t>Catalog</t>
  </si>
  <si>
    <t>Boost,PFC controller</t>
  </si>
  <si>
    <t>PDIP,SOIC</t>
  </si>
  <si>
    <t/>
  </si>
  <si>
    <t>-40 to 105</t>
  </si>
  <si>
    <t>29.4,92.5083</t>
  </si>
  <si>
    <t>4.9 x 6,9.81 x 9.43</t>
  </si>
  <si>
    <t>1.75,5.08</t>
  </si>
  <si>
    <t>1.27,2.54</t>
  </si>
  <si>
    <t>ACTIVE</t>
  </si>
  <si>
    <t>4.5-36V, Current Mode Dual Synchronous Buck Controller with Oscillator Synchronization</t>
  </si>
  <si>
    <t>AC/DC &amp; DC/DC controllers (external FET)</t>
  </si>
  <si>
    <t>Catalog</t>
  </si>
  <si>
    <t>Buck Controller</t>
  </si>
  <si>
    <t>HTSSOP,TSSOP</t>
  </si>
  <si>
    <t/>
  </si>
  <si>
    <t>-40 to 125</t>
  </si>
  <si>
    <t>9.7 x 6.4</t>
  </si>
  <si>
    <t>ACTIVE</t>
  </si>
  <si>
    <t>1.8-A, 1.6-A 100-V half bridge gate driver with 8-V UVLO and programmable dead-time</t>
  </si>
  <si>
    <t>Half-bridge drivers</t>
  </si>
  <si>
    <t>Catalog</t>
  </si>
  <si>
    <t>WSON</t>
  </si>
  <si>
    <t/>
  </si>
  <si>
    <t>-40 to 125</t>
  </si>
  <si>
    <t>4 x 4</t>
  </si>
  <si>
    <t>ACTIVE</t>
  </si>
  <si>
    <t>Enhanced product, ultra-low noise, high PSRR, fast RF, 100-mA low-dropout linear regular</t>
  </si>
  <si>
    <t>Linear &amp; low-dropout (LDO) regulators</t>
  </si>
  <si>
    <t>HiRel Enhanced Product</t>
  </si>
  <si>
    <t>SOT-23</t>
  </si>
  <si>
    <t/>
  </si>
  <si>
    <t>-55 to 125</t>
  </si>
  <si>
    <t>2.9 x 2.8</t>
  </si>
  <si>
    <t>ACTIVE</t>
  </si>
  <si>
    <t>Automotive 200-mA, low-dropout voltage regulator with enable</t>
  </si>
  <si>
    <t>Linear &amp; low-dropout (LDO) regulators</t>
  </si>
  <si>
    <t>Automotive</t>
  </si>
  <si>
    <t>SOT-23</t>
  </si>
  <si>
    <t/>
  </si>
  <si>
    <t>-40 to 125</t>
  </si>
  <si>
    <t>5,6</t>
  </si>
  <si>
    <t>2.9 x 2.8</t>
  </si>
  <si>
    <t>ACTIVE</t>
  </si>
  <si>
    <t>Enhanced product, ultra-low noise, high PSRR, fast RF, 200-mA low-dropout linear regular</t>
  </si>
  <si>
    <t>Linear &amp; low-dropout (LDO) regulators</t>
  </si>
  <si>
    <t>HiRel Enhanced Product</t>
  </si>
  <si>
    <t>SOT-23</t>
  </si>
  <si>
    <t/>
  </si>
  <si>
    <t>-40 to 125</t>
  </si>
  <si>
    <t>2.9 x 2.8</t>
  </si>
  <si>
    <t>ACTIVE</t>
  </si>
  <si>
    <t>Enhanced product, ultra-low noise, high PSRR, fast RF, 200-mA low-dropout linear regular</t>
  </si>
  <si>
    <t>Linear &amp; low-dropout (LDO) regulators</t>
  </si>
  <si>
    <t>HiRel Enhanced Product</t>
  </si>
  <si>
    <t>SOT-23</t>
  </si>
  <si>
    <t/>
  </si>
  <si>
    <t>-40 to 125</t>
  </si>
  <si>
    <t>2.9 x 2.8</t>
  </si>
  <si>
    <t>ACTIVE</t>
  </si>
  <si>
    <t>Enhanced product, ultra-low noise, high PSRR, fast RF, 200-mA low-dropout linear regular</t>
  </si>
  <si>
    <t>Linear &amp; low-dropout (LDO) regulators</t>
  </si>
  <si>
    <t>HiRel Enhanced Product</t>
  </si>
  <si>
    <t>SOT-23</t>
  </si>
  <si>
    <t/>
  </si>
  <si>
    <t>-40 to 125</t>
  </si>
  <si>
    <t>2.9 x 2.8</t>
  </si>
  <si>
    <t>ACTIVE</t>
  </si>
  <si>
    <t>Enhanced product, ultra-low noise, high PSRR, fast RF, 200-mA low-dropout linear regular</t>
  </si>
  <si>
    <t>Linear &amp; low-dropout (LDO) regulators</t>
  </si>
  <si>
    <t>HiRel Enhanced Product</t>
  </si>
  <si>
    <t>SOT-23</t>
  </si>
  <si>
    <t/>
  </si>
  <si>
    <t>-40 to 125</t>
  </si>
  <si>
    <t>2.9 x 2.8</t>
  </si>
  <si>
    <t>ACTIVE</t>
  </si>
  <si>
    <t>30-V, 1-A, automotive 500KHz current mode PWM controller with 16V/10V UVLO 100% duty cycle</t>
  </si>
  <si>
    <t>AC/DC &amp; DC/DC controllers (external FET)</t>
  </si>
  <si>
    <t>Automotive</t>
  </si>
  <si>
    <t>Boost,Flyback,Forward</t>
  </si>
  <si>
    <t>SOIC</t>
  </si>
  <si>
    <t/>
  </si>
  <si>
    <t>-40 to 125</t>
  </si>
  <si>
    <t>8,14</t>
  </si>
  <si>
    <t>29.4,51.9</t>
  </si>
  <si>
    <t>4.9 x 6,8.65 x 6</t>
  </si>
  <si>
    <t>ACTIVE</t>
  </si>
  <si>
    <t>Automotive single ended 500KHz current mode PWM controller with 8.5V/7.9V UVLO 100% duty cycle</t>
  </si>
  <si>
    <t>AC/DC &amp; DC/DC controllers (external FET)</t>
  </si>
  <si>
    <t>Automotive</t>
  </si>
  <si>
    <t>Boost,Flyback,Forward</t>
  </si>
  <si>
    <t>SOIC</t>
  </si>
  <si>
    <t/>
  </si>
  <si>
    <t>-40 to 125</t>
  </si>
  <si>
    <t>8,14</t>
  </si>
  <si>
    <t>29.4,51.9</t>
  </si>
  <si>
    <t>4.9 x 6,8.65 x 6</t>
  </si>
  <si>
    <t>ACTIVE</t>
  </si>
  <si>
    <t>Automotive single ended 500KHz current mode PWM controller with 8.5V/7.9V UVLO 50% duty cycle</t>
  </si>
  <si>
    <t>AC/DC &amp; DC/DC controllers (external FET)</t>
  </si>
  <si>
    <t>Automotive</t>
  </si>
  <si>
    <t>Boost,Flyback,Forward</t>
  </si>
  <si>
    <t>SOIC</t>
  </si>
  <si>
    <t/>
  </si>
  <si>
    <t>-40 to 125</t>
  </si>
  <si>
    <t>8,14</t>
  </si>
  <si>
    <t>29.4,51.9</t>
  </si>
  <si>
    <t>4.9 x 6,8.65 x 6</t>
  </si>
  <si>
    <t>ACTIVE</t>
  </si>
  <si>
    <t>90V active clamp voltage mode PWM controller with P or N-channel clamp FET and 0.25V CS threshold</t>
  </si>
  <si>
    <t>AC/DC &amp; DC/DC controllers (external FET)</t>
  </si>
  <si>
    <t>Catalog</t>
  </si>
  <si>
    <t>Active-clamp forward,Forward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</si>
  <si>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</si>
  <si>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</si>
  <si>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</si>
  <si>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</si>
  <si>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</si>
  <si>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</si>
  <si>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</si>
  <si>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</si>
  <si>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Space-grade QMLV with isolated feedback generator</t>
  </si>
  <si>
    <t>AC/DC &amp; DC/DC controllers (external FET)</t>
  </si>
  <si>
    <t>Space</t>
  </si>
  <si>
    <t>CDIP</t>
  </si>
  <si>
    <t/>
  </si>
  <si>
    <t>-55 to 125</t>
  </si>
  <si>
    <t>19.56 x 6.67</t>
  </si>
  <si>
    <t>ACTIVE</t>
  </si>
  <si>
    <t>60-mA, 5.5V, Buck/boost Charge Pump in ThinSOT-23</t>
  </si>
  <si>
    <t>AC/DC &amp; DC/DC converters (integrated FET)</t>
  </si>
  <si>
    <t>Catalog</t>
  </si>
  <si>
    <t>SOT-23-THN</t>
  </si>
  <si>
    <t/>
  </si>
  <si>
    <t>-40 to 85</t>
  </si>
  <si>
    <t>2.9 x 2.8</t>
  </si>
  <si>
    <t>ACTIVE</t>
  </si>
  <si>
    <t>500-mA, 40-V, adjustable linear voltage regulator for automotive applications</t>
  </si>
  <si>
    <t>Linear &amp; low-dropout (LDO) regulators</t>
  </si>
  <si>
    <t>Automotive</t>
  </si>
  <si>
    <t>SOT-223</t>
  </si>
  <si>
    <t/>
  </si>
  <si>
    <t>-40 to 125</t>
  </si>
  <si>
    <t>6.5 x 7</t>
  </si>
  <si>
    <t>ACTIVE</t>
  </si>
  <si>
    <t>Automotive 1-A, 10-V, low-dropout voltage regulator with enable</t>
  </si>
  <si>
    <t>Linear &amp; low-dropout (LDO) regulators</t>
  </si>
  <si>
    <t>Automotive</t>
  </si>
  <si>
    <t>HTSSOP</t>
  </si>
  <si>
    <t/>
  </si>
  <si>
    <t>-40 to 125</t>
  </si>
  <si>
    <t>6.5 x 6.4</t>
  </si>
  <si>
    <t>ACTIVE</t>
  </si>
  <si>
    <t>Automotive 1-A, 10-V, low-dropout voltage regulator with power good &amp; enable</t>
  </si>
  <si>
    <t>Linear &amp; low-dropout (LDO) regulators</t>
  </si>
  <si>
    <t>Automotive</t>
  </si>
  <si>
    <t>HTSSOP</t>
  </si>
  <si>
    <t/>
  </si>
  <si>
    <t>-40 to 125</t>
  </si>
  <si>
    <t>6.5 x 6.4</t>
  </si>
  <si>
    <t>ACTIVE</t>
  </si>
  <si>
    <t>Automotive 500-mA, 10-V, low-dropout voltage regulator with enable &amp; RESET with delay</t>
  </si>
  <si>
    <t>Linear &amp; low-dropout (LDO) regulators</t>
  </si>
  <si>
    <t>Automotive</t>
  </si>
  <si>
    <t>HTSSOP</t>
  </si>
  <si>
    <t/>
  </si>
  <si>
    <t>-40 to 125</t>
  </si>
  <si>
    <t>6.5 x 6.4</t>
  </si>
  <si>
    <t>ACTIVE</t>
  </si>
  <si>
    <t>Automotive 500-mA, 10-V, low-dropout voltage regulator with power good &amp; enable</t>
  </si>
  <si>
    <t>Linear &amp; low-dropout (LDO) regulators</t>
  </si>
  <si>
    <t>Automotive</t>
  </si>
  <si>
    <t>HTSSOP</t>
  </si>
  <si>
    <t/>
  </si>
  <si>
    <t>-40 to 125</t>
  </si>
  <si>
    <t>6.5 x 6.4</t>
  </si>
  <si>
    <t>ACTIVE</t>
  </si>
  <si>
    <t>5-A/3-A dual channel gate driver with 4-V UVLO, dedicated input ground, and shutdown input</t>
  </si>
  <si>
    <t>Low-side drivers</t>
  </si>
  <si>
    <t>Catalog</t>
  </si>
  <si>
    <t>SOIC,WSON</t>
  </si>
  <si>
    <t/>
  </si>
  <si>
    <t>-40 to 125</t>
  </si>
  <si>
    <t>8,10</t>
  </si>
  <si>
    <t>16,29.4</t>
  </si>
  <si>
    <t>4 x 4,4.9 x 6</t>
  </si>
  <si>
    <t>0.8,1.75</t>
  </si>
  <si>
    <t>0.8,1.27</t>
  </si>
  <si>
    <t>ACTIVE</t>
  </si>
  <si>
    <t>Active-low voltage monitor with low quiescent current &amp; 2.5% threshold accuracy</t>
  </si>
  <si>
    <t>Reset &amp; watchdog ICs</t>
  </si>
  <si>
    <t>Catalog</t>
  </si>
  <si>
    <t>SOT-23</t>
  </si>
  <si>
    <t/>
  </si>
  <si>
    <t>-40 to 85</t>
  </si>
  <si>
    <t>2.9 x 2.8</t>
  </si>
  <si>
    <t>ACTIVE</t>
  </si>
  <si>
    <t>Active-low reset IC with low quiescent current &amp; programmable output delay</t>
  </si>
  <si>
    <t>Reset &amp; watchdog ICs</t>
  </si>
  <si>
    <t>Catalog</t>
  </si>
  <si>
    <t>SOT-23</t>
  </si>
  <si>
    <t/>
  </si>
  <si>
    <t>-40 to 85</t>
  </si>
  <si>
    <t>2.9 x 2.8</t>
  </si>
  <si>
    <t>ACTIVE</t>
  </si>
  <si>
    <t>Enhanced Product Low-Power Bicmos Current-Mode Pwm</t>
  </si>
  <si>
    <t>AC/DC &amp; DC/DC controllers (external FET)</t>
  </si>
  <si>
    <t>HiRel Enhanced Product</t>
  </si>
  <si>
    <t>Boost,Flyback,Forward</t>
  </si>
  <si>
    <t>SOIC</t>
  </si>
  <si>
    <t/>
  </si>
  <si>
    <t>-55 to 125</t>
  </si>
  <si>
    <t>4.9 x 6</t>
  </si>
  <si>
    <t>ACTIVE</t>
  </si>
  <si>
    <t>0.6/1.6 MHz Boost Converters With 22V Internal FET Switch in SOT-23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</si>
  <si>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</si>
  <si>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</si>
  <si>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</si>
  <si>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</si>
  <si>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</si>
  <si>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</si>
  <si>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</si>
  <si>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</si>
  <si>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1.5-A, 7-V, ultra-low-dropout voltage regulator with power good &amp; enable</t>
  </si>
  <si>
    <t>Linear &amp; low-dropout (LDO) regulators</t>
  </si>
  <si>
    <t>Catalog</t>
  </si>
  <si>
    <t>SOT-223,TO-220,TO-263</t>
  </si>
  <si>
    <t/>
  </si>
  <si>
    <t>-40 to 125</t>
  </si>
  <si>
    <t>45.24,86.0552,154.8384</t>
  </si>
  <si>
    <t>10.16 x 15.24,10.16 x 8.47,6.5 x 6.96</t>
  </si>
  <si>
    <t>1.8,4.83,20.92</t>
  </si>
  <si>
    <t>1.5,1.7</t>
  </si>
  <si>
    <t>ACTIVE</t>
  </si>
  <si>
    <t>3-A, 7-V, ultra-low-dropout voltage regulator with power good &amp; enable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</si>
  <si>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</si>
  <si>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</si>
  <si>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</si>
  <si>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</si>
  <si>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</si>
  <si>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</si>
  <si>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</si>
  <si>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</si>
  <si>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</si>
  <si>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1.5-A, 7-V, ultra-low-dropout voltage regulator with enable</t>
  </si>
  <si>
    <t>Linear &amp; low-dropout (LDO) regulators</t>
  </si>
  <si>
    <t>Catalog</t>
  </si>
  <si>
    <t>SOT-223,TO-220,TO-263</t>
  </si>
  <si>
    <t/>
  </si>
  <si>
    <t>-40 to 125</t>
  </si>
  <si>
    <t>45.24,86.0552,154.8384</t>
  </si>
  <si>
    <t>10.16 x 15.24,10.16 x 8.47,6.5 x 6.96</t>
  </si>
  <si>
    <t>1.8,4.83,20.92</t>
  </si>
  <si>
    <t>1.5,1.7</t>
  </si>
  <si>
    <t>ACTIVE</t>
  </si>
  <si>
    <t>800-mA, 7-V, low-dropout voltage regulator with power good &amp; enable</t>
  </si>
  <si>
    <t>Linear &amp; low-dropout (LDO) regulators</t>
  </si>
  <si>
    <t>Catalog</t>
  </si>
  <si>
    <t>SOT-223,TO-263</t>
  </si>
  <si>
    <t/>
  </si>
  <si>
    <t>-40 to 125</t>
  </si>
  <si>
    <t>45.24,154.8384</t>
  </si>
  <si>
    <t>10.16 x 15.24,6.5 x 6.96</t>
  </si>
  <si>
    <t>1.8,4.83</t>
  </si>
  <si>
    <t>1.5,1.7</t>
  </si>
  <si>
    <t>ACTIVE</t>
  </si>
  <si>
    <t>1.5-A, low-dropout voltage regulator with power good &amp; enable</t>
  </si>
  <si>
    <t>Linear &amp; low-dropout (LDO) regulators</t>
  </si>
  <si>
    <t>Catalog</t>
  </si>
  <si>
    <t>SOT-223,TO-263</t>
  </si>
  <si>
    <t/>
  </si>
  <si>
    <t>-40 to 125</t>
  </si>
  <si>
    <t>45.24,154.8384</t>
  </si>
  <si>
    <t>10.16 x 15.24,6.5 x 6.96</t>
  </si>
  <si>
    <t>1.8,4.83</t>
  </si>
  <si>
    <t>1.5,1.7</t>
  </si>
  <si>
    <t>ACTIVE</t>
  </si>
  <si>
    <t>800-mA, low-dropout voltage regulator with enable</t>
  </si>
  <si>
    <t>Linear &amp; low-dropout (LDO) regulators</t>
  </si>
  <si>
    <t>Catalog</t>
  </si>
  <si>
    <t>SOT-223,TO-263</t>
  </si>
  <si>
    <t/>
  </si>
  <si>
    <t>-40 to 125</t>
  </si>
  <si>
    <t>45.24,154.8384</t>
  </si>
  <si>
    <t>10.16 x 15.24,6.5 x 6.96</t>
  </si>
  <si>
    <t>1.8,4.83</t>
  </si>
  <si>
    <t>1.5,1.7</t>
  </si>
  <si>
    <t>ACTIVE</t>
  </si>
  <si>
    <t>1.5-A, 7-V, low-dropout voltage regulator with enable</t>
  </si>
  <si>
    <t>Linear &amp; low-dropout (LDO) regulators</t>
  </si>
  <si>
    <t>Catalog</t>
  </si>
  <si>
    <t>SOT-223,TO-220,TO-263</t>
  </si>
  <si>
    <t/>
  </si>
  <si>
    <t>-40 to 125</t>
  </si>
  <si>
    <t>45.24,86.0552,154.8384</t>
  </si>
  <si>
    <t>10.16 x 15.24,10.16 x 8.47,6.5 x 6.96</t>
  </si>
  <si>
    <t>1.8,4.83,20.92</t>
  </si>
  <si>
    <t>1.5,1.7</t>
  </si>
  <si>
    <t>ACTIVE</t>
  </si>
  <si>
    <t>28-V, 85% Efficient Boost Converter in QFN-8, Digitally Adjustable</t>
  </si>
  <si>
    <t>AC/DC &amp; DC/DC converters (integrated FET)</t>
  </si>
  <si>
    <t>Catalog</t>
  </si>
  <si>
    <t>Boost</t>
  </si>
  <si>
    <t>VSON</t>
  </si>
  <si>
    <t/>
  </si>
  <si>
    <t>-40 to 125</t>
  </si>
  <si>
    <t>3 x 3</t>
  </si>
  <si>
    <t>ACTIVE</t>
  </si>
  <si>
    <t>1.8Vin, 4-A Switch, 96% Efficient Boost Converter w/20µA Iq in TSSOP-16</t>
  </si>
  <si>
    <t>AC/DC &amp; DC/DC converters (integrated FET)</t>
  </si>
  <si>
    <t>Catalog</t>
  </si>
  <si>
    <t>Boost</t>
  </si>
  <si>
    <t>HTSSOP,VQFN</t>
  </si>
  <si>
    <t/>
  </si>
  <si>
    <t>-40 to 125</t>
  </si>
  <si>
    <t>16,32</t>
  </si>
  <si>
    <t>4 x 4,5 x 6.4</t>
  </si>
  <si>
    <t>1,1.2</t>
  </si>
  <si>
    <t>ACTIVE</t>
  </si>
  <si>
    <t>3.3-V Output, 1-A, 96% Efficient Boost Converter w/20uA Iq in TSSOP-16</t>
  </si>
  <si>
    <t>AC/DC &amp; DC/DC converters (integrated FET)</t>
  </si>
  <si>
    <t>Catalog</t>
  </si>
  <si>
    <t>Boost</t>
  </si>
  <si>
    <t>HTSSOP,VQFN</t>
  </si>
  <si>
    <t/>
  </si>
  <si>
    <t>-40 to 125</t>
  </si>
  <si>
    <t>16,32</t>
  </si>
  <si>
    <t>4 x 4,5 x 6.4</t>
  </si>
  <si>
    <t>1,1.2</t>
  </si>
  <si>
    <t>ACTIVE</t>
  </si>
  <si>
    <t>150-mA, low-IQ, low-dropout voltage regulator with enable &amp; low-VOUT</t>
  </si>
  <si>
    <t>Linear &amp; low-dropout (LDO) regulators</t>
  </si>
  <si>
    <t>Catalog</t>
  </si>
  <si>
    <t>DSBGA,SOT-23,WSON</t>
  </si>
  <si>
    <t/>
  </si>
  <si>
    <t>-40 to 125</t>
  </si>
  <si>
    <t>4,5,6</t>
  </si>
  <si>
    <t>1.5625,8.12,9</t>
  </si>
  <si>
    <t>1.25 x 1.25,2.9 x 2.8,3 x 3</t>
  </si>
  <si>
    <t>0.675,0.8,1.45</t>
  </si>
  <si>
    <t>0.5,0.95</t>
  </si>
  <si>
    <t>ACTIVE</t>
  </si>
  <si>
    <t>9-75V Wide Vin, 500mA Constant On-Time Non-Synchronous Buck Regulator</t>
  </si>
  <si>
    <t>AC/DC &amp; DC/DC converters (integrated FET)</t>
  </si>
  <si>
    <t>Catalog</t>
  </si>
  <si>
    <t>Buck</t>
  </si>
  <si>
    <t>VSSOP,WSON</t>
  </si>
  <si>
    <t/>
  </si>
  <si>
    <t>-40 to 125</t>
  </si>
  <si>
    <t>14.7,16</t>
  </si>
  <si>
    <t>3 x 4.9,4 x 4</t>
  </si>
  <si>
    <t>0.8,1.1</t>
  </si>
  <si>
    <t>0.65,0.8</t>
  </si>
  <si>
    <t>ACTIVE</t>
  </si>
  <si>
    <t>30-V, 500-mA switch boost converter in QFN-8 for white LED applications</t>
  </si>
  <si>
    <t>Backlight LED drivers</t>
  </si>
  <si>
    <t>Catalog</t>
  </si>
  <si>
    <t>Boost</t>
  </si>
  <si>
    <t>VSON</t>
  </si>
  <si>
    <t/>
  </si>
  <si>
    <t>-40 to 85</t>
  </si>
  <si>
    <t>3 x 3</t>
  </si>
  <si>
    <t>ACTIVE</t>
  </si>
  <si>
    <t>PFC/PWM Combination controllers with  16V/9.7V VCC UVLO, 6.75V/3.55V PWM UVLO and 1:1 Freq. Ratio</t>
  </si>
  <si>
    <t>AC/DC &amp; DC/DC controllers (external FET)</t>
  </si>
  <si>
    <t>Catalog</t>
  </si>
  <si>
    <t>Boost,PFC controller</t>
  </si>
  <si>
    <t>SOIC</t>
  </si>
  <si>
    <t/>
  </si>
  <si>
    <t>-40 to 105</t>
  </si>
  <si>
    <t>12.8 x 10.3</t>
  </si>
  <si>
    <t>ACTIVE</t>
  </si>
  <si>
    <t>50-V, 7-ch automotive darlington transistor array</t>
  </si>
  <si>
    <t>Low-side switches</t>
  </si>
  <si>
    <t>Automotive</t>
  </si>
  <si>
    <t>SOIC,SOT-23-THN,TSSOP</t>
  </si>
  <si>
    <t/>
  </si>
  <si>
    <t>-40 to 125</t>
  </si>
  <si>
    <t>8.4,32,59.4</t>
  </si>
  <si>
    <t>4.2 x 2,5 x 6.4,9.9 x 6</t>
  </si>
  <si>
    <t>1.1,1.2,1.75</t>
  </si>
  <si>
    <t>0.5,0.65,1.27</t>
  </si>
  <si>
    <t>ACTIVE</t>
  </si>
  <si>
    <t>Adjustable, 800-mA, 10V Vin,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</si>
  <si>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</si>
  <si>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</si>
  <si>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</si>
  <si>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</si>
  <si>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</si>
  <si>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</si>
  <si>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</si>
  <si>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</si>
  <si>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Adjustable, 800-mA, 10V Vin, Enhanced LBI,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</si>
  <si>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</si>
  <si>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</si>
  <si>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</si>
  <si>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</si>
  <si>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</si>
  <si>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</si>
  <si>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</si>
  <si>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</si>
  <si>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1.5-V Output, 800-mA, 10V Vin,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</si>
  <si>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</si>
  <si>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</si>
  <si>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</si>
  <si>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</si>
  <si>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</si>
  <si>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</si>
  <si>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</si>
  <si>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</si>
  <si>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1.8-V Output, 800-mA, 10V Vin,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</si>
  <si>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</si>
  <si>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</si>
  <si>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</si>
  <si>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</si>
  <si>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</si>
  <si>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</si>
  <si>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</si>
  <si>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</si>
  <si>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3.3-V Output, 800-mA, 10V Vin,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</si>
  <si>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</si>
  <si>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</si>
  <si>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</si>
  <si>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</si>
  <si>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</si>
  <si>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</si>
  <si>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</si>
  <si>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</si>
  <si>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Enhanced Product Low-Power Bicmos Current-Mode Pwm</t>
  </si>
  <si>
    <t>AC/DC &amp; DC/DC controllers (external FET)</t>
  </si>
  <si>
    <t>HiRel Enhanced Product</t>
  </si>
  <si>
    <t>Boost,Flyback,Forward</t>
  </si>
  <si>
    <t>SOIC</t>
  </si>
  <si>
    <t/>
  </si>
  <si>
    <t>-55 to 125</t>
  </si>
  <si>
    <t>4.9 x 6</t>
  </si>
  <si>
    <t>ACTIVE</t>
  </si>
  <si>
    <t>3V to 20V Input, 1A Step-Down Converter with Light Load Efficiency</t>
  </si>
  <si>
    <t>AC/DC &amp; DC/DC converters (integrated FET)</t>
  </si>
  <si>
    <t>Catalog</t>
  </si>
  <si>
    <t>Buck</t>
  </si>
  <si>
    <t>SOT-23-THN</t>
  </si>
  <si>
    <t/>
  </si>
  <si>
    <t>-40 to 125</t>
  </si>
  <si>
    <t>2.9 x 2.8</t>
  </si>
  <si>
    <t>ACTIVE</t>
  </si>
  <si>
    <t>3 to 20 V input, 1 A, automotive step-down converter with light load efficiency</t>
  </si>
  <si>
    <t>AC/DC &amp; DC/DC converters (integrated FET)</t>
  </si>
  <si>
    <t>Automotive</t>
  </si>
  <si>
    <t>Buck</t>
  </si>
  <si>
    <t>SOT-23-THN</t>
  </si>
  <si>
    <t/>
  </si>
  <si>
    <t>-40 to 125</t>
  </si>
  <si>
    <t>2.9 x 2.8</t>
  </si>
  <si>
    <t>ACTIVE</t>
  </si>
  <si>
    <t>High Speed 3A Synchronous MOSFET Driver</t>
  </si>
  <si>
    <t>Half-bridge drivers</t>
  </si>
  <si>
    <t>Catalog</t>
  </si>
  <si>
    <t>SOIC</t>
  </si>
  <si>
    <t/>
  </si>
  <si>
    <t>-40 to 125</t>
  </si>
  <si>
    <t>4.9 x 6</t>
  </si>
  <si>
    <t>ACTIVE</t>
  </si>
  <si>
    <t>2.8-V to 5.5-V, 120-m&amp;Omega;, 0.75-A, power mux with manual, automatic and slow switchover</t>
  </si>
  <si>
    <t>Power muxes</t>
  </si>
  <si>
    <t>Catalog</t>
  </si>
  <si>
    <t>TSSOP</t>
  </si>
  <si>
    <t/>
  </si>
  <si>
    <t>-40 to 85</t>
  </si>
  <si>
    <t>3 x 6.4</t>
  </si>
  <si>
    <t>ACTIVE</t>
  </si>
  <si>
    <t>2.8-V to 5.5-V, 120-m&amp;Omega;, 0.75-A, power mux with automatic, slow switchover and status output</t>
  </si>
  <si>
    <t>Power muxes</t>
  </si>
  <si>
    <t>Catalog</t>
  </si>
  <si>
    <t>TSSOP</t>
  </si>
  <si>
    <t/>
  </si>
  <si>
    <t>-40 to 85</t>
  </si>
  <si>
    <t>3 x 6.4</t>
  </si>
  <si>
    <t>ACTIVE</t>
  </si>
  <si>
    <t>2.8-V to 5.5-V, 120-m&amp;Omega;, 0.75-A, power mux with manual, automatic, slow switchover and statu</t>
  </si>
  <si>
    <t>Power muxes</t>
  </si>
  <si>
    <t>Catalog</t>
  </si>
  <si>
    <t>TSSOP</t>
  </si>
  <si>
    <t/>
  </si>
  <si>
    <t>-40 to 85</t>
  </si>
  <si>
    <t>3 x 6.4</t>
  </si>
  <si>
    <t>ACTIVE</t>
  </si>
  <si>
    <t>800-mA, low-VIN (1.291-V), ultra-low-dropout voltage regulator with enable</t>
  </si>
  <si>
    <t>Linear &amp; low-dropout (LDO) regulators</t>
  </si>
  <si>
    <t>Catalog</t>
  </si>
  <si>
    <t>TO-263</t>
  </si>
  <si>
    <t/>
  </si>
  <si>
    <t>-40 to 125</t>
  </si>
  <si>
    <t>10.16 x 15.24</t>
  </si>
  <si>
    <t>ACTIVE</t>
  </si>
  <si>
    <t>1.5-A, ultra-low-dropout voltage regulator</t>
  </si>
  <si>
    <t>Linear &amp; low-dropout (LDO) regulators</t>
  </si>
  <si>
    <t>Catalog</t>
  </si>
  <si>
    <t>HSOIC,TO-263</t>
  </si>
  <si>
    <t/>
  </si>
  <si>
    <t>-40 to 125</t>
  </si>
  <si>
    <t>5,8</t>
  </si>
  <si>
    <t>29.4,154.8384</t>
  </si>
  <si>
    <t>10.16 x 15.24,4.9 x 6</t>
  </si>
  <si>
    <t>1.7,4.83</t>
  </si>
  <si>
    <t>1.27,1.7</t>
  </si>
  <si>
    <t>ACTIVE</t>
  </si>
  <si>
    <t>Triple Processor Voltage Supervisor</t>
  </si>
  <si>
    <t>Reset &amp; watchdog ICs</t>
  </si>
  <si>
    <t>HiRel Enhanced Product</t>
  </si>
  <si>
    <t>HVSSOP,SOIC</t>
  </si>
  <si>
    <t/>
  </si>
  <si>
    <t>-55 to 125</t>
  </si>
  <si>
    <t>14.7,29.4</t>
  </si>
  <si>
    <t>3 x 4.9,4.9 x 6</t>
  </si>
  <si>
    <t>1.1,1.75</t>
  </si>
  <si>
    <t>0.65,1.27</t>
  </si>
  <si>
    <t>ACTIVE</t>
  </si>
  <si>
    <t>0.6/1.6 MHz Boost Converters With 40V Internal FET Switch in SOT-23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</si>
  <si>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</si>
  <si>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</si>
  <si>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</si>
  <si>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</si>
  <si>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</si>
  <si>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</si>
  <si>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</si>
  <si>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</si>
  <si>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1.5A DDR termination regulator with shutdown pin for DDR2</t>
  </si>
  <si>
    <t>Multi-channel ICs (PMICs),DDR memory power ICs</t>
  </si>
  <si>
    <t>Catalog</t>
  </si>
  <si>
    <t>HSOIC,SOIC,WQFN</t>
  </si>
  <si>
    <t/>
  </si>
  <si>
    <t>0 to 125</t>
  </si>
  <si>
    <t>8,16</t>
  </si>
  <si>
    <t>16,29.4</t>
  </si>
  <si>
    <t>4 x 4,4.9 x 6</t>
  </si>
  <si>
    <t>0.8,1.7,1.75</t>
  </si>
  <si>
    <t>0.5,1.27</t>
  </si>
  <si>
    <t>ACTIVE</t>
  </si>
  <si>
    <t>3-A, low-dropout voltage regulator with power good &amp; enable for 2.5 V &amp; 3.3V</t>
  </si>
  <si>
    <t>Linear &amp; low-dropout (LDO) regulators</t>
  </si>
  <si>
    <t>Catalog</t>
  </si>
  <si>
    <t>TO-263</t>
  </si>
  <si>
    <t/>
  </si>
  <si>
    <t>-40 to 125</t>
  </si>
  <si>
    <t>10.16 x 15.24</t>
  </si>
  <si>
    <t>ACTIVE</t>
  </si>
  <si>
    <t>3-A, 7-V, low-dropout voltage regulator with enable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</si>
  <si>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</si>
  <si>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</si>
  <si>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</si>
  <si>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</si>
  <si>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</si>
  <si>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</si>
  <si>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</si>
  <si>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</si>
  <si>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</si>
  <si>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Micropower step-up DC/DC converter with 150mA peak current limit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</si>
  <si>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</si>
  <si>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</si>
  <si>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</si>
  <si>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</si>
  <si>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</si>
  <si>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</si>
  <si>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</si>
  <si>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</si>
  <si>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Automotive, triple-rail processor supervisor (3.3-V, 1.8-V, or adjustable) with power-fail</t>
  </si>
  <si>
    <t>Reset &amp; watchdog ICs</t>
  </si>
  <si>
    <t>Automotive</t>
  </si>
  <si>
    <t>SOIC</t>
  </si>
  <si>
    <t/>
  </si>
  <si>
    <t>-40 to 125</t>
  </si>
  <si>
    <t>4.9 x 6</t>
  </si>
  <si>
    <t>ACTIVE</t>
  </si>
  <si>
    <t>500-mA, low-dropout voltage regulator with enable</t>
  </si>
  <si>
    <t>Linear &amp; low-dropout (LDO) regulators</t>
  </si>
  <si>
    <t>Catalog</t>
  </si>
  <si>
    <t>SOT-223,VSON</t>
  </si>
  <si>
    <t/>
  </si>
  <si>
    <t>-40 to 125</t>
  </si>
  <si>
    <t>6,8</t>
  </si>
  <si>
    <t>9,45.89</t>
  </si>
  <si>
    <t>3 x 3,6.5 x 7.06</t>
  </si>
  <si>
    <t>1,1.8</t>
  </si>
  <si>
    <t>0.65,1.27</t>
  </si>
  <si>
    <t>ACTIVE</t>
  </si>
  <si>
    <t>1.5-A, low-dropout voltage regulator with enable</t>
  </si>
  <si>
    <t>Linear &amp; low-dropout (LDO) regulators</t>
  </si>
  <si>
    <t>Catalog</t>
  </si>
  <si>
    <t>SOT-223,TO-263,VSON</t>
  </si>
  <si>
    <t/>
  </si>
  <si>
    <t>-40 to 125</t>
  </si>
  <si>
    <t>5,6,8</t>
  </si>
  <si>
    <t>9,45.89,154.8384</t>
  </si>
  <si>
    <t>10.16 x 15.24,3 x 3,6.5 x 7.06</t>
  </si>
  <si>
    <t>1,1.8,4.83</t>
  </si>
  <si>
    <t>0.65,1.27,1.7</t>
  </si>
  <si>
    <t>ACTIVE</t>
  </si>
  <si>
    <t>1-A, low-dropout voltage regulator with enable</t>
  </si>
  <si>
    <t>Linear &amp; low-dropout (LDO) regulators</t>
  </si>
  <si>
    <t>Catalog</t>
  </si>
  <si>
    <t>SOT-223,TO-263,VSON</t>
  </si>
  <si>
    <t/>
  </si>
  <si>
    <t>-40 to 125</t>
  </si>
  <si>
    <t>5,6,8</t>
  </si>
  <si>
    <t>9,45.89,154.8384</t>
  </si>
  <si>
    <t>10.16 x 15.24,3 x 3,6.5 x 7.06</t>
  </si>
  <si>
    <t>1,1.8,4.83</t>
  </si>
  <si>
    <t>0.65,1.27,1.7</t>
  </si>
  <si>
    <t>ACTIVE</t>
  </si>
  <si>
    <t>Cascaded PWM controller with Hiccup mode</t>
  </si>
  <si>
    <t>AC/DC &amp; DC/DC controllers (external FET)</t>
  </si>
  <si>
    <t>Catalog</t>
  </si>
  <si>
    <t>Push pull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</si>
  <si>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</si>
  <si>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</si>
  <si>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</si>
  <si>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</si>
  <si>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</si>
  <si>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</si>
  <si>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</si>
  <si>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</si>
  <si>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Automotive 12V VCC single ended 1MHz current mode PWM controller with 7.2V/6.9V UVLO 100% duty cycle</t>
  </si>
  <si>
    <t>AC/DC &amp; DC/DC controllers (external FET)</t>
  </si>
  <si>
    <t>Automotive</t>
  </si>
  <si>
    <t>Boost,Buck,Buck boost,Flyback,Forward</t>
  </si>
  <si>
    <t>SOIC</t>
  </si>
  <si>
    <t>Functional Safety-Capable</t>
  </si>
  <si>
    <t>-40 to 125</t>
  </si>
  <si>
    <t>4.9 x 6</t>
  </si>
  <si>
    <t>ACTIVE</t>
  </si>
  <si>
    <t>Automotive 12V VCC single ended 1MHz current mode PWM controller with 9.4V/7.4V UVLO 50% duty cycle</t>
  </si>
  <si>
    <t>AC/DC &amp; DC/DC controllers (external FET)</t>
  </si>
  <si>
    <t>Automotive</t>
  </si>
  <si>
    <t>Boost,Flyback,Forward</t>
  </si>
  <si>
    <t>SOIC</t>
  </si>
  <si>
    <t>Functional Safety-Capable</t>
  </si>
  <si>
    <t>-40 to 125</t>
  </si>
  <si>
    <t>4.9 x 6</t>
  </si>
  <si>
    <t>ACTIVE</t>
  </si>
  <si>
    <t>Automotive single ended 1MHz current mode PWM controller with 12.5V/8.3V UVLO 100% duty cycle</t>
  </si>
  <si>
    <t>AC/DC &amp; DC/DC controllers (external FET)</t>
  </si>
  <si>
    <t>Automotive</t>
  </si>
  <si>
    <t>Boost,Flyback,Forward</t>
  </si>
  <si>
    <t>SOIC</t>
  </si>
  <si>
    <t>Functional Safety-Capable</t>
  </si>
  <si>
    <t>-40 to 125</t>
  </si>
  <si>
    <t>4.9 x 6</t>
  </si>
  <si>
    <t>ACTIVE</t>
  </si>
  <si>
    <t>automotive 12V VCC single ended 1MHz current mode PWM controller with 4.1V/3.6V UVLO 100% duty cycle</t>
  </si>
  <si>
    <t>AC/DC &amp; DC/DC controllers (external FET)</t>
  </si>
  <si>
    <t>Automotive</t>
  </si>
  <si>
    <t>Boost,Flyback,Forward</t>
  </si>
  <si>
    <t>SOIC</t>
  </si>
  <si>
    <t>Functional Safety-Capable</t>
  </si>
  <si>
    <t>-40 to 125</t>
  </si>
  <si>
    <t>4.9 x 6</t>
  </si>
  <si>
    <t>ACTIVE</t>
  </si>
  <si>
    <t>Automotive single ended 1MHz current mode PWM controller with 12.5V/8.3V UVLO 50% duty cycle</t>
  </si>
  <si>
    <t>AC/DC &amp; DC/DC controllers (external FET)</t>
  </si>
  <si>
    <t>Automotive</t>
  </si>
  <si>
    <t>Boost,Flyback,Forward</t>
  </si>
  <si>
    <t>SOIC</t>
  </si>
  <si>
    <t>Functional Safety-Capable</t>
  </si>
  <si>
    <t>-40 to 125</t>
  </si>
  <si>
    <t>4.9 x 6</t>
  </si>
  <si>
    <t>ACTIVE</t>
  </si>
  <si>
    <t>Automotive 7.4-V to 12-V, 1-A BiCMOS current mode PWM controller</t>
  </si>
  <si>
    <t>AC/DC &amp; DC/DC controllers (external FET)</t>
  </si>
  <si>
    <t>Automotive</t>
  </si>
  <si>
    <t>Boost,Buck,Buck boost,Flyback,Forward</t>
  </si>
  <si>
    <t>SOIC</t>
  </si>
  <si>
    <t>Functional Safety-Capable</t>
  </si>
  <si>
    <t>-40 to 125</t>
  </si>
  <si>
    <t>4.9 x 6</t>
  </si>
  <si>
    <t>ACTIVE</t>
  </si>
  <si>
    <t>Enhanced Product Low-Power Bicmos Current-Mode Pwm</t>
  </si>
  <si>
    <t>AC/DC &amp; DC/DC controllers (external FET)</t>
  </si>
  <si>
    <t>HiRel Enhanced Product</t>
  </si>
  <si>
    <t>Boost,Flyback,Forward</t>
  </si>
  <si>
    <t>SOIC</t>
  </si>
  <si>
    <t/>
  </si>
  <si>
    <t>-55 to 125</t>
  </si>
  <si>
    <t>4.9 x 6</t>
  </si>
  <si>
    <t>ACTIVE</t>
  </si>
  <si>
    <t>Automotive, 3-pin voltage supervisor (reset IC) with active-low, push-pull reset</t>
  </si>
  <si>
    <t>Reset &amp; watchdog ICs</t>
  </si>
  <si>
    <t>Automotive</t>
  </si>
  <si>
    <t>SOT-23</t>
  </si>
  <si>
    <t/>
  </si>
  <si>
    <t>-40 to 125</t>
  </si>
  <si>
    <t>2.9 x 2.8</t>
  </si>
  <si>
    <t>ACTIVE</t>
  </si>
  <si>
    <t>Active-low, push-pull, automotive voltage supervisor (reset IC) with 0.2-s watchdog &amp; manual reset</t>
  </si>
  <si>
    <t>Reset &amp; watchdog ICs</t>
  </si>
  <si>
    <t>Automotive</t>
  </si>
  <si>
    <t>SOT-23</t>
  </si>
  <si>
    <t>Functional Safety-Capable</t>
  </si>
  <si>
    <t>-40 to 125</t>
  </si>
  <si>
    <t>2.9 x 2.8</t>
  </si>
  <si>
    <t>ACTIVE</t>
  </si>
  <si>
    <t>Active-low, push-pull, automotive voltage supervisor (reset IC) with 1.6-s watchdog &amp; manual reset</t>
  </si>
  <si>
    <t>Reset &amp; watchdog ICs</t>
  </si>
  <si>
    <t>Automotive</t>
  </si>
  <si>
    <t>SOT-23</t>
  </si>
  <si>
    <t/>
  </si>
  <si>
    <t>-40 to 125</t>
  </si>
  <si>
    <t>2.9 x 2.8</t>
  </si>
  <si>
    <t>ACTIVE</t>
  </si>
  <si>
    <t>Active-high &amp; active-low, automotive voltage supervisor (reset IC) with watchdog &amp; manual reset</t>
  </si>
  <si>
    <t>Reset &amp; watchdog ICs</t>
  </si>
  <si>
    <t>Automotive</t>
  </si>
  <si>
    <t>SOT-23</t>
  </si>
  <si>
    <t/>
  </si>
  <si>
    <t>-40 to 125</t>
  </si>
  <si>
    <t>2.9 x 2.8</t>
  </si>
  <si>
    <t>ACTIVE</t>
  </si>
  <si>
    <t>Automotive voltage supervisor (reset IC) with manual reset</t>
  </si>
  <si>
    <t>Reset &amp; watchdog ICs</t>
  </si>
  <si>
    <t>Automotive</t>
  </si>
  <si>
    <t>SOT-23</t>
  </si>
  <si>
    <t/>
  </si>
  <si>
    <t>-40 to 125</t>
  </si>
  <si>
    <t>2.9 x 2.8</t>
  </si>
  <si>
    <t>ACTIVE</t>
  </si>
  <si>
    <t>Automotive voltage monitor with watchdog timer</t>
  </si>
  <si>
    <t>Reset &amp; watchdog ICs</t>
  </si>
  <si>
    <t>Automotive</t>
  </si>
  <si>
    <t>SOT-23</t>
  </si>
  <si>
    <t/>
  </si>
  <si>
    <t>-40 to 125</t>
  </si>
  <si>
    <t>2.9 x 2.8</t>
  </si>
  <si>
    <t>ACTIVE</t>
  </si>
  <si>
    <t>Active-low, push-pull, automotive, nano-power supervisors with manual reset</t>
  </si>
  <si>
    <t>Reset &amp; watchdog ICs</t>
  </si>
  <si>
    <t>Automotive</t>
  </si>
  <si>
    <t>SOT-23</t>
  </si>
  <si>
    <t/>
  </si>
  <si>
    <t>-40 to 125</t>
  </si>
  <si>
    <t>2.9 x 2.8</t>
  </si>
  <si>
    <t>ACTIVE</t>
  </si>
  <si>
    <t>Active-low, open-drain, automotive, nano-power supervisors with manual reset</t>
  </si>
  <si>
    <t>Reset &amp; watchdog ICs</t>
  </si>
  <si>
    <t>Automotive</t>
  </si>
  <si>
    <t>SOT-23</t>
  </si>
  <si>
    <t/>
  </si>
  <si>
    <t>-40 to 125</t>
  </si>
  <si>
    <t>2.9 x 2.8</t>
  </si>
  <si>
    <t>ACTIVE</t>
  </si>
  <si>
    <t>9-A/9-A single-channel gate driver with inverting input</t>
  </si>
  <si>
    <t>Low-side drivers</t>
  </si>
  <si>
    <t>Catalog</t>
  </si>
  <si>
    <t>HVSSOP,PDIP,SOIC</t>
  </si>
  <si>
    <t/>
  </si>
  <si>
    <t>-40 to 105</t>
  </si>
  <si>
    <t>14.7,29.4,92.5083</t>
  </si>
  <si>
    <t>3 x 4.9,4.9 x 6,9.81 x 9.43</t>
  </si>
  <si>
    <t>1.1,1.75,5.08</t>
  </si>
  <si>
    <t>0.65,1.27,2.54</t>
  </si>
  <si>
    <t>ACTIVE</t>
  </si>
  <si>
    <t>9-A/9-A single-channel gate driver with split outputs and enable</t>
  </si>
  <si>
    <t>Low-side drivers</t>
  </si>
  <si>
    <t>Catalog</t>
  </si>
  <si>
    <t>HVSSOP,PDIP,SOIC</t>
  </si>
  <si>
    <t/>
  </si>
  <si>
    <t>-40 to 105</t>
  </si>
  <si>
    <t>14.7,29.4,92.5083</t>
  </si>
  <si>
    <t>3 x 4.9,4.9 x 6,9.81 x 9.43</t>
  </si>
  <si>
    <t>1.1,1.75,5.08</t>
  </si>
  <si>
    <t>0.65,1.27,2.54</t>
  </si>
  <si>
    <t>ACTIVE</t>
  </si>
  <si>
    <t>9-A/9-A single-channel gate driver with inverting input, split outputs and enable</t>
  </si>
  <si>
    <t>Low-side drivers</t>
  </si>
  <si>
    <t>Catalog</t>
  </si>
  <si>
    <t>HVSSOP,PDIP,SOIC</t>
  </si>
  <si>
    <t/>
  </si>
  <si>
    <t>0 to 70</t>
  </si>
  <si>
    <t>14.7,29.4,92.5083</t>
  </si>
  <si>
    <t>3 x 4.9,4.9 x 6,9.81 x 9.43</t>
  </si>
  <si>
    <t>1.1,1.75,5.08</t>
  </si>
  <si>
    <t>0.65,1.27,2.54</t>
  </si>
  <si>
    <t>ACTIVE</t>
  </si>
  <si>
    <t>9-A/9-A single-channel gate driver with split outputs, 25-ns prop delay, and enable</t>
  </si>
  <si>
    <t>Low-side drivers</t>
  </si>
  <si>
    <t>Catalog</t>
  </si>
  <si>
    <t>HVSSOP,PDIP,SOIC</t>
  </si>
  <si>
    <t/>
  </si>
  <si>
    <t>0 to 70</t>
  </si>
  <si>
    <t>14.7,29.4,92.5083</t>
  </si>
  <si>
    <t>3 x 4.9,4.9 x 6,9.81 x 9.43</t>
  </si>
  <si>
    <t>1.1,1.75,5.08</t>
  </si>
  <si>
    <t>0.65,1.27,2.54</t>
  </si>
  <si>
    <t>ACTIVE</t>
  </si>
  <si>
    <t>Synchronous step-up DC/DC converter for white LED applications</t>
  </si>
  <si>
    <t>Backlight LED drivers</t>
  </si>
  <si>
    <t>Catalog</t>
  </si>
  <si>
    <t>Boost</t>
  </si>
  <si>
    <t>DSBGA</t>
  </si>
  <si>
    <t/>
  </si>
  <si>
    <t>-40 to 85</t>
  </si>
  <si>
    <t>1.75 x 1.75</t>
  </si>
  <si>
    <t>ACTIVE</t>
  </si>
  <si>
    <t>250-mA, low-dropout voltage regulator with enable</t>
  </si>
  <si>
    <t>Linear &amp; low-dropout (LDO) regulators</t>
  </si>
  <si>
    <t>Catalog</t>
  </si>
  <si>
    <t>HVSSOP,SOT-223</t>
  </si>
  <si>
    <t/>
  </si>
  <si>
    <t>-40 to 85</t>
  </si>
  <si>
    <t>6,8</t>
  </si>
  <si>
    <t>14.7,45.89</t>
  </si>
  <si>
    <t>3 x 4.9,6.5 x 7.06</t>
  </si>
  <si>
    <t>1.1,1.8</t>
  </si>
  <si>
    <t>0.65,1.27</t>
  </si>
  <si>
    <t>ACTIVE</t>
  </si>
  <si>
    <t>1.25-V, 100-ppm/°C, 50-µA in 3-pin SOT-23 package series (bandgap)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</si>
  <si>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</si>
  <si>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</si>
  <si>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</si>
  <si>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</si>
  <si>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</si>
  <si>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</si>
  <si>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</si>
  <si>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2.048-V, 100-ppm/°C, 50-µA in 3-pin SOT-23 package series (bandgap)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</si>
  <si>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</si>
  <si>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</si>
  <si>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</si>
  <si>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</si>
  <si>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</si>
  <si>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</si>
  <si>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</si>
  <si>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2.5-V, 100-ppm/°C, 50-µA in 3-pin SOT-23 package series (bandgap)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</si>
  <si>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</si>
  <si>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</si>
  <si>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</si>
  <si>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</si>
  <si>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</si>
  <si>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</si>
  <si>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</si>
  <si>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3-V, 100-ppm/°C, 50-µA in 3-pin SOT-23 package series (bandgap)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</si>
  <si>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</si>
  <si>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</si>
  <si>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</si>
  <si>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</si>
  <si>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</si>
  <si>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</si>
  <si>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</si>
  <si>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3.3-V, 100-ppm/°C, 50-µA in 3-pin SOT-23 package series (bandgap)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</si>
  <si>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</si>
  <si>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</si>
  <si>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</si>
  <si>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</si>
  <si>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</si>
  <si>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</si>
  <si>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</si>
  <si>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4.096-V, 100-ppm/°C, 50-µA in 3-pin SOT-23 package series (bandgap)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</si>
  <si>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</si>
  <si>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</si>
  <si>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</si>
  <si>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</si>
  <si>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</si>
  <si>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</si>
  <si>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</si>
  <si>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Space-grade QMLV, -20-V to 30-V, 250-mA, 2.5-V or 5-V output linear regulator</t>
  </si>
  <si>
    <t>Linear &amp; low-dropout (LDO) regulators</t>
  </si>
  <si>
    <t>Space</t>
  </si>
  <si>
    <t>CFP,DIESALE</t>
  </si>
  <si>
    <t/>
  </si>
  <si>
    <t>-55 to 125</t>
  </si>
  <si>
    <t>0,16</t>
  </si>
  <si>
    <t>62.9285,See data sheet</t>
  </si>
  <si>
    <t>9.91 x 6.35,See data sheet</t>
  </si>
  <si>
    <t>2.03,—</t>
  </si>
  <si>
    <t>1.27,—</t>
  </si>
  <si>
    <t>ACTIVE</t>
  </si>
  <si>
    <t>1-A, 10-V, low-IQ, low-dropout voltage regulator</t>
  </si>
  <si>
    <t>Linear &amp; low-dropout (LDO) regulators</t>
  </si>
  <si>
    <t>Catalog</t>
  </si>
  <si>
    <t>WSON</t>
  </si>
  <si>
    <t/>
  </si>
  <si>
    <t>0 to 125</t>
  </si>
  <si>
    <t>2.92 x 3.29</t>
  </si>
  <si>
    <t>ACTIVE</t>
  </si>
  <si>
    <t>150-mA, low-noise, low-dropout voltage regulator with enable</t>
  </si>
  <si>
    <t>Linear &amp; low-dropout (LDO) regulators</t>
  </si>
  <si>
    <t>Catalog</t>
  </si>
  <si>
    <t>DSBGA</t>
  </si>
  <si>
    <t/>
  </si>
  <si>
    <t>-40 to 125</t>
  </si>
  <si>
    <t>1.616 x 1.25</t>
  </si>
  <si>
    <t>ACTIVE</t>
  </si>
  <si>
    <t>12 channel LED driver</t>
  </si>
  <si>
    <t>LED display drivers</t>
  </si>
  <si>
    <t>Catalog</t>
  </si>
  <si>
    <t>HTSSOP</t>
  </si>
  <si>
    <t/>
  </si>
  <si>
    <t>-20 to 85</t>
  </si>
  <si>
    <t>7.8 x 6.4</t>
  </si>
  <si>
    <t>ACTIVE</t>
  </si>
  <si>
    <t>Automotive single ended 500KHz current mode PWM controller with 16V/10V UVLO 50% duty cycle</t>
  </si>
  <si>
    <t>AC/DC &amp; DC/DC controllers (external FET)</t>
  </si>
  <si>
    <t>Automotive</t>
  </si>
  <si>
    <t>SOIC</t>
  </si>
  <si>
    <t/>
  </si>
  <si>
    <t>-40 to 125</t>
  </si>
  <si>
    <t>4.9 x 6</t>
  </si>
  <si>
    <t>ACTIVE</t>
  </si>
  <si>
    <t>1.9-V Output, 600-mA,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</si>
  <si>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</si>
  <si>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</si>
  <si>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</si>
  <si>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</si>
  <si>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</si>
  <si>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</si>
  <si>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</si>
  <si>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</si>
  <si>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Advanced 8 pin load share controller, -40°C to 105°C</t>
  </si>
  <si>
    <t>AC/DC &amp; DC/DC controllers (external FET)</t>
  </si>
  <si>
    <t>Catalog</t>
  </si>
  <si>
    <t>Buck,Flyback</t>
  </si>
  <si>
    <t>PDIP,SOIC,VSSOP</t>
  </si>
  <si>
    <t/>
  </si>
  <si>
    <t>-40 to 105</t>
  </si>
  <si>
    <t>14.7,29.4,92.5083</t>
  </si>
  <si>
    <t>3 x 4.9,4.9 x 6,9.81 x 9.43</t>
  </si>
  <si>
    <t>1.1,1.75,5.08</t>
  </si>
  <si>
    <t>0.65,1.27,2.54</t>
  </si>
  <si>
    <t>ACTIVE</t>
  </si>
  <si>
    <t>Advanced 8 pin load share controller, 0°C to 70°C</t>
  </si>
  <si>
    <t>AC/DC &amp; DC/DC controllers (external FET)</t>
  </si>
  <si>
    <t>Catalog</t>
  </si>
  <si>
    <t>Buck,Flyback</t>
  </si>
  <si>
    <t>PDIP,SOIC,VSSOP</t>
  </si>
  <si>
    <t/>
  </si>
  <si>
    <t>0 to 70</t>
  </si>
  <si>
    <t>14.7,29.4,92.5083</t>
  </si>
  <si>
    <t>3 x 4.9,4.9 x 6,9.81 x 9.43</t>
  </si>
  <si>
    <t>1.1,1.75,5.08</t>
  </si>
  <si>
    <t>0.65,1.27,2.54</t>
  </si>
  <si>
    <t>ACTIVE</t>
  </si>
  <si>
    <t>5-mA, low-IQ, low-dropout voltage regulator with enable</t>
  </si>
  <si>
    <t>Linear &amp; low-dropout (LDO) regulators</t>
  </si>
  <si>
    <t>Catalog</t>
  </si>
  <si>
    <t>DSBGA</t>
  </si>
  <si>
    <t/>
  </si>
  <si>
    <t>-40 to 125</t>
  </si>
  <si>
    <t>1.616 x 1.25</t>
  </si>
  <si>
    <t>ACTIVE</t>
  </si>
  <si>
    <t>4.5-V to 30-V, two-phase peak current mode synchronous buck controller</t>
  </si>
  <si>
    <t>AC/DC &amp; DC/DC controllers (external FET)</t>
  </si>
  <si>
    <t>Catalog</t>
  </si>
  <si>
    <t>Buck</t>
  </si>
  <si>
    <t>TSSOP</t>
  </si>
  <si>
    <t/>
  </si>
  <si>
    <t>-40 to 125</t>
  </si>
  <si>
    <t>9.7 x 6.4</t>
  </si>
  <si>
    <t>ACTIVE</t>
  </si>
  <si>
    <t>30-mA, low-IQ,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</si>
  <si>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</si>
  <si>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</si>
  <si>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</si>
  <si>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</si>
  <si>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</si>
  <si>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</si>
  <si>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</si>
  <si>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3-A, ultra-low-dropout voltage regulator with enable</t>
  </si>
  <si>
    <t>Linear &amp; low-dropout (LDO) regulators</t>
  </si>
  <si>
    <t>Catalog</t>
  </si>
  <si>
    <t>TO-263</t>
  </si>
  <si>
    <t/>
  </si>
  <si>
    <t>-40 to 125</t>
  </si>
  <si>
    <t>10.16 x 15.24</t>
  </si>
  <si>
    <t>ACTIVE</t>
  </si>
  <si>
    <t>0.8V to 14V input voltage, 2A load current, step-up DC-DC</t>
  </si>
  <si>
    <t>AC/DC &amp; DC/DC converters (integrated FET)</t>
  </si>
  <si>
    <t>Catalog</t>
  </si>
  <si>
    <t>Boost</t>
  </si>
  <si>
    <t>VSSOP,WSON</t>
  </si>
  <si>
    <t/>
  </si>
  <si>
    <t>-40 to 85</t>
  </si>
  <si>
    <t>8,14</t>
  </si>
  <si>
    <t>14.7,16</t>
  </si>
  <si>
    <t>3 x 4.9,4 x 4</t>
  </si>
  <si>
    <t>0.8,1.1</t>
  </si>
  <si>
    <t>0.5,0.65</t>
  </si>
  <si>
    <t>ACTIVE</t>
  </si>
  <si>
    <t>10-V, hysteretic PFET buck controller</t>
  </si>
  <si>
    <t>AC/DC &amp; DC/DC controllers (external FET)</t>
  </si>
  <si>
    <t>Catalog</t>
  </si>
  <si>
    <t>Buck</t>
  </si>
  <si>
    <t>SOT-23</t>
  </si>
  <si>
    <t/>
  </si>
  <si>
    <t>-40 to 125</t>
  </si>
  <si>
    <t>2.9 x 2.8</t>
  </si>
  <si>
    <t>ACTIVE</t>
  </si>
  <si>
    <t>-10V to -90V hot swap controller</t>
  </si>
  <si>
    <t>Hot-swap controllers</t>
  </si>
  <si>
    <t>Catalog</t>
  </si>
  <si>
    <t>VSSOP</t>
  </si>
  <si>
    <t/>
  </si>
  <si>
    <t>-40 to 105</t>
  </si>
  <si>
    <t>3 x 4.9</t>
  </si>
  <si>
    <t>ACTIVE</t>
  </si>
  <si>
    <t>Single-supply voltage supervisor</t>
  </si>
  <si>
    <t>Supply-voltage supervisors</t>
  </si>
  <si>
    <t>Catalog</t>
  </si>
  <si>
    <t>PDIP,SOIC</t>
  </si>
  <si>
    <t/>
  </si>
  <si>
    <t>-40 to 85</t>
  </si>
  <si>
    <t>29.4,92.5083</t>
  </si>
  <si>
    <t>4.9 x 6,9.81 x 9.43</t>
  </si>
  <si>
    <t>1.75,5.08</t>
  </si>
  <si>
    <t>1.27,2.54</t>
  </si>
  <si>
    <t>ACTIVE</t>
  </si>
  <si>
    <t>Adjustable, 300-mA, 95% Efficient Step-Down Converter in SOT-23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</si>
  <si>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</si>
  <si>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</si>
  <si>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</si>
  <si>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</si>
  <si>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</si>
  <si>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</si>
  <si>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</si>
  <si>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</si>
  <si>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1.5-V Output, 300-mA, 95% Efficient Step-Down Converter in SOT-23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</si>
  <si>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</si>
  <si>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</si>
  <si>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</si>
  <si>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</si>
  <si>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</si>
  <si>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</si>
  <si>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</si>
  <si>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</si>
  <si>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1.8-V Output, 300-mA, 95% Efficient Step-Down Converter in SOT-23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</si>
  <si>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</si>
  <si>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</si>
  <si>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</si>
  <si>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</si>
  <si>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</si>
  <si>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</si>
  <si>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</si>
  <si>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</si>
  <si>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3.3-V Output, 300-mA, 95% Efficient Step-Down Converter in SOT-23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</si>
  <si>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</si>
  <si>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</si>
  <si>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</si>
  <si>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</si>
  <si>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</si>
  <si>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</si>
  <si>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</si>
  <si>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</si>
  <si>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1.6-V Output, 300-mA, 95% Efficient Step-Down Converter in SOT-23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</si>
  <si>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</si>
  <si>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</si>
  <si>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</si>
  <si>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</si>
  <si>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</si>
  <si>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</si>
  <si>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</si>
  <si>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</si>
  <si>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2.5-V Output, 300-mA, 95% Efficient Step-Down Converter in SOT-23</t>
  </si>
  <si>
    <t>AC/DC &amp; DC/DC converters (integrated FET)</t>
  </si>
  <si>
    <t>Catalog</t>
  </si>
  <si>
    <t>Buck</t>
  </si>
  <si>
    <t>SOT-23</t>
  </si>
  <si>
    <t/>
  </si>
  <si>
    <t>-40 to 85</t>
  </si>
  <si>
    <t>2.9 x 2.8</t>
  </si>
  <si>
    <t>ACTIVE</t>
  </si>
  <si>
    <t>50ppm/°C drift, 50µA Iq in SOT-23-3 package series voltage reference</t>
  </si>
  <si>
    <t>Series voltage references</t>
  </si>
  <si>
    <t>Catalog</t>
  </si>
  <si>
    <t>SOT-23</t>
  </si>
  <si>
    <t/>
  </si>
  <si>
    <t>-40 to 125</t>
  </si>
  <si>
    <t>2.92 x 2.37</t>
  </si>
  <si>
    <t>ACTIVE</t>
  </si>
  <si>
    <t>DDR Termination Regulator</t>
  </si>
  <si>
    <t>DDR memory power ICs,Multi-channel ICs (PMICs)</t>
  </si>
  <si>
    <t>Catalog</t>
  </si>
  <si>
    <t>HSOIC,SOIC,WQFN</t>
  </si>
  <si>
    <t/>
  </si>
  <si>
    <t>0 to 125</t>
  </si>
  <si>
    <t>8,16</t>
  </si>
  <si>
    <t>16,29.4</t>
  </si>
  <si>
    <t>4 x 4,4.9 x 6</t>
  </si>
  <si>
    <t>0.8,1.7,1.75</t>
  </si>
  <si>
    <t>0.5,1.27</t>
  </si>
  <si>
    <t>ACTIVE</t>
  </si>
  <si>
    <t>28-V, 400-mA Switch Boost Converter in SOT-23 for LCD and White LED Applications</t>
  </si>
  <si>
    <t>AC/DC &amp; DC/DC converters (integrated FET)</t>
  </si>
  <si>
    <t>Catalog</t>
  </si>
  <si>
    <t>Boost</t>
  </si>
  <si>
    <t>SOT-23,SOT-23-THN,WSON</t>
  </si>
  <si>
    <t/>
  </si>
  <si>
    <t>-40 to 125</t>
  </si>
  <si>
    <t>5,6</t>
  </si>
  <si>
    <t>4,8.12</t>
  </si>
  <si>
    <t>2 x 2,2.9 x 2.8</t>
  </si>
  <si>
    <t>0.8,1.1,1.45</t>
  </si>
  <si>
    <t>0.65,0.95</t>
  </si>
  <si>
    <t>ACTIVE</t>
  </si>
  <si>
    <t>28-V, 250-mA Switch Boost Converter in SOT-23 for LCD and White LED Applications</t>
  </si>
  <si>
    <t>AC/DC &amp; DC/DC converters (integrated FET)</t>
  </si>
  <si>
    <t>Catalog</t>
  </si>
  <si>
    <t>Boost</t>
  </si>
  <si>
    <t>SOT-23,WSON</t>
  </si>
  <si>
    <t/>
  </si>
  <si>
    <t>-40 to 85</t>
  </si>
  <si>
    <t>5,6</t>
  </si>
  <si>
    <t>4,8.12</t>
  </si>
  <si>
    <t>2 x 2,2.9 x 2.8</t>
  </si>
  <si>
    <t>0.8,1.45</t>
  </si>
  <si>
    <t>0.65,0.95</t>
  </si>
  <si>
    <t>ACTIVE</t>
  </si>
  <si>
    <t>3.1-40V Wide Vin, 2A Current Mode Non-Synchronous Boost Regulator</t>
  </si>
  <si>
    <t>AC/DC &amp; DC/DC converters (integrated FET)</t>
  </si>
  <si>
    <t>Catalog</t>
  </si>
  <si>
    <t>Boost,Flyback,Forward,SEPIC</t>
  </si>
  <si>
    <t>TSSOP,WSON</t>
  </si>
  <si>
    <t/>
  </si>
  <si>
    <t>-40 to 125</t>
  </si>
  <si>
    <t>25,32</t>
  </si>
  <si>
    <t>5 x 5,5 x 6.4</t>
  </si>
  <si>
    <t>0.8,1.2</t>
  </si>
  <si>
    <t>0.5,0.65</t>
  </si>
  <si>
    <t>ACTIVE</t>
  </si>
  <si>
    <t>3V to 6V Input, 3A Synchronous Step-Down SWIFT&amp;trade; Converter with 1.2V Output 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</si>
  <si>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</si>
  <si>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</si>
  <si>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</si>
  <si>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</si>
  <si>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</si>
  <si>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</si>
  <si>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</si>
  <si>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</si>
  <si>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3V to 6V Input, 3A Synchronous Step-Down SWIFT&amp;trade; Converter with 1.5V Output 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</si>
  <si>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</si>
  <si>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</si>
  <si>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</si>
  <si>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</si>
  <si>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</si>
  <si>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</si>
  <si>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</si>
  <si>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</si>
  <si>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3V to 6V Input, 3A Synchronous Step-Down SWIFT&amp;trade; Converter with 2.5V Output 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</si>
  <si>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</si>
  <si>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</si>
  <si>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</si>
  <si>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</si>
  <si>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</si>
  <si>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</si>
  <si>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</si>
  <si>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</si>
  <si>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3V to 6V Input, 3A Synchronous Step-Down SWIFT&amp;trade; Converter with 3.3V Output </t>
  </si>
  <si>
    <t>AC/DC &amp; DC/DC converters (integrated FET)</t>
  </si>
  <si>
    <t>Catalog</t>
  </si>
  <si>
    <t>Buck</t>
  </si>
  <si>
    <t>HTSSOP</t>
  </si>
  <si>
    <t/>
  </si>
  <si>
    <t>-40 to 85</t>
  </si>
  <si>
    <t>6.5 x 6.4</t>
  </si>
  <si>
    <t>ACTIVE</t>
  </si>
  <si>
    <t>Micropower Step-up DC/DC Converter with 550mA Peak Current Limit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</si>
  <si>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</si>
  <si>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</si>
  <si>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</si>
  <si>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</si>
  <si>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</si>
  <si>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</si>
  <si>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</si>
  <si>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</si>
  <si>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300-mA, high-accuracy, low-dropout voltage regulator with power good &amp; enable</t>
  </si>
  <si>
    <t>Linear &amp; low-dropout (LDO) regulators</t>
  </si>
  <si>
    <t>Catalog</t>
  </si>
  <si>
    <t>VSSOP,WSON</t>
  </si>
  <si>
    <t/>
  </si>
  <si>
    <t>-40 to 85</t>
  </si>
  <si>
    <t>7.5,14.7</t>
  </si>
  <si>
    <t>2.5 x 3,3 x 4.9</t>
  </si>
  <si>
    <t>0.8,1.1</t>
  </si>
  <si>
    <t>0.5,0.65</t>
  </si>
  <si>
    <t>ACTIVE</t>
  </si>
  <si>
    <t>170 uVrms Zero-Ripple Switched Cap Boost Converter With Fixed 3V Output For VCO Supply</t>
  </si>
  <si>
    <t>AC/DC &amp; DC/DC converters (integrated FET)</t>
  </si>
  <si>
    <t>Catalog</t>
  </si>
  <si>
    <t>VSSOP</t>
  </si>
  <si>
    <t/>
  </si>
  <si>
    <t>-40 to 85</t>
  </si>
  <si>
    <t>3 x 4.9</t>
  </si>
  <si>
    <t>ACTIVE</t>
  </si>
  <si>
    <t>Automotive, 100mA 10V low-I&lt;sub&gt;Q&lt;/sub&gt; low-dropout voltage regulator with enable</t>
  </si>
  <si>
    <t>Linear &amp; low-dropout (LDO) regulators</t>
  </si>
  <si>
    <t>Automotive</t>
  </si>
  <si>
    <t>SOT-23</t>
  </si>
  <si>
    <t/>
  </si>
  <si>
    <t>-40 to 125</t>
  </si>
  <si>
    <t>2.9 x 2.8</t>
  </si>
  <si>
    <t>ACTIVE</t>
  </si>
  <si>
    <t>3V to 6V Input, 3A Synchronous Step-Down Converter</t>
  </si>
  <si>
    <t>AC/DC &amp; DC/DC converters (integrated FET)</t>
  </si>
  <si>
    <t>Catalog</t>
  </si>
  <si>
    <t>Buck</t>
  </si>
  <si>
    <t>HTSSOP</t>
  </si>
  <si>
    <t/>
  </si>
  <si>
    <t>-40 to 125</t>
  </si>
  <si>
    <t>6.5 x 6.4</t>
  </si>
  <si>
    <t>ACTIVE</t>
  </si>
  <si>
    <t>3-A, 7V, ultra-low-dropout voltage regulator with enable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</si>
  <si>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</si>
  <si>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</si>
  <si>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</si>
  <si>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</si>
  <si>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</si>
  <si>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</si>
  <si>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</si>
  <si>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</si>
  <si>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</si>
  <si>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250-mA Adjustable (0.8V-3.3V) High-Efficiency Step-Down Charge Pump</t>
  </si>
  <si>
    <t>AC/DC &amp; DC/DC converters (integrated FET)</t>
  </si>
  <si>
    <t>Catalog</t>
  </si>
  <si>
    <t>VSSOP</t>
  </si>
  <si>
    <t/>
  </si>
  <si>
    <t>-40 to 125</t>
  </si>
  <si>
    <t>3 x 4.9</t>
  </si>
  <si>
    <t>ACTIVE</t>
  </si>
  <si>
    <t>250-mA, 3.3-V High-Efficiency Step-Down Charge Pump</t>
  </si>
  <si>
    <t>AC/DC &amp; DC/DC converters (integrated FET)</t>
  </si>
  <si>
    <t>Catalog</t>
  </si>
  <si>
    <t>VSSOP</t>
  </si>
  <si>
    <t/>
  </si>
  <si>
    <t>-40 to 125</t>
  </si>
  <si>
    <t>3 x 4.9</t>
  </si>
  <si>
    <t>ACTIVE</t>
  </si>
  <si>
    <t>250-mA, 1.5-V High-Efficiency Step-Down Charge Pump</t>
  </si>
  <si>
    <t>AC/DC &amp; DC/DC converters (integrated FET)</t>
  </si>
  <si>
    <t>Catalog</t>
  </si>
  <si>
    <t>VSSOP</t>
  </si>
  <si>
    <t/>
  </si>
  <si>
    <t>-40 to 125</t>
  </si>
  <si>
    <t>3 x 4.9</t>
  </si>
  <si>
    <t>ACTIVE</t>
  </si>
  <si>
    <t>500mA 35V linear voltage regulator</t>
  </si>
  <si>
    <t>Linear &amp; low-dropout (LDO) regulators</t>
  </si>
  <si>
    <t>Catalog</t>
  </si>
  <si>
    <t>SOT-223,TO-220,TO-252</t>
  </si>
  <si>
    <t/>
  </si>
  <si>
    <t>-40 to 125</t>
  </si>
  <si>
    <t>3,4</t>
  </si>
  <si>
    <t>45.5,46.228,66.726</t>
  </si>
  <si>
    <t>10.16 x 4.55,6.5 x 7,6.6 x 10.11</t>
  </si>
  <si>
    <t>1.8,2.52,4.7</t>
  </si>
  <si>
    <t>2.29,2.3,2.54</t>
  </si>
  <si>
    <t>ACTIVE</t>
  </si>
  <si>
    <t>Space-grade QMLV, 1.5-A/1.5-A dual-channel gate driver with 40-V VDD and regulated 5-V output</t>
  </si>
  <si>
    <t>Low-side drivers</t>
  </si>
  <si>
    <t>Space</t>
  </si>
  <si>
    <t>CDIP</t>
  </si>
  <si>
    <t/>
  </si>
  <si>
    <t>-55 to 125</t>
  </si>
  <si>
    <t>9.6 x 6.67</t>
  </si>
  <si>
    <t>ACTIVE</t>
  </si>
  <si>
    <t>150-mA, 40-V, low-dropout voltage regulator</t>
  </si>
  <si>
    <t>Linear &amp; low-dropout (LDO) regulators</t>
  </si>
  <si>
    <t>Catalog</t>
  </si>
  <si>
    <t>SOIC,TO-263</t>
  </si>
  <si>
    <t/>
  </si>
  <si>
    <t>-40 to 125</t>
  </si>
  <si>
    <t>5,8</t>
  </si>
  <si>
    <t>29.4,154.8384</t>
  </si>
  <si>
    <t>10.16 x 15.24,4.9 x 6</t>
  </si>
  <si>
    <t>1.75,4.83</t>
  </si>
  <si>
    <t>1.27,1.7</t>
  </si>
  <si>
    <t>ACTIVE</t>
  </si>
  <si>
    <t>250-mA, 16-V, low-dropout voltage regulator with enable</t>
  </si>
  <si>
    <t>Linear &amp; low-dropout (LDO) regulators</t>
  </si>
  <si>
    <t>Catalog</t>
  </si>
  <si>
    <t>SOT-23,WSON</t>
  </si>
  <si>
    <t/>
  </si>
  <si>
    <t>-40 to 125</t>
  </si>
  <si>
    <t>5,6</t>
  </si>
  <si>
    <t>8.12,9.6068</t>
  </si>
  <si>
    <t>2.9 x 2.8,2.92 x 3.29</t>
  </si>
  <si>
    <t>0.8,1.45</t>
  </si>
  <si>
    <t>ACTIVE</t>
  </si>
  <si>
    <t>150-mA, 16-V, low-dropout voltage regulator with low output voltage &amp;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</si>
  <si>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</si>
  <si>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</si>
  <si>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</si>
  <si>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</si>
  <si>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</si>
  <si>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</si>
  <si>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</si>
  <si>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150-mA, low-dropout voltage regulator with active output discharge &amp; bypass</t>
  </si>
  <si>
    <t>Linear &amp; low-dropout (LDO) regulators</t>
  </si>
  <si>
    <t>Catalog</t>
  </si>
  <si>
    <t>DSBGA,WSON</t>
  </si>
  <si>
    <t/>
  </si>
  <si>
    <t>-40 to 125</t>
  </si>
  <si>
    <t>5,6</t>
  </si>
  <si>
    <t>2.02,9.6068</t>
  </si>
  <si>
    <t>1.616 x 1.25,2.92 x 3.29</t>
  </si>
  <si>
    <t>0.675,0.8</t>
  </si>
  <si>
    <t>0.5,0.95</t>
  </si>
  <si>
    <t>ACTIVE</t>
  </si>
  <si>
    <t>300-mA, high-accuracy, low-dropout voltage regulator with enable</t>
  </si>
  <si>
    <t>Linear &amp; low-dropout (LDO) regulators</t>
  </si>
  <si>
    <t>Catalog</t>
  </si>
  <si>
    <t>VSSOP,WSON</t>
  </si>
  <si>
    <t/>
  </si>
  <si>
    <t>-40 to 125</t>
  </si>
  <si>
    <t>6,8</t>
  </si>
  <si>
    <t>12,14.7</t>
  </si>
  <si>
    <t>3 x 4,3 x 4.9</t>
  </si>
  <si>
    <t>0.8,1.1</t>
  </si>
  <si>
    <t>0.65,0.8</t>
  </si>
  <si>
    <t>ACTIVE</t>
  </si>
  <si>
    <t>Inverting 4-A/4-A dual-channel low side gate driver</t>
  </si>
  <si>
    <t>Low-side drivers</t>
  </si>
  <si>
    <t>Catalog</t>
  </si>
  <si>
    <t>HVSSOP,PDIP,SOIC</t>
  </si>
  <si>
    <t/>
  </si>
  <si>
    <t>-40 to 125</t>
  </si>
  <si>
    <t>14.7,29.4,92.5083</t>
  </si>
  <si>
    <t>3 x 4.9,4.9 x 6,9.81 x 9.43</t>
  </si>
  <si>
    <t>1.1,1.75,5.08</t>
  </si>
  <si>
    <t>0.65,1.27,2.54</t>
  </si>
  <si>
    <t>ACTIVE</t>
  </si>
  <si>
    <t>Non-inverting 4-A/4-A dual-channel low side gate driver</t>
  </si>
  <si>
    <t>Low-side drivers</t>
  </si>
  <si>
    <t>Catalog</t>
  </si>
  <si>
    <t>HVSSOP,PDIP,SOIC</t>
  </si>
  <si>
    <t/>
  </si>
  <si>
    <t>-40 to 125</t>
  </si>
  <si>
    <t>14.7,29.4,92.5083</t>
  </si>
  <si>
    <t>3 x 4.9,4.9 x 6,9.81 x 9.43</t>
  </si>
  <si>
    <t>1.1,1.75,5.08</t>
  </si>
  <si>
    <t>0.65,1.27,2.54</t>
  </si>
  <si>
    <t>ACTIVE</t>
  </si>
  <si>
    <t>4-A/4-A dual-channel gate driver with one inverting, one non-inverting input and hystertic logic</t>
  </si>
  <si>
    <t>Low-side drivers</t>
  </si>
  <si>
    <t>Catalog</t>
  </si>
  <si>
    <t>HVSSOP,PDIP,SOIC</t>
  </si>
  <si>
    <t/>
  </si>
  <si>
    <t>-40 to 125</t>
  </si>
  <si>
    <t>14.7,29.4,92.5083</t>
  </si>
  <si>
    <t>3 x 4.9,4.9 x 6,9.81 x 9.43</t>
  </si>
  <si>
    <t>1.1,1.75,5.08</t>
  </si>
  <si>
    <t>0.65,1.27,2.54</t>
  </si>
  <si>
    <t>ACTIVE</t>
  </si>
  <si>
    <t>4-A/4-A dual-channel gate driver with inverting inputs</t>
  </si>
  <si>
    <t>Low-side drivers</t>
  </si>
  <si>
    <t>Catalog</t>
  </si>
  <si>
    <t>HVSSOP,PDIP,SOIC</t>
  </si>
  <si>
    <t/>
  </si>
  <si>
    <t>0 to 70</t>
  </si>
  <si>
    <t>14.7,29.4,92.5083</t>
  </si>
  <si>
    <t>3 x 4.9,4.9 x 6,9.81 x 9.43</t>
  </si>
  <si>
    <t>1.1,1.75,5.08</t>
  </si>
  <si>
    <t>0.65,1.27,2.54</t>
  </si>
  <si>
    <t>ACTIVE</t>
  </si>
  <si>
    <t>4-A/4-A dual-channel gate driver with non-inverting inputs</t>
  </si>
  <si>
    <t>Low-side drivers</t>
  </si>
  <si>
    <t>Catalog</t>
  </si>
  <si>
    <t>HVSSOP,PDIP,SOIC</t>
  </si>
  <si>
    <t/>
  </si>
  <si>
    <t>0 to 70</t>
  </si>
  <si>
    <t>14.7,29.4,92.5083</t>
  </si>
  <si>
    <t>3 x 4.9,4.9 x 6,9.81 x 9.43</t>
  </si>
  <si>
    <t>1.1,1.75,5.08</t>
  </si>
  <si>
    <t>0.65,1.27,2.54</t>
  </si>
  <si>
    <t>ACTIVE</t>
  </si>
  <si>
    <t>4-A/4-A dual-channel gate driver with one inverting, one non-inverting input</t>
  </si>
  <si>
    <t>Low-side drivers</t>
  </si>
  <si>
    <t>Catalog</t>
  </si>
  <si>
    <t>HVSSOP,PDIP,SOIC</t>
  </si>
  <si>
    <t/>
  </si>
  <si>
    <t>0 to 70</t>
  </si>
  <si>
    <t>14.7,29.4,92.5083</t>
  </si>
  <si>
    <t>3 x 4.9,4.9 x 6,9.81 x 9.43</t>
  </si>
  <si>
    <t>1.1,1.75,5.08</t>
  </si>
  <si>
    <t>0.65,1.27,2.54</t>
  </si>
  <si>
    <t>ACTIVE</t>
  </si>
  <si>
    <t>Ultra-low supply current, voltage supervisor with power fail input</t>
  </si>
  <si>
    <t>Reset &amp; watchdog ICs</t>
  </si>
  <si>
    <t>Catalog</t>
  </si>
  <si>
    <t>SOT-23</t>
  </si>
  <si>
    <t/>
  </si>
  <si>
    <t>-40 to 85</t>
  </si>
  <si>
    <t>2.9 x 2.8</t>
  </si>
  <si>
    <t>ACTIVE</t>
  </si>
  <si>
    <t>200mA low-dropout voltage regulator with enable</t>
  </si>
  <si>
    <t>Linear &amp; low-dropout (LDO) regulators</t>
  </si>
  <si>
    <t>Catalog</t>
  </si>
  <si>
    <t>SOT-23</t>
  </si>
  <si>
    <t/>
  </si>
  <si>
    <t>-40 to 125</t>
  </si>
  <si>
    <t>5,6</t>
  </si>
  <si>
    <t>2.9 x 2.8</t>
  </si>
  <si>
    <t>ACTIVE</t>
  </si>
  <si>
    <t>2.7-V to 5.6-VIN low-noise switched-capacitor boost doubler</t>
  </si>
  <si>
    <t>AC/DC &amp; DC/DC converters (integrated FET)</t>
  </si>
  <si>
    <t>Catalog</t>
  </si>
  <si>
    <t>WSON</t>
  </si>
  <si>
    <t/>
  </si>
  <si>
    <t>-40 to 85</t>
  </si>
  <si>
    <t>3 x 3</t>
  </si>
  <si>
    <t>ACTIVE</t>
  </si>
  <si>
    <t>170 uVrms Zero-Ripple Switched Cap Boost Converter With Fixed 5.0V Output For VCO Supply</t>
  </si>
  <si>
    <t>AC/DC &amp; DC/DC converters (integrated FET)</t>
  </si>
  <si>
    <t>Catalog</t>
  </si>
  <si>
    <t>VSSOP</t>
  </si>
  <si>
    <t/>
  </si>
  <si>
    <t>-40 to 85</t>
  </si>
  <si>
    <t>3 x 4.9</t>
  </si>
  <si>
    <t>ACTIVE</t>
  </si>
  <si>
    <t>Dual-channel, voltage supervisor, ultra-low supply current</t>
  </si>
  <si>
    <t>Reset &amp; watchdog ICs</t>
  </si>
  <si>
    <t>Catalog</t>
  </si>
  <si>
    <t>SOT-23</t>
  </si>
  <si>
    <t/>
  </si>
  <si>
    <t>-40 to 125</t>
  </si>
  <si>
    <t>2.9 x 2.8</t>
  </si>
  <si>
    <t>ACTIVE</t>
  </si>
  <si>
    <t>Ultra-low supply current, voltage supervisor with watchdog timer</t>
  </si>
  <si>
    <t>Reset &amp; watchdog ICs</t>
  </si>
  <si>
    <t>Catalog</t>
  </si>
  <si>
    <t>SOT-23</t>
  </si>
  <si>
    <t/>
  </si>
  <si>
    <t>-40 to 85</t>
  </si>
  <si>
    <t>2.9 x 2.8</t>
  </si>
  <si>
    <t>ACTIVE</t>
  </si>
  <si>
    <t>Single-cell to 3-V, 20-mA ultra-low quiescent current charge pump and push-pull power-good output</t>
  </si>
  <si>
    <t>AC/DC &amp; DC/DC converters (integrated FET)</t>
  </si>
  <si>
    <t>Catalog</t>
  </si>
  <si>
    <t>VSSOP</t>
  </si>
  <si>
    <t/>
  </si>
  <si>
    <t>-40 to 85</t>
  </si>
  <si>
    <t>3 x 4.9</t>
  </si>
  <si>
    <t>ACTIVE</t>
  </si>
  <si>
    <t>Low-power voltage detector</t>
  </si>
  <si>
    <t>Reset &amp; watchdog ICs</t>
  </si>
  <si>
    <t>Catalog</t>
  </si>
  <si>
    <t>SOT-SC70</t>
  </si>
  <si>
    <t/>
  </si>
  <si>
    <t>-40 to 85</t>
  </si>
  <si>
    <t>2 x 2.1</t>
  </si>
  <si>
    <t>ACTIVE</t>
  </si>
  <si>
    <t>Dual-voltage detector</t>
  </si>
  <si>
    <t>Reset &amp; watchdog ICs</t>
  </si>
  <si>
    <t>Catalog</t>
  </si>
  <si>
    <t>SOT-SC70</t>
  </si>
  <si>
    <t/>
  </si>
  <si>
    <t>-40 to 85</t>
  </si>
  <si>
    <t>2 x 2.1</t>
  </si>
  <si>
    <t>ACTIVE</t>
  </si>
  <si>
    <t>30-mA Switched-Cap DC-DC Converter with fixed 2.7-V Output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</si>
  <si>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</si>
  <si>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</si>
  <si>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</si>
  <si>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</si>
  <si>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</si>
  <si>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</si>
  <si>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</si>
  <si>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30-mA Switched-Cap DC-DC Converter with fixed 3-V Output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</si>
  <si>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</si>
  <si>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</si>
  <si>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</si>
  <si>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</si>
  <si>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</si>
  <si>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</si>
  <si>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</si>
  <si>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30-mA Switched-Cap DC-DC Converter with fixed 3.3-V Output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</si>
  <si>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</si>
  <si>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</si>
  <si>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</si>
  <si>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</si>
  <si>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</si>
  <si>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</si>
  <si>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</si>
  <si>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30-mA Switched-Cap DC-DC Converter with fixed 5-V Output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</si>
  <si>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</si>
  <si>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</si>
  <si>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</si>
  <si>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</si>
  <si>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</si>
  <si>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</si>
  <si>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</si>
  <si>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Radiation-tolerant QMLV, 3-A/3-A dual-channel gate driver with 35-V VDD</t>
  </si>
  <si>
    <t>Low-side drivers</t>
  </si>
  <si>
    <t>Space</t>
  </si>
  <si>
    <t>CDIP,LCCC</t>
  </si>
  <si>
    <t/>
  </si>
  <si>
    <t>-55 to 125</t>
  </si>
  <si>
    <t>8,16,20</t>
  </si>
  <si>
    <t>64.032,79.0321,135.3552</t>
  </si>
  <si>
    <t>19.56 x 6.92,8.89 x 8.89,9.6 x 6.67</t>
  </si>
  <si>
    <t>2.03,5.08</t>
  </si>
  <si>
    <t>1.27,2.54</t>
  </si>
  <si>
    <t>ACTIVE</t>
  </si>
  <si>
    <t>3V to 6V Input, 6A Synchronous Step-Down SWIFT&amp;trade; Converter with 1.5V Output</t>
  </si>
  <si>
    <t>AC/DC &amp; DC/DC converters (integrated FET)</t>
  </si>
  <si>
    <t>Catalog</t>
  </si>
  <si>
    <t>Buck</t>
  </si>
  <si>
    <t>HTSSOP</t>
  </si>
  <si>
    <t/>
  </si>
  <si>
    <t>-40 to 125</t>
  </si>
  <si>
    <t>9.7 x 6.4</t>
  </si>
  <si>
    <t>ACTIVE</t>
  </si>
  <si>
    <t>3V to 6V Input, 6A Synchronous Step-Down SWIFT&amp;trade; Converter with 1.8V Output</t>
  </si>
  <si>
    <t>AC/DC &amp; DC/DC converters (integrated FET)</t>
  </si>
  <si>
    <t>Catalog</t>
  </si>
  <si>
    <t>Buck</t>
  </si>
  <si>
    <t>HTSSOP</t>
  </si>
  <si>
    <t/>
  </si>
  <si>
    <t>-40 to 125</t>
  </si>
  <si>
    <t>9.7 x 6.4</t>
  </si>
  <si>
    <t>ACTIVE</t>
  </si>
  <si>
    <t>3V to 6V Input, 6A Synchronous Step-Down SWIFT&amp;trade; Converter with 3.3V Output </t>
  </si>
  <si>
    <t>AC/DC &amp; DC/DC converters (integrated FET)</t>
  </si>
  <si>
    <t>Catalog</t>
  </si>
  <si>
    <t>Buck</t>
  </si>
  <si>
    <t>HTSSOP</t>
  </si>
  <si>
    <t/>
  </si>
  <si>
    <t>-40 to 125</t>
  </si>
  <si>
    <t>9.7 x 6.4</t>
  </si>
  <si>
    <t>ACTIVE</t>
  </si>
  <si>
    <t>Battery-backup supervisor for RAM retention</t>
  </si>
  <si>
    <t>Reset &amp; watchdog ICs</t>
  </si>
  <si>
    <t>Catalog</t>
  </si>
  <si>
    <t>VSSOP</t>
  </si>
  <si>
    <t/>
  </si>
  <si>
    <t>-40 to 85</t>
  </si>
  <si>
    <t>3 x 4.9</t>
  </si>
  <si>
    <t>ACTIVE</t>
  </si>
  <si>
    <t>Dual-voltage detector with adjustable hysteresis</t>
  </si>
  <si>
    <t>Reset &amp; watchdog ICs</t>
  </si>
  <si>
    <t>Catalog</t>
  </si>
  <si>
    <t>SOT-23</t>
  </si>
  <si>
    <t/>
  </si>
  <si>
    <t>-40 to 85</t>
  </si>
  <si>
    <t>2.9 x 2.8</t>
  </si>
  <si>
    <t>ACTIVE</t>
  </si>
  <si>
    <t>60mA Charge Pump Voltage Inverter with Variable Switching Frequency</t>
  </si>
  <si>
    <t>AC/DC &amp; DC/DC converters (integrated FET)</t>
  </si>
  <si>
    <t>Catalog</t>
  </si>
  <si>
    <t>SOT-23</t>
  </si>
  <si>
    <t/>
  </si>
  <si>
    <t>-40 to 125</t>
  </si>
  <si>
    <t>2.9 x 2.8</t>
  </si>
  <si>
    <t>ACTIVE</t>
  </si>
  <si>
    <t>60mA Charge Pump Voltage Inverter with Fixed 20kHz Operation</t>
  </si>
  <si>
    <t>AC/DC &amp; DC/DC converters (integrated FET)</t>
  </si>
  <si>
    <t>Catalog</t>
  </si>
  <si>
    <t>SOT-23</t>
  </si>
  <si>
    <t/>
  </si>
  <si>
    <t>-40 to 125</t>
  </si>
  <si>
    <t>2.9 x 2.8</t>
  </si>
  <si>
    <t>ACTIVE</t>
  </si>
  <si>
    <t>60mA Charge Pump Voltage Inverter with Fixed 50kHz Operation</t>
  </si>
  <si>
    <t>AC/DC &amp; DC/DC converters (integrated FET)</t>
  </si>
  <si>
    <t>Catalog</t>
  </si>
  <si>
    <t>SOT-23</t>
  </si>
  <si>
    <t/>
  </si>
  <si>
    <t>-40 to 125</t>
  </si>
  <si>
    <t>2.9 x 2.8</t>
  </si>
  <si>
    <t>ACTIVE</t>
  </si>
  <si>
    <t>60mA Charge Pump Voltage Inverter with Fixed 250kHz Operation</t>
  </si>
  <si>
    <t>AC/DC &amp; DC/DC converters (integrated FET)</t>
  </si>
  <si>
    <t>Catalog</t>
  </si>
  <si>
    <t>SOT-23</t>
  </si>
  <si>
    <t/>
  </si>
  <si>
    <t>-40 to 125</t>
  </si>
  <si>
    <t>2.9 x 2.8</t>
  </si>
  <si>
    <t>ACTIVE</t>
  </si>
  <si>
    <t>Space-grade QMLV, 35-V, dual 0.4-A 400-kHz PWM controller</t>
  </si>
  <si>
    <t>AC/DC &amp; DC/DC controllers (external FET)</t>
  </si>
  <si>
    <t>Space</t>
  </si>
  <si>
    <t>Flyback,Forward,Full bridge,Half bridge,Push pull</t>
  </si>
  <si>
    <t>CDIP,LCCC</t>
  </si>
  <si>
    <t/>
  </si>
  <si>
    <t>-55 to 125</t>
  </si>
  <si>
    <t>16,20</t>
  </si>
  <si>
    <t>79.0321,135.3552</t>
  </si>
  <si>
    <t>19.56 x 6.92,8.89 x 8.89</t>
  </si>
  <si>
    <t>2.03,5.08</t>
  </si>
  <si>
    <t>1.27,2.54</t>
  </si>
  <si>
    <t>ACTIVE</t>
  </si>
  <si>
    <t>4.5-35V, Hysteretic Non-Synchronous PFET Buck Controller</t>
  </si>
  <si>
    <t>AC/DC &amp; DC/DC controllers (external FET)</t>
  </si>
  <si>
    <t>Catalog</t>
  </si>
  <si>
    <t>Buck Controller</t>
  </si>
  <si>
    <t>VSSOP</t>
  </si>
  <si>
    <t/>
  </si>
  <si>
    <t>-40 to 125</t>
  </si>
  <si>
    <t>3 x 4.9</t>
  </si>
  <si>
    <t>ACTIVE</t>
  </si>
  <si>
    <t>Automotive Grade 4.5-35V, Hysteretic Non-Synchronous PFET Buck Controller</t>
  </si>
  <si>
    <t>AC/DC &amp; DC/DC controllers (external FET)</t>
  </si>
  <si>
    <t>Automotive</t>
  </si>
  <si>
    <t>Buck Controller</t>
  </si>
  <si>
    <t>VSSOP</t>
  </si>
  <si>
    <t/>
  </si>
  <si>
    <t>-40 to 125</t>
  </si>
  <si>
    <t>3 x 4.9</t>
  </si>
  <si>
    <t>ACTIVE</t>
  </si>
  <si>
    <t>Radiation-hardened QMLV, 20-V input, 2-A dual-output phase shifted full bridge 2-MHz PWM controller</t>
  </si>
  <si>
    <t>AC/DC &amp; DC/DC controllers (external FET)</t>
  </si>
  <si>
    <t>Space</t>
  </si>
  <si>
    <t>Phase-shifted full bridge</t>
  </si>
  <si>
    <t>CDIP,CFP</t>
  </si>
  <si>
    <t/>
  </si>
  <si>
    <t>-55 to 125</t>
  </si>
  <si>
    <t>20,24</t>
  </si>
  <si>
    <t>130.5324,167.464</t>
  </si>
  <si>
    <t>14.36 x 9.09,24.2 x 6.92</t>
  </si>
  <si>
    <t>2.29,5.08</t>
  </si>
  <si>
    <t>1.27,2.54</t>
  </si>
  <si>
    <t>ACTIVE</t>
  </si>
  <si>
    <t>Industrial, 20-V, low-power current-mode PWM controller, 7-V/6.6-V UVLO, 100%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</si>
  <si>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</si>
  <si>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</si>
  <si>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</si>
  <si>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</si>
  <si>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</si>
  <si>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</si>
  <si>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</si>
  <si>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</si>
  <si>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</si>
  <si>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</si>
  <si>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</si>
  <si>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20-V, low-power current-mode PWM controller, 7-V/6.6-V UVLO, 50%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</si>
  <si>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</si>
  <si>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</si>
  <si>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</si>
  <si>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</si>
  <si>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</si>
  <si>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</si>
  <si>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</si>
  <si>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</si>
  <si>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</si>
  <si>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</si>
  <si>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</si>
  <si>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20-V, low-power current-mode PWM controller, 14.5-V/9-V UVLO, 100%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</si>
  <si>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</si>
  <si>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</si>
  <si>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</si>
  <si>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</si>
  <si>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</si>
  <si>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</si>
  <si>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</si>
  <si>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</si>
  <si>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</si>
  <si>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</si>
  <si>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</si>
  <si>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20-V, low-power current-mode PWM controller, 8.4-V/7.6-V UVLO, 100%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</si>
  <si>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</si>
  <si>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</si>
  <si>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</si>
  <si>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</si>
  <si>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</si>
  <si>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</si>
  <si>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</si>
  <si>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</si>
  <si>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</si>
  <si>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</si>
  <si>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</si>
  <si>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20-V, low-power current-mode PWM controller, 14.5-V/9-V UVLO, 50%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</si>
  <si>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</si>
  <si>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</si>
  <si>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</si>
  <si>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</si>
  <si>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</si>
  <si>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</si>
  <si>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</si>
  <si>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</si>
  <si>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</si>
  <si>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</si>
  <si>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</si>
  <si>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Industrial, 20-V, low-power current-mode PWM controller, 8.4-V/7.6-V UVLO, 50% duty cycle</t>
  </si>
  <si>
    <t>AC/DC &amp; DC/DC controllers (external FET)</t>
  </si>
  <si>
    <t>Catalog</t>
  </si>
  <si>
    <t>Boost,Buck,Flyback,Forward,SEPIC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</si>
  <si>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</si>
  <si>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</si>
  <si>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</si>
  <si>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</si>
  <si>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</si>
  <si>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</si>
  <si>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</si>
  <si>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</si>
  <si>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Commercial, 20-V, low-power current-mode PWM controller, 7-V/6.6-V UVLO, 100% duty cycle</t>
  </si>
  <si>
    <t>AC/DC &amp; DC/DC controllers (external FET)</t>
  </si>
  <si>
    <t>Catalog</t>
  </si>
  <si>
    <t>Boost,Buck,Flyback,Forward,SEPIC</t>
  </si>
  <si>
    <t>SOIC,VSSOP</t>
  </si>
  <si>
    <t/>
  </si>
  <si>
    <t>0 to 85</t>
  </si>
  <si>
    <t>14.7,29.4</t>
  </si>
  <si>
    <t>3 x 4.9,4.9 x 6</t>
  </si>
  <si>
    <t>1.1,1.75</t>
  </si>
  <si>
    <t>0.65,1.27</t>
  </si>
  <si>
    <t>ACTIVE</t>
  </si>
  <si>
    <t>Commercial, 20-V, low-power current-mode PWM controller, 7-V/6.6-V UVLO, 50% duty cycle</t>
  </si>
  <si>
    <t>AC/DC &amp; DC/DC controllers (external FET)</t>
  </si>
  <si>
    <t>Catalog</t>
  </si>
  <si>
    <t>Boost,Buck,Flyback,Forward,SEPIC</t>
  </si>
  <si>
    <t>SOIC,VSSOP</t>
  </si>
  <si>
    <t/>
  </si>
  <si>
    <t>0 to 85</t>
  </si>
  <si>
    <t>14.7,29.4</t>
  </si>
  <si>
    <t>3 x 4.9,4.9 x 6</t>
  </si>
  <si>
    <t>1.1,1.75</t>
  </si>
  <si>
    <t>0.65,1.27</t>
  </si>
  <si>
    <t>ACTIVE</t>
  </si>
  <si>
    <t>Commercial, 20-V, low-power current-mode PWM controller, 14.5-V/9-V UVLO, 100% duty cycle</t>
  </si>
  <si>
    <t>AC/DC &amp; DC/DC controllers (external FET)</t>
  </si>
  <si>
    <t>Catalog</t>
  </si>
  <si>
    <t>Boost,Buck,Flyback,Forward,SEPIC</t>
  </si>
  <si>
    <t>SOIC,VSSOP</t>
  </si>
  <si>
    <t/>
  </si>
  <si>
    <t>0 to 85</t>
  </si>
  <si>
    <t>14.7,29.4</t>
  </si>
  <si>
    <t>3 x 4.9,4.9 x 6</t>
  </si>
  <si>
    <t>1.1,1.75</t>
  </si>
  <si>
    <t>0.65,1.27</t>
  </si>
  <si>
    <t>ACTIVE</t>
  </si>
  <si>
    <t>Commercial, 20-V, low-power current-mode PWM controller, 8.4-V/7.6-V UVLO, 100% duty cycle</t>
  </si>
  <si>
    <t>AC/DC &amp; DC/DC controllers (external FET)</t>
  </si>
  <si>
    <t>Catalog</t>
  </si>
  <si>
    <t>Boost,Buck,Flyback,Forward,SEPIC</t>
  </si>
  <si>
    <t>PDIP,SOIC,VSSOP</t>
  </si>
  <si>
    <t/>
  </si>
  <si>
    <t>0 to 85</t>
  </si>
  <si>
    <t>14.7,29.4,92.5083</t>
  </si>
  <si>
    <t>3 x 4.9,4.9 x 6,9.81 x 9.43</t>
  </si>
  <si>
    <t>1.1,1.75,5.08</t>
  </si>
  <si>
    <t>0.65,1.27,2.54</t>
  </si>
  <si>
    <t>ACTIVE</t>
  </si>
  <si>
    <t>Commercial, 20-V, low-power current-mode PWM controller, 14.5-V/9-V UVLO, 50% duty cycle</t>
  </si>
  <si>
    <t>AC/DC &amp; DC/DC controllers (external FET)</t>
  </si>
  <si>
    <t>Catalog</t>
  </si>
  <si>
    <t>Boost,Buck,Flyback,Forward,SEPIC</t>
  </si>
  <si>
    <t>SOIC,VSSOP</t>
  </si>
  <si>
    <t/>
  </si>
  <si>
    <t>0 to 85</t>
  </si>
  <si>
    <t>14.7,29.4</t>
  </si>
  <si>
    <t>3 x 4.9,4.9 x 6</t>
  </si>
  <si>
    <t>1.1,1.75</t>
  </si>
  <si>
    <t>0.65,1.27</t>
  </si>
  <si>
    <t>ACTIVE</t>
  </si>
  <si>
    <t>Commercial, 20-V, low-power current-mode PWM controller, 8.4-V/7.6-V UVLO, 50% duty cycle</t>
  </si>
  <si>
    <t>AC/DC &amp; DC/DC controllers (external FET)</t>
  </si>
  <si>
    <t>Catalog</t>
  </si>
  <si>
    <t>Boost,Buck,Flyback,Forward,SEPIC</t>
  </si>
  <si>
    <t>SOIC,VSSOP</t>
  </si>
  <si>
    <t/>
  </si>
  <si>
    <t>0 to 85</t>
  </si>
  <si>
    <t>14.7,29.4</t>
  </si>
  <si>
    <t>3 x 4.9,4.9 x 6</t>
  </si>
  <si>
    <t>1.1,1.75</t>
  </si>
  <si>
    <t>0.65,1.27</t>
  </si>
  <si>
    <t>ACTIVE</t>
  </si>
  <si>
    <t>3V to 6V Input, 6A Synchronous Step-Down Converter</t>
  </si>
  <si>
    <t>AC/DC &amp; DC/DC converters (integrated FET)</t>
  </si>
  <si>
    <t>Catalog</t>
  </si>
  <si>
    <t>Buck</t>
  </si>
  <si>
    <t>HTSSOP</t>
  </si>
  <si>
    <t/>
  </si>
  <si>
    <t>-40 to 85</t>
  </si>
  <si>
    <t>9.7 x 6.4</t>
  </si>
  <si>
    <t>ACTIVE</t>
  </si>
  <si>
    <t>50mA 24V ultra-low-IQ low-dropout (LDO) voltage regulator</t>
  </si>
  <si>
    <t>Linear &amp; low-dropout (LDO) regulators</t>
  </si>
  <si>
    <t>Catalog</t>
  </si>
  <si>
    <t>SOT-SC70</t>
  </si>
  <si>
    <t/>
  </si>
  <si>
    <t>-40 to 125</t>
  </si>
  <si>
    <t>2 x 2.1</t>
  </si>
  <si>
    <t>ACTIVE</t>
  </si>
  <si>
    <t>400-ms delay, small supply voltage supervisors with manual reset</t>
  </si>
  <si>
    <t>Reset &amp; watchdog ICs</t>
  </si>
  <si>
    <t>Catalog</t>
  </si>
  <si>
    <t>SOT-SC70</t>
  </si>
  <si>
    <t/>
  </si>
  <si>
    <t>-40 to 85</t>
  </si>
  <si>
    <t>2 x 2.1</t>
  </si>
  <si>
    <t>ACTIVE</t>
  </si>
  <si>
    <t>Active-low 3-pin reset IC</t>
  </si>
  <si>
    <t>Reset &amp; watchdog ICs</t>
  </si>
  <si>
    <t>Catalog</t>
  </si>
  <si>
    <t>SOT-23</t>
  </si>
  <si>
    <t/>
  </si>
  <si>
    <t>-40 to 105</t>
  </si>
  <si>
    <t>2.92 x 2.37</t>
  </si>
  <si>
    <t>ACTIVE</t>
  </si>
  <si>
    <t>30-mA Switched-Cap DC-DC Converter with fixed 2.5-V Output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</si>
  <si>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</si>
  <si>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</si>
  <si>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</si>
  <si>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</si>
  <si>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</si>
  <si>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</si>
  <si>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</si>
  <si>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250-mA, 1.8-V High-Efficiency Step-Down Charge Pump</t>
  </si>
  <si>
    <t>AC/DC &amp; DC/DC converters (integrated FET)</t>
  </si>
  <si>
    <t>Catalog</t>
  </si>
  <si>
    <t>VSSOP</t>
  </si>
  <si>
    <t/>
  </si>
  <si>
    <t>-40 to 125</t>
  </si>
  <si>
    <t>3 x 4.9</t>
  </si>
  <si>
    <t>ACTIVE</t>
  </si>
  <si>
    <t>Ultra-low power, space-saving 3-V undervoltage detector</t>
  </si>
  <si>
    <t>Reset &amp; watchdog ICs</t>
  </si>
  <si>
    <t>Catalog</t>
  </si>
  <si>
    <t>SOT-SC70</t>
  </si>
  <si>
    <t/>
  </si>
  <si>
    <t>-40 to 85</t>
  </si>
  <si>
    <t>2 x 2.1</t>
  </si>
  <si>
    <t>ACTIVE</t>
  </si>
  <si>
    <t>Adjustable, 600-mA, 95% Efficient Step-Down Converter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</si>
  <si>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</si>
  <si>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</si>
  <si>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</si>
  <si>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</si>
  <si>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</si>
  <si>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</si>
  <si>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</si>
  <si>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</si>
  <si>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1.0-V Output, 600-mA,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</si>
  <si>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</si>
  <si>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</si>
  <si>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</si>
  <si>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</si>
  <si>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</si>
  <si>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</si>
  <si>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</si>
  <si>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</si>
  <si>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1.2-V Output, 600-mA,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</si>
  <si>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</si>
  <si>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</si>
  <si>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</si>
  <si>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</si>
  <si>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</si>
  <si>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</si>
  <si>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</si>
  <si>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</si>
  <si>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1.5-V Output, 600-mA,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</si>
  <si>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</si>
  <si>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</si>
  <si>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</si>
  <si>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</si>
  <si>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</si>
  <si>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</si>
  <si>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</si>
  <si>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</si>
  <si>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1.8-V Output, 600-mA,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</si>
  <si>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</si>
  <si>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</si>
  <si>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</si>
  <si>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</si>
  <si>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</si>
  <si>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</si>
  <si>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</si>
  <si>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</si>
  <si>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2.5-V Output, 600-mA,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</si>
  <si>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</si>
  <si>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</si>
  <si>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</si>
  <si>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</si>
  <si>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</si>
  <si>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</si>
  <si>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</si>
  <si>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</si>
  <si>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3.3-V Output, 600-mA, 95% Efficient Step-Down Converter in MSOP-10</t>
  </si>
  <si>
    <t>AC/DC &amp; DC/DC converters (integrated FET)</t>
  </si>
  <si>
    <t>Catalog</t>
  </si>
  <si>
    <t>Buck</t>
  </si>
  <si>
    <t>VSSOP</t>
  </si>
  <si>
    <t/>
  </si>
  <si>
    <t>-40 to 85</t>
  </si>
  <si>
    <t>3 x 4.9</t>
  </si>
  <si>
    <t>ACTIVE</t>
  </si>
  <si>
    <t>SIMPLE SWITCHER Power Converter 150 KHz 1A Step-Down Voltage Regulator with Features</t>
  </si>
  <si>
    <t>AC/DC &amp; DC/DC converters (integrated FET)</t>
  </si>
  <si>
    <t>Catalog</t>
  </si>
  <si>
    <t>Buck</t>
  </si>
  <si>
    <t>TO-220,TO-263</t>
  </si>
  <si>
    <t/>
  </si>
  <si>
    <t>-40 to 125</t>
  </si>
  <si>
    <t>82.6008,153.924</t>
  </si>
  <si>
    <t>10.1 x 15.24,10.16 x 8.13</t>
  </si>
  <si>
    <t>5,20.89</t>
  </si>
  <si>
    <t>ACTIVE</t>
  </si>
  <si>
    <t>SIMPLE SWITCHER Power Converter 150 kHz 1A Step-Down Voltage Regulator</t>
  </si>
  <si>
    <t>AC/DC &amp; DC/DC converters (integrated FET)</t>
  </si>
  <si>
    <t>Catalog</t>
  </si>
  <si>
    <t>Buck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</si>
  <si>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</si>
  <si>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</si>
  <si>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</si>
  <si>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</si>
  <si>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</si>
  <si>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</si>
  <si>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</si>
  <si>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SIMPLE SWITCHER Power Converter 150 KHz 2A Step-Down Voltage Regulator</t>
  </si>
  <si>
    <t>AC/DC &amp; DC/DC converters (integrated FET)</t>
  </si>
  <si>
    <t>Catalog</t>
  </si>
  <si>
    <t>Buck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</si>
  <si>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</si>
  <si>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</si>
  <si>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</si>
  <si>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</si>
  <si>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</si>
  <si>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</si>
  <si>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</si>
  <si>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600kHz/1.25MHz, 2.5A, step-up PWM DC/DC converter</t>
  </si>
  <si>
    <t>AC/DC &amp; DC/DC converters (integrated FET)</t>
  </si>
  <si>
    <t>Catalog</t>
  </si>
  <si>
    <t>Boost,Flyback,SEPIC</t>
  </si>
  <si>
    <t>TSSOP,WSON</t>
  </si>
  <si>
    <t/>
  </si>
  <si>
    <t>-40 to 125</t>
  </si>
  <si>
    <t>16,32</t>
  </si>
  <si>
    <t>4 x 4,5 x 6.4</t>
  </si>
  <si>
    <t>0.8,1.2</t>
  </si>
  <si>
    <t>0.5,0.65</t>
  </si>
  <si>
    <t>ACTIVE</t>
  </si>
  <si>
    <t>SIMPLE SWITCHER Power Converter 150 KHz 2A Step-Down Voltage Regulator with Features</t>
  </si>
  <si>
    <t>AC/DC &amp; DC/DC converters (integrated FET)</t>
  </si>
  <si>
    <t>Catalog</t>
  </si>
  <si>
    <t>Buck</t>
  </si>
  <si>
    <t>TO-220,TO-263</t>
  </si>
  <si>
    <t/>
  </si>
  <si>
    <t>-40 to 125</t>
  </si>
  <si>
    <t>82.6008,153.924</t>
  </si>
  <si>
    <t>10.1 x 15.24,10.16 x 8.13</t>
  </si>
  <si>
    <t>5,20.89</t>
  </si>
  <si>
    <t>ACTIVE</t>
  </si>
  <si>
    <t>150-mA,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</si>
  <si>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</si>
  <si>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</si>
  <si>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</si>
  <si>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</si>
  <si>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</si>
  <si>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</si>
  <si>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</si>
  <si>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50-mA,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</si>
  <si>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</si>
  <si>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</si>
  <si>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</si>
  <si>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</si>
  <si>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</si>
  <si>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</si>
  <si>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</si>
  <si>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100-mA, high-PSRR, low-dropout voltage regulator with enable</t>
  </si>
  <si>
    <t>Linear &amp; low-dropout (LDO) regulators</t>
  </si>
  <si>
    <t>Catalog</t>
  </si>
  <si>
    <t>SOT-23</t>
  </si>
  <si>
    <t/>
  </si>
  <si>
    <t>-40 to 125</t>
  </si>
  <si>
    <t>5,6</t>
  </si>
  <si>
    <t>2.9 x 2.8</t>
  </si>
  <si>
    <t>ACTIVE</t>
  </si>
  <si>
    <t>Micropower Step-Up DC/DC Converter with 350mA Peak Current Limit</t>
  </si>
  <si>
    <t>AC/DC &amp; DC/DC converters (integrated FET)</t>
  </si>
  <si>
    <t>Catalog</t>
  </si>
  <si>
    <t>Boost</t>
  </si>
  <si>
    <t>SOT-23</t>
  </si>
  <si>
    <t/>
  </si>
  <si>
    <t>-40 to 125</t>
  </si>
  <si>
    <t>2.9 x 2.8</t>
  </si>
  <si>
    <t>ACTIVE</t>
  </si>
  <si>
    <t>Low-power voltage supervisor &amp; reset IC with manual reset</t>
  </si>
  <si>
    <t>Reset &amp; watchdog ICs</t>
  </si>
  <si>
    <t>Catalog</t>
  </si>
  <si>
    <t>SOT-23</t>
  </si>
  <si>
    <t/>
  </si>
  <si>
    <t>-40 to 125</t>
  </si>
  <si>
    <t>2.9 x 2.8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</si>
  <si>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</si>
  <si>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</si>
  <si>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</si>
  <si>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</si>
  <si>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</si>
  <si>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</si>
  <si>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</si>
  <si>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</si>
  <si>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</si>
  <si>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</si>
  <si>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</si>
  <si>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</si>
  <si>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</si>
  <si>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</si>
  <si>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</si>
  <si>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</si>
  <si>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</si>
  <si>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</si>
  <si>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</si>
  <si>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</si>
  <si>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</si>
  <si>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</si>
  <si>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</si>
  <si>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</si>
  <si>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</si>
  <si>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</si>
  <si>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</si>
  <si>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</si>
  <si>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</si>
  <si>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</si>
  <si>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</si>
  <si>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</si>
  <si>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</si>
  <si>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</si>
  <si>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</si>
  <si>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</si>
  <si>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</si>
  <si>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</si>
  <si>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</si>
  <si>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</si>
  <si>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</si>
  <si>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</si>
  <si>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</si>
  <si>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</si>
  <si>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</si>
  <si>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</si>
  <si>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</si>
  <si>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</si>
  <si>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</si>
  <si>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</si>
  <si>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</si>
  <si>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</si>
  <si>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</si>
  <si>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1W Isolated Regulated DC/DC Converters</t>
  </si>
  <si>
    <t>Isolated power modules (integrated transformer)</t>
  </si>
  <si>
    <t>Catalog</t>
  </si>
  <si>
    <t>Buck</t>
  </si>
  <si>
    <t>PDIP,SOIC</t>
  </si>
  <si>
    <t/>
  </si>
  <si>
    <t>-40 to 85</t>
  </si>
  <si>
    <t>10,12</t>
  </si>
  <si>
    <t>184.907,214.884</t>
  </si>
  <si>
    <t>17.9 x 10.33,22.86 x 9.4</t>
  </si>
  <si>
    <t>2.65,5.33</t>
  </si>
  <si>
    <t>1.27,2.54</t>
  </si>
  <si>
    <t>ACTIVE</t>
  </si>
  <si>
    <t>Miniature, 1W Isolated Regulated DC/DC Converters</t>
  </si>
  <si>
    <t>Isolated power modules (integrated transformer)</t>
  </si>
  <si>
    <t>Catalog</t>
  </si>
  <si>
    <t>Buck</t>
  </si>
  <si>
    <t>PDIP,SOIC</t>
  </si>
  <si>
    <t/>
  </si>
  <si>
    <t>-40 to 85</t>
  </si>
  <si>
    <t>10,12</t>
  </si>
  <si>
    <t>184.907,214.884</t>
  </si>
  <si>
    <t>17.9 x 10.33,22.86 x 9.4</t>
  </si>
  <si>
    <t>2.65,5.33</t>
  </si>
  <si>
    <t>1.27,2.54</t>
  </si>
  <si>
    <t>ACTIVE</t>
  </si>
  <si>
    <t>Miniature, 1W Isolated Regulated DC/DC Converters</t>
  </si>
  <si>
    <t>Isolated power modules (integrated transformer)</t>
  </si>
  <si>
    <t>Catalog</t>
  </si>
  <si>
    <t>Buck</t>
  </si>
  <si>
    <t>PDIP,SOIC</t>
  </si>
  <si>
    <t/>
  </si>
  <si>
    <t>-40 to 85</t>
  </si>
  <si>
    <t>10,12</t>
  </si>
  <si>
    <t>184.907,214.884</t>
  </si>
  <si>
    <t>17.9 x 10.33,22.86 x 9.4</t>
  </si>
  <si>
    <t>2.65,5.33</t>
  </si>
  <si>
    <t>1.27,2.54</t>
  </si>
  <si>
    <t>ACTIVE</t>
  </si>
  <si>
    <t>Miniature, 1W Isolated Regulated DC/DC Converters</t>
  </si>
  <si>
    <t>Isolated power modules (integrated transformer)</t>
  </si>
  <si>
    <t>Catalog</t>
  </si>
  <si>
    <t>Buck</t>
  </si>
  <si>
    <t>PDIP,SOIC</t>
  </si>
  <si>
    <t/>
  </si>
  <si>
    <t>-40 to 85</t>
  </si>
  <si>
    <t>10,12</t>
  </si>
  <si>
    <t>184.907,214.884</t>
  </si>
  <si>
    <t>17.9 x 10.33,22.86 x 9.4</t>
  </si>
  <si>
    <t>2.65,5.33</t>
  </si>
  <si>
    <t>1.27,2.54</t>
  </si>
  <si>
    <t>ACTIVE</t>
  </si>
  <si>
    <t>Miniature, 1W Isolated Regulated DC/DC Converters</t>
  </si>
  <si>
    <t>Isolated power modules (integrated transformer)</t>
  </si>
  <si>
    <t>Catalog</t>
  </si>
  <si>
    <t>Buck</t>
  </si>
  <si>
    <t>PDIP,SOIC</t>
  </si>
  <si>
    <t/>
  </si>
  <si>
    <t>-40 to 85</t>
  </si>
  <si>
    <t>10,12</t>
  </si>
  <si>
    <t>184.907,214.884</t>
  </si>
  <si>
    <t>17.9 x 10.33,22.86 x 9.4</t>
  </si>
  <si>
    <t>2.65,5.33</t>
  </si>
  <si>
    <t>1.27,2.54</t>
  </si>
  <si>
    <t>ACTIVE</t>
  </si>
  <si>
    <t>Miniature, 1W Isolated Regulated DC/DC Converters</t>
  </si>
  <si>
    <t>Isolated power modules (integrated transformer)</t>
  </si>
  <si>
    <t>Catalog</t>
  </si>
  <si>
    <t>Buck</t>
  </si>
  <si>
    <t>PDIP,SOIC</t>
  </si>
  <si>
    <t/>
  </si>
  <si>
    <t>-40 to 85</t>
  </si>
  <si>
    <t>10,12</t>
  </si>
  <si>
    <t>184.907,214.884</t>
  </si>
  <si>
    <t>17.9 x 10.33,22.86 x 9.4</t>
  </si>
  <si>
    <t>2.65,5.33</t>
  </si>
  <si>
    <t>1.27,2.54</t>
  </si>
  <si>
    <t>ACTIVE</t>
  </si>
  <si>
    <t>50mA Switched-Cap DC/DC Converter</t>
  </si>
  <si>
    <t>AC/DC &amp; DC/DC converters (integrated FET)</t>
  </si>
  <si>
    <t>Catalog</t>
  </si>
  <si>
    <t>VSSOP</t>
  </si>
  <si>
    <t/>
  </si>
  <si>
    <t>-40 to 85</t>
  </si>
  <si>
    <t>3 x 4.9</t>
  </si>
  <si>
    <t>ACTIVE</t>
  </si>
  <si>
    <t>50mA Switched-Cap DC/DC Converter</t>
  </si>
  <si>
    <t>AC/DC &amp; DC/DC converters (integrated FET)</t>
  </si>
  <si>
    <t>Catalog</t>
  </si>
  <si>
    <t>VSSOP</t>
  </si>
  <si>
    <t/>
  </si>
  <si>
    <t>-40 to 85</t>
  </si>
  <si>
    <t>3 x 4.9</t>
  </si>
  <si>
    <t>ACTIVE</t>
  </si>
  <si>
    <t>50mA Switched-Cap DC/DC Converter</t>
  </si>
  <si>
    <t>AC/DC &amp; DC/DC converters (integrated FET)</t>
  </si>
  <si>
    <t>Catalog</t>
  </si>
  <si>
    <t>VSSOP</t>
  </si>
  <si>
    <t/>
  </si>
  <si>
    <t>-40 to 85</t>
  </si>
  <si>
    <t>3 x 4.9</t>
  </si>
  <si>
    <t>ACTIVE</t>
  </si>
  <si>
    <t>50mA Switched-Cap DC/DC Converter</t>
  </si>
  <si>
    <t>AC/DC &amp; DC/DC converters (integrated FET)</t>
  </si>
  <si>
    <t>Catalog</t>
  </si>
  <si>
    <t>VSSOP</t>
  </si>
  <si>
    <t/>
  </si>
  <si>
    <t>-40 to 85</t>
  </si>
  <si>
    <t>3 x 4.9</t>
  </si>
  <si>
    <t>ACTIVE</t>
  </si>
  <si>
    <t>1.4MHz Cuk Converter</t>
  </si>
  <si>
    <t>AC/DC &amp; DC/DC converters (integrated FET)</t>
  </si>
  <si>
    <t>Catalog</t>
  </si>
  <si>
    <t>CuK,Inverting</t>
  </si>
  <si>
    <t>SOT-23</t>
  </si>
  <si>
    <t/>
  </si>
  <si>
    <t>-40 to 125</t>
  </si>
  <si>
    <t>2.9 x 2.8</t>
  </si>
  <si>
    <t>ACTIVE</t>
  </si>
  <si>
    <t>SIMPLE SWITCHER&amp;reg; 1.35A Boost Regulator</t>
  </si>
  <si>
    <t>AC/DC &amp; DC/DC converters (integrated FET)</t>
  </si>
  <si>
    <t>Catalog</t>
  </si>
  <si>
    <t>Boost,Flyback,Forward,SEPIC</t>
  </si>
  <si>
    <t>VSSOP</t>
  </si>
  <si>
    <t/>
  </si>
  <si>
    <t>-40 to 125</t>
  </si>
  <si>
    <t>3 x 4.9</t>
  </si>
  <si>
    <t>ACTIVE</t>
  </si>
  <si>
    <t>8-bit shift register for enhanced cascading with thermal shutdown</t>
  </si>
  <si>
    <t>Automotive LED drivers</t>
  </si>
  <si>
    <t>Automotive</t>
  </si>
  <si>
    <t>Open drain</t>
  </si>
  <si>
    <t>PDIP,SOIC</t>
  </si>
  <si>
    <t/>
  </si>
  <si>
    <t>-40 to 125</t>
  </si>
  <si>
    <t>131.84,228.702</t>
  </si>
  <si>
    <t>12.8 x 10.3,24.33 x 9.4</t>
  </si>
  <si>
    <t>2.65,5.08</t>
  </si>
  <si>
    <t>1.27,2.54</t>
  </si>
  <si>
    <t>ACTIVE</t>
  </si>
  <si>
    <t>8-bit shift register for enhanced cascading with enable/shutdown</t>
  </si>
  <si>
    <t>Automotive LED drivers</t>
  </si>
  <si>
    <t>Automotive</t>
  </si>
  <si>
    <t>Open drain</t>
  </si>
  <si>
    <t>PDIP,SOIC</t>
  </si>
  <si>
    <t/>
  </si>
  <si>
    <t>-40 to 125</t>
  </si>
  <si>
    <t>20,24</t>
  </si>
  <si>
    <t>159.65,224.0214</t>
  </si>
  <si>
    <t>15.5 x 10.3,24.51 x 9.14</t>
  </si>
  <si>
    <t>2.65,5.08</t>
  </si>
  <si>
    <t>1.27,2.54</t>
  </si>
  <si>
    <t>ACTIVE</t>
  </si>
  <si>
    <t>Battery-backup supervisor for low-power processors</t>
  </si>
  <si>
    <t>Reset &amp; watchdog ICs</t>
  </si>
  <si>
    <t>Catalog</t>
  </si>
  <si>
    <t>TSSOP</t>
  </si>
  <si>
    <t/>
  </si>
  <si>
    <t>-40 to 85</t>
  </si>
  <si>
    <t>5 x 6.4</t>
  </si>
  <si>
    <t>ACTIVE</t>
  </si>
  <si>
    <t>Open-drain, supply voltage supervisor with manual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</si>
  <si>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</si>
  <si>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</si>
  <si>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</si>
  <si>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</si>
  <si>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</si>
  <si>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</si>
  <si>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</si>
  <si>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Active-low, open-drain, supply voltage supervisor with watchdog timer &amp; manual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</si>
  <si>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</si>
  <si>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</si>
  <si>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</si>
  <si>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</si>
  <si>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</si>
  <si>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</si>
  <si>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</si>
  <si>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Adjustable battery-backup supervisor for RAM retention</t>
  </si>
  <si>
    <t>Reset &amp; watchdog ICs</t>
  </si>
  <si>
    <t>Catalog</t>
  </si>
  <si>
    <t>VSSOP</t>
  </si>
  <si>
    <t/>
  </si>
  <si>
    <t>-40 to 85</t>
  </si>
  <si>
    <t>3 x 4.9</t>
  </si>
  <si>
    <t>ACTIVE</t>
  </si>
  <si>
    <t>voltage supervisor (reset IC) with programmable window watchdog</t>
  </si>
  <si>
    <t>Reset &amp; watchdog ICs</t>
  </si>
  <si>
    <t>Catalog</t>
  </si>
  <si>
    <t>SOT-23</t>
  </si>
  <si>
    <t/>
  </si>
  <si>
    <t>-40 to 85</t>
  </si>
  <si>
    <t>2.9 x 2.8</t>
  </si>
  <si>
    <t>ACTIVE</t>
  </si>
  <si>
    <t>Miniature, 2W Isolated Regulated DC/DC Converters</t>
  </si>
  <si>
    <t>Isolated power modules (integrated transformer)</t>
  </si>
  <si>
    <t>Catalog</t>
  </si>
  <si>
    <t>Buck</t>
  </si>
  <si>
    <t>PDIP,SOP</t>
  </si>
  <si>
    <t/>
  </si>
  <si>
    <t>-40 to 70</t>
  </si>
  <si>
    <t>214.884,240.03</t>
  </si>
  <si>
    <t>22.86 x 10.5,22.86 x 9.4</t>
  </si>
  <si>
    <t>ACTIVE</t>
  </si>
  <si>
    <t>Miniature, 2W Isolated Regulated DC/DC Converters</t>
  </si>
  <si>
    <t>Isolated power modules (integrated transformer)</t>
  </si>
  <si>
    <t>Catalog</t>
  </si>
  <si>
    <t>Buck</t>
  </si>
  <si>
    <t>PDIP,SOP</t>
  </si>
  <si>
    <t/>
  </si>
  <si>
    <t>-40 to 70</t>
  </si>
  <si>
    <t>214.884,240.03</t>
  </si>
  <si>
    <t>22.86 x 10.5,22.86 x 9.4</t>
  </si>
  <si>
    <t>ACTIVE</t>
  </si>
  <si>
    <t>100-mA, 10-V, low-dropout voltage regulator with enable</t>
  </si>
  <si>
    <t>Linear &amp; low-dropout (LDO) regulators</t>
  </si>
  <si>
    <t>Catalog</t>
  </si>
  <si>
    <t>SOIC,SOT-23</t>
  </si>
  <si>
    <t/>
  </si>
  <si>
    <t>-40 to 85</t>
  </si>
  <si>
    <t>5,8</t>
  </si>
  <si>
    <t>8.12,29.4</t>
  </si>
  <si>
    <t>2.9 x 2.8,4.9 x 6</t>
  </si>
  <si>
    <t>1.45,1.75</t>
  </si>
  <si>
    <t>0.95,1.27</t>
  </si>
  <si>
    <t>ACTIVE</t>
  </si>
  <si>
    <t>Space-grade QMLV, 1.5-A/1.5-A single-channel gate driver with 40-V VDD and output latch</t>
  </si>
  <si>
    <t>Low-side drivers</t>
  </si>
  <si>
    <t>Space</t>
  </si>
  <si>
    <t>CDIP</t>
  </si>
  <si>
    <t/>
  </si>
  <si>
    <t>-55 to 125</t>
  </si>
  <si>
    <t>9.6 x 6.67</t>
  </si>
  <si>
    <t>ACTIVE</t>
  </si>
  <si>
    <t>current Regulated switched capacitor LED supply with Analog and PWM brightness control</t>
  </si>
  <si>
    <t>Backlight LED drivers</t>
  </si>
  <si>
    <t>Catalog</t>
  </si>
  <si>
    <t>Boost</t>
  </si>
  <si>
    <t>DSBGA</t>
  </si>
  <si>
    <t/>
  </si>
  <si>
    <t>-30 to 85</t>
  </si>
  <si>
    <t>2.482 x 2.25</t>
  </si>
  <si>
    <t>ACTIVE</t>
  </si>
  <si>
    <t>150-mA, low-dropout voltage regulator with power good &amp; enable</t>
  </si>
  <si>
    <t>Linear &amp; low-dropout (LDO) regulators</t>
  </si>
  <si>
    <t>Catalog</t>
  </si>
  <si>
    <t>DSBGA,SOT-23</t>
  </si>
  <si>
    <t/>
  </si>
  <si>
    <t>-40 to 125</t>
  </si>
  <si>
    <t>2.02,8.12</t>
  </si>
  <si>
    <t>1.616 x 1.25,2.9 x 2.8</t>
  </si>
  <si>
    <t>0.675,1.45</t>
  </si>
  <si>
    <t>0.5,0.95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</si>
  <si>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</si>
  <si>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</si>
  <si>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</si>
  <si>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</si>
  <si>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</si>
  <si>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</si>
  <si>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</si>
  <si>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</si>
  <si>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</si>
  <si>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</si>
  <si>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</si>
  <si>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</si>
  <si>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</si>
  <si>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</si>
  <si>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</si>
  <si>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</si>
  <si>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</si>
  <si>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</si>
  <si>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</si>
  <si>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</si>
  <si>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</si>
  <si>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</si>
  <si>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</si>
  <si>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</si>
  <si>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</si>
  <si>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</si>
  <si>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</si>
  <si>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</si>
  <si>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</si>
  <si>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</si>
  <si>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</si>
  <si>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</si>
  <si>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</si>
  <si>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</si>
  <si>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</si>
  <si>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</si>
  <si>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</si>
  <si>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</si>
  <si>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</si>
  <si>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</si>
  <si>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</si>
  <si>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Radiation-hardened QMLV, 4.2-V to 40-V input, 1.5-A adjustable-output linear regulator</t>
  </si>
  <si>
    <t>Linear &amp; low-dropout (LDO) regulators</t>
  </si>
  <si>
    <t>Space</t>
  </si>
  <si>
    <t>CFP,DIESALE,TO-CAN</t>
  </si>
  <si>
    <t/>
  </si>
  <si>
    <t>-55 to 125</t>
  </si>
  <si>
    <t>0,2,3,16</t>
  </si>
  <si>
    <t>62.9285,91.6742,989.0252,See data sheet</t>
  </si>
  <si>
    <t>10.03 x 9.14,38.938 x 25.4,9.91 x 6.35,See data sheet</t>
  </si>
  <si>
    <t>2.03,4.7,7.747,—</t>
  </si>
  <si>
    <t>1.27,5.08,—</t>
  </si>
  <si>
    <t>ACTIVE</t>
  </si>
  <si>
    <t>0.5A loading, 1A ILIMIT, 2.7-5.5V, 80mΩ USB power switch, active-low</t>
  </si>
  <si>
    <t>USB power switches &amp; charging port controllers</t>
  </si>
  <si>
    <t>Catalog</t>
  </si>
  <si>
    <t>SOIC</t>
  </si>
  <si>
    <t/>
  </si>
  <si>
    <t>0 to 125</t>
  </si>
  <si>
    <t>4.9 x 6</t>
  </si>
  <si>
    <t>ACTIVE</t>
  </si>
  <si>
    <t>2-ch, 0.5A loading, 1A ILIMIT, 2.7-5.5V, 80mΩ USB power switch, active-low</t>
  </si>
  <si>
    <t>USB power switches &amp; charging port controllers</t>
  </si>
  <si>
    <t>Catalog</t>
  </si>
  <si>
    <t>SOIC</t>
  </si>
  <si>
    <t/>
  </si>
  <si>
    <t>0 to 125</t>
  </si>
  <si>
    <t>4.9 x 6</t>
  </si>
  <si>
    <t>ACTIVE</t>
  </si>
  <si>
    <t>3-ch, 0.5A loading, 1A ILIMIT, 2.7-5.5V, 80mΩ USB power switch, active-low</t>
  </si>
  <si>
    <t>USB power switches &amp; charging port controllers</t>
  </si>
  <si>
    <t>Catalog</t>
  </si>
  <si>
    <t>SOIC</t>
  </si>
  <si>
    <t/>
  </si>
  <si>
    <t>0 to 125</t>
  </si>
  <si>
    <t>9.9 x 6</t>
  </si>
  <si>
    <t>ACTIVE</t>
  </si>
  <si>
    <t>4-ch, 0.5A loading, 1A ILIMIT, 2.7-5.5V, 80mΩ USB power switch, active-low</t>
  </si>
  <si>
    <t>USB power switches &amp; charging port controllers</t>
  </si>
  <si>
    <t>Catalog</t>
  </si>
  <si>
    <t>SOIC</t>
  </si>
  <si>
    <t/>
  </si>
  <si>
    <t>0 to 125</t>
  </si>
  <si>
    <t>9.9 x 6</t>
  </si>
  <si>
    <t>ACTIVE</t>
  </si>
  <si>
    <t>4-ch, 0.25A loading, 2.7-5.5V, 80mΩ USB power switch, active-low</t>
  </si>
  <si>
    <t>USB power switches &amp; charging port controllers</t>
  </si>
  <si>
    <t>Catalog</t>
  </si>
  <si>
    <t>SOIC</t>
  </si>
  <si>
    <t/>
  </si>
  <si>
    <t>0 to 125</t>
  </si>
  <si>
    <t>9.9 x 6</t>
  </si>
  <si>
    <t>ACTIVE</t>
  </si>
  <si>
    <t>0.5A loading, 1A ILIMIT, 2.7-5.5V, 80mΩ USB power switch, active-high</t>
  </si>
  <si>
    <t>USB power switches &amp; charging port controllers</t>
  </si>
  <si>
    <t>Catalog</t>
  </si>
  <si>
    <t>SOIC</t>
  </si>
  <si>
    <t/>
  </si>
  <si>
    <t>0 to 85</t>
  </si>
  <si>
    <t>4.9 x 6</t>
  </si>
  <si>
    <t>ACTIVE</t>
  </si>
  <si>
    <t>4-ch, 0.5A loading, 1A ILIMIT, 2.7-5.5V, 80mΩ USB power switch, active-high</t>
  </si>
  <si>
    <t>USB power switches &amp; charging port controllers</t>
  </si>
  <si>
    <t>Catalog</t>
  </si>
  <si>
    <t>SOIC</t>
  </si>
  <si>
    <t/>
  </si>
  <si>
    <t>0 to 125</t>
  </si>
  <si>
    <t>9.9 x 6</t>
  </si>
  <si>
    <t>ACTIVE</t>
  </si>
  <si>
    <t>3-ch, 0.25A loading, 0.5A ILIMIT, 2.7-5.5V, 80mΩ USB power switch, active-low</t>
  </si>
  <si>
    <t>USB power switches &amp; charging port controllers</t>
  </si>
  <si>
    <t>Catalog</t>
  </si>
  <si>
    <t>SOIC</t>
  </si>
  <si>
    <t/>
  </si>
  <si>
    <t>0 to 125</t>
  </si>
  <si>
    <t>9.9 x 6</t>
  </si>
  <si>
    <t>ACTIVE</t>
  </si>
  <si>
    <t>4-ch, 0.25A loading, 2.7-5.5V, 80mΩ USB power switch, active-high</t>
  </si>
  <si>
    <t>USB power switches &amp; charging port controllers</t>
  </si>
  <si>
    <t>Catalog</t>
  </si>
  <si>
    <t>SOIC</t>
  </si>
  <si>
    <t/>
  </si>
  <si>
    <t>0 to 125</t>
  </si>
  <si>
    <t>9.9 x 6</t>
  </si>
  <si>
    <t>ACTIVE</t>
  </si>
  <si>
    <t>4-ch, 5.5-V, 0.7-A, 80-mΩ, load  switch with active high enables</t>
  </si>
  <si>
    <t>Load switches</t>
  </si>
  <si>
    <t>Catalog</t>
  </si>
  <si>
    <t>SOIC</t>
  </si>
  <si>
    <t/>
  </si>
  <si>
    <t>0 to 85</t>
  </si>
  <si>
    <t>9.9 x 6</t>
  </si>
  <si>
    <t>ACTIVE</t>
  </si>
  <si>
    <t>4-ch, 5.5-V, 0.7-A, 80-mΩ, load  switch with active low enables</t>
  </si>
  <si>
    <t>Load switches</t>
  </si>
  <si>
    <t>Catalog</t>
  </si>
  <si>
    <t>SOIC</t>
  </si>
  <si>
    <t/>
  </si>
  <si>
    <t>0 to 85</t>
  </si>
  <si>
    <t>9.9 x 6</t>
  </si>
  <si>
    <t>ACTIVE</t>
  </si>
  <si>
    <t>4-ch, 5.5-V, 0.25-A, 80-mΩ, load  switch with active high enables</t>
  </si>
  <si>
    <t>Load switches</t>
  </si>
  <si>
    <t>Catalog</t>
  </si>
  <si>
    <t>SOIC</t>
  </si>
  <si>
    <t/>
  </si>
  <si>
    <t>0 to 85</t>
  </si>
  <si>
    <t>9.9 x 6</t>
  </si>
  <si>
    <t>ACTIVE</t>
  </si>
  <si>
    <t>4-ch, 5.5-V, 0.25-A, 80-mΩ, load  switch with active low enables</t>
  </si>
  <si>
    <t>Load switches</t>
  </si>
  <si>
    <t>Catalog</t>
  </si>
  <si>
    <t>SOIC</t>
  </si>
  <si>
    <t/>
  </si>
  <si>
    <t>0 to 85</t>
  </si>
  <si>
    <t>9.9 x 6</t>
  </si>
  <si>
    <t>ACTIVE</t>
  </si>
  <si>
    <t>4-ch, 0.5A loading, 2.7-5.5V, 90mΩ USB power switch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</si>
  <si>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</si>
  <si>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</si>
  <si>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</si>
  <si>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</si>
  <si>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</si>
  <si>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</si>
  <si>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</si>
  <si>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8-bit shift register for enhanced cascading</t>
  </si>
  <si>
    <t>Automotive LED drivers</t>
  </si>
  <si>
    <t>Automotive</t>
  </si>
  <si>
    <t>Open drain</t>
  </si>
  <si>
    <t>PDIP,SOIC</t>
  </si>
  <si>
    <t/>
  </si>
  <si>
    <t>-40 to 125</t>
  </si>
  <si>
    <t>131.84,228.702</t>
  </si>
  <si>
    <t>12.8 x 10.3,24.33 x 9.4</t>
  </si>
  <si>
    <t>2.65,5.08</t>
  </si>
  <si>
    <t>1.27,2.54</t>
  </si>
  <si>
    <t>ACTIVE</t>
  </si>
  <si>
    <t>3-channel supervisor for switch-mode power supplies</t>
  </si>
  <si>
    <t>Supply-voltage supervisors</t>
  </si>
  <si>
    <t>Catalog</t>
  </si>
  <si>
    <t>PDIP,SOIC</t>
  </si>
  <si>
    <t/>
  </si>
  <si>
    <t>-40 to 85</t>
  </si>
  <si>
    <t>29.4,92.5083</t>
  </si>
  <si>
    <t>4.9 x 6,9.81 x 9.43</t>
  </si>
  <si>
    <t>1.75,5.08</t>
  </si>
  <si>
    <t>1.27,2.54</t>
  </si>
  <si>
    <t>ACTIVE</t>
  </si>
  <si>
    <t>Voltage supervisor &amp; reset IC with power fail input, low-line output &amp; manual reset</t>
  </si>
  <si>
    <t>Reset &amp; watchdog ICs</t>
  </si>
  <si>
    <t>Catalog</t>
  </si>
  <si>
    <t>VSSOP</t>
  </si>
  <si>
    <t/>
  </si>
  <si>
    <t>-40 to 85</t>
  </si>
  <si>
    <t>3 x 4.9</t>
  </si>
  <si>
    <t>ACTIVE</t>
  </si>
  <si>
    <t>Voltage supervisor &amp; reset IC with power fail input, low-line output, manual reset &amp; watchdog timer</t>
  </si>
  <si>
    <t>Reset &amp; watchdog ICs</t>
  </si>
  <si>
    <t>Catalog</t>
  </si>
  <si>
    <t>VSSOP</t>
  </si>
  <si>
    <t/>
  </si>
  <si>
    <t>-40 to 85</t>
  </si>
  <si>
    <t>3 x 4.9</t>
  </si>
  <si>
    <t>ACTIVE</t>
  </si>
  <si>
    <t>2.97V to 40V Wide Vin Low-Side N-Channel Controller for Switching Regulators</t>
  </si>
  <si>
    <t>AC/DC &amp; DC/DC controllers (external FET)</t>
  </si>
  <si>
    <t>Catalog</t>
  </si>
  <si>
    <t>Boost,Flyback,Forward,SEPIC</t>
  </si>
  <si>
    <t>VSSOP</t>
  </si>
  <si>
    <t/>
  </si>
  <si>
    <t>-40 to 125</t>
  </si>
  <si>
    <t>3 x 4.9</t>
  </si>
  <si>
    <t>ACTIVE</t>
  </si>
  <si>
    <t>1-A, 15-V, linear voltage regulator from 0°C to 125°C</t>
  </si>
  <si>
    <t>Linear &amp; low-dropout (LDO) regulators</t>
  </si>
  <si>
    <t>Catalog</t>
  </si>
  <si>
    <t>SOT-223,TO-252</t>
  </si>
  <si>
    <t/>
  </si>
  <si>
    <t>0 to 125</t>
  </si>
  <si>
    <t>3,4</t>
  </si>
  <si>
    <t>45.5,65.2078</t>
  </si>
  <si>
    <t>6.5 x 7,6.58 x 9.91</t>
  </si>
  <si>
    <t>1.8,2.55</t>
  </si>
  <si>
    <t>2.3,4.57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</si>
  <si>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</si>
  <si>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</si>
  <si>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</si>
  <si>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</si>
  <si>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</si>
  <si>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</si>
  <si>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</si>
  <si>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</si>
  <si>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</si>
  <si>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</si>
  <si>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</si>
  <si>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</si>
  <si>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</si>
  <si>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</si>
  <si>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</si>
  <si>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</si>
  <si>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</si>
  <si>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</si>
  <si>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</si>
  <si>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</si>
  <si>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</si>
  <si>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</si>
  <si>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</si>
  <si>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</si>
  <si>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</si>
  <si>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</si>
  <si>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</si>
  <si>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</si>
  <si>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</si>
  <si>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</si>
  <si>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</si>
  <si>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</si>
  <si>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</si>
  <si>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</si>
  <si>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</si>
  <si>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</si>
  <si>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</si>
  <si>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</si>
  <si>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</si>
  <si>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</si>
  <si>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</si>
  <si>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</si>
  <si>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</si>
  <si>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</si>
  <si>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</si>
  <si>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</si>
  <si>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</si>
  <si>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</si>
  <si>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</si>
  <si>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</si>
  <si>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</si>
  <si>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</si>
  <si>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</si>
  <si>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</si>
  <si>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</si>
  <si>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</si>
  <si>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</si>
  <si>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</si>
  <si>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</si>
  <si>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</si>
  <si>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</si>
  <si>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Active-low, push-pull, nano-power supervisors with manual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</si>
  <si>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</si>
  <si>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</si>
  <si>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</si>
  <si>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</si>
  <si>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</si>
  <si>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</si>
  <si>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</si>
  <si>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Active-high, push-pull, nano-power supervisors with manual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</si>
  <si>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</si>
  <si>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</si>
  <si>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</si>
  <si>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</si>
  <si>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</si>
  <si>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</si>
  <si>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</si>
  <si>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Active-low, open-drain, nano-power supervisors with manual reset</t>
  </si>
  <si>
    <t>Reset &amp; watchdog ICs</t>
  </si>
  <si>
    <t>Catalog</t>
  </si>
  <si>
    <t>SOT-23,WSON</t>
  </si>
  <si>
    <t/>
  </si>
  <si>
    <t>-40 to 85</t>
  </si>
  <si>
    <t>5,6</t>
  </si>
  <si>
    <t>4,8.12</t>
  </si>
  <si>
    <t>2 x 2,2.9 x 2.8</t>
  </si>
  <si>
    <t>0.8,1.45</t>
  </si>
  <si>
    <t>0.65,0.95</t>
  </si>
  <si>
    <t>ACTIVE</t>
  </si>
  <si>
    <t>300-mA, dual-channel adjustable ultra-low-dropout voltage regulator with enable</t>
  </si>
  <si>
    <t>Linear &amp; low-dropout (LDO) regulators</t>
  </si>
  <si>
    <t>Catalog</t>
  </si>
  <si>
    <t>DSBGA</t>
  </si>
  <si>
    <t/>
  </si>
  <si>
    <t>-40 to 125</t>
  </si>
  <si>
    <t>1.75 x 1.75</t>
  </si>
  <si>
    <t>ACTIVE</t>
  </si>
  <si>
    <t>Dual-processor voltage supervisor with power-fail &amp; watchdog timer</t>
  </si>
  <si>
    <t>Reset &amp; watchdog ICs</t>
  </si>
  <si>
    <t>Catalog</t>
  </si>
  <si>
    <t>SOIC,VSSOP</t>
  </si>
  <si>
    <t/>
  </si>
  <si>
    <t>-40 to 85</t>
  </si>
  <si>
    <t>14.7,29.4</t>
  </si>
  <si>
    <t>3 x 4.9,4.9 x 6</t>
  </si>
  <si>
    <t>1.1,1.75</t>
  </si>
  <si>
    <t>0.65,1.27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</si>
  <si>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</si>
  <si>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</si>
  <si>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</si>
  <si>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</si>
  <si>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</si>
  <si>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</si>
  <si>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</si>
  <si>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</si>
  <si>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</si>
  <si>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</si>
  <si>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</si>
  <si>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</si>
  <si>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</si>
  <si>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</si>
  <si>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</si>
  <si>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</si>
  <si>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</si>
  <si>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</si>
  <si>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</si>
  <si>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</si>
  <si>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</si>
  <si>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</si>
  <si>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</si>
  <si>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</si>
  <si>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</si>
  <si>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</si>
  <si>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</si>
  <si>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</si>
  <si>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</si>
  <si>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</si>
  <si>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</si>
  <si>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</si>
  <si>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</si>
  <si>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</si>
  <si>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</si>
  <si>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</si>
  <si>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</si>
  <si>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</si>
  <si>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</si>
  <si>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</si>
  <si>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</si>
  <si>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</si>
  <si>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</si>
  <si>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</si>
  <si>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</si>
  <si>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</si>
  <si>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</si>
  <si>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</si>
  <si>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</si>
  <si>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</si>
  <si>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</si>
  <si>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Miniature, 1W, 1500Vrms Isolated Unregulated DC/DC Converters</t>
  </si>
  <si>
    <t>Isolated power modules (integrated transformer)</t>
  </si>
  <si>
    <t>Catalog</t>
  </si>
  <si>
    <t>Push-Pull</t>
  </si>
  <si>
    <t>PDIP,SOP</t>
  </si>
  <si>
    <t/>
  </si>
  <si>
    <t>-40 to 85</t>
  </si>
  <si>
    <t>180.292,201.39</t>
  </si>
  <si>
    <t>19.18 x 10.5,19.18 x 9.4</t>
  </si>
  <si>
    <t>ACTIVE</t>
  </si>
  <si>
    <t>500-mA, 16-V, low-dropout voltage regulator with power good</t>
  </si>
  <si>
    <t>Linear &amp; low-dropout (LDO) regulators</t>
  </si>
  <si>
    <t>Catalog</t>
  </si>
  <si>
    <t>SOIC</t>
  </si>
  <si>
    <t/>
  </si>
  <si>
    <t>-40 to 125</t>
  </si>
  <si>
    <t>4.9 x 6</t>
  </si>
  <si>
    <t>ACTIVE</t>
  </si>
  <si>
    <t>100-mA, 35-V, adjustable linear voltage regulator</t>
  </si>
  <si>
    <t>Linear &amp; low-dropout (LDO) regulators</t>
  </si>
  <si>
    <t>Catalog</t>
  </si>
  <si>
    <t>SOIC,SOT-89,TO-92,TSSOP</t>
  </si>
  <si>
    <t/>
  </si>
  <si>
    <t>-40 to 125</t>
  </si>
  <si>
    <t>3,8</t>
  </si>
  <si>
    <t>18.4275,19.136,19.2,29.4</t>
  </si>
  <si>
    <t>3 x 6.4,4.5 x 4.095,4.9 x 6,5.2 x 3.68</t>
  </si>
  <si>
    <t>1.2,1.6,1.75,5.34</t>
  </si>
  <si>
    <t>0.65,1.27,1.5</t>
  </si>
  <si>
    <t>ACTIVE</t>
  </si>
  <si>
    <t>500-mA, 40-V, adjustable linear voltage regulator</t>
  </si>
  <si>
    <t>Linear &amp; low-dropout (LDO) regulators</t>
  </si>
  <si>
    <t>Catalog</t>
  </si>
  <si>
    <t>SOT-223,TO-252</t>
  </si>
  <si>
    <t/>
  </si>
  <si>
    <t>-40 to 125</t>
  </si>
  <si>
    <t>3,4</t>
  </si>
  <si>
    <t>45.5,66.726</t>
  </si>
  <si>
    <t>6.5 x 7,6.6 x 10.11</t>
  </si>
  <si>
    <t>1.8,2.52</t>
  </si>
  <si>
    <t>2.29,2.3</t>
  </si>
  <si>
    <t>ACTIVE</t>
  </si>
  <si>
    <t>Fixed &amp; adjustable-voltage, 0.2% 50-ppm/°C drift precision series voltage reference with enable pin</t>
  </si>
  <si>
    <t>Series voltage references</t>
  </si>
  <si>
    <t>Catalog</t>
  </si>
  <si>
    <t>SOT-23</t>
  </si>
  <si>
    <t/>
  </si>
  <si>
    <t>-40 to 85</t>
  </si>
  <si>
    <t>2.9 x 2.8</t>
  </si>
  <si>
    <t>ACTIVE</t>
  </si>
  <si>
    <t>3-V to 13-V dual channel hot swap with active low enable</t>
  </si>
  <si>
    <t>Hot-swap controllers</t>
  </si>
  <si>
    <t>Catalog</t>
  </si>
  <si>
    <t>SOIC,TSSOP</t>
  </si>
  <si>
    <t/>
  </si>
  <si>
    <t>-40 to 85</t>
  </si>
  <si>
    <t>32,59.4</t>
  </si>
  <si>
    <t>5 x 6.4,9.9 x 6</t>
  </si>
  <si>
    <t>1.2,1.75</t>
  </si>
  <si>
    <t>0.65,1.27</t>
  </si>
  <si>
    <t>ACTIVE</t>
  </si>
  <si>
    <t>3-V to 13-V dual channel hot swap with active high enable</t>
  </si>
  <si>
    <t>Hot-swap controllers</t>
  </si>
  <si>
    <t>Catalog</t>
  </si>
  <si>
    <t>SOIC,TSSOP</t>
  </si>
  <si>
    <t/>
  </si>
  <si>
    <t>-40 to 85</t>
  </si>
  <si>
    <t>32,59.4</t>
  </si>
  <si>
    <t>5 x 6.4,9.9 x 6</t>
  </si>
  <si>
    <t>1.2,1.75</t>
  </si>
  <si>
    <t>0.65,1.27</t>
  </si>
  <si>
    <t>ACTIVE</t>
  </si>
  <si>
    <t>3-V to 13-V hot swap controller with active low enable</t>
  </si>
  <si>
    <t>Hot-swap controllers</t>
  </si>
  <si>
    <t>Catalog</t>
  </si>
  <si>
    <t>SOIC,TSSOP</t>
  </si>
  <si>
    <t/>
  </si>
  <si>
    <t>-40 to 85</t>
  </si>
  <si>
    <t>32,51.9</t>
  </si>
  <si>
    <t>5 x 6.4,8.65 x 6</t>
  </si>
  <si>
    <t>1.2,1.75</t>
  </si>
  <si>
    <t>0.65,1.27</t>
  </si>
  <si>
    <t>ACTIVE</t>
  </si>
  <si>
    <t>3-V to 13-V hot swap controller with active high enable</t>
  </si>
  <si>
    <t>Hot-swap controllers</t>
  </si>
  <si>
    <t>Catalog</t>
  </si>
  <si>
    <t>SOIC,TSSOP</t>
  </si>
  <si>
    <t/>
  </si>
  <si>
    <t>-40 to 85</t>
  </si>
  <si>
    <t>32,51.9</t>
  </si>
  <si>
    <t>5 x 6.4,8.65 x 6</t>
  </si>
  <si>
    <t>1.2,1.75</t>
  </si>
  <si>
    <t>0.65,1.27</t>
  </si>
  <si>
    <t>ACTIVE</t>
  </si>
  <si>
    <t>50-kHz switched capacitor voltage doubler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</si>
  <si>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</si>
  <si>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</si>
  <si>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</si>
  <si>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</si>
  <si>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</si>
  <si>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</si>
  <si>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</si>
  <si>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200-kHz switched capacitor voltage doubler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</si>
  <si>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</si>
  <si>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</si>
  <si>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</si>
  <si>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</si>
  <si>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</si>
  <si>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</si>
  <si>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</si>
  <si>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150-mA, low-dropout voltage regulator with bypass &amp; enable</t>
  </si>
  <si>
    <t>Linear &amp; low-dropout (LDO) regulators</t>
  </si>
  <si>
    <t>Catalog</t>
  </si>
  <si>
    <t>DSBGA,SOT-23</t>
  </si>
  <si>
    <t/>
  </si>
  <si>
    <t>-40 to 125</t>
  </si>
  <si>
    <t>2.02,8.12</t>
  </si>
  <si>
    <t>1.616 x 1.25,2.9 x 2.8</t>
  </si>
  <si>
    <t>0.675,1.45</t>
  </si>
  <si>
    <t>0.5,0.95</t>
  </si>
  <si>
    <t>ACTIVE</t>
  </si>
  <si>
    <t>High Efficiency High-Side N-Channel Controller for Switching Regulator</t>
  </si>
  <si>
    <t>AC/DC &amp; DC/DC controllers (external FET)</t>
  </si>
  <si>
    <t>Catalog</t>
  </si>
  <si>
    <t>Buck</t>
  </si>
  <si>
    <t>VSSOP</t>
  </si>
  <si>
    <t/>
  </si>
  <si>
    <t>-40 to 125</t>
  </si>
  <si>
    <t>3 x 4.9</t>
  </si>
  <si>
    <t>ACTIVE</t>
  </si>
  <si>
    <t>2.97~40V Wide Input Range Boost/SEPIC/Flyback DC-DC Controller</t>
  </si>
  <si>
    <t>AC/DC &amp; DC/DC controllers (external FET)</t>
  </si>
  <si>
    <t>Catalog</t>
  </si>
  <si>
    <t>Boost,Flyback,Forward,SEPIC</t>
  </si>
  <si>
    <t>SOIC,VSSOP</t>
  </si>
  <si>
    <t/>
  </si>
  <si>
    <t>-40 to 125</t>
  </si>
  <si>
    <t>14.7,29.4</t>
  </si>
  <si>
    <t>3 x 4.9,4.9 x 6</t>
  </si>
  <si>
    <t>1.1,1.75</t>
  </si>
  <si>
    <t>0.65,1.27</t>
  </si>
  <si>
    <t>ACTIVE</t>
  </si>
  <si>
    <t>0.5%, low-voltage (1.24-V) adjustable precision shunt regulator</t>
  </si>
  <si>
    <t>Shunt voltage references</t>
  </si>
  <si>
    <t>Catalog</t>
  </si>
  <si>
    <t>SOT-23</t>
  </si>
  <si>
    <t/>
  </si>
  <si>
    <t>-40 to 85</t>
  </si>
  <si>
    <t>3,5</t>
  </si>
  <si>
    <t>6.9204,8.12</t>
  </si>
  <si>
    <t>2.9 x 2.8,2.92 x 2.37</t>
  </si>
  <si>
    <t>1.12,1.45</t>
  </si>
  <si>
    <t>0.95,0.96</t>
  </si>
  <si>
    <t>ACTIVE</t>
  </si>
  <si>
    <t>600kHz/1.3MHz Step-up PWM DC/DC Converter</t>
  </si>
  <si>
    <t>AC/DC &amp; DC/DC converters (integrated FET)</t>
  </si>
  <si>
    <t>Catalog</t>
  </si>
  <si>
    <t>Boost</t>
  </si>
  <si>
    <t>VSSOP</t>
  </si>
  <si>
    <t/>
  </si>
  <si>
    <t>-40 to 125</t>
  </si>
  <si>
    <t>3 x 4.9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</si>
  <si>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</si>
  <si>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</si>
  <si>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</si>
  <si>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</si>
  <si>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</si>
  <si>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</si>
  <si>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</si>
  <si>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</si>
  <si>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</si>
  <si>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</si>
  <si>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</si>
  <si>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</si>
  <si>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</si>
  <si>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</si>
  <si>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</si>
  <si>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</si>
  <si>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</si>
  <si>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</si>
  <si>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</si>
  <si>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</si>
  <si>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</si>
  <si>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</si>
  <si>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</si>
  <si>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</si>
  <si>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</si>
  <si>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</si>
  <si>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</si>
  <si>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</si>
  <si>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</si>
  <si>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</si>
  <si>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</si>
  <si>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Miniature, 1W Isolated Unregulated DC/DC Converters</t>
  </si>
  <si>
    <t>Isolated power modules (integrated transformer)</t>
  </si>
  <si>
    <t>Catalog</t>
  </si>
  <si>
    <t>Push-Pull</t>
  </si>
  <si>
    <t>PDIP,SOP</t>
  </si>
  <si>
    <t/>
  </si>
  <si>
    <t>-40 to 100</t>
  </si>
  <si>
    <t>180.292,201.39</t>
  </si>
  <si>
    <t>19.18 x 10.5,19.18 x 9.4</t>
  </si>
  <si>
    <t>ACTIVE</t>
  </si>
  <si>
    <t>3-V to 13-V dual channel hot swap with independent channel circuit breaking and active low enable</t>
  </si>
  <si>
    <t>Hot-swap controllers</t>
  </si>
  <si>
    <t>Catalog</t>
  </si>
  <si>
    <t>TSSOP</t>
  </si>
  <si>
    <t/>
  </si>
  <si>
    <t>-40 to 85</t>
  </si>
  <si>
    <t>6.5 x 6.4</t>
  </si>
  <si>
    <t>ACTIVE</t>
  </si>
  <si>
    <t>3-V to 13-V dual channel hot swap with independent channel circuit breaking and power good</t>
  </si>
  <si>
    <t>Hot-swap controllers</t>
  </si>
  <si>
    <t>Catalog</t>
  </si>
  <si>
    <t>TSSOP</t>
  </si>
  <si>
    <t/>
  </si>
  <si>
    <t>-40 to 85</t>
  </si>
  <si>
    <t>6.5 x 6.4</t>
  </si>
  <si>
    <t>ACTIVE</t>
  </si>
  <si>
    <t>2.5A High Efficiency Synchronous Switching Regulator</t>
  </si>
  <si>
    <t>AC/DC &amp; DC/DC converters (integrated FET)</t>
  </si>
  <si>
    <t>Catalog</t>
  </si>
  <si>
    <t>Buck</t>
  </si>
  <si>
    <t>TSSOP</t>
  </si>
  <si>
    <t/>
  </si>
  <si>
    <t>-40 to 125</t>
  </si>
  <si>
    <t>5 x 6.4</t>
  </si>
  <si>
    <t>ACTIVE</t>
  </si>
  <si>
    <t>11-kHz switched capacitor voltage doubler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</si>
  <si>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</si>
  <si>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</si>
  <si>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</si>
  <si>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</si>
  <si>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</si>
  <si>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</si>
  <si>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</si>
  <si>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Radiation-hardened QMLV, 1.5-A/1.5-A dual-channel gate driver with 40-V VDD and output latch</t>
  </si>
  <si>
    <t>Low-side drivers</t>
  </si>
  <si>
    <t>Space</t>
  </si>
  <si>
    <t>CDIP,CFP,LCCC</t>
  </si>
  <si>
    <t/>
  </si>
  <si>
    <t>-55 to 125</t>
  </si>
  <si>
    <t>16,20</t>
  </si>
  <si>
    <t>69.319,79.0321,135.3552</t>
  </si>
  <si>
    <t>10.3 x 6.73,19.56 x 6.92,8.89 x 8.89</t>
  </si>
  <si>
    <t>2.03,5.08</t>
  </si>
  <si>
    <t>1.27,2.54</t>
  </si>
  <si>
    <t>ACTIVE</t>
  </si>
  <si>
    <t>Radiation-tolerant QMLV, 30-V input, 2-A dual-output 1-MHz PWM controller, 100% duty cycle</t>
  </si>
  <si>
    <t>AC/DC &amp; DC/DC controllers (external FET)</t>
  </si>
  <si>
    <t>Space</t>
  </si>
  <si>
    <t>Boost,Buck,Flyback,Forward</t>
  </si>
  <si>
    <t>CDIP</t>
  </si>
  <si>
    <t/>
  </si>
  <si>
    <t>-55 to 125</t>
  </si>
  <si>
    <t>19.56 x 6.92</t>
  </si>
  <si>
    <t>ACTIVE</t>
  </si>
  <si>
    <t>Radiation-tolerant QMLV, 30-V input, 1.5-A dual-output  1-MHz PWM controller</t>
  </si>
  <si>
    <t>AC/DC &amp; DC/DC controllers (external FET)</t>
  </si>
  <si>
    <t>Space</t>
  </si>
  <si>
    <t>Boost,Flyback,Forward,Full bridge,Half bridge,Push pull</t>
  </si>
  <si>
    <t>CDIP,LCCC</t>
  </si>
  <si>
    <t/>
  </si>
  <si>
    <t>-55 to 125</t>
  </si>
  <si>
    <t>16,20</t>
  </si>
  <si>
    <t>79.0321,135.3552</t>
  </si>
  <si>
    <t>19.56 x 6.92,8.89 x 8.89</t>
  </si>
  <si>
    <t>2.03,5.08</t>
  </si>
  <si>
    <t>1.27,2.54</t>
  </si>
  <si>
    <t>ACTIVE</t>
  </si>
  <si>
    <t>Radiation-tolerant QMLV, 30-V input, 2-A dual-output 1-MHz PWM controller</t>
  </si>
  <si>
    <t>AC/DC &amp; DC/DC controllers (external FET)</t>
  </si>
  <si>
    <t>Space</t>
  </si>
  <si>
    <t>Boost,Flyback,Forward,Full bridge,Half bridge,Push pull</t>
  </si>
  <si>
    <t>CDIP,CFP,LCCC</t>
  </si>
  <si>
    <t/>
  </si>
  <si>
    <t>-55 to 125</t>
  </si>
  <si>
    <t>16,20</t>
  </si>
  <si>
    <t>72.136,79.0321,135.3552</t>
  </si>
  <si>
    <t>10.16 x 7.1,19.56 x 6.92,8.89 x 8.89</t>
  </si>
  <si>
    <t>2.03,2.133,5.08</t>
  </si>
  <si>
    <t>1.27,2.54</t>
  </si>
  <si>
    <t>ACTIVE</t>
  </si>
  <si>
    <t>Space-grade QMLV, 5-V to 35-V input, 400-mA, 1.5-V output with current limiter linear regulator</t>
  </si>
  <si>
    <t>AC/DC &amp; DC/DC controllers (external FET)</t>
  </si>
  <si>
    <t>Space</t>
  </si>
  <si>
    <t>CDIP,LCCC</t>
  </si>
  <si>
    <t/>
  </si>
  <si>
    <t>-55 to 125</t>
  </si>
  <si>
    <t>16,20</t>
  </si>
  <si>
    <t>79.0321,135.3552</t>
  </si>
  <si>
    <t>19.56 x 6.92,8.89 x 8.89</t>
  </si>
  <si>
    <t>2.03,5.08</t>
  </si>
  <si>
    <t>1.27,2.54</t>
  </si>
  <si>
    <t>ACTIVE</t>
  </si>
  <si>
    <t>Radiation-tolerant QMLV, 30-V input, 1-A single-output 500-kHz PWM controller, 100% duty cycle</t>
  </si>
  <si>
    <t>AC/DC &amp; DC/DC controllers (external FET)</t>
  </si>
  <si>
    <t>Space</t>
  </si>
  <si>
    <t>Boost,Flyback,Forward</t>
  </si>
  <si>
    <t>CDIP,DIESALE,LCCC</t>
  </si>
  <si>
    <t/>
  </si>
  <si>
    <t>-55 to 125</t>
  </si>
  <si>
    <t>0,8,20</t>
  </si>
  <si>
    <t>64.032,79.0321,See data sheet</t>
  </si>
  <si>
    <t>8.89 x 8.89,9.6 x 6.67,See data sheet</t>
  </si>
  <si>
    <t>2.03,5.08,—</t>
  </si>
  <si>
    <t>1.27,2.54,—</t>
  </si>
  <si>
    <t>ACTIVE</t>
  </si>
  <si>
    <t>Radiation-tolerant QMLV, enhanced 30-V input, 1-A 500-kHz PWM controller, 100% duty cycle</t>
  </si>
  <si>
    <t>AC/DC &amp; DC/DC controllers (external FET)</t>
  </si>
  <si>
    <t>Space</t>
  </si>
  <si>
    <t>Boost,Flyback,Forward</t>
  </si>
  <si>
    <t>CDIP,CFP,LCCC</t>
  </si>
  <si>
    <t/>
  </si>
  <si>
    <t>-55 to 125</t>
  </si>
  <si>
    <t>8,10,20</t>
  </si>
  <si>
    <t>45.4896,64.032,79.0321</t>
  </si>
  <si>
    <t>7.02 x 6.48,8.89 x 8.89,9.6 x 6.67</t>
  </si>
  <si>
    <t>2.03,2.59,5.08</t>
  </si>
  <si>
    <t>1.27,2.54</t>
  </si>
  <si>
    <t>ACTIVE</t>
  </si>
  <si>
    <t>Space-grade QMLV, 30-V input , 1-A single-output 500-kHz PWM controller, 50% duty cycle</t>
  </si>
  <si>
    <t>AC/DC &amp; DC/DC controllers (external FET)</t>
  </si>
  <si>
    <t>Space</t>
  </si>
  <si>
    <t>Boost,Flyback,Forward</t>
  </si>
  <si>
    <t>CDIP,LCCC</t>
  </si>
  <si>
    <t/>
  </si>
  <si>
    <t>-55 to 125</t>
  </si>
  <si>
    <t>8,20</t>
  </si>
  <si>
    <t>64.032,79.0321</t>
  </si>
  <si>
    <t>8.89 x 8.89,9.6 x 6.67</t>
  </si>
  <si>
    <t>2.03,5.08</t>
  </si>
  <si>
    <t>1.27,2.54</t>
  </si>
  <si>
    <t>ACTIVE</t>
  </si>
  <si>
    <t>Radiation-tolerant QMLV, 30-V input, 1-A single-output 500-kHz PWM controller, 50% duty cycle</t>
  </si>
  <si>
    <t>AC/DC &amp; DC/DC controllers (external FET)</t>
  </si>
  <si>
    <t>Space</t>
  </si>
  <si>
    <t>Boost,Flyback,Forward</t>
  </si>
  <si>
    <t>CDIP,CFP,LCCC</t>
  </si>
  <si>
    <t/>
  </si>
  <si>
    <t>-55 to 125</t>
  </si>
  <si>
    <t>8,10,20</t>
  </si>
  <si>
    <t>45.4896,64.032,79.0321</t>
  </si>
  <si>
    <t>7.02 x 6.48,8.89 x 8.89,9.6 x 6.67</t>
  </si>
  <si>
    <t>2.03,2.59,5.08</t>
  </si>
  <si>
    <t>1.27,2.54</t>
  </si>
  <si>
    <t>ACTIVE</t>
  </si>
  <si>
    <t>Radiation-tolerant QMLV, 40-V input, 0.5-A dual-output 500-kHz PWM controller</t>
  </si>
  <si>
    <t>AC/DC &amp; DC/DC controllers (external FET)</t>
  </si>
  <si>
    <t>Space</t>
  </si>
  <si>
    <t>Boost,Flyback,Forward,Full bridge,Half bridge,Push pull</t>
  </si>
  <si>
    <t>CDIP,CFP,DIESALE,LCCC</t>
  </si>
  <si>
    <t/>
  </si>
  <si>
    <t>-55 to 125</t>
  </si>
  <si>
    <t>0,16,20</t>
  </si>
  <si>
    <t>69.319,79.0321,135.3552,See data sheet</t>
  </si>
  <si>
    <t>10.3 x 6.73,19.56 x 6.92,8.89 x 8.89,See data sheet</t>
  </si>
  <si>
    <t>2.03,5.08,—</t>
  </si>
  <si>
    <t>1.27,2.54,—</t>
  </si>
  <si>
    <t>ACTIVE</t>
  </si>
  <si>
    <t>250-mA, 26-V, low-dropout voltage regulator with RESET with delay</t>
  </si>
  <si>
    <t>Linear &amp; low-dropout (LDO) regulators</t>
  </si>
  <si>
    <t>Catalog</t>
  </si>
  <si>
    <t>TO-263</t>
  </si>
  <si>
    <t/>
  </si>
  <si>
    <t>-40 to 125</t>
  </si>
  <si>
    <t>10.16 x 15.24</t>
  </si>
  <si>
    <t>ACTIVE</t>
  </si>
  <si>
    <t>150-mA, 16-V, low-dropout voltage regulator with enable and low VOUT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</si>
  <si>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</si>
  <si>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</si>
  <si>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</si>
  <si>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</si>
  <si>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</si>
  <si>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</si>
  <si>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</si>
  <si>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SIMPLE SWITCHER High Efficiency 5A Step-Down Voltage Regulator with Sync</t>
  </si>
  <si>
    <t>AC/DC &amp; DC/DC converters (integrated FET)</t>
  </si>
  <si>
    <t>Catalog</t>
  </si>
  <si>
    <t>Buck</t>
  </si>
  <si>
    <t>TO-220,TO-263,VSON</t>
  </si>
  <si>
    <t/>
  </si>
  <si>
    <t>-40 to 125</t>
  </si>
  <si>
    <t>7,14</t>
  </si>
  <si>
    <t>30,82.6008,153.924</t>
  </si>
  <si>
    <t>10.1 x 15.24,10.16 x 8.13,6 x 5</t>
  </si>
  <si>
    <t>1,5,20.89</t>
  </si>
  <si>
    <t>0.8,1.27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</si>
  <si>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</si>
  <si>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</si>
  <si>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</si>
  <si>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</si>
  <si>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</si>
  <si>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</si>
  <si>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</si>
  <si>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</si>
  <si>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</si>
  <si>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</si>
  <si>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</si>
  <si>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</si>
  <si>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</si>
  <si>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</si>
  <si>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Precision adjustable (programmable) shunt reference for military temperature range</t>
  </si>
  <si>
    <t>Shunt voltage references</t>
  </si>
  <si>
    <t>Military</t>
  </si>
  <si>
    <t>CDIP,LCCC</t>
  </si>
  <si>
    <t/>
  </si>
  <si>
    <t>-55 to 125</t>
  </si>
  <si>
    <t>8,20</t>
  </si>
  <si>
    <t>64.032,79.0321</t>
  </si>
  <si>
    <t>8.89 x 8.89,9.6 x 6.67</t>
  </si>
  <si>
    <t>2.03,5.08</t>
  </si>
  <si>
    <t>1.27,2.54</t>
  </si>
  <si>
    <t>ACTIVE</t>
  </si>
  <si>
    <t>Active-low, push-pull, voltage supervisor (reset IC) with 0.2-s watchdog &amp; manual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</si>
  <si>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</si>
  <si>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</si>
  <si>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</si>
  <si>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</si>
  <si>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</si>
  <si>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</si>
  <si>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</si>
  <si>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voltage supervisor (reset IC) with manual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</si>
  <si>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</si>
  <si>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</si>
  <si>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</si>
  <si>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</si>
  <si>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</si>
  <si>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</si>
  <si>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</si>
  <si>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Voltage monitor with watchdog timer</t>
  </si>
  <si>
    <t>Reset &amp; watchdog ICs</t>
  </si>
  <si>
    <t>Catalog</t>
  </si>
  <si>
    <t>SOT-23</t>
  </si>
  <si>
    <t/>
  </si>
  <si>
    <t>-40 to 85</t>
  </si>
  <si>
    <t>2.9 x 2.8</t>
  </si>
  <si>
    <t>ACTIVE</t>
  </si>
  <si>
    <t>Radiation-hardened QMLV, 2.5-V shunt voltage reference</t>
  </si>
  <si>
    <t>Shunt voltage references</t>
  </si>
  <si>
    <t>Space</t>
  </si>
  <si>
    <t>DIESALE,TO-CAN</t>
  </si>
  <si>
    <t/>
  </si>
  <si>
    <t>-55 to 125</t>
  </si>
  <si>
    <t>0,3</t>
  </si>
  <si>
    <t>34.8704,See data sheet</t>
  </si>
  <si>
    <t>6.41 x 5.44,See data sheet</t>
  </si>
  <si>
    <t>2.67,—</t>
  </si>
  <si>
    <t>2.54,—</t>
  </si>
  <si>
    <t>ACTIVE</t>
  </si>
  <si>
    <t>High Voltage (30V, 1.25A) Step Down Switching Regulator</t>
  </si>
  <si>
    <t>AC/DC &amp; DC/DC converters (integrated FET)</t>
  </si>
  <si>
    <t>Catalog</t>
  </si>
  <si>
    <t>Buck</t>
  </si>
  <si>
    <t>HTSSOP,WSON</t>
  </si>
  <si>
    <t/>
  </si>
  <si>
    <t>-40 to 125</t>
  </si>
  <si>
    <t>10,14</t>
  </si>
  <si>
    <t>16,32</t>
  </si>
  <si>
    <t>4 x 4,5 x 6.4</t>
  </si>
  <si>
    <t>0.8,1.2</t>
  </si>
  <si>
    <t>0.65,0.8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</si>
  <si>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</si>
  <si>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</si>
  <si>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</si>
  <si>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</si>
  <si>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</si>
  <si>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</si>
  <si>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</si>
  <si>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</si>
  <si>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</si>
  <si>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</si>
  <si>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</si>
  <si>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</si>
  <si>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</si>
  <si>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</si>
  <si>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</si>
  <si>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</si>
  <si>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</si>
  <si>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</si>
  <si>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</si>
  <si>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</si>
  <si>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</si>
  <si>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</si>
  <si>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</si>
  <si>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</si>
  <si>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</si>
  <si>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</si>
  <si>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</si>
  <si>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</si>
  <si>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</si>
  <si>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</si>
  <si>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</si>
  <si>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</si>
  <si>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</si>
  <si>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</si>
  <si>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</si>
  <si>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</si>
  <si>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</si>
  <si>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</si>
  <si>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</si>
  <si>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</si>
  <si>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</si>
  <si>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</si>
  <si>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</si>
  <si>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</si>
  <si>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</si>
  <si>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</si>
  <si>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</si>
  <si>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</si>
  <si>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</si>
  <si>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</si>
  <si>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</si>
  <si>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</si>
  <si>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</si>
  <si>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</si>
  <si>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</si>
  <si>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</si>
  <si>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</si>
  <si>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</si>
  <si>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</si>
  <si>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</si>
  <si>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</si>
  <si>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</si>
  <si>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</si>
  <si>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</si>
  <si>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</si>
  <si>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</si>
  <si>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</si>
  <si>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</si>
  <si>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</si>
  <si>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</si>
  <si>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</si>
  <si>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</si>
  <si>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</si>
  <si>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</si>
  <si>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</si>
  <si>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</si>
  <si>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</si>
  <si>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</si>
  <si>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</si>
  <si>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Miniature, 2W Isolated Unregulated DC/DC Converters</t>
  </si>
  <si>
    <t>Isolated power modules (integrated transformer)</t>
  </si>
  <si>
    <t>Catalog</t>
  </si>
  <si>
    <t>Push-Pull</t>
  </si>
  <si>
    <t>PDIP,SOIC</t>
  </si>
  <si>
    <t/>
  </si>
  <si>
    <t>-40 to 85</t>
  </si>
  <si>
    <t>7,12</t>
  </si>
  <si>
    <t>180.292,184.907</t>
  </si>
  <si>
    <t>17.9 x 10.33,19.18 x 9.4</t>
  </si>
  <si>
    <t>2.65,5.33</t>
  </si>
  <si>
    <t>1.27,2.54</t>
  </si>
  <si>
    <t>ACTIVE</t>
  </si>
  <si>
    <t>Switched Capacitor Voltage Doubling Inverter</t>
  </si>
  <si>
    <t>AC/DC &amp; DC/DC converters (integrated FET)</t>
  </si>
  <si>
    <t>Catalog</t>
  </si>
  <si>
    <t>VSSOP</t>
  </si>
  <si>
    <t/>
  </si>
  <si>
    <t>-40 to 85</t>
  </si>
  <si>
    <t>3 x 4.9</t>
  </si>
  <si>
    <t>ACTIVE</t>
  </si>
  <si>
    <t>3-A, low-dropout voltage regulator with power good &amp; enable</t>
  </si>
  <si>
    <t>Linear &amp; low-dropout (LDO) regulators</t>
  </si>
  <si>
    <t>Catalog</t>
  </si>
  <si>
    <t>TO-263</t>
  </si>
  <si>
    <t/>
  </si>
  <si>
    <t>-40 to 125</t>
  </si>
  <si>
    <t>10.16 x 15.24</t>
  </si>
  <si>
    <t>ACTIVE</t>
  </si>
  <si>
    <t>3-A, high-accuracy, low-dropout voltage regulator with power good &amp; enable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</si>
  <si>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</si>
  <si>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</si>
  <si>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</si>
  <si>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</si>
  <si>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</si>
  <si>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</si>
  <si>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</si>
  <si>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</si>
  <si>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</si>
  <si>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1.5-A, high-accuracy, low-dropout voltage regulator with enable</t>
  </si>
  <si>
    <t>Linear &amp; low-dropout (LDO) regulators</t>
  </si>
  <si>
    <t>Catalog</t>
  </si>
  <si>
    <t>SOT-223,TO-220,TO-263</t>
  </si>
  <si>
    <t/>
  </si>
  <si>
    <t>-40 to 125</t>
  </si>
  <si>
    <t>45.24,46.4312,86.0552,154.8384</t>
  </si>
  <si>
    <t>10.16 x 15.24,10.16 x 4.57,10.16 x 8.47,6.5 x 6.96</t>
  </si>
  <si>
    <t>1.8,4.7,4.83,20.92</t>
  </si>
  <si>
    <t>1.5,1.7</t>
  </si>
  <si>
    <t>ACTIVE</t>
  </si>
  <si>
    <t>1.5-A, low-dropout voltage regulator with sense &amp; enable</t>
  </si>
  <si>
    <t>Linear &amp; low-dropout (LDO) regulators</t>
  </si>
  <si>
    <t>Catalog</t>
  </si>
  <si>
    <t>SOT-223,TO-220,TO-263</t>
  </si>
  <si>
    <t/>
  </si>
  <si>
    <t>-40 to 125</t>
  </si>
  <si>
    <t>45.24,86.0552,154.8384</t>
  </si>
  <si>
    <t>10.16 x 15.24,10.16 x 8.47,6.5 x 6.96</t>
  </si>
  <si>
    <t>1.8,4.83,20.92</t>
  </si>
  <si>
    <t>1.5,1.7</t>
  </si>
  <si>
    <t>ACTIVE</t>
  </si>
  <si>
    <t>800-mA, low-dropout voltage regulator with enable &amp; sense</t>
  </si>
  <si>
    <t>Linear &amp; low-dropout (LDO) regulators</t>
  </si>
  <si>
    <t>Catalog</t>
  </si>
  <si>
    <t>SOT-223,TO-220,TO-263</t>
  </si>
  <si>
    <t/>
  </si>
  <si>
    <t>-40 to 125</t>
  </si>
  <si>
    <t>45.24,86.0552,154.8384</t>
  </si>
  <si>
    <t>10.16 x 15.24,10.16 x 8.47,6.5 x 6.96</t>
  </si>
  <si>
    <t>1.8,4.83,20.92</t>
  </si>
  <si>
    <t>1.5,1.7</t>
  </si>
  <si>
    <t>ACTIVE</t>
  </si>
  <si>
    <t>Fixed &amp; adjustable, precision micropower shunt voltage reference</t>
  </si>
  <si>
    <t>Shunt voltage references</t>
  </si>
  <si>
    <t>Catalog</t>
  </si>
  <si>
    <t>SOT-23</t>
  </si>
  <si>
    <t/>
  </si>
  <si>
    <t>-40 to 125</t>
  </si>
  <si>
    <t>2.92 x 2.37</t>
  </si>
  <si>
    <t>ACTIVE</t>
  </si>
  <si>
    <t>3-pin voltage supervisor (reset IC) with active-high, push-pull reset for supply monitoring</t>
  </si>
  <si>
    <t>Reset &amp; watchdog ICs</t>
  </si>
  <si>
    <t>Catalog</t>
  </si>
  <si>
    <t>SOT-23</t>
  </si>
  <si>
    <t/>
  </si>
  <si>
    <t>-40 to 105</t>
  </si>
  <si>
    <t>2.92 x 2.37</t>
  </si>
  <si>
    <t>ACTIVE</t>
  </si>
  <si>
    <t>16-channel LED driver with 20Mhz data transfer rate</t>
  </si>
  <si>
    <t>LED display drivers</t>
  </si>
  <si>
    <t>Catalog</t>
  </si>
  <si>
    <t>HTSSOP</t>
  </si>
  <si>
    <t/>
  </si>
  <si>
    <t>-20 to 85</t>
  </si>
  <si>
    <t>11 x 8.1</t>
  </si>
  <si>
    <t>ACTIVE</t>
  </si>
  <si>
    <t>Active-low, push-pull, supply voltage supervisor with watchdog timer &amp; manual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</si>
  <si>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</si>
  <si>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</si>
  <si>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</si>
  <si>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</si>
  <si>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</si>
  <si>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</si>
  <si>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</si>
  <si>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Supply voltage supervisor with watchdog timer</t>
  </si>
  <si>
    <t>Reset &amp; watchdog ICs</t>
  </si>
  <si>
    <t>Catalog</t>
  </si>
  <si>
    <t>SOT-23</t>
  </si>
  <si>
    <t/>
  </si>
  <si>
    <t>-40 to 85</t>
  </si>
  <si>
    <t>2.9 x 2.8</t>
  </si>
  <si>
    <t>ACTIVE</t>
  </si>
  <si>
    <t>Push-pull, supply voltage supervisor with manual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</si>
  <si>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</si>
  <si>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</si>
  <si>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</si>
  <si>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</si>
  <si>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</si>
  <si>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</si>
  <si>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</si>
  <si>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200-ms delay, small supply voltage supervisors with manual reset</t>
  </si>
  <si>
    <t>Reset &amp; watchdog ICs</t>
  </si>
  <si>
    <t>Catalog</t>
  </si>
  <si>
    <t>SOT-SC70</t>
  </si>
  <si>
    <t/>
  </si>
  <si>
    <t>-40 to 85</t>
  </si>
  <si>
    <t>2 x 2.1</t>
  </si>
  <si>
    <t>ACTIVE</t>
  </si>
  <si>
    <t>3-pin voltage supervisor (reset IC) with active-low, push-pull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</si>
  <si>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</si>
  <si>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</si>
  <si>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</si>
  <si>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</si>
  <si>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</si>
  <si>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</si>
  <si>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</si>
  <si>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 250-mA ultra-low IQ low-dropout voltage regulator</t>
  </si>
  <si>
    <t>Linear &amp; low-dropout (LDO) regulators</t>
  </si>
  <si>
    <t>Catalog</t>
  </si>
  <si>
    <t>SOIC</t>
  </si>
  <si>
    <t/>
  </si>
  <si>
    <t>-40 to 125</t>
  </si>
  <si>
    <t>4.9 x 6</t>
  </si>
  <si>
    <t>ACTIVE</t>
  </si>
  <si>
    <t>500-mA, 10-V, low-IQ, low-dropout voltage regulator with enable &amp; RESET with delay</t>
  </si>
  <si>
    <t>Linear &amp; low-dropout (LDO) regulators</t>
  </si>
  <si>
    <t>Catalog</t>
  </si>
  <si>
    <t>HTSSOP,SOIC</t>
  </si>
  <si>
    <t/>
  </si>
  <si>
    <t>-40 to 125</t>
  </si>
  <si>
    <t>8,20</t>
  </si>
  <si>
    <t>29.4,41.6</t>
  </si>
  <si>
    <t>4.9 x 6,6.5 x 6.4</t>
  </si>
  <si>
    <t>1.2,1.75</t>
  </si>
  <si>
    <t>0.65,1.27</t>
  </si>
  <si>
    <t>ACTIVE</t>
  </si>
  <si>
    <t>500-mA, 10-V, low-IQ, low-dropout voltage regulator with power good &amp; enable</t>
  </si>
  <si>
    <t>Linear &amp; low-dropout (LDO) regulators</t>
  </si>
  <si>
    <t>Catalog</t>
  </si>
  <si>
    <t>HTSSOP,SOIC</t>
  </si>
  <si>
    <t/>
  </si>
  <si>
    <t>-40 to 125</t>
  </si>
  <si>
    <t>8,20</t>
  </si>
  <si>
    <t>29.4,41.6</t>
  </si>
  <si>
    <t>4.9 x 6,6.5 x 6.4</t>
  </si>
  <si>
    <t>1.2,1.75</t>
  </si>
  <si>
    <t>0.65,1.27</t>
  </si>
  <si>
    <t>ACTIVE</t>
  </si>
  <si>
    <t>750-mA, 10-V, low-dropout voltage regulator with enable &amp; RESET with delay</t>
  </si>
  <si>
    <t>Linear &amp; low-dropout (LDO) regulators</t>
  </si>
  <si>
    <t>Catalog</t>
  </si>
  <si>
    <t>HTSSOP,SOIC</t>
  </si>
  <si>
    <t/>
  </si>
  <si>
    <t>-40 to 125</t>
  </si>
  <si>
    <t>8,20</t>
  </si>
  <si>
    <t>29.4,41.6</t>
  </si>
  <si>
    <t>4.9 x 6,6.5 x 6.4</t>
  </si>
  <si>
    <t>1.2,1.75</t>
  </si>
  <si>
    <t>0.65,1.27</t>
  </si>
  <si>
    <t>ACTIVE</t>
  </si>
  <si>
    <t>750-mA, 10-V, low-dropout voltage regulator with power good &amp; enable</t>
  </si>
  <si>
    <t>Linear &amp; low-dropout (LDO) regulators</t>
  </si>
  <si>
    <t>Catalog</t>
  </si>
  <si>
    <t>HTSSOP,SOIC</t>
  </si>
  <si>
    <t/>
  </si>
  <si>
    <t>-40 to 125</t>
  </si>
  <si>
    <t>8,20</t>
  </si>
  <si>
    <t>29.4,41.6</t>
  </si>
  <si>
    <t>4.9 x 6,6.5 x 6.4</t>
  </si>
  <si>
    <t>1.2,1.75</t>
  </si>
  <si>
    <t>0.65,1.27</t>
  </si>
  <si>
    <t>ACTIVE</t>
  </si>
  <si>
    <t>3-pin voltage supervisor (reset IC) with active-low, push-pull reset for supply monitoring</t>
  </si>
  <si>
    <t>Reset &amp; watchdog ICs</t>
  </si>
  <si>
    <t>Catalog</t>
  </si>
  <si>
    <t>SOT-23</t>
  </si>
  <si>
    <t/>
  </si>
  <si>
    <t>-40 to 105</t>
  </si>
  <si>
    <t>2.92 x 2.37</t>
  </si>
  <si>
    <t>ACTIVE</t>
  </si>
  <si>
    <t>8/16-channel LED driver</t>
  </si>
  <si>
    <t>LED display drivers</t>
  </si>
  <si>
    <t>Catalog</t>
  </si>
  <si>
    <t>HTQFP</t>
  </si>
  <si>
    <t/>
  </si>
  <si>
    <t>-20 to 85</t>
  </si>
  <si>
    <t>16 x 16</t>
  </si>
  <si>
    <t>ACTIVE</t>
  </si>
  <si>
    <t>1-A, 10-V, dual-channel low-dropout voltage regulator with power good &amp; enable</t>
  </si>
  <si>
    <t>Linear &amp; low-dropout (LDO) regulators</t>
  </si>
  <si>
    <t>Catalog</t>
  </si>
  <si>
    <t>HTSSOP</t>
  </si>
  <si>
    <t/>
  </si>
  <si>
    <t>-40 to 125</t>
  </si>
  <si>
    <t>9.7 x 6.4</t>
  </si>
  <si>
    <t>ACTIVE</t>
  </si>
  <si>
    <t>1-A, 10-V, low-dropout voltage regulator with enable &amp; RESET with delay</t>
  </si>
  <si>
    <t>Linear &amp; low-dropout (LDO) regulators</t>
  </si>
  <si>
    <t>Catalog</t>
  </si>
  <si>
    <t>HTSSOP,SOIC</t>
  </si>
  <si>
    <t/>
  </si>
  <si>
    <t>-40 to 125</t>
  </si>
  <si>
    <t>8,20</t>
  </si>
  <si>
    <t>29.4,41.6</t>
  </si>
  <si>
    <t>4.9 x 6,6.5 x 6.4</t>
  </si>
  <si>
    <t>1.2,1.75</t>
  </si>
  <si>
    <t>0.65,1.27</t>
  </si>
  <si>
    <t>ACTIVE</t>
  </si>
  <si>
    <t>1-A, 10-V, low-dropout voltage regulator with power good &amp; enable</t>
  </si>
  <si>
    <t>Linear &amp; low-dropout (LDO) regulators</t>
  </si>
  <si>
    <t>Catalog</t>
  </si>
  <si>
    <t>HTSSOP,SOIC</t>
  </si>
  <si>
    <t/>
  </si>
  <si>
    <t>-40 to 125</t>
  </si>
  <si>
    <t>8,20</t>
  </si>
  <si>
    <t>29.4,41.6</t>
  </si>
  <si>
    <t>4.9 x 6,6.5 x 6.4</t>
  </si>
  <si>
    <t>1.2,1.75</t>
  </si>
  <si>
    <t>0.65,1.27</t>
  </si>
  <si>
    <t>ACTIVE</t>
  </si>
  <si>
    <t>100-mA, 10-V, low-IQ,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</si>
  <si>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</si>
  <si>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</si>
  <si>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</si>
  <si>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</si>
  <si>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</si>
  <si>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</si>
  <si>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</si>
  <si>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50-mA, 10-V, low-IQ, low-dropout voltage regulator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</si>
  <si>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</si>
  <si>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</si>
  <si>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</si>
  <si>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</si>
  <si>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</si>
  <si>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</si>
  <si>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</si>
  <si>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2-ch, 0.5A loading, 2.7-5.5V, 100mΩ USB power switch</t>
  </si>
  <si>
    <t>USB power switches &amp; charging port controllers</t>
  </si>
  <si>
    <t>Catalog</t>
  </si>
  <si>
    <t>SOIC</t>
  </si>
  <si>
    <t/>
  </si>
  <si>
    <t>-40 to 125</t>
  </si>
  <si>
    <t>4.9 x 6</t>
  </si>
  <si>
    <t>ACTIVE</t>
  </si>
  <si>
    <t>0.1% 3-ppm/°C precision micropower low-dropout series voltage reference with enable pin</t>
  </si>
  <si>
    <t>Series voltage references</t>
  </si>
  <si>
    <t>Catalog</t>
  </si>
  <si>
    <t>SOIC</t>
  </si>
  <si>
    <t/>
  </si>
  <si>
    <t>0 to 70</t>
  </si>
  <si>
    <t>4.9 x 6</t>
  </si>
  <si>
    <t>ACTIVE</t>
  </si>
  <si>
    <t>5.5-A, 29-V, linear voltage regulator</t>
  </si>
  <si>
    <t>Linear &amp; low-dropout (LDO) regulators</t>
  </si>
  <si>
    <t>Catalog</t>
  </si>
  <si>
    <t>TO-220,TO-263</t>
  </si>
  <si>
    <t/>
  </si>
  <si>
    <t>-40 to 125</t>
  </si>
  <si>
    <t>46.5328,154.8384</t>
  </si>
  <si>
    <t>10.16 x 15.24,10.16 x 4.58</t>
  </si>
  <si>
    <t>4.83,19.55</t>
  </si>
  <si>
    <t>ACTIVE</t>
  </si>
  <si>
    <t>3-A, 29-V, linear voltage regulator</t>
  </si>
  <si>
    <t>Linear &amp; low-dropout (LDO) regulators</t>
  </si>
  <si>
    <t>Catalog</t>
  </si>
  <si>
    <t>TO-220,TO-263</t>
  </si>
  <si>
    <t/>
  </si>
  <si>
    <t>-40 to 125</t>
  </si>
  <si>
    <t>46.5328,154.8384</t>
  </si>
  <si>
    <t>10.16 x 15.24,10.16 x 4.58</t>
  </si>
  <si>
    <t>4.83,19.55</t>
  </si>
  <si>
    <t>ACTIVE</t>
  </si>
  <si>
    <t>1.5-A, 29-V, linear voltage regulator</t>
  </si>
  <si>
    <t>Linear &amp; low-dropout (LDO) regulators</t>
  </si>
  <si>
    <t>Catalog</t>
  </si>
  <si>
    <t>TO-220,TO-263,WSON</t>
  </si>
  <si>
    <t/>
  </si>
  <si>
    <t>-40 to 125</t>
  </si>
  <si>
    <t>3,8</t>
  </si>
  <si>
    <t>16,46.5328,154.8384</t>
  </si>
  <si>
    <t>10.16 x 15.24,10.16 x 4.58,4 x 4</t>
  </si>
  <si>
    <t>0.8,4.83,19.55</t>
  </si>
  <si>
    <t>0.8,2.54</t>
  </si>
  <si>
    <t>ACTIVE</t>
  </si>
  <si>
    <t>3-ch, 0.25A loading, 0.44A ILIMIT, 2.7-5.5V, 80mΩ USB power switch, active-low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</si>
  <si>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</si>
  <si>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</si>
  <si>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</si>
  <si>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</si>
  <si>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</si>
  <si>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</si>
  <si>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</si>
  <si>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1.5A High Efficiency Synchronous Switching Regulator</t>
  </si>
  <si>
    <t>AC/DC &amp; DC/DC converters (integrated FET)</t>
  </si>
  <si>
    <t>Catalog</t>
  </si>
  <si>
    <t>Buck</t>
  </si>
  <si>
    <t>TSSOP</t>
  </si>
  <si>
    <t/>
  </si>
  <si>
    <t>-40 to 125</t>
  </si>
  <si>
    <t>5 x 6.4</t>
  </si>
  <si>
    <t>ACTIVE</t>
  </si>
  <si>
    <t>750-mA, 10-V, dual-channel low-dropout voltage regulator with enable</t>
  </si>
  <si>
    <t>Linear &amp; low-dropout (LDO) regulators</t>
  </si>
  <si>
    <t>Catalog</t>
  </si>
  <si>
    <t>HTSSOP</t>
  </si>
  <si>
    <t/>
  </si>
  <si>
    <t>-40 to 125</t>
  </si>
  <si>
    <t>9.7 x 6.4</t>
  </si>
  <si>
    <t>ACTIVE</t>
  </si>
  <si>
    <t>5-A, 13-V, linear voltage regulator</t>
  </si>
  <si>
    <t>Linear &amp; low-dropout (LDO) regulators</t>
  </si>
  <si>
    <t>Catalog</t>
  </si>
  <si>
    <t>TO-220,TO-263</t>
  </si>
  <si>
    <t/>
  </si>
  <si>
    <t>-40 to 125</t>
  </si>
  <si>
    <t>46.5328,154.8384</t>
  </si>
  <si>
    <t>10.16 x 15.24,10.16 x 4.58</t>
  </si>
  <si>
    <t>4.83,19.55</t>
  </si>
  <si>
    <t>ACTIVE</t>
  </si>
  <si>
    <t>3-A, 13-V, linear voltage regulator</t>
  </si>
  <si>
    <t>Linear &amp; low-dropout (LDO) regulators</t>
  </si>
  <si>
    <t>Catalog</t>
  </si>
  <si>
    <t>TO-220,TO-263</t>
  </si>
  <si>
    <t/>
  </si>
  <si>
    <t>-40 to 125</t>
  </si>
  <si>
    <t>46.5328,154.8384</t>
  </si>
  <si>
    <t>10.16 x 15.24,10.16 x 4.58</t>
  </si>
  <si>
    <t>4.83,19.55</t>
  </si>
  <si>
    <t>ACTIVE</t>
  </si>
  <si>
    <t>Switched Capacitor Voltage Converter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</si>
  <si>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</si>
  <si>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</si>
  <si>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</si>
  <si>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</si>
  <si>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</si>
  <si>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</si>
  <si>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</si>
  <si>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10 kHz/80 kHz switched capacitor voltage converter</t>
  </si>
  <si>
    <t>AC/DC &amp; DC/DC converters (integrated FET)</t>
  </si>
  <si>
    <t>Catalog</t>
  </si>
  <si>
    <t>SOIC</t>
  </si>
  <si>
    <t/>
  </si>
  <si>
    <t>-40 to 85</t>
  </si>
  <si>
    <t>4.9 x 6</t>
  </si>
  <si>
    <t>ACTIVE</t>
  </si>
  <si>
    <t>8/16 channel LED driver with Selectable Data Output Timing</t>
  </si>
  <si>
    <t>LED display drivers</t>
  </si>
  <si>
    <t>Catalog</t>
  </si>
  <si>
    <t>HTQFP</t>
  </si>
  <si>
    <t/>
  </si>
  <si>
    <t>-20 to 85</t>
  </si>
  <si>
    <t>12 x 12</t>
  </si>
  <si>
    <t>ACTIVE</t>
  </si>
  <si>
    <t>3-ch, 0.5A loading, 0.9A ILIMIT, 2.7-5.5V, 80mΩ USB power switch, active-low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</si>
  <si>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</si>
  <si>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</si>
  <si>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</si>
  <si>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</si>
  <si>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</si>
  <si>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</si>
  <si>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</si>
  <si>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Processor supervisor with power fail and&amp;nbsp;integrated watchdog timer</t>
  </si>
  <si>
    <t>Reset &amp; watchdog ICs</t>
  </si>
  <si>
    <t>Catalog</t>
  </si>
  <si>
    <t>HVSSOP,SOIC</t>
  </si>
  <si>
    <t/>
  </si>
  <si>
    <t>-40 to 125</t>
  </si>
  <si>
    <t>14.7,29.4</t>
  </si>
  <si>
    <t>3 x 4.9,4.9 x 6</t>
  </si>
  <si>
    <t>1.1,1.75</t>
  </si>
  <si>
    <t>0.65,1.27</t>
  </si>
  <si>
    <t>ACTIVE</t>
  </si>
  <si>
    <t>Processor supervisor with power fail</t>
  </si>
  <si>
    <t>Supply-voltage supervisors</t>
  </si>
  <si>
    <t>Catalog</t>
  </si>
  <si>
    <t>HVSSOP,SOIC</t>
  </si>
  <si>
    <t/>
  </si>
  <si>
    <t>-40 to 85</t>
  </si>
  <si>
    <t>14.7,29.4</t>
  </si>
  <si>
    <t>3 x 4.9,4.9 x 6</t>
  </si>
  <si>
    <t>1.1,1.75</t>
  </si>
  <si>
    <t>0.65,1.27</t>
  </si>
  <si>
    <t>ACTIVE</t>
  </si>
  <si>
    <t>Dual-processor voltage supervisor with watchdog timer</t>
  </si>
  <si>
    <t>Reset &amp; watchdog ICs</t>
  </si>
  <si>
    <t>Catalog</t>
  </si>
  <si>
    <t>HVSSOP,SOIC</t>
  </si>
  <si>
    <t/>
  </si>
  <si>
    <t>-40 to 85</t>
  </si>
  <si>
    <t>14.7,29.4</t>
  </si>
  <si>
    <t>3 x 4.9,4.9 x 6</t>
  </si>
  <si>
    <t>1.1,1.75</t>
  </si>
  <si>
    <t>0.65,1.27</t>
  </si>
  <si>
    <t>ACTIVE</t>
  </si>
  <si>
    <t>Triple-processor voltage supervisor</t>
  </si>
  <si>
    <t>Reset &amp; watchdog ICs</t>
  </si>
  <si>
    <t>Catalog</t>
  </si>
  <si>
    <t>HVSSOP,SOIC</t>
  </si>
  <si>
    <t/>
  </si>
  <si>
    <t>-40 to 85</t>
  </si>
  <si>
    <t>14.7,29.4</t>
  </si>
  <si>
    <t>3 x 4.9,4.9 x 6</t>
  </si>
  <si>
    <t>1.1,1.75</t>
  </si>
  <si>
    <t>0.65,1.27</t>
  </si>
  <si>
    <t>ACTIVE</t>
  </si>
  <si>
    <t>1A Low Dropout Adjustable Regulator</t>
  </si>
  <si>
    <t>Linear &amp; low-dropout (LDO) regulators</t>
  </si>
  <si>
    <t>Military</t>
  </si>
  <si>
    <t>CFP,DIESALE</t>
  </si>
  <si>
    <t/>
  </si>
  <si>
    <t>-55 to 125</t>
  </si>
  <si>
    <t>0,16</t>
  </si>
  <si>
    <t>62.9285,See data sheet</t>
  </si>
  <si>
    <t>9.91 x 6.35,See data sheet</t>
  </si>
  <si>
    <t>2.03,—</t>
  </si>
  <si>
    <t>1.27,—</t>
  </si>
  <si>
    <t>ACTIVE</t>
  </si>
  <si>
    <t>Radiation-hardened QMLV, 6-V to 26-V input, 1-A adjustable output linear regulator</t>
  </si>
  <si>
    <t>Linear &amp; low-dropout (LDO) regulators</t>
  </si>
  <si>
    <t>Space</t>
  </si>
  <si>
    <t>CFP,DIESALE</t>
  </si>
  <si>
    <t/>
  </si>
  <si>
    <t>-55 to 125</t>
  </si>
  <si>
    <t>0,16</t>
  </si>
  <si>
    <t>62.9285,See data sheet</t>
  </si>
  <si>
    <t>9.91 x 6.35,See data sheet</t>
  </si>
  <si>
    <t>2.03,—</t>
  </si>
  <si>
    <t>1.27,—</t>
  </si>
  <si>
    <t>ACTIVE</t>
  </si>
  <si>
    <t>100-mA, 16-V, low-dropout voltage regulator with reverse current protection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</si>
  <si>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</si>
  <si>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</si>
  <si>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</si>
  <si>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</si>
  <si>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</si>
  <si>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</si>
  <si>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</si>
  <si>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20-mA switched capacitor voltage doubler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</si>
  <si>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</si>
  <si>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</si>
  <si>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</si>
  <si>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</si>
  <si>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</si>
  <si>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</si>
  <si>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</si>
  <si>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High frequency multimode synchronous controller</t>
  </si>
  <si>
    <t>AC/DC &amp; DC/DC controllers (external FET)</t>
  </si>
  <si>
    <t>Catalog</t>
  </si>
  <si>
    <t>Boost,Flyback,SEPIC</t>
  </si>
  <si>
    <t>TSSOP</t>
  </si>
  <si>
    <t/>
  </si>
  <si>
    <t>-40 to 85</t>
  </si>
  <si>
    <t>5 x 6.4</t>
  </si>
  <si>
    <t>ACTIVE</t>
  </si>
  <si>
    <t>High frequency multimode synchronous controller with optimized efficiency</t>
  </si>
  <si>
    <t>AC/DC &amp; DC/DC controllers (external FET)</t>
  </si>
  <si>
    <t>Catalog</t>
  </si>
  <si>
    <t>Boost,Flyback,SEPIC</t>
  </si>
  <si>
    <t>TSSOP</t>
  </si>
  <si>
    <t/>
  </si>
  <si>
    <t>0 to 70</t>
  </si>
  <si>
    <t>5 x 6.4</t>
  </si>
  <si>
    <t>ACTIVE</t>
  </si>
  <si>
    <t>0.2A loading, 2.7-5.5V, 33mΩ USB power switch, active-low</t>
  </si>
  <si>
    <t>USB power switches &amp; charging port controllers</t>
  </si>
  <si>
    <t>Catalog</t>
  </si>
  <si>
    <t>SOIC</t>
  </si>
  <si>
    <t/>
  </si>
  <si>
    <t>-40 to 125</t>
  </si>
  <si>
    <t>4.9 x 6</t>
  </si>
  <si>
    <t>ACTIVE</t>
  </si>
  <si>
    <t>0.6A loading, 2.7-5.5V, 33mΩ USB power switch, active-low</t>
  </si>
  <si>
    <t>USB power switches &amp; charging port controllers</t>
  </si>
  <si>
    <t>Catalog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</si>
  <si>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</si>
  <si>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</si>
  <si>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</si>
  <si>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</si>
  <si>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</si>
  <si>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</si>
  <si>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</si>
  <si>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</si>
  <si>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1A loading, 2.7-5.5V, 33mΩ USB power switch, active-low</t>
  </si>
  <si>
    <t>USB power switches &amp; charging port controllers</t>
  </si>
  <si>
    <t>Catalog</t>
  </si>
  <si>
    <t>SOIC</t>
  </si>
  <si>
    <t/>
  </si>
  <si>
    <t>-40 to 125</t>
  </si>
  <si>
    <t>4.9 x 6</t>
  </si>
  <si>
    <t>ACTIVE</t>
  </si>
  <si>
    <t>1.5A loading, 2.7-5.5V, 33mΩ USB power switch, active-low</t>
  </si>
  <si>
    <t>USB power switches &amp; charging port controllers</t>
  </si>
  <si>
    <t>Catalog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</si>
  <si>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</si>
  <si>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</si>
  <si>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</si>
  <si>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</si>
  <si>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</si>
  <si>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</si>
  <si>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</si>
  <si>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</si>
  <si>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2A loading, 2.7-5.5V, 33mΩ USB power switch, active-low</t>
  </si>
  <si>
    <t>USB power switches &amp; charging port controllers</t>
  </si>
  <si>
    <t>Catalog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</si>
  <si>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</si>
  <si>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</si>
  <si>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</si>
  <si>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</si>
  <si>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</si>
  <si>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</si>
  <si>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</si>
  <si>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</si>
  <si>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0.2A loading, 2.7-5.5V, 33mΩ USB power switch, active-high</t>
  </si>
  <si>
    <t>USB power switches &amp; charging port controllers</t>
  </si>
  <si>
    <t>Catalog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</si>
  <si>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</si>
  <si>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</si>
  <si>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</si>
  <si>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</si>
  <si>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</si>
  <si>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</si>
  <si>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</si>
  <si>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</si>
  <si>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0.6A loading, 2.7-5.5V, 33m&amp;Omega; USB power switch, active-high</t>
  </si>
  <si>
    <t>USB power switches &amp; charging port controllers</t>
  </si>
  <si>
    <t>Catalog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</si>
  <si>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</si>
  <si>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</si>
  <si>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</si>
  <si>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</si>
  <si>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</si>
  <si>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</si>
  <si>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</si>
  <si>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</si>
  <si>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1A loading, 2.7-5.5V, 33mΩ USB power switch, active-high</t>
  </si>
  <si>
    <t>USB power switches &amp; charging port controllers</t>
  </si>
  <si>
    <t>Catalog</t>
  </si>
  <si>
    <t>SOIC</t>
  </si>
  <si>
    <t/>
  </si>
  <si>
    <t>-40 to 125</t>
  </si>
  <si>
    <t>4.9 x 6</t>
  </si>
  <si>
    <t>ACTIVE</t>
  </si>
  <si>
    <t>1.5A loading, 2.7-5.5V, 33mΩ USB power switch, active-high</t>
  </si>
  <si>
    <t>USB power switches &amp; charging port controllers</t>
  </si>
  <si>
    <t>Catalog</t>
  </si>
  <si>
    <t>SOIC</t>
  </si>
  <si>
    <t/>
  </si>
  <si>
    <t>-40 to 125</t>
  </si>
  <si>
    <t>4.9 x 6</t>
  </si>
  <si>
    <t>ACTIVE</t>
  </si>
  <si>
    <t>2A loading, 2.7-5.5V, 33mΩ USB power switch, active-high</t>
  </si>
  <si>
    <t>USB power switches &amp; charging port controllers</t>
  </si>
  <si>
    <t>Catalog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</si>
  <si>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</si>
  <si>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</si>
  <si>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</si>
  <si>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</si>
  <si>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</si>
  <si>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</si>
  <si>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</si>
  <si>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</si>
  <si>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150-mA, 10-V,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</si>
  <si>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</si>
  <si>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</si>
  <si>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</si>
  <si>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</si>
  <si>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</si>
  <si>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</si>
  <si>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</si>
  <si>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1%, low-voltage (1.24-V) adjustable precision shunt regulator</t>
  </si>
  <si>
    <t>Shunt voltage references</t>
  </si>
  <si>
    <t>Catalog</t>
  </si>
  <si>
    <t>SOT-23,TO-92</t>
  </si>
  <si>
    <t/>
  </si>
  <si>
    <t>-40 to 85</t>
  </si>
  <si>
    <t>3,5</t>
  </si>
  <si>
    <t>6.9204,8.12,19.136</t>
  </si>
  <si>
    <t>2.9 x 2.8,2.92 x 2.37,5.2 x 3.68</t>
  </si>
  <si>
    <t>1.12,1.45,5.34</t>
  </si>
  <si>
    <t>0.95,0.96,1.27</t>
  </si>
  <si>
    <t>ACTIVE</t>
  </si>
  <si>
    <t>0.5A loading, 2.7-5.5V, 80mΩ USB power switch</t>
  </si>
  <si>
    <t>USB power switches &amp; charging port controllers</t>
  </si>
  <si>
    <t>Catalog</t>
  </si>
  <si>
    <t>SOIC</t>
  </si>
  <si>
    <t/>
  </si>
  <si>
    <t>-40 to 125</t>
  </si>
  <si>
    <t>4.9 x 6</t>
  </si>
  <si>
    <t>ACTIVE</t>
  </si>
  <si>
    <t>4-ch, 0.5A loading, 0.9A ILIMIT, 2.7-5.5V, 80mΩ USB power switch, active-low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</si>
  <si>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</si>
  <si>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</si>
  <si>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</si>
  <si>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</si>
  <si>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</si>
  <si>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</si>
  <si>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</si>
  <si>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4-ch, 0.5A loading, 0.9A ILIMIT, 2.7-5.5V, 80mΩ USB power switch, active-high</t>
  </si>
  <si>
    <t>USB power switches &amp; charging port controllers</t>
  </si>
  <si>
    <t>Catalog</t>
  </si>
  <si>
    <t>SOIC</t>
  </si>
  <si>
    <t/>
  </si>
  <si>
    <t>-40 to 125</t>
  </si>
  <si>
    <t>9.9 x 6</t>
  </si>
  <si>
    <t>ACTIVE</t>
  </si>
  <si>
    <t>Low power current mode push-pull PWM with 12.5/8.3V UVLO, -40°C to 85°C</t>
  </si>
  <si>
    <t>AC/DC &amp; DC/DC controllers (external FET)</t>
  </si>
  <si>
    <t>Catalog</t>
  </si>
  <si>
    <t>Push pull</t>
  </si>
  <si>
    <t>SOIC</t>
  </si>
  <si>
    <t/>
  </si>
  <si>
    <t>-40 to 85</t>
  </si>
  <si>
    <t>4.9 x 6</t>
  </si>
  <si>
    <t>ACTIVE</t>
  </si>
  <si>
    <t>Low power current mode push-pull PWM with 4.3/4.1V UVLO, -40°C to 85°C</t>
  </si>
  <si>
    <t>AC/DC &amp; DC/DC controllers (external FET)</t>
  </si>
  <si>
    <t>Catalog</t>
  </si>
  <si>
    <t>Push pull</t>
  </si>
  <si>
    <t>SOIC</t>
  </si>
  <si>
    <t/>
  </si>
  <si>
    <t>-40 to 85</t>
  </si>
  <si>
    <t>4.9 x 6</t>
  </si>
  <si>
    <t>ACTIVE</t>
  </si>
  <si>
    <t>Low power current mode push-pull PWM with discharge transistor, 12.5/8.3V UVLO, -40°C to 85°C</t>
  </si>
  <si>
    <t>AC/DC &amp; DC/DC controllers (external FET)</t>
  </si>
  <si>
    <t>Catalog</t>
  </si>
  <si>
    <t>Push pull</t>
  </si>
  <si>
    <t>SOIC,TSSOP</t>
  </si>
  <si>
    <t/>
  </si>
  <si>
    <t>-40 to 85</t>
  </si>
  <si>
    <t>19.2,29.4</t>
  </si>
  <si>
    <t>3 x 6.4,4.9 x 6</t>
  </si>
  <si>
    <t>1.2,1.75</t>
  </si>
  <si>
    <t>0.65,1.27</t>
  </si>
  <si>
    <t>ACTIVE</t>
  </si>
  <si>
    <t>low power current mode push-pull PWM with discharge transistor, 4.3/4.1V UVLO, -40°C to 85°C</t>
  </si>
  <si>
    <t>AC/DC &amp; DC/DC controllers (external FET)</t>
  </si>
  <si>
    <t>Catalog</t>
  </si>
  <si>
    <t>Push pull</t>
  </si>
  <si>
    <t>SOIC,TSSOP</t>
  </si>
  <si>
    <t/>
  </si>
  <si>
    <t>-40 to 85</t>
  </si>
  <si>
    <t>19.2,29.4</t>
  </si>
  <si>
    <t>3 x 6.4,4.9 x 6</t>
  </si>
  <si>
    <t>1.2,1.75</t>
  </si>
  <si>
    <t>0.65,1.27</t>
  </si>
  <si>
    <t>ACTIVE</t>
  </si>
  <si>
    <t>Low power current mode push-pull PWM with 12.5/8.3V UVLO, 0°C to 70°C</t>
  </si>
  <si>
    <t>AC/DC &amp; DC/DC controllers (external FET)</t>
  </si>
  <si>
    <t>Catalog</t>
  </si>
  <si>
    <t>Push pull</t>
  </si>
  <si>
    <t>PDIP,SOIC</t>
  </si>
  <si>
    <t/>
  </si>
  <si>
    <t>0 to 70</t>
  </si>
  <si>
    <t>29.4,92.5083</t>
  </si>
  <si>
    <t>4.9 x 6,9.81 x 9.43</t>
  </si>
  <si>
    <t>1.75,5.08</t>
  </si>
  <si>
    <t>1.27,2.54</t>
  </si>
  <si>
    <t>ACTIVE</t>
  </si>
  <si>
    <t>Low power current mode push-pull PWM with 4.3/4.1V UVLO, 0°C to 70°C</t>
  </si>
  <si>
    <t>AC/DC &amp; DC/DC controllers (external FET)</t>
  </si>
  <si>
    <t>Catalog</t>
  </si>
  <si>
    <t>Push pull</t>
  </si>
  <si>
    <t>SOIC</t>
  </si>
  <si>
    <t>Functional Safety-Capable</t>
  </si>
  <si>
    <t>0 to 70</t>
  </si>
  <si>
    <t>4.9 x 6</t>
  </si>
  <si>
    <t>ACTIVE</t>
  </si>
  <si>
    <t>Low power current mode push-pull PWM with discharge transistor, 12.5/8.3V UVLO, 0°C to 70°C</t>
  </si>
  <si>
    <t>AC/DC &amp; DC/DC controllers (external FET)</t>
  </si>
  <si>
    <t>Catalog</t>
  </si>
  <si>
    <t>Push pull</t>
  </si>
  <si>
    <t>SOIC</t>
  </si>
  <si>
    <t/>
  </si>
  <si>
    <t>0 to 70</t>
  </si>
  <si>
    <t>4.9 x 6</t>
  </si>
  <si>
    <t>ACTIVE</t>
  </si>
  <si>
    <t>Low power current mode push-pull PWM with discharge transistor, 4.3/4.1V UVLO, 0°C to 70°C</t>
  </si>
  <si>
    <t>AC/DC &amp; DC/DC controllers (external FET)</t>
  </si>
  <si>
    <t>Catalog</t>
  </si>
  <si>
    <t>Push pull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</si>
  <si>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</si>
  <si>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</si>
  <si>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</si>
  <si>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</si>
  <si>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</si>
  <si>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</si>
  <si>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</si>
  <si>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</si>
  <si>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800-mA, high-accuracy, low-dropout voltage regulator with enable</t>
  </si>
  <si>
    <t>Linear &amp; low-dropout (LDO) regulators</t>
  </si>
  <si>
    <t>Catalog</t>
  </si>
  <si>
    <t>SOT-223,TO-263</t>
  </si>
  <si>
    <t/>
  </si>
  <si>
    <t>-40 to 125</t>
  </si>
  <si>
    <t>45.24,154.8384</t>
  </si>
  <si>
    <t>10.16 x 15.24,6.5 x 6.96</t>
  </si>
  <si>
    <t>1.8,4.83</t>
  </si>
  <si>
    <t>1.5,1.7</t>
  </si>
  <si>
    <t>ACTIVE</t>
  </si>
  <si>
    <t>500-mA, 16-V, low-dropout voltage regulator with power good &amp; enable</t>
  </si>
  <si>
    <t>Linear &amp; low-dropout (LDO) regulators</t>
  </si>
  <si>
    <t>Catalog</t>
  </si>
  <si>
    <t>SOIC,VSSOP,WSON</t>
  </si>
  <si>
    <t/>
  </si>
  <si>
    <t>-40 to 125</t>
  </si>
  <si>
    <t>14.7,16,29.4</t>
  </si>
  <si>
    <t>3 x 4.9,4 x 4,4.9 x 6</t>
  </si>
  <si>
    <t>0.8,1.1,1.75</t>
  </si>
  <si>
    <t>0.65,0.8,1.27</t>
  </si>
  <si>
    <t>ACTIVE</t>
  </si>
  <si>
    <t>1.5%, low-voltage (1.24-V) adjustable precision shunt regulator</t>
  </si>
  <si>
    <t>Shunt voltage references</t>
  </si>
  <si>
    <t>Catalog</t>
  </si>
  <si>
    <t>SOT-23,TO-92</t>
  </si>
  <si>
    <t/>
  </si>
  <si>
    <t>-40 to 85</t>
  </si>
  <si>
    <t>3,5</t>
  </si>
  <si>
    <t>8.12,19.136</t>
  </si>
  <si>
    <t>2.9 x 2.8,5.2 x 3.68</t>
  </si>
  <si>
    <t>1.45,5.34</t>
  </si>
  <si>
    <t>0.95,1.27</t>
  </si>
  <si>
    <t>ACTIVE</t>
  </si>
  <si>
    <t>SIMPLE SWITCHER High Efficiency 3A Step-Down Voltage Regulator with Sync</t>
  </si>
  <si>
    <t>AC/DC &amp; DC/DC converters (integrated FET)</t>
  </si>
  <si>
    <t>Catalog</t>
  </si>
  <si>
    <t>Buck</t>
  </si>
  <si>
    <t>TO-220,TO-263,VSON</t>
  </si>
  <si>
    <t/>
  </si>
  <si>
    <t>-40 to 125</t>
  </si>
  <si>
    <t>7,14</t>
  </si>
  <si>
    <t>30,82.6008,153.924</t>
  </si>
  <si>
    <t>10.1 x 15.24,10.16 x 8.13,6 x 5</t>
  </si>
  <si>
    <t>1,5,20.89</t>
  </si>
  <si>
    <t>0.8,1.27</t>
  </si>
  <si>
    <t>ACTIVE</t>
  </si>
  <si>
    <t>SIMPLE SWITCHER Power Converter 150 kHz 0.5A Step-Down Voltage Regulator</t>
  </si>
  <si>
    <t>AC/DC &amp; DC/DC converters (integrated FET)</t>
  </si>
  <si>
    <t>Catalog</t>
  </si>
  <si>
    <t>Buck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</si>
  <si>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</si>
  <si>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</si>
  <si>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</si>
  <si>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</si>
  <si>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</si>
  <si>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</si>
  <si>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</si>
  <si>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</si>
  <si>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800-mA 15-V linear voltage regulator</t>
  </si>
  <si>
    <t>Linear &amp; low-dropout (LDO) regulators</t>
  </si>
  <si>
    <t>Catalog</t>
  </si>
  <si>
    <t>SOT-223,TO-220,TO-252,TO-263,WSON</t>
  </si>
  <si>
    <t/>
  </si>
  <si>
    <t>-40 to 125</t>
  </si>
  <si>
    <t>3,4,8</t>
  </si>
  <si>
    <t>16,45.5,46.5328,65.2078,154.8384</t>
  </si>
  <si>
    <t>10.16 x 15.24,10.16 x 4.58,4 x 4,6.5 x 7,6.58 x 9.91</t>
  </si>
  <si>
    <t>0.8,1.8,2.55,4.83,19.55</t>
  </si>
  <si>
    <t>0.8,2.3,2.54,4.57</t>
  </si>
  <si>
    <t>ACTIVE</t>
  </si>
  <si>
    <t>Active-low, push-pull, voltage supervisor (reset IC) with 1.6-s watchdog &amp; manual reset</t>
  </si>
  <si>
    <t>Reset &amp; watchdog ICs</t>
  </si>
  <si>
    <t>Catalog</t>
  </si>
  <si>
    <t>SOT-23</t>
  </si>
  <si>
    <t/>
  </si>
  <si>
    <t>-40 to 125</t>
  </si>
  <si>
    <t>2.9 x 2.8</t>
  </si>
  <si>
    <t>ACTIVE</t>
  </si>
  <si>
    <t>Active-high &amp; active-low, voltage supervisor (reset IC) with watchdog &amp; manual reset</t>
  </si>
  <si>
    <t>Reset &amp; watchdog ICs</t>
  </si>
  <si>
    <t>Catalog</t>
  </si>
  <si>
    <t>SOT-23</t>
  </si>
  <si>
    <t/>
  </si>
  <si>
    <t>-40 to 85</t>
  </si>
  <si>
    <t>2.9 x 2.8</t>
  </si>
  <si>
    <t>ACTIVE</t>
  </si>
  <si>
    <t>150-mA, 16-V,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</si>
  <si>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</si>
  <si>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</si>
  <si>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</si>
  <si>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</si>
  <si>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</si>
  <si>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</si>
  <si>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</si>
  <si>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150-mA, 16-V,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</si>
  <si>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</si>
  <si>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</si>
  <si>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</si>
  <si>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</si>
  <si>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</si>
  <si>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</si>
  <si>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</si>
  <si>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8V to 40V, 5A SIMPLE SWITCHER® buck converter with high efficiency</t>
  </si>
  <si>
    <t>AC/DC &amp; DC/DC converters (integrated FET)</t>
  </si>
  <si>
    <t>Catalog</t>
  </si>
  <si>
    <t>Buck</t>
  </si>
  <si>
    <t>TO-220,TO-263,VSON</t>
  </si>
  <si>
    <t/>
  </si>
  <si>
    <t>-40 to 125</t>
  </si>
  <si>
    <t>7,14</t>
  </si>
  <si>
    <t>30,82.6008,153.924</t>
  </si>
  <si>
    <t>10.1 x 15.24,10.16 x 8.13,6 x 5</t>
  </si>
  <si>
    <t>1,5,20.89</t>
  </si>
  <si>
    <t>0.8,1.27</t>
  </si>
  <si>
    <t>ACTIVE</t>
  </si>
  <si>
    <t>SIMPLE SWITCHER® 8V to 40V, 5A Step-Down DC/DC Switching Regulator with Adjustable Current Limit</t>
  </si>
  <si>
    <t>AC/DC &amp; DC/DC converters (integrated FET)</t>
  </si>
  <si>
    <t>Catalog</t>
  </si>
  <si>
    <t>Buck</t>
  </si>
  <si>
    <t>TO-220,TO-263,VSON</t>
  </si>
  <si>
    <t/>
  </si>
  <si>
    <t>-40 to 125</t>
  </si>
  <si>
    <t>7,14</t>
  </si>
  <si>
    <t>30,82.6008,153.924</t>
  </si>
  <si>
    <t>10.1 x 15.24,10.16 x 8.13,6 x 5</t>
  </si>
  <si>
    <t>1,5,20.89</t>
  </si>
  <si>
    <t>0.8,1.27</t>
  </si>
  <si>
    <t>ACTIVE</t>
  </si>
  <si>
    <t>5.5-V to 30-V, 200-kHz, synchronous D-CAP2 mode dual-buck controller with LDO</t>
  </si>
  <si>
    <t>AC/DC &amp; DC/DC controllers (external FET)</t>
  </si>
  <si>
    <t>Catalog</t>
  </si>
  <si>
    <t>Buck</t>
  </si>
  <si>
    <t>TSSOP</t>
  </si>
  <si>
    <t/>
  </si>
  <si>
    <t>0 to 125</t>
  </si>
  <si>
    <t>9.7 x 6.4</t>
  </si>
  <si>
    <t>ACTIVE</t>
  </si>
  <si>
    <t>1.2V to 14V input voltage, 1A load current, step-up DC-DC</t>
  </si>
  <si>
    <t>AC/DC &amp; DC/DC converters (integrated FET)</t>
  </si>
  <si>
    <t>Catalog</t>
  </si>
  <si>
    <t>Boost</t>
  </si>
  <si>
    <t>VSSOP</t>
  </si>
  <si>
    <t/>
  </si>
  <si>
    <t>-40 to 85</t>
  </si>
  <si>
    <t>3 x 4.9</t>
  </si>
  <si>
    <t>ACTIVE</t>
  </si>
  <si>
    <t>1.8-V to 5.5-VIN switched capacitor voltage inverter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</si>
  <si>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</si>
  <si>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</si>
  <si>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</si>
  <si>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</si>
  <si>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</si>
  <si>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</si>
  <si>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</si>
  <si>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1.8-V to 5.5-VIN switched capacitor voltage doubler</t>
  </si>
  <si>
    <t>AC/DC &amp; DC/DC converters (integrated FET)</t>
  </si>
  <si>
    <t>Catalog</t>
  </si>
  <si>
    <t>SOT-23</t>
  </si>
  <si>
    <t/>
  </si>
  <si>
    <t>-40 to 85</t>
  </si>
  <si>
    <t>2.9 x 2.8</t>
  </si>
  <si>
    <t>ACTIVE</t>
  </si>
  <si>
    <t>SIMPLE SWITCHER Power Converter 150 kHz 0.5A Step-Down Voltage Regulator, with Features</t>
  </si>
  <si>
    <t>AC/DC &amp; DC/DC converters (integrated FET)</t>
  </si>
  <si>
    <t>Catalog</t>
  </si>
  <si>
    <t>Buck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</si>
  <si>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</si>
  <si>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</si>
  <si>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</si>
  <si>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</si>
  <si>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</si>
  <si>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</si>
  <si>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</si>
  <si>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</si>
  <si>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100-mA, 30-V, low-dropout voltage regulator</t>
  </si>
  <si>
    <t>Linear &amp; low-dropout (LDO) regulators</t>
  </si>
  <si>
    <t>Catalog</t>
  </si>
  <si>
    <t>SOT-23</t>
  </si>
  <si>
    <t/>
  </si>
  <si>
    <t>-40 to 125</t>
  </si>
  <si>
    <t>2.92 x 2.37</t>
  </si>
  <si>
    <t>ACTIVE</t>
  </si>
  <si>
    <t>8V to 40V, 500mA SIMPLE SWITCHER® buck converter with 5 external components</t>
  </si>
  <si>
    <t>AC/DC &amp; DC/DC converters (integrated FET)</t>
  </si>
  <si>
    <t>Catalog</t>
  </si>
  <si>
    <t>Buck</t>
  </si>
  <si>
    <t>PDIP,SOIC,WSON</t>
  </si>
  <si>
    <t/>
  </si>
  <si>
    <t>-40 to 125</t>
  </si>
  <si>
    <t>8,16</t>
  </si>
  <si>
    <t>25,29.4,92.5083</t>
  </si>
  <si>
    <t>4.9 x 6,5 x 5,9.81 x 9.43</t>
  </si>
  <si>
    <t>0.8,1.75,5.08</t>
  </si>
  <si>
    <t>0.5,1.27,2.54</t>
  </si>
  <si>
    <t>ACTIVE</t>
  </si>
  <si>
    <t>SIMPLE SWITCHER&amp;reg; 40V, 500mA Low Component Count Step-Down Regulator</t>
  </si>
  <si>
    <t>AC/DC &amp; DC/DC converters (integrated FET)</t>
  </si>
  <si>
    <t>Catalog</t>
  </si>
  <si>
    <t>Buck</t>
  </si>
  <si>
    <t>PDIP,SOIC,WSON</t>
  </si>
  <si>
    <t/>
  </si>
  <si>
    <t>-40 to 125</t>
  </si>
  <si>
    <t>8,16</t>
  </si>
  <si>
    <t>25,29.4,92.5083</t>
  </si>
  <si>
    <t>4.9 x 6,5 x 5,9.81 x 9.43</t>
  </si>
  <si>
    <t>0.8,1.75,5.08</t>
  </si>
  <si>
    <t>0.5,1.27,2.54</t>
  </si>
  <si>
    <t>ACTIVE</t>
  </si>
  <si>
    <t>150-mA, dual-channel adjustable low-dropout voltage regulator with power good</t>
  </si>
  <si>
    <t>Linear &amp; low-dropout (LDO) regulators</t>
  </si>
  <si>
    <t>Catalog</t>
  </si>
  <si>
    <t>VSSOP</t>
  </si>
  <si>
    <t/>
  </si>
  <si>
    <t>-40 to 125</t>
  </si>
  <si>
    <t>3 x 4.9</t>
  </si>
  <si>
    <t>ACTIVE</t>
  </si>
  <si>
    <t>200mA switched capacitor voltage converter with low current shutdown mode</t>
  </si>
  <si>
    <t>AC/DC &amp; DC/DC converters (integrated FET)</t>
  </si>
  <si>
    <t>Catalog</t>
  </si>
  <si>
    <t>SOIC</t>
  </si>
  <si>
    <t/>
  </si>
  <si>
    <t>-40 to 85</t>
  </si>
  <si>
    <t>4.9 x 6</t>
  </si>
  <si>
    <t>ACTIVE</t>
  </si>
  <si>
    <t>200mA switched capacitor voltage converter</t>
  </si>
  <si>
    <t>AC/DC &amp; DC/DC converters (integrated FET)</t>
  </si>
  <si>
    <t>Catalog</t>
  </si>
  <si>
    <t>SOIC</t>
  </si>
  <si>
    <t/>
  </si>
  <si>
    <t>-40 to 85</t>
  </si>
  <si>
    <t>4.9 x 6</t>
  </si>
  <si>
    <t>ACTIVE</t>
  </si>
  <si>
    <t>SIMPLE SWITCHER&amp;reg; 6.5V to 40V, 1A Low Component Count Step-Down Regulator</t>
  </si>
  <si>
    <t>AC/DC &amp; DC/DC converters (integrated FET)</t>
  </si>
  <si>
    <t>Catalog</t>
  </si>
  <si>
    <t>Buck</t>
  </si>
  <si>
    <t>PDIP,SOIC,WSON</t>
  </si>
  <si>
    <t/>
  </si>
  <si>
    <t>-40 to 125</t>
  </si>
  <si>
    <t>8,16</t>
  </si>
  <si>
    <t>25,29.4,92.5083</t>
  </si>
  <si>
    <t>4.9 x 6,5 x 5,9.81 x 9.43</t>
  </si>
  <si>
    <t>0.8,1.75,5.08</t>
  </si>
  <si>
    <t>0.5,1.27,2.54</t>
  </si>
  <si>
    <t>ACTIVE</t>
  </si>
  <si>
    <t>200-mA, 16-V, low-dropout voltage regulator with low-noise &amp; enable</t>
  </si>
  <si>
    <t>Linear &amp; low-dropout (LDO) regulators</t>
  </si>
  <si>
    <t>Catalog</t>
  </si>
  <si>
    <t>SOIC,VSSOP,WSON</t>
  </si>
  <si>
    <t/>
  </si>
  <si>
    <t>-40 to 125</t>
  </si>
  <si>
    <t>14.7,16,29.4</t>
  </si>
  <si>
    <t>3 x 4.9,4 x 4,4.9 x 6</t>
  </si>
  <si>
    <t>0.8,1.1,1.75</t>
  </si>
  <si>
    <t>0.65,0.8,1.27</t>
  </si>
  <si>
    <t>ACTIVE</t>
  </si>
  <si>
    <t>200-mA, 16-V, low-dropout voltage regulator with power good &amp; enable</t>
  </si>
  <si>
    <t>Linear &amp; low-dropout (LDO) regulators</t>
  </si>
  <si>
    <t>Catalog</t>
  </si>
  <si>
    <t>SOIC,VSSOP,WSON</t>
  </si>
  <si>
    <t/>
  </si>
  <si>
    <t>-40 to 125</t>
  </si>
  <si>
    <t>14.7,16,29.4</t>
  </si>
  <si>
    <t>3 x 4.9,4 x 4,4.9 x 6</t>
  </si>
  <si>
    <t>0.8,1.1,1.75</t>
  </si>
  <si>
    <t>0.65,0.8,1.27</t>
  </si>
  <si>
    <t>ACTIVE</t>
  </si>
  <si>
    <t>200-mA, 16-V, low-dropout voltage regulator with adjustable or fixed voltage configuration</t>
  </si>
  <si>
    <t>Linear &amp; low-dropout (LDO) regulators</t>
  </si>
  <si>
    <t>Catalog</t>
  </si>
  <si>
    <t>SOIC,VSSOP,WSON</t>
  </si>
  <si>
    <t/>
  </si>
  <si>
    <t>-40 to 125</t>
  </si>
  <si>
    <t>14.7,16,29.4</t>
  </si>
  <si>
    <t>3 x 4.9,4 x 4,4.9 x 6</t>
  </si>
  <si>
    <t>0.8,1.1,1.75</t>
  </si>
  <si>
    <t>0.65,0.8,1.27</t>
  </si>
  <si>
    <t>ACTIVE</t>
  </si>
  <si>
    <t>100mA switched capacitor voltage converter</t>
  </si>
  <si>
    <t>AC/DC &amp; DC/DC converters (integrated FET)</t>
  </si>
  <si>
    <t>Catalog</t>
  </si>
  <si>
    <t>SOIC,VSSOP,WAFERSALE</t>
  </si>
  <si>
    <t/>
  </si>
  <si>
    <t>-40 to 85</t>
  </si>
  <si>
    <t>0,8</t>
  </si>
  <si>
    <t>14.7,29.4,See data sheet</t>
  </si>
  <si>
    <t>3 x 4.9,4.9 x 6,See data sheet</t>
  </si>
  <si>
    <t>1.1,1.75,—</t>
  </si>
  <si>
    <t>0.65,1.27,—</t>
  </si>
  <si>
    <t>ACTIVE</t>
  </si>
  <si>
    <t>1-A, 15-V, linear voltage regulator from -40°C to +125°C</t>
  </si>
  <si>
    <t>Linear &amp; low-dropout (LDO) regulators</t>
  </si>
  <si>
    <t>Catalog</t>
  </si>
  <si>
    <t>SOT-223,TO-263</t>
  </si>
  <si>
    <t/>
  </si>
  <si>
    <t>-40 to 125</t>
  </si>
  <si>
    <t>3,4</t>
  </si>
  <si>
    <t>45.5,154.8384</t>
  </si>
  <si>
    <t>10.16 x 15.24,6.5 x 7</t>
  </si>
  <si>
    <t>1.8,4.83</t>
  </si>
  <si>
    <t>2.3,2.54</t>
  </si>
  <si>
    <t>ACTIVE</t>
  </si>
  <si>
    <t>Synchronous Step-Down DC/DC Converter</t>
  </si>
  <si>
    <t>AC/DC &amp; DC/DC converters (integrated FET)</t>
  </si>
  <si>
    <t>Catalog</t>
  </si>
  <si>
    <t>Buck</t>
  </si>
  <si>
    <t>SOIC</t>
  </si>
  <si>
    <t/>
  </si>
  <si>
    <t>-40 to 125</t>
  </si>
  <si>
    <t>15.5 x 10.3</t>
  </si>
  <si>
    <t>ACTIVE</t>
  </si>
  <si>
    <t>1.5A High Efficiency Switching Regulator</t>
  </si>
  <si>
    <t>AC/DC &amp; DC/DC converters (integrated FET)</t>
  </si>
  <si>
    <t>Catalog</t>
  </si>
  <si>
    <t>Buck</t>
  </si>
  <si>
    <t>TSSOP</t>
  </si>
  <si>
    <t/>
  </si>
  <si>
    <t>-40 to 125</t>
  </si>
  <si>
    <t>5 x 6.4</t>
  </si>
  <si>
    <t>ACTIVE</t>
  </si>
  <si>
    <t>8V to 40V, 3A SIMPLE SWITCHER® buck converter with adjustable current limit</t>
  </si>
  <si>
    <t>AC/DC &amp; DC/DC converters (integrated FET)</t>
  </si>
  <si>
    <t>Catalog</t>
  </si>
  <si>
    <t>Buck</t>
  </si>
  <si>
    <t>TO-220,TO-263,VSON</t>
  </si>
  <si>
    <t/>
  </si>
  <si>
    <t>-40 to 125</t>
  </si>
  <si>
    <t>7,14</t>
  </si>
  <si>
    <t>30,82.6008,153.924</t>
  </si>
  <si>
    <t>10.1 x 15.24,10.16 x 8.13,6 x 5</t>
  </si>
  <si>
    <t>1,5,20.89</t>
  </si>
  <si>
    <t>0.8,1.27</t>
  </si>
  <si>
    <t>ACTIVE</t>
  </si>
  <si>
    <t>SIMPLE SWITCHER&amp;reg; 6.5V to 40V, 1A Low Component Count Step-Down Regulator</t>
  </si>
  <si>
    <t>AC/DC &amp; DC/DC converters (integrated FET)</t>
  </si>
  <si>
    <t>Catalog</t>
  </si>
  <si>
    <t>Buck</t>
  </si>
  <si>
    <t>PDIP,SOIC,WSON</t>
  </si>
  <si>
    <t/>
  </si>
  <si>
    <t>-40 to 125</t>
  </si>
  <si>
    <t>8,16</t>
  </si>
  <si>
    <t>25,29.4,92.5083</t>
  </si>
  <si>
    <t>4.9 x 6,5 x 5,9.81 x 9.43</t>
  </si>
  <si>
    <t>0.8,1.75,5.08</t>
  </si>
  <si>
    <t>0.5,1.27,2.54</t>
  </si>
  <si>
    <t>ACTIVE</t>
  </si>
  <si>
    <t>50-mA, 16-V, low-dropout voltage regulator with low-noise &amp;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</si>
  <si>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</si>
  <si>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</si>
  <si>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</si>
  <si>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</si>
  <si>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</si>
  <si>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</si>
  <si>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</si>
  <si>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4-V to 40-V, 3-A step-up wide VIN flyback regulator with frequency synchronization</t>
  </si>
  <si>
    <t>AC/DC &amp; DC/DC converters (integrated FET)</t>
  </si>
  <si>
    <t>Catalog</t>
  </si>
  <si>
    <t>Boost,Flyback,Forward,SEPIC</t>
  </si>
  <si>
    <t>TO-220,TO-263</t>
  </si>
  <si>
    <t/>
  </si>
  <si>
    <t>-40 to 125</t>
  </si>
  <si>
    <t>82.6008,153.924</t>
  </si>
  <si>
    <t>10.1 x 15.24,10.16 x 8.13</t>
  </si>
  <si>
    <t>5,20.89</t>
  </si>
  <si>
    <t>ACTIVE</t>
  </si>
  <si>
    <t>4-V to 40-V, 3-A step-up wide VIN flyback regulator</t>
  </si>
  <si>
    <t>AC/DC &amp; DC/DC converters (integrated FET)</t>
  </si>
  <si>
    <t>Catalog</t>
  </si>
  <si>
    <t>Boost,Flyback,Forward,SEPIC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</si>
  <si>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</si>
  <si>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</si>
  <si>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</si>
  <si>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</si>
  <si>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</si>
  <si>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</si>
  <si>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</si>
  <si>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4.5V to 40V, 1A SIMPLE SWITCHER® buck converter</t>
  </si>
  <si>
    <t>AC/DC &amp; DC/DC converters (integrated FET)</t>
  </si>
  <si>
    <t>Catalog</t>
  </si>
  <si>
    <t>Buck</t>
  </si>
  <si>
    <t>TO-220,TO-263</t>
  </si>
  <si>
    <t/>
  </si>
  <si>
    <t>-40 to 125</t>
  </si>
  <si>
    <t>82.6008,153.924</t>
  </si>
  <si>
    <t>10.1 x 15.24,10.16 x 8.13</t>
  </si>
  <si>
    <t>5,20.89</t>
  </si>
  <si>
    <t>ACTIVE</t>
  </si>
  <si>
    <t>SIMPLE SWITCHER Power Converter 150 KHz 1A Step-Down Voltage Regulator</t>
  </si>
  <si>
    <t>AC/DC &amp; DC/DC converters (integrated FET)</t>
  </si>
  <si>
    <t>Catalog</t>
  </si>
  <si>
    <t>Buck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</si>
  <si>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</si>
  <si>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</si>
  <si>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</si>
  <si>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</si>
  <si>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</si>
  <si>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</si>
  <si>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</si>
  <si>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SIMPLE SWITCHER&amp;reg; 8V to 40V, 3A Low Component Count Step-Down Regulator</t>
  </si>
  <si>
    <t>AC/DC &amp; DC/DC converters (integrated FET)</t>
  </si>
  <si>
    <t>Catalog</t>
  </si>
  <si>
    <t>Buck</t>
  </si>
  <si>
    <t>TO-220,TO-263,VSON</t>
  </si>
  <si>
    <t/>
  </si>
  <si>
    <t>-40 to 125</t>
  </si>
  <si>
    <t>7,14</t>
  </si>
  <si>
    <t>30,82.6008,153.924</t>
  </si>
  <si>
    <t>10.1 x 15.24,10.16 x 8.13,6 x 5</t>
  </si>
  <si>
    <t>1,5,20.89</t>
  </si>
  <si>
    <t>0.8,1.27</t>
  </si>
  <si>
    <t>ACTIVE</t>
  </si>
  <si>
    <t>50-mA, 16-V, adjustable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</si>
  <si>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</si>
  <si>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</si>
  <si>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</si>
  <si>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</si>
  <si>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</si>
  <si>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</si>
  <si>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</si>
  <si>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50-ppm/°C precision micropower shunt voltage reference</t>
  </si>
  <si>
    <t>Shunt voltage references</t>
  </si>
  <si>
    <t>Catalog</t>
  </si>
  <si>
    <t>SOT-23</t>
  </si>
  <si>
    <t/>
  </si>
  <si>
    <t>-40 to 125</t>
  </si>
  <si>
    <t>2.92 x 2.37</t>
  </si>
  <si>
    <t>ACTIVE</t>
  </si>
  <si>
    <t>Automotive, 50-ppm/°C precision micropower shunt voltage reference</t>
  </si>
  <si>
    <t>Shunt voltage references</t>
  </si>
  <si>
    <t>Automotive</t>
  </si>
  <si>
    <t>SOT-23</t>
  </si>
  <si>
    <t>Functional Safety-Capable</t>
  </si>
  <si>
    <t>-40 to 125</t>
  </si>
  <si>
    <t>2.92 x 2.37</t>
  </si>
  <si>
    <t>ACTIVE</t>
  </si>
  <si>
    <t>SIMPLE SWITCHER&amp;reg; 4.5V to 40V, 3A Low Component Count Step-Down Regulator</t>
  </si>
  <si>
    <t>AC/DC &amp; DC/DC converters (integrated FET)</t>
  </si>
  <si>
    <t>Catalog</t>
  </si>
  <si>
    <t>Buck</t>
  </si>
  <si>
    <t>TO-220,TO-263</t>
  </si>
  <si>
    <t/>
  </si>
  <si>
    <t>-40 to 125</t>
  </si>
  <si>
    <t>46.4312,86.0552,154.8384</t>
  </si>
  <si>
    <t>10.16 x 15.24,10.16 x 4.57,10.16 x 8.47</t>
  </si>
  <si>
    <t>4.7,4.83,20.92</t>
  </si>
  <si>
    <t>ACTIVE</t>
  </si>
  <si>
    <t>SIMPLE SWITCHER Power Converter 150 KHz 3A Step-Down Voltage Regulator with Features</t>
  </si>
  <si>
    <t>AC/DC &amp; DC/DC converters (integrated FET)</t>
  </si>
  <si>
    <t>Catalog</t>
  </si>
  <si>
    <t>Buck</t>
  </si>
  <si>
    <t>TO-220,TO-263</t>
  </si>
  <si>
    <t/>
  </si>
  <si>
    <t>-40 to 125</t>
  </si>
  <si>
    <t>82.6008,153.924</t>
  </si>
  <si>
    <t>10.1 x 15.24,10.16 x 8.13</t>
  </si>
  <si>
    <t>5,20.89</t>
  </si>
  <si>
    <t>ACTIVE</t>
  </si>
  <si>
    <t>SIMPLE SWITCHER Power Converter 150 kHz 0.5A Step-Down Voltage Regulator</t>
  </si>
  <si>
    <t>AC/DC &amp; DC/DC converters (integrated FET)</t>
  </si>
  <si>
    <t>Catalog</t>
  </si>
  <si>
    <t>Buck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</si>
  <si>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</si>
  <si>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</si>
  <si>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</si>
  <si>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</si>
  <si>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</si>
  <si>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</si>
  <si>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</si>
  <si>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</si>
  <si>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SIMPLE SWITCHER&amp;reg; 40V, 500mA Low Component Count Step-Down Regulator</t>
  </si>
  <si>
    <t>AC/DC &amp; DC/DC converters (integrated FET)</t>
  </si>
  <si>
    <t>Catalog</t>
  </si>
  <si>
    <t>Buck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</si>
  <si>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</si>
  <si>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</si>
  <si>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</si>
  <si>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</si>
  <si>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</si>
  <si>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</si>
  <si>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</si>
  <si>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</si>
  <si>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500-mA, 30-V, low-dropout voltage regulator with power good &amp; enable</t>
  </si>
  <si>
    <t>Linear &amp; low-dropout (LDO) regulators</t>
  </si>
  <si>
    <t>Catalog</t>
  </si>
  <si>
    <t>SOIC</t>
  </si>
  <si>
    <t/>
  </si>
  <si>
    <t>-40 to 125</t>
  </si>
  <si>
    <t>9.9 x 6</t>
  </si>
  <si>
    <t>ACTIVE</t>
  </si>
  <si>
    <t>4-V to 40-V, 5-A step-up wide VIN flyback regulator with frequency synchronization</t>
  </si>
  <si>
    <t>AC/DC &amp; DC/DC converters (integrated FET)</t>
  </si>
  <si>
    <t>Catalog</t>
  </si>
  <si>
    <t>Boost,Flyback,Forward,SEPIC</t>
  </si>
  <si>
    <t>TO-220,TO-263</t>
  </si>
  <si>
    <t/>
  </si>
  <si>
    <t>-40 to 125</t>
  </si>
  <si>
    <t>82.6008,153.924</t>
  </si>
  <si>
    <t>10.1 x 15.24,10.16 x 8.13</t>
  </si>
  <si>
    <t>5,20.89</t>
  </si>
  <si>
    <t>ACTIVE</t>
  </si>
  <si>
    <t>250-mA, 26-V, low-dropout voltage regulator with enable</t>
  </si>
  <si>
    <t>Linear &amp; low-dropout (LDO) regulators</t>
  </si>
  <si>
    <t>Catalog</t>
  </si>
  <si>
    <t>TO-263</t>
  </si>
  <si>
    <t/>
  </si>
  <si>
    <t>-40 to 125</t>
  </si>
  <si>
    <t>10.1 x 15.24</t>
  </si>
  <si>
    <t>ACTIVE</t>
  </si>
  <si>
    <t>100-mA, 16-V,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</si>
  <si>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</si>
  <si>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</si>
  <si>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</si>
  <si>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</si>
  <si>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</si>
  <si>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</si>
  <si>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</si>
  <si>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4V to 40V, 5A Step-Up Wide Vin Flyback Regulator</t>
  </si>
  <si>
    <t>AC/DC &amp; DC/DC converters (integrated FET)</t>
  </si>
  <si>
    <t>Catalog</t>
  </si>
  <si>
    <t>Boost,Flyback,Forward,SEPIC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</si>
  <si>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</si>
  <si>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</si>
  <si>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</si>
  <si>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</si>
  <si>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</si>
  <si>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</si>
  <si>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</si>
  <si>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1-A, low-dropout voltage regulator for 5-V to 3.3-V conversion</t>
  </si>
  <si>
    <t>Linear &amp; low-dropout (LDO) regulators</t>
  </si>
  <si>
    <t>Catalog</t>
  </si>
  <si>
    <t>SOT-223,TO-220,TO-263</t>
  </si>
  <si>
    <t/>
  </si>
  <si>
    <t>-40 to 125</t>
  </si>
  <si>
    <t>3,4</t>
  </si>
  <si>
    <t>45.5,46.5328,154.8384</t>
  </si>
  <si>
    <t>10.16 x 15.24,10.16 x 4.58,6.5 x 7</t>
  </si>
  <si>
    <t>1.8,4.83,19.55</t>
  </si>
  <si>
    <t>2.3,2.54</t>
  </si>
  <si>
    <t>ACTIVE</t>
  </si>
  <si>
    <t>50-mA, 16-V, low-dropout voltage regulator with enable</t>
  </si>
  <si>
    <t>Linear &amp; low-dropout (LDO) regulators</t>
  </si>
  <si>
    <t>Catalog</t>
  </si>
  <si>
    <t>SOT-23</t>
  </si>
  <si>
    <t/>
  </si>
  <si>
    <t>-40 to 125</t>
  </si>
  <si>
    <t>2.9 x 2.8</t>
  </si>
  <si>
    <t>ACTIVE</t>
  </si>
  <si>
    <t>7-V to 26-V high side protection controller</t>
  </si>
  <si>
    <t>Hot-swap controllers</t>
  </si>
  <si>
    <t>Catalog</t>
  </si>
  <si>
    <t>SOIC</t>
  </si>
  <si>
    <t/>
  </si>
  <si>
    <t>-40 to 125</t>
  </si>
  <si>
    <t>4.9 x 6</t>
  </si>
  <si>
    <t>ACTIVE</t>
  </si>
  <si>
    <t>250-mA, 30-V, low-dropout voltage regulator with power good</t>
  </si>
  <si>
    <t>Linear &amp; low-dropout (LDO) regulators</t>
  </si>
  <si>
    <t>Catalog</t>
  </si>
  <si>
    <t>TO-263</t>
  </si>
  <si>
    <t/>
  </si>
  <si>
    <t>-40 to 125</t>
  </si>
  <si>
    <t>10.16 x 15.24</t>
  </si>
  <si>
    <t>ACTIVE</t>
  </si>
  <si>
    <t>Precision secondary regulator &amp; driver</t>
  </si>
  <si>
    <t>Shunt voltage references</t>
  </si>
  <si>
    <t>Catalog</t>
  </si>
  <si>
    <t>SOT-23</t>
  </si>
  <si>
    <t/>
  </si>
  <si>
    <t>-40 to 85</t>
  </si>
  <si>
    <t>2.9 x 2.8</t>
  </si>
  <si>
    <t>ACTIVE</t>
  </si>
  <si>
    <t>8-bit shift register with 150mA/ch</t>
  </si>
  <si>
    <t>Automotive LED drivers</t>
  </si>
  <si>
    <t>Automotive</t>
  </si>
  <si>
    <t>Open drain</t>
  </si>
  <si>
    <t>PDIP,SOIC</t>
  </si>
  <si>
    <t/>
  </si>
  <si>
    <t>-40 to 125</t>
  </si>
  <si>
    <t>131.84,228.702</t>
  </si>
  <si>
    <t>12.8 x 10.3,24.33 x 9.4</t>
  </si>
  <si>
    <t>2.65,5.08</t>
  </si>
  <si>
    <t>1.27,2.54</t>
  </si>
  <si>
    <t>ACTIVE</t>
  </si>
  <si>
    <t>Series of Adjustable Micropower Voltage Regulators</t>
  </si>
  <si>
    <t>Linear &amp; low-dropout (LDO) regulators</t>
  </si>
  <si>
    <t>Military</t>
  </si>
  <si>
    <t>CDIP</t>
  </si>
  <si>
    <t/>
  </si>
  <si>
    <t>-55 to 125</t>
  </si>
  <si>
    <t>10.16 x 7.87</t>
  </si>
  <si>
    <t>ACTIVE</t>
  </si>
  <si>
    <t>TL1453CNS</t>
  </si>
  <si>
    <t>AC/DC &amp; DC/DC controllers (external FET)</t>
  </si>
  <si>
    <t>Catalog</t>
  </si>
  <si>
    <t>SOP</t>
  </si>
  <si>
    <t/>
  </si>
  <si>
    <t xml:space="preserve"> to </t>
  </si>
  <si>
    <t>10.2 x 7.8</t>
  </si>
  <si>
    <t>ACTIVE</t>
  </si>
  <si>
    <t>250-mA, 30-V, low-dropout voltage regulator with high accuracy &amp; power good</t>
  </si>
  <si>
    <t>Linear &amp; low-dropout (LDO) regulators</t>
  </si>
  <si>
    <t>Catalog</t>
  </si>
  <si>
    <t>TO-220,TO-263</t>
  </si>
  <si>
    <t/>
  </si>
  <si>
    <t>-40 to 125</t>
  </si>
  <si>
    <t>86.0552,154.8384</t>
  </si>
  <si>
    <t>10.16 x 15.24,10.16 x 8.47</t>
  </si>
  <si>
    <t>4.83,20.92</t>
  </si>
  <si>
    <t>ACTIVE</t>
  </si>
  <si>
    <t>8-bit shift register with 350mA/ch</t>
  </si>
  <si>
    <t>Automotive LED drivers</t>
  </si>
  <si>
    <t>Automotive</t>
  </si>
  <si>
    <t>Open drain</t>
  </si>
  <si>
    <t>PDIP,SOIC</t>
  </si>
  <si>
    <t/>
  </si>
  <si>
    <t>-40 to 125</t>
  </si>
  <si>
    <t>20,24</t>
  </si>
  <si>
    <t>159.65,224.0214</t>
  </si>
  <si>
    <t>15.5 x 10.3,24.51 x 9.14</t>
  </si>
  <si>
    <t>2.65,5.08</t>
  </si>
  <si>
    <t>1.27,2.54</t>
  </si>
  <si>
    <t>ACTIVE</t>
  </si>
  <si>
    <t>Wide supply range, 5-V output precision voltage reference</t>
  </si>
  <si>
    <t>Series voltage references</t>
  </si>
  <si>
    <t>Catalog</t>
  </si>
  <si>
    <t>SOIC</t>
  </si>
  <si>
    <t/>
  </si>
  <si>
    <t>-40 to 85</t>
  </si>
  <si>
    <t>4.9 x 6</t>
  </si>
  <si>
    <t>ACTIVE</t>
  </si>
  <si>
    <t>800-mA, 15-V, linear voltage regulator</t>
  </si>
  <si>
    <t>Linear &amp; low-dropout (LDO) regulators</t>
  </si>
  <si>
    <t>Catalog</t>
  </si>
  <si>
    <t>SOT-223,TO-263</t>
  </si>
  <si>
    <t/>
  </si>
  <si>
    <t>-40 to 125</t>
  </si>
  <si>
    <t>3,4</t>
  </si>
  <si>
    <t>45.5,154.8384</t>
  </si>
  <si>
    <t>10.16 x 15.24,6.5 x 7</t>
  </si>
  <si>
    <t>1.8,4.83</t>
  </si>
  <si>
    <t>2.3,2.54</t>
  </si>
  <si>
    <t>ACTIVE</t>
  </si>
  <si>
    <t>12V, 1A low power BICMOS 1MHz current mode PWM with 7.2V/6.9V UVLO and 100% duty cycle, -40C to 1</t>
  </si>
  <si>
    <t>AC/DC &amp; DC/DC controllers (external FET)</t>
  </si>
  <si>
    <t>Catalog</t>
  </si>
  <si>
    <t>Boost,Flyback,Forward</t>
  </si>
  <si>
    <t>SOIC,TSSOP</t>
  </si>
  <si>
    <t>Functional Safety-Capable</t>
  </si>
  <si>
    <t>-40 to 125</t>
  </si>
  <si>
    <t>19.2,29.4</t>
  </si>
  <si>
    <t>3 x 6.4,4.9 x 6</t>
  </si>
  <si>
    <t>1.2,1.75</t>
  </si>
  <si>
    <t>0.65,1.27</t>
  </si>
  <si>
    <t>ACTIVE</t>
  </si>
  <si>
    <t>12V, 1A low power BICMOS 1MHz current mode PWM with 9.4V/7.4V UVLO and 50% duty cycle, -40C to 12</t>
  </si>
  <si>
    <t>AC/DC &amp; DC/DC controllers (external FET)</t>
  </si>
  <si>
    <t>Catalog</t>
  </si>
  <si>
    <t>Boost,Flyback,Forward</t>
  </si>
  <si>
    <t>SOIC,TSSOP</t>
  </si>
  <si>
    <t>Functional Safety-Capable</t>
  </si>
  <si>
    <t>-40 to 125</t>
  </si>
  <si>
    <t>19.2,29.4</t>
  </si>
  <si>
    <t>3 x 6.4,4.9 x 6</t>
  </si>
  <si>
    <t>1.2,1.75</t>
  </si>
  <si>
    <t>0.65,1.27</t>
  </si>
  <si>
    <t>ACTIVE</t>
  </si>
  <si>
    <t>12V, 1A low power BICMOS 1MHz current mode PWM with 12.5V/8.3V UVLO &amp; 100% duty cycle, -40C to 125C</t>
  </si>
  <si>
    <t>AC/DC &amp; DC/DC controllers (external FET)</t>
  </si>
  <si>
    <t>Catalog</t>
  </si>
  <si>
    <t>Boost,Flyback,Forward</t>
  </si>
  <si>
    <t>SOIC,TSSOP</t>
  </si>
  <si>
    <t>Functional Safety-Capable</t>
  </si>
  <si>
    <t>-40 to 125</t>
  </si>
  <si>
    <t>19.2,29.4</t>
  </si>
  <si>
    <t>3 x 6.4,4.9 x 6</t>
  </si>
  <si>
    <t>1.2,1.75</t>
  </si>
  <si>
    <t>0.65,1.27</t>
  </si>
  <si>
    <t>ACTIVE</t>
  </si>
  <si>
    <t>12V, 1A low power BICMOS 1MHz current mode PWM with 4.1V/3.6V UVLO and 100% duty cycle, -40C to 1</t>
  </si>
  <si>
    <t>AC/DC &amp; DC/DC controllers (external FET)</t>
  </si>
  <si>
    <t>Catalog</t>
  </si>
  <si>
    <t>Boost,Flyback,Forward</t>
  </si>
  <si>
    <t>SOIC,TSSOP</t>
  </si>
  <si>
    <t>Functional Safety-Capable</t>
  </si>
  <si>
    <t>-40 to 125</t>
  </si>
  <si>
    <t>19.2,29.4</t>
  </si>
  <si>
    <t>3 x 6.4,4.9 x 6</t>
  </si>
  <si>
    <t>1.2,1.75</t>
  </si>
  <si>
    <t>0.65,1.27</t>
  </si>
  <si>
    <t>ACTIVE</t>
  </si>
  <si>
    <t>12V, 1A low power BICMOS 1MHz current mode PWM with 12.5V/8.3V UVLO and 50% duty cycle, -40C to 1</t>
  </si>
  <si>
    <t>AC/DC &amp; DC/DC controllers (external FET)</t>
  </si>
  <si>
    <t>Catalog</t>
  </si>
  <si>
    <t>Boost,Flyback,Forward</t>
  </si>
  <si>
    <t>SOIC,TSSOP</t>
  </si>
  <si>
    <t>Functional Safety-Capable</t>
  </si>
  <si>
    <t>-40 to 125</t>
  </si>
  <si>
    <t>19.2,29.4</t>
  </si>
  <si>
    <t>3 x 6.4,4.9 x 6</t>
  </si>
  <si>
    <t>1.2,1.75</t>
  </si>
  <si>
    <t>0.65,1.27</t>
  </si>
  <si>
    <t>ACTIVE</t>
  </si>
  <si>
    <t>12V, 1A low power BICMOS 1MHz current mode PWM with 4.1V/3.6V UVLO and 50% duty cycle, -40C to 12</t>
  </si>
  <si>
    <t>AC/DC &amp; DC/DC controllers (external FET)</t>
  </si>
  <si>
    <t>Catalog</t>
  </si>
  <si>
    <t>Boost,Flyback,Forward</t>
  </si>
  <si>
    <t>SOIC,TSSOP</t>
  </si>
  <si>
    <t>Functional Safety-Capable</t>
  </si>
  <si>
    <t>-40 to 125</t>
  </si>
  <si>
    <t>19.2,29.4</t>
  </si>
  <si>
    <t>3 x 6.4,4.9 x 6</t>
  </si>
  <si>
    <t>1.2,1.75</t>
  </si>
  <si>
    <t>0.65,1.27</t>
  </si>
  <si>
    <t>ACTIVE</t>
  </si>
  <si>
    <t>Economy low power BICMOS 1MHz current mode PWM with 7.2V/6.9V UVLO and 100% duty cycle, -40C to 85C</t>
  </si>
  <si>
    <t>AC/DC &amp; DC/DC controllers (external FET)</t>
  </si>
  <si>
    <t>Catalog</t>
  </si>
  <si>
    <t>Boost,Flyback,Forward</t>
  </si>
  <si>
    <t>SOIC,TSSOP</t>
  </si>
  <si>
    <t>Functional Safety-Capable</t>
  </si>
  <si>
    <t>-40 to 85</t>
  </si>
  <si>
    <t>19.2,29.4</t>
  </si>
  <si>
    <t>3 x 6.4,4.9 x 6</t>
  </si>
  <si>
    <t>1.2,1.75</t>
  </si>
  <si>
    <t>0.65,1.27</t>
  </si>
  <si>
    <t>ACTIVE</t>
  </si>
  <si>
    <t>Economy low power BICMOS 1MHz current mode PWM with 9.4V/7.4V UVLO and 50% duty cycle, -40C to 85C</t>
  </si>
  <si>
    <t>AC/DC &amp; DC/DC controllers (external FET)</t>
  </si>
  <si>
    <t>Catalog</t>
  </si>
  <si>
    <t>Boost,Flyback,Forward</t>
  </si>
  <si>
    <t>SOIC,TSSOP</t>
  </si>
  <si>
    <t>Functional Safety-Capable</t>
  </si>
  <si>
    <t>-40 to 85</t>
  </si>
  <si>
    <t>19.2,29.4</t>
  </si>
  <si>
    <t>3 x 6.4,4.9 x 6</t>
  </si>
  <si>
    <t>1.2,1.75</t>
  </si>
  <si>
    <t>0.65,1.27</t>
  </si>
  <si>
    <t>ACTIVE</t>
  </si>
  <si>
    <t>Economy low power BICMOS 1MHz current mode PWM with 12.5V/8.3V UVLO, 100% duty cycle, -40C to 85C</t>
  </si>
  <si>
    <t>AC/DC &amp; DC/DC controllers (external FET)</t>
  </si>
  <si>
    <t>Catalog</t>
  </si>
  <si>
    <t>Boost,Flyback,Forward</t>
  </si>
  <si>
    <t>SOIC,TSSOP</t>
  </si>
  <si>
    <t>Functional Safety-Capable</t>
  </si>
  <si>
    <t>-40 to 85</t>
  </si>
  <si>
    <t>19.2,29.4</t>
  </si>
  <si>
    <t>3 x 6.4,4.9 x 6</t>
  </si>
  <si>
    <t>1.2,1.75</t>
  </si>
  <si>
    <t>0.65,1.27</t>
  </si>
  <si>
    <t>ACTIVE</t>
  </si>
  <si>
    <t>Economy low power BICMOS 1MHz current mode PWM with 4.1V/3.6V UVLO, 100% duty cycle, -40C to 85C</t>
  </si>
  <si>
    <t>AC/DC &amp; DC/DC controllers (external FET)</t>
  </si>
  <si>
    <t>Catalog</t>
  </si>
  <si>
    <t>Boost,Flyback,Forward</t>
  </si>
  <si>
    <t>SOIC,TSSOP</t>
  </si>
  <si>
    <t>Functional Safety-Capable</t>
  </si>
  <si>
    <t>-40 to 85</t>
  </si>
  <si>
    <t>19.2,29.4</t>
  </si>
  <si>
    <t>3 x 6.4,4.9 x 6</t>
  </si>
  <si>
    <t>1.2,1.75</t>
  </si>
  <si>
    <t>0.65,1.27</t>
  </si>
  <si>
    <t>ACTIVE</t>
  </si>
  <si>
    <t>Economy low power BICMOS 1MHz current mode PWM with 12.5V/8.3V UVLO, 50% duty cycle, -40C to 85C</t>
  </si>
  <si>
    <t>AC/DC &amp; DC/DC controllers (external FET)</t>
  </si>
  <si>
    <t>Catalog</t>
  </si>
  <si>
    <t>Boost,Flyback,Forward</t>
  </si>
  <si>
    <t>SOIC,TSSOP</t>
  </si>
  <si>
    <t>Functional Safety-Capable</t>
  </si>
  <si>
    <t>-40 to 85</t>
  </si>
  <si>
    <t>19.2,29.4</t>
  </si>
  <si>
    <t>3 x 6.4,4.9 x 6</t>
  </si>
  <si>
    <t>1.2,1.75</t>
  </si>
  <si>
    <t>0.65,1.27</t>
  </si>
  <si>
    <t>ACTIVE</t>
  </si>
  <si>
    <t>Economy low power BICMOS 1MHz current mode PWM with 4.1V/3.6V UVLO and 50% duty cycle, -40C to 85C</t>
  </si>
  <si>
    <t>AC/DC &amp; DC/DC controllers (external FET)</t>
  </si>
  <si>
    <t>Catalog</t>
  </si>
  <si>
    <t>Boost,Flyback,Forward</t>
  </si>
  <si>
    <t>SOIC,TSSOP</t>
  </si>
  <si>
    <t>Functional Safety-Capable</t>
  </si>
  <si>
    <t>-40 to 85</t>
  </si>
  <si>
    <t>19.2,29.4</t>
  </si>
  <si>
    <t>3 x 6.4,4.9 x 6</t>
  </si>
  <si>
    <t>1.2,1.75</t>
  </si>
  <si>
    <t>0.65,1.27</t>
  </si>
  <si>
    <t>ACTIVE</t>
  </si>
  <si>
    <t>12V, 1A low power BICMOS 1MHz current mode PWM with 7.2V/6.9V UVLO and 100% duty cycle, 0C to 70C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</si>
  <si>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</si>
  <si>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</si>
  <si>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</si>
  <si>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</si>
  <si>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</si>
  <si>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</si>
  <si>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</si>
  <si>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</si>
  <si>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</si>
  <si>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</si>
  <si>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</si>
  <si>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12V, 1A low power BICMOS 1MHz current mode PWM with 9.4V/7.4V UVLO and 50% duty cycle, 0C to 70C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</si>
  <si>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</si>
  <si>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</si>
  <si>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</si>
  <si>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</si>
  <si>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</si>
  <si>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</si>
  <si>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</si>
  <si>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</si>
  <si>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</si>
  <si>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</si>
  <si>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</si>
  <si>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12V, 1A low power BICMOS 1MHz current mode PWM with 12.5V/8.3V UVLO and 100% duty cycle, 0C to 70C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</si>
  <si>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</si>
  <si>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</si>
  <si>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</si>
  <si>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</si>
  <si>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</si>
  <si>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</si>
  <si>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</si>
  <si>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</si>
  <si>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</si>
  <si>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</si>
  <si>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</si>
  <si>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12V, 1A low power BICMOS 1MHz current mode PWM with 4.1V/3.6V UVLO and 100% duty cycle, 0C to 70C</t>
  </si>
  <si>
    <t>AC/DC &amp; DC/DC controllers (external FET)</t>
  </si>
  <si>
    <t>Catalog</t>
  </si>
  <si>
    <t>Boost,Flyback</t>
  </si>
  <si>
    <t>SOIC</t>
  </si>
  <si>
    <t/>
  </si>
  <si>
    <t>0 to 70</t>
  </si>
  <si>
    <t>4.9 x 6</t>
  </si>
  <si>
    <t>ACTIVE</t>
  </si>
  <si>
    <t>12V, 1A low power BICMOS 1MHz current mode PWM with 12.5V/8.3V UVLO and 50% duty cycle, 0C to 70C</t>
  </si>
  <si>
    <t>AC/DC &amp; DC/DC controllers (external FET)</t>
  </si>
  <si>
    <t>Catalog</t>
  </si>
  <si>
    <t>Boost,Flyback</t>
  </si>
  <si>
    <t>PDIP,SOIC,TSSOP</t>
  </si>
  <si>
    <t/>
  </si>
  <si>
    <t>0 to 70</t>
  </si>
  <si>
    <t>19.2,29.4,92.5083</t>
  </si>
  <si>
    <t>3 x 6.4,4.9 x 6,9.81 x 9.43</t>
  </si>
  <si>
    <t>1.2,1.75,5.08</t>
  </si>
  <si>
    <t>0.65,1.27,2.54</t>
  </si>
  <si>
    <t>ACTIVE</t>
  </si>
  <si>
    <t>12V, 1A low power BICMOS 1MHz current mode PWM with 4.1V/3.6V UVLO and 50% duty cycle, 0C to 70C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</si>
  <si>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</si>
  <si>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</si>
  <si>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</si>
  <si>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</si>
  <si>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</si>
  <si>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</si>
  <si>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</si>
  <si>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</si>
  <si>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</si>
  <si>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</si>
  <si>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</si>
  <si>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Economy low power BICMOS 1MHz current mode PWM with 7.2V/6.9V UVLO and 100% duty cycle, 0C to 70C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</si>
  <si>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</si>
  <si>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</si>
  <si>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</si>
  <si>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</si>
  <si>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</si>
  <si>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</si>
  <si>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</si>
  <si>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</si>
  <si>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</si>
  <si>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</si>
  <si>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</si>
  <si>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Economy low power BICMOS 1MHz current mode PWM with 9.4V/7.4V UVLO and 50% duty cycle, 0C to 70C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</si>
  <si>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</si>
  <si>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</si>
  <si>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</si>
  <si>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</si>
  <si>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</si>
  <si>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</si>
  <si>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</si>
  <si>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</si>
  <si>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</si>
  <si>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</si>
  <si>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</si>
  <si>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Economy BICMOS 1MHz current mode PWM with 12.5V/8.3V UVLO, 100% duty cycle, 0C to 70C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</si>
  <si>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</si>
  <si>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</si>
  <si>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</si>
  <si>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</si>
  <si>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</si>
  <si>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</si>
  <si>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</si>
  <si>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</si>
  <si>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</si>
  <si>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</si>
  <si>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</si>
  <si>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Economy low power BICMOS 1MHz current mode PWM with 4.1V/3.6V UVLO, 100% duty cycle, 0C to 70C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</si>
  <si>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</si>
  <si>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</si>
  <si>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</si>
  <si>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</si>
  <si>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</si>
  <si>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</si>
  <si>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</si>
  <si>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</si>
  <si>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</si>
  <si>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</si>
  <si>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</si>
  <si>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Economy low power BICMOS 1MHz current mode PWM with 12.5V/8.3V UVLO, 50% duty cycle, 0C to 70C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</si>
  <si>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</si>
  <si>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</si>
  <si>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</si>
  <si>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</si>
  <si>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</si>
  <si>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</si>
  <si>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</si>
  <si>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</si>
  <si>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</si>
  <si>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</si>
  <si>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</si>
  <si>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 xml:space="preserve">Low-power economy BiCMOS 1MHz current-mode PWM controller with 4.1V/3.6V UVLO and 50% duty cycle
</t>
  </si>
  <si>
    <t>AC/DC &amp; DC/DC controllers (external FET)</t>
  </si>
  <si>
    <t>Catalog</t>
  </si>
  <si>
    <t>Boost,Flyback</t>
  </si>
  <si>
    <t>SOIC,TSSOP</t>
  </si>
  <si>
    <t/>
  </si>
  <si>
    <t>0 to 70</t>
  </si>
  <si>
    <t>19.2,29.4</t>
  </si>
  <si>
    <t>3 x 6.4,4.9 x 6</t>
  </si>
  <si>
    <t>1.2,1.75</t>
  </si>
  <si>
    <t>0.65,1.27</t>
  </si>
  <si>
    <t>ACTIVE</t>
  </si>
  <si>
    <t>Space grade -4.2-V to -40-V, 1.5-A adjustable output negative linear regulator</t>
  </si>
  <si>
    <t>Linear &amp; low-dropout (LDO) regulators</t>
  </si>
  <si>
    <t>Space</t>
  </si>
  <si>
    <t>TO-CAN</t>
  </si>
  <si>
    <t/>
  </si>
  <si>
    <t>-55 to 150</t>
  </si>
  <si>
    <t>2,3</t>
  </si>
  <si>
    <t>91.6742,989.0252</t>
  </si>
  <si>
    <t>10.03 x 9.14,38.938 x 25.4</t>
  </si>
  <si>
    <t>4.7,7.747</t>
  </si>
  <si>
    <t>5.08,—</t>
  </si>
  <si>
    <t>ACTIVE</t>
  </si>
  <si>
    <t>8V to 40V, 500mA SIMPLE SWITCHER® buck converter with 4 external components</t>
  </si>
  <si>
    <t>AC/DC &amp; DC/DC converters (integrated FET)</t>
  </si>
  <si>
    <t>Catalog</t>
  </si>
  <si>
    <t>Buck</t>
  </si>
  <si>
    <t>PDIP,SOIC</t>
  </si>
  <si>
    <t/>
  </si>
  <si>
    <t>-40 to 125</t>
  </si>
  <si>
    <t>8,14</t>
  </si>
  <si>
    <t>92.5083,92.8372375</t>
  </si>
  <si>
    <t>8.9915 x 10.325,9.81 x 9.43</t>
  </si>
  <si>
    <t>2.65,5.08</t>
  </si>
  <si>
    <t>1.27,2.54</t>
  </si>
  <si>
    <t>ACTIVE</t>
  </si>
  <si>
    <t>SIMPLE SWITCHER 0.5A Step-Down Voltage Regulator</t>
  </si>
  <si>
    <t>AC/DC &amp; DC/DC converters (integrated FET)</t>
  </si>
  <si>
    <t>Catalog</t>
  </si>
  <si>
    <t>Buck</t>
  </si>
  <si>
    <t>PDIP,SOIC</t>
  </si>
  <si>
    <t/>
  </si>
  <si>
    <t>-40 to 125</t>
  </si>
  <si>
    <t>8,14</t>
  </si>
  <si>
    <t>92.5083,92.8372375</t>
  </si>
  <si>
    <t>8.9915 x 10.325,9.81 x 9.43</t>
  </si>
  <si>
    <t>2.65,5.08</t>
  </si>
  <si>
    <t>1.27,2.54</t>
  </si>
  <si>
    <t>ACTIVE</t>
  </si>
  <si>
    <t>Micropower shunt voltage reference</t>
  </si>
  <si>
    <t>Shunt voltage references</t>
  </si>
  <si>
    <t>Catalog</t>
  </si>
  <si>
    <t>SOT-23</t>
  </si>
  <si>
    <t/>
  </si>
  <si>
    <t>0 to 70</t>
  </si>
  <si>
    <t>2.92 x 2.37</t>
  </si>
  <si>
    <t>ACTIVE</t>
  </si>
  <si>
    <t>500-mA, 26-V, high-PSRR, low-dropout voltage regulator</t>
  </si>
  <si>
    <t>Linear &amp; low-dropout (LDO) regulators</t>
  </si>
  <si>
    <t>Catalog</t>
  </si>
  <si>
    <t>SOT-223,TO-220,TO-263</t>
  </si>
  <si>
    <t/>
  </si>
  <si>
    <t>-40 to 125</t>
  </si>
  <si>
    <t>3,4</t>
  </si>
  <si>
    <t>45.5,46.5328,154.8384</t>
  </si>
  <si>
    <t>10.16 x 15.24,10.16 x 4.58,6.5 x 7</t>
  </si>
  <si>
    <t>1.8,4.83,19.55</t>
  </si>
  <si>
    <t>2.3,2.54</t>
  </si>
  <si>
    <t>ACTIVE</t>
  </si>
  <si>
    <t>8-bit shift register with 250mA/ch</t>
  </si>
  <si>
    <t>Automotive LED drivers</t>
  </si>
  <si>
    <t>Automotive</t>
  </si>
  <si>
    <t>Open drain</t>
  </si>
  <si>
    <t>PDIP,SOIC</t>
  </si>
  <si>
    <t/>
  </si>
  <si>
    <t>-40 to 125</t>
  </si>
  <si>
    <t>131.84,228.702</t>
  </si>
  <si>
    <t>12.8 x 10.3,24.33 x 9.4</t>
  </si>
  <si>
    <t>2.65,5.08</t>
  </si>
  <si>
    <t>1.27,2.54</t>
  </si>
  <si>
    <t>ACTIVE</t>
  </si>
  <si>
    <t>100-ppm/°C precision micropower shunt voltage reference</t>
  </si>
  <si>
    <t>Shunt voltage references</t>
  </si>
  <si>
    <t>Catalog</t>
  </si>
  <si>
    <t>SOT-23,SOT-SC70,TO-92</t>
  </si>
  <si>
    <t/>
  </si>
  <si>
    <t>-40 to 85</t>
  </si>
  <si>
    <t>3,5</t>
  </si>
  <si>
    <t>4.2,6.9204,19.136</t>
  </si>
  <si>
    <t>2 x 2.1,2.92 x 2.37,5.2 x 3.68</t>
  </si>
  <si>
    <t>1.1,1.12,5.34</t>
  </si>
  <si>
    <t>0.65,0.96,1.27</t>
  </si>
  <si>
    <t>ACTIVE</t>
  </si>
  <si>
    <t>1-A, negative low-dropout voltage regulator</t>
  </si>
  <si>
    <t>Linear &amp; low-dropout (LDO) regulators</t>
  </si>
  <si>
    <t>Catalog</t>
  </si>
  <si>
    <t>TO-220,TO-263</t>
  </si>
  <si>
    <t/>
  </si>
  <si>
    <t>-40 to 125</t>
  </si>
  <si>
    <t>46.5328,154.8384</t>
  </si>
  <si>
    <t>10.16 x 15.24,10.16 x 4.58</t>
  </si>
  <si>
    <t>4.83,19.55</t>
  </si>
  <si>
    <t>ACTIVE</t>
  </si>
  <si>
    <t>1-A, negative, adjustable low-dropout voltage regulator with enable</t>
  </si>
  <si>
    <t>Linear &amp; low-dropout (LDO) regulators</t>
  </si>
  <si>
    <t>Catalog</t>
  </si>
  <si>
    <t>TO-220,TO-263</t>
  </si>
  <si>
    <t/>
  </si>
  <si>
    <t>-40 to 125</t>
  </si>
  <si>
    <t>45.212,86.0552,154.8384</t>
  </si>
  <si>
    <t>10.16 x 15.24,10.16 x 4.45,10.16 x 8.47</t>
  </si>
  <si>
    <t>4.7,4.83,20.92</t>
  </si>
  <si>
    <t>ACTIVE</t>
  </si>
  <si>
    <t>Negative Low Dropout Adjustable Regulator</t>
  </si>
  <si>
    <t>Linear &amp; low-dropout (LDO) regulators</t>
  </si>
  <si>
    <t>Military</t>
  </si>
  <si>
    <t>CFP,DIESALE,WAFERSALE</t>
  </si>
  <si>
    <t/>
  </si>
  <si>
    <t>-55 to 125</t>
  </si>
  <si>
    <t>0,16</t>
  </si>
  <si>
    <t>62.9285,See data sheet</t>
  </si>
  <si>
    <t>9.91 x 6.35,See data sheet</t>
  </si>
  <si>
    <t>2.03,—</t>
  </si>
  <si>
    <t>1.27,—</t>
  </si>
  <si>
    <t>ACTIVE</t>
  </si>
  <si>
    <t>Fixed &amp; adjustable, 45-µA, precision micropower shunt voltage reference</t>
  </si>
  <si>
    <t>Shunt voltage references</t>
  </si>
  <si>
    <t>Catalog</t>
  </si>
  <si>
    <t>SOT-23,SOT-SC70,TO-92</t>
  </si>
  <si>
    <t/>
  </si>
  <si>
    <t>-40 to 125</t>
  </si>
  <si>
    <t>3,5</t>
  </si>
  <si>
    <t>4.2,6.9204,19.136</t>
  </si>
  <si>
    <t>2 x 2.1,2.92 x 2.37,5.2 x 3.68</t>
  </si>
  <si>
    <t>1.1,1.12,5.34</t>
  </si>
  <si>
    <t>0.65,0.96,1.27</t>
  </si>
  <si>
    <t>ACTIVE</t>
  </si>
  <si>
    <t>Adjustable, precision micropower shunt voltage reference with 1% accuracy</t>
  </si>
  <si>
    <t>Shunt voltage references</t>
  </si>
  <si>
    <t>Catalog</t>
  </si>
  <si>
    <t>SOT-23,SOT-SC70,TO-92</t>
  </si>
  <si>
    <t/>
  </si>
  <si>
    <t>-40 to 125</t>
  </si>
  <si>
    <t>3,5</t>
  </si>
  <si>
    <t>4.2,6.9204,19.136</t>
  </si>
  <si>
    <t>2 x 2.1,2.92 x 2.37,5.2 x 3.68</t>
  </si>
  <si>
    <t>1.1,1.12,5.34</t>
  </si>
  <si>
    <t>0.65,0.96,1.27</t>
  </si>
  <si>
    <t>ACTIVE</t>
  </si>
  <si>
    <t>250-mA, 30-V, low-dropout voltage regulator with power good &amp; enable</t>
  </si>
  <si>
    <t>Linear &amp; low-dropout (LDO) regulators</t>
  </si>
  <si>
    <t>Catalog</t>
  </si>
  <si>
    <t>SOIC</t>
  </si>
  <si>
    <t/>
  </si>
  <si>
    <t>-40 to 125</t>
  </si>
  <si>
    <t>9.9 x 6</t>
  </si>
  <si>
    <t>ACTIVE</t>
  </si>
  <si>
    <t>250-mA, 30-V, low-dropout voltage regulator with power good &amp; enable</t>
  </si>
  <si>
    <t>Linear &amp; low-dropout (LDO) regulators</t>
  </si>
  <si>
    <t>Catalog</t>
  </si>
  <si>
    <t>SOIC</t>
  </si>
  <si>
    <t/>
  </si>
  <si>
    <t>-40 to 125</t>
  </si>
  <si>
    <t>9.9 x 6</t>
  </si>
  <si>
    <t>ACTIVE</t>
  </si>
  <si>
    <t>250-mA, 30-V, low-dropout voltage regulator</t>
  </si>
  <si>
    <t>Linear &amp; low-dropout (LDO) regulators</t>
  </si>
  <si>
    <t>Catalog</t>
  </si>
  <si>
    <t>SOIC,TO-220,TO-263</t>
  </si>
  <si>
    <t/>
  </si>
  <si>
    <t>-40 to 125</t>
  </si>
  <si>
    <t>3,8</t>
  </si>
  <si>
    <t>29.4,46.5328,154.8384</t>
  </si>
  <si>
    <t>10.16 x 15.24,10.16 x 4.58,4.9 x 6</t>
  </si>
  <si>
    <t>1.75,4.83,19.55</t>
  </si>
  <si>
    <t>1.27,2.54</t>
  </si>
  <si>
    <t>ACTIVE</t>
  </si>
  <si>
    <t>250-mA, 30-V, low-dropout voltage regulator with high-accuracy</t>
  </si>
  <si>
    <t>Linear &amp; low-dropout (LDO) regulators</t>
  </si>
  <si>
    <t>Catalog</t>
  </si>
  <si>
    <t>SOIC,TO-220,TO-263</t>
  </si>
  <si>
    <t/>
  </si>
  <si>
    <t>-40 to 125</t>
  </si>
  <si>
    <t>3,8</t>
  </si>
  <si>
    <t>29.4,46.5328,154.8384</t>
  </si>
  <si>
    <t>10.16 x 15.24,10.16 x 4.58,4.9 x 6</t>
  </si>
  <si>
    <t>1.75,4.83,19.55</t>
  </si>
  <si>
    <t>1.27,2.54</t>
  </si>
  <si>
    <t>ACTIVE</t>
  </si>
  <si>
    <t>SIMPLE SWITCHER&amp;reg; 40V, 3A Low Component Count Step-Down Regulator</t>
  </si>
  <si>
    <t>AC/DC &amp; DC/DC converters (integrated FET)</t>
  </si>
  <si>
    <t>Catalog</t>
  </si>
  <si>
    <t>Buck</t>
  </si>
  <si>
    <t>TO-220,TO-263</t>
  </si>
  <si>
    <t/>
  </si>
  <si>
    <t>-40 to 125</t>
  </si>
  <si>
    <t>45.212,46.4312,86.0552,154.8384</t>
  </si>
  <si>
    <t>10.16 x 15.24,10.16 x 4.45,10.16 x 4.57,10.16 x 8.47</t>
  </si>
  <si>
    <t>4.7,4.83,20.92</t>
  </si>
  <si>
    <t>ACTIVE</t>
  </si>
  <si>
    <t>SIMPLE SWITCHER&amp;reg; 4V to 60V, 3A Low Component Count Step-Down Regulator</t>
  </si>
  <si>
    <t>AC/DC &amp; DC/DC converters (integrated FET)</t>
  </si>
  <si>
    <t>Catalog</t>
  </si>
  <si>
    <t>Buck</t>
  </si>
  <si>
    <t>TO-220,TO-263</t>
  </si>
  <si>
    <t/>
  </si>
  <si>
    <t>-40 to 125</t>
  </si>
  <si>
    <t>45.212,46.4312,86.0552,154.8384</t>
  </si>
  <si>
    <t>10.16 x 15.24,10.16 x 4.45,10.16 x 4.57,10.16 x 8.47</t>
  </si>
  <si>
    <t>4.7,4.83,20.92</t>
  </si>
  <si>
    <t>ACTIVE</t>
  </si>
  <si>
    <t>3.5-V to 40-V, 3-A low component count step-up regulator</t>
  </si>
  <si>
    <t>AC/DC &amp; DC/DC converters (integrated FET)</t>
  </si>
  <si>
    <t>Catalog</t>
  </si>
  <si>
    <t>Boost,Flyback,Forward,SEPIC</t>
  </si>
  <si>
    <t>TO-220,TO-263</t>
  </si>
  <si>
    <t/>
  </si>
  <si>
    <t>-40 to 125</t>
  </si>
  <si>
    <t>45.212,86.0552,154.8384</t>
  </si>
  <si>
    <t>10.16 x 15.24,10.16 x 4.45,10.16 x 8.47</t>
  </si>
  <si>
    <t>4.7,4.83,20.92</t>
  </si>
  <si>
    <t>ACTIVE</t>
  </si>
  <si>
    <t>-25°C to 85°C, 2.5-V integrated reference circuit</t>
  </si>
  <si>
    <t>Shunt voltage references</t>
  </si>
  <si>
    <t>Catalog</t>
  </si>
  <si>
    <t>SOIC</t>
  </si>
  <si>
    <t/>
  </si>
  <si>
    <t>-25 to 85</t>
  </si>
  <si>
    <t>4.9 x 6</t>
  </si>
  <si>
    <t>ACTIVE</t>
  </si>
  <si>
    <t>1.235-V, –40°C to +85°C, micropower voltage reference</t>
  </si>
  <si>
    <t>Shunt voltage references</t>
  </si>
  <si>
    <t>Catalog</t>
  </si>
  <si>
    <t>SOIC,TO-92</t>
  </si>
  <si>
    <t/>
  </si>
  <si>
    <t>-40 to 85</t>
  </si>
  <si>
    <t>3,8</t>
  </si>
  <si>
    <t>19.136,29.4</t>
  </si>
  <si>
    <t>4.9 x 6,5.2 x 3.68</t>
  </si>
  <si>
    <t>1.75,5.34</t>
  </si>
  <si>
    <t>ACTIVE</t>
  </si>
  <si>
    <t>2.5-V, –40°C to +85°C, micropower voltage reference</t>
  </si>
  <si>
    <t>Shunt voltage references</t>
  </si>
  <si>
    <t>Catalog</t>
  </si>
  <si>
    <t>SOIC,TO-92</t>
  </si>
  <si>
    <t/>
  </si>
  <si>
    <t>-40 to 85</t>
  </si>
  <si>
    <t>3,8</t>
  </si>
  <si>
    <t>19.136,29.4</t>
  </si>
  <si>
    <t>4.9 x 6,5.2 x 3.68</t>
  </si>
  <si>
    <t>1.75,5.34</t>
  </si>
  <si>
    <t>ACTIVE</t>
  </si>
  <si>
    <t>0°C to 70°C, 2.5-V integrated reference circuit</t>
  </si>
  <si>
    <t>Shunt voltage references</t>
  </si>
  <si>
    <t>Catalog</t>
  </si>
  <si>
    <t>SOIC,TO-92</t>
  </si>
  <si>
    <t/>
  </si>
  <si>
    <t>0 to 70</t>
  </si>
  <si>
    <t>3,8</t>
  </si>
  <si>
    <t>19.136,29.4</t>
  </si>
  <si>
    <t>4.9 x 6,5.2 x 3.68</t>
  </si>
  <si>
    <t>1.75,5.34</t>
  </si>
  <si>
    <t>ACTIVE</t>
  </si>
  <si>
    <t>Precision voltage reference</t>
  </si>
  <si>
    <t>Shunt voltage references</t>
  </si>
  <si>
    <t>Catalog</t>
  </si>
  <si>
    <t>SOIC,TO-92</t>
  </si>
  <si>
    <t/>
  </si>
  <si>
    <t>0 to 70</t>
  </si>
  <si>
    <t>3,8</t>
  </si>
  <si>
    <t>19.136,29.4</t>
  </si>
  <si>
    <t>4.9 x 6,5.2 x 3.68</t>
  </si>
  <si>
    <t>1.75,5.34</t>
  </si>
  <si>
    <t>ACTIVE</t>
  </si>
  <si>
    <t>1.235-V, 2%, 0°C to 70°C, micropower voltage reference</t>
  </si>
  <si>
    <t>Shunt voltage references</t>
  </si>
  <si>
    <t>Catalog</t>
  </si>
  <si>
    <t>SOIC,TO-92,TSSOP</t>
  </si>
  <si>
    <t/>
  </si>
  <si>
    <t>0 to 70</t>
  </si>
  <si>
    <t>3,8</t>
  </si>
  <si>
    <t>19.136,19.2,29.4</t>
  </si>
  <si>
    <t>3 x 6.4,4.9 x 6,5.2 x 3.68</t>
  </si>
  <si>
    <t>1.2,1.75,5.34</t>
  </si>
  <si>
    <t>0.65,1.27</t>
  </si>
  <si>
    <t>ACTIVE</t>
  </si>
  <si>
    <t>2.5-V, 2%, 70°C, micropower voltage reference</t>
  </si>
  <si>
    <t>Shunt voltage references</t>
  </si>
  <si>
    <t>Catalog</t>
  </si>
  <si>
    <t>SOIC,TO-92,TSSOP</t>
  </si>
  <si>
    <t/>
  </si>
  <si>
    <t>0 to 70</t>
  </si>
  <si>
    <t>3,8</t>
  </si>
  <si>
    <t>19.136,19.2,29.4</t>
  </si>
  <si>
    <t>3 x 6.4,4.9 x 6,5.2 x 3.68</t>
  </si>
  <si>
    <t>1.2,1.75,5.34</t>
  </si>
  <si>
    <t>0.65,1.27</t>
  </si>
  <si>
    <t>ACTIVE</t>
  </si>
  <si>
    <t>1.235-V, 1%, 0°C to 70°C, micropower voltage reference</t>
  </si>
  <si>
    <t>Shunt voltage references</t>
  </si>
  <si>
    <t>Catalog</t>
  </si>
  <si>
    <t>SOIC,TO-92,TSSOP</t>
  </si>
  <si>
    <t/>
  </si>
  <si>
    <t>0 to 70</t>
  </si>
  <si>
    <t>3,8</t>
  </si>
  <si>
    <t>19.136,19.2,29.4</t>
  </si>
  <si>
    <t>3 x 6.4,4.9 x 6,5.2 x 3.68</t>
  </si>
  <si>
    <t>1.2,1.75,5.34</t>
  </si>
  <si>
    <t>0.65,1.27</t>
  </si>
  <si>
    <t>ACTIVE</t>
  </si>
  <si>
    <t>2.5-V, 1%, 70°C, micropower voltage reference</t>
  </si>
  <si>
    <t>Shunt voltage references</t>
  </si>
  <si>
    <t>Catalog</t>
  </si>
  <si>
    <t>SOIC,TO-92,TSSOP</t>
  </si>
  <si>
    <t/>
  </si>
  <si>
    <t>0 to 70</t>
  </si>
  <si>
    <t>3,8</t>
  </si>
  <si>
    <t>19.136,19.2,29.4</t>
  </si>
  <si>
    <t>3 x 6.4,4.9 x 6,5.2 x 3.68</t>
  </si>
  <si>
    <t>1.2,1.75,5.34</t>
  </si>
  <si>
    <t>0.65,1.27</t>
  </si>
  <si>
    <t>ACTIVE</t>
  </si>
  <si>
    <t>2.5-V integrated reference circuit</t>
  </si>
  <si>
    <t>Shunt voltage references</t>
  </si>
  <si>
    <t>Catalog</t>
  </si>
  <si>
    <t>SOIC,TO-92,TSSOP</t>
  </si>
  <si>
    <t/>
  </si>
  <si>
    <t>-40 to 85</t>
  </si>
  <si>
    <t>3,8</t>
  </si>
  <si>
    <t>19.136,19.2,29.4</t>
  </si>
  <si>
    <t>3 x 6.4,4.9 x 6,5.2 x 3.68</t>
  </si>
  <si>
    <t>1.2,1.75,5.34</t>
  </si>
  <si>
    <t>0.65,1.27</t>
  </si>
  <si>
    <t>ACTIVE</t>
  </si>
  <si>
    <t>100-V, 7-ch darlington array with TTL or CMOS compatibility</t>
  </si>
  <si>
    <t>Low-side switches</t>
  </si>
  <si>
    <t>Catalog</t>
  </si>
  <si>
    <t>PDIP,SOIC,SOP</t>
  </si>
  <si>
    <t/>
  </si>
  <si>
    <t>0 to 70</t>
  </si>
  <si>
    <t>59.4,79.56,181.42</t>
  </si>
  <si>
    <t>10.2 x 7.8,19.3 x 9.4,9.9 x 6</t>
  </si>
  <si>
    <t>1.75,2,5.08</t>
  </si>
  <si>
    <t>1.27,2.54</t>
  </si>
  <si>
    <t>ACTIVE</t>
  </si>
  <si>
    <t>Precision adjustable (programmable) shunt reference</t>
  </si>
  <si>
    <t>Shunt voltage references</t>
  </si>
  <si>
    <t>Automotive,Catalog</t>
  </si>
  <si>
    <t>SOIC,TO-92,TSSOP</t>
  </si>
  <si>
    <t/>
  </si>
  <si>
    <t>-40 to 125</t>
  </si>
  <si>
    <t>3,8</t>
  </si>
  <si>
    <t>19.136,19.2,29.4</t>
  </si>
  <si>
    <t>3 x 6.4,4.9 x 6,5.2 x 3.68</t>
  </si>
  <si>
    <t>1.2,1.75,5.34</t>
  </si>
  <si>
    <t>0.65,1.27</t>
  </si>
  <si>
    <t>ACTIVE</t>
  </si>
  <si>
    <t>Economy single ended 500KHz current mode PWM controller with 16V/10V UVLO 100% duty cycle, -40-85C</t>
  </si>
  <si>
    <t>AC/DC &amp; DC/DC controllers (external FET)</t>
  </si>
  <si>
    <t>Catalog</t>
  </si>
  <si>
    <t>Boost,Flyback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</si>
  <si>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</si>
  <si>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</si>
  <si>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</si>
  <si>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</si>
  <si>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</si>
  <si>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</si>
  <si>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</si>
  <si>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</si>
  <si>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</si>
  <si>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Economy single ended 500KHz current mode PWM controller with 8.4V/7.6V UVLO 100% duty cycle, -40-85C</t>
  </si>
  <si>
    <t>AC/DC &amp; DC/DC controllers (external FET)</t>
  </si>
  <si>
    <t>Catalog</t>
  </si>
  <si>
    <t>Boost,Flyback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</si>
  <si>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</si>
  <si>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</si>
  <si>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</si>
  <si>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</si>
  <si>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</si>
  <si>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</si>
  <si>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</si>
  <si>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</si>
  <si>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</si>
  <si>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Economy single ended 500KHz current mode PWM controller with 16V/10V UVLO 50% duty cycle, -40-85C</t>
  </si>
  <si>
    <t>AC/DC &amp; DC/DC controllers (external FET)</t>
  </si>
  <si>
    <t>Catalog</t>
  </si>
  <si>
    <t>Boost,Flyback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</si>
  <si>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</si>
  <si>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</si>
  <si>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</si>
  <si>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</si>
  <si>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</si>
  <si>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</si>
  <si>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</si>
  <si>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</si>
  <si>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</si>
  <si>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Economy single ended 500KHz current mode PWM controller with 8.4V/7.6V UVLO 50% duty cycle, -40-85C</t>
  </si>
  <si>
    <t>AC/DC &amp; DC/DC controllers (external FET)</t>
  </si>
  <si>
    <t>Catalog</t>
  </si>
  <si>
    <t>Boost,Flyback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</si>
  <si>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</si>
  <si>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</si>
  <si>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</si>
  <si>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</si>
  <si>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</si>
  <si>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</si>
  <si>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</si>
  <si>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</si>
  <si>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</si>
  <si>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Economy single ended 500KHz current mode PWM controller with 16V/10V UVLO 100% duty cycle, 0-70C</t>
  </si>
  <si>
    <t>AC/DC &amp; DC/DC controllers (external FET)</t>
  </si>
  <si>
    <t>Catalog</t>
  </si>
  <si>
    <t>Boost,Flyback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</si>
  <si>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</si>
  <si>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</si>
  <si>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</si>
  <si>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</si>
  <si>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</si>
  <si>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</si>
  <si>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</si>
  <si>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</si>
  <si>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</si>
  <si>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Economy single ended 500KHz current mode PWM controller with 8.4V/7.6V UVLO 100% duty cycle, 0-70C</t>
  </si>
  <si>
    <t>AC/DC &amp; DC/DC controllers (external FET)</t>
  </si>
  <si>
    <t>Catalog</t>
  </si>
  <si>
    <t>Boost,Flyback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</si>
  <si>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</si>
  <si>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</si>
  <si>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</si>
  <si>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</si>
  <si>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</si>
  <si>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</si>
  <si>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</si>
  <si>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</si>
  <si>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</si>
  <si>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Economy single ended 500KHz current mode PWM controller with 16V/10V UVLO 50% duty cycle, 0-70C</t>
  </si>
  <si>
    <t>AC/DC &amp; DC/DC controllers (external FET)</t>
  </si>
  <si>
    <t>Catalog</t>
  </si>
  <si>
    <t>Boost,Flyback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</si>
  <si>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</si>
  <si>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</si>
  <si>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</si>
  <si>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</si>
  <si>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</si>
  <si>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</si>
  <si>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</si>
  <si>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</si>
  <si>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</si>
  <si>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Economy single ended 500KHz current mode PWM controller with 8.4V/7.6V UVLO 50% duty cycle, 0-70C</t>
  </si>
  <si>
    <t>AC/DC &amp; DC/DC controllers (external FET)</t>
  </si>
  <si>
    <t>Catalog</t>
  </si>
  <si>
    <t>Boost,Flyback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</si>
  <si>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</si>
  <si>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</si>
  <si>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</si>
  <si>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</si>
  <si>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</si>
  <si>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</si>
  <si>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</si>
  <si>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</si>
  <si>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</si>
  <si>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Adjustable precision shunt regulator</t>
  </si>
  <si>
    <t>Shunt voltage references</t>
  </si>
  <si>
    <t>Catalog</t>
  </si>
  <si>
    <t>PDIP,SOIC,SOP,SOT-23,SOT-89,SOT-SC70,TO-92,TSSOP</t>
  </si>
  <si>
    <t/>
  </si>
  <si>
    <t>-40 to 125</t>
  </si>
  <si>
    <t>3,5,6,8</t>
  </si>
  <si>
    <t>4.2,6.9204,8.12,18.4275,19.136,19.2,29.4,48.36,92.5083</t>
  </si>
  <si>
    <t>2 x 2.1,2.9 x 2.8,2.92 x 2.37,3 x 6.4,4.5 x 4.095,4.9 x 6,5.2 x 3.68,6.2 x 7.8,9.81 x 9.43</t>
  </si>
  <si>
    <t>1.1,1.12,1.2,1.45,1.6,1.75,2,5.08,5.34</t>
  </si>
  <si>
    <t>0.65,0.95,0.96,1.27,1.5,2.54</t>
  </si>
  <si>
    <t>ACTIVE</t>
  </si>
  <si>
    <t>40V, 0.2A 300KHz PWM controller</t>
  </si>
  <si>
    <t>AC/DC &amp; DC/DC controllers (external FET)</t>
  </si>
  <si>
    <t>Catalog</t>
  </si>
  <si>
    <t>Push pull</t>
  </si>
  <si>
    <t>PDIP,SOIC,SOP,TSSOP</t>
  </si>
  <si>
    <t/>
  </si>
  <si>
    <t>-40 to 85</t>
  </si>
  <si>
    <t>32,59.4,79.56,181.42</t>
  </si>
  <si>
    <t>10.2 x 7.8,19.3 x 9.4,5 x 6.4,9.9 x 6</t>
  </si>
  <si>
    <t>1.2,1.75,2,5.08</t>
  </si>
  <si>
    <t>0.65,1.27,2.54</t>
  </si>
  <si>
    <t>ACTIVE</t>
  </si>
  <si>
    <t>40V, 0.2A 300KHz PWM controller  with UVLO</t>
  </si>
  <si>
    <t>AC/DC &amp; DC/DC controllers (external FET)</t>
  </si>
  <si>
    <t>Catalog</t>
  </si>
  <si>
    <t>Boost</t>
  </si>
  <si>
    <t>PDIP,SOIC,SOP,TSSOP</t>
  </si>
  <si>
    <t/>
  </si>
  <si>
    <t>-40 to 85</t>
  </si>
  <si>
    <t>32,59.4,79.56,181.42</t>
  </si>
  <si>
    <t>10.2 x 7.8,19.3 x 9.4,5 x 6.4,9.9 x 6</t>
  </si>
  <si>
    <t>1.2,1.75,2,5.08</t>
  </si>
  <si>
    <t>0.65,1.27,2.54</t>
  </si>
  <si>
    <t>ACTIVE</t>
  </si>
  <si>
    <t>Voltage supervisor</t>
  </si>
  <si>
    <t>Supply-voltage supervisors</t>
  </si>
  <si>
    <t>Catalog</t>
  </si>
  <si>
    <t>PDIP,SOP,TSSOP,VSSOP</t>
  </si>
  <si>
    <t/>
  </si>
  <si>
    <t>-40 to 85</t>
  </si>
  <si>
    <t>14.7,19.2,48.36,92.5083</t>
  </si>
  <si>
    <t>3 x 4.9,3 x 6.4,6.2 x 7.8,9.81 x 9.43</t>
  </si>
  <si>
    <t>1.1,1.2,2,5.08</t>
  </si>
  <si>
    <t>0.65,1.27,2.54</t>
  </si>
  <si>
    <t>ACTIVE</t>
  </si>
  <si>
    <t>Single-channel voltage supervisor with programmable UV threshold &amp; reset-time delay</t>
  </si>
  <si>
    <t>Supply-voltage supervisors</t>
  </si>
  <si>
    <t>Catalog</t>
  </si>
  <si>
    <t>PDIP,SOIC</t>
  </si>
  <si>
    <t/>
  </si>
  <si>
    <t>-40 to 85</t>
  </si>
  <si>
    <t>29.4,92.5083</t>
  </si>
  <si>
    <t>4.9 x 6,9.81 x 9.43</t>
  </si>
  <si>
    <t>1.75,5.08</t>
  </si>
  <si>
    <t>1.27,2.54</t>
  </si>
  <si>
    <t>ACTIVE</t>
  </si>
  <si>
    <t>Single supervisor with programmable UV threshold &amp; reset-time delay</t>
  </si>
  <si>
    <t>Supply-voltage supervisors</t>
  </si>
  <si>
    <t>Catalog</t>
  </si>
  <si>
    <t>PDIP,SOIC</t>
  </si>
  <si>
    <t/>
  </si>
  <si>
    <t>-40 to 85</t>
  </si>
  <si>
    <t>29.4,92.5083</t>
  </si>
  <si>
    <t>4.9 x 6,9.81 x 9.43</t>
  </si>
  <si>
    <t>1.75,5.08</t>
  </si>
  <si>
    <t>1.27,2.54</t>
  </si>
  <si>
    <t>ACTIVE</t>
  </si>
  <si>
    <t>Single Supply Voltage Supervisor for 5V Systems with Programmable Time Delay</t>
  </si>
  <si>
    <t>Supply-voltage supervisors</t>
  </si>
  <si>
    <t>Catalog</t>
  </si>
  <si>
    <t>PDIP,SOP</t>
  </si>
  <si>
    <t/>
  </si>
  <si>
    <t xml:space="preserve"> to </t>
  </si>
  <si>
    <t>48.36,92.5083</t>
  </si>
  <si>
    <t>6.2 x 7.8,9.81 x 9.43</t>
  </si>
  <si>
    <t>2,5.08</t>
  </si>
  <si>
    <t>1.27,2.54</t>
  </si>
  <si>
    <t>ACTIVE</t>
  </si>
  <si>
    <t>5-V single-supply voltage supervisor with programmable delay time</t>
  </si>
  <si>
    <t>Supply-voltage supervisors</t>
  </si>
  <si>
    <t>Catalog</t>
  </si>
  <si>
    <t>PDIP,SOIC,SOP</t>
  </si>
  <si>
    <t/>
  </si>
  <si>
    <t>-40 to 85</t>
  </si>
  <si>
    <t>29.4,48.36,92.5083</t>
  </si>
  <si>
    <t>4.9 x 6,6.2 x 7.8,9.81 x 9.43</t>
  </si>
  <si>
    <t>1.75,2,5.08</t>
  </si>
  <si>
    <t>1.27,2.54</t>
  </si>
  <si>
    <t>ACTIVE</t>
  </si>
  <si>
    <t>5-V single supervisor with programmable delay time</t>
  </si>
  <si>
    <t>Supply-voltage supervisors</t>
  </si>
  <si>
    <t>Automotive,Catalog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</si>
  <si>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</si>
  <si>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</si>
  <si>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</si>
  <si>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</si>
  <si>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</si>
  <si>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</si>
  <si>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</si>
  <si>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</si>
  <si>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Single-supply supervisor for 9-V systems with programmable delay time</t>
  </si>
  <si>
    <t>Supply-voltage supervisors</t>
  </si>
  <si>
    <t>Catalog</t>
  </si>
  <si>
    <t>PDIP,SOIC</t>
  </si>
  <si>
    <t/>
  </si>
  <si>
    <t>0 to 70</t>
  </si>
  <si>
    <t>29.4,92.5083</t>
  </si>
  <si>
    <t>4.9 x 6,9.81 x 9.43</t>
  </si>
  <si>
    <t>1.75,5.08</t>
  </si>
  <si>
    <t>1.27,2.54</t>
  </si>
  <si>
    <t>ACTIVE</t>
  </si>
  <si>
    <t>Single-supply supervisor for 12-V systems with programmable delay time</t>
  </si>
  <si>
    <t>Supply-voltage supervisors</t>
  </si>
  <si>
    <t>Catalog</t>
  </si>
  <si>
    <t>PDIP,SOIC</t>
  </si>
  <si>
    <t/>
  </si>
  <si>
    <t>0 to 70</t>
  </si>
  <si>
    <t>29.4,92.5083</t>
  </si>
  <si>
    <t>4.9 x 6,9.81 x 9.43</t>
  </si>
  <si>
    <t>1.75,5.08</t>
  </si>
  <si>
    <t>1.27,2.54</t>
  </si>
  <si>
    <t>ACTIVE</t>
  </si>
  <si>
    <t>Single-supply supervisor for 15-V systems with programmable delay time</t>
  </si>
  <si>
    <t>Supply-voltage supervisors</t>
  </si>
  <si>
    <t>Catalog</t>
  </si>
  <si>
    <t>PDIP,SOIC</t>
  </si>
  <si>
    <t/>
  </si>
  <si>
    <t>0 to 70</t>
  </si>
  <si>
    <t>29.4,92.5083</t>
  </si>
  <si>
    <t>4.9 x 6,9.81 x 9.43</t>
  </si>
  <si>
    <t>1.75,5.08</t>
  </si>
  <si>
    <t>1.27,2.54</t>
  </si>
  <si>
    <t>ACTIVE</t>
  </si>
  <si>
    <t>Hex clamping circuit</t>
  </si>
  <si>
    <t>Shunt voltage references</t>
  </si>
  <si>
    <t>Automotive,Catalog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</si>
  <si>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</si>
  <si>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</si>
  <si>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</si>
  <si>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</si>
  <si>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</si>
  <si>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</si>
  <si>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</si>
  <si>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</si>
  <si>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1.5% accuracy, low-voltage, adjustable precision shunt regulator</t>
  </si>
  <si>
    <t>Shunt voltage references</t>
  </si>
  <si>
    <t>Catalog</t>
  </si>
  <si>
    <t>SOT-23,SOT-89,TO-92</t>
  </si>
  <si>
    <t/>
  </si>
  <si>
    <t>-40 to 125</t>
  </si>
  <si>
    <t>3,5</t>
  </si>
  <si>
    <t>6.9204,8.12,18.4275,19.136</t>
  </si>
  <si>
    <t>2.9 x 2.8,2.92 x 2.37,4.5 x 4.095,5.2 x 3.68</t>
  </si>
  <si>
    <t>1.12,1.45,1.6,5.34</t>
  </si>
  <si>
    <t>0.95,0.96,1.27,1.5</t>
  </si>
  <si>
    <t>ACTIVE</t>
  </si>
  <si>
    <t>1% accuracy, low-voltage, adjustable precision shunt regulator</t>
  </si>
  <si>
    <t>Shunt voltage references</t>
  </si>
  <si>
    <t>Catalog</t>
  </si>
  <si>
    <t>SOIC,SOT-23,SOT-89,TO-92</t>
  </si>
  <si>
    <t/>
  </si>
  <si>
    <t>-40 to 125</t>
  </si>
  <si>
    <t>3,5,8</t>
  </si>
  <si>
    <t>6.9204,8.12,18.4275,19.136,29.4</t>
  </si>
  <si>
    <t>2.9 x 2.8,2.92 x 2.37,4.5 x 4.095,4.9 x 6,5.2 x 3.68</t>
  </si>
  <si>
    <t>1.12,1.45,1.6,1.75,5.34</t>
  </si>
  <si>
    <t>0.95,0.96,1.27,1.5</t>
  </si>
  <si>
    <t>ACTIVE</t>
  </si>
  <si>
    <t>100-mA 30-V&amp;nbsp;linear voltage regulator</t>
  </si>
  <si>
    <t>Linear &amp; low-dropout (LDO) regulators</t>
  </si>
  <si>
    <t>Catalog</t>
  </si>
  <si>
    <t>SOIC,SOT-89,TO-92</t>
  </si>
  <si>
    <t/>
  </si>
  <si>
    <t>-40 to 125</t>
  </si>
  <si>
    <t>3,8</t>
  </si>
  <si>
    <t>18.4275,19.136,29.4</t>
  </si>
  <si>
    <t>4.5 x 4.095,4.9 x 6,5.2 x 3.68</t>
  </si>
  <si>
    <t>1.6,1.75,5.34</t>
  </si>
  <si>
    <t>1.27,1.5</t>
  </si>
  <si>
    <t>ACTIVE</t>
  </si>
  <si>
    <t>50V 7-ch darlington transistor array</t>
  </si>
  <si>
    <t>Low-side switches</t>
  </si>
  <si>
    <t>Catalog</t>
  </si>
  <si>
    <t>PDIP,SOIC,SOP,SOT-23-THN,TSSOP</t>
  </si>
  <si>
    <t/>
  </si>
  <si>
    <t>-40 to 70</t>
  </si>
  <si>
    <t>8.4,32,59.4,79.56,181.42</t>
  </si>
  <si>
    <t>10.2 x 7.8,19.3 x 9.4,4.2 x 2,5 x 6.4,9.9 x 6</t>
  </si>
  <si>
    <t>1.1,1.2,1.75,2,5.08</t>
  </si>
  <si>
    <t>0.5,0.65,1.27,2.54</t>
  </si>
  <si>
    <t>ACTIVE</t>
  </si>
  <si>
    <t>50V 7-channel Darlington transistor array with 15V input capability</t>
  </si>
  <si>
    <t>Low-side switches</t>
  </si>
  <si>
    <t>Catalog</t>
  </si>
  <si>
    <t>PDIP,SOIC,SOP,SOT-23-THN</t>
  </si>
  <si>
    <t/>
  </si>
  <si>
    <t>-40 to 70</t>
  </si>
  <si>
    <t>8.4,59.4,79.56,181.42</t>
  </si>
  <si>
    <t>10.2 x 7.8,19.3 x 9.4,4.2 x 2,9.9 x 6</t>
  </si>
  <si>
    <t>1.1,1.75,2,5.08</t>
  </si>
  <si>
    <t>0.5,1.27,2.54</t>
  </si>
  <si>
    <t>ACTIVE</t>
  </si>
  <si>
    <t>SIMPLE SWITCHER 1A Step-Down Voltage Regulator</t>
  </si>
  <si>
    <t>AC/DC &amp; DC/DC converters (integrated FET)</t>
  </si>
  <si>
    <t>Catalog</t>
  </si>
  <si>
    <t>Buck</t>
  </si>
  <si>
    <t>SOIC,TO-220,TO-263</t>
  </si>
  <si>
    <t/>
  </si>
  <si>
    <t>-40 to 125</t>
  </si>
  <si>
    <t>5,24</t>
  </si>
  <si>
    <t>45.212,46.4312,86.0552,154.8384,159.65</t>
  </si>
  <si>
    <t>10.16 x 15.24,10.16 x 4.45,10.16 x 4.57,10.16 x 8.47,15.5 x 10.3</t>
  </si>
  <si>
    <t>2.65,4.7,4.83,20.92</t>
  </si>
  <si>
    <t>1.27,1.7</t>
  </si>
  <si>
    <t>ACTIVE</t>
  </si>
  <si>
    <t>SIMPLE SWITCHER 1A Step-Down Voltage Regulator</t>
  </si>
  <si>
    <t>AC/DC &amp; DC/DC converters (integrated FET)</t>
  </si>
  <si>
    <t>Catalog</t>
  </si>
  <si>
    <t>Buck</t>
  </si>
  <si>
    <t>PDIP,SOIC,TO-220,TO-263</t>
  </si>
  <si>
    <t/>
  </si>
  <si>
    <t>-40 to 125</t>
  </si>
  <si>
    <t>5,16,24</t>
  </si>
  <si>
    <t>45.212,86.0552,154.8384,159.65,189.051819</t>
  </si>
  <si>
    <t>10.16 x 15.24,10.16 x 4.45,10.16 x 8.47,15.5 x 10.3,21.7551 x 8.69</t>
  </si>
  <si>
    <t>2.65,4.7,4.83,5.08,20.92</t>
  </si>
  <si>
    <t>1.27,1.7,2.54</t>
  </si>
  <si>
    <t>ACTIVE</t>
  </si>
  <si>
    <t>Dual 100µA current source and sink</t>
  </si>
  <si>
    <t>Current references &amp; sources</t>
  </si>
  <si>
    <t>Catalog</t>
  </si>
  <si>
    <t>SOIC</t>
  </si>
  <si>
    <t/>
  </si>
  <si>
    <t>-25 to 85</t>
  </si>
  <si>
    <t>4.9 x 6</t>
  </si>
  <si>
    <t>ACTIVE</t>
  </si>
  <si>
    <t>2.5-ppm/°C drift, 10-V precision voltage reference</t>
  </si>
  <si>
    <t>Series voltage references</t>
  </si>
  <si>
    <t>Catalog</t>
  </si>
  <si>
    <t>SOIC</t>
  </si>
  <si>
    <t/>
  </si>
  <si>
    <t>-25 to 85</t>
  </si>
  <si>
    <t>4.9 x 6</t>
  </si>
  <si>
    <t>ACTIVE</t>
  </si>
  <si>
    <t>Precision Low Dropout Linear Controllers</t>
  </si>
  <si>
    <t>AC/DC &amp; DC/DC controllers (external FET)</t>
  </si>
  <si>
    <t>Military</t>
  </si>
  <si>
    <t>CDIP</t>
  </si>
  <si>
    <t/>
  </si>
  <si>
    <t xml:space="preserve"> to </t>
  </si>
  <si>
    <t>19.56 x 6.67</t>
  </si>
  <si>
    <t>ACTIVE</t>
  </si>
  <si>
    <t>30-V, 1-A, 500KHz current mode PWM controller with 16V/10V UVLO 100% duty cycle, 40C to 85C</t>
  </si>
  <si>
    <t>AC/DC &amp; DC/DC controllers (external FET)</t>
  </si>
  <si>
    <t>Catalog</t>
  </si>
  <si>
    <t>Boost,Buck,Buck boost,Flyback,Forward</t>
  </si>
  <si>
    <t>PDIP,SOIC</t>
  </si>
  <si>
    <t/>
  </si>
  <si>
    <t>-40 to 85</t>
  </si>
  <si>
    <t>8,14,16</t>
  </si>
  <si>
    <t>29.4,51.9,92.5083,106.09</t>
  </si>
  <si>
    <t>10.3 x 10.3,4.9 x 6,8.65 x 6,9.81 x 9.43</t>
  </si>
  <si>
    <t>1.75,2.65,5.08</t>
  </si>
  <si>
    <t>1.27,2.54</t>
  </si>
  <si>
    <t>ACTIVE</t>
  </si>
  <si>
    <t>30-V, 1-A, 500KHz current mode PWM controller with 8.4V/7.6V UVLO 100% duty cycle 40°C to 85°C</t>
  </si>
  <si>
    <t>AC/DC &amp; DC/DC controllers (external FET)</t>
  </si>
  <si>
    <t>Catalog</t>
  </si>
  <si>
    <t>Boost,Buck,Buck boost,Flyback,Forward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</si>
  <si>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</si>
  <si>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</si>
  <si>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</si>
  <si>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</si>
  <si>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</si>
  <si>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</si>
  <si>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</si>
  <si>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</si>
  <si>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</si>
  <si>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30-V, 1A, 500KHz current mode PWM controller with 16V/10V UVLO 50% duty cycle, 40°C to 85°C</t>
  </si>
  <si>
    <t>AC/DC &amp; DC/DC controllers (external FET)</t>
  </si>
  <si>
    <t>Automotive,Catalog</t>
  </si>
  <si>
    <t>Boost,Buck,Buck boost,Flyback,Forward</t>
  </si>
  <si>
    <t>PDIP,SOIC</t>
  </si>
  <si>
    <t/>
  </si>
  <si>
    <t>-40 to 125</t>
  </si>
  <si>
    <t>8,14</t>
  </si>
  <si>
    <t>29.4,51.9,92.5083</t>
  </si>
  <si>
    <t>4.9 x 6,8.65 x 6,9.81 x 9.43</t>
  </si>
  <si>
    <t>1.75,5.08</t>
  </si>
  <si>
    <t>1.27,2.54</t>
  </si>
  <si>
    <t>ACTIVE</t>
  </si>
  <si>
    <t>30V, 1A, 500KHz current mode PWM controller with 8.4V/7.6V UVLO 50% duty cycle, 40°C to 85°C</t>
  </si>
  <si>
    <t>AC/DC &amp; DC/DC controllers (external FET)</t>
  </si>
  <si>
    <t>Catalog</t>
  </si>
  <si>
    <t>Boost,Buck,Flyback,Forward</t>
  </si>
  <si>
    <t>PDIP,SOIC</t>
  </si>
  <si>
    <t/>
  </si>
  <si>
    <t>-40 to 85</t>
  </si>
  <si>
    <t>8,14,16</t>
  </si>
  <si>
    <t>29.4,51.9,92.5083,106.09</t>
  </si>
  <si>
    <t>10.3 x 10.3,4.9 x 6,8.65 x 6,9.81 x 9.43</t>
  </si>
  <si>
    <t>1.75,2.65,5.08</t>
  </si>
  <si>
    <t>1.27,2.54</t>
  </si>
  <si>
    <t>ACTIVE</t>
  </si>
  <si>
    <t>30-V, 1A, 500KHz current mode PWM controller with 16V/10V UVLO 100% duty cycle, 0°C to 70°C</t>
  </si>
  <si>
    <t>AC/DC &amp; DC/DC controllers (external FET)</t>
  </si>
  <si>
    <t>Catalog</t>
  </si>
  <si>
    <t>Boost,Buck,Buck boost,Flyback,Forward</t>
  </si>
  <si>
    <t>PDIP,SOIC</t>
  </si>
  <si>
    <t/>
  </si>
  <si>
    <t>0 to 70</t>
  </si>
  <si>
    <t>8,14,16</t>
  </si>
  <si>
    <t>29.4,51.9,92.5083,106.09</t>
  </si>
  <si>
    <t>10.3 x 10.3,4.9 x 6,8.65 x 6,9.81 x 9.43</t>
  </si>
  <si>
    <t>1.75,2.65,5.08</t>
  </si>
  <si>
    <t>1.27,2.54</t>
  </si>
  <si>
    <t>ACTIVE</t>
  </si>
  <si>
    <t>30-V, 1A, 500KHz current mode PWM controller with 8.4V/7.6V UVLO 100% duty cycle 0°C to 70°C</t>
  </si>
  <si>
    <t>AC/DC &amp; DC/DC controllers (external FET)</t>
  </si>
  <si>
    <t>Catalog</t>
  </si>
  <si>
    <t>Boost,Buck,Flyback,Forward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</si>
  <si>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</si>
  <si>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</si>
  <si>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</si>
  <si>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</si>
  <si>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</si>
  <si>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</si>
  <si>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</si>
  <si>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</si>
  <si>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</si>
  <si>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30-V, 1A, 500KHz current mode PWM controller with 16V/10V UVLO 50% duty cycle, 0°C to 70°C</t>
  </si>
  <si>
    <t>AC/DC &amp; DC/DC controllers (external FET)</t>
  </si>
  <si>
    <t>Catalog</t>
  </si>
  <si>
    <t>Boost,Buck,Buck boost,Flyback,Forward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</si>
  <si>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</si>
  <si>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</si>
  <si>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</si>
  <si>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</si>
  <si>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</si>
  <si>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</si>
  <si>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</si>
  <si>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</si>
  <si>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</si>
  <si>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30V,1A, 500KHz current mode PWM controller with 8.4V/7.6V UVLO 50% duty cycle, 0°C to 70°C</t>
  </si>
  <si>
    <t>AC/DC &amp; DC/DC controllers (external FET)</t>
  </si>
  <si>
    <t>Catalog</t>
  </si>
  <si>
    <t>Boost,Buck,Buck boost,Flyback,Forward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</si>
  <si>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</si>
  <si>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</si>
  <si>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</si>
  <si>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</si>
  <si>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</si>
  <si>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</si>
  <si>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</si>
  <si>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</si>
  <si>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</si>
  <si>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50-mA, 60-V, low-IQ, low-dropout voltage regulator with reverse voltage protection</t>
  </si>
  <si>
    <t>Linear &amp; low-dropout (LDO) regulators</t>
  </si>
  <si>
    <t>Catalog</t>
  </si>
  <si>
    <t>SOIC,SOT-223,TO-252,TO-92,VSSOP</t>
  </si>
  <si>
    <t/>
  </si>
  <si>
    <t>-40 to 125</t>
  </si>
  <si>
    <t>3,4,8</t>
  </si>
  <si>
    <t>14.7,19.136,29.4,45.5,65.2078</t>
  </si>
  <si>
    <t>3 x 4.9,4.9 x 6,5.2 x 3.68,6.5 x 7,6.58 x 9.91</t>
  </si>
  <si>
    <t>1.1,1.75,1.8,2.55,5.34</t>
  </si>
  <si>
    <t>0.65,1.27,2.3,4.57</t>
  </si>
  <si>
    <t>ACTIVE</t>
  </si>
  <si>
    <t>50-mA, 40-V, low-IQ, low-dropout voltage regulator</t>
  </si>
  <si>
    <t>Linear &amp; low-dropout (LDO) regulators</t>
  </si>
  <si>
    <t>Catalog</t>
  </si>
  <si>
    <t>SOIC,TO-252,VSSOP</t>
  </si>
  <si>
    <t/>
  </si>
  <si>
    <t>-40 to 125</t>
  </si>
  <si>
    <t>3,8</t>
  </si>
  <si>
    <t>14.7,29.4,65.2078</t>
  </si>
  <si>
    <t>3 x 4.9,4.9 x 6,6.58 x 9.91</t>
  </si>
  <si>
    <t>1.1,1.75,2.55</t>
  </si>
  <si>
    <t>0.65,1.27,4.57</t>
  </si>
  <si>
    <t>ACTIVE</t>
  </si>
  <si>
    <t>1-A, 26-V, high-PSRR, adjustable low-dropout voltage regulator with enable from 0°C to 125°C</t>
  </si>
  <si>
    <t>Linear &amp; low-dropout (LDO) regulators</t>
  </si>
  <si>
    <t>Catalog</t>
  </si>
  <si>
    <t>TO-220,TO-263</t>
  </si>
  <si>
    <t/>
  </si>
  <si>
    <t>0 to 125</t>
  </si>
  <si>
    <t>45.212,46.4312,86.0552,154.8384</t>
  </si>
  <si>
    <t>10.16 x 15.24,10.16 x 4.45,10.16 x 4.57,10.16 x 8.47</t>
  </si>
  <si>
    <t>4.7,4.83,20.92</t>
  </si>
  <si>
    <t>ACTIVE</t>
  </si>
  <si>
    <t>1.5-V to 10-V switched capacitor voltage converter</t>
  </si>
  <si>
    <t>AC/DC &amp; DC/DC converters (integrated FET)</t>
  </si>
  <si>
    <t>Catalog</t>
  </si>
  <si>
    <t>PDIP,SOIC</t>
  </si>
  <si>
    <t/>
  </si>
  <si>
    <t>-40 to 85</t>
  </si>
  <si>
    <t>29.4,92.5083</t>
  </si>
  <si>
    <t>4.9 x 6,9.81 x 9.43</t>
  </si>
  <si>
    <t>1.75,5.08</t>
  </si>
  <si>
    <t>1.27,2.54</t>
  </si>
  <si>
    <t>ACTIVE</t>
  </si>
  <si>
    <t>1-A, 26-V, high-PSRR, low-dropout voltage regulator</t>
  </si>
  <si>
    <t>Linear &amp; low-dropout (LDO) regulators</t>
  </si>
  <si>
    <t>Catalog</t>
  </si>
  <si>
    <t>SOT-223,TO-220,TO-263,WSON</t>
  </si>
  <si>
    <t/>
  </si>
  <si>
    <t>-40 to 125</t>
  </si>
  <si>
    <t>3,4,8</t>
  </si>
  <si>
    <t>16,45.5,46.4312,46.5328,154.8384</t>
  </si>
  <si>
    <t>10.16 x 15.24,10.16 x 4.57,10.16 x 4.58,4 x 4,6.5 x 7</t>
  </si>
  <si>
    <t>0.8,1.8,4.69,4.83,19.55</t>
  </si>
  <si>
    <t>0.8,2.3,2.54</t>
  </si>
  <si>
    <t>ACTIVE</t>
  </si>
  <si>
    <t>1-A, 26-V, high-PSRR, low-dropout voltage regulator</t>
  </si>
  <si>
    <t>Linear &amp; low-dropout (LDO) regulators</t>
  </si>
  <si>
    <t>Catalog</t>
  </si>
  <si>
    <t>TO-220,TO-263</t>
  </si>
  <si>
    <t/>
  </si>
  <si>
    <t>0 to 125</t>
  </si>
  <si>
    <t>46.5328,154.8384,193.548</t>
  </si>
  <si>
    <t>10.16 x 15.24,10.16 x 19.05,10.16 x 4.58</t>
  </si>
  <si>
    <t>4.69,4.83,19.55</t>
  </si>
  <si>
    <t>ACTIVE</t>
  </si>
  <si>
    <t>5-A, 40-V, low-IQ, adjustable linear voltage regulator</t>
  </si>
  <si>
    <t>Linear &amp; low-dropout (LDO) regulators</t>
  </si>
  <si>
    <t>Catalog</t>
  </si>
  <si>
    <t>TO-220</t>
  </si>
  <si>
    <t/>
  </si>
  <si>
    <t>0 to 125</t>
  </si>
  <si>
    <t>10.16 x 4.58</t>
  </si>
  <si>
    <t>ACTIVE</t>
  </si>
  <si>
    <t>30-V, 1-A, 500KHz current mode PWM controller with 8.4V/7.6V UVLO 100% duty cycle, -40C to 85C</t>
  </si>
  <si>
    <t>AC/DC &amp; DC/DC controllers (external FET)</t>
  </si>
  <si>
    <t>Catalog</t>
  </si>
  <si>
    <t>Boost,Buck,Buck boost,Flyback,Forward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</si>
  <si>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</si>
  <si>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</si>
  <si>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</si>
  <si>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</si>
  <si>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</si>
  <si>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</si>
  <si>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</si>
  <si>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</si>
  <si>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</si>
  <si>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Single ended 500KHz current mode PWM controller with 16V/10V UVLO 50% duty cycle, -40C to 85C</t>
  </si>
  <si>
    <t>AC/DC &amp; DC/DC controllers (external FET)</t>
  </si>
  <si>
    <t>Catalog</t>
  </si>
  <si>
    <t>Boost,Buck,Flyback,Forward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</si>
  <si>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</si>
  <si>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</si>
  <si>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</si>
  <si>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</si>
  <si>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</si>
  <si>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</si>
  <si>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</si>
  <si>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</si>
  <si>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</si>
  <si>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Single ended 500KHz current mode PWM controller with 8.4V/7.6V UVLO 50% duty cycle, -40C to 85C</t>
  </si>
  <si>
    <t>AC/DC &amp; DC/DC controllers (external FET)</t>
  </si>
  <si>
    <t>Catalog</t>
  </si>
  <si>
    <t>Boost,Buck,Flyback,Forward</t>
  </si>
  <si>
    <t>PDIP,SOIC</t>
  </si>
  <si>
    <t/>
  </si>
  <si>
    <t>-40 to 85</t>
  </si>
  <si>
    <t>8,14</t>
  </si>
  <si>
    <t>29.4,51.9,92.5083</t>
  </si>
  <si>
    <t>4.9 x 6,8.65 x 6,9.81 x 9.43</t>
  </si>
  <si>
    <t>1.75,5.08</t>
  </si>
  <si>
    <t>1.27,2.54</t>
  </si>
  <si>
    <t>ACTIVE</t>
  </si>
  <si>
    <t>Single ended 500KHz current mode PWM controller with 8.4V/7.6V UVLO 100% duty cycle, 0C to 70C</t>
  </si>
  <si>
    <t>AC/DC &amp; DC/DC controllers (external FET)</t>
  </si>
  <si>
    <t>Catalog</t>
  </si>
  <si>
    <t>Boost,Buck,Buck boost,Flyback,Forward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</si>
  <si>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</si>
  <si>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</si>
  <si>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</si>
  <si>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</si>
  <si>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</si>
  <si>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</si>
  <si>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</si>
  <si>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</si>
  <si>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</si>
  <si>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Single ended 500KHz current mode PWM controller with 16V/10V UVLO 50% duty cycle, 0C to 70C</t>
  </si>
  <si>
    <t>AC/DC &amp; DC/DC controllers (external FET)</t>
  </si>
  <si>
    <t>Catalog</t>
  </si>
  <si>
    <t>Boost,Buck,Buck boost,Flyback,Forward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</si>
  <si>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</si>
  <si>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</si>
  <si>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</si>
  <si>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</si>
  <si>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</si>
  <si>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</si>
  <si>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</si>
  <si>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</si>
  <si>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</si>
  <si>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Single ended 500KHz current mode PWM controller with 8.4V/7.6V UVLO 50% duty cycle, 0C to 70C</t>
  </si>
  <si>
    <t>AC/DC &amp; DC/DC controllers (external FET)</t>
  </si>
  <si>
    <t>Catalog</t>
  </si>
  <si>
    <t>Boost,Buck,Buck boost,Flyback,Forward</t>
  </si>
  <si>
    <t>PDIP,SOIC</t>
  </si>
  <si>
    <t/>
  </si>
  <si>
    <t>0 to 70</t>
  </si>
  <si>
    <t>8,14</t>
  </si>
  <si>
    <t>29.4,51.9,92.5083</t>
  </si>
  <si>
    <t>4.9 x 6,8.65 x 6,9.81 x 9.43</t>
  </si>
  <si>
    <t>1.75,5.08</t>
  </si>
  <si>
    <t>1.27,2.54</t>
  </si>
  <si>
    <t>ACTIVE</t>
  </si>
  <si>
    <t>Quad fault protected peripheral driver</t>
  </si>
  <si>
    <t>Low-side switches</t>
  </si>
  <si>
    <t>Catalog</t>
  </si>
  <si>
    <t>PDIP</t>
  </si>
  <si>
    <t/>
  </si>
  <si>
    <t>-40 to 125</t>
  </si>
  <si>
    <t>19.3 x 9.4</t>
  </si>
  <si>
    <t>ACTIVE</t>
  </si>
  <si>
    <t>Extended Temperature 1A 5V Output Linear Regulator / LDO</t>
  </si>
  <si>
    <t>Linear &amp; low-dropout (LDO) regulators</t>
  </si>
  <si>
    <t>Military</t>
  </si>
  <si>
    <t>TO-CAN</t>
  </si>
  <si>
    <t/>
  </si>
  <si>
    <t>-55 to 150</t>
  </si>
  <si>
    <t>2,3</t>
  </si>
  <si>
    <t>91.6742,969.2166</t>
  </si>
  <si>
    <t>10.03 x 9.14,38.94 x 24.89</t>
  </si>
  <si>
    <t>4.7,8.94</t>
  </si>
  <si>
    <t>5.08,10.93</t>
  </si>
  <si>
    <t>ACTIVE</t>
  </si>
  <si>
    <t>Extended Temperature 1.5A Adjustable Linear Regulator with Short Circuit Protection</t>
  </si>
  <si>
    <t>Linear &amp; low-dropout (LDO) regulators</t>
  </si>
  <si>
    <t>Military</t>
  </si>
  <si>
    <t>TO-CAN</t>
  </si>
  <si>
    <t/>
  </si>
  <si>
    <t>-55 to 150</t>
  </si>
  <si>
    <t>2,3</t>
  </si>
  <si>
    <t>91.6742,969.2166</t>
  </si>
  <si>
    <t>10.03 x 9.14,38.94 x 24.89</t>
  </si>
  <si>
    <t>4.7,8.94</t>
  </si>
  <si>
    <t>5.08,10.93</t>
  </si>
  <si>
    <t>ACTIVE</t>
  </si>
  <si>
    <t>Military Grade 1.5A Adjustable Output Linear Regulator / LDO</t>
  </si>
  <si>
    <t>Linear &amp; low-dropout (LDO) regulators</t>
  </si>
  <si>
    <t>Military</t>
  </si>
  <si>
    <t>CFP,DIESALE,LCCC,TO-CAN</t>
  </si>
  <si>
    <t/>
  </si>
  <si>
    <t>-55 to 125</t>
  </si>
  <si>
    <t>0,2,3,16,20</t>
  </si>
  <si>
    <t>62.9285,79.0321,91.6742,989.0252,See data sheet</t>
  </si>
  <si>
    <t>10.03 x 9.14,38.938 x 25.4,8.89 x 8.89,9.91 x 6.35,See data sheet</t>
  </si>
  <si>
    <t>1.91,2.03,4.7,7.747,—</t>
  </si>
  <si>
    <t>1.27,5.08,—</t>
  </si>
  <si>
    <t>ACTIVE</t>
  </si>
  <si>
    <t>Extended Temperature 1A Fixed Output Negative Voltage Regulator / LDO</t>
  </si>
  <si>
    <t>Linear &amp; low-dropout (LDO) regulators</t>
  </si>
  <si>
    <t>Military</t>
  </si>
  <si>
    <t>TO-CAN</t>
  </si>
  <si>
    <t/>
  </si>
  <si>
    <t>-55 to 150</t>
  </si>
  <si>
    <t>10.03 x 9.14</t>
  </si>
  <si>
    <t>ACTIVE</t>
  </si>
  <si>
    <t>Military Grade 1A Fixed Output Negative Voltage Regulator / LDO</t>
  </si>
  <si>
    <t>Linear &amp; low-dropout (LDO) regulators</t>
  </si>
  <si>
    <t>Military</t>
  </si>
  <si>
    <t>DIESALE,TO-CAN</t>
  </si>
  <si>
    <t/>
  </si>
  <si>
    <t>-55 to 150</t>
  </si>
  <si>
    <t>0,2,3</t>
  </si>
  <si>
    <t>91.6742,989.0252,See data sheet</t>
  </si>
  <si>
    <t>10.03 x 9.14,38.938 x 25.4,See data sheet</t>
  </si>
  <si>
    <t>4.7,7.747,—</t>
  </si>
  <si>
    <t>5.08,—</t>
  </si>
  <si>
    <t>ACTIVE</t>
  </si>
  <si>
    <t>3-Terminal Adjustable Current Source</t>
  </si>
  <si>
    <t>Current references &amp; sources</t>
  </si>
  <si>
    <t>Military</t>
  </si>
  <si>
    <t>DIESALE,TO-CAN</t>
  </si>
  <si>
    <t/>
  </si>
  <si>
    <t>-55 to 125</t>
  </si>
  <si>
    <t>0,3</t>
  </si>
  <si>
    <t>34.8704,See data sheet</t>
  </si>
  <si>
    <t>6.41 x 5.44,See data sheet</t>
  </si>
  <si>
    <t>2.67,—</t>
  </si>
  <si>
    <t>2.54,—</t>
  </si>
  <si>
    <t>ACTIVE</t>
  </si>
  <si>
    <t>Voltage Reference Diode</t>
  </si>
  <si>
    <t>Shunt voltage references</t>
  </si>
  <si>
    <t>Military</t>
  </si>
  <si>
    <t>TO-CAN</t>
  </si>
  <si>
    <t/>
  </si>
  <si>
    <t>-55 to 125</t>
  </si>
  <si>
    <t>6.41 x 5.44</t>
  </si>
  <si>
    <t>ACTIVE</t>
  </si>
  <si>
    <t>5.0V Reference Diode</t>
  </si>
  <si>
    <t>Shunt voltage references</t>
  </si>
  <si>
    <t>Military</t>
  </si>
  <si>
    <t>TO-CAN,WAFERSALE</t>
  </si>
  <si>
    <t/>
  </si>
  <si>
    <t>-55 to 125</t>
  </si>
  <si>
    <t>0,3</t>
  </si>
  <si>
    <t>34.8704,See data sheet</t>
  </si>
  <si>
    <t>6.41 x 5.44,See data sheet</t>
  </si>
  <si>
    <t>2.67,—</t>
  </si>
  <si>
    <t>2.54,—</t>
  </si>
  <si>
    <t>ACTIVE</t>
  </si>
  <si>
    <t>5.0V Reference Diode</t>
  </si>
  <si>
    <t>Shunt voltage references</t>
  </si>
  <si>
    <t>Military</t>
  </si>
  <si>
    <t>TO-CAN</t>
  </si>
  <si>
    <t/>
  </si>
  <si>
    <t>-55 to 125</t>
  </si>
  <si>
    <t>6.41 x 5.44</t>
  </si>
  <si>
    <t>ACTIVE</t>
  </si>
  <si>
    <t>2.5V Reference Diode</t>
  </si>
  <si>
    <t>Shunt voltage references</t>
  </si>
  <si>
    <t>Military</t>
  </si>
  <si>
    <t>DIESALE,TO-CAN</t>
  </si>
  <si>
    <t/>
  </si>
  <si>
    <t>-55 to 125</t>
  </si>
  <si>
    <t>0,3</t>
  </si>
  <si>
    <t>34.8704,See data sheet</t>
  </si>
  <si>
    <t>6.41 x 5.44,See data sheet</t>
  </si>
  <si>
    <t>2.67,—</t>
  </si>
  <si>
    <t>2.54,—</t>
  </si>
  <si>
    <t>ACTIVE</t>
  </si>
  <si>
    <t>5.0V Reference Diode</t>
  </si>
  <si>
    <t>Shunt voltage references</t>
  </si>
  <si>
    <t>Military</t>
  </si>
  <si>
    <t>TO-CAN</t>
  </si>
  <si>
    <t/>
  </si>
  <si>
    <t>-55 to 125</t>
  </si>
  <si>
    <t>6.41 x 5.44</t>
  </si>
  <si>
    <t>ACTIVE</t>
  </si>
  <si>
    <t>Extended Temperature 1.5A Adjustable Output Negative Voltage Regulator / LDO</t>
  </si>
  <si>
    <t>Linear &amp; low-dropout (LDO) regulators</t>
  </si>
  <si>
    <t>Military</t>
  </si>
  <si>
    <t>TO-CAN</t>
  </si>
  <si>
    <t/>
  </si>
  <si>
    <t>-55 to 150</t>
  </si>
  <si>
    <t>10.03 x 9.14</t>
  </si>
  <si>
    <t>ACTIVE</t>
  </si>
  <si>
    <t>5A Adjustable Output Linear Regulator / LDO in hermetic package</t>
  </si>
  <si>
    <t>Linear &amp; low-dropout (LDO) regulators</t>
  </si>
  <si>
    <t>Military</t>
  </si>
  <si>
    <t>TO-CAN</t>
  </si>
  <si>
    <t/>
  </si>
  <si>
    <t>-55 to 125</t>
  </si>
  <si>
    <t>38.94 x 24.89</t>
  </si>
  <si>
    <t>ACTIVE</t>
  </si>
  <si>
    <t>1A Fixed Output Linear Regulator / LDO</t>
  </si>
  <si>
    <t>Linear &amp; low-dropout (LDO) regulators</t>
  </si>
  <si>
    <t>Military</t>
  </si>
  <si>
    <t>TO-CAN</t>
  </si>
  <si>
    <t/>
  </si>
  <si>
    <t>-55 to 125</t>
  </si>
  <si>
    <t>38.94 x 24.89</t>
  </si>
  <si>
    <t>ACTIVE</t>
  </si>
  <si>
    <t>Extended Temperature 100mA Fixed Output Linear Regulator / LDO</t>
  </si>
  <si>
    <t>Linear &amp; low-dropout (LDO) regulators</t>
  </si>
  <si>
    <t>Military</t>
  </si>
  <si>
    <t>TO-CAN</t>
  </si>
  <si>
    <t/>
  </si>
  <si>
    <t>-55 to 125</t>
  </si>
  <si>
    <t>10.03 x 9.14</t>
  </si>
  <si>
    <t>ACTIVE</t>
  </si>
  <si>
    <t>Military Grade 100mA Fixed Output Linear Regulator / LDO</t>
  </si>
  <si>
    <t>Linear &amp; low-dropout (LDO) regulators</t>
  </si>
  <si>
    <t>Military</t>
  </si>
  <si>
    <t>TO-CAN</t>
  </si>
  <si>
    <t/>
  </si>
  <si>
    <t>-55 to 125</t>
  </si>
  <si>
    <t>10.03 x 9.14</t>
  </si>
  <si>
    <t>ACTIVE</t>
  </si>
  <si>
    <t>Military Grade 1A Fixed Output Linear Regulator / LDO</t>
  </si>
  <si>
    <t>Linear &amp; low-dropout (LDO) regulators</t>
  </si>
  <si>
    <t>Military</t>
  </si>
  <si>
    <t>DIESALE,TO-CAN</t>
  </si>
  <si>
    <t/>
  </si>
  <si>
    <t>-55 to 125</t>
  </si>
  <si>
    <t>0,2,3</t>
  </si>
  <si>
    <t>91.6742,989.0252,See data sheet</t>
  </si>
  <si>
    <t>10.03 x 9.14,38.938 x 25.4,See data sheet</t>
  </si>
  <si>
    <t>4.7,7.747,—</t>
  </si>
  <si>
    <t>5.08,—</t>
  </si>
  <si>
    <t>ACTIVE</t>
  </si>
  <si>
    <t>Micropower Voltage Reference Diode</t>
  </si>
  <si>
    <t>Shunt voltage references</t>
  </si>
  <si>
    <t>Military</t>
  </si>
  <si>
    <t>TO-CAN</t>
  </si>
  <si>
    <t/>
  </si>
  <si>
    <t>-55 to 125</t>
  </si>
  <si>
    <t>6.41 x 5.44</t>
  </si>
  <si>
    <t>ACTIVE</t>
  </si>
  <si>
    <t>Micropower Voltage Reference Diode</t>
  </si>
  <si>
    <t>Shunt voltage references</t>
  </si>
  <si>
    <t>Military</t>
  </si>
  <si>
    <t>CFP,TO-CAN</t>
  </si>
  <si>
    <t/>
  </si>
  <si>
    <t>-55 to 125</t>
  </si>
  <si>
    <t>2,10</t>
  </si>
  <si>
    <t>34.8704,62.9285</t>
  </si>
  <si>
    <t>6.41 x 5.44,9.91 x 6.35</t>
  </si>
  <si>
    <t>2.03,2.67</t>
  </si>
  <si>
    <t>1.27,2.54</t>
  </si>
  <si>
    <t>ACTIVE</t>
  </si>
  <si>
    <t>Micropower Voltage Reference Diode</t>
  </si>
  <si>
    <t>Shunt voltage references</t>
  </si>
  <si>
    <t>Military</t>
  </si>
  <si>
    <t>TO-CAN</t>
  </si>
  <si>
    <t/>
  </si>
  <si>
    <t>-55 to 125</t>
  </si>
  <si>
    <t>6.41 x 5.44</t>
  </si>
  <si>
    <t>ACTIVE</t>
  </si>
  <si>
    <t>Micropower Voltage Reference Diode</t>
  </si>
  <si>
    <t>Shunt voltage references</t>
  </si>
  <si>
    <t>Military</t>
  </si>
  <si>
    <t>CFP,DIESALE,TO-CAN</t>
  </si>
  <si>
    <t/>
  </si>
  <si>
    <t>-55 to 125</t>
  </si>
  <si>
    <t>0,2,10</t>
  </si>
  <si>
    <t>34.8704,62.9285,See data sheet</t>
  </si>
  <si>
    <t>6.41 x 5.44,9.91 x 6.35,See data sheet</t>
  </si>
  <si>
    <t>2.03,2.67,—</t>
  </si>
  <si>
    <t>1.27,2.54,—</t>
  </si>
  <si>
    <t>ACTIVE</t>
  </si>
  <si>
    <t>Adjustable Micropower Voltage Reference</t>
  </si>
  <si>
    <t>Shunt voltage references</t>
  </si>
  <si>
    <t>Military</t>
  </si>
  <si>
    <t>TO-CAN</t>
  </si>
  <si>
    <t/>
  </si>
  <si>
    <t>-55 to 125</t>
  </si>
  <si>
    <t>6.41 x 5.44</t>
  </si>
  <si>
    <t>ACTIVE</t>
  </si>
  <si>
    <t>Military Grade Ultra Reliable Power Transistor</t>
  </si>
  <si>
    <t>RGB LED drivers</t>
  </si>
  <si>
    <t>Military</t>
  </si>
  <si>
    <t>TO-CAN</t>
  </si>
  <si>
    <t/>
  </si>
  <si>
    <t>-55 to 125</t>
  </si>
  <si>
    <t>10.03 x 9.14</t>
  </si>
  <si>
    <t>ACTIVE</t>
  </si>
  <si>
    <t>100°C 3-pin adjustable current source</t>
  </si>
  <si>
    <t>Current references &amp; sources</t>
  </si>
  <si>
    <t>Catalog</t>
  </si>
  <si>
    <t>TO-92</t>
  </si>
  <si>
    <t/>
  </si>
  <si>
    <t>-25 to 100</t>
  </si>
  <si>
    <t>5.2 x 3.68</t>
  </si>
  <si>
    <t>ACTIVE</t>
  </si>
  <si>
    <t>Switching Regulator</t>
  </si>
  <si>
    <t>AC/DC &amp; DC/DC converters (integrated FET)</t>
  </si>
  <si>
    <t>Catalog</t>
  </si>
  <si>
    <t>Buck</t>
  </si>
  <si>
    <t>PDIP,SOIC</t>
  </si>
  <si>
    <t/>
  </si>
  <si>
    <t>-40 to 125</t>
  </si>
  <si>
    <t>29.4,92.5083</t>
  </si>
  <si>
    <t>4.9 x 6,9.81 x 9.43</t>
  </si>
  <si>
    <t>1.75,5.08</t>
  </si>
  <si>
    <t>1.27,2.54</t>
  </si>
  <si>
    <t>ACTIVE</t>
  </si>
  <si>
    <t>1.235-V, –40°C to +85°C,  micropower voltage reference diode</t>
  </si>
  <si>
    <t>Shunt voltage references</t>
  </si>
  <si>
    <t>Catalog</t>
  </si>
  <si>
    <t>SOIC,TO-92</t>
  </si>
  <si>
    <t/>
  </si>
  <si>
    <t>-40 to 85</t>
  </si>
  <si>
    <t>3,8</t>
  </si>
  <si>
    <t>19.136,29.4</t>
  </si>
  <si>
    <t>4.9 x 6,5.2 x 3.68</t>
  </si>
  <si>
    <t>1.75,5.34</t>
  </si>
  <si>
    <t>ACTIVE</t>
  </si>
  <si>
    <t>2.5-V, –40°C to +85°C,  micropower voltage reference diode</t>
  </si>
  <si>
    <t>Shunt voltage references</t>
  </si>
  <si>
    <t>Catalog</t>
  </si>
  <si>
    <t>SOIC,TO-92</t>
  </si>
  <si>
    <t/>
  </si>
  <si>
    <t>-40 to 85</t>
  </si>
  <si>
    <t>3,8</t>
  </si>
  <si>
    <t>19.136,29.4</t>
  </si>
  <si>
    <t>4.9 x 6,5.2 x 3.68</t>
  </si>
  <si>
    <t>1.75,5.34</t>
  </si>
  <si>
    <t>ACTIVE</t>
  </si>
  <si>
    <t>Adjustable, 85°C, micropower voltage reference</t>
  </si>
  <si>
    <t>Shunt voltage references</t>
  </si>
  <si>
    <t>Catalog</t>
  </si>
  <si>
    <t>SOIC,TO-92</t>
  </si>
  <si>
    <t/>
  </si>
  <si>
    <t>-40 to 85</t>
  </si>
  <si>
    <t>3,8</t>
  </si>
  <si>
    <t>19.136,29.4</t>
  </si>
  <si>
    <t>4.9 x 6,5.2 x 3.68</t>
  </si>
  <si>
    <t>1.75,5.34</t>
  </si>
  <si>
    <t>ACTIVE</t>
  </si>
  <si>
    <t>150-mA, 26-V, low-dropout voltage regulator with reverse voltage protection</t>
  </si>
  <si>
    <t>Linear &amp; low-dropout (LDO) regulators</t>
  </si>
  <si>
    <t>Catalog</t>
  </si>
  <si>
    <t>TO-220</t>
  </si>
  <si>
    <t/>
  </si>
  <si>
    <t>-40 to 85</t>
  </si>
  <si>
    <t>10.16 x 4.58</t>
  </si>
  <si>
    <t>ACTIVE</t>
  </si>
  <si>
    <t>100-mA, 26-V, high-PSRR, low-dropout voltage regulator</t>
  </si>
  <si>
    <t>Linear &amp; low-dropout (LDO) regulators</t>
  </si>
  <si>
    <t>Catalog</t>
  </si>
  <si>
    <t>SOIC,TO-220,TO-263,TO-92</t>
  </si>
  <si>
    <t/>
  </si>
  <si>
    <t>-40 to 85</t>
  </si>
  <si>
    <t>3,5,8</t>
  </si>
  <si>
    <t>19.136,29.4,45.212,46.5328,154.8384</t>
  </si>
  <si>
    <t>10.16 x 15.24,10.16 x 4.45,10.16 x 4.58,4.9 x 6,5.2 x 3.68</t>
  </si>
  <si>
    <t>1.75,4.7,4.83,5.34,19.55</t>
  </si>
  <si>
    <t>1.27,1.7,2.54</t>
  </si>
  <si>
    <t>ACTIVE</t>
  </si>
  <si>
    <t>1-A, 26-V, high-PSRR, adjustable low-dropout voltage regulator with enable from -40°C to +125°C</t>
  </si>
  <si>
    <t>Linear &amp; low-dropout (LDO) regulators</t>
  </si>
  <si>
    <t>Catalog</t>
  </si>
  <si>
    <t>TO-220,TO-263,WSON</t>
  </si>
  <si>
    <t/>
  </si>
  <si>
    <t>-40 to 125</t>
  </si>
  <si>
    <t>5,8</t>
  </si>
  <si>
    <t>16,45.212,86.0552,154.8384</t>
  </si>
  <si>
    <t>10.16 x 15.24,10.16 x 4.45,10.16 x 8.47,4 x 4</t>
  </si>
  <si>
    <t>0.8,4.7,4.83,20.92</t>
  </si>
  <si>
    <t>0.8,1.7</t>
  </si>
  <si>
    <t>ACTIVE</t>
  </si>
  <si>
    <t>1A 5V output linear regulator / LDO in hermetic packages</t>
  </si>
  <si>
    <t>Linear &amp; low-dropout (LDO) regulators</t>
  </si>
  <si>
    <t>Military</t>
  </si>
  <si>
    <t>TO-CAN</t>
  </si>
  <si>
    <t/>
  </si>
  <si>
    <t>0 to 125</t>
  </si>
  <si>
    <t>2,3</t>
  </si>
  <si>
    <t>91.6742,969.2166</t>
  </si>
  <si>
    <t>10.03 x 9.14,38.94 x 24.89</t>
  </si>
  <si>
    <t>4.7,8.94</t>
  </si>
  <si>
    <t>5.08,10.93</t>
  </si>
  <si>
    <t>ACTIVE</t>
  </si>
  <si>
    <t>1.5-A, 40-V, adjustable linear voltage regulator</t>
  </si>
  <si>
    <t>Linear &amp; low-dropout (LDO) regulators</t>
  </si>
  <si>
    <t>Catalog</t>
  </si>
  <si>
    <t>SOT-223,TO-220,TO-263</t>
  </si>
  <si>
    <t/>
  </si>
  <si>
    <t>0 to 125</t>
  </si>
  <si>
    <t>3,4</t>
  </si>
  <si>
    <t>45.5,46.228,154.8384</t>
  </si>
  <si>
    <t>10.16 x 15.24,10.16 x 4.55,6.5 x 7</t>
  </si>
  <si>
    <t>1.8,4.7,4.83</t>
  </si>
  <si>
    <t>2.3,2.54</t>
  </si>
  <si>
    <t>ACTIVE</t>
  </si>
  <si>
    <t>1.5-A, 40-V, adjustable linear voltage regulator</t>
  </si>
  <si>
    <t>Linear &amp; low-dropout (LDO) regulators</t>
  </si>
  <si>
    <t>Catalog,Military</t>
  </si>
  <si>
    <t>SOT-223,TO-220,TO-252,TO-263,TO-CAN</t>
  </si>
  <si>
    <t/>
  </si>
  <si>
    <t>0 to 125</t>
  </si>
  <si>
    <t>3,4</t>
  </si>
  <si>
    <t>45.5,46.5328,65.2078,91.6742,154.8384,193.548</t>
  </si>
  <si>
    <t>10.03 x 9.14,10.16 x 15.24,10.16 x 19.05,10.16 x 4.58,6.5 x 7,6.58 x 9.91</t>
  </si>
  <si>
    <t>1.8,2.55,4.69,4.7,4.83,19.55</t>
  </si>
  <si>
    <t>2.3,2.54,4.57,5.08</t>
  </si>
  <si>
    <t>ACTIVE</t>
  </si>
  <si>
    <t>1.5-A, 40-V, adjustable linear voltage regulator with high-accuracy</t>
  </si>
  <si>
    <t>Linear &amp; low-dropout (LDO) regulators</t>
  </si>
  <si>
    <t>Catalog,Military</t>
  </si>
  <si>
    <t>SOT-223,TO-220,TO-252,TO-CAN</t>
  </si>
  <si>
    <t/>
  </si>
  <si>
    <t>-40 to 125</t>
  </si>
  <si>
    <t>3,4</t>
  </si>
  <si>
    <t>45.5,46.5328,65.2078,91.6742</t>
  </si>
  <si>
    <t>10.03 x 9.14,10.16 x 4.58,6.5 x 7,6.58 x 9.91</t>
  </si>
  <si>
    <t>1.8,2.55,4.7,19.55</t>
  </si>
  <si>
    <t>2.3,2.54,4.57,5.08</t>
  </si>
  <si>
    <t>ACTIVE</t>
  </si>
  <si>
    <t>1.5-A, 60-V, adjustable linear voltage regulator</t>
  </si>
  <si>
    <t>Linear &amp; low-dropout (LDO) regulators</t>
  </si>
  <si>
    <t>Catalog</t>
  </si>
  <si>
    <t>TO-220</t>
  </si>
  <si>
    <t/>
  </si>
  <si>
    <t>0 to 125</t>
  </si>
  <si>
    <t>10.16 x 4.58</t>
  </si>
  <si>
    <t>ACTIVE</t>
  </si>
  <si>
    <t>100-mA, 40-V, high-PSRR, adjustable linear voltage regulator</t>
  </si>
  <si>
    <t>Linear &amp; low-dropout (LDO) regulators</t>
  </si>
  <si>
    <t>Catalog</t>
  </si>
  <si>
    <t>DSBGA,SOIC,TO-92</t>
  </si>
  <si>
    <t/>
  </si>
  <si>
    <t>-40 to 125</t>
  </si>
  <si>
    <t>3,6,8</t>
  </si>
  <si>
    <t>2.1875,19.136,29.4</t>
  </si>
  <si>
    <t>1.75 x 1.25,4.9 x 6,5.2 x 3.68</t>
  </si>
  <si>
    <t>0.575,1.75,5.34</t>
  </si>
  <si>
    <t>0.5,1.27</t>
  </si>
  <si>
    <t>ACTIVE</t>
  </si>
  <si>
    <t>1.5-A, negative linear voltage regulator with high-PSRR</t>
  </si>
  <si>
    <t>Linear &amp; low-dropout (LDO) regulators</t>
  </si>
  <si>
    <t>Catalog</t>
  </si>
  <si>
    <t>TO-220</t>
  </si>
  <si>
    <t/>
  </si>
  <si>
    <t>0 to 125</t>
  </si>
  <si>
    <t>10.16 x 4.58</t>
  </si>
  <si>
    <t>ACTIVE</t>
  </si>
  <si>
    <t>3A 5V Fixed Output Linear Regulator</t>
  </si>
  <si>
    <t>Linear &amp; low-dropout (LDO) regulators</t>
  </si>
  <si>
    <t>Military</t>
  </si>
  <si>
    <t>TO-CAN</t>
  </si>
  <si>
    <t/>
  </si>
  <si>
    <t>0 to 125</t>
  </si>
  <si>
    <t>38.94 x 24.89</t>
  </si>
  <si>
    <t>ACTIVE</t>
  </si>
  <si>
    <t>150-mA, 26-V, low-dropout voltage regulator with low-noise</t>
  </si>
  <si>
    <t>Linear &amp; low-dropout (LDO) regulators</t>
  </si>
  <si>
    <t>Catalog</t>
  </si>
  <si>
    <t>TO-220</t>
  </si>
  <si>
    <t/>
  </si>
  <si>
    <t>0 to 70</t>
  </si>
  <si>
    <t>10.16 x 4.58</t>
  </si>
  <si>
    <t>ACTIVE</t>
  </si>
  <si>
    <t>0°C to 70°C 3-pin adjustable current source</t>
  </si>
  <si>
    <t>Current references &amp; sources</t>
  </si>
  <si>
    <t>Catalog</t>
  </si>
  <si>
    <t>SOIC,TO-92,WAFERSALE</t>
  </si>
  <si>
    <t/>
  </si>
  <si>
    <t>-40 to 85</t>
  </si>
  <si>
    <t>0,3,8</t>
  </si>
  <si>
    <t>19.136,29.4,See data sheet</t>
  </si>
  <si>
    <t>4.9 x 6,5.2 x 3.68,See data sheet</t>
  </si>
  <si>
    <t>1.75,5.34,—</t>
  </si>
  <si>
    <t>1.27,—</t>
  </si>
  <si>
    <t>ACTIVE</t>
  </si>
  <si>
    <t>Voltage reference diode</t>
  </si>
  <si>
    <t>Shunt voltage references</t>
  </si>
  <si>
    <t>Catalog</t>
  </si>
  <si>
    <t>SOIC,TO-92</t>
  </si>
  <si>
    <t/>
  </si>
  <si>
    <t>0 to 70</t>
  </si>
  <si>
    <t>3,8</t>
  </si>
  <si>
    <t>19.136,29.4</t>
  </si>
  <si>
    <t>4.9 x 6,5.2 x 3.68</t>
  </si>
  <si>
    <t>1.75,5.34</t>
  </si>
  <si>
    <t>ACTIVE</t>
  </si>
  <si>
    <t>5-V reference diode</t>
  </si>
  <si>
    <t>Shunt voltage references</t>
  </si>
  <si>
    <t>Catalog</t>
  </si>
  <si>
    <t>SOIC,TO-92,WAFERSALE</t>
  </si>
  <si>
    <t/>
  </si>
  <si>
    <t>-40 to 85</t>
  </si>
  <si>
    <t>0,3,8</t>
  </si>
  <si>
    <t>19.136,29.4,See data sheet</t>
  </si>
  <si>
    <t>4.9 x 6,5.2 x 3.68,See data sheet</t>
  </si>
  <si>
    <t>1.75,5.34,—</t>
  </si>
  <si>
    <t>1.27,—</t>
  </si>
  <si>
    <t>ACTIVE</t>
  </si>
  <si>
    <t>1.5-A, negative, adjustable linear voltage regulator</t>
  </si>
  <si>
    <t>Linear &amp; low-dropout (LDO) regulators</t>
  </si>
  <si>
    <t>Catalog</t>
  </si>
  <si>
    <t>SOT-223,TO-220</t>
  </si>
  <si>
    <t/>
  </si>
  <si>
    <t>-40 to 125</t>
  </si>
  <si>
    <t>3,4</t>
  </si>
  <si>
    <t>45.5,46.5328,193.548</t>
  </si>
  <si>
    <t>10.16 x 19.05,10.16 x 4.58,6.5 x 7</t>
  </si>
  <si>
    <t>1.8,4.69,19.55</t>
  </si>
  <si>
    <t>2.3,2.54</t>
  </si>
  <si>
    <t>ACTIVE</t>
  </si>
  <si>
    <t>100-mA, negative, adjustable linear voltage regulator</t>
  </si>
  <si>
    <t>Linear &amp; low-dropout (LDO) regulators</t>
  </si>
  <si>
    <t>Catalog</t>
  </si>
  <si>
    <t>SOIC,TO-92</t>
  </si>
  <si>
    <t/>
  </si>
  <si>
    <t>-25 to 100</t>
  </si>
  <si>
    <t>3,8</t>
  </si>
  <si>
    <t>19.136,29.4</t>
  </si>
  <si>
    <t>4.9 x 6,5.2 x 3.68</t>
  </si>
  <si>
    <t>1.75,5.34</t>
  </si>
  <si>
    <t>ACTIVE</t>
  </si>
  <si>
    <t>1.5-A, 35-V, linear voltage regulator</t>
  </si>
  <si>
    <t>Linear &amp; low-dropout (LDO) regulators</t>
  </si>
  <si>
    <t>Catalog</t>
  </si>
  <si>
    <t>SOT-223,TO-220,TO-263</t>
  </si>
  <si>
    <t/>
  </si>
  <si>
    <t>0 to 125</t>
  </si>
  <si>
    <t>3,4</t>
  </si>
  <si>
    <t>45.5,46.5328,154.8384,193.548</t>
  </si>
  <si>
    <t>10.16 x 15.24,10.16 x 19.05,10.16 x 4.58,6.5 x 7</t>
  </si>
  <si>
    <t>1.8,4.69,4.83,19.55</t>
  </si>
  <si>
    <t>2.3,2.54</t>
  </si>
  <si>
    <t>ACTIVE</t>
  </si>
  <si>
    <t>100-mA, 35-V, linear voltage regulator</t>
  </si>
  <si>
    <t>Linear &amp; low-dropout (LDO) regulators</t>
  </si>
  <si>
    <t>Catalog</t>
  </si>
  <si>
    <t>TO-92</t>
  </si>
  <si>
    <t/>
  </si>
  <si>
    <t>0 to 70</t>
  </si>
  <si>
    <t>5.2 x 3.68</t>
  </si>
  <si>
    <t>ACTIVE</t>
  </si>
  <si>
    <t>500-mA, 35-V, linear voltage regulator</t>
  </si>
  <si>
    <t>Linear &amp; low-dropout (LDO) regulators</t>
  </si>
  <si>
    <t>Catalog</t>
  </si>
  <si>
    <t>TO-220</t>
  </si>
  <si>
    <t/>
  </si>
  <si>
    <t>-40 to 125</t>
  </si>
  <si>
    <t>10.16 x 4.58</t>
  </si>
  <si>
    <t>ACTIVE</t>
  </si>
  <si>
    <t>3-A, 35-V, low-noise, adjustable linear voltage regulator</t>
  </si>
  <si>
    <t>Linear &amp; low-dropout (LDO) regulators</t>
  </si>
  <si>
    <t>Catalog</t>
  </si>
  <si>
    <t>TO-220</t>
  </si>
  <si>
    <t/>
  </si>
  <si>
    <t>0 to 125</t>
  </si>
  <si>
    <t>10.16 x 4.58</t>
  </si>
  <si>
    <t>ACTIVE</t>
  </si>
  <si>
    <t>3-A, 35-V, low-noise, adjustable linear voltage regulator with high-accuracy</t>
  </si>
  <si>
    <t>Linear &amp; low-dropout (LDO) regulators</t>
  </si>
  <si>
    <t>Catalog</t>
  </si>
  <si>
    <t>TO-220</t>
  </si>
  <si>
    <t/>
  </si>
  <si>
    <t>-40 to 125</t>
  </si>
  <si>
    <t>10.16 x 4.58</t>
  </si>
  <si>
    <t>ACTIVE</t>
  </si>
  <si>
    <t>40V, 0.2A 350KHz PWM controller</t>
  </si>
  <si>
    <t>AC/DC &amp; DC/DC controllers (external FET)</t>
  </si>
  <si>
    <t>Catalog</t>
  </si>
  <si>
    <t>Full bridge</t>
  </si>
  <si>
    <t>SOIC</t>
  </si>
  <si>
    <t/>
  </si>
  <si>
    <t>0 to 125</t>
  </si>
  <si>
    <t>9.9 x 6</t>
  </si>
  <si>
    <t>ACTIVE</t>
  </si>
  <si>
    <t>2-V to 40-VIN switching regulators in buck, boost, terminal, depending upon the application</t>
  </si>
  <si>
    <t>AC/DC &amp; DC/DC controllers (external FET)</t>
  </si>
  <si>
    <t>Catalog</t>
  </si>
  <si>
    <t>Boost,Buck,Flyback,Forward,SEPIC</t>
  </si>
  <si>
    <t>PDIP,SOIC</t>
  </si>
  <si>
    <t/>
  </si>
  <si>
    <t>0 to 125</t>
  </si>
  <si>
    <t>29.4,92.5083</t>
  </si>
  <si>
    <t>4.9 x 6,9.81 x 9.43</t>
  </si>
  <si>
    <t>1.75,5.08</t>
  </si>
  <si>
    <t>1.27,2.54</t>
  </si>
  <si>
    <t>ACTIVE</t>
  </si>
  <si>
    <t>1.235-V, 0°C to 70°C,  micropower voltage reference diode</t>
  </si>
  <si>
    <t>Shunt voltage references</t>
  </si>
  <si>
    <t>Catalog</t>
  </si>
  <si>
    <t>SOIC,SOT-23,TO-92</t>
  </si>
  <si>
    <t/>
  </si>
  <si>
    <t>0 to 70</t>
  </si>
  <si>
    <t>3,8</t>
  </si>
  <si>
    <t>6.9204,19.136,29.4</t>
  </si>
  <si>
    <t>2.92 x 2.37,4.9 x 6,5.2 x 3.68</t>
  </si>
  <si>
    <t>1.12,1.75,5.34</t>
  </si>
  <si>
    <t>0.96,1.27</t>
  </si>
  <si>
    <t>ACTIVE</t>
  </si>
  <si>
    <t>2.5-V, 0°C to 70°C,  micropower voltage reference diode</t>
  </si>
  <si>
    <t>Shunt voltage references</t>
  </si>
  <si>
    <t>Catalog</t>
  </si>
  <si>
    <t>SOIC,SOT-23,TO-92</t>
  </si>
  <si>
    <t/>
  </si>
  <si>
    <t>0 to 70</t>
  </si>
  <si>
    <t>3,8</t>
  </si>
  <si>
    <t>6.9204,19.136,29.4</t>
  </si>
  <si>
    <t>2.92 x 2.37,4.9 x 6,5.2 x 3.68</t>
  </si>
  <si>
    <t>1.12,1.75,5.34</t>
  </si>
  <si>
    <t>0.96,1.27</t>
  </si>
  <si>
    <t>ACTIVE</t>
  </si>
  <si>
    <t>Adjustable, 70°C, micropower voltage reference</t>
  </si>
  <si>
    <t>Shunt voltage references</t>
  </si>
  <si>
    <t>Catalog</t>
  </si>
  <si>
    <t>SOIC,TO-92</t>
  </si>
  <si>
    <t/>
  </si>
  <si>
    <t>0 to 70</t>
  </si>
  <si>
    <t>3,8</t>
  </si>
  <si>
    <t>19.136,29.4</t>
  </si>
  <si>
    <t>4.9 x 6,5.2 x 3.68</t>
  </si>
  <si>
    <t>1.75,5.34</t>
  </si>
  <si>
    <t>ACTIVE</t>
  </si>
  <si>
    <t>2%, 1%, or 0.5% accuracy, adjustable precision Zener shunt regulator</t>
  </si>
  <si>
    <t>Shunt voltage references</t>
  </si>
  <si>
    <t>Catalog</t>
  </si>
  <si>
    <t>SOIC,SOT-23,TO-92</t>
  </si>
  <si>
    <t/>
  </si>
  <si>
    <t>-40 to 85</t>
  </si>
  <si>
    <t>3,8</t>
  </si>
  <si>
    <t>6.9204,19.136,29.4</t>
  </si>
  <si>
    <t>2.92 x 2.37,4.9 x 6,5.2 x 3.68</t>
  </si>
  <si>
    <t>1.12,1.75,5.34</t>
  </si>
  <si>
    <t>0.96,1.27</t>
  </si>
  <si>
    <t>ACTIVE</t>
  </si>
  <si>
    <t>150 mA Adjustable Output Linear Regulator / LDO</t>
  </si>
  <si>
    <t>Linear &amp; low-dropout (LDO) regulators</t>
  </si>
  <si>
    <t>Military</t>
  </si>
  <si>
    <t>TO-CAN</t>
  </si>
  <si>
    <t/>
  </si>
  <si>
    <t>-55 to 150</t>
  </si>
  <si>
    <t>8.96 x 8.96</t>
  </si>
  <si>
    <t>ACTIVE</t>
  </si>
  <si>
    <t>Space-grade, 9.5-V to 40-V, 150-mA adjustable output linear regulator</t>
  </si>
  <si>
    <t>Linear &amp; low-dropout (LDO) regulators</t>
  </si>
  <si>
    <t>Space</t>
  </si>
  <si>
    <t>CDIP,TO-CAN</t>
  </si>
  <si>
    <t/>
  </si>
  <si>
    <t>-55 to 125</t>
  </si>
  <si>
    <t>10,14</t>
  </si>
  <si>
    <t>80.2816,130.4652</t>
  </si>
  <si>
    <t>19.56 x 6.67,8.96 x 8.96</t>
  </si>
  <si>
    <t>5.08,5.72</t>
  </si>
  <si>
    <t>2.54,2.92</t>
  </si>
  <si>
    <t>ACTIVE</t>
  </si>
  <si>
    <t>100-mA, 30-V, linear voltage regulator</t>
  </si>
  <si>
    <t>Linear &amp; low-dropout (LDO) regulators</t>
  </si>
  <si>
    <t>Catalog</t>
  </si>
  <si>
    <t>DSBGA,SOIC,TO-92</t>
  </si>
  <si>
    <t/>
  </si>
  <si>
    <t>-40 to 125</t>
  </si>
  <si>
    <t>3,8</t>
  </si>
  <si>
    <t>3.0625,19.136,29.4</t>
  </si>
  <si>
    <t>1.75 x 1.75,4.9 x 6,5.2 x 3.68</t>
  </si>
  <si>
    <t>0.575,1.75,5.34</t>
  </si>
  <si>
    <t>0.5,1.27</t>
  </si>
  <si>
    <t>ACTIVE</t>
  </si>
  <si>
    <t>500-mA, 35-V, linear voltage regulator for 5 V</t>
  </si>
  <si>
    <t>Linear &amp; low-dropout (LDO) regulators</t>
  </si>
  <si>
    <t>Catalog</t>
  </si>
  <si>
    <t>TO-220,TO-252</t>
  </si>
  <si>
    <t/>
  </si>
  <si>
    <t>-40 to 125</t>
  </si>
  <si>
    <t>46.5328,65.2078</t>
  </si>
  <si>
    <t>10.16 x 4.58,6.58 x 9.91</t>
  </si>
  <si>
    <t>2.55,19.55</t>
  </si>
  <si>
    <t>2.54,4.57</t>
  </si>
  <si>
    <t>ACTIVE</t>
  </si>
  <si>
    <t>1.5A Adjustable Step Up, Step Down or Inverting Regulator</t>
  </si>
  <si>
    <t>AC/DC &amp; DC/DC converters (integrated FET)</t>
  </si>
  <si>
    <t>Catalog</t>
  </si>
  <si>
    <t>Boost,Buck,Flyback,Forward,Inverting,SEPIC</t>
  </si>
  <si>
    <t>PDIP</t>
  </si>
  <si>
    <t/>
  </si>
  <si>
    <t>0 to 70</t>
  </si>
  <si>
    <t>6.35 x 8.26</t>
  </si>
  <si>
    <t>ACTIVE</t>
  </si>
  <si>
    <t>1.5-A, negative linear voltage regulator</t>
  </si>
  <si>
    <t>Linear &amp; low-dropout (LDO) regulators</t>
  </si>
  <si>
    <t>Catalog</t>
  </si>
  <si>
    <t>TO-220</t>
  </si>
  <si>
    <t/>
  </si>
  <si>
    <t>0 to 125</t>
  </si>
  <si>
    <t>10.16 x 4.58</t>
  </si>
  <si>
    <t>ACTIVE</t>
  </si>
  <si>
    <t>100-mA, negative linear voltage regulator</t>
  </si>
  <si>
    <t>Linear &amp; low-dropout (LDO) regulators</t>
  </si>
  <si>
    <t>Catalog</t>
  </si>
  <si>
    <t>DSBGA,SOIC,TO-92</t>
  </si>
  <si>
    <t/>
  </si>
  <si>
    <t>0 to 70</t>
  </si>
  <si>
    <t>3,6,8</t>
  </si>
  <si>
    <t>2.1875,19.136,29.4</t>
  </si>
  <si>
    <t>1.75 x 1.25,4.9 x 6,5.2 x 3.68</t>
  </si>
  <si>
    <t>0.675,1.75,5.34</t>
  </si>
  <si>
    <t>0.5,1.27</t>
  </si>
  <si>
    <t>ACTIVE</t>
  </si>
  <si>
    <t>100-mA, 30-V, low-dropout voltage regulator with low IQ</t>
  </si>
  <si>
    <t>Linear &amp; low-dropout (LDO) regulators</t>
  </si>
  <si>
    <t>Catalog</t>
  </si>
  <si>
    <t>TO-252,TO-92</t>
  </si>
  <si>
    <t/>
  </si>
  <si>
    <t>-40 to 125</t>
  </si>
  <si>
    <t>19.136,65.2078</t>
  </si>
  <si>
    <t>5.2 x 3.68,6.58 x 9.91</t>
  </si>
  <si>
    <t>2.55,5.34</t>
  </si>
  <si>
    <t>1.27,4.57</t>
  </si>
  <si>
    <t>ACTIVE</t>
  </si>
  <si>
    <t>100-mA, 30-V, low-dropout voltage regulator with power good &amp; enable</t>
  </si>
  <si>
    <t>Linear &amp; low-dropout (LDO) regulators</t>
  </si>
  <si>
    <t>Catalog</t>
  </si>
  <si>
    <t>PDIP,SOIC,VSSOP,WSON</t>
  </si>
  <si>
    <t/>
  </si>
  <si>
    <t>-40 to 125</t>
  </si>
  <si>
    <t>14.7,16,29.4,92.5083</t>
  </si>
  <si>
    <t>3 x 4.9,4 x 4,4.9 x 6,9.81 x 9.43</t>
  </si>
  <si>
    <t>0.8,1.1,1.75,5.08</t>
  </si>
  <si>
    <t>0.65,0.8,1.27,2.54</t>
  </si>
  <si>
    <t>ACTIVE</t>
  </si>
  <si>
    <t>100-mA, 30-V, adjustable low-dropout voltage regulator with power good &amp; enable</t>
  </si>
  <si>
    <t>Linear &amp; low-dropout (LDO) regulators</t>
  </si>
  <si>
    <t>Catalog</t>
  </si>
  <si>
    <t>SOIC</t>
  </si>
  <si>
    <t/>
  </si>
  <si>
    <t>-40 to 125</t>
  </si>
  <si>
    <t>4.9 x 6</t>
  </si>
  <si>
    <t>ACTIVE</t>
  </si>
  <si>
    <t>Two-phase 180A power module in 9x10x5mm package</t>
  </si>
  <si>
    <t>Power modules (integrated inductor)</t>
  </si>
  <si>
    <t>Catalog</t>
  </si>
  <si>
    <t>UNKNOWN</t>
  </si>
  <si>
    <t/>
  </si>
  <si>
    <t xml:space="preserve"> to </t>
  </si>
  <si>
    <t>See data sheet</t>
  </si>
  <si>
    <t>See data sheet</t>
  </si>
  <si>
    <t>—</t>
  </si>
  <si>
    <t>—</t>
  </si>
  <si>
    <t>PREVIEW</t>
  </si>
  <si>
    <t>Two-phase 180A 9x10x5mm TLVR Power Module</t>
  </si>
  <si>
    <t>Power modules (integrated inductor)</t>
  </si>
  <si>
    <t>Catalog</t>
  </si>
  <si>
    <t>UNKNOWN</t>
  </si>
  <si>
    <t/>
  </si>
  <si>
    <t xml:space="preserve"> to </t>
  </si>
  <si>
    <t>See data sheet</t>
  </si>
  <si>
    <t>See data sheet</t>
  </si>
  <si>
    <t>—</t>
  </si>
  <si>
    <t>—</t>
  </si>
  <si>
    <t>PREVIEW</t>
  </si>
  <si>
    <t>1.6kW, 48V-to-12V regulated intermediate bus converter</t>
  </si>
  <si>
    <t>AC/DC &amp; DC/DC converters (integrated FET)</t>
  </si>
  <si>
    <t>Catalog</t>
  </si>
  <si>
    <t>Buck</t>
  </si>
  <si>
    <t>UNKNOWN</t>
  </si>
  <si>
    <t/>
  </si>
  <si>
    <t>-40 to 125</t>
  </si>
  <si>
    <t>See data sheet</t>
  </si>
  <si>
    <t>See data sheet</t>
  </si>
  <si>
    <t>—</t>
  </si>
  <si>
    <t>—</t>
  </si>
  <si>
    <t>PREVIEW</t>
  </si>
  <si>
    <t>Dual-channel, 16-phase step-down, digital multiphase D-CAP++ controller with SVID, SVI3 and PMBus</t>
  </si>
  <si>
    <t>AC/DC &amp; DC/DC controllers (external FET)</t>
  </si>
  <si>
    <t>Catalog</t>
  </si>
  <si>
    <t>FCLGA</t>
  </si>
  <si>
    <t/>
  </si>
  <si>
    <t xml:space="preserve"> to </t>
  </si>
  <si>
    <t>7 x 7</t>
  </si>
  <si>
    <t>PREVIEW</t>
  </si>
  <si>
    <t>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</si>
</sst>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hadow/>
      <sz val="15"/>
      <color rgb="FF000000"/>
      <name val="Arial"/>
    </font>
    <font>
      <sz val="13"/>
      <color rgb="FF000000"/>
      <name val="Arial"/>
    </font>
    <font>
      <u/>
      <sz val="13"/>
      <color rgb="FF007C8C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5270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12" sqref="A12"/>
      <selection pane="bottomRight" activeCell="B2" sqref="B2"/>
    </sheetView>
  </sheetViews>
  <sheetFormatPr defaultColWidth="11.5546875" defaultRowHeight="15.05" x14ac:dyDescent="0.3"/>
  <cols>
    <col min="1" max="1" width="20.77734375" style="4" customWidth="1"/>
    <col min="2" max="2" width="71.109375" style="4" customWidth="1"/>
    <col min="3" max="3" width="6.33203125" style="4" bestFit="1" customWidth="1"/>
    <col min="4" max="4" width="38.5546875" style="4" customWidth="1"/>
    <col min="5" max="5" width="13.88671875" style="4" customWidth="1"/>
    <col min="6" max="6" width="26.88671875" style="4" customWidth="1"/>
    <col min="7" max="7" width="17.109375" style="4" customWidth="1"/>
    <col min="8" max="8" width="18.88671875" customWidth="1"/>
    <col min="9" max="9" width="12.44140625" style="4" customWidth="1"/>
    <col min="10" max="10" width="5.6640625" style="8" customWidth="1"/>
    <col min="11" max="11" width="10.33203125" style="8" customWidth="1"/>
    <col min="12" max="12" width="12" style="4" customWidth="1"/>
    <col min="13" max="13" width="10.33203125" style="8" customWidth="1"/>
    <col min="14" max="14" width="7.109375" style="8" customWidth="1"/>
    <col min="15" max="15" width="9.33203125" style="8" customWidth="1"/>
    <col min="16" max="16" width="9.5546875" customWidth="1"/>
  </cols>
  <sheetData>
    <row r="1" spans="1:16" s="3" customFormat="1" ht="95.6" thickBot="1" x14ac:dyDescent="0.35">
      <c r="A1" s="2" t="s">
        <v>0</v>
      </c>
      <c r="B1" s="2" t="s">
        <v>1</v>
      </c>
      <c r="C1" s="2" t="s">
        <v>48766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</row>
    <row r="2" spans="1:16" ht="33.4" x14ac:dyDescent="0.3">
      <c r="A2" s="6" t="str">
        <f>HYPERLINK("https://www.ti.com/product/LMG3650R025", "LMG3650R025")</f>
        <v>LMG3650R025</v>
      </c>
      <c r="B2" s="5" t="s">
        <v>15</v>
      </c>
      <c r="C2" s="6" t="str">
        <f>HYPERLINK("https://www.ti.com/lit/gpn/LMG3650R025", "PDF")</f>
        <v>PDF</v>
      </c>
      <c r="D2" s="5" t="s">
        <v>16</v>
      </c>
      <c r="E2" s="5" t="s">
        <v>17</v>
      </c>
      <c r="F2" s="5"/>
      <c r="G2" s="5" t="s">
        <v>18</v>
      </c>
      <c r="H2" s="1" t="s">
        <v>19</v>
      </c>
      <c r="I2" s="5" t="s">
        <v>20</v>
      </c>
      <c r="J2" s="7">
        <v>9</v>
      </c>
      <c r="K2" s="7">
        <v>115.63200000000001</v>
      </c>
      <c r="L2" s="5" t="s">
        <v>21</v>
      </c>
      <c r="M2" s="7">
        <v>2.35</v>
      </c>
      <c r="N2" s="7">
        <v>1.2</v>
      </c>
      <c r="O2" s="7">
        <v>8.4760000000000009</v>
      </c>
      <c r="P2" s="1" t="s">
        <v>22</v>
      </c>
    </row>
    <row r="3" spans="1:16" ht="17.05" x14ac:dyDescent="0.3">
      <c r="A3" s="6" t="str">
        <f>HYPERLINK("https://www.ti.com/product/TPSM852892", "TPSM852892")</f>
        <v>TPSM852892</v>
      </c>
      <c r="B3" s="5" t="s">
        <v>23</v>
      </c>
      <c r="C3" s="6" t="str">
        <f>HYPERLINK("https://www.ti.com/lit/gpn/TPSM852892", "PDF")</f>
        <v>PDF</v>
      </c>
      <c r="D3" s="5" t="s">
        <v>24</v>
      </c>
      <c r="E3" s="5" t="s">
        <v>25</v>
      </c>
      <c r="F3" s="5" t="s">
        <v>26</v>
      </c>
      <c r="G3" s="5" t="s">
        <v>27</v>
      </c>
      <c r="H3" s="1" t="s">
        <v>28</v>
      </c>
      <c r="I3" s="5" t="s">
        <v>29</v>
      </c>
      <c r="J3" s="7">
        <v>71</v>
      </c>
      <c r="K3" s="7">
        <v>57.75</v>
      </c>
      <c r="L3" s="5" t="s">
        <v>30</v>
      </c>
      <c r="M3" s="7">
        <v>4</v>
      </c>
      <c r="N3" s="7">
        <v>0.5</v>
      </c>
      <c r="O3" s="7">
        <v>15</v>
      </c>
      <c r="P3" s="1" t="s">
        <v>31</v>
      </c>
    </row>
    <row r="4" spans="1:16" ht="33.4" x14ac:dyDescent="0.3">
      <c r="A4" s="6" t="str">
        <f>HYPERLINK("https://www.ti.com/product/TPS548A23", "TPS548A23")</f>
        <v>TPS548A23</v>
      </c>
      <c r="B4" s="5" t="s">
        <v>32</v>
      </c>
      <c r="C4" s="6" t="str">
        <f>HYPERLINK("https://www.ti.com/lit/gpn/TPS548A23", "PDF")</f>
        <v>PDF</v>
      </c>
      <c r="D4" s="5" t="s">
        <v>33</v>
      </c>
      <c r="E4" s="5" t="s">
        <v>34</v>
      </c>
      <c r="F4" s="5" t="s">
        <v>35</v>
      </c>
      <c r="G4" s="5" t="s">
        <v>36</v>
      </c>
      <c r="H4" s="1" t="s">
        <v>37</v>
      </c>
      <c r="I4" s="5" t="s">
        <v>38</v>
      </c>
      <c r="J4" s="7">
        <v>19</v>
      </c>
      <c r="K4" s="7">
        <v>9</v>
      </c>
      <c r="L4" s="5" t="s">
        <v>39</v>
      </c>
      <c r="M4" s="7">
        <v>0.8</v>
      </c>
      <c r="N4" s="7">
        <v>0.4</v>
      </c>
      <c r="O4" s="7">
        <v>1.29</v>
      </c>
      <c r="P4" s="1" t="s">
        <v>40</v>
      </c>
    </row>
    <row r="5" spans="1:16" ht="49.75" x14ac:dyDescent="0.3">
      <c r="A5" s="6" t="str">
        <f>HYPERLINK("https://www.ti.com/product/TPSI2260-Q1", "TPSI2260-Q1")</f>
        <v>TPSI2260-Q1</v>
      </c>
      <c r="B5" s="5" t="s">
        <v>41</v>
      </c>
      <c r="C5" s="6" t="str">
        <f>HYPERLINK("https://www.ti.com/lit/gpn/TPSI2260-Q1", "PDF")</f>
        <v>PDF</v>
      </c>
      <c r="D5" s="5" t="s">
        <v>42</v>
      </c>
      <c r="E5" s="5" t="s">
        <v>43</v>
      </c>
      <c r="F5" s="5"/>
      <c r="G5" s="5" t="s">
        <v>44</v>
      </c>
      <c r="H5" s="1" t="s">
        <v>45</v>
      </c>
      <c r="I5" s="5" t="s">
        <v>46</v>
      </c>
      <c r="J5" s="7">
        <v>11</v>
      </c>
      <c r="K5" s="7">
        <v>106.09</v>
      </c>
      <c r="L5" s="5" t="s">
        <v>47</v>
      </c>
      <c r="M5" s="7">
        <v>2.65</v>
      </c>
      <c r="N5" s="7">
        <v>1.27</v>
      </c>
      <c r="O5" s="7">
        <v>1.49</v>
      </c>
      <c r="P5" s="1" t="s">
        <v>48</v>
      </c>
    </row>
    <row r="6" spans="1:16" ht="49.75" x14ac:dyDescent="0.3">
      <c r="A6" s="6" t="str">
        <f>HYPERLINK("https://www.ti.com/product/TPSM8287B15", "TPSM8287B15")</f>
        <v>TPSM8287B15</v>
      </c>
      <c r="B6" s="5" t="s">
        <v>49</v>
      </c>
      <c r="C6" s="6" t="str">
        <f>HYPERLINK("https://www.ti.com/lit/gpn/TPSM8287B15", "PDF")</f>
        <v>PDF</v>
      </c>
      <c r="D6" s="5" t="s">
        <v>50</v>
      </c>
      <c r="E6" s="5" t="s">
        <v>51</v>
      </c>
      <c r="F6" s="5" t="s">
        <v>52</v>
      </c>
      <c r="G6" s="5" t="s">
        <v>53</v>
      </c>
      <c r="H6" s="1" t="s">
        <v>54</v>
      </c>
      <c r="I6" s="5" t="s">
        <v>55</v>
      </c>
      <c r="J6" s="7">
        <v>37</v>
      </c>
      <c r="K6" s="7">
        <v>30</v>
      </c>
      <c r="L6" s="5" t="s">
        <v>56</v>
      </c>
      <c r="M6" s="7">
        <v>2</v>
      </c>
      <c r="N6" s="7">
        <v>0.5</v>
      </c>
      <c r="O6" s="7">
        <v>8.25</v>
      </c>
      <c r="P6" s="1" t="s">
        <v>57</v>
      </c>
    </row>
    <row r="7" spans="1:16" ht="33.4" x14ac:dyDescent="0.3">
      <c r="A7" s="6" t="str">
        <f>HYPERLINK("https://www.ti.com/product/LM51251A-Q1", "LM51251A-Q1")</f>
        <v>LM51251A-Q1</v>
      </c>
      <c r="B7" s="5" t="s">
        <v>58</v>
      </c>
      <c r="C7" s="6" t="str">
        <f>HYPERLINK("https://www.ti.com/lit/gpn/LM51251A-Q1", "PDF")</f>
        <v>PDF</v>
      </c>
      <c r="D7" s="5" t="s">
        <v>59</v>
      </c>
      <c r="E7" s="5" t="s">
        <v>60</v>
      </c>
      <c r="F7" s="5" t="s">
        <v>61</v>
      </c>
      <c r="G7" s="5" t="s">
        <v>62</v>
      </c>
      <c r="H7" s="1" t="s">
        <v>63</v>
      </c>
      <c r="I7" s="5" t="s">
        <v>64</v>
      </c>
      <c r="J7" s="7">
        <v>32</v>
      </c>
      <c r="K7" s="7">
        <v>25</v>
      </c>
      <c r="L7" s="5" t="s">
        <v>65</v>
      </c>
      <c r="M7" s="7">
        <v>1</v>
      </c>
      <c r="N7" s="7">
        <v>0.5</v>
      </c>
      <c r="O7" s="7">
        <v>2.4780000000000002</v>
      </c>
      <c r="P7" s="1" t="s">
        <v>66</v>
      </c>
    </row>
    <row r="8" spans="1:16" ht="33.4" x14ac:dyDescent="0.3">
      <c r="A8" s="6" t="str">
        <f>HYPERLINK("https://www.ti.com/product/LM51261A-Q1", "LM51261A-Q1")</f>
        <v>LM51261A-Q1</v>
      </c>
      <c r="B8" s="5" t="s">
        <v>67</v>
      </c>
      <c r="C8" s="6" t="str">
        <f>HYPERLINK("https://www.ti.com/lit/gpn/LM51261A-Q1", "PDF")</f>
        <v>PDF</v>
      </c>
      <c r="D8" s="5" t="s">
        <v>68</v>
      </c>
      <c r="E8" s="5" t="s">
        <v>69</v>
      </c>
      <c r="F8" s="5" t="s">
        <v>70</v>
      </c>
      <c r="G8" s="5" t="s">
        <v>71</v>
      </c>
      <c r="H8" s="1" t="s">
        <v>72</v>
      </c>
      <c r="I8" s="5" t="s">
        <v>73</v>
      </c>
      <c r="J8" s="7">
        <v>32</v>
      </c>
      <c r="K8" s="7">
        <v>25</v>
      </c>
      <c r="L8" s="5" t="s">
        <v>74</v>
      </c>
      <c r="M8" s="7">
        <v>1</v>
      </c>
      <c r="N8" s="7">
        <v>0.5</v>
      </c>
      <c r="O8" s="7">
        <v>1.6519999999999999</v>
      </c>
      <c r="P8" s="1" t="s">
        <v>75</v>
      </c>
    </row>
    <row r="9" spans="1:16" ht="33.4" x14ac:dyDescent="0.3">
      <c r="A9" s="6" t="str">
        <f>HYPERLINK("https://www.ti.com/product/LM5126A-Q1", "LM5126A-Q1")</f>
        <v>LM5126A-Q1</v>
      </c>
      <c r="B9" s="5" t="s">
        <v>76</v>
      </c>
      <c r="C9" s="6" t="str">
        <f>HYPERLINK("https://www.ti.com/lit/gpn/LM5126A-Q1", "PDF")</f>
        <v>PDF</v>
      </c>
      <c r="D9" s="5" t="s">
        <v>77</v>
      </c>
      <c r="E9" s="5" t="s">
        <v>78</v>
      </c>
      <c r="F9" s="5" t="s">
        <v>79</v>
      </c>
      <c r="G9" s="5" t="s">
        <v>80</v>
      </c>
      <c r="H9" s="1" t="s">
        <v>81</v>
      </c>
      <c r="I9" s="5" t="s">
        <v>82</v>
      </c>
      <c r="J9" s="7">
        <v>32</v>
      </c>
      <c r="K9" s="7">
        <v>25</v>
      </c>
      <c r="L9" s="5" t="s">
        <v>83</v>
      </c>
      <c r="M9" s="7">
        <v>1</v>
      </c>
      <c r="N9" s="7">
        <v>0.5</v>
      </c>
      <c r="O9" s="7">
        <v>1.6519999999999999</v>
      </c>
      <c r="P9" s="1" t="s">
        <v>84</v>
      </c>
    </row>
    <row r="10" spans="1:16" ht="33.4" x14ac:dyDescent="0.3">
      <c r="A10" s="6" t="str">
        <f>HYPERLINK("https://www.ti.com/product/LMR60460-Q1", "LMR60460-Q1")</f>
        <v>LMR60460-Q1</v>
      </c>
      <c r="B10" s="5" t="s">
        <v>85</v>
      </c>
      <c r="C10" s="6" t="str">
        <f>HYPERLINK("https://www.ti.com/lit/gpn/LMR60460-Q1", "PDF")</f>
        <v>PDF</v>
      </c>
      <c r="D10" s="5" t="s">
        <v>86</v>
      </c>
      <c r="E10" s="5" t="s">
        <v>87</v>
      </c>
      <c r="F10" s="5" t="s">
        <v>88</v>
      </c>
      <c r="G10" s="5" t="s">
        <v>89</v>
      </c>
      <c r="H10" s="1" t="s">
        <v>90</v>
      </c>
      <c r="I10" s="5" t="s">
        <v>91</v>
      </c>
      <c r="J10" s="7">
        <v>9</v>
      </c>
      <c r="K10" s="7">
        <v>5</v>
      </c>
      <c r="L10" s="5" t="s">
        <v>92</v>
      </c>
      <c r="M10" s="7">
        <v>0.7</v>
      </c>
      <c r="N10" s="7">
        <v>0.5</v>
      </c>
      <c r="O10" s="7">
        <v>0.75</v>
      </c>
      <c r="P10" s="1" t="s">
        <v>93</v>
      </c>
    </row>
    <row r="11" spans="1:16" ht="33.4" x14ac:dyDescent="0.3">
      <c r="A11" s="6" t="str">
        <f>HYPERLINK("https://www.ti.com/product/TPS62883-Q1", "TPS62883-Q1")</f>
        <v>TPS62883-Q1</v>
      </c>
      <c r="B11" s="5" t="s">
        <v>94</v>
      </c>
      <c r="C11" s="6" t="str">
        <f>HYPERLINK("https://www.ti.com/lit/gpn/TPS62883-Q1", "PDF")</f>
        <v>PDF</v>
      </c>
      <c r="D11" s="5" t="s">
        <v>95</v>
      </c>
      <c r="E11" s="5" t="s">
        <v>96</v>
      </c>
      <c r="F11" s="5" t="s">
        <v>97</v>
      </c>
      <c r="G11" s="5" t="s">
        <v>98</v>
      </c>
      <c r="H11" s="1" t="s">
        <v>99</v>
      </c>
      <c r="I11" s="5" t="s">
        <v>100</v>
      </c>
      <c r="J11" s="7">
        <v>25</v>
      </c>
      <c r="K11" s="7">
        <v>20</v>
      </c>
      <c r="L11" s="5" t="s">
        <v>101</v>
      </c>
      <c r="M11" s="7">
        <v>1</v>
      </c>
      <c r="N11" s="7">
        <v>0.5</v>
      </c>
      <c r="O11" s="7">
        <v>3.7749999999999999</v>
      </c>
      <c r="P11" s="1" t="s">
        <v>102</v>
      </c>
    </row>
    <row r="12" spans="1:16" ht="17.05" x14ac:dyDescent="0.3">
      <c r="A12" s="6" t="str">
        <f>HYPERLINK("https://www.ti.com/product/TPS65214", "TPS65214")</f>
        <v>TPS65214</v>
      </c>
      <c r="B12" s="5" t="s">
        <v>103</v>
      </c>
      <c r="C12" s="6" t="str">
        <f>HYPERLINK("https://www.ti.com/lit/gpn/TPS65214", "PDF")</f>
        <v>PDF</v>
      </c>
      <c r="D12" s="5" t="s">
        <v>104</v>
      </c>
      <c r="E12" s="5" t="s">
        <v>105</v>
      </c>
      <c r="F12" s="5"/>
      <c r="G12" s="5" t="s">
        <v>106</v>
      </c>
      <c r="H12" s="1" t="s">
        <v>107</v>
      </c>
      <c r="I12" s="5" t="s">
        <v>108</v>
      </c>
      <c r="J12" s="7">
        <v>24</v>
      </c>
      <c r="K12" s="7">
        <v>12.25</v>
      </c>
      <c r="L12" s="5" t="s">
        <v>109</v>
      </c>
      <c r="M12" s="7">
        <v>0.8</v>
      </c>
      <c r="N12" s="7">
        <v>0.48749999999999999</v>
      </c>
      <c r="O12" s="7">
        <v>0.75900000000000001</v>
      </c>
      <c r="P12" s="1" t="s">
        <v>110</v>
      </c>
    </row>
    <row r="13" spans="1:16" ht="33.4" x14ac:dyDescent="0.3">
      <c r="A13" s="6" t="str">
        <f>HYPERLINK("https://www.ti.com/product/TPS7H4011-SEP", "TPS7H4011-SEP")</f>
        <v>TPS7H4011-SEP</v>
      </c>
      <c r="B13" s="5" t="s">
        <v>111</v>
      </c>
      <c r="C13" s="6" t="str">
        <f>HYPERLINK("https://www.ti.com/lit/gpn/TPS7H4011-SEP", "PDF")</f>
        <v>PDF</v>
      </c>
      <c r="D13" s="5" t="s">
        <v>112</v>
      </c>
      <c r="E13" s="5" t="s">
        <v>113</v>
      </c>
      <c r="F13" s="5" t="s">
        <v>114</v>
      </c>
      <c r="G13" s="5" t="s">
        <v>115</v>
      </c>
      <c r="H13" s="1" t="s">
        <v>116</v>
      </c>
      <c r="I13" s="5" t="s">
        <v>117</v>
      </c>
      <c r="J13" s="7">
        <v>44</v>
      </c>
      <c r="K13" s="7">
        <v>113.4</v>
      </c>
      <c r="L13" s="5" t="s">
        <v>118</v>
      </c>
      <c r="M13" s="7">
        <v>1.2</v>
      </c>
      <c r="N13" s="7">
        <v>0.63500000000000001</v>
      </c>
      <c r="O13" s="7">
        <v>2498.0070000000001</v>
      </c>
      <c r="P13" s="1" t="s">
        <v>119</v>
      </c>
    </row>
    <row r="14" spans="1:16" ht="33.4" x14ac:dyDescent="0.3">
      <c r="A14" s="6" t="str">
        <f>HYPERLINK("https://www.ti.com/product/UCG28824", "UCG28824")</f>
        <v>UCG28824</v>
      </c>
      <c r="B14" s="5" t="s">
        <v>120</v>
      </c>
      <c r="C14" s="6" t="str">
        <f>HYPERLINK("https://www.ti.com/lit/gpn/UCG28824", "PDF")</f>
        <v>PDF</v>
      </c>
      <c r="D14" s="5" t="s">
        <v>121</v>
      </c>
      <c r="E14" s="5" t="s">
        <v>122</v>
      </c>
      <c r="F14" s="5" t="s">
        <v>123</v>
      </c>
      <c r="G14" s="5" t="s">
        <v>124</v>
      </c>
      <c r="H14" s="1" t="s">
        <v>125</v>
      </c>
      <c r="I14" s="5" t="s">
        <v>126</v>
      </c>
      <c r="J14" s="7">
        <v>12</v>
      </c>
      <c r="K14" s="7">
        <v>25</v>
      </c>
      <c r="L14" s="5" t="s">
        <v>127</v>
      </c>
      <c r="M14" s="7">
        <v>1</v>
      </c>
      <c r="N14" s="7">
        <v>0.5</v>
      </c>
      <c r="O14" s="7">
        <v>2.0499999999999998</v>
      </c>
      <c r="P14" s="1" t="s">
        <v>128</v>
      </c>
    </row>
    <row r="15" spans="1:16" ht="33.4" x14ac:dyDescent="0.3">
      <c r="A15" s="6" t="str">
        <f>HYPERLINK("https://www.ti.com/product/TPS62A0569", "TPS62A0569")</f>
        <v>TPS62A0569</v>
      </c>
      <c r="B15" s="5" t="s">
        <v>129</v>
      </c>
      <c r="C15" s="6" t="str">
        <f>HYPERLINK("https://www.ti.com/lit/gpn/TPS62A0569", "PDF")</f>
        <v>PDF</v>
      </c>
      <c r="D15" s="5" t="s">
        <v>130</v>
      </c>
      <c r="E15" s="5" t="s">
        <v>131</v>
      </c>
      <c r="F15" s="5" t="s">
        <v>132</v>
      </c>
      <c r="G15" s="5" t="s">
        <v>133</v>
      </c>
      <c r="H15" s="1" t="s">
        <v>134</v>
      </c>
      <c r="I15" s="5" t="s">
        <v>135</v>
      </c>
      <c r="J15" s="7">
        <v>6</v>
      </c>
      <c r="K15" s="7">
        <v>2.56</v>
      </c>
      <c r="L15" s="5" t="s">
        <v>136</v>
      </c>
      <c r="M15" s="7">
        <v>0.6</v>
      </c>
      <c r="N15" s="7">
        <v>0.5</v>
      </c>
      <c r="O15" s="7">
        <v>5.8000000000000003E-2</v>
      </c>
      <c r="P15" s="1" t="s">
        <v>137</v>
      </c>
    </row>
    <row r="16" spans="1:16" ht="33.4" x14ac:dyDescent="0.3">
      <c r="A16" s="6" t="str">
        <f>HYPERLINK("https://www.ti.com/product/TPS62A0569A", "TPS62A0569A")</f>
        <v>TPS62A0569A</v>
      </c>
      <c r="B16" s="5" t="s">
        <v>138</v>
      </c>
      <c r="C16" s="6" t="str">
        <f>HYPERLINK("https://www.ti.com/lit/gpn/TPS62A0569A", "PDF")</f>
        <v>PDF</v>
      </c>
      <c r="D16" s="5" t="s">
        <v>139</v>
      </c>
      <c r="E16" s="5" t="s">
        <v>140</v>
      </c>
      <c r="F16" s="5" t="s">
        <v>141</v>
      </c>
      <c r="G16" s="5" t="s">
        <v>142</v>
      </c>
      <c r="H16" s="1" t="s">
        <v>143</v>
      </c>
      <c r="I16" s="5" t="s">
        <v>144</v>
      </c>
      <c r="J16" s="7">
        <v>6</v>
      </c>
      <c r="K16" s="7">
        <v>2.56</v>
      </c>
      <c r="L16" s="5" t="s">
        <v>145</v>
      </c>
      <c r="M16" s="7">
        <v>0.6</v>
      </c>
      <c r="N16" s="7">
        <v>0.5</v>
      </c>
      <c r="O16" s="7">
        <v>5.8000000000000003E-2</v>
      </c>
      <c r="P16" s="1" t="s">
        <v>146</v>
      </c>
    </row>
    <row r="17" spans="1:16" ht="33.4" x14ac:dyDescent="0.3">
      <c r="A17" s="6" t="str">
        <f>HYPERLINK("https://www.ti.com/product/TPS7H4012-SEP", "TPS7H4012-SEP")</f>
        <v>TPS7H4012-SEP</v>
      </c>
      <c r="B17" s="5" t="s">
        <v>147</v>
      </c>
      <c r="C17" s="6" t="str">
        <f>HYPERLINK("https://www.ti.com/lit/gpn/TPS7H4012-SEP", "PDF")</f>
        <v>PDF</v>
      </c>
      <c r="D17" s="5" t="s">
        <v>148</v>
      </c>
      <c r="E17" s="5" t="s">
        <v>149</v>
      </c>
      <c r="F17" s="5" t="s">
        <v>150</v>
      </c>
      <c r="G17" s="5" t="s">
        <v>151</v>
      </c>
      <c r="H17" s="1" t="s">
        <v>152</v>
      </c>
      <c r="I17" s="5" t="s">
        <v>153</v>
      </c>
      <c r="J17" s="7">
        <v>44</v>
      </c>
      <c r="K17" s="7">
        <v>113.4</v>
      </c>
      <c r="L17" s="5" t="s">
        <v>154</v>
      </c>
      <c r="M17" s="7">
        <v>1.2</v>
      </c>
      <c r="N17" s="7">
        <v>0.63500000000000001</v>
      </c>
      <c r="O17" s="7">
        <v>912.16</v>
      </c>
      <c r="P17" s="1" t="s">
        <v>155</v>
      </c>
    </row>
    <row r="18" spans="1:16" ht="33.4" x14ac:dyDescent="0.3">
      <c r="A18" s="6" t="str">
        <f>HYPERLINK("https://www.ti.com/product/TPS7H4013-SEP", "TPS7H4013-SEP")</f>
        <v>TPS7H4013-SEP</v>
      </c>
      <c r="B18" s="5" t="s">
        <v>156</v>
      </c>
      <c r="C18" s="6" t="str">
        <f>HYPERLINK("https://www.ti.com/lit/gpn/TPS7H4013-SEP", "PDF")</f>
        <v>PDF</v>
      </c>
      <c r="D18" s="5" t="s">
        <v>157</v>
      </c>
      <c r="E18" s="5" t="s">
        <v>158</v>
      </c>
      <c r="F18" s="5" t="s">
        <v>159</v>
      </c>
      <c r="G18" s="5" t="s">
        <v>160</v>
      </c>
      <c r="H18" s="1" t="s">
        <v>161</v>
      </c>
      <c r="I18" s="5" t="s">
        <v>162</v>
      </c>
      <c r="J18" s="7">
        <v>44</v>
      </c>
      <c r="K18" s="7">
        <v>113.4</v>
      </c>
      <c r="L18" s="5" t="s">
        <v>163</v>
      </c>
      <c r="M18" s="7">
        <v>1.2</v>
      </c>
      <c r="N18" s="7">
        <v>0.63500000000000001</v>
      </c>
      <c r="O18" s="7">
        <v>505.84</v>
      </c>
      <c r="P18" s="1" t="s">
        <v>164</v>
      </c>
    </row>
    <row r="19" spans="1:16" ht="33.4" x14ac:dyDescent="0.3">
      <c r="A19" s="6" t="str">
        <f>HYPERLINK("https://www.ti.com/product/TPSM65630", "TPSM65630")</f>
        <v>TPSM65630</v>
      </c>
      <c r="B19" s="5" t="s">
        <v>165</v>
      </c>
      <c r="C19" s="6" t="str">
        <f>HYPERLINK("https://www.ti.com/lit/gpn/TPSM65630", "PDF")</f>
        <v>PDF</v>
      </c>
      <c r="D19" s="5" t="s">
        <v>166</v>
      </c>
      <c r="E19" s="5" t="s">
        <v>167</v>
      </c>
      <c r="F19" s="5" t="s">
        <v>168</v>
      </c>
      <c r="G19" s="5" t="s">
        <v>169</v>
      </c>
      <c r="H19" s="1" t="s">
        <v>170</v>
      </c>
      <c r="I19" s="5" t="s">
        <v>171</v>
      </c>
      <c r="J19" s="7">
        <v>19</v>
      </c>
      <c r="K19" s="7">
        <v>30.16</v>
      </c>
      <c r="L19" s="5" t="s">
        <v>172</v>
      </c>
      <c r="M19" s="7">
        <v>2.98</v>
      </c>
      <c r="N19" s="7">
        <v>0.5</v>
      </c>
      <c r="O19" s="7">
        <v>3.1</v>
      </c>
      <c r="P19" s="1" t="s">
        <v>173</v>
      </c>
    </row>
    <row r="20" spans="1:16" ht="33.4" x14ac:dyDescent="0.3">
      <c r="A20" s="6" t="str">
        <f>HYPERLINK("https://www.ti.com/product/TLV777", "TLV777")</f>
        <v>TLV777</v>
      </c>
      <c r="B20" s="5" t="s">
        <v>174</v>
      </c>
      <c r="C20" s="6" t="str">
        <f>HYPERLINK("https://www.ti.com/lit/gpn/TLV777", "PDF")</f>
        <v>PDF</v>
      </c>
      <c r="D20" s="5" t="s">
        <v>175</v>
      </c>
      <c r="E20" s="5" t="s">
        <v>176</v>
      </c>
      <c r="F20" s="5"/>
      <c r="G20" s="5" t="s">
        <v>177</v>
      </c>
      <c r="H20" s="1" t="s">
        <v>178</v>
      </c>
      <c r="I20" s="5" t="s">
        <v>179</v>
      </c>
      <c r="J20" s="7">
        <v>5</v>
      </c>
      <c r="K20" s="7">
        <v>8.1199999999999992</v>
      </c>
      <c r="L20" s="5" t="s">
        <v>180</v>
      </c>
      <c r="M20" s="7">
        <v>1.45</v>
      </c>
      <c r="N20" s="7">
        <v>0.95</v>
      </c>
      <c r="O20" s="7">
        <v>0.05</v>
      </c>
      <c r="P20" s="1" t="s">
        <v>181</v>
      </c>
    </row>
    <row r="21" spans="1:16" ht="33.4" x14ac:dyDescent="0.3">
      <c r="A21" s="6" t="str">
        <f>HYPERLINK("https://www.ti.com/product/CSD965203B", "CSD965203B")</f>
        <v>CSD965203B</v>
      </c>
      <c r="B21" s="5" t="s">
        <v>182</v>
      </c>
      <c r="C21" s="6" t="s">
        <v>183</v>
      </c>
      <c r="D21" s="5" t="s">
        <v>184</v>
      </c>
      <c r="E21" s="5" t="s">
        <v>185</v>
      </c>
      <c r="F21" s="5"/>
      <c r="G21" s="5" t="s">
        <v>186</v>
      </c>
      <c r="H21" s="1" t="s">
        <v>187</v>
      </c>
      <c r="I21" s="5" t="s">
        <v>188</v>
      </c>
      <c r="J21" s="7">
        <v>33</v>
      </c>
      <c r="K21" s="7">
        <v>26.25</v>
      </c>
      <c r="L21" s="5" t="s">
        <v>189</v>
      </c>
      <c r="M21" s="7">
        <v>1.05</v>
      </c>
      <c r="N21" s="7">
        <v>0.45</v>
      </c>
      <c r="O21" s="7"/>
      <c r="P21" s="1" t="s">
        <v>190</v>
      </c>
    </row>
    <row r="22" spans="1:16" ht="33.4" x14ac:dyDescent="0.3">
      <c r="A22" s="6" t="str">
        <f>HYPERLINK("https://www.ti.com/product/LM5190-Q1", "LM5190-Q1")</f>
        <v>LM5190-Q1</v>
      </c>
      <c r="B22" s="5" t="s">
        <v>191</v>
      </c>
      <c r="C22" s="6" t="str">
        <f>HYPERLINK("https://www.ti.com/lit/gpn/LM5190-Q1", "PDF")</f>
        <v>PDF</v>
      </c>
      <c r="D22" s="5" t="s">
        <v>192</v>
      </c>
      <c r="E22" s="5" t="s">
        <v>193</v>
      </c>
      <c r="F22" s="5" t="s">
        <v>194</v>
      </c>
      <c r="G22" s="5" t="s">
        <v>195</v>
      </c>
      <c r="H22" s="1" t="s">
        <v>196</v>
      </c>
      <c r="I22" s="5" t="s">
        <v>197</v>
      </c>
      <c r="J22" s="7">
        <v>19</v>
      </c>
      <c r="K22" s="7">
        <v>15.75</v>
      </c>
      <c r="L22" s="5" t="s">
        <v>198</v>
      </c>
      <c r="M22" s="7">
        <v>1</v>
      </c>
      <c r="N22" s="7">
        <v>0.5</v>
      </c>
      <c r="O22" s="7">
        <v>2.2919999999999998</v>
      </c>
      <c r="P22" s="1" t="s">
        <v>199</v>
      </c>
    </row>
    <row r="23" spans="1:16" ht="33.4" x14ac:dyDescent="0.3">
      <c r="A23" s="6" t="str">
        <f>HYPERLINK("https://www.ti.com/product/LM65680", "LM65680")</f>
        <v>LM65680</v>
      </c>
      <c r="B23" s="5" t="s">
        <v>200</v>
      </c>
      <c r="C23" s="6" t="str">
        <f>HYPERLINK("https://www.ti.com/lit/gpn/LM65680", "PDF")</f>
        <v>PDF</v>
      </c>
      <c r="D23" s="5" t="s">
        <v>201</v>
      </c>
      <c r="E23" s="5" t="s">
        <v>202</v>
      </c>
      <c r="F23" s="5"/>
      <c r="G23" s="5" t="s">
        <v>203</v>
      </c>
      <c r="H23" s="1" t="s">
        <v>204</v>
      </c>
      <c r="I23" s="5" t="s">
        <v>205</v>
      </c>
      <c r="J23" s="7">
        <v>26</v>
      </c>
      <c r="K23" s="7">
        <v>20.25</v>
      </c>
      <c r="L23" s="5" t="s">
        <v>206</v>
      </c>
      <c r="M23" s="7">
        <v>0.7</v>
      </c>
      <c r="N23" s="7">
        <v>0.5</v>
      </c>
      <c r="O23" s="7"/>
      <c r="P23" s="1" t="s">
        <v>207</v>
      </c>
    </row>
    <row r="24" spans="1:16" ht="33.4" x14ac:dyDescent="0.3">
      <c r="A24" s="6" t="str">
        <f>HYPERLINK("https://www.ti.com/product/LM72880-Q1", "LM72880-Q1")</f>
        <v>LM72880-Q1</v>
      </c>
      <c r="B24" s="5" t="s">
        <v>208</v>
      </c>
      <c r="C24" s="6" t="str">
        <f>HYPERLINK("https://www.ti.com/lit/gpn/LM72880-Q1", "PDF")</f>
        <v>PDF</v>
      </c>
      <c r="D24" s="5" t="s">
        <v>209</v>
      </c>
      <c r="E24" s="5" t="s">
        <v>210</v>
      </c>
      <c r="F24" s="5" t="s">
        <v>211</v>
      </c>
      <c r="G24" s="5" t="s">
        <v>212</v>
      </c>
      <c r="H24" s="1" t="s">
        <v>213</v>
      </c>
      <c r="I24" s="5" t="s">
        <v>214</v>
      </c>
      <c r="J24" s="7">
        <v>29</v>
      </c>
      <c r="K24" s="7">
        <v>36</v>
      </c>
      <c r="L24" s="5" t="s">
        <v>215</v>
      </c>
      <c r="M24" s="7">
        <v>1</v>
      </c>
      <c r="N24" s="7">
        <v>0.5</v>
      </c>
      <c r="O24" s="7">
        <v>3.11</v>
      </c>
      <c r="P24" s="1" t="s">
        <v>216</v>
      </c>
    </row>
    <row r="25" spans="1:16" ht="33.4" x14ac:dyDescent="0.3">
      <c r="A25" s="6" t="str">
        <f>HYPERLINK("https://www.ti.com/product/LMG3650R070", "LMG3650R070")</f>
        <v>LMG3650R070</v>
      </c>
      <c r="B25" s="5" t="s">
        <v>217</v>
      </c>
      <c r="C25" s="6" t="str">
        <f>HYPERLINK("https://www.ti.com/lit/gpn/LMG3650R070", "PDF")</f>
        <v>PDF</v>
      </c>
      <c r="D25" s="5" t="s">
        <v>218</v>
      </c>
      <c r="E25" s="5" t="s">
        <v>219</v>
      </c>
      <c r="F25" s="5"/>
      <c r="G25" s="5" t="s">
        <v>220</v>
      </c>
      <c r="H25" s="1" t="s">
        <v>221</v>
      </c>
      <c r="I25" s="5" t="s">
        <v>222</v>
      </c>
      <c r="J25" s="7">
        <v>9</v>
      </c>
      <c r="K25" s="7">
        <v>115.63200000000001</v>
      </c>
      <c r="L25" s="5" t="s">
        <v>223</v>
      </c>
      <c r="M25" s="7">
        <v>2.35</v>
      </c>
      <c r="N25" s="7">
        <v>1.2</v>
      </c>
      <c r="O25" s="7">
        <v>6.5439999999999996</v>
      </c>
      <c r="P25" s="1" t="s">
        <v>224</v>
      </c>
    </row>
    <row r="26" spans="1:16" ht="49.75" x14ac:dyDescent="0.3">
      <c r="A26" s="6" t="str">
        <f>HYPERLINK("https://www.ti.com/product/UCC33421-Q1", "UCC33421-Q1")</f>
        <v>UCC33421-Q1</v>
      </c>
      <c r="B26" s="5" t="s">
        <v>225</v>
      </c>
      <c r="C26" s="6" t="str">
        <f>HYPERLINK("https://www.ti.com/lit/gpn/UCC33421-Q1", "PDF")</f>
        <v>PDF</v>
      </c>
      <c r="D26" s="5" t="s">
        <v>226</v>
      </c>
      <c r="E26" s="5" t="s">
        <v>227</v>
      </c>
      <c r="F26" s="5"/>
      <c r="G26" s="5" t="s">
        <v>228</v>
      </c>
      <c r="H26" s="1" t="s">
        <v>229</v>
      </c>
      <c r="I26" s="5" t="s">
        <v>230</v>
      </c>
      <c r="J26" s="7">
        <v>16</v>
      </c>
      <c r="K26" s="7" t="s">
        <v>231</v>
      </c>
      <c r="L26" s="5" t="s">
        <v>232</v>
      </c>
      <c r="M26" s="7" t="s">
        <v>233</v>
      </c>
      <c r="N26" s="7" t="s">
        <v>234</v>
      </c>
      <c r="O26" s="7">
        <v>1.9410000000000001</v>
      </c>
      <c r="P26" s="1" t="s">
        <v>235</v>
      </c>
    </row>
    <row r="27" spans="1:16" ht="49.75" x14ac:dyDescent="0.3">
      <c r="A27" s="6" t="str">
        <f>HYPERLINK("https://www.ti.com/product/TPS7N48", "TPS7N48")</f>
        <v>TPS7N48</v>
      </c>
      <c r="B27" s="5" t="s">
        <v>236</v>
      </c>
      <c r="C27" s="6" t="str">
        <f>HYPERLINK("https://www.ti.com/lit/gpn/TPS7N48", "PDF")</f>
        <v>PDF</v>
      </c>
      <c r="D27" s="5" t="s">
        <v>237</v>
      </c>
      <c r="E27" s="5" t="s">
        <v>238</v>
      </c>
      <c r="F27" s="5"/>
      <c r="G27" s="5" t="s">
        <v>239</v>
      </c>
      <c r="H27" s="1" t="s">
        <v>240</v>
      </c>
      <c r="I27" s="5" t="s">
        <v>241</v>
      </c>
      <c r="J27" s="7">
        <v>10</v>
      </c>
      <c r="K27" s="7">
        <v>4</v>
      </c>
      <c r="L27" s="5" t="s">
        <v>242</v>
      </c>
      <c r="M27" s="7">
        <v>0.8</v>
      </c>
      <c r="N27" s="7">
        <v>0.4</v>
      </c>
      <c r="O27" s="7">
        <v>0.35</v>
      </c>
      <c r="P27" s="1" t="s">
        <v>243</v>
      </c>
    </row>
    <row r="28" spans="1:16" ht="33.4" x14ac:dyDescent="0.3">
      <c r="A28" s="6" t="str">
        <f>HYPERLINK("https://www.ti.com/product/TPS7N49", "TPS7N49")</f>
        <v>TPS7N49</v>
      </c>
      <c r="B28" s="5" t="s">
        <v>244</v>
      </c>
      <c r="C28" s="6" t="str">
        <f>HYPERLINK("https://www.ti.com/lit/gpn/TPS7N49", "PDF")</f>
        <v>PDF</v>
      </c>
      <c r="D28" s="5" t="s">
        <v>245</v>
      </c>
      <c r="E28" s="5" t="s">
        <v>246</v>
      </c>
      <c r="F28" s="5"/>
      <c r="G28" s="5" t="s">
        <v>247</v>
      </c>
      <c r="H28" s="1" t="s">
        <v>248</v>
      </c>
      <c r="I28" s="5" t="s">
        <v>249</v>
      </c>
      <c r="J28" s="7">
        <v>10</v>
      </c>
      <c r="K28" s="7">
        <v>4</v>
      </c>
      <c r="L28" s="5" t="s">
        <v>250</v>
      </c>
      <c r="M28" s="7">
        <v>0.8</v>
      </c>
      <c r="N28" s="7">
        <v>0.4</v>
      </c>
      <c r="O28" s="7">
        <v>0.45</v>
      </c>
      <c r="P28" s="1" t="s">
        <v>251</v>
      </c>
    </row>
    <row r="29" spans="1:16" ht="33.4" x14ac:dyDescent="0.3">
      <c r="A29" s="6" t="str">
        <f>HYPERLINK("https://www.ti.com/product/TPS7H4102-SEP", "TPS7H4102-SEP")</f>
        <v>TPS7H4102-SEP</v>
      </c>
      <c r="B29" s="5" t="s">
        <v>252</v>
      </c>
      <c r="C29" s="6" t="str">
        <f>HYPERLINK("https://www.ti.com/lit/gpn/TPS7H4102-SEP", "PDF")</f>
        <v>PDF</v>
      </c>
      <c r="D29" s="5" t="s">
        <v>253</v>
      </c>
      <c r="E29" s="5" t="s">
        <v>254</v>
      </c>
      <c r="F29" s="5" t="s">
        <v>255</v>
      </c>
      <c r="G29" s="5" t="s">
        <v>256</v>
      </c>
      <c r="H29" s="1" t="s">
        <v>257</v>
      </c>
      <c r="I29" s="5" t="s">
        <v>258</v>
      </c>
      <c r="J29" s="7">
        <v>64</v>
      </c>
      <c r="K29" s="7">
        <v>144</v>
      </c>
      <c r="L29" s="5" t="s">
        <v>259</v>
      </c>
      <c r="M29" s="7">
        <v>1.2</v>
      </c>
      <c r="N29" s="7">
        <v>0.5</v>
      </c>
      <c r="O29" s="7">
        <v>958.22</v>
      </c>
      <c r="P29" s="1" t="s">
        <v>260</v>
      </c>
    </row>
    <row r="30" spans="1:16" ht="33.4" x14ac:dyDescent="0.3">
      <c r="A30" s="6" t="str">
        <f>HYPERLINK("https://www.ti.com/product/TPS7H4104-SEP", "TPS7H4104-SEP")</f>
        <v>TPS7H4104-SEP</v>
      </c>
      <c r="B30" s="5" t="s">
        <v>261</v>
      </c>
      <c r="C30" s="6" t="str">
        <f>HYPERLINK("https://www.ti.com/lit/gpn/TPS7H4104-SEP", "PDF")</f>
        <v>PDF</v>
      </c>
      <c r="D30" s="5" t="s">
        <v>262</v>
      </c>
      <c r="E30" s="5" t="s">
        <v>263</v>
      </c>
      <c r="F30" s="5" t="s">
        <v>264</v>
      </c>
      <c r="G30" s="5" t="s">
        <v>265</v>
      </c>
      <c r="H30" s="1" t="s">
        <v>266</v>
      </c>
      <c r="I30" s="5" t="s">
        <v>267</v>
      </c>
      <c r="J30" s="7">
        <v>64</v>
      </c>
      <c r="K30" s="7">
        <v>144</v>
      </c>
      <c r="L30" s="5" t="s">
        <v>268</v>
      </c>
      <c r="M30" s="7">
        <v>1.2</v>
      </c>
      <c r="N30" s="7">
        <v>0.5</v>
      </c>
      <c r="O30" s="7">
        <v>2203.9059999999999</v>
      </c>
      <c r="P30" s="1" t="s">
        <v>269</v>
      </c>
    </row>
    <row r="31" spans="1:16" ht="17.05" x14ac:dyDescent="0.3">
      <c r="A31" s="6" t="str">
        <f>HYPERLINK("https://www.ti.com/product/UCC27884", "UCC27884")</f>
        <v>UCC27884</v>
      </c>
      <c r="B31" s="5" t="s">
        <v>270</v>
      </c>
      <c r="C31" s="6" t="str">
        <f>HYPERLINK("https://www.ti.com/lit/gpn/UCC27884", "PDF")</f>
        <v>PDF</v>
      </c>
      <c r="D31" s="5" t="s">
        <v>271</v>
      </c>
      <c r="E31" s="5" t="s">
        <v>272</v>
      </c>
      <c r="F31" s="5"/>
      <c r="G31" s="5" t="s">
        <v>273</v>
      </c>
      <c r="H31" s="1" t="s">
        <v>274</v>
      </c>
      <c r="I31" s="5" t="s">
        <v>275</v>
      </c>
      <c r="J31" s="7">
        <v>8</v>
      </c>
      <c r="K31" s="7">
        <v>29.4</v>
      </c>
      <c r="L31" s="5" t="s">
        <v>276</v>
      </c>
      <c r="M31" s="7">
        <v>1.75</v>
      </c>
      <c r="N31" s="7">
        <v>1.27</v>
      </c>
      <c r="O31" s="7">
        <v>0.51</v>
      </c>
      <c r="P31" s="1" t="s">
        <v>277</v>
      </c>
    </row>
    <row r="32" spans="1:16" ht="17.05" x14ac:dyDescent="0.3">
      <c r="A32" s="6" t="str">
        <f>HYPERLINK("https://www.ti.com/product/UCC27884-Q1", "UCC27884-Q1")</f>
        <v>UCC27884-Q1</v>
      </c>
      <c r="B32" s="5" t="s">
        <v>278</v>
      </c>
      <c r="C32" s="6" t="str">
        <f>HYPERLINK("https://www.ti.com/lit/gpn/UCC27884-Q1", "PDF")</f>
        <v>PDF</v>
      </c>
      <c r="D32" s="5" t="s">
        <v>279</v>
      </c>
      <c r="E32" s="5" t="s">
        <v>280</v>
      </c>
      <c r="F32" s="5"/>
      <c r="G32" s="5" t="s">
        <v>281</v>
      </c>
      <c r="H32" s="1" t="s">
        <v>282</v>
      </c>
      <c r="I32" s="5" t="s">
        <v>283</v>
      </c>
      <c r="J32" s="7">
        <v>8</v>
      </c>
      <c r="K32" s="7">
        <v>29.4</v>
      </c>
      <c r="L32" s="5" t="s">
        <v>284</v>
      </c>
      <c r="M32" s="7">
        <v>1.75</v>
      </c>
      <c r="N32" s="7">
        <v>1.27</v>
      </c>
      <c r="O32" s="7">
        <v>0.60199999999999998</v>
      </c>
      <c r="P32" s="1" t="s">
        <v>285</v>
      </c>
    </row>
    <row r="33" spans="1:16" ht="33.4" x14ac:dyDescent="0.3">
      <c r="A33" s="6" t="str">
        <f>HYPERLINK("https://www.ti.com/product/TPS26744E-Q1", "TPS26744E-Q1")</f>
        <v>TPS26744E-Q1</v>
      </c>
      <c r="B33" s="5" t="s">
        <v>286</v>
      </c>
      <c r="C33" s="6" t="str">
        <f>HYPERLINK("https://www.ti.com/lit/gpn/TPS26744E-Q1", "PDF")</f>
        <v>PDF</v>
      </c>
      <c r="D33" s="5" t="s">
        <v>287</v>
      </c>
      <c r="E33" s="5" t="s">
        <v>288</v>
      </c>
      <c r="F33" s="5"/>
      <c r="G33" s="5" t="s">
        <v>289</v>
      </c>
      <c r="H33" s="1" t="s">
        <v>290</v>
      </c>
      <c r="I33" s="5" t="s">
        <v>291</v>
      </c>
      <c r="J33" s="7">
        <v>32</v>
      </c>
      <c r="K33" s="7">
        <v>25</v>
      </c>
      <c r="L33" s="5" t="s">
        <v>292</v>
      </c>
      <c r="M33" s="7">
        <v>1</v>
      </c>
      <c r="N33" s="7">
        <v>0.5</v>
      </c>
      <c r="O33" s="7">
        <v>1.8</v>
      </c>
      <c r="P33" s="1" t="s">
        <v>293</v>
      </c>
    </row>
    <row r="34" spans="1:16" ht="49.75" x14ac:dyDescent="0.3">
      <c r="A34" s="6" t="str">
        <f>HYPERLINK("https://www.ti.com/product/TPSM828502-Q1", "TPSM828502-Q1")</f>
        <v>TPSM828502-Q1</v>
      </c>
      <c r="B34" s="5" t="s">
        <v>294</v>
      </c>
      <c r="C34" s="6" t="str">
        <f>HYPERLINK("https://www.ti.com/lit/gpn/TPSM828502-Q1", "PDF")</f>
        <v>PDF</v>
      </c>
      <c r="D34" s="5" t="s">
        <v>295</v>
      </c>
      <c r="E34" s="5" t="s">
        <v>296</v>
      </c>
      <c r="F34" s="5" t="s">
        <v>297</v>
      </c>
      <c r="G34" s="5" t="s">
        <v>298</v>
      </c>
      <c r="H34" s="1" t="s">
        <v>299</v>
      </c>
      <c r="I34" s="5" t="s">
        <v>300</v>
      </c>
      <c r="J34" s="7">
        <v>9</v>
      </c>
      <c r="K34" s="7">
        <v>8.1</v>
      </c>
      <c r="L34" s="5" t="s">
        <v>301</v>
      </c>
      <c r="M34" s="7">
        <v>2.0499999999999998</v>
      </c>
      <c r="N34" s="7">
        <v>0.5</v>
      </c>
      <c r="O34" s="7">
        <v>1.357</v>
      </c>
      <c r="P34" s="1" t="s">
        <v>302</v>
      </c>
    </row>
    <row r="35" spans="1:16" ht="33.4" x14ac:dyDescent="0.3">
      <c r="A35" s="6" t="str">
        <f>HYPERLINK("https://www.ti.com/product/LM1117-Q1", "LM1117-Q1")</f>
        <v>LM1117-Q1</v>
      </c>
      <c r="B35" s="5" t="s">
        <v>303</v>
      </c>
      <c r="C35" s="6" t="str">
        <f>HYPERLINK("https://www.ti.com/lit/gpn/LM1117-Q1", "PDF")</f>
        <v>PDF</v>
      </c>
      <c r="D35" s="5" t="s">
        <v>304</v>
      </c>
      <c r="E35" s="5" t="s">
        <v>305</v>
      </c>
      <c r="F35" s="5"/>
      <c r="G35" s="5" t="s">
        <v>306</v>
      </c>
      <c r="H35" s="1" t="s">
        <v>307</v>
      </c>
      <c r="I35" s="5" t="s">
        <v>308</v>
      </c>
      <c r="J35" s="7" t="s">
        <v>309</v>
      </c>
      <c r="K35" s="7" t="s">
        <v>310</v>
      </c>
      <c r="L35" s="5" t="s">
        <v>311</v>
      </c>
      <c r="M35" s="7" t="s">
        <v>312</v>
      </c>
      <c r="N35" s="7" t="s">
        <v>313</v>
      </c>
      <c r="O35" s="7">
        <v>0.76100000000000001</v>
      </c>
      <c r="P35" s="1" t="s">
        <v>314</v>
      </c>
    </row>
    <row r="36" spans="1:16" ht="33.4" x14ac:dyDescent="0.3">
      <c r="A36" s="6" t="str">
        <f>HYPERLINK("https://www.ti.com/product/LMG2650", "LMG2650")</f>
        <v>LMG2650</v>
      </c>
      <c r="B36" s="5" t="s">
        <v>315</v>
      </c>
      <c r="C36" s="6" t="str">
        <f>HYPERLINK("https://www.ti.com/lit/gpn/LMG2650", "PDF")</f>
        <v>PDF</v>
      </c>
      <c r="D36" s="5" t="s">
        <v>316</v>
      </c>
      <c r="E36" s="5" t="s">
        <v>317</v>
      </c>
      <c r="F36" s="5"/>
      <c r="G36" s="5" t="s">
        <v>318</v>
      </c>
      <c r="H36" s="1" t="s">
        <v>319</v>
      </c>
      <c r="I36" s="5" t="s">
        <v>320</v>
      </c>
      <c r="J36" s="7">
        <v>19</v>
      </c>
      <c r="K36" s="7">
        <v>48</v>
      </c>
      <c r="L36" s="5" t="s">
        <v>321</v>
      </c>
      <c r="M36" s="7">
        <v>1</v>
      </c>
      <c r="N36" s="7">
        <v>0.65</v>
      </c>
      <c r="O36" s="7">
        <v>6.9</v>
      </c>
      <c r="P36" s="1" t="s">
        <v>322</v>
      </c>
    </row>
    <row r="37" spans="1:16" ht="33.4" x14ac:dyDescent="0.3">
      <c r="A37" s="6" t="str">
        <f>HYPERLINK("https://www.ti.com/product/TPS7E67-Q1", "TPS7E67-Q1")</f>
        <v>TPS7E67-Q1</v>
      </c>
      <c r="B37" s="5" t="s">
        <v>323</v>
      </c>
      <c r="C37" s="6" t="str">
        <f>HYPERLINK("https://www.ti.com/lit/gpn/TPS7E67-Q1", "PDF")</f>
        <v>PDF</v>
      </c>
      <c r="D37" s="5" t="s">
        <v>324</v>
      </c>
      <c r="E37" s="5" t="s">
        <v>325</v>
      </c>
      <c r="F37" s="5"/>
      <c r="G37" s="5" t="s">
        <v>326</v>
      </c>
      <c r="H37" s="1" t="s">
        <v>327</v>
      </c>
      <c r="I37" s="5" t="s">
        <v>328</v>
      </c>
      <c r="J37" s="7">
        <v>8</v>
      </c>
      <c r="K37" s="7">
        <v>14.7</v>
      </c>
      <c r="L37" s="5" t="s">
        <v>329</v>
      </c>
      <c r="M37" s="7">
        <v>1.1000000000000001</v>
      </c>
      <c r="N37" s="7">
        <v>0.65</v>
      </c>
      <c r="O37" s="7">
        <v>0.72799999999999998</v>
      </c>
      <c r="P37" s="1" t="s">
        <v>330</v>
      </c>
    </row>
    <row r="38" spans="1:16" ht="33.4" x14ac:dyDescent="0.3">
      <c r="A38" s="6" t="str">
        <f>HYPERLINK("https://www.ti.com/product/TPS923610", "TPS923610")</f>
        <v>TPS923610</v>
      </c>
      <c r="B38" s="5" t="s">
        <v>331</v>
      </c>
      <c r="C38" s="6" t="str">
        <f>HYPERLINK("https://www.ti.com/lit/gpn/TPS923610", "PDF")</f>
        <v>PDF</v>
      </c>
      <c r="D38" s="5" t="s">
        <v>332</v>
      </c>
      <c r="E38" s="5" t="s">
        <v>333</v>
      </c>
      <c r="F38" s="5" t="s">
        <v>334</v>
      </c>
      <c r="G38" s="5" t="s">
        <v>335</v>
      </c>
      <c r="H38" s="1" t="s">
        <v>336</v>
      </c>
      <c r="I38" s="5" t="s">
        <v>337</v>
      </c>
      <c r="J38" s="7">
        <v>6</v>
      </c>
      <c r="K38" s="7">
        <v>2.56</v>
      </c>
      <c r="L38" s="5" t="s">
        <v>338</v>
      </c>
      <c r="M38" s="7">
        <v>0.6</v>
      </c>
      <c r="N38" s="7">
        <v>0.5</v>
      </c>
      <c r="O38" s="7">
        <v>0.25600000000000001</v>
      </c>
      <c r="P38" s="1" t="s">
        <v>339</v>
      </c>
    </row>
    <row r="39" spans="1:16" ht="33.4" x14ac:dyDescent="0.3">
      <c r="A39" s="6" t="str">
        <f>HYPERLINK("https://www.ti.com/product/TPS923611", "TPS923611")</f>
        <v>TPS923611</v>
      </c>
      <c r="B39" s="5" t="s">
        <v>340</v>
      </c>
      <c r="C39" s="6" t="str">
        <f>HYPERLINK("https://www.ti.com/lit/gpn/TPS923611", "PDF")</f>
        <v>PDF</v>
      </c>
      <c r="D39" s="5" t="s">
        <v>341</v>
      </c>
      <c r="E39" s="5" t="s">
        <v>342</v>
      </c>
      <c r="F39" s="5" t="s">
        <v>343</v>
      </c>
      <c r="G39" s="5" t="s">
        <v>344</v>
      </c>
      <c r="H39" s="1" t="s">
        <v>345</v>
      </c>
      <c r="I39" s="5" t="s">
        <v>346</v>
      </c>
      <c r="J39" s="7">
        <v>6</v>
      </c>
      <c r="K39" s="7">
        <v>2.56</v>
      </c>
      <c r="L39" s="5" t="s">
        <v>347</v>
      </c>
      <c r="M39" s="7">
        <v>0.6</v>
      </c>
      <c r="N39" s="7">
        <v>0.5</v>
      </c>
      <c r="O39" s="7">
        <v>0.26600000000000001</v>
      </c>
      <c r="P39" s="1" t="s">
        <v>348</v>
      </c>
    </row>
    <row r="40" spans="1:16" ht="33.4" x14ac:dyDescent="0.3">
      <c r="A40" s="6" t="str">
        <f>HYPERLINK("https://www.ti.com/product/TPS923621", "TPS923621")</f>
        <v>TPS923621</v>
      </c>
      <c r="B40" s="5" t="s">
        <v>349</v>
      </c>
      <c r="C40" s="6" t="str">
        <f>HYPERLINK("https://www.ti.com/lit/gpn/TPS923621", "PDF")</f>
        <v>PDF</v>
      </c>
      <c r="D40" s="5" t="s">
        <v>350</v>
      </c>
      <c r="E40" s="5" t="s">
        <v>351</v>
      </c>
      <c r="F40" s="5" t="s">
        <v>352</v>
      </c>
      <c r="G40" s="5" t="s">
        <v>353</v>
      </c>
      <c r="H40" s="1" t="s">
        <v>354</v>
      </c>
      <c r="I40" s="5" t="s">
        <v>355</v>
      </c>
      <c r="J40" s="7">
        <v>6</v>
      </c>
      <c r="K40" s="7">
        <v>2.56</v>
      </c>
      <c r="L40" s="5" t="s">
        <v>356</v>
      </c>
      <c r="M40" s="7">
        <v>0.6</v>
      </c>
      <c r="N40" s="7">
        <v>0.5</v>
      </c>
      <c r="O40" s="7">
        <v>0.26600000000000001</v>
      </c>
      <c r="P40" s="1" t="s">
        <v>357</v>
      </c>
    </row>
    <row r="41" spans="1:16" ht="33.4" x14ac:dyDescent="0.3">
      <c r="A41" s="6" t="str">
        <f>HYPERLINK("https://www.ti.com/product/LM25139", "LM25139")</f>
        <v>LM25139</v>
      </c>
      <c r="B41" s="5" t="s">
        <v>358</v>
      </c>
      <c r="C41" s="6" t="str">
        <f>HYPERLINK("https://www.ti.com/lit/gpn/LM25139", "PDF")</f>
        <v>PDF</v>
      </c>
      <c r="D41" s="5" t="s">
        <v>359</v>
      </c>
      <c r="E41" s="5" t="s">
        <v>360</v>
      </c>
      <c r="F41" s="5"/>
      <c r="G41" s="5" t="s">
        <v>361</v>
      </c>
      <c r="H41" s="1" t="s">
        <v>362</v>
      </c>
      <c r="I41" s="5" t="s">
        <v>363</v>
      </c>
      <c r="J41" s="7">
        <v>16</v>
      </c>
      <c r="K41" s="7">
        <v>9</v>
      </c>
      <c r="L41" s="5" t="s">
        <v>364</v>
      </c>
      <c r="M41" s="7">
        <v>1</v>
      </c>
      <c r="N41" s="7">
        <v>0.5</v>
      </c>
      <c r="O41" s="7">
        <v>0.66500000000000004</v>
      </c>
      <c r="P41" s="1" t="s">
        <v>365</v>
      </c>
    </row>
    <row r="42" spans="1:16" ht="33.4" x14ac:dyDescent="0.3">
      <c r="A42" s="6" t="str">
        <f>HYPERLINK("https://www.ti.com/product/TPS2291L02", "TPS2291L02")</f>
        <v>TPS2291L02</v>
      </c>
      <c r="B42" s="5" t="s">
        <v>366</v>
      </c>
      <c r="C42" s="6" t="str">
        <f>HYPERLINK("https://www.ti.com/lit/gpn/TPS2291L02", "PDF")</f>
        <v>PDF</v>
      </c>
      <c r="D42" s="5" t="s">
        <v>367</v>
      </c>
      <c r="E42" s="5" t="s">
        <v>368</v>
      </c>
      <c r="F42" s="5"/>
      <c r="G42" s="5" t="s">
        <v>369</v>
      </c>
      <c r="H42" s="1" t="s">
        <v>370</v>
      </c>
      <c r="I42" s="5" t="s">
        <v>371</v>
      </c>
      <c r="J42" s="7">
        <v>4</v>
      </c>
      <c r="K42" s="7">
        <v>0.37454399999999999</v>
      </c>
      <c r="L42" s="5" t="s">
        <v>372</v>
      </c>
      <c r="M42" s="7">
        <v>0.35</v>
      </c>
      <c r="N42" s="7">
        <v>0.35</v>
      </c>
      <c r="O42" s="7">
        <v>0.1</v>
      </c>
      <c r="P42" s="1" t="s">
        <v>373</v>
      </c>
    </row>
    <row r="43" spans="1:16" ht="33.4" x14ac:dyDescent="0.3">
      <c r="A43" s="6" t="str">
        <f>HYPERLINK("https://www.ti.com/product/LM68425-Q1", "LM68425-Q1")</f>
        <v>LM68425-Q1</v>
      </c>
      <c r="B43" s="5" t="s">
        <v>374</v>
      </c>
      <c r="C43" s="6" t="str">
        <f>HYPERLINK("https://www.ti.com/lit/gpn/LM68425-Q1", "PDF")</f>
        <v>PDF</v>
      </c>
      <c r="D43" s="5" t="s">
        <v>375</v>
      </c>
      <c r="E43" s="5" t="s">
        <v>376</v>
      </c>
      <c r="F43" s="5" t="s">
        <v>377</v>
      </c>
      <c r="G43" s="5" t="s">
        <v>378</v>
      </c>
      <c r="H43" s="1" t="s">
        <v>379</v>
      </c>
      <c r="I43" s="5" t="s">
        <v>380</v>
      </c>
      <c r="J43" s="7">
        <v>20</v>
      </c>
      <c r="K43" s="7">
        <v>9.36</v>
      </c>
      <c r="L43" s="5" t="s">
        <v>381</v>
      </c>
      <c r="M43" s="7">
        <v>0.7</v>
      </c>
      <c r="N43" s="7">
        <v>0.5</v>
      </c>
      <c r="O43" s="7">
        <v>1.71</v>
      </c>
      <c r="P43" s="1" t="s">
        <v>382</v>
      </c>
    </row>
    <row r="44" spans="1:16" ht="33.4" x14ac:dyDescent="0.3">
      <c r="A44" s="6" t="str">
        <f>HYPERLINK("https://www.ti.com/product/TPS7E82-Q1", "TPS7E82-Q1")</f>
        <v>TPS7E82-Q1</v>
      </c>
      <c r="B44" s="5" t="s">
        <v>383</v>
      </c>
      <c r="C44" s="6" t="str">
        <f>HYPERLINK("https://www.ti.com/lit/gpn/TPS7E82-Q1", "PDF")</f>
        <v>PDF</v>
      </c>
      <c r="D44" s="5" t="s">
        <v>384</v>
      </c>
      <c r="E44" s="5" t="s">
        <v>385</v>
      </c>
      <c r="F44" s="5"/>
      <c r="G44" s="5" t="s">
        <v>386</v>
      </c>
      <c r="H44" s="1" t="s">
        <v>387</v>
      </c>
      <c r="I44" s="5" t="s">
        <v>388</v>
      </c>
      <c r="J44" s="7" t="s">
        <v>389</v>
      </c>
      <c r="K44" s="7" t="s">
        <v>390</v>
      </c>
      <c r="L44" s="5" t="s">
        <v>391</v>
      </c>
      <c r="M44" s="7" t="s">
        <v>392</v>
      </c>
      <c r="N44" s="7">
        <v>0.65</v>
      </c>
      <c r="O44" s="7">
        <v>0.59</v>
      </c>
      <c r="P44" s="1" t="s">
        <v>393</v>
      </c>
    </row>
    <row r="45" spans="1:16" ht="33.4" x14ac:dyDescent="0.3">
      <c r="A45" s="6" t="str">
        <f>HYPERLINK("https://www.ti.com/product/LM68625-Q1", "LM68625-Q1")</f>
        <v>LM68625-Q1</v>
      </c>
      <c r="B45" s="5" t="s">
        <v>394</v>
      </c>
      <c r="C45" s="6" t="str">
        <f>HYPERLINK("https://www.ti.com/lit/gpn/LM68625-Q1", "PDF")</f>
        <v>PDF</v>
      </c>
      <c r="D45" s="5" t="s">
        <v>395</v>
      </c>
      <c r="E45" s="5" t="s">
        <v>396</v>
      </c>
      <c r="F45" s="5" t="s">
        <v>397</v>
      </c>
      <c r="G45" s="5" t="s">
        <v>398</v>
      </c>
      <c r="H45" s="1" t="s">
        <v>399</v>
      </c>
      <c r="I45" s="5" t="s">
        <v>400</v>
      </c>
      <c r="J45" s="7">
        <v>20</v>
      </c>
      <c r="K45" s="7">
        <v>9.36</v>
      </c>
      <c r="L45" s="5" t="s">
        <v>401</v>
      </c>
      <c r="M45" s="7">
        <v>0.7</v>
      </c>
      <c r="N45" s="7">
        <v>0.5</v>
      </c>
      <c r="O45" s="7">
        <v>1.95</v>
      </c>
      <c r="P45" s="1" t="s">
        <v>402</v>
      </c>
    </row>
    <row r="46" spans="1:16" ht="33.4" x14ac:dyDescent="0.3">
      <c r="A46" s="6" t="str">
        <f>HYPERLINK("https://www.ti.com/product/LM68635-Q1", "LM68635-Q1")</f>
        <v>LM68635-Q1</v>
      </c>
      <c r="B46" s="5" t="s">
        <v>403</v>
      </c>
      <c r="C46" s="6" t="str">
        <f>HYPERLINK("https://www.ti.com/lit/gpn/LM68635-Q1", "PDF")</f>
        <v>PDF</v>
      </c>
      <c r="D46" s="5" t="s">
        <v>404</v>
      </c>
      <c r="E46" s="5" t="s">
        <v>405</v>
      </c>
      <c r="F46" s="5" t="s">
        <v>406</v>
      </c>
      <c r="G46" s="5" t="s">
        <v>407</v>
      </c>
      <c r="H46" s="1" t="s">
        <v>408</v>
      </c>
      <c r="I46" s="5" t="s">
        <v>409</v>
      </c>
      <c r="J46" s="7">
        <v>20</v>
      </c>
      <c r="K46" s="7">
        <v>9.36</v>
      </c>
      <c r="L46" s="5" t="s">
        <v>410</v>
      </c>
      <c r="M46" s="7">
        <v>0.7</v>
      </c>
      <c r="N46" s="7">
        <v>0.5</v>
      </c>
      <c r="O46" s="7">
        <v>2.1800000000000002</v>
      </c>
      <c r="P46" s="1" t="s">
        <v>411</v>
      </c>
    </row>
    <row r="47" spans="1:16" ht="33.4" x14ac:dyDescent="0.3">
      <c r="A47" s="6" t="str">
        <f>HYPERLINK("https://www.ti.com/product/LM68645-Q1", "LM68645-Q1")</f>
        <v>LM68645-Q1</v>
      </c>
      <c r="B47" s="5" t="s">
        <v>412</v>
      </c>
      <c r="C47" s="6" t="str">
        <f>HYPERLINK("https://www.ti.com/lit/gpn/LM68645-Q1", "PDF")</f>
        <v>PDF</v>
      </c>
      <c r="D47" s="5" t="s">
        <v>413</v>
      </c>
      <c r="E47" s="5" t="s">
        <v>414</v>
      </c>
      <c r="F47" s="5" t="s">
        <v>415</v>
      </c>
      <c r="G47" s="5" t="s">
        <v>416</v>
      </c>
      <c r="H47" s="1" t="s">
        <v>417</v>
      </c>
      <c r="I47" s="5" t="s">
        <v>418</v>
      </c>
      <c r="J47" s="7">
        <v>20</v>
      </c>
      <c r="K47" s="7">
        <v>9.36</v>
      </c>
      <c r="L47" s="5" t="s">
        <v>419</v>
      </c>
      <c r="M47" s="7">
        <v>0.7</v>
      </c>
      <c r="N47" s="7">
        <v>0.5</v>
      </c>
      <c r="O47" s="7">
        <v>2.4</v>
      </c>
      <c r="P47" s="1" t="s">
        <v>420</v>
      </c>
    </row>
    <row r="48" spans="1:16" ht="33.4" x14ac:dyDescent="0.3">
      <c r="A48" s="6" t="str">
        <f>HYPERLINK("https://www.ti.com/product/LM654B0-Q1", "LM654B0-Q1")</f>
        <v>LM654B0-Q1</v>
      </c>
      <c r="B48" s="5" t="s">
        <v>421</v>
      </c>
      <c r="C48" s="6" t="str">
        <f>HYPERLINK("https://www.ti.com/lit/gpn/LM654B0-Q1", "PDF")</f>
        <v>PDF</v>
      </c>
      <c r="D48" s="5" t="s">
        <v>422</v>
      </c>
      <c r="E48" s="5" t="s">
        <v>423</v>
      </c>
      <c r="F48" s="5" t="s">
        <v>424</v>
      </c>
      <c r="G48" s="5"/>
      <c r="H48" s="1" t="s">
        <v>425</v>
      </c>
      <c r="I48" s="5" t="s">
        <v>426</v>
      </c>
      <c r="J48" s="7"/>
      <c r="K48" s="7"/>
      <c r="L48" s="5"/>
      <c r="M48" s="7"/>
      <c r="N48" s="7"/>
      <c r="O48" s="7">
        <v>4.2</v>
      </c>
      <c r="P48" s="1" t="s">
        <v>427</v>
      </c>
    </row>
    <row r="49" spans="1:16" ht="33.4" x14ac:dyDescent="0.3">
      <c r="A49" s="6" t="str">
        <f>HYPERLINK("https://www.ti.com/product/TPS7E81-Q1", "TPS7E81-Q1")</f>
        <v>TPS7E81-Q1</v>
      </c>
      <c r="B49" s="5" t="s">
        <v>428</v>
      </c>
      <c r="C49" s="6" t="str">
        <f>HYPERLINK("https://www.ti.com/lit/gpn/TPS7E81-Q1", "PDF")</f>
        <v>PDF</v>
      </c>
      <c r="D49" s="5" t="s">
        <v>429</v>
      </c>
      <c r="E49" s="5" t="s">
        <v>430</v>
      </c>
      <c r="F49" s="5"/>
      <c r="G49" s="5" t="s">
        <v>431</v>
      </c>
      <c r="H49" s="1" t="s">
        <v>432</v>
      </c>
      <c r="I49" s="5" t="s">
        <v>433</v>
      </c>
      <c r="J49" s="7" t="s">
        <v>434</v>
      </c>
      <c r="K49" s="7" t="s">
        <v>435</v>
      </c>
      <c r="L49" s="5" t="s">
        <v>436</v>
      </c>
      <c r="M49" s="7" t="s">
        <v>437</v>
      </c>
      <c r="N49" s="7" t="s">
        <v>438</v>
      </c>
      <c r="O49" s="7">
        <v>0.32400000000000001</v>
      </c>
      <c r="P49" s="1" t="s">
        <v>439</v>
      </c>
    </row>
    <row r="50" spans="1:16" ht="33.4" x14ac:dyDescent="0.3">
      <c r="A50" s="6" t="str">
        <f>HYPERLINK("https://www.ti.com/product/TPS7E81", "TPS7E81")</f>
        <v>TPS7E81</v>
      </c>
      <c r="B50" s="5" t="s">
        <v>440</v>
      </c>
      <c r="C50" s="6" t="str">
        <f>HYPERLINK("https://www.ti.com/lit/gpn/TPS7E81", "PDF")</f>
        <v>PDF</v>
      </c>
      <c r="D50" s="5" t="s">
        <v>441</v>
      </c>
      <c r="E50" s="5" t="s">
        <v>442</v>
      </c>
      <c r="F50" s="5"/>
      <c r="G50" s="5" t="s">
        <v>443</v>
      </c>
      <c r="H50" s="1" t="s">
        <v>444</v>
      </c>
      <c r="I50" s="5" t="s">
        <v>445</v>
      </c>
      <c r="J50" s="7">
        <v>5</v>
      </c>
      <c r="K50" s="7">
        <v>8.1199999999999992</v>
      </c>
      <c r="L50" s="5" t="s">
        <v>446</v>
      </c>
      <c r="M50" s="7">
        <v>1.45</v>
      </c>
      <c r="N50" s="7">
        <v>0.95</v>
      </c>
      <c r="O50" s="7">
        <v>0.27500000000000002</v>
      </c>
      <c r="P50" s="1" t="s">
        <v>447</v>
      </c>
    </row>
    <row r="51" spans="1:16" ht="33.4" x14ac:dyDescent="0.3">
      <c r="A51" s="6" t="str">
        <f>HYPERLINK("https://www.ti.com/product/TPS7E82", "TPS7E82")</f>
        <v>TPS7E82</v>
      </c>
      <c r="B51" s="5" t="s">
        <v>448</v>
      </c>
      <c r="C51" s="6" t="str">
        <f>HYPERLINK("https://www.ti.com/lit/gpn/TPS7E82", "PDF")</f>
        <v>PDF</v>
      </c>
      <c r="D51" s="5" t="s">
        <v>449</v>
      </c>
      <c r="E51" s="5" t="s">
        <v>450</v>
      </c>
      <c r="F51" s="5"/>
      <c r="G51" s="5" t="s">
        <v>451</v>
      </c>
      <c r="H51" s="1" t="s">
        <v>452</v>
      </c>
      <c r="I51" s="5" t="s">
        <v>453</v>
      </c>
      <c r="J51" s="7">
        <v>5</v>
      </c>
      <c r="K51" s="7">
        <v>8.1199999999999992</v>
      </c>
      <c r="L51" s="5" t="s">
        <v>454</v>
      </c>
      <c r="M51" s="7">
        <v>1.45</v>
      </c>
      <c r="N51" s="7">
        <v>0.95</v>
      </c>
      <c r="O51" s="7">
        <v>0.5</v>
      </c>
      <c r="P51" s="1" t="s">
        <v>455</v>
      </c>
    </row>
    <row r="52" spans="1:16" ht="33.4" x14ac:dyDescent="0.3">
      <c r="A52" s="6" t="str">
        <f>HYPERLINK("https://www.ti.com/product/TPS7H1121-SEP", "TPS7H1121-SEP")</f>
        <v>TPS7H1121-SEP</v>
      </c>
      <c r="B52" s="5" t="s">
        <v>456</v>
      </c>
      <c r="C52" s="6" t="str">
        <f>HYPERLINK("https://www.ti.com/lit/gpn/TPS7H1121-SEP", "PDF")</f>
        <v>PDF</v>
      </c>
      <c r="D52" s="5" t="s">
        <v>457</v>
      </c>
      <c r="E52" s="5" t="s">
        <v>458</v>
      </c>
      <c r="F52" s="5"/>
      <c r="G52" s="5" t="s">
        <v>459</v>
      </c>
      <c r="H52" s="1" t="s">
        <v>460</v>
      </c>
      <c r="I52" s="5" t="s">
        <v>461</v>
      </c>
      <c r="J52" s="7">
        <v>24</v>
      </c>
      <c r="K52" s="7">
        <v>49.92</v>
      </c>
      <c r="L52" s="5" t="s">
        <v>462</v>
      </c>
      <c r="M52" s="7">
        <v>1.2</v>
      </c>
      <c r="N52" s="7">
        <v>0.65</v>
      </c>
      <c r="O52" s="7">
        <v>206.161</v>
      </c>
      <c r="P52" s="1" t="s">
        <v>463</v>
      </c>
    </row>
    <row r="53" spans="1:16" ht="33.4" x14ac:dyDescent="0.3">
      <c r="A53" s="6" t="str">
        <f>HYPERLINK("https://www.ti.com/product/TPS7E66-Q1", "TPS7E66-Q1")</f>
        <v>TPS7E66-Q1</v>
      </c>
      <c r="B53" s="5" t="s">
        <v>464</v>
      </c>
      <c r="C53" s="6" t="str">
        <f>HYPERLINK("https://www.ti.com/lit/gpn/TPS7E66-Q1", "PDF")</f>
        <v>PDF</v>
      </c>
      <c r="D53" s="5" t="s">
        <v>465</v>
      </c>
      <c r="E53" s="5" t="s">
        <v>466</v>
      </c>
      <c r="F53" s="5"/>
      <c r="G53" s="5" t="s">
        <v>467</v>
      </c>
      <c r="H53" s="1" t="s">
        <v>468</v>
      </c>
      <c r="I53" s="5" t="s">
        <v>469</v>
      </c>
      <c r="J53" s="7">
        <v>6</v>
      </c>
      <c r="K53" s="7">
        <v>4</v>
      </c>
      <c r="L53" s="5" t="s">
        <v>470</v>
      </c>
      <c r="M53" s="7">
        <v>0.8</v>
      </c>
      <c r="N53" s="7">
        <v>0.65</v>
      </c>
      <c r="O53" s="7">
        <v>0.52900000000000003</v>
      </c>
      <c r="P53" s="1" t="s">
        <v>471</v>
      </c>
    </row>
    <row r="54" spans="1:16" ht="33.4" x14ac:dyDescent="0.3">
      <c r="A54" s="6" t="str">
        <f>HYPERLINK("https://www.ti.com/product/TPS61388-Q1", "TPS61388-Q1")</f>
        <v>TPS61388-Q1</v>
      </c>
      <c r="B54" s="5" t="s">
        <v>472</v>
      </c>
      <c r="C54" s="6" t="str">
        <f>HYPERLINK("https://www.ti.com/lit/gpn/TPS61388-Q1", "PDF")</f>
        <v>PDF</v>
      </c>
      <c r="D54" s="5" t="s">
        <v>473</v>
      </c>
      <c r="E54" s="5" t="s">
        <v>474</v>
      </c>
      <c r="F54" s="5" t="s">
        <v>475</v>
      </c>
      <c r="G54" s="5" t="s">
        <v>476</v>
      </c>
      <c r="H54" s="1" t="s">
        <v>477</v>
      </c>
      <c r="I54" s="5" t="s">
        <v>478</v>
      </c>
      <c r="J54" s="7">
        <v>16</v>
      </c>
      <c r="K54" s="7">
        <v>7.5</v>
      </c>
      <c r="L54" s="5" t="s">
        <v>479</v>
      </c>
      <c r="M54" s="7">
        <v>0.8</v>
      </c>
      <c r="N54" s="7">
        <v>0.5</v>
      </c>
      <c r="O54" s="7">
        <v>1.36</v>
      </c>
      <c r="P54" s="1" t="s">
        <v>480</v>
      </c>
    </row>
    <row r="55" spans="1:16" ht="33.4" x14ac:dyDescent="0.3">
      <c r="A55" s="6" t="str">
        <f>HYPERLINK("https://www.ti.com/product/LM25137", "LM25137")</f>
        <v>LM25137</v>
      </c>
      <c r="B55" s="5" t="s">
        <v>481</v>
      </c>
      <c r="C55" s="6" t="str">
        <f>HYPERLINK("https://www.ti.com/lit/gpn/LM25137", "PDF")</f>
        <v>PDF</v>
      </c>
      <c r="D55" s="5" t="s">
        <v>482</v>
      </c>
      <c r="E55" s="5" t="s">
        <v>483</v>
      </c>
      <c r="F55" s="5"/>
      <c r="G55" s="5" t="s">
        <v>484</v>
      </c>
      <c r="H55" s="1" t="s">
        <v>485</v>
      </c>
      <c r="I55" s="5" t="s">
        <v>486</v>
      </c>
      <c r="J55" s="7">
        <v>36</v>
      </c>
      <c r="K55" s="7">
        <v>36</v>
      </c>
      <c r="L55" s="5" t="s">
        <v>487</v>
      </c>
      <c r="M55" s="7">
        <v>1</v>
      </c>
      <c r="N55" s="7">
        <v>0.5</v>
      </c>
      <c r="O55" s="7">
        <v>1.39</v>
      </c>
      <c r="P55" s="1" t="s">
        <v>488</v>
      </c>
    </row>
    <row r="56" spans="1:16" ht="33.4" x14ac:dyDescent="0.3">
      <c r="A56" s="6" t="str">
        <f>HYPERLINK("https://www.ti.com/product/LM25137F-Q1", "LM25137F-Q1")</f>
        <v>LM25137F-Q1</v>
      </c>
      <c r="B56" s="5" t="s">
        <v>489</v>
      </c>
      <c r="C56" s="6" t="str">
        <f>HYPERLINK("https://www.ti.com/lit/gpn/LM25137F-Q1", "PDF")</f>
        <v>PDF</v>
      </c>
      <c r="D56" s="5" t="s">
        <v>490</v>
      </c>
      <c r="E56" s="5" t="s">
        <v>491</v>
      </c>
      <c r="F56" s="5"/>
      <c r="G56" s="5"/>
      <c r="H56" s="1" t="s">
        <v>492</v>
      </c>
      <c r="I56" s="5" t="s">
        <v>493</v>
      </c>
      <c r="J56" s="7"/>
      <c r="K56" s="7"/>
      <c r="L56" s="5"/>
      <c r="M56" s="7"/>
      <c r="N56" s="7"/>
      <c r="O56" s="7">
        <v>1.804</v>
      </c>
      <c r="P56" s="1" t="s">
        <v>494</v>
      </c>
    </row>
    <row r="57" spans="1:16" ht="33.4" x14ac:dyDescent="0.3">
      <c r="A57" s="6" t="str">
        <f>HYPERLINK("https://www.ti.com/product/LM251772-Q1", "LM251772-Q1")</f>
        <v>LM251772-Q1</v>
      </c>
      <c r="B57" s="5" t="s">
        <v>495</v>
      </c>
      <c r="C57" s="6" t="str">
        <f>HYPERLINK("https://www.ti.com/lit/gpn/LM251772-Q1", "PDF")</f>
        <v>PDF</v>
      </c>
      <c r="D57" s="5" t="s">
        <v>496</v>
      </c>
      <c r="E57" s="5" t="s">
        <v>497</v>
      </c>
      <c r="F57" s="5" t="s">
        <v>498</v>
      </c>
      <c r="G57" s="5" t="s">
        <v>499</v>
      </c>
      <c r="H57" s="1" t="s">
        <v>500</v>
      </c>
      <c r="I57" s="5" t="s">
        <v>501</v>
      </c>
      <c r="J57" s="7">
        <v>40</v>
      </c>
      <c r="K57" s="7">
        <v>36</v>
      </c>
      <c r="L57" s="5" t="s">
        <v>502</v>
      </c>
      <c r="M57" s="7">
        <v>1</v>
      </c>
      <c r="N57" s="7">
        <v>0.5</v>
      </c>
      <c r="O57" s="7">
        <v>2.714</v>
      </c>
      <c r="P57" s="1" t="s">
        <v>503</v>
      </c>
    </row>
    <row r="58" spans="1:16" ht="33.4" x14ac:dyDescent="0.3">
      <c r="A58" s="6" t="str">
        <f>HYPERLINK("https://www.ti.com/product/LM5137", "LM5137")</f>
        <v>LM5137</v>
      </c>
      <c r="B58" s="5" t="s">
        <v>504</v>
      </c>
      <c r="C58" s="6" t="str">
        <f>HYPERLINK("https://www.ti.com/lit/gpn/LM5137", "PDF")</f>
        <v>PDF</v>
      </c>
      <c r="D58" s="5" t="s">
        <v>505</v>
      </c>
      <c r="E58" s="5" t="s">
        <v>506</v>
      </c>
      <c r="F58" s="5"/>
      <c r="G58" s="5" t="s">
        <v>507</v>
      </c>
      <c r="H58" s="1" t="s">
        <v>508</v>
      </c>
      <c r="I58" s="5" t="s">
        <v>509</v>
      </c>
      <c r="J58" s="7">
        <v>36</v>
      </c>
      <c r="K58" s="7">
        <v>36</v>
      </c>
      <c r="L58" s="5" t="s">
        <v>510</v>
      </c>
      <c r="M58" s="7">
        <v>1</v>
      </c>
      <c r="N58" s="7">
        <v>0.5</v>
      </c>
      <c r="O58" s="7">
        <v>1.8069999999999999</v>
      </c>
      <c r="P58" s="1" t="s">
        <v>511</v>
      </c>
    </row>
    <row r="59" spans="1:16" ht="33.4" x14ac:dyDescent="0.3">
      <c r="A59" s="6" t="str">
        <f>HYPERLINK("https://www.ti.com/product/TPS631013A", "TPS631013A")</f>
        <v>TPS631013A</v>
      </c>
      <c r="B59" s="5" t="s">
        <v>512</v>
      </c>
      <c r="C59" s="6" t="str">
        <f>HYPERLINK("https://www.ti.com/lit/gpn/TPS631013A", "PDF")</f>
        <v>PDF</v>
      </c>
      <c r="D59" s="5" t="s">
        <v>513</v>
      </c>
      <c r="E59" s="5" t="s">
        <v>514</v>
      </c>
      <c r="F59" s="5" t="s">
        <v>515</v>
      </c>
      <c r="G59" s="5"/>
      <c r="H59" s="1" t="s">
        <v>516</v>
      </c>
      <c r="I59" s="5" t="s">
        <v>517</v>
      </c>
      <c r="J59" s="7"/>
      <c r="K59" s="7"/>
      <c r="L59" s="5"/>
      <c r="M59" s="7"/>
      <c r="N59" s="7"/>
      <c r="O59" s="7">
        <v>0.51800000000000002</v>
      </c>
      <c r="P59" s="1" t="s">
        <v>518</v>
      </c>
    </row>
    <row r="60" spans="1:16" ht="33.4" x14ac:dyDescent="0.3">
      <c r="A60" s="6" t="str">
        <f>HYPERLINK("https://www.ti.com/product/UCC35131-Q1", "UCC35131-Q1")</f>
        <v>UCC35131-Q1</v>
      </c>
      <c r="B60" s="5" t="s">
        <v>519</v>
      </c>
      <c r="C60" s="6" t="str">
        <f>HYPERLINK("https://www.ti.com/lit/gpn/UCC35131-Q1", "PDF")</f>
        <v>PDF</v>
      </c>
      <c r="D60" s="5" t="s">
        <v>520</v>
      </c>
      <c r="E60" s="5" t="s">
        <v>521</v>
      </c>
      <c r="F60" s="5" t="s">
        <v>522</v>
      </c>
      <c r="G60" s="5" t="s">
        <v>523</v>
      </c>
      <c r="H60" s="1" t="s">
        <v>524</v>
      </c>
      <c r="I60" s="5" t="s">
        <v>525</v>
      </c>
      <c r="J60" s="7">
        <v>16</v>
      </c>
      <c r="K60" s="7">
        <v>60.255000000000003</v>
      </c>
      <c r="L60" s="5" t="s">
        <v>526</v>
      </c>
      <c r="M60" s="7">
        <v>2.8</v>
      </c>
      <c r="N60" s="7">
        <v>0.65</v>
      </c>
      <c r="O60" s="7">
        <v>2.9</v>
      </c>
      <c r="P60" s="1" t="s">
        <v>527</v>
      </c>
    </row>
    <row r="61" spans="1:16" ht="33.4" x14ac:dyDescent="0.3">
      <c r="A61" s="6" t="str">
        <f>HYPERLINK("https://www.ti.com/product/TPS650340-Q1", "TPS650340-Q1")</f>
        <v>TPS650340-Q1</v>
      </c>
      <c r="B61" s="5" t="s">
        <v>528</v>
      </c>
      <c r="C61" s="6" t="str">
        <f>HYPERLINK("https://www.ti.com/lit/gpn/TPS650340-Q1", "PDF")</f>
        <v>PDF</v>
      </c>
      <c r="D61" s="5" t="s">
        <v>529</v>
      </c>
      <c r="E61" s="5" t="s">
        <v>530</v>
      </c>
      <c r="F61" s="5"/>
      <c r="G61" s="5" t="s">
        <v>531</v>
      </c>
      <c r="H61" s="1" t="s">
        <v>532</v>
      </c>
      <c r="I61" s="5" t="s">
        <v>533</v>
      </c>
      <c r="J61" s="7">
        <v>22</v>
      </c>
      <c r="K61" s="7">
        <v>10.5</v>
      </c>
      <c r="L61" s="5" t="s">
        <v>534</v>
      </c>
      <c r="M61" s="7">
        <v>0.7</v>
      </c>
      <c r="N61" s="7">
        <v>0.5</v>
      </c>
      <c r="O61" s="7">
        <v>1.2</v>
      </c>
      <c r="P61" s="1" t="s">
        <v>535</v>
      </c>
    </row>
    <row r="62" spans="1:16" ht="33.4" x14ac:dyDescent="0.3">
      <c r="A62" s="6" t="str">
        <f>HYPERLINK("https://www.ti.com/product/TPS65221-Q1", "TPS65221-Q1")</f>
        <v>TPS65221-Q1</v>
      </c>
      <c r="B62" s="5" t="s">
        <v>536</v>
      </c>
      <c r="C62" s="6" t="str">
        <f>HYPERLINK("https://www.ti.com/lit/gpn/TPS65221-Q1", "PDF")</f>
        <v>PDF</v>
      </c>
      <c r="D62" s="5" t="s">
        <v>537</v>
      </c>
      <c r="E62" s="5" t="s">
        <v>538</v>
      </c>
      <c r="F62" s="5"/>
      <c r="G62" s="5" t="s">
        <v>539</v>
      </c>
      <c r="H62" s="1" t="s">
        <v>540</v>
      </c>
      <c r="I62" s="5" t="s">
        <v>541</v>
      </c>
      <c r="J62" s="7">
        <v>36</v>
      </c>
      <c r="K62" s="7">
        <v>30</v>
      </c>
      <c r="L62" s="5" t="s">
        <v>542</v>
      </c>
      <c r="M62" s="7">
        <v>1</v>
      </c>
      <c r="N62" s="7">
        <v>0.5</v>
      </c>
      <c r="O62" s="7">
        <v>2.4500000000000002</v>
      </c>
      <c r="P62" s="1" t="s">
        <v>543</v>
      </c>
    </row>
    <row r="63" spans="1:16" ht="33.4" x14ac:dyDescent="0.3">
      <c r="A63" s="6" t="str">
        <f>HYPERLINK("https://www.ti.com/product/TPS55285", "TPS55285")</f>
        <v>TPS55285</v>
      </c>
      <c r="B63" s="5" t="s">
        <v>544</v>
      </c>
      <c r="C63" s="6" t="str">
        <f>HYPERLINK("https://www.ti.com/lit/gpn/TPS55285", "PDF")</f>
        <v>PDF</v>
      </c>
      <c r="D63" s="5" t="s">
        <v>545</v>
      </c>
      <c r="E63" s="5" t="s">
        <v>546</v>
      </c>
      <c r="F63" s="5" t="s">
        <v>547</v>
      </c>
      <c r="G63" s="5" t="s">
        <v>548</v>
      </c>
      <c r="H63" s="1" t="s">
        <v>549</v>
      </c>
      <c r="I63" s="5" t="s">
        <v>550</v>
      </c>
      <c r="J63" s="7">
        <v>15</v>
      </c>
      <c r="K63" s="7">
        <v>8.75</v>
      </c>
      <c r="L63" s="5" t="s">
        <v>551</v>
      </c>
      <c r="M63" s="7">
        <v>0.8</v>
      </c>
      <c r="N63" s="7">
        <v>0.5</v>
      </c>
      <c r="O63" s="7">
        <v>1.61</v>
      </c>
      <c r="P63" s="1" t="s">
        <v>552</v>
      </c>
    </row>
    <row r="64" spans="1:16" ht="33.4" x14ac:dyDescent="0.3">
      <c r="A64" s="6" t="str">
        <f>HYPERLINK("https://www.ti.com/product/TPS2HCS10-Q1", "TPS2HCS10-Q1")</f>
        <v>TPS2HCS10-Q1</v>
      </c>
      <c r="B64" s="5" t="s">
        <v>553</v>
      </c>
      <c r="C64" s="6" t="str">
        <f>HYPERLINK("https://www.ti.com/lit/gpn/TPS2HCS10-Q1", "PDF")</f>
        <v>PDF</v>
      </c>
      <c r="D64" s="5" t="s">
        <v>554</v>
      </c>
      <c r="E64" s="5" t="s">
        <v>555</v>
      </c>
      <c r="F64" s="5"/>
      <c r="G64" s="5" t="s">
        <v>556</v>
      </c>
      <c r="H64" s="1" t="s">
        <v>557</v>
      </c>
      <c r="I64" s="5" t="s">
        <v>558</v>
      </c>
      <c r="J64" s="7">
        <v>16</v>
      </c>
      <c r="K64" s="7">
        <v>32</v>
      </c>
      <c r="L64" s="5" t="s">
        <v>559</v>
      </c>
      <c r="M64" s="7">
        <v>1.2</v>
      </c>
      <c r="N64" s="7">
        <v>0.65</v>
      </c>
      <c r="O64" s="7">
        <v>1.5780000000000001</v>
      </c>
      <c r="P64" s="1" t="s">
        <v>560</v>
      </c>
    </row>
    <row r="65" spans="1:16" ht="33.4" x14ac:dyDescent="0.3">
      <c r="A65" s="6" t="str">
        <f>HYPERLINK("https://www.ti.com/product/LM68460-Q1", "LM68460-Q1")</f>
        <v>LM68460-Q1</v>
      </c>
      <c r="B65" s="5" t="s">
        <v>561</v>
      </c>
      <c r="C65" s="6" t="str">
        <f>HYPERLINK("https://www.ti.com/lit/gpn/LM68460-Q1", "PDF")</f>
        <v>PDF</v>
      </c>
      <c r="D65" s="5" t="s">
        <v>562</v>
      </c>
      <c r="E65" s="5" t="s">
        <v>563</v>
      </c>
      <c r="F65" s="5" t="s">
        <v>564</v>
      </c>
      <c r="G65" s="5" t="s">
        <v>565</v>
      </c>
      <c r="H65" s="1" t="s">
        <v>566</v>
      </c>
      <c r="I65" s="5" t="s">
        <v>567</v>
      </c>
      <c r="J65" s="7">
        <v>20</v>
      </c>
      <c r="K65" s="7">
        <v>9.36</v>
      </c>
      <c r="L65" s="5" t="s">
        <v>568</v>
      </c>
      <c r="M65" s="7">
        <v>0.7</v>
      </c>
      <c r="N65" s="7">
        <v>0.5</v>
      </c>
      <c r="O65" s="7">
        <v>2.0699999999999998</v>
      </c>
      <c r="P65" s="1" t="s">
        <v>569</v>
      </c>
    </row>
    <row r="66" spans="1:16" ht="33.4" x14ac:dyDescent="0.3">
      <c r="A66" s="6" t="str">
        <f>HYPERLINK("https://www.ti.com/product/LMR60450-Q1", "LMR60450-Q1")</f>
        <v>LMR60450-Q1</v>
      </c>
      <c r="B66" s="5" t="s">
        <v>570</v>
      </c>
      <c r="C66" s="6" t="str">
        <f>HYPERLINK("https://www.ti.com/lit/gpn/LMR60450-Q1", "PDF")</f>
        <v>PDF</v>
      </c>
      <c r="D66" s="5" t="s">
        <v>571</v>
      </c>
      <c r="E66" s="5" t="s">
        <v>572</v>
      </c>
      <c r="F66" s="5" t="s">
        <v>573</v>
      </c>
      <c r="G66" s="5" t="s">
        <v>574</v>
      </c>
      <c r="H66" s="1" t="s">
        <v>575</v>
      </c>
      <c r="I66" s="5" t="s">
        <v>576</v>
      </c>
      <c r="J66" s="7">
        <v>9</v>
      </c>
      <c r="K66" s="7">
        <v>5</v>
      </c>
      <c r="L66" s="5" t="s">
        <v>577</v>
      </c>
      <c r="M66" s="7">
        <v>0.7</v>
      </c>
      <c r="N66" s="7">
        <v>0.5</v>
      </c>
      <c r="O66" s="7">
        <v>0.7</v>
      </c>
      <c r="P66" s="1" t="s">
        <v>578</v>
      </c>
    </row>
    <row r="67" spans="1:16" ht="33.4" x14ac:dyDescent="0.3">
      <c r="A67" s="6" t="str">
        <f>HYPERLINK("https://www.ti.com/product/UCC57142-Q1", "UCC57142-Q1")</f>
        <v>UCC57142-Q1</v>
      </c>
      <c r="B67" s="5" t="s">
        <v>579</v>
      </c>
      <c r="C67" s="6" t="str">
        <f>HYPERLINK("https://www.ti.com/lit/gpn/UCC57142-Q1", "PDF")</f>
        <v>PDF</v>
      </c>
      <c r="D67" s="5" t="s">
        <v>580</v>
      </c>
      <c r="E67" s="5" t="s">
        <v>581</v>
      </c>
      <c r="F67" s="5"/>
      <c r="G67" s="5" t="s">
        <v>582</v>
      </c>
      <c r="H67" s="1" t="s">
        <v>583</v>
      </c>
      <c r="I67" s="5" t="s">
        <v>584</v>
      </c>
      <c r="J67" s="7">
        <v>6</v>
      </c>
      <c r="K67" s="7">
        <v>8.1199999999999992</v>
      </c>
      <c r="L67" s="5" t="s">
        <v>585</v>
      </c>
      <c r="M67" s="7">
        <v>1.45</v>
      </c>
      <c r="N67" s="7">
        <v>0.95</v>
      </c>
      <c r="O67" s="7">
        <v>0.35399999999999998</v>
      </c>
      <c r="P67" s="1" t="s">
        <v>586</v>
      </c>
    </row>
    <row r="68" spans="1:16" ht="33.4" x14ac:dyDescent="0.3">
      <c r="A68" s="6" t="str">
        <f>HYPERLINK("https://www.ti.com/product/UCC57148-Q1", "UCC57148-Q1")</f>
        <v>UCC57148-Q1</v>
      </c>
      <c r="B68" s="5" t="s">
        <v>587</v>
      </c>
      <c r="C68" s="6" t="str">
        <f>HYPERLINK("https://www.ti.com/lit/gpn/UCC57148-Q1", "PDF")</f>
        <v>PDF</v>
      </c>
      <c r="D68" s="5" t="s">
        <v>588</v>
      </c>
      <c r="E68" s="5" t="s">
        <v>589</v>
      </c>
      <c r="F68" s="5"/>
      <c r="G68" s="5" t="s">
        <v>590</v>
      </c>
      <c r="H68" s="1" t="s">
        <v>591</v>
      </c>
      <c r="I68" s="5" t="s">
        <v>592</v>
      </c>
      <c r="J68" s="7">
        <v>6</v>
      </c>
      <c r="K68" s="7">
        <v>8.1199999999999992</v>
      </c>
      <c r="L68" s="5" t="s">
        <v>593</v>
      </c>
      <c r="M68" s="7">
        <v>1.45</v>
      </c>
      <c r="N68" s="7">
        <v>0.95</v>
      </c>
      <c r="O68" s="7">
        <v>0.35399999999999998</v>
      </c>
      <c r="P68" s="1" t="s">
        <v>594</v>
      </c>
    </row>
    <row r="69" spans="1:16" ht="33.4" x14ac:dyDescent="0.3">
      <c r="A69" s="6" t="str">
        <f>HYPERLINK("https://www.ti.com/product/LM5066H", "LM5066H")</f>
        <v>LM5066H</v>
      </c>
      <c r="B69" s="5" t="s">
        <v>595</v>
      </c>
      <c r="C69" s="6" t="str">
        <f>HYPERLINK("https://www.ti.com/lit/gpn/LM5066H", "PDF")</f>
        <v>PDF</v>
      </c>
      <c r="D69" s="5" t="s">
        <v>596</v>
      </c>
      <c r="E69" s="5" t="s">
        <v>597</v>
      </c>
      <c r="F69" s="5"/>
      <c r="G69" s="5" t="s">
        <v>598</v>
      </c>
      <c r="H69" s="1" t="s">
        <v>599</v>
      </c>
      <c r="I69" s="5" t="s">
        <v>600</v>
      </c>
      <c r="J69" s="7">
        <v>28</v>
      </c>
      <c r="K69" s="7">
        <v>62.08</v>
      </c>
      <c r="L69" s="5" t="s">
        <v>601</v>
      </c>
      <c r="M69" s="7">
        <v>1.2</v>
      </c>
      <c r="N69" s="7">
        <v>0.65</v>
      </c>
      <c r="O69" s="7">
        <v>2.87</v>
      </c>
      <c r="P69" s="1" t="s">
        <v>602</v>
      </c>
    </row>
    <row r="70" spans="1:16" ht="33.4" x14ac:dyDescent="0.3">
      <c r="A70" s="6" t="str">
        <f>HYPERLINK("https://www.ti.com/product/TPS482H85-Q1", "TPS482H85-Q1")</f>
        <v>TPS482H85-Q1</v>
      </c>
      <c r="B70" s="5" t="s">
        <v>603</v>
      </c>
      <c r="C70" s="6" t="str">
        <f>HYPERLINK("https://www.ti.com/lit/gpn/TPS482H85-Q1", "PDF")</f>
        <v>PDF</v>
      </c>
      <c r="D70" s="5" t="s">
        <v>604</v>
      </c>
      <c r="E70" s="5" t="s">
        <v>605</v>
      </c>
      <c r="F70" s="5"/>
      <c r="G70" s="5" t="s">
        <v>606</v>
      </c>
      <c r="H70" s="1" t="s">
        <v>607</v>
      </c>
      <c r="I70" s="5" t="s">
        <v>608</v>
      </c>
      <c r="J70" s="7">
        <v>12</v>
      </c>
      <c r="K70" s="7">
        <v>10.5</v>
      </c>
      <c r="L70" s="5" t="s">
        <v>609</v>
      </c>
      <c r="M70" s="7">
        <v>1</v>
      </c>
      <c r="N70" s="7">
        <v>0.5</v>
      </c>
      <c r="O70" s="7">
        <v>1.2629999999999999</v>
      </c>
      <c r="P70" s="1" t="s">
        <v>610</v>
      </c>
    </row>
    <row r="71" spans="1:16" ht="33.4" x14ac:dyDescent="0.3">
      <c r="A71" s="6" t="str">
        <f>HYPERLINK("https://www.ti.com/product/TPS7H5020-SEP", "TPS7H5020-SEP")</f>
        <v>TPS7H5020-SEP</v>
      </c>
      <c r="B71" s="5" t="s">
        <v>611</v>
      </c>
      <c r="C71" s="6" t="str">
        <f>HYPERLINK("https://www.ti.com/lit/gpn/TPS7H5020-SEP", "PDF")</f>
        <v>PDF</v>
      </c>
      <c r="D71" s="5" t="s">
        <v>612</v>
      </c>
      <c r="E71" s="5" t="s">
        <v>613</v>
      </c>
      <c r="F71" s="5" t="s">
        <v>614</v>
      </c>
      <c r="G71" s="5" t="s">
        <v>615</v>
      </c>
      <c r="H71" s="1" t="s">
        <v>616</v>
      </c>
      <c r="I71" s="5" t="s">
        <v>617</v>
      </c>
      <c r="J71" s="7">
        <v>24</v>
      </c>
      <c r="K71" s="7">
        <v>49.92</v>
      </c>
      <c r="L71" s="5" t="s">
        <v>618</v>
      </c>
      <c r="M71" s="7">
        <v>1.2</v>
      </c>
      <c r="N71" s="7">
        <v>0.65</v>
      </c>
      <c r="O71" s="7">
        <v>742.26800000000003</v>
      </c>
      <c r="P71" s="1" t="s">
        <v>619</v>
      </c>
    </row>
    <row r="72" spans="1:16" ht="33.4" x14ac:dyDescent="0.3">
      <c r="A72" s="6" t="str">
        <f>HYPERLINK("https://www.ti.com/product/LMG708B0", "LMG708B0")</f>
        <v>LMG708B0</v>
      </c>
      <c r="B72" s="5" t="s">
        <v>620</v>
      </c>
      <c r="C72" s="6" t="str">
        <f>HYPERLINK("https://www.ti.com/lit/gpn/LMG708B0", "PDF")</f>
        <v>PDF</v>
      </c>
      <c r="D72" s="5" t="s">
        <v>621</v>
      </c>
      <c r="E72" s="5" t="s">
        <v>622</v>
      </c>
      <c r="F72" s="5" t="s">
        <v>623</v>
      </c>
      <c r="G72" s="5" t="s">
        <v>624</v>
      </c>
      <c r="H72" s="1" t="s">
        <v>625</v>
      </c>
      <c r="I72" s="5" t="s">
        <v>626</v>
      </c>
      <c r="J72" s="7">
        <v>22</v>
      </c>
      <c r="K72" s="7">
        <v>24.75</v>
      </c>
      <c r="L72" s="5" t="s">
        <v>627</v>
      </c>
      <c r="M72" s="7">
        <v>0.89</v>
      </c>
      <c r="N72" s="7">
        <v>0.5</v>
      </c>
      <c r="O72" s="7">
        <v>4.3499999999999996</v>
      </c>
      <c r="P72" s="1" t="s">
        <v>628</v>
      </c>
    </row>
    <row r="73" spans="1:16" ht="49.75" x14ac:dyDescent="0.3">
      <c r="A73" s="6" t="str">
        <f>HYPERLINK("https://www.ti.com/product/UCC25661-Q1", "UCC25661-Q1")</f>
        <v>UCC25661-Q1</v>
      </c>
      <c r="B73" s="5" t="s">
        <v>629</v>
      </c>
      <c r="C73" s="6" t="str">
        <f>HYPERLINK("https://www.ti.com/lit/gpn/UCC25661-Q1", "PDF")</f>
        <v>PDF</v>
      </c>
      <c r="D73" s="5" t="s">
        <v>630</v>
      </c>
      <c r="E73" s="5" t="s">
        <v>631</v>
      </c>
      <c r="F73" s="5" t="s">
        <v>632</v>
      </c>
      <c r="G73" s="5" t="s">
        <v>633</v>
      </c>
      <c r="H73" s="1" t="s">
        <v>634</v>
      </c>
      <c r="I73" s="5" t="s">
        <v>635</v>
      </c>
      <c r="J73" s="7">
        <v>14</v>
      </c>
      <c r="K73" s="7">
        <v>59.4</v>
      </c>
      <c r="L73" s="5" t="s">
        <v>636</v>
      </c>
      <c r="M73" s="7">
        <v>1.75</v>
      </c>
      <c r="N73" s="7">
        <v>1.27</v>
      </c>
      <c r="O73" s="7">
        <v>1.298</v>
      </c>
      <c r="P73" s="1" t="s">
        <v>637</v>
      </c>
    </row>
    <row r="74" spans="1:16" ht="33.4" x14ac:dyDescent="0.3">
      <c r="A74" s="6" t="str">
        <f>HYPERLINK("https://www.ti.com/product/UCC57132", "UCC57132")</f>
        <v>UCC57132</v>
      </c>
      <c r="B74" s="5" t="s">
        <v>638</v>
      </c>
      <c r="C74" s="6" t="str">
        <f>HYPERLINK("https://www.ti.com/lit/gpn/UCC57132", "PDF")</f>
        <v>PDF</v>
      </c>
      <c r="D74" s="5" t="s">
        <v>639</v>
      </c>
      <c r="E74" s="5" t="s">
        <v>640</v>
      </c>
      <c r="F74" s="5"/>
      <c r="G74" s="5" t="s">
        <v>641</v>
      </c>
      <c r="H74" s="1" t="s">
        <v>642</v>
      </c>
      <c r="I74" s="5" t="s">
        <v>643</v>
      </c>
      <c r="J74" s="7">
        <v>8</v>
      </c>
      <c r="K74" s="7">
        <v>29.4</v>
      </c>
      <c r="L74" s="5" t="s">
        <v>644</v>
      </c>
      <c r="M74" s="7">
        <v>1.75</v>
      </c>
      <c r="N74" s="7">
        <v>1.27</v>
      </c>
      <c r="O74" s="7">
        <v>0.32</v>
      </c>
      <c r="P74" s="1" t="s">
        <v>645</v>
      </c>
    </row>
    <row r="75" spans="1:16" ht="33.4" x14ac:dyDescent="0.3">
      <c r="A75" s="6" t="str">
        <f>HYPERLINK("https://www.ti.com/product/UCC57132-Q1", "UCC57132-Q1")</f>
        <v>UCC57132-Q1</v>
      </c>
      <c r="B75" s="5" t="s">
        <v>646</v>
      </c>
      <c r="C75" s="6" t="str">
        <f>HYPERLINK("https://www.ti.com/lit/gpn/UCC57132-Q1", "PDF")</f>
        <v>PDF</v>
      </c>
      <c r="D75" s="5" t="s">
        <v>647</v>
      </c>
      <c r="E75" s="5" t="s">
        <v>648</v>
      </c>
      <c r="F75" s="5"/>
      <c r="G75" s="5" t="s">
        <v>649</v>
      </c>
      <c r="H75" s="1" t="s">
        <v>650</v>
      </c>
      <c r="I75" s="5" t="s">
        <v>651</v>
      </c>
      <c r="J75" s="7">
        <v>8</v>
      </c>
      <c r="K75" s="7">
        <v>29.4</v>
      </c>
      <c r="L75" s="5" t="s">
        <v>652</v>
      </c>
      <c r="M75" s="7">
        <v>1.75</v>
      </c>
      <c r="N75" s="7">
        <v>1.27</v>
      </c>
      <c r="O75" s="7">
        <v>0.378</v>
      </c>
      <c r="P75" s="1" t="s">
        <v>653</v>
      </c>
    </row>
    <row r="76" spans="1:16" ht="33.4" x14ac:dyDescent="0.3">
      <c r="A76" s="6" t="str">
        <f>HYPERLINK("https://www.ti.com/product/UCC57138", "UCC57138")</f>
        <v>UCC57138</v>
      </c>
      <c r="B76" s="5" t="s">
        <v>654</v>
      </c>
      <c r="C76" s="6" t="str">
        <f>HYPERLINK("https://www.ti.com/lit/gpn/UCC57138", "PDF")</f>
        <v>PDF</v>
      </c>
      <c r="D76" s="5" t="s">
        <v>655</v>
      </c>
      <c r="E76" s="5" t="s">
        <v>656</v>
      </c>
      <c r="F76" s="5"/>
      <c r="G76" s="5" t="s">
        <v>657</v>
      </c>
      <c r="H76" s="1" t="s">
        <v>658</v>
      </c>
      <c r="I76" s="5" t="s">
        <v>659</v>
      </c>
      <c r="J76" s="7">
        <v>8</v>
      </c>
      <c r="K76" s="7">
        <v>29.4</v>
      </c>
      <c r="L76" s="5" t="s">
        <v>660</v>
      </c>
      <c r="M76" s="7">
        <v>1.75</v>
      </c>
      <c r="N76" s="7">
        <v>1.27</v>
      </c>
      <c r="O76" s="7">
        <v>0.32</v>
      </c>
      <c r="P76" s="1" t="s">
        <v>661</v>
      </c>
    </row>
    <row r="77" spans="1:16" ht="33.4" x14ac:dyDescent="0.3">
      <c r="A77" s="6" t="str">
        <f>HYPERLINK("https://www.ti.com/product/UCC57138-Q1", "UCC57138-Q1")</f>
        <v>UCC57138-Q1</v>
      </c>
      <c r="B77" s="5" t="s">
        <v>662</v>
      </c>
      <c r="C77" s="6" t="str">
        <f>HYPERLINK("https://www.ti.com/lit/gpn/UCC57138-Q1", "PDF")</f>
        <v>PDF</v>
      </c>
      <c r="D77" s="5" t="s">
        <v>663</v>
      </c>
      <c r="E77" s="5" t="s">
        <v>664</v>
      </c>
      <c r="F77" s="5"/>
      <c r="G77" s="5" t="s">
        <v>665</v>
      </c>
      <c r="H77" s="1" t="s">
        <v>666</v>
      </c>
      <c r="I77" s="5" t="s">
        <v>667</v>
      </c>
      <c r="J77" s="7">
        <v>8</v>
      </c>
      <c r="K77" s="7">
        <v>29.4</v>
      </c>
      <c r="L77" s="5" t="s">
        <v>668</v>
      </c>
      <c r="M77" s="7">
        <v>1.75</v>
      </c>
      <c r="N77" s="7">
        <v>1.27</v>
      </c>
      <c r="O77" s="7">
        <v>0.378</v>
      </c>
      <c r="P77" s="1" t="s">
        <v>669</v>
      </c>
    </row>
    <row r="78" spans="1:16" ht="33.4" x14ac:dyDescent="0.3">
      <c r="A78" s="6" t="str">
        <f>HYPERLINK("https://www.ti.com/product/TPS61382-Q1", "TPS61382-Q1")</f>
        <v>TPS61382-Q1</v>
      </c>
      <c r="B78" s="5" t="s">
        <v>670</v>
      </c>
      <c r="C78" s="6" t="str">
        <f>HYPERLINK("https://www.ti.com/lit/gpn/TPS61382-Q1", "PDF")</f>
        <v>PDF</v>
      </c>
      <c r="D78" s="5" t="s">
        <v>671</v>
      </c>
      <c r="E78" s="5" t="s">
        <v>672</v>
      </c>
      <c r="F78" s="5" t="s">
        <v>673</v>
      </c>
      <c r="G78" s="5" t="s">
        <v>674</v>
      </c>
      <c r="H78" s="1" t="s">
        <v>675</v>
      </c>
      <c r="I78" s="5" t="s">
        <v>676</v>
      </c>
      <c r="J78" s="7">
        <v>24</v>
      </c>
      <c r="K78" s="7">
        <v>12</v>
      </c>
      <c r="L78" s="5" t="s">
        <v>677</v>
      </c>
      <c r="M78" s="7">
        <v>0.7</v>
      </c>
      <c r="N78" s="7">
        <v>0.5</v>
      </c>
      <c r="O78" s="7">
        <v>2.8</v>
      </c>
      <c r="P78" s="1" t="s">
        <v>678</v>
      </c>
    </row>
    <row r="79" spans="1:16" ht="33.4" x14ac:dyDescent="0.3">
      <c r="A79" s="6" t="str">
        <f>HYPERLINK("https://www.ti.com/product/TPSI2240-Q1", "TPSI2240-Q1")</f>
        <v>TPSI2240-Q1</v>
      </c>
      <c r="B79" s="5" t="s">
        <v>679</v>
      </c>
      <c r="C79" s="6" t="str">
        <f>HYPERLINK("https://www.ti.com/lit/gpn/TPSI2240-Q1", "PDF")</f>
        <v>PDF</v>
      </c>
      <c r="D79" s="5" t="s">
        <v>680</v>
      </c>
      <c r="E79" s="5" t="s">
        <v>681</v>
      </c>
      <c r="F79" s="5"/>
      <c r="G79" s="5" t="s">
        <v>682</v>
      </c>
      <c r="H79" s="1" t="s">
        <v>683</v>
      </c>
      <c r="I79" s="5" t="s">
        <v>684</v>
      </c>
      <c r="J79" s="7">
        <v>11</v>
      </c>
      <c r="K79" s="7">
        <v>106.09</v>
      </c>
      <c r="L79" s="5" t="s">
        <v>685</v>
      </c>
      <c r="M79" s="7">
        <v>2.65</v>
      </c>
      <c r="N79" s="7">
        <v>1.27</v>
      </c>
      <c r="O79" s="7">
        <v>1.99</v>
      </c>
      <c r="P79" s="1" t="s">
        <v>686</v>
      </c>
    </row>
    <row r="80" spans="1:16" ht="33.4" x14ac:dyDescent="0.3">
      <c r="A80" s="6" t="str">
        <f>HYPERLINK("https://www.ti.com/product/LM5125A-Q1", "LM5125A-Q1")</f>
        <v>LM5125A-Q1</v>
      </c>
      <c r="B80" s="5" t="s">
        <v>687</v>
      </c>
      <c r="C80" s="6" t="str">
        <f>HYPERLINK("https://www.ti.com/lit/gpn/LM5125A-Q1", "PDF")</f>
        <v>PDF</v>
      </c>
      <c r="D80" s="5" t="s">
        <v>688</v>
      </c>
      <c r="E80" s="5" t="s">
        <v>689</v>
      </c>
      <c r="F80" s="5" t="s">
        <v>690</v>
      </c>
      <c r="G80" s="5" t="s">
        <v>691</v>
      </c>
      <c r="H80" s="1" t="s">
        <v>692</v>
      </c>
      <c r="I80" s="5" t="s">
        <v>693</v>
      </c>
      <c r="J80" s="7">
        <v>32</v>
      </c>
      <c r="K80" s="7">
        <v>25</v>
      </c>
      <c r="L80" s="5" t="s">
        <v>694</v>
      </c>
      <c r="M80" s="7">
        <v>1</v>
      </c>
      <c r="N80" s="7">
        <v>0.5</v>
      </c>
      <c r="O80" s="7">
        <v>2.4780000000000002</v>
      </c>
      <c r="P80" s="1" t="s">
        <v>695</v>
      </c>
    </row>
    <row r="81" spans="1:16" ht="33.4" x14ac:dyDescent="0.3">
      <c r="A81" s="6" t="str">
        <f>HYPERLINK("https://www.ti.com/product/LM5171-Q1", "LM5171-Q1")</f>
        <v>LM5171-Q1</v>
      </c>
      <c r="B81" s="5" t="s">
        <v>696</v>
      </c>
      <c r="C81" s="6" t="str">
        <f>HYPERLINK("https://www.ti.com/lit/gpn/LM5171-Q1", "PDF")</f>
        <v>PDF</v>
      </c>
      <c r="D81" s="5" t="s">
        <v>697</v>
      </c>
      <c r="E81" s="5" t="s">
        <v>698</v>
      </c>
      <c r="F81" s="5" t="s">
        <v>699</v>
      </c>
      <c r="G81" s="5" t="s">
        <v>700</v>
      </c>
      <c r="H81" s="1" t="s">
        <v>701</v>
      </c>
      <c r="I81" s="5" t="s">
        <v>702</v>
      </c>
      <c r="J81" s="7">
        <v>48</v>
      </c>
      <c r="K81" s="7">
        <v>81</v>
      </c>
      <c r="L81" s="5" t="s">
        <v>703</v>
      </c>
      <c r="M81" s="7">
        <v>1.2</v>
      </c>
      <c r="N81" s="7">
        <v>0.5</v>
      </c>
      <c r="O81" s="7">
        <v>3</v>
      </c>
      <c r="P81" s="1" t="s">
        <v>704</v>
      </c>
    </row>
    <row r="82" spans="1:16" ht="33.4" x14ac:dyDescent="0.3">
      <c r="A82" s="6" t="str">
        <f>HYPERLINK("https://www.ti.com/product/TPS650362-Q1", "TPS650362-Q1")</f>
        <v>TPS650362-Q1</v>
      </c>
      <c r="B82" s="5" t="s">
        <v>705</v>
      </c>
      <c r="C82" s="6" t="str">
        <f>HYPERLINK("https://www.ti.com/lit/gpn/TPS650362-Q1", "PDF")</f>
        <v>PDF</v>
      </c>
      <c r="D82" s="5" t="s">
        <v>706</v>
      </c>
      <c r="E82" s="5" t="s">
        <v>707</v>
      </c>
      <c r="F82" s="5"/>
      <c r="G82" s="5" t="s">
        <v>708</v>
      </c>
      <c r="H82" s="1" t="s">
        <v>709</v>
      </c>
      <c r="I82" s="5" t="s">
        <v>710</v>
      </c>
      <c r="J82" s="7">
        <v>24</v>
      </c>
      <c r="K82" s="7">
        <v>12.25</v>
      </c>
      <c r="L82" s="5" t="s">
        <v>711</v>
      </c>
      <c r="M82" s="7">
        <v>1</v>
      </c>
      <c r="N82" s="7">
        <v>0.5</v>
      </c>
      <c r="O82" s="7">
        <v>1.587</v>
      </c>
      <c r="P82" s="1" t="s">
        <v>712</v>
      </c>
    </row>
    <row r="83" spans="1:16" ht="33.4" x14ac:dyDescent="0.3">
      <c r="A83" s="6" t="str">
        <f>HYPERLINK("https://www.ti.com/product/TPS7A14C", "TPS7A14C")</f>
        <v>TPS7A14C</v>
      </c>
      <c r="B83" s="5" t="s">
        <v>713</v>
      </c>
      <c r="C83" s="6" t="str">
        <f>HYPERLINK("https://www.ti.com/lit/gpn/TPS7A14C", "PDF")</f>
        <v>PDF</v>
      </c>
      <c r="D83" s="5" t="s">
        <v>714</v>
      </c>
      <c r="E83" s="5" t="s">
        <v>715</v>
      </c>
      <c r="F83" s="5"/>
      <c r="G83" s="5" t="s">
        <v>716</v>
      </c>
      <c r="H83" s="1" t="s">
        <v>717</v>
      </c>
      <c r="I83" s="5" t="s">
        <v>718</v>
      </c>
      <c r="J83" s="7">
        <v>6</v>
      </c>
      <c r="K83" s="7">
        <v>0.8236</v>
      </c>
      <c r="L83" s="5" t="s">
        <v>719</v>
      </c>
      <c r="M83" s="7">
        <v>0.33</v>
      </c>
      <c r="N83" s="7">
        <v>0.4</v>
      </c>
      <c r="O83" s="7">
        <v>0.35</v>
      </c>
      <c r="P83" s="1" t="s">
        <v>720</v>
      </c>
    </row>
    <row r="84" spans="1:16" ht="33.4" x14ac:dyDescent="0.3">
      <c r="A84" s="6" t="str">
        <f>HYPERLINK("https://www.ti.com/product/TPS7H5020-SP", "TPS7H5020-SP")</f>
        <v>TPS7H5020-SP</v>
      </c>
      <c r="B84" s="5" t="s">
        <v>721</v>
      </c>
      <c r="C84" s="6" t="str">
        <f>HYPERLINK("https://www.ti.com/lit/gpn/TPS7H5020-SP", "PDF")</f>
        <v>PDF</v>
      </c>
      <c r="D84" s="5" t="s">
        <v>722</v>
      </c>
      <c r="E84" s="5" t="s">
        <v>723</v>
      </c>
      <c r="F84" s="5" t="s">
        <v>724</v>
      </c>
      <c r="G84" s="5" t="s">
        <v>725</v>
      </c>
      <c r="H84" s="1" t="s">
        <v>726</v>
      </c>
      <c r="I84" s="5" t="s">
        <v>727</v>
      </c>
      <c r="J84" s="7">
        <v>24</v>
      </c>
      <c r="K84" s="7">
        <v>49.92</v>
      </c>
      <c r="L84" s="5" t="s">
        <v>728</v>
      </c>
      <c r="M84" s="7">
        <v>1.2</v>
      </c>
      <c r="N84" s="7">
        <v>0.65</v>
      </c>
      <c r="O84" s="7">
        <v>1936.35</v>
      </c>
      <c r="P84" s="1" t="s">
        <v>729</v>
      </c>
    </row>
    <row r="85" spans="1:16" ht="33.4" x14ac:dyDescent="0.3">
      <c r="A85" s="6" t="str">
        <f>HYPERLINK("https://www.ti.com/product/UCG28828", "UCG28828")</f>
        <v>UCG28828</v>
      </c>
      <c r="B85" s="5" t="s">
        <v>730</v>
      </c>
      <c r="C85" s="6" t="str">
        <f>HYPERLINK("https://www.ti.com/lit/gpn/UCG28828", "PDF")</f>
        <v>PDF</v>
      </c>
      <c r="D85" s="5" t="s">
        <v>731</v>
      </c>
      <c r="E85" s="5" t="s">
        <v>732</v>
      </c>
      <c r="F85" s="5" t="s">
        <v>733</v>
      </c>
      <c r="G85" s="5" t="s">
        <v>734</v>
      </c>
      <c r="H85" s="1" t="s">
        <v>735</v>
      </c>
      <c r="I85" s="5" t="s">
        <v>736</v>
      </c>
      <c r="J85" s="7">
        <v>12</v>
      </c>
      <c r="K85" s="7">
        <v>25</v>
      </c>
      <c r="L85" s="5" t="s">
        <v>737</v>
      </c>
      <c r="M85" s="7">
        <v>1</v>
      </c>
      <c r="N85" s="7">
        <v>0.5</v>
      </c>
      <c r="O85" s="7">
        <v>2.1</v>
      </c>
      <c r="P85" s="1" t="s">
        <v>738</v>
      </c>
    </row>
    <row r="86" spans="1:16" ht="33.4" x14ac:dyDescent="0.3">
      <c r="A86" s="6" t="str">
        <f>HYPERLINK("https://www.ti.com/product/TPS546C25", "TPS546C25")</f>
        <v>TPS546C25</v>
      </c>
      <c r="B86" s="5" t="s">
        <v>739</v>
      </c>
      <c r="C86" s="6" t="str">
        <f>HYPERLINK("https://www.ti.com/lit/gpn/TPS546C25", "PDF")</f>
        <v>PDF</v>
      </c>
      <c r="D86" s="5" t="s">
        <v>740</v>
      </c>
      <c r="E86" s="5" t="s">
        <v>741</v>
      </c>
      <c r="F86" s="5" t="s">
        <v>742</v>
      </c>
      <c r="G86" s="5" t="s">
        <v>743</v>
      </c>
      <c r="H86" s="1" t="s">
        <v>744</v>
      </c>
      <c r="I86" s="5" t="s">
        <v>745</v>
      </c>
      <c r="J86" s="7">
        <v>33</v>
      </c>
      <c r="K86" s="7">
        <v>20</v>
      </c>
      <c r="L86" s="5" t="s">
        <v>746</v>
      </c>
      <c r="M86" s="7">
        <v>0.7</v>
      </c>
      <c r="N86" s="7">
        <v>0.5</v>
      </c>
      <c r="O86" s="7">
        <v>3.22</v>
      </c>
      <c r="P86" s="1" t="s">
        <v>747</v>
      </c>
    </row>
    <row r="87" spans="1:16" ht="17.05" x14ac:dyDescent="0.3">
      <c r="A87" s="6" t="str">
        <f>HYPERLINK("https://www.ti.com/product/UCC27734", "UCC27734")</f>
        <v>UCC27734</v>
      </c>
      <c r="B87" s="5" t="s">
        <v>748</v>
      </c>
      <c r="C87" s="6" t="str">
        <f>HYPERLINK("https://www.ti.com/lit/gpn/UCC27734", "PDF")</f>
        <v>PDF</v>
      </c>
      <c r="D87" s="5" t="s">
        <v>749</v>
      </c>
      <c r="E87" s="5" t="s">
        <v>750</v>
      </c>
      <c r="F87" s="5"/>
      <c r="G87" s="5" t="s">
        <v>751</v>
      </c>
      <c r="H87" s="1" t="s">
        <v>752</v>
      </c>
      <c r="I87" s="5" t="s">
        <v>753</v>
      </c>
      <c r="J87" s="7">
        <v>8</v>
      </c>
      <c r="K87" s="7">
        <v>29.4</v>
      </c>
      <c r="L87" s="5" t="s">
        <v>754</v>
      </c>
      <c r="M87" s="7">
        <v>1.75</v>
      </c>
      <c r="N87" s="7">
        <v>1.27</v>
      </c>
      <c r="O87" s="7">
        <v>0.48</v>
      </c>
      <c r="P87" s="1" t="s">
        <v>755</v>
      </c>
    </row>
    <row r="88" spans="1:16" ht="33.4" x14ac:dyDescent="0.3">
      <c r="A88" s="6" t="str">
        <f>HYPERLINK("https://www.ti.com/product/UCC27734-Q1", "UCC27734-Q1")</f>
        <v>UCC27734-Q1</v>
      </c>
      <c r="B88" s="5" t="s">
        <v>756</v>
      </c>
      <c r="C88" s="6" t="str">
        <f>HYPERLINK("https://www.ti.com/lit/gpn/UCC27734-Q1", "PDF")</f>
        <v>PDF</v>
      </c>
      <c r="D88" s="5" t="s">
        <v>757</v>
      </c>
      <c r="E88" s="5" t="s">
        <v>758</v>
      </c>
      <c r="F88" s="5"/>
      <c r="G88" s="5" t="s">
        <v>759</v>
      </c>
      <c r="H88" s="1" t="s">
        <v>760</v>
      </c>
      <c r="I88" s="5" t="s">
        <v>761</v>
      </c>
      <c r="J88" s="7">
        <v>8</v>
      </c>
      <c r="K88" s="7">
        <v>29.4</v>
      </c>
      <c r="L88" s="5" t="s">
        <v>762</v>
      </c>
      <c r="M88" s="7">
        <v>1.75</v>
      </c>
      <c r="N88" s="7">
        <v>1.27</v>
      </c>
      <c r="O88" s="7">
        <v>0.56599999999999995</v>
      </c>
      <c r="P88" s="1" t="s">
        <v>763</v>
      </c>
    </row>
    <row r="89" spans="1:16" ht="17.05" x14ac:dyDescent="0.3">
      <c r="A89" s="6" t="str">
        <f>HYPERLINK("https://www.ti.com/product/UCC27735", "UCC27735")</f>
        <v>UCC27735</v>
      </c>
      <c r="B89" s="5" t="s">
        <v>764</v>
      </c>
      <c r="C89" s="6" t="str">
        <f>HYPERLINK("https://www.ti.com/lit/gpn/UCC27735", "PDF")</f>
        <v>PDF</v>
      </c>
      <c r="D89" s="5" t="s">
        <v>765</v>
      </c>
      <c r="E89" s="5" t="s">
        <v>766</v>
      </c>
      <c r="F89" s="5"/>
      <c r="G89" s="5" t="s">
        <v>767</v>
      </c>
      <c r="H89" s="1" t="s">
        <v>768</v>
      </c>
      <c r="I89" s="5" t="s">
        <v>769</v>
      </c>
      <c r="J89" s="7">
        <v>14</v>
      </c>
      <c r="K89" s="7">
        <v>51.9</v>
      </c>
      <c r="L89" s="5" t="s">
        <v>770</v>
      </c>
      <c r="M89" s="7">
        <v>1.75</v>
      </c>
      <c r="N89" s="7">
        <v>1.27</v>
      </c>
      <c r="O89" s="7">
        <v>0.48</v>
      </c>
      <c r="P89" s="1" t="s">
        <v>771</v>
      </c>
    </row>
    <row r="90" spans="1:16" ht="17.05" x14ac:dyDescent="0.3">
      <c r="A90" s="6" t="str">
        <f>HYPERLINK("https://www.ti.com/product/UCC27834", "UCC27834")</f>
        <v>UCC27834</v>
      </c>
      <c r="B90" s="5" t="s">
        <v>772</v>
      </c>
      <c r="C90" s="6" t="str">
        <f>HYPERLINK("https://www.ti.com/lit/gpn/UCC27834", "PDF")</f>
        <v>PDF</v>
      </c>
      <c r="D90" s="5" t="s">
        <v>773</v>
      </c>
      <c r="E90" s="5" t="s">
        <v>774</v>
      </c>
      <c r="F90" s="5"/>
      <c r="G90" s="5" t="s">
        <v>775</v>
      </c>
      <c r="H90" s="1" t="s">
        <v>776</v>
      </c>
      <c r="I90" s="5" t="s">
        <v>777</v>
      </c>
      <c r="J90" s="7">
        <v>8</v>
      </c>
      <c r="K90" s="7">
        <v>29.4</v>
      </c>
      <c r="L90" s="5" t="s">
        <v>778</v>
      </c>
      <c r="M90" s="7">
        <v>1.75</v>
      </c>
      <c r="N90" s="7">
        <v>1.27</v>
      </c>
      <c r="O90" s="7">
        <v>0.51</v>
      </c>
      <c r="P90" s="1" t="s">
        <v>779</v>
      </c>
    </row>
    <row r="91" spans="1:16" ht="33.4" x14ac:dyDescent="0.3">
      <c r="A91" s="6" t="str">
        <f>HYPERLINK("https://www.ti.com/product/UCC27834-Q1", "UCC27834-Q1")</f>
        <v>UCC27834-Q1</v>
      </c>
      <c r="B91" s="5" t="s">
        <v>780</v>
      </c>
      <c r="C91" s="6" t="str">
        <f>HYPERLINK("https://www.ti.com/lit/gpn/UCC27834-Q1", "PDF")</f>
        <v>PDF</v>
      </c>
      <c r="D91" s="5" t="s">
        <v>781</v>
      </c>
      <c r="E91" s="5" t="s">
        <v>782</v>
      </c>
      <c r="F91" s="5"/>
      <c r="G91" s="5" t="s">
        <v>783</v>
      </c>
      <c r="H91" s="1" t="s">
        <v>784</v>
      </c>
      <c r="I91" s="5" t="s">
        <v>785</v>
      </c>
      <c r="J91" s="7">
        <v>8</v>
      </c>
      <c r="K91" s="7">
        <v>29.4</v>
      </c>
      <c r="L91" s="5" t="s">
        <v>786</v>
      </c>
      <c r="M91" s="7">
        <v>1.75</v>
      </c>
      <c r="N91" s="7">
        <v>1.27</v>
      </c>
      <c r="O91" s="7">
        <v>0.60199999999999998</v>
      </c>
      <c r="P91" s="1" t="s">
        <v>787</v>
      </c>
    </row>
    <row r="92" spans="1:16" ht="33.4" x14ac:dyDescent="0.3">
      <c r="A92" s="6" t="str">
        <f>HYPERLINK("https://www.ti.com/product/TPS37100", "TPS37100")</f>
        <v>TPS37100</v>
      </c>
      <c r="B92" s="5" t="s">
        <v>788</v>
      </c>
      <c r="C92" s="6" t="str">
        <f>HYPERLINK("https://www.ti.com/lit/gpn/TPS37100", "PDF")</f>
        <v>PDF</v>
      </c>
      <c r="D92" s="5" t="s">
        <v>789</v>
      </c>
      <c r="E92" s="5" t="s">
        <v>790</v>
      </c>
      <c r="F92" s="5"/>
      <c r="G92" s="5" t="s">
        <v>791</v>
      </c>
      <c r="H92" s="1" t="s">
        <v>792</v>
      </c>
      <c r="I92" s="5" t="s">
        <v>793</v>
      </c>
      <c r="J92" s="7">
        <v>14</v>
      </c>
      <c r="K92" s="7">
        <v>13.692</v>
      </c>
      <c r="L92" s="5" t="s">
        <v>794</v>
      </c>
      <c r="M92" s="7">
        <v>1.1000000000000001</v>
      </c>
      <c r="N92" s="7">
        <v>0.5</v>
      </c>
      <c r="O92" s="7">
        <v>0.97699999999999998</v>
      </c>
      <c r="P92" s="1" t="s">
        <v>795</v>
      </c>
    </row>
    <row r="93" spans="1:16" ht="33.4" x14ac:dyDescent="0.3">
      <c r="A93" s="6" t="str">
        <f>HYPERLINK("https://www.ti.com/product/TPS37100-Q1", "TPS37100-Q1")</f>
        <v>TPS37100-Q1</v>
      </c>
      <c r="B93" s="5" t="s">
        <v>796</v>
      </c>
      <c r="C93" s="6" t="str">
        <f>HYPERLINK("https://www.ti.com/lit/gpn/TPS37100-Q1", "PDF")</f>
        <v>PDF</v>
      </c>
      <c r="D93" s="5" t="s">
        <v>797</v>
      </c>
      <c r="E93" s="5" t="s">
        <v>798</v>
      </c>
      <c r="F93" s="5"/>
      <c r="G93" s="5" t="s">
        <v>799</v>
      </c>
      <c r="H93" s="1" t="s">
        <v>800</v>
      </c>
      <c r="I93" s="5" t="s">
        <v>801</v>
      </c>
      <c r="J93" s="7">
        <v>14</v>
      </c>
      <c r="K93" s="7">
        <v>13.692</v>
      </c>
      <c r="L93" s="5" t="s">
        <v>802</v>
      </c>
      <c r="M93" s="7">
        <v>1.1000000000000001</v>
      </c>
      <c r="N93" s="7">
        <v>0.5</v>
      </c>
      <c r="O93" s="7">
        <v>1.1499999999999999</v>
      </c>
      <c r="P93" s="1" t="s">
        <v>803</v>
      </c>
    </row>
    <row r="94" spans="1:16" ht="33.4" x14ac:dyDescent="0.3">
      <c r="A94" s="6" t="str">
        <f>HYPERLINK("https://www.ti.com/product/TPS628522-Q1", "TPS628522-Q1")</f>
        <v>TPS628522-Q1</v>
      </c>
      <c r="B94" s="5" t="s">
        <v>804</v>
      </c>
      <c r="C94" s="6" t="str">
        <f>HYPERLINK("https://www.ti.com/lit/gpn/TPS628522-Q1", "PDF")</f>
        <v>PDF</v>
      </c>
      <c r="D94" s="5" t="s">
        <v>805</v>
      </c>
      <c r="E94" s="5" t="s">
        <v>806</v>
      </c>
      <c r="F94" s="5" t="s">
        <v>807</v>
      </c>
      <c r="G94" s="5" t="s">
        <v>808</v>
      </c>
      <c r="H94" s="1" t="s">
        <v>809</v>
      </c>
      <c r="I94" s="5" t="s">
        <v>810</v>
      </c>
      <c r="J94" s="7">
        <v>8</v>
      </c>
      <c r="K94" s="7">
        <v>3</v>
      </c>
      <c r="L94" s="5" t="s">
        <v>811</v>
      </c>
      <c r="M94" s="7">
        <v>0.8</v>
      </c>
      <c r="N94" s="7">
        <v>0.5</v>
      </c>
      <c r="O94" s="7">
        <v>0.57799999999999996</v>
      </c>
      <c r="P94" s="1" t="s">
        <v>812</v>
      </c>
    </row>
    <row r="95" spans="1:16" ht="33.4" x14ac:dyDescent="0.3">
      <c r="A95" s="6" t="str">
        <f>HYPERLINK("https://www.ti.com/product/LM51770-Q1", "LM51770-Q1")</f>
        <v>LM51770-Q1</v>
      </c>
      <c r="B95" s="5" t="s">
        <v>813</v>
      </c>
      <c r="C95" s="6" t="str">
        <f>HYPERLINK("https://www.ti.com/lit/gpn/LM51770-Q1", "PDF")</f>
        <v>PDF</v>
      </c>
      <c r="D95" s="5" t="s">
        <v>814</v>
      </c>
      <c r="E95" s="5" t="s">
        <v>815</v>
      </c>
      <c r="F95" s="5" t="s">
        <v>816</v>
      </c>
      <c r="G95" s="5" t="s">
        <v>817</v>
      </c>
      <c r="H95" s="1" t="s">
        <v>818</v>
      </c>
      <c r="I95" s="5" t="s">
        <v>819</v>
      </c>
      <c r="J95" s="7">
        <v>38</v>
      </c>
      <c r="K95" s="7">
        <v>62.08</v>
      </c>
      <c r="L95" s="5" t="s">
        <v>820</v>
      </c>
      <c r="M95" s="7">
        <v>1.2</v>
      </c>
      <c r="N95" s="7">
        <v>0.5</v>
      </c>
      <c r="O95" s="7">
        <v>3.597</v>
      </c>
      <c r="P95" s="1" t="s">
        <v>821</v>
      </c>
    </row>
    <row r="96" spans="1:16" ht="33.4" x14ac:dyDescent="0.3">
      <c r="A96" s="6" t="str">
        <f>HYPERLINK("https://www.ti.com/product/TPS65215-Q1", "TPS65215-Q1")</f>
        <v>TPS65215-Q1</v>
      </c>
      <c r="B96" s="5" t="s">
        <v>822</v>
      </c>
      <c r="C96" s="6" t="str">
        <f>HYPERLINK("https://www.ti.com/lit/gpn/TPS65215-Q1", "PDF")</f>
        <v>PDF</v>
      </c>
      <c r="D96" s="5" t="s">
        <v>823</v>
      </c>
      <c r="E96" s="5" t="s">
        <v>824</v>
      </c>
      <c r="F96" s="5"/>
      <c r="G96" s="5" t="s">
        <v>825</v>
      </c>
      <c r="H96" s="1" t="s">
        <v>826</v>
      </c>
      <c r="I96" s="5" t="s">
        <v>827</v>
      </c>
      <c r="J96" s="7">
        <v>32</v>
      </c>
      <c r="K96" s="7">
        <v>25</v>
      </c>
      <c r="L96" s="5" t="s">
        <v>828</v>
      </c>
      <c r="M96" s="7">
        <v>1</v>
      </c>
      <c r="N96" s="7">
        <v>0.5</v>
      </c>
      <c r="O96" s="7">
        <v>1.7</v>
      </c>
      <c r="P96" s="1" t="s">
        <v>829</v>
      </c>
    </row>
    <row r="97" spans="1:16" ht="33.4" x14ac:dyDescent="0.3">
      <c r="A97" s="6" t="str">
        <f>HYPERLINK("https://www.ti.com/product/TPS6521505-Q1", "TPS6521505-Q1")</f>
        <v>TPS6521505-Q1</v>
      </c>
      <c r="B97" s="5" t="s">
        <v>830</v>
      </c>
      <c r="C97" s="6" t="str">
        <f>HYPERLINK("https://www.ti.com/lit/gpn/TPS6521505-Q1", "PDF")</f>
        <v>PDF</v>
      </c>
      <c r="D97" s="5" t="s">
        <v>831</v>
      </c>
      <c r="E97" s="5" t="s">
        <v>832</v>
      </c>
      <c r="F97" s="5"/>
      <c r="G97" s="5" t="s">
        <v>833</v>
      </c>
      <c r="H97" s="1" t="s">
        <v>834</v>
      </c>
      <c r="I97" s="5" t="s">
        <v>835</v>
      </c>
      <c r="J97" s="7">
        <v>32</v>
      </c>
      <c r="K97" s="7">
        <v>25</v>
      </c>
      <c r="L97" s="5" t="s">
        <v>836</v>
      </c>
      <c r="M97" s="7">
        <v>1</v>
      </c>
      <c r="N97" s="7">
        <v>0.5</v>
      </c>
      <c r="O97" s="7">
        <v>1.7</v>
      </c>
      <c r="P97" s="1" t="s">
        <v>837</v>
      </c>
    </row>
    <row r="98" spans="1:16" ht="33.4" x14ac:dyDescent="0.3">
      <c r="A98" s="6" t="str">
        <f>HYPERLINK("https://www.ti.com/product/UCC27735-Q1", "UCC27735-Q1")</f>
        <v>UCC27735-Q1</v>
      </c>
      <c r="B98" s="5" t="s">
        <v>838</v>
      </c>
      <c r="C98" s="6" t="str">
        <f>HYPERLINK("https://www.ti.com/lit/gpn/UCC27735-Q1", "PDF")</f>
        <v>PDF</v>
      </c>
      <c r="D98" s="5" t="s">
        <v>839</v>
      </c>
      <c r="E98" s="5" t="s">
        <v>840</v>
      </c>
      <c r="F98" s="5"/>
      <c r="G98" s="5" t="s">
        <v>841</v>
      </c>
      <c r="H98" s="1" t="s">
        <v>842</v>
      </c>
      <c r="I98" s="5" t="s">
        <v>843</v>
      </c>
      <c r="J98" s="7">
        <v>14</v>
      </c>
      <c r="K98" s="7">
        <v>51.9</v>
      </c>
      <c r="L98" s="5" t="s">
        <v>844</v>
      </c>
      <c r="M98" s="7">
        <v>1.75</v>
      </c>
      <c r="N98" s="7">
        <v>1.27</v>
      </c>
      <c r="O98" s="7">
        <v>0.56599999999999995</v>
      </c>
      <c r="P98" s="1" t="s">
        <v>845</v>
      </c>
    </row>
    <row r="99" spans="1:16" ht="33.4" x14ac:dyDescent="0.3">
      <c r="A99" s="6" t="str">
        <f>HYPERLINK("https://www.ti.com/product/TPSM33610-Q1", "TPSM33610-Q1")</f>
        <v>TPSM33610-Q1</v>
      </c>
      <c r="B99" s="5" t="s">
        <v>846</v>
      </c>
      <c r="C99" s="6" t="str">
        <f>HYPERLINK("https://www.ti.com/lit/gpn/TPSM33610-Q1", "PDF")</f>
        <v>PDF</v>
      </c>
      <c r="D99" s="5" t="s">
        <v>847</v>
      </c>
      <c r="E99" s="5" t="s">
        <v>848</v>
      </c>
      <c r="F99" s="5" t="s">
        <v>849</v>
      </c>
      <c r="G99" s="5" t="s">
        <v>850</v>
      </c>
      <c r="H99" s="1" t="s">
        <v>851</v>
      </c>
      <c r="I99" s="5" t="s">
        <v>852</v>
      </c>
      <c r="J99" s="7">
        <v>11</v>
      </c>
      <c r="K99" s="7">
        <v>15.75</v>
      </c>
      <c r="L99" s="5" t="s">
        <v>853</v>
      </c>
      <c r="M99" s="7">
        <v>2.1</v>
      </c>
      <c r="N99" s="7">
        <v>0.5</v>
      </c>
      <c r="O99" s="7">
        <v>1.1000000000000001</v>
      </c>
      <c r="P99" s="1" t="s">
        <v>854</v>
      </c>
    </row>
    <row r="100" spans="1:16" ht="33.4" x14ac:dyDescent="0.3">
      <c r="A100" s="6" t="str">
        <f>HYPERLINK("https://www.ti.com/product/LM5168E", "LM5168E")</f>
        <v>LM5168E</v>
      </c>
      <c r="B100" s="5" t="s">
        <v>855</v>
      </c>
      <c r="C100" s="6" t="str">
        <f>HYPERLINK("https://www.ti.com/lit/gpn/LM5168E", "PDF")</f>
        <v>PDF</v>
      </c>
      <c r="D100" s="5" t="s">
        <v>856</v>
      </c>
      <c r="E100" s="5" t="s">
        <v>857</v>
      </c>
      <c r="F100" s="5" t="s">
        <v>858</v>
      </c>
      <c r="G100" s="5" t="s">
        <v>859</v>
      </c>
      <c r="H100" s="1" t="s">
        <v>860</v>
      </c>
      <c r="I100" s="5" t="s">
        <v>861</v>
      </c>
      <c r="J100" s="7">
        <v>8</v>
      </c>
      <c r="K100" s="7">
        <v>29.4</v>
      </c>
      <c r="L100" s="5" t="s">
        <v>862</v>
      </c>
      <c r="M100" s="7">
        <v>1.7</v>
      </c>
      <c r="N100" s="7">
        <v>1.27</v>
      </c>
      <c r="O100" s="7">
        <v>3.31</v>
      </c>
      <c r="P100" s="1" t="s">
        <v>863</v>
      </c>
    </row>
    <row r="101" spans="1:16" ht="33.4" x14ac:dyDescent="0.3">
      <c r="A101" s="6" t="str">
        <f>HYPERLINK("https://www.ti.com/product/LM517701", "LM517701")</f>
        <v>LM517701</v>
      </c>
      <c r="B101" s="5" t="s">
        <v>864</v>
      </c>
      <c r="C101" s="6" t="str">
        <f>HYPERLINK("https://www.ti.com/lit/gpn/LM517701", "PDF")</f>
        <v>PDF</v>
      </c>
      <c r="D101" s="5" t="s">
        <v>865</v>
      </c>
      <c r="E101" s="5" t="s">
        <v>866</v>
      </c>
      <c r="F101" s="5" t="s">
        <v>867</v>
      </c>
      <c r="G101" s="5"/>
      <c r="H101" s="1" t="s">
        <v>868</v>
      </c>
      <c r="I101" s="5" t="s">
        <v>869</v>
      </c>
      <c r="J101" s="7"/>
      <c r="K101" s="7"/>
      <c r="L101" s="5"/>
      <c r="M101" s="7"/>
      <c r="N101" s="7"/>
      <c r="O101" s="7">
        <v>3.048</v>
      </c>
      <c r="P101" s="1" t="s">
        <v>870</v>
      </c>
    </row>
    <row r="102" spans="1:16" ht="33.4" x14ac:dyDescent="0.3">
      <c r="A102" s="6" t="str">
        <f>HYPERLINK("https://www.ti.com/product/LP5814I", "LP5814I")</f>
        <v>LP5814I</v>
      </c>
      <c r="B102" s="5" t="s">
        <v>871</v>
      </c>
      <c r="C102" s="6" t="str">
        <f>HYPERLINK("https://www.ti.com/lit/gpn/LP5814I", "PDF")</f>
        <v>PDF</v>
      </c>
      <c r="D102" s="5" t="s">
        <v>872</v>
      </c>
      <c r="E102" s="5" t="s">
        <v>873</v>
      </c>
      <c r="F102" s="5" t="s">
        <v>874</v>
      </c>
      <c r="G102" s="5" t="s">
        <v>875</v>
      </c>
      <c r="H102" s="1" t="s">
        <v>876</v>
      </c>
      <c r="I102" s="5" t="s">
        <v>877</v>
      </c>
      <c r="J102" s="7">
        <v>8</v>
      </c>
      <c r="K102" s="7">
        <v>0.98</v>
      </c>
      <c r="L102" s="5" t="s">
        <v>878</v>
      </c>
      <c r="M102" s="7">
        <v>0.4</v>
      </c>
      <c r="N102" s="7">
        <v>0.35</v>
      </c>
      <c r="O102" s="7">
        <v>0.15</v>
      </c>
      <c r="P102" s="1" t="s">
        <v>879</v>
      </c>
    </row>
    <row r="103" spans="1:16" ht="33.4" x14ac:dyDescent="0.3">
      <c r="A103" s="6" t="str">
        <f>HYPERLINK("https://www.ti.com/product/REF81", "REF81")</f>
        <v>REF81</v>
      </c>
      <c r="B103" s="5" t="s">
        <v>880</v>
      </c>
      <c r="C103" s="6" t="str">
        <f>HYPERLINK("https://www.ti.com/lit/gpn/REF81", "PDF")</f>
        <v>PDF</v>
      </c>
      <c r="D103" s="5" t="s">
        <v>881</v>
      </c>
      <c r="E103" s="5" t="s">
        <v>882</v>
      </c>
      <c r="F103" s="5"/>
      <c r="G103" s="5" t="s">
        <v>883</v>
      </c>
      <c r="H103" s="1" t="s">
        <v>884</v>
      </c>
      <c r="I103" s="5" t="s">
        <v>885</v>
      </c>
      <c r="J103" s="7">
        <v>20</v>
      </c>
      <c r="K103" s="7">
        <v>79.0321</v>
      </c>
      <c r="L103" s="5" t="s">
        <v>886</v>
      </c>
      <c r="M103" s="7">
        <v>1.91</v>
      </c>
      <c r="N103" s="7">
        <v>1.27</v>
      </c>
      <c r="O103" s="7">
        <v>84.86</v>
      </c>
      <c r="P103" s="1" t="s">
        <v>887</v>
      </c>
    </row>
    <row r="104" spans="1:16" ht="33.4" x14ac:dyDescent="0.3">
      <c r="A104" s="6" t="str">
        <f>HYPERLINK("https://www.ti.com/product/TPS53688A", "TPS53688A")</f>
        <v>TPS53688A</v>
      </c>
      <c r="B104" s="5" t="s">
        <v>888</v>
      </c>
      <c r="C104" s="6" t="str">
        <f>HYPERLINK("https://www.ti.com/lit/gpn/TPS53688A", "PDF")</f>
        <v>PDF</v>
      </c>
      <c r="D104" s="5" t="s">
        <v>889</v>
      </c>
      <c r="E104" s="5" t="s">
        <v>890</v>
      </c>
      <c r="F104" s="5"/>
      <c r="G104" s="5" t="s">
        <v>891</v>
      </c>
      <c r="H104" s="1" t="s">
        <v>892</v>
      </c>
      <c r="I104" s="5" t="s">
        <v>893</v>
      </c>
      <c r="J104" s="7">
        <v>40</v>
      </c>
      <c r="K104" s="7">
        <v>25</v>
      </c>
      <c r="L104" s="5" t="s">
        <v>894</v>
      </c>
      <c r="M104" s="7">
        <v>0.8</v>
      </c>
      <c r="N104" s="7">
        <v>0.4</v>
      </c>
      <c r="O104" s="7">
        <v>2.4</v>
      </c>
      <c r="P104" s="1" t="s">
        <v>895</v>
      </c>
    </row>
    <row r="105" spans="1:16" ht="33.4" x14ac:dyDescent="0.3">
      <c r="A105" s="6" t="str">
        <f>HYPERLINK("https://www.ti.com/product/LM5137-Q1", "LM5137-Q1")</f>
        <v>LM5137-Q1</v>
      </c>
      <c r="B105" s="5" t="s">
        <v>896</v>
      </c>
      <c r="C105" s="6" t="str">
        <f>HYPERLINK("https://www.ti.com/lit/gpn/LM5137-Q1", "PDF")</f>
        <v>PDF</v>
      </c>
      <c r="D105" s="5" t="s">
        <v>897</v>
      </c>
      <c r="E105" s="5" t="s">
        <v>898</v>
      </c>
      <c r="F105" s="5" t="s">
        <v>899</v>
      </c>
      <c r="G105" s="5" t="s">
        <v>900</v>
      </c>
      <c r="H105" s="1" t="s">
        <v>901</v>
      </c>
      <c r="I105" s="5" t="s">
        <v>902</v>
      </c>
      <c r="J105" s="7">
        <v>36</v>
      </c>
      <c r="K105" s="7">
        <v>36</v>
      </c>
      <c r="L105" s="5" t="s">
        <v>903</v>
      </c>
      <c r="M105" s="7">
        <v>1</v>
      </c>
      <c r="N105" s="7">
        <v>0.5</v>
      </c>
      <c r="O105" s="7">
        <v>2.1320000000000001</v>
      </c>
      <c r="P105" s="1" t="s">
        <v>904</v>
      </c>
    </row>
    <row r="106" spans="1:16" ht="33.4" x14ac:dyDescent="0.3">
      <c r="A106" s="6" t="str">
        <f>HYPERLINK("https://www.ti.com/product/TPS543B25E", "TPS543B25E")</f>
        <v>TPS543B25E</v>
      </c>
      <c r="B106" s="5" t="s">
        <v>905</v>
      </c>
      <c r="C106" s="6" t="str">
        <f>HYPERLINK("https://www.ti.com/lit/gpn/TPS543B25E", "PDF")</f>
        <v>PDF</v>
      </c>
      <c r="D106" s="5" t="s">
        <v>906</v>
      </c>
      <c r="E106" s="5" t="s">
        <v>907</v>
      </c>
      <c r="F106" s="5" t="s">
        <v>908</v>
      </c>
      <c r="G106" s="5" t="s">
        <v>909</v>
      </c>
      <c r="H106" s="1" t="s">
        <v>910</v>
      </c>
      <c r="I106" s="5" t="s">
        <v>911</v>
      </c>
      <c r="J106" s="7">
        <v>17</v>
      </c>
      <c r="K106" s="7">
        <v>11.25</v>
      </c>
      <c r="L106" s="5" t="s">
        <v>912</v>
      </c>
      <c r="M106" s="7">
        <v>0.7</v>
      </c>
      <c r="N106" s="7">
        <v>0.5</v>
      </c>
      <c r="O106" s="7">
        <v>9</v>
      </c>
      <c r="P106" s="1" t="s">
        <v>913</v>
      </c>
    </row>
    <row r="107" spans="1:16" ht="33.4" x14ac:dyDescent="0.3">
      <c r="A107" s="6" t="str">
        <f>HYPERLINK("https://www.ti.com/product/TPS7H3024-SP", "TPS7H3024-SP")</f>
        <v>TPS7H3024-SP</v>
      </c>
      <c r="B107" s="5" t="s">
        <v>914</v>
      </c>
      <c r="C107" s="6" t="str">
        <f>HYPERLINK("https://www.ti.com/lit/gpn/TPS7H3024-SP", "PDF")</f>
        <v>PDF</v>
      </c>
      <c r="D107" s="5" t="s">
        <v>915</v>
      </c>
      <c r="E107" s="5" t="s">
        <v>916</v>
      </c>
      <c r="F107" s="5"/>
      <c r="G107" s="5" t="s">
        <v>917</v>
      </c>
      <c r="H107" s="1" t="s">
        <v>918</v>
      </c>
      <c r="I107" s="5" t="s">
        <v>919</v>
      </c>
      <c r="J107" s="7">
        <v>22</v>
      </c>
      <c r="K107" s="7">
        <v>60.221856000000002</v>
      </c>
      <c r="L107" s="5" t="s">
        <v>920</v>
      </c>
      <c r="M107" s="7">
        <v>2.4279999999999999</v>
      </c>
      <c r="N107" s="7">
        <v>0.63500000000000001</v>
      </c>
      <c r="O107" s="7">
        <v>1386.32</v>
      </c>
      <c r="P107" s="1" t="s">
        <v>921</v>
      </c>
    </row>
    <row r="108" spans="1:16" ht="17.05" x14ac:dyDescent="0.3">
      <c r="A108" s="6" t="str">
        <f>HYPERLINK("https://www.ti.com/product/TPSM81299", "TPSM81299")</f>
        <v>TPSM81299</v>
      </c>
      <c r="B108" s="5" t="s">
        <v>922</v>
      </c>
      <c r="C108" s="6" t="str">
        <f>HYPERLINK("https://www.ti.com/lit/gpn/TPSM81299", "PDF")</f>
        <v>PDF</v>
      </c>
      <c r="D108" s="5" t="s">
        <v>923</v>
      </c>
      <c r="E108" s="5" t="s">
        <v>924</v>
      </c>
      <c r="F108" s="5" t="s">
        <v>925</v>
      </c>
      <c r="G108" s="5" t="s">
        <v>926</v>
      </c>
      <c r="H108" s="1" t="s">
        <v>927</v>
      </c>
      <c r="I108" s="5" t="s">
        <v>928</v>
      </c>
      <c r="J108" s="7">
        <v>7</v>
      </c>
      <c r="K108" s="7">
        <v>8.1</v>
      </c>
      <c r="L108" s="5" t="s">
        <v>929</v>
      </c>
      <c r="M108" s="7">
        <v>1.32</v>
      </c>
      <c r="N108" s="7">
        <v>0.5</v>
      </c>
      <c r="O108" s="7">
        <v>1.5</v>
      </c>
      <c r="P108" s="1" t="s">
        <v>930</v>
      </c>
    </row>
    <row r="109" spans="1:16" ht="33.4" x14ac:dyDescent="0.3">
      <c r="A109" s="6" t="str">
        <f>HYPERLINK("https://www.ti.com/product/LM74910H-Q1", "LM74910H-Q1")</f>
        <v>LM74910H-Q1</v>
      </c>
      <c r="B109" s="5" t="s">
        <v>931</v>
      </c>
      <c r="C109" s="6" t="str">
        <f>HYPERLINK("https://www.ti.com/lit/gpn/LM74910H-Q1", "PDF")</f>
        <v>PDF</v>
      </c>
      <c r="D109" s="5" t="s">
        <v>932</v>
      </c>
      <c r="E109" s="5" t="s">
        <v>933</v>
      </c>
      <c r="F109" s="5"/>
      <c r="G109" s="5" t="s">
        <v>934</v>
      </c>
      <c r="H109" s="1" t="s">
        <v>935</v>
      </c>
      <c r="I109" s="5" t="s">
        <v>936</v>
      </c>
      <c r="J109" s="7">
        <v>24</v>
      </c>
      <c r="K109" s="7">
        <v>16</v>
      </c>
      <c r="L109" s="5" t="s">
        <v>937</v>
      </c>
      <c r="M109" s="7">
        <v>1</v>
      </c>
      <c r="N109" s="7">
        <v>0.5</v>
      </c>
      <c r="O109" s="7">
        <v>1.85</v>
      </c>
      <c r="P109" s="1" t="s">
        <v>938</v>
      </c>
    </row>
    <row r="110" spans="1:16" ht="33.4" x14ac:dyDescent="0.3">
      <c r="A110" s="6" t="str">
        <f>HYPERLINK("https://www.ti.com/product/TPS546B25", "TPS546B25")</f>
        <v>TPS546B25</v>
      </c>
      <c r="B110" s="5" t="s">
        <v>939</v>
      </c>
      <c r="C110" s="6" t="str">
        <f>HYPERLINK("https://www.ti.com/lit/gpn/TPS546B25", "PDF")</f>
        <v>PDF</v>
      </c>
      <c r="D110" s="5" t="s">
        <v>940</v>
      </c>
      <c r="E110" s="5" t="s">
        <v>941</v>
      </c>
      <c r="F110" s="5" t="s">
        <v>942</v>
      </c>
      <c r="G110" s="5" t="s">
        <v>943</v>
      </c>
      <c r="H110" s="1" t="s">
        <v>944</v>
      </c>
      <c r="I110" s="5" t="s">
        <v>945</v>
      </c>
      <c r="J110" s="7">
        <v>37</v>
      </c>
      <c r="K110" s="7">
        <v>30</v>
      </c>
      <c r="L110" s="5" t="s">
        <v>946</v>
      </c>
      <c r="M110" s="7">
        <v>0.7</v>
      </c>
      <c r="N110" s="7">
        <v>0.5</v>
      </c>
      <c r="O110" s="7">
        <v>2.99</v>
      </c>
      <c r="P110" s="1" t="s">
        <v>947</v>
      </c>
    </row>
    <row r="111" spans="1:16" ht="33.4" x14ac:dyDescent="0.3">
      <c r="A111" s="6" t="str">
        <f>HYPERLINK("https://www.ti.com/product/TPS546B25W", "TPS546B25W")</f>
        <v>TPS546B25W</v>
      </c>
      <c r="B111" s="5" t="s">
        <v>948</v>
      </c>
      <c r="C111" s="6" t="str">
        <f>HYPERLINK("https://www.ti.com/lit/gpn/TPS546B25W", "PDF")</f>
        <v>PDF</v>
      </c>
      <c r="D111" s="5" t="s">
        <v>949</v>
      </c>
      <c r="E111" s="5" t="s">
        <v>950</v>
      </c>
      <c r="F111" s="5" t="s">
        <v>951</v>
      </c>
      <c r="G111" s="5" t="s">
        <v>952</v>
      </c>
      <c r="H111" s="1" t="s">
        <v>953</v>
      </c>
      <c r="I111" s="5" t="s">
        <v>954</v>
      </c>
      <c r="J111" s="7">
        <v>37</v>
      </c>
      <c r="K111" s="7">
        <v>30</v>
      </c>
      <c r="L111" s="5" t="s">
        <v>955</v>
      </c>
      <c r="M111" s="7">
        <v>0.7</v>
      </c>
      <c r="N111" s="7">
        <v>0.5</v>
      </c>
      <c r="O111" s="7">
        <v>2.6</v>
      </c>
      <c r="P111" s="1" t="s">
        <v>956</v>
      </c>
    </row>
    <row r="112" spans="1:16" ht="33.4" x14ac:dyDescent="0.3">
      <c r="A112" s="6" t="str">
        <f>HYPERLINK("https://www.ti.com/product/TLC69639-Q1", "TLC69639-Q1")</f>
        <v>TLC69639-Q1</v>
      </c>
      <c r="B112" s="5" t="s">
        <v>957</v>
      </c>
      <c r="C112" s="6" t="str">
        <f>HYPERLINK("https://www.ti.com/lit/gpn/TLC69639-Q1", "PDF")</f>
        <v>PDF</v>
      </c>
      <c r="D112" s="5" t="s">
        <v>958</v>
      </c>
      <c r="E112" s="5" t="s">
        <v>959</v>
      </c>
      <c r="F112" s="5"/>
      <c r="G112" s="5" t="s">
        <v>960</v>
      </c>
      <c r="H112" s="1" t="s">
        <v>961</v>
      </c>
      <c r="I112" s="5" t="s">
        <v>962</v>
      </c>
      <c r="J112" s="7">
        <v>56</v>
      </c>
      <c r="K112" s="7" t="s">
        <v>963</v>
      </c>
      <c r="L112" s="5" t="s">
        <v>964</v>
      </c>
      <c r="M112" s="7" t="s">
        <v>965</v>
      </c>
      <c r="N112" s="7">
        <v>0.5</v>
      </c>
      <c r="O112" s="7">
        <v>2.9039999999999999</v>
      </c>
      <c r="P112" s="1" t="s">
        <v>966</v>
      </c>
    </row>
    <row r="113" spans="1:16" ht="33.4" x14ac:dyDescent="0.3">
      <c r="A113" s="6" t="str">
        <f>HYPERLINK("https://www.ti.com/product/REF30E", "REF30E")</f>
        <v>REF30E</v>
      </c>
      <c r="B113" s="5" t="s">
        <v>967</v>
      </c>
      <c r="C113" s="6" t="str">
        <f>HYPERLINK("https://www.ti.com/lit/gpn/REF30E", "PDF")</f>
        <v>PDF</v>
      </c>
      <c r="D113" s="5" t="s">
        <v>968</v>
      </c>
      <c r="E113" s="5" t="s">
        <v>969</v>
      </c>
      <c r="F113" s="5"/>
      <c r="G113" s="5" t="s">
        <v>970</v>
      </c>
      <c r="H113" s="1" t="s">
        <v>971</v>
      </c>
      <c r="I113" s="5" t="s">
        <v>972</v>
      </c>
      <c r="J113" s="7">
        <v>3</v>
      </c>
      <c r="K113" s="7">
        <v>6.9203999999999999</v>
      </c>
      <c r="L113" s="5" t="s">
        <v>973</v>
      </c>
      <c r="M113" s="7">
        <v>1.1200000000000001</v>
      </c>
      <c r="N113" s="7">
        <v>0.96</v>
      </c>
      <c r="O113" s="7">
        <v>0.39</v>
      </c>
      <c r="P113" s="1" t="s">
        <v>974</v>
      </c>
    </row>
    <row r="114" spans="1:16" ht="33.4" x14ac:dyDescent="0.3">
      <c r="A114" s="6" t="str">
        <f>HYPERLINK("https://www.ti.com/product/TPS543021", "TPS543021")</f>
        <v>TPS543021</v>
      </c>
      <c r="B114" s="5" t="s">
        <v>975</v>
      </c>
      <c r="C114" s="6" t="str">
        <f>HYPERLINK("https://www.ti.com/lit/gpn/TPS543021", "PDF")</f>
        <v>PDF</v>
      </c>
      <c r="D114" s="5" t="s">
        <v>976</v>
      </c>
      <c r="E114" s="5" t="s">
        <v>977</v>
      </c>
      <c r="F114" s="5" t="s">
        <v>978</v>
      </c>
      <c r="G114" s="5" t="s">
        <v>979</v>
      </c>
      <c r="H114" s="1" t="s">
        <v>980</v>
      </c>
      <c r="I114" s="5" t="s">
        <v>981</v>
      </c>
      <c r="J114" s="7">
        <v>6</v>
      </c>
      <c r="K114" s="7">
        <v>2.56</v>
      </c>
      <c r="L114" s="5" t="s">
        <v>982</v>
      </c>
      <c r="M114" s="7">
        <v>0.6</v>
      </c>
      <c r="N114" s="7">
        <v>0.5</v>
      </c>
      <c r="O114" s="7">
        <v>0.317</v>
      </c>
      <c r="P114" s="1" t="s">
        <v>983</v>
      </c>
    </row>
    <row r="115" spans="1:16" ht="17.05" x14ac:dyDescent="0.3">
      <c r="A115" s="6" t="str">
        <f>HYPERLINK("https://www.ti.com/product/TPS7H3014-SEP", "TPS7H3014-SEP")</f>
        <v>TPS7H3014-SEP</v>
      </c>
      <c r="B115" s="5" t="s">
        <v>984</v>
      </c>
      <c r="C115" s="6" t="str">
        <f>HYPERLINK("https://www.ti.com/lit/gpn/TPS7H3014-SEP", "PDF")</f>
        <v>PDF</v>
      </c>
      <c r="D115" s="5" t="s">
        <v>985</v>
      </c>
      <c r="E115" s="5" t="s">
        <v>986</v>
      </c>
      <c r="F115" s="5"/>
      <c r="G115" s="5" t="s">
        <v>987</v>
      </c>
      <c r="H115" s="1" t="s">
        <v>988</v>
      </c>
      <c r="I115" s="5" t="s">
        <v>989</v>
      </c>
      <c r="J115" s="7">
        <v>24</v>
      </c>
      <c r="K115" s="7">
        <v>49.92</v>
      </c>
      <c r="L115" s="5" t="s">
        <v>990</v>
      </c>
      <c r="M115" s="7">
        <v>1.2</v>
      </c>
      <c r="N115" s="7">
        <v>0.65</v>
      </c>
      <c r="O115" s="7">
        <v>462.2</v>
      </c>
      <c r="P115" s="1" t="s">
        <v>991</v>
      </c>
    </row>
    <row r="116" spans="1:16" ht="33.4" x14ac:dyDescent="0.3">
      <c r="A116" s="6" t="str">
        <f>HYPERLINK("https://www.ti.com/product/LM25139-Q1", "LM25139-Q1")</f>
        <v>LM25139-Q1</v>
      </c>
      <c r="B116" s="5" t="s">
        <v>992</v>
      </c>
      <c r="C116" s="6" t="str">
        <f>HYPERLINK("https://www.ti.com/lit/gpn/LM25139-Q1", "PDF")</f>
        <v>PDF</v>
      </c>
      <c r="D116" s="5" t="s">
        <v>993</v>
      </c>
      <c r="E116" s="5" t="s">
        <v>994</v>
      </c>
      <c r="F116" s="5" t="s">
        <v>995</v>
      </c>
      <c r="G116" s="5" t="s">
        <v>996</v>
      </c>
      <c r="H116" s="1" t="s">
        <v>997</v>
      </c>
      <c r="I116" s="5" t="s">
        <v>998</v>
      </c>
      <c r="J116" s="7">
        <v>16</v>
      </c>
      <c r="K116" s="7">
        <v>9</v>
      </c>
      <c r="L116" s="5" t="s">
        <v>999</v>
      </c>
      <c r="M116" s="7">
        <v>1</v>
      </c>
      <c r="N116" s="7">
        <v>0.5</v>
      </c>
      <c r="O116" s="7">
        <v>0.78500000000000003</v>
      </c>
      <c r="P116" s="1" t="s">
        <v>1000</v>
      </c>
    </row>
    <row r="117" spans="1:16" ht="33.4" x14ac:dyDescent="0.3">
      <c r="A117" s="6" t="str">
        <f>HYPERLINK("https://www.ti.com/product/TLV61290", "TLV61290")</f>
        <v>TLV61290</v>
      </c>
      <c r="B117" s="5" t="s">
        <v>1001</v>
      </c>
      <c r="C117" s="6" t="str">
        <f>HYPERLINK("https://www.ti.com/lit/gpn/TLV61290", "PDF")</f>
        <v>PDF</v>
      </c>
      <c r="D117" s="5" t="s">
        <v>1002</v>
      </c>
      <c r="E117" s="5" t="s">
        <v>1003</v>
      </c>
      <c r="F117" s="5" t="s">
        <v>1004</v>
      </c>
      <c r="G117" s="5" t="s">
        <v>1005</v>
      </c>
      <c r="H117" s="1" t="s">
        <v>1006</v>
      </c>
      <c r="I117" s="5" t="s">
        <v>1007</v>
      </c>
      <c r="J117" s="7">
        <v>16</v>
      </c>
      <c r="K117" s="7">
        <v>2.4869289999999999</v>
      </c>
      <c r="L117" s="5" t="s">
        <v>1008</v>
      </c>
      <c r="M117" s="7">
        <v>0.5</v>
      </c>
      <c r="N117" s="7">
        <v>0.4</v>
      </c>
      <c r="O117" s="7">
        <v>0.6</v>
      </c>
      <c r="P117" s="1" t="s">
        <v>1009</v>
      </c>
    </row>
    <row r="118" spans="1:16" ht="33.4" x14ac:dyDescent="0.3">
      <c r="A118" s="6" t="str">
        <f>HYPERLINK("https://www.ti.com/product/TPS62893-Q1", "TPS62893-Q1")</f>
        <v>TPS62893-Q1</v>
      </c>
      <c r="B118" s="5" t="s">
        <v>1010</v>
      </c>
      <c r="C118" s="6" t="str">
        <f>HYPERLINK("https://www.ti.com/lit/gpn/TPS62893-Q1", "PDF")</f>
        <v>PDF</v>
      </c>
      <c r="D118" s="5" t="s">
        <v>1011</v>
      </c>
      <c r="E118" s="5" t="s">
        <v>1012</v>
      </c>
      <c r="F118" s="5" t="s">
        <v>1013</v>
      </c>
      <c r="G118" s="5" t="s">
        <v>1014</v>
      </c>
      <c r="H118" s="1" t="s">
        <v>1015</v>
      </c>
      <c r="I118" s="5" t="s">
        <v>1016</v>
      </c>
      <c r="J118" s="7">
        <v>20</v>
      </c>
      <c r="K118" s="7">
        <v>30</v>
      </c>
      <c r="L118" s="5" t="s">
        <v>1017</v>
      </c>
      <c r="M118" s="7">
        <v>0.7</v>
      </c>
      <c r="N118" s="7">
        <v>0.5</v>
      </c>
      <c r="O118" s="7">
        <v>3.8740000000000001</v>
      </c>
      <c r="P118" s="1" t="s">
        <v>1018</v>
      </c>
    </row>
    <row r="119" spans="1:16" ht="33.4" x14ac:dyDescent="0.3">
      <c r="A119" s="6" t="str">
        <f>HYPERLINK("https://www.ti.com/product/UCC57142", "UCC57142")</f>
        <v>UCC57142</v>
      </c>
      <c r="B119" s="5" t="s">
        <v>1019</v>
      </c>
      <c r="C119" s="6" t="str">
        <f>HYPERLINK("https://www.ti.com/lit/gpn/UCC57142", "PDF")</f>
        <v>PDF</v>
      </c>
      <c r="D119" s="5" t="s">
        <v>1020</v>
      </c>
      <c r="E119" s="5" t="s">
        <v>1021</v>
      </c>
      <c r="F119" s="5"/>
      <c r="G119" s="5" t="s">
        <v>1022</v>
      </c>
      <c r="H119" s="1" t="s">
        <v>1023</v>
      </c>
      <c r="I119" s="5" t="s">
        <v>1024</v>
      </c>
      <c r="J119" s="7">
        <v>6</v>
      </c>
      <c r="K119" s="7">
        <v>8.1199999999999992</v>
      </c>
      <c r="L119" s="5" t="s">
        <v>1025</v>
      </c>
      <c r="M119" s="7">
        <v>1.45</v>
      </c>
      <c r="N119" s="7">
        <v>0.95</v>
      </c>
      <c r="O119" s="7">
        <v>0.3</v>
      </c>
      <c r="P119" s="1" t="s">
        <v>1026</v>
      </c>
    </row>
    <row r="120" spans="1:16" ht="33.4" x14ac:dyDescent="0.3">
      <c r="A120" s="6" t="str">
        <f>HYPERLINK("https://www.ti.com/product/UCC57148", "UCC57148")</f>
        <v>UCC57148</v>
      </c>
      <c r="B120" s="5" t="s">
        <v>1027</v>
      </c>
      <c r="C120" s="6" t="str">
        <f>HYPERLINK("https://www.ti.com/lit/gpn/UCC57148", "PDF")</f>
        <v>PDF</v>
      </c>
      <c r="D120" s="5" t="s">
        <v>1028</v>
      </c>
      <c r="E120" s="5" t="s">
        <v>1029</v>
      </c>
      <c r="F120" s="5"/>
      <c r="G120" s="5" t="s">
        <v>1030</v>
      </c>
      <c r="H120" s="1" t="s">
        <v>1031</v>
      </c>
      <c r="I120" s="5" t="s">
        <v>1032</v>
      </c>
      <c r="J120" s="7">
        <v>6</v>
      </c>
      <c r="K120" s="7">
        <v>8.1199999999999992</v>
      </c>
      <c r="L120" s="5" t="s">
        <v>1033</v>
      </c>
      <c r="M120" s="7">
        <v>1.45</v>
      </c>
      <c r="N120" s="7">
        <v>0.95</v>
      </c>
      <c r="O120" s="7">
        <v>0.3</v>
      </c>
      <c r="P120" s="1" t="s">
        <v>1034</v>
      </c>
    </row>
    <row r="121" spans="1:16" ht="33.4" x14ac:dyDescent="0.3">
      <c r="A121" s="6" t="str">
        <f>HYPERLINK("https://www.ti.com/product/TLC69629-Q1", "TLC69629-Q1")</f>
        <v>TLC69629-Q1</v>
      </c>
      <c r="B121" s="5" t="s">
        <v>1035</v>
      </c>
      <c r="C121" s="6" t="str">
        <f>HYPERLINK("https://www.ti.com/lit/gpn/TLC69629-Q1", "PDF")</f>
        <v>PDF</v>
      </c>
      <c r="D121" s="5" t="s">
        <v>1036</v>
      </c>
      <c r="E121" s="5" t="s">
        <v>1037</v>
      </c>
      <c r="F121" s="5"/>
      <c r="G121" s="5" t="s">
        <v>1038</v>
      </c>
      <c r="H121" s="1" t="s">
        <v>1039</v>
      </c>
      <c r="I121" s="5" t="s">
        <v>1040</v>
      </c>
      <c r="J121" s="7">
        <v>56</v>
      </c>
      <c r="K121" s="7" t="s">
        <v>1041</v>
      </c>
      <c r="L121" s="5" t="s">
        <v>1042</v>
      </c>
      <c r="M121" s="7" t="s">
        <v>1043</v>
      </c>
      <c r="N121" s="7">
        <v>0.5</v>
      </c>
      <c r="O121" s="7">
        <v>2.423</v>
      </c>
      <c r="P121" s="1" t="s">
        <v>1044</v>
      </c>
    </row>
    <row r="122" spans="1:16" ht="33.4" x14ac:dyDescent="0.3">
      <c r="A122" s="6" t="str">
        <f>HYPERLINK("https://www.ti.com/product/TPS7B4258-Q1", "TPS7B4258-Q1")</f>
        <v>TPS7B4258-Q1</v>
      </c>
      <c r="B122" s="5" t="s">
        <v>1045</v>
      </c>
      <c r="C122" s="6" t="str">
        <f>HYPERLINK("https://www.ti.com/lit/gpn/TPS7B4258-Q1", "PDF")</f>
        <v>PDF</v>
      </c>
      <c r="D122" s="5" t="s">
        <v>1046</v>
      </c>
      <c r="E122" s="5" t="s">
        <v>1047</v>
      </c>
      <c r="F122" s="5"/>
      <c r="G122" s="5" t="s">
        <v>1048</v>
      </c>
      <c r="H122" s="1" t="s">
        <v>1049</v>
      </c>
      <c r="I122" s="5" t="s">
        <v>1050</v>
      </c>
      <c r="J122" s="7">
        <v>8</v>
      </c>
      <c r="K122" s="7">
        <v>29.4</v>
      </c>
      <c r="L122" s="5" t="s">
        <v>1051</v>
      </c>
      <c r="M122" s="7">
        <v>1.7</v>
      </c>
      <c r="N122" s="7">
        <v>1.27</v>
      </c>
      <c r="O122" s="7">
        <v>0.59</v>
      </c>
      <c r="P122" s="1" t="s">
        <v>1052</v>
      </c>
    </row>
    <row r="123" spans="1:16" ht="33.4" x14ac:dyDescent="0.3">
      <c r="A123" s="6" t="str">
        <f>HYPERLINK("https://www.ti.com/product/TPS7B4259-Q1", "TPS7B4259-Q1")</f>
        <v>TPS7B4259-Q1</v>
      </c>
      <c r="B123" s="5" t="s">
        <v>1053</v>
      </c>
      <c r="C123" s="6" t="str">
        <f>HYPERLINK("https://www.ti.com/lit/gpn/TPS7B4259-Q1", "PDF")</f>
        <v>PDF</v>
      </c>
      <c r="D123" s="5" t="s">
        <v>1054</v>
      </c>
      <c r="E123" s="5" t="s">
        <v>1055</v>
      </c>
      <c r="F123" s="5"/>
      <c r="G123" s="5" t="s">
        <v>1056</v>
      </c>
      <c r="H123" s="1" t="s">
        <v>1057</v>
      </c>
      <c r="I123" s="5" t="s">
        <v>1058</v>
      </c>
      <c r="J123" s="7">
        <v>8</v>
      </c>
      <c r="K123" s="7">
        <v>29.4</v>
      </c>
      <c r="L123" s="5" t="s">
        <v>1059</v>
      </c>
      <c r="M123" s="7">
        <v>1.7</v>
      </c>
      <c r="N123" s="7">
        <v>1.27</v>
      </c>
      <c r="O123" s="7">
        <v>0.72</v>
      </c>
      <c r="P123" s="1" t="s">
        <v>1060</v>
      </c>
    </row>
    <row r="124" spans="1:16" ht="33.4" x14ac:dyDescent="0.3">
      <c r="A124" s="6" t="str">
        <f>HYPERLINK("https://www.ti.com/product/LM65635-Q1", "LM65635-Q1")</f>
        <v>LM65635-Q1</v>
      </c>
      <c r="B124" s="5" t="s">
        <v>1061</v>
      </c>
      <c r="C124" s="6" t="str">
        <f>HYPERLINK("https://www.ti.com/lit/gpn/LM65635-Q1", "PDF")</f>
        <v>PDF</v>
      </c>
      <c r="D124" s="5" t="s">
        <v>1062</v>
      </c>
      <c r="E124" s="5" t="s">
        <v>1063</v>
      </c>
      <c r="F124" s="5" t="s">
        <v>1064</v>
      </c>
      <c r="G124" s="5" t="s">
        <v>1065</v>
      </c>
      <c r="H124" s="1" t="s">
        <v>1066</v>
      </c>
      <c r="I124" s="5" t="s">
        <v>1067</v>
      </c>
      <c r="J124" s="7">
        <v>20</v>
      </c>
      <c r="K124" s="7">
        <v>9.36</v>
      </c>
      <c r="L124" s="5" t="s">
        <v>1068</v>
      </c>
      <c r="M124" s="7">
        <v>0.7</v>
      </c>
      <c r="N124" s="7">
        <v>0.5</v>
      </c>
      <c r="O124" s="7">
        <v>1.74</v>
      </c>
      <c r="P124" s="1" t="s">
        <v>1069</v>
      </c>
    </row>
    <row r="125" spans="1:16" ht="49.75" x14ac:dyDescent="0.3">
      <c r="A125" s="6" t="str">
        <f>HYPERLINK("https://www.ti.com/product/TPS22991I", "TPS22991I")</f>
        <v>TPS22991I</v>
      </c>
      <c r="B125" s="5" t="s">
        <v>1070</v>
      </c>
      <c r="C125" s="6" t="str">
        <f>HYPERLINK("https://www.ti.com/lit/gpn/TPS22991I", "PDF")</f>
        <v>PDF</v>
      </c>
      <c r="D125" s="5" t="s">
        <v>1071</v>
      </c>
      <c r="E125" s="5" t="s">
        <v>1072</v>
      </c>
      <c r="F125" s="5"/>
      <c r="G125" s="5" t="s">
        <v>1073</v>
      </c>
      <c r="H125" s="1" t="s">
        <v>1074</v>
      </c>
      <c r="I125" s="5" t="s">
        <v>1075</v>
      </c>
      <c r="J125" s="7">
        <v>4</v>
      </c>
      <c r="K125" s="7">
        <v>0.63749999999999996</v>
      </c>
      <c r="L125" s="5" t="s">
        <v>1076</v>
      </c>
      <c r="M125" s="7">
        <v>0.6</v>
      </c>
      <c r="N125" s="7">
        <v>0.4</v>
      </c>
      <c r="O125" s="7">
        <v>0.115</v>
      </c>
      <c r="P125" s="1" t="s">
        <v>1077</v>
      </c>
    </row>
    <row r="126" spans="1:16" ht="33.4" x14ac:dyDescent="0.3">
      <c r="A126" s="6" t="str">
        <f>HYPERLINK("https://www.ti.com/product/LP8872-Q1", "LP8872-Q1")</f>
        <v>LP8872-Q1</v>
      </c>
      <c r="B126" s="5" t="s">
        <v>1078</v>
      </c>
      <c r="C126" s="6" t="str">
        <f>HYPERLINK("https://www.ti.com/lit/gpn/LP8872-Q1", "PDF")</f>
        <v>PDF</v>
      </c>
      <c r="D126" s="5" t="s">
        <v>1079</v>
      </c>
      <c r="E126" s="5" t="s">
        <v>1080</v>
      </c>
      <c r="F126" s="5" t="s">
        <v>1081</v>
      </c>
      <c r="G126" s="5" t="s">
        <v>1082</v>
      </c>
      <c r="H126" s="1" t="s">
        <v>1083</v>
      </c>
      <c r="I126" s="5" t="s">
        <v>1084</v>
      </c>
      <c r="J126" s="7">
        <v>28</v>
      </c>
      <c r="K126" s="7">
        <v>62.08</v>
      </c>
      <c r="L126" s="5" t="s">
        <v>1085</v>
      </c>
      <c r="M126" s="7">
        <v>1.2</v>
      </c>
      <c r="N126" s="7">
        <v>0.65</v>
      </c>
      <c r="O126" s="7">
        <v>1.2430000000000001</v>
      </c>
      <c r="P126" s="1" t="s">
        <v>1086</v>
      </c>
    </row>
    <row r="127" spans="1:16" ht="33.4" x14ac:dyDescent="0.3">
      <c r="A127" s="6" t="str">
        <f>HYPERLINK("https://www.ti.com/product/LP8873-Q1", "LP8873-Q1")</f>
        <v>LP8873-Q1</v>
      </c>
      <c r="B127" s="5" t="s">
        <v>1087</v>
      </c>
      <c r="C127" s="6" t="str">
        <f>HYPERLINK("https://www.ti.com/lit/gpn/LP8873-Q1", "PDF")</f>
        <v>PDF</v>
      </c>
      <c r="D127" s="5" t="s">
        <v>1088</v>
      </c>
      <c r="E127" s="5" t="s">
        <v>1089</v>
      </c>
      <c r="F127" s="5" t="s">
        <v>1090</v>
      </c>
      <c r="G127" s="5" t="s">
        <v>1091</v>
      </c>
      <c r="H127" s="1" t="s">
        <v>1092</v>
      </c>
      <c r="I127" s="5" t="s">
        <v>1093</v>
      </c>
      <c r="J127" s="7">
        <v>28</v>
      </c>
      <c r="K127" s="7">
        <v>62.08</v>
      </c>
      <c r="L127" s="5" t="s">
        <v>1094</v>
      </c>
      <c r="M127" s="7">
        <v>1.2</v>
      </c>
      <c r="N127" s="7">
        <v>0.65</v>
      </c>
      <c r="O127" s="7">
        <v>1.052</v>
      </c>
      <c r="P127" s="1" t="s">
        <v>1095</v>
      </c>
    </row>
    <row r="128" spans="1:16" ht="33.4" x14ac:dyDescent="0.3">
      <c r="A128" s="6" t="str">
        <f>HYPERLINK("https://www.ti.com/product/TPS1686", "TPS1686")</f>
        <v>TPS1686</v>
      </c>
      <c r="B128" s="5" t="s">
        <v>1096</v>
      </c>
      <c r="C128" s="6" t="str">
        <f>HYPERLINK("https://www.ti.com/lit/gpn/TPS1686", "PDF")</f>
        <v>PDF</v>
      </c>
      <c r="D128" s="5" t="s">
        <v>1097</v>
      </c>
      <c r="E128" s="5" t="s">
        <v>1098</v>
      </c>
      <c r="F128" s="5"/>
      <c r="G128" s="5" t="s">
        <v>1099</v>
      </c>
      <c r="H128" s="1" t="s">
        <v>1100</v>
      </c>
      <c r="I128" s="5" t="s">
        <v>1101</v>
      </c>
      <c r="J128" s="7">
        <v>23</v>
      </c>
      <c r="K128" s="7">
        <v>30</v>
      </c>
      <c r="L128" s="5" t="s">
        <v>1102</v>
      </c>
      <c r="M128" s="7">
        <v>1</v>
      </c>
      <c r="N128" s="7">
        <v>0.45</v>
      </c>
      <c r="O128" s="7">
        <v>2</v>
      </c>
      <c r="P128" s="1" t="s">
        <v>1103</v>
      </c>
    </row>
    <row r="129" spans="1:16" ht="33.4" x14ac:dyDescent="0.3">
      <c r="A129" s="6" t="str">
        <f>HYPERLINK("https://www.ti.com/product/TPSM33606-Q1", "TPSM33606-Q1")</f>
        <v>TPSM33606-Q1</v>
      </c>
      <c r="B129" s="5" t="s">
        <v>1104</v>
      </c>
      <c r="C129" s="6" t="str">
        <f>HYPERLINK("https://www.ti.com/lit/gpn/TPSM33606-Q1", "PDF")</f>
        <v>PDF</v>
      </c>
      <c r="D129" s="5" t="s">
        <v>1105</v>
      </c>
      <c r="E129" s="5" t="s">
        <v>1106</v>
      </c>
      <c r="F129" s="5" t="s">
        <v>1107</v>
      </c>
      <c r="G129" s="5" t="s">
        <v>1108</v>
      </c>
      <c r="H129" s="1" t="s">
        <v>1109</v>
      </c>
      <c r="I129" s="5" t="s">
        <v>1110</v>
      </c>
      <c r="J129" s="7">
        <v>11</v>
      </c>
      <c r="K129" s="7">
        <v>15.75</v>
      </c>
      <c r="L129" s="5" t="s">
        <v>1111</v>
      </c>
      <c r="M129" s="7">
        <v>2.1</v>
      </c>
      <c r="N129" s="7">
        <v>0.5</v>
      </c>
      <c r="O129" s="7">
        <v>0.98</v>
      </c>
      <c r="P129" s="1" t="s">
        <v>1112</v>
      </c>
    </row>
    <row r="130" spans="1:16" ht="33.4" x14ac:dyDescent="0.3">
      <c r="A130" s="6" t="str">
        <f>HYPERLINK("https://www.ti.com/product/LMR71915", "LMR71915")</f>
        <v>LMR71915</v>
      </c>
      <c r="B130" s="5" t="s">
        <v>1113</v>
      </c>
      <c r="C130" s="6" t="str">
        <f>HYPERLINK("https://www.ti.com/lit/gpn/LMR71915", "PDF")</f>
        <v>PDF</v>
      </c>
      <c r="D130" s="5" t="s">
        <v>1114</v>
      </c>
      <c r="E130" s="5" t="s">
        <v>1115</v>
      </c>
      <c r="F130" s="5" t="s">
        <v>1116</v>
      </c>
      <c r="G130" s="5" t="s">
        <v>1117</v>
      </c>
      <c r="H130" s="1" t="s">
        <v>1118</v>
      </c>
      <c r="I130" s="5" t="s">
        <v>1119</v>
      </c>
      <c r="J130" s="7">
        <v>8</v>
      </c>
      <c r="K130" s="7">
        <v>29.4</v>
      </c>
      <c r="L130" s="5" t="s">
        <v>1120</v>
      </c>
      <c r="M130" s="7">
        <v>1.7</v>
      </c>
      <c r="N130" s="7">
        <v>1.27</v>
      </c>
      <c r="O130" s="7">
        <v>1.4</v>
      </c>
      <c r="P130" s="1" t="s">
        <v>1121</v>
      </c>
    </row>
    <row r="131" spans="1:16" ht="33.4" x14ac:dyDescent="0.3">
      <c r="A131" s="6" t="str">
        <f>HYPERLINK("https://www.ti.com/product/TPS7C13", "TPS7C13")</f>
        <v>TPS7C13</v>
      </c>
      <c r="B131" s="5" t="s">
        <v>1122</v>
      </c>
      <c r="C131" s="6" t="str">
        <f>HYPERLINK("https://www.ti.com/lit/gpn/TPS7C13", "PDF")</f>
        <v>PDF</v>
      </c>
      <c r="D131" s="5" t="s">
        <v>1123</v>
      </c>
      <c r="E131" s="5" t="s">
        <v>1124</v>
      </c>
      <c r="F131" s="5"/>
      <c r="G131" s="5" t="s">
        <v>1125</v>
      </c>
      <c r="H131" s="1" t="s">
        <v>1126</v>
      </c>
      <c r="I131" s="5" t="s">
        <v>1127</v>
      </c>
      <c r="J131" s="7">
        <v>5</v>
      </c>
      <c r="K131" s="7">
        <v>8.1199999999999992</v>
      </c>
      <c r="L131" s="5" t="s">
        <v>1128</v>
      </c>
      <c r="M131" s="7">
        <v>1.45</v>
      </c>
      <c r="N131" s="7">
        <v>0.95</v>
      </c>
      <c r="O131" s="7">
        <v>0.05</v>
      </c>
      <c r="P131" s="1" t="s">
        <v>1129</v>
      </c>
    </row>
    <row r="132" spans="1:16" ht="33.4" x14ac:dyDescent="0.3">
      <c r="A132" s="6" t="str">
        <f>HYPERLINK("https://www.ti.com/product/UCC21351-Q1", "UCC21351-Q1")</f>
        <v>UCC21351-Q1</v>
      </c>
      <c r="B132" s="5" t="s">
        <v>1130</v>
      </c>
      <c r="C132" s="6" t="str">
        <f>HYPERLINK("https://www.ti.com/lit/gpn/UCC21351-Q1", "PDF")</f>
        <v>PDF</v>
      </c>
      <c r="D132" s="5" t="s">
        <v>1131</v>
      </c>
      <c r="E132" s="5" t="s">
        <v>1132</v>
      </c>
      <c r="F132" s="5"/>
      <c r="G132" s="5" t="s">
        <v>1133</v>
      </c>
      <c r="H132" s="1" t="s">
        <v>1134</v>
      </c>
      <c r="I132" s="5" t="s">
        <v>1135</v>
      </c>
      <c r="J132" s="7">
        <v>14</v>
      </c>
      <c r="K132" s="7">
        <v>106.09</v>
      </c>
      <c r="L132" s="5" t="s">
        <v>1136</v>
      </c>
      <c r="M132" s="7">
        <v>2.65</v>
      </c>
      <c r="N132" s="7">
        <v>1.27</v>
      </c>
      <c r="O132" s="7">
        <v>1.115</v>
      </c>
      <c r="P132" s="1" t="s">
        <v>1137</v>
      </c>
    </row>
    <row r="133" spans="1:16" ht="33.4" x14ac:dyDescent="0.3">
      <c r="A133" s="6" t="str">
        <f>HYPERLINK("https://www.ti.com/product/LMR60406-Q1", "LMR60406-Q1")</f>
        <v>LMR60406-Q1</v>
      </c>
      <c r="B133" s="5" t="s">
        <v>1138</v>
      </c>
      <c r="C133" s="6" t="str">
        <f>HYPERLINK("https://www.ti.com/lit/gpn/LMR60406-Q1", "PDF")</f>
        <v>PDF</v>
      </c>
      <c r="D133" s="5" t="s">
        <v>1139</v>
      </c>
      <c r="E133" s="5" t="s">
        <v>1140</v>
      </c>
      <c r="F133" s="5" t="s">
        <v>1141</v>
      </c>
      <c r="G133" s="5" t="s">
        <v>1142</v>
      </c>
      <c r="H133" s="1" t="s">
        <v>1143</v>
      </c>
      <c r="I133" s="5" t="s">
        <v>1144</v>
      </c>
      <c r="J133" s="7">
        <v>9</v>
      </c>
      <c r="K133" s="7">
        <v>5</v>
      </c>
      <c r="L133" s="5" t="s">
        <v>1145</v>
      </c>
      <c r="M133" s="7">
        <v>0.8</v>
      </c>
      <c r="N133" s="7">
        <v>0.5</v>
      </c>
      <c r="O133" s="7">
        <v>0.63700000000000001</v>
      </c>
      <c r="P133" s="1" t="s">
        <v>1146</v>
      </c>
    </row>
    <row r="134" spans="1:16" ht="33.4" x14ac:dyDescent="0.3">
      <c r="A134" s="6" t="str">
        <f>HYPERLINK("https://www.ti.com/product/UCC27302A", "UCC27302A")</f>
        <v>UCC27302A</v>
      </c>
      <c r="B134" s="5" t="s">
        <v>1147</v>
      </c>
      <c r="C134" s="6" t="str">
        <f>HYPERLINK("https://www.ti.com/lit/gpn/UCC27302A", "PDF")</f>
        <v>PDF</v>
      </c>
      <c r="D134" s="5" t="s">
        <v>1148</v>
      </c>
      <c r="E134" s="5" t="s">
        <v>1149</v>
      </c>
      <c r="F134" s="5"/>
      <c r="G134" s="5" t="s">
        <v>1150</v>
      </c>
      <c r="H134" s="1" t="s">
        <v>1151</v>
      </c>
      <c r="I134" s="5" t="s">
        <v>1152</v>
      </c>
      <c r="J134" s="7" t="s">
        <v>1153</v>
      </c>
      <c r="K134" s="7" t="s">
        <v>1154</v>
      </c>
      <c r="L134" s="5" t="s">
        <v>1155</v>
      </c>
      <c r="M134" s="7" t="s">
        <v>1156</v>
      </c>
      <c r="N134" s="7" t="s">
        <v>1157</v>
      </c>
      <c r="O134" s="7">
        <v>0.69</v>
      </c>
      <c r="P134" s="1" t="s">
        <v>1158</v>
      </c>
    </row>
    <row r="135" spans="1:16" ht="33.4" x14ac:dyDescent="0.3">
      <c r="A135" s="6" t="str">
        <f>HYPERLINK("https://www.ti.com/product/UCC27302A-Q1", "UCC27302A-Q1")</f>
        <v>UCC27302A-Q1</v>
      </c>
      <c r="B135" s="5" t="s">
        <v>1159</v>
      </c>
      <c r="C135" s="6" t="str">
        <f>HYPERLINK("https://www.ti.com/lit/gpn/UCC27302A-Q1", "PDF")</f>
        <v>PDF</v>
      </c>
      <c r="D135" s="5" t="s">
        <v>1160</v>
      </c>
      <c r="E135" s="5" t="s">
        <v>1161</v>
      </c>
      <c r="F135" s="5"/>
      <c r="G135" s="5" t="s">
        <v>1162</v>
      </c>
      <c r="H135" s="1" t="s">
        <v>1163</v>
      </c>
      <c r="I135" s="5" t="s">
        <v>1164</v>
      </c>
      <c r="J135" s="7" t="s">
        <v>1165</v>
      </c>
      <c r="K135" s="7" t="s">
        <v>1166</v>
      </c>
      <c r="L135" s="5" t="s">
        <v>1167</v>
      </c>
      <c r="M135" s="7" t="s">
        <v>1168</v>
      </c>
      <c r="N135" s="7" t="s">
        <v>1169</v>
      </c>
      <c r="O135" s="7">
        <v>0.81399999999999995</v>
      </c>
      <c r="P135" s="1" t="s">
        <v>1170</v>
      </c>
    </row>
    <row r="136" spans="1:16" ht="33.4" x14ac:dyDescent="0.3">
      <c r="A136" s="6" t="str">
        <f>HYPERLINK("https://www.ti.com/product/LM65460-Q1", "LM65460-Q1")</f>
        <v>LM65460-Q1</v>
      </c>
      <c r="B136" s="5" t="s">
        <v>1171</v>
      </c>
      <c r="C136" s="6" t="str">
        <f>HYPERLINK("https://www.ti.com/lit/gpn/LM65460-Q1", "PDF")</f>
        <v>PDF</v>
      </c>
      <c r="D136" s="5" t="s">
        <v>1172</v>
      </c>
      <c r="E136" s="5" t="s">
        <v>1173</v>
      </c>
      <c r="F136" s="5" t="s">
        <v>1174</v>
      </c>
      <c r="G136" s="5" t="s">
        <v>1175</v>
      </c>
      <c r="H136" s="1" t="s">
        <v>1176</v>
      </c>
      <c r="I136" s="5" t="s">
        <v>1177</v>
      </c>
      <c r="J136" s="7">
        <v>20</v>
      </c>
      <c r="K136" s="7">
        <v>9.36</v>
      </c>
      <c r="L136" s="5" t="s">
        <v>1178</v>
      </c>
      <c r="M136" s="7">
        <v>0.7</v>
      </c>
      <c r="N136" s="7">
        <v>0.5</v>
      </c>
      <c r="O136" s="7">
        <v>1.8</v>
      </c>
      <c r="P136" s="1" t="s">
        <v>1179</v>
      </c>
    </row>
    <row r="137" spans="1:16" ht="33.4" x14ac:dyDescent="0.3">
      <c r="A137" s="6" t="str">
        <f>HYPERLINK("https://www.ti.com/product/LMR60410-Q1", "LMR60410-Q1")</f>
        <v>LMR60410-Q1</v>
      </c>
      <c r="B137" s="5" t="s">
        <v>1180</v>
      </c>
      <c r="C137" s="6" t="str">
        <f>HYPERLINK("https://www.ti.com/lit/gpn/LMR60410-Q1", "PDF")</f>
        <v>PDF</v>
      </c>
      <c r="D137" s="5" t="s">
        <v>1181</v>
      </c>
      <c r="E137" s="5" t="s">
        <v>1182</v>
      </c>
      <c r="F137" s="5" t="s">
        <v>1183</v>
      </c>
      <c r="G137" s="5" t="s">
        <v>1184</v>
      </c>
      <c r="H137" s="1" t="s">
        <v>1185</v>
      </c>
      <c r="I137" s="5" t="s">
        <v>1186</v>
      </c>
      <c r="J137" s="7">
        <v>9</v>
      </c>
      <c r="K137" s="7">
        <v>5</v>
      </c>
      <c r="L137" s="5" t="s">
        <v>1187</v>
      </c>
      <c r="M137" s="7">
        <v>0.8</v>
      </c>
      <c r="N137" s="7">
        <v>0.5</v>
      </c>
      <c r="O137" s="7">
        <v>0.77400000000000002</v>
      </c>
      <c r="P137" s="1" t="s">
        <v>1188</v>
      </c>
    </row>
    <row r="138" spans="1:16" ht="33.4" x14ac:dyDescent="0.3">
      <c r="A138" s="6" t="str">
        <f>HYPERLINK("https://www.ti.com/product/LM25137-Q1", "LM25137-Q1")</f>
        <v>LM25137-Q1</v>
      </c>
      <c r="B138" s="5" t="s">
        <v>1189</v>
      </c>
      <c r="C138" s="6" t="str">
        <f>HYPERLINK("https://www.ti.com/lit/gpn/LM25137-Q1", "PDF")</f>
        <v>PDF</v>
      </c>
      <c r="D138" s="5" t="s">
        <v>1190</v>
      </c>
      <c r="E138" s="5" t="s">
        <v>1191</v>
      </c>
      <c r="F138" s="5" t="s">
        <v>1192</v>
      </c>
      <c r="G138" s="5" t="s">
        <v>1193</v>
      </c>
      <c r="H138" s="1" t="s">
        <v>1194</v>
      </c>
      <c r="I138" s="5" t="s">
        <v>1195</v>
      </c>
      <c r="J138" s="7">
        <v>36</v>
      </c>
      <c r="K138" s="7">
        <v>36</v>
      </c>
      <c r="L138" s="5" t="s">
        <v>1196</v>
      </c>
      <c r="M138" s="7">
        <v>1</v>
      </c>
      <c r="N138" s="7">
        <v>0.5</v>
      </c>
      <c r="O138" s="7">
        <v>1.64</v>
      </c>
      <c r="P138" s="1" t="s">
        <v>1197</v>
      </c>
    </row>
    <row r="139" spans="1:16" ht="33.4" x14ac:dyDescent="0.3">
      <c r="A139" s="6" t="str">
        <f>HYPERLINK("https://www.ti.com/product/LM65625-Q1", "LM65625-Q1")</f>
        <v>LM65625-Q1</v>
      </c>
      <c r="B139" s="5" t="s">
        <v>1198</v>
      </c>
      <c r="C139" s="6" t="str">
        <f>HYPERLINK("https://www.ti.com/lit/gpn/LM65625-Q1", "PDF")</f>
        <v>PDF</v>
      </c>
      <c r="D139" s="5" t="s">
        <v>1199</v>
      </c>
      <c r="E139" s="5" t="s">
        <v>1200</v>
      </c>
      <c r="F139" s="5" t="s">
        <v>1201</v>
      </c>
      <c r="G139" s="5" t="s">
        <v>1202</v>
      </c>
      <c r="H139" s="1" t="s">
        <v>1203</v>
      </c>
      <c r="I139" s="5" t="s">
        <v>1204</v>
      </c>
      <c r="J139" s="7">
        <v>20</v>
      </c>
      <c r="K139" s="7">
        <v>9.36</v>
      </c>
      <c r="L139" s="5" t="s">
        <v>1205</v>
      </c>
      <c r="M139" s="7">
        <v>0.7</v>
      </c>
      <c r="N139" s="7">
        <v>0.5</v>
      </c>
      <c r="O139" s="7">
        <v>1.56</v>
      </c>
      <c r="P139" s="1" t="s">
        <v>1206</v>
      </c>
    </row>
    <row r="140" spans="1:16" ht="33.4" x14ac:dyDescent="0.3">
      <c r="A140" s="6" t="str">
        <f>HYPERLINK("https://www.ti.com/product/LMG2656", "LMG2656")</f>
        <v>LMG2656</v>
      </c>
      <c r="B140" s="5" t="s">
        <v>1207</v>
      </c>
      <c r="C140" s="6" t="str">
        <f>HYPERLINK("https://www.ti.com/lit/gpn/LMG2656", "PDF")</f>
        <v>PDF</v>
      </c>
      <c r="D140" s="5" t="s">
        <v>1208</v>
      </c>
      <c r="E140" s="5" t="s">
        <v>1209</v>
      </c>
      <c r="F140" s="5"/>
      <c r="G140" s="5" t="s">
        <v>1210</v>
      </c>
      <c r="H140" s="1" t="s">
        <v>1211</v>
      </c>
      <c r="I140" s="5" t="s">
        <v>1212</v>
      </c>
      <c r="J140" s="7">
        <v>19</v>
      </c>
      <c r="K140" s="7">
        <v>48</v>
      </c>
      <c r="L140" s="5" t="s">
        <v>1213</v>
      </c>
      <c r="M140" s="7">
        <v>1</v>
      </c>
      <c r="N140" s="7">
        <v>0.65</v>
      </c>
      <c r="O140" s="7">
        <v>4.3899999999999997</v>
      </c>
      <c r="P140" s="1" t="s">
        <v>1214</v>
      </c>
    </row>
    <row r="141" spans="1:16" ht="33.4" x14ac:dyDescent="0.3">
      <c r="A141" s="6" t="str">
        <f>HYPERLINK("https://www.ti.com/product/TPSM82916", "TPSM82916")</f>
        <v>TPSM82916</v>
      </c>
      <c r="B141" s="5" t="s">
        <v>1215</v>
      </c>
      <c r="C141" s="6" t="str">
        <f>HYPERLINK("https://www.ti.com/lit/gpn/TPSM82916", "PDF")</f>
        <v>PDF</v>
      </c>
      <c r="D141" s="5" t="s">
        <v>1216</v>
      </c>
      <c r="E141" s="5" t="s">
        <v>1217</v>
      </c>
      <c r="F141" s="5" t="s">
        <v>1218</v>
      </c>
      <c r="G141" s="5" t="s">
        <v>1219</v>
      </c>
      <c r="H141" s="1" t="s">
        <v>1220</v>
      </c>
      <c r="I141" s="5" t="s">
        <v>1221</v>
      </c>
      <c r="J141" s="7">
        <v>16</v>
      </c>
      <c r="K141" s="7">
        <v>18.8</v>
      </c>
      <c r="L141" s="5" t="s">
        <v>1222</v>
      </c>
      <c r="M141" s="7">
        <v>3.1</v>
      </c>
      <c r="N141" s="7">
        <v>0.6</v>
      </c>
      <c r="O141" s="7">
        <v>4.5999999999999996</v>
      </c>
      <c r="P141" s="1" t="s">
        <v>1223</v>
      </c>
    </row>
    <row r="142" spans="1:16" ht="33.4" x14ac:dyDescent="0.3">
      <c r="A142" s="6" t="str">
        <f>HYPERLINK("https://www.ti.com/product/LMR60420-Q1", "LMR60420-Q1")</f>
        <v>LMR60420-Q1</v>
      </c>
      <c r="B142" s="5" t="s">
        <v>1224</v>
      </c>
      <c r="C142" s="6" t="str">
        <f>HYPERLINK("https://www.ti.com/lit/gpn/LMR60420-Q1", "PDF")</f>
        <v>PDF</v>
      </c>
      <c r="D142" s="5" t="s">
        <v>1225</v>
      </c>
      <c r="E142" s="5" t="s">
        <v>1226</v>
      </c>
      <c r="F142" s="5" t="s">
        <v>1227</v>
      </c>
      <c r="G142" s="5" t="s">
        <v>1228</v>
      </c>
      <c r="H142" s="1" t="s">
        <v>1229</v>
      </c>
      <c r="I142" s="5" t="s">
        <v>1230</v>
      </c>
      <c r="J142" s="7">
        <v>9</v>
      </c>
      <c r="K142" s="7">
        <v>5</v>
      </c>
      <c r="L142" s="5" t="s">
        <v>1231</v>
      </c>
      <c r="M142" s="7">
        <v>0.8</v>
      </c>
      <c r="N142" s="7">
        <v>0.5</v>
      </c>
      <c r="O142" s="7">
        <v>0.74299999999999999</v>
      </c>
      <c r="P142" s="1" t="s">
        <v>1232</v>
      </c>
    </row>
    <row r="143" spans="1:16" ht="33.4" x14ac:dyDescent="0.3">
      <c r="A143" s="6" t="str">
        <f>HYPERLINK("https://www.ti.com/product/LMR60430-Q1", "LMR60430-Q1")</f>
        <v>LMR60430-Q1</v>
      </c>
      <c r="B143" s="5" t="s">
        <v>1233</v>
      </c>
      <c r="C143" s="6" t="str">
        <f>HYPERLINK("https://www.ti.com/lit/gpn/LMR60430-Q1", "PDF")</f>
        <v>PDF</v>
      </c>
      <c r="D143" s="5" t="s">
        <v>1234</v>
      </c>
      <c r="E143" s="5" t="s">
        <v>1235</v>
      </c>
      <c r="F143" s="5" t="s">
        <v>1236</v>
      </c>
      <c r="G143" s="5" t="s">
        <v>1237</v>
      </c>
      <c r="H143" s="1" t="s">
        <v>1238</v>
      </c>
      <c r="I143" s="5" t="s">
        <v>1239</v>
      </c>
      <c r="J143" s="7">
        <v>9</v>
      </c>
      <c r="K143" s="7">
        <v>5</v>
      </c>
      <c r="L143" s="5" t="s">
        <v>1240</v>
      </c>
      <c r="M143" s="7">
        <v>0.8</v>
      </c>
      <c r="N143" s="7">
        <v>0.5</v>
      </c>
      <c r="O143" s="7">
        <v>0.88300000000000001</v>
      </c>
      <c r="P143" s="1" t="s">
        <v>1241</v>
      </c>
    </row>
    <row r="144" spans="1:16" ht="33.4" x14ac:dyDescent="0.3">
      <c r="A144" s="6" t="str">
        <f>HYPERLINK("https://www.ti.com/product/TLV775", "TLV775")</f>
        <v>TLV775</v>
      </c>
      <c r="B144" s="5" t="s">
        <v>1242</v>
      </c>
      <c r="C144" s="6" t="str">
        <f>HYPERLINK("https://www.ti.com/lit/gpn/TLV775", "PDF")</f>
        <v>PDF</v>
      </c>
      <c r="D144" s="5" t="s">
        <v>1243</v>
      </c>
      <c r="E144" s="5" t="s">
        <v>1244</v>
      </c>
      <c r="F144" s="5"/>
      <c r="G144" s="5" t="s">
        <v>1245</v>
      </c>
      <c r="H144" s="1" t="s">
        <v>1246</v>
      </c>
      <c r="I144" s="5" t="s">
        <v>1247</v>
      </c>
      <c r="J144" s="7">
        <v>5</v>
      </c>
      <c r="K144" s="7">
        <v>8.1199999999999992</v>
      </c>
      <c r="L144" s="5" t="s">
        <v>1248</v>
      </c>
      <c r="M144" s="7">
        <v>1.45</v>
      </c>
      <c r="N144" s="7">
        <v>0.95</v>
      </c>
      <c r="O144" s="7">
        <v>3.5000000000000003E-2</v>
      </c>
      <c r="P144" s="1" t="s">
        <v>1249</v>
      </c>
    </row>
    <row r="145" spans="1:16" ht="33.4" x14ac:dyDescent="0.3">
      <c r="A145" s="6" t="str">
        <f>HYPERLINK("https://www.ti.com/product/LM51772-Q1", "LM51772-Q1")</f>
        <v>LM51772-Q1</v>
      </c>
      <c r="B145" s="5" t="s">
        <v>1250</v>
      </c>
      <c r="C145" s="6" t="str">
        <f>HYPERLINK("https://www.ti.com/lit/gpn/LM51772-Q1", "PDF")</f>
        <v>PDF</v>
      </c>
      <c r="D145" s="5" t="s">
        <v>1251</v>
      </c>
      <c r="E145" s="5" t="s">
        <v>1252</v>
      </c>
      <c r="F145" s="5" t="s">
        <v>1253</v>
      </c>
      <c r="G145" s="5" t="s">
        <v>1254</v>
      </c>
      <c r="H145" s="1" t="s">
        <v>1255</v>
      </c>
      <c r="I145" s="5" t="s">
        <v>1256</v>
      </c>
      <c r="J145" s="7">
        <v>40</v>
      </c>
      <c r="K145" s="7">
        <v>36</v>
      </c>
      <c r="L145" s="5" t="s">
        <v>1257</v>
      </c>
      <c r="M145" s="7">
        <v>1</v>
      </c>
      <c r="N145" s="7">
        <v>0.5</v>
      </c>
      <c r="O145" s="7">
        <v>3.54</v>
      </c>
      <c r="P145" s="1" t="s">
        <v>1258</v>
      </c>
    </row>
    <row r="146" spans="1:16" ht="33.4" x14ac:dyDescent="0.3">
      <c r="A146" s="6" t="str">
        <f>HYPERLINK("https://www.ti.com/product/TPS2HC08-Q1", "TPS2HC08-Q1")</f>
        <v>TPS2HC08-Q1</v>
      </c>
      <c r="B146" s="5" t="s">
        <v>1259</v>
      </c>
      <c r="C146" s="6" t="str">
        <f>HYPERLINK("https://www.ti.com/lit/gpn/TPS2HC08-Q1", "PDF")</f>
        <v>PDF</v>
      </c>
      <c r="D146" s="5" t="s">
        <v>1260</v>
      </c>
      <c r="E146" s="5" t="s">
        <v>1261</v>
      </c>
      <c r="F146" s="5"/>
      <c r="G146" s="5" t="s">
        <v>1262</v>
      </c>
      <c r="H146" s="1" t="s">
        <v>1263</v>
      </c>
      <c r="I146" s="5" t="s">
        <v>1264</v>
      </c>
      <c r="J146" s="7">
        <v>11</v>
      </c>
      <c r="K146" s="7">
        <v>7.92</v>
      </c>
      <c r="L146" s="5" t="s">
        <v>1265</v>
      </c>
      <c r="M146" s="7">
        <v>0.9</v>
      </c>
      <c r="N146" s="7">
        <v>0.5</v>
      </c>
      <c r="O146" s="7">
        <v>0.52300000000000002</v>
      </c>
      <c r="P146" s="1" t="s">
        <v>1266</v>
      </c>
    </row>
    <row r="147" spans="1:16" ht="33.4" x14ac:dyDescent="0.3">
      <c r="A147" s="6" t="str">
        <f>HYPERLINK("https://www.ti.com/product/UCC23525", "UCC23525")</f>
        <v>UCC23525</v>
      </c>
      <c r="B147" s="5" t="s">
        <v>1267</v>
      </c>
      <c r="C147" s="6" t="str">
        <f>HYPERLINK("https://www.ti.com/lit/gpn/UCC23525", "PDF")</f>
        <v>PDF</v>
      </c>
      <c r="D147" s="5" t="s">
        <v>1268</v>
      </c>
      <c r="E147" s="5" t="s">
        <v>1269</v>
      </c>
      <c r="F147" s="5"/>
      <c r="G147" s="5" t="s">
        <v>1270</v>
      </c>
      <c r="H147" s="1" t="s">
        <v>1271</v>
      </c>
      <c r="I147" s="5" t="s">
        <v>1272</v>
      </c>
      <c r="J147" s="7">
        <v>6</v>
      </c>
      <c r="K147" s="7">
        <v>53.82</v>
      </c>
      <c r="L147" s="5" t="s">
        <v>1273</v>
      </c>
      <c r="M147" s="7">
        <v>3.43</v>
      </c>
      <c r="N147" s="7">
        <v>1.27</v>
      </c>
      <c r="O147" s="7">
        <v>0.24199999999999999</v>
      </c>
      <c r="P147" s="1" t="s">
        <v>1274</v>
      </c>
    </row>
    <row r="148" spans="1:16" ht="33.4" x14ac:dyDescent="0.3">
      <c r="A148" s="6" t="str">
        <f>HYPERLINK("https://www.ti.com/product/TLV7A03", "TLV7A03")</f>
        <v>TLV7A03</v>
      </c>
      <c r="B148" s="5" t="s">
        <v>1275</v>
      </c>
      <c r="C148" s="6" t="str">
        <f>HYPERLINK("https://www.ti.com/lit/gpn/TLV7A03", "PDF")</f>
        <v>PDF</v>
      </c>
      <c r="D148" s="5" t="s">
        <v>1276</v>
      </c>
      <c r="E148" s="5" t="s">
        <v>1277</v>
      </c>
      <c r="F148" s="5"/>
      <c r="G148" s="5" t="s">
        <v>1278</v>
      </c>
      <c r="H148" s="1" t="s">
        <v>1279</v>
      </c>
      <c r="I148" s="5" t="s">
        <v>1280</v>
      </c>
      <c r="J148" s="7" t="s">
        <v>1281</v>
      </c>
      <c r="K148" s="7" t="s">
        <v>1282</v>
      </c>
      <c r="L148" s="5" t="s">
        <v>1283</v>
      </c>
      <c r="M148" s="7" t="s">
        <v>1284</v>
      </c>
      <c r="N148" s="7" t="s">
        <v>1285</v>
      </c>
      <c r="O148" s="7">
        <v>0.06</v>
      </c>
      <c r="P148" s="1" t="s">
        <v>1286</v>
      </c>
    </row>
    <row r="149" spans="1:16" ht="33.4" x14ac:dyDescent="0.3">
      <c r="A149" s="6" t="str">
        <f>HYPERLINK("https://www.ti.com/product/TPSM33620-Q1", "TPSM33620-Q1")</f>
        <v>TPSM33620-Q1</v>
      </c>
      <c r="B149" s="5" t="s">
        <v>1287</v>
      </c>
      <c r="C149" s="6" t="str">
        <f>HYPERLINK("https://www.ti.com/lit/gpn/TPSM33620-Q1", "PDF")</f>
        <v>PDF</v>
      </c>
      <c r="D149" s="5" t="s">
        <v>1288</v>
      </c>
      <c r="E149" s="5" t="s">
        <v>1289</v>
      </c>
      <c r="F149" s="5" t="s">
        <v>1290</v>
      </c>
      <c r="G149" s="5" t="s">
        <v>1291</v>
      </c>
      <c r="H149" s="1" t="s">
        <v>1292</v>
      </c>
      <c r="I149" s="5" t="s">
        <v>1293</v>
      </c>
      <c r="J149" s="7">
        <v>11</v>
      </c>
      <c r="K149" s="7">
        <v>15.75</v>
      </c>
      <c r="L149" s="5" t="s">
        <v>1294</v>
      </c>
      <c r="M149" s="7">
        <v>2.1</v>
      </c>
      <c r="N149" s="7">
        <v>0.5</v>
      </c>
      <c r="O149" s="7">
        <v>1.3</v>
      </c>
      <c r="P149" s="1" t="s">
        <v>1295</v>
      </c>
    </row>
    <row r="150" spans="1:16" ht="33.4" x14ac:dyDescent="0.3">
      <c r="A150" s="6" t="str">
        <f>HYPERLINK("https://www.ti.com/product/LM5137F-Q1", "LM5137F-Q1")</f>
        <v>LM5137F-Q1</v>
      </c>
      <c r="B150" s="5" t="s">
        <v>1296</v>
      </c>
      <c r="C150" s="6" t="str">
        <f>HYPERLINK("https://www.ti.com/lit/gpn/LM5137F-Q1", "PDF")</f>
        <v>PDF</v>
      </c>
      <c r="D150" s="5" t="s">
        <v>1297</v>
      </c>
      <c r="E150" s="5" t="s">
        <v>1298</v>
      </c>
      <c r="F150" s="5" t="s">
        <v>1299</v>
      </c>
      <c r="G150" s="5" t="s">
        <v>1300</v>
      </c>
      <c r="H150" s="1" t="s">
        <v>1301</v>
      </c>
      <c r="I150" s="5" t="s">
        <v>1302</v>
      </c>
      <c r="J150" s="7">
        <v>36</v>
      </c>
      <c r="K150" s="7">
        <v>36</v>
      </c>
      <c r="L150" s="5" t="s">
        <v>1303</v>
      </c>
      <c r="M150" s="7">
        <v>1</v>
      </c>
      <c r="N150" s="7">
        <v>0.5</v>
      </c>
      <c r="O150" s="7">
        <v>2.3450000000000002</v>
      </c>
      <c r="P150" s="1" t="s">
        <v>1304</v>
      </c>
    </row>
    <row r="151" spans="1:16" ht="33.4" x14ac:dyDescent="0.3">
      <c r="A151" s="6" t="str">
        <f>HYPERLINK("https://www.ti.com/product/LM65645", "LM65645")</f>
        <v>LM65645</v>
      </c>
      <c r="B151" s="5" t="s">
        <v>1305</v>
      </c>
      <c r="C151" s="6" t="str">
        <f>HYPERLINK("https://www.ti.com/lit/gpn/LM65645", "PDF")</f>
        <v>PDF</v>
      </c>
      <c r="D151" s="5" t="s">
        <v>1306</v>
      </c>
      <c r="E151" s="5" t="s">
        <v>1307</v>
      </c>
      <c r="F151" s="5" t="s">
        <v>1308</v>
      </c>
      <c r="G151" s="5" t="s">
        <v>1309</v>
      </c>
      <c r="H151" s="1" t="s">
        <v>1310</v>
      </c>
      <c r="I151" s="5" t="s">
        <v>1311</v>
      </c>
      <c r="J151" s="7">
        <v>20</v>
      </c>
      <c r="K151" s="7">
        <v>9.36</v>
      </c>
      <c r="L151" s="5" t="s">
        <v>1312</v>
      </c>
      <c r="M151" s="7">
        <v>0.7</v>
      </c>
      <c r="N151" s="7">
        <v>0.5</v>
      </c>
      <c r="O151" s="7">
        <v>1.78</v>
      </c>
      <c r="P151" s="1" t="s">
        <v>1313</v>
      </c>
    </row>
    <row r="152" spans="1:16" ht="33.4" x14ac:dyDescent="0.3">
      <c r="A152" s="6" t="str">
        <f>HYPERLINK("https://www.ti.com/product/LM65645-Q1", "LM65645-Q1")</f>
        <v>LM65645-Q1</v>
      </c>
      <c r="B152" s="5" t="s">
        <v>1314</v>
      </c>
      <c r="C152" s="6" t="str">
        <f>HYPERLINK("https://www.ti.com/lit/gpn/LM65645-Q1", "PDF")</f>
        <v>PDF</v>
      </c>
      <c r="D152" s="5" t="s">
        <v>1315</v>
      </c>
      <c r="E152" s="5" t="s">
        <v>1316</v>
      </c>
      <c r="F152" s="5" t="s">
        <v>1317</v>
      </c>
      <c r="G152" s="5" t="s">
        <v>1318</v>
      </c>
      <c r="H152" s="1" t="s">
        <v>1319</v>
      </c>
      <c r="I152" s="5" t="s">
        <v>1320</v>
      </c>
      <c r="J152" s="7">
        <v>20</v>
      </c>
      <c r="K152" s="7">
        <v>9.36</v>
      </c>
      <c r="L152" s="5" t="s">
        <v>1321</v>
      </c>
      <c r="M152" s="7">
        <v>0.7</v>
      </c>
      <c r="N152" s="7">
        <v>0.5</v>
      </c>
      <c r="O152" s="7">
        <v>2.4</v>
      </c>
      <c r="P152" s="1" t="s">
        <v>1322</v>
      </c>
    </row>
    <row r="153" spans="1:16" ht="33.4" x14ac:dyDescent="0.3">
      <c r="A153" s="6" t="str">
        <f>HYPERLINK("https://www.ti.com/product/TLV785", "TLV785")</f>
        <v>TLV785</v>
      </c>
      <c r="B153" s="5" t="s">
        <v>1323</v>
      </c>
      <c r="C153" s="6" t="str">
        <f>HYPERLINK("https://www.ti.com/lit/gpn/TLV785", "PDF")</f>
        <v>PDF</v>
      </c>
      <c r="D153" s="5" t="s">
        <v>1324</v>
      </c>
      <c r="E153" s="5" t="s">
        <v>1325</v>
      </c>
      <c r="F153" s="5"/>
      <c r="G153" s="5" t="s">
        <v>1326</v>
      </c>
      <c r="H153" s="1" t="s">
        <v>1327</v>
      </c>
      <c r="I153" s="5" t="s">
        <v>1328</v>
      </c>
      <c r="J153" s="7">
        <v>5</v>
      </c>
      <c r="K153" s="7">
        <v>8.1199999999999992</v>
      </c>
      <c r="L153" s="5" t="s">
        <v>1329</v>
      </c>
      <c r="M153" s="7">
        <v>1.45</v>
      </c>
      <c r="N153" s="7">
        <v>0.95</v>
      </c>
      <c r="O153" s="7">
        <v>2.9000000000000001E-2</v>
      </c>
      <c r="P153" s="1" t="s">
        <v>1330</v>
      </c>
    </row>
    <row r="154" spans="1:16" ht="33.4" x14ac:dyDescent="0.3">
      <c r="A154" s="6" t="str">
        <f>HYPERLINK("https://www.ti.com/product/UCC218200-Q1", "UCC218200-Q1")</f>
        <v>UCC218200-Q1</v>
      </c>
      <c r="B154" s="5" t="s">
        <v>1331</v>
      </c>
      <c r="C154" s="6" t="str">
        <f>HYPERLINK("https://www.ti.com/lit/gpn/UCC218200-Q1", "PDF")</f>
        <v>PDF</v>
      </c>
      <c r="D154" s="5" t="s">
        <v>1332</v>
      </c>
      <c r="E154" s="5" t="s">
        <v>1333</v>
      </c>
      <c r="F154" s="5"/>
      <c r="G154" s="5" t="s">
        <v>1334</v>
      </c>
      <c r="H154" s="1" t="s">
        <v>1335</v>
      </c>
      <c r="I154" s="5" t="s">
        <v>1336</v>
      </c>
      <c r="J154" s="7">
        <v>20</v>
      </c>
      <c r="K154" s="7">
        <v>58.195</v>
      </c>
      <c r="L154" s="5" t="s">
        <v>1337</v>
      </c>
      <c r="M154" s="7">
        <v>2.65</v>
      </c>
      <c r="N154" s="7">
        <v>0.5</v>
      </c>
      <c r="O154" s="7">
        <v>1.645</v>
      </c>
      <c r="P154" s="1" t="s">
        <v>1338</v>
      </c>
    </row>
    <row r="155" spans="1:16" ht="33.4" x14ac:dyDescent="0.3">
      <c r="A155" s="6" t="str">
        <f>HYPERLINK("https://www.ti.com/product/TPS51375H", "TPS51375H")</f>
        <v>TPS51375H</v>
      </c>
      <c r="B155" s="5" t="s">
        <v>1339</v>
      </c>
      <c r="C155" s="6" t="str">
        <f>HYPERLINK("https://www.ti.com/lit/gpn/TPS51375H", "PDF")</f>
        <v>PDF</v>
      </c>
      <c r="D155" s="5" t="s">
        <v>1340</v>
      </c>
      <c r="E155" s="5" t="s">
        <v>1341</v>
      </c>
      <c r="F155" s="5" t="s">
        <v>1342</v>
      </c>
      <c r="G155" s="5" t="s">
        <v>1343</v>
      </c>
      <c r="H155" s="1" t="s">
        <v>1344</v>
      </c>
      <c r="I155" s="5" t="s">
        <v>1345</v>
      </c>
      <c r="J155" s="7">
        <v>19</v>
      </c>
      <c r="K155" s="7">
        <v>12</v>
      </c>
      <c r="L155" s="5" t="s">
        <v>1346</v>
      </c>
      <c r="M155" s="7">
        <v>0.7</v>
      </c>
      <c r="N155" s="7">
        <v>0.4</v>
      </c>
      <c r="O155" s="7">
        <v>0.48</v>
      </c>
      <c r="P155" s="1" t="s">
        <v>1347</v>
      </c>
    </row>
    <row r="156" spans="1:16" ht="33.4" x14ac:dyDescent="0.3">
      <c r="A156" s="6" t="str">
        <f>HYPERLINK("https://www.ti.com/product/TPS51375L", "TPS51375L")</f>
        <v>TPS51375L</v>
      </c>
      <c r="B156" s="5" t="s">
        <v>1348</v>
      </c>
      <c r="C156" s="6" t="str">
        <f>HYPERLINK("https://www.ti.com/lit/gpn/TPS51375L", "PDF")</f>
        <v>PDF</v>
      </c>
      <c r="D156" s="5" t="s">
        <v>1349</v>
      </c>
      <c r="E156" s="5" t="s">
        <v>1350</v>
      </c>
      <c r="F156" s="5" t="s">
        <v>1351</v>
      </c>
      <c r="G156" s="5" t="s">
        <v>1352</v>
      </c>
      <c r="H156" s="1" t="s">
        <v>1353</v>
      </c>
      <c r="I156" s="5" t="s">
        <v>1354</v>
      </c>
      <c r="J156" s="7">
        <v>19</v>
      </c>
      <c r="K156" s="7">
        <v>12</v>
      </c>
      <c r="L156" s="5" t="s">
        <v>1355</v>
      </c>
      <c r="M156" s="7">
        <v>0.7</v>
      </c>
      <c r="N156" s="7">
        <v>0.4</v>
      </c>
      <c r="O156" s="7">
        <v>0.40300000000000002</v>
      </c>
      <c r="P156" s="1" t="s">
        <v>1356</v>
      </c>
    </row>
    <row r="157" spans="1:16" ht="33.4" x14ac:dyDescent="0.3">
      <c r="A157" s="6" t="str">
        <f>HYPERLINK("https://www.ti.com/product/TPSI31P1-Q1", "TPSI31P1-Q1")</f>
        <v>TPSI31P1-Q1</v>
      </c>
      <c r="B157" s="5" t="s">
        <v>1357</v>
      </c>
      <c r="C157" s="6" t="str">
        <f>HYPERLINK("https://www.ti.com/lit/gpn/TPSI31P1-Q1", "PDF")</f>
        <v>PDF</v>
      </c>
      <c r="D157" s="5" t="s">
        <v>1358</v>
      </c>
      <c r="E157" s="5" t="s">
        <v>1359</v>
      </c>
      <c r="F157" s="5"/>
      <c r="G157" s="5" t="s">
        <v>1360</v>
      </c>
      <c r="H157" s="1" t="s">
        <v>1361</v>
      </c>
      <c r="I157" s="5" t="s">
        <v>1362</v>
      </c>
      <c r="J157" s="7">
        <v>16</v>
      </c>
      <c r="K157" s="7">
        <v>60.255000000000003</v>
      </c>
      <c r="L157" s="5" t="s">
        <v>1363</v>
      </c>
      <c r="M157" s="7">
        <v>2.8</v>
      </c>
      <c r="N157" s="7">
        <v>0.65</v>
      </c>
      <c r="O157" s="7">
        <v>2.2890000000000001</v>
      </c>
      <c r="P157" s="1" t="s">
        <v>1364</v>
      </c>
    </row>
    <row r="158" spans="1:16" ht="49.75" x14ac:dyDescent="0.3">
      <c r="A158" s="6" t="str">
        <f>HYPERLINK("https://www.ti.com/product/UCC33020", "UCC33020")</f>
        <v>UCC33020</v>
      </c>
      <c r="B158" s="5" t="s">
        <v>1365</v>
      </c>
      <c r="C158" s="6" t="str">
        <f>HYPERLINK("https://www.ti.com/lit/gpn/UCC33020", "PDF")</f>
        <v>PDF</v>
      </c>
      <c r="D158" s="5" t="s">
        <v>1366</v>
      </c>
      <c r="E158" s="5" t="s">
        <v>1367</v>
      </c>
      <c r="F158" s="5"/>
      <c r="G158" s="5" t="s">
        <v>1368</v>
      </c>
      <c r="H158" s="1" t="s">
        <v>1369</v>
      </c>
      <c r="I158" s="5" t="s">
        <v>1370</v>
      </c>
      <c r="J158" s="7">
        <v>12</v>
      </c>
      <c r="K158" s="7">
        <v>20</v>
      </c>
      <c r="L158" s="5" t="s">
        <v>1371</v>
      </c>
      <c r="M158" s="7">
        <v>1.05</v>
      </c>
      <c r="N158" s="7">
        <v>0.65</v>
      </c>
      <c r="O158" s="7">
        <v>1.25</v>
      </c>
      <c r="P158" s="1" t="s">
        <v>1372</v>
      </c>
    </row>
    <row r="159" spans="1:16" ht="33.4" x14ac:dyDescent="0.3">
      <c r="A159" s="6" t="str">
        <f>HYPERLINK("https://www.ti.com/product/TPS548B23", "TPS548B23")</f>
        <v>TPS548B23</v>
      </c>
      <c r="B159" s="5" t="s">
        <v>1373</v>
      </c>
      <c r="C159" s="6" t="str">
        <f>HYPERLINK("https://www.ti.com/lit/gpn/TPS548B23", "PDF")</f>
        <v>PDF</v>
      </c>
      <c r="D159" s="5" t="s">
        <v>1374</v>
      </c>
      <c r="E159" s="5" t="s">
        <v>1375</v>
      </c>
      <c r="F159" s="5" t="s">
        <v>1376</v>
      </c>
      <c r="G159" s="5" t="s">
        <v>1377</v>
      </c>
      <c r="H159" s="1" t="s">
        <v>1378</v>
      </c>
      <c r="I159" s="5" t="s">
        <v>1379</v>
      </c>
      <c r="J159" s="7">
        <v>19</v>
      </c>
      <c r="K159" s="7">
        <v>9</v>
      </c>
      <c r="L159" s="5" t="s">
        <v>1380</v>
      </c>
      <c r="M159" s="7">
        <v>0.8</v>
      </c>
      <c r="N159" s="7">
        <v>0.4</v>
      </c>
      <c r="O159" s="7">
        <v>1.714</v>
      </c>
      <c r="P159" s="1" t="s">
        <v>1381</v>
      </c>
    </row>
    <row r="160" spans="1:16" ht="17.05" x14ac:dyDescent="0.3">
      <c r="A160" s="6" t="str">
        <f>HYPERLINK("https://www.ti.com/product/TPS7H6025-SP", "TPS7H6025-SP")</f>
        <v>TPS7H6025-SP</v>
      </c>
      <c r="B160" s="5" t="s">
        <v>1382</v>
      </c>
      <c r="C160" s="6" t="str">
        <f>HYPERLINK("https://www.ti.com/lit/gpn/TPS7H6025-SP", "PDF")</f>
        <v>PDF</v>
      </c>
      <c r="D160" s="5" t="s">
        <v>1383</v>
      </c>
      <c r="E160" s="5" t="s">
        <v>1384</v>
      </c>
      <c r="F160" s="5"/>
      <c r="G160" s="5" t="s">
        <v>1385</v>
      </c>
      <c r="H160" s="1" t="s">
        <v>1386</v>
      </c>
      <c r="I160" s="5" t="s">
        <v>1387</v>
      </c>
      <c r="J160" s="7">
        <v>56</v>
      </c>
      <c r="K160" s="7">
        <v>113.4</v>
      </c>
      <c r="L160" s="5" t="s">
        <v>1388</v>
      </c>
      <c r="M160" s="7">
        <v>1.2</v>
      </c>
      <c r="N160" s="7">
        <v>0.5</v>
      </c>
      <c r="O160" s="7">
        <v>948.32</v>
      </c>
      <c r="P160" s="1" t="s">
        <v>1389</v>
      </c>
    </row>
    <row r="161" spans="1:16" ht="17.05" x14ac:dyDescent="0.3">
      <c r="A161" s="6" t="str">
        <f>HYPERLINK("https://www.ti.com/product/LP8865C-Q1", "LP8865C-Q1")</f>
        <v>LP8865C-Q1</v>
      </c>
      <c r="B161" s="5" t="s">
        <v>1390</v>
      </c>
      <c r="C161" s="6" t="str">
        <f>HYPERLINK("https://www.ti.com/lit/gpn/LP8865C-Q1", "PDF")</f>
        <v>PDF</v>
      </c>
      <c r="D161" s="5" t="s">
        <v>1391</v>
      </c>
      <c r="E161" s="5" t="s">
        <v>1392</v>
      </c>
      <c r="F161" s="5" t="s">
        <v>1393</v>
      </c>
      <c r="G161" s="5" t="s">
        <v>1394</v>
      </c>
      <c r="H161" s="1" t="s">
        <v>1395</v>
      </c>
      <c r="I161" s="5" t="s">
        <v>1396</v>
      </c>
      <c r="J161" s="7">
        <v>8</v>
      </c>
      <c r="K161" s="7">
        <v>14.7</v>
      </c>
      <c r="L161" s="5" t="s">
        <v>1397</v>
      </c>
      <c r="M161" s="7">
        <v>1.1000000000000001</v>
      </c>
      <c r="N161" s="7">
        <v>0.65</v>
      </c>
      <c r="O161" s="7">
        <v>0.34</v>
      </c>
      <c r="P161" s="1" t="s">
        <v>1398</v>
      </c>
    </row>
    <row r="162" spans="1:16" ht="33.4" x14ac:dyDescent="0.3">
      <c r="A162" s="6" t="str">
        <f>HYPERLINK("https://www.ti.com/product/LMG3427R050", "LMG3427R050")</f>
        <v>LMG3427R050</v>
      </c>
      <c r="B162" s="5" t="s">
        <v>1399</v>
      </c>
      <c r="C162" s="6" t="str">
        <f>HYPERLINK("https://www.ti.com/lit/gpn/LMG3427R050", "PDF")</f>
        <v>PDF</v>
      </c>
      <c r="D162" s="5" t="s">
        <v>1400</v>
      </c>
      <c r="E162" s="5" t="s">
        <v>1401</v>
      </c>
      <c r="F162" s="5"/>
      <c r="G162" s="5"/>
      <c r="H162" s="1" t="s">
        <v>1402</v>
      </c>
      <c r="I162" s="5" t="s">
        <v>1403</v>
      </c>
      <c r="J162" s="7"/>
      <c r="K162" s="7"/>
      <c r="L162" s="5"/>
      <c r="M162" s="7"/>
      <c r="N162" s="7"/>
      <c r="O162" s="7">
        <v>6.75</v>
      </c>
      <c r="P162" s="1" t="s">
        <v>1404</v>
      </c>
    </row>
    <row r="163" spans="1:16" ht="33.4" x14ac:dyDescent="0.3">
      <c r="A163" s="6" t="str">
        <f>HYPERLINK("https://www.ti.com/product/TPS7H6101-SEP", "TPS7H6101-SEP")</f>
        <v>TPS7H6101-SEP</v>
      </c>
      <c r="B163" s="5" t="s">
        <v>1405</v>
      </c>
      <c r="C163" s="6" t="str">
        <f>HYPERLINK("https://www.ti.com/lit/gpn/TPS7H6101-SEP", "PDF")</f>
        <v>PDF</v>
      </c>
      <c r="D163" s="5" t="s">
        <v>1406</v>
      </c>
      <c r="E163" s="5" t="s">
        <v>1407</v>
      </c>
      <c r="F163" s="5"/>
      <c r="G163" s="5" t="s">
        <v>1408</v>
      </c>
      <c r="H163" s="1" t="s">
        <v>1409</v>
      </c>
      <c r="I163" s="5" t="s">
        <v>1410</v>
      </c>
      <c r="J163" s="7">
        <v>64</v>
      </c>
      <c r="K163" s="7" t="s">
        <v>1411</v>
      </c>
      <c r="L163" s="5" t="s">
        <v>1412</v>
      </c>
      <c r="M163" s="7" t="s">
        <v>1413</v>
      </c>
      <c r="N163" s="7" t="s">
        <v>1414</v>
      </c>
      <c r="O163" s="7">
        <v>1619.84</v>
      </c>
      <c r="P163" s="1" t="s">
        <v>1415</v>
      </c>
    </row>
    <row r="164" spans="1:16" ht="49.75" x14ac:dyDescent="0.3">
      <c r="A164" s="6" t="str">
        <f>HYPERLINK("https://www.ti.com/product/UCG28826", "UCG28826")</f>
        <v>UCG28826</v>
      </c>
      <c r="B164" s="5" t="s">
        <v>1416</v>
      </c>
      <c r="C164" s="6" t="str">
        <f>HYPERLINK("https://www.ti.com/lit/gpn/UCG28826", "PDF")</f>
        <v>PDF</v>
      </c>
      <c r="D164" s="5" t="s">
        <v>1417</v>
      </c>
      <c r="E164" s="5" t="s">
        <v>1418</v>
      </c>
      <c r="F164" s="5" t="s">
        <v>1419</v>
      </c>
      <c r="G164" s="5" t="s">
        <v>1420</v>
      </c>
      <c r="H164" s="1" t="s">
        <v>1421</v>
      </c>
      <c r="I164" s="5" t="s">
        <v>1422</v>
      </c>
      <c r="J164" s="7">
        <v>12</v>
      </c>
      <c r="K164" s="7">
        <v>25</v>
      </c>
      <c r="L164" s="5" t="s">
        <v>1423</v>
      </c>
      <c r="M164" s="7">
        <v>1</v>
      </c>
      <c r="N164" s="7">
        <v>0.5</v>
      </c>
      <c r="O164" s="7">
        <v>2.3580000000000001</v>
      </c>
      <c r="P164" s="1" t="s">
        <v>1424</v>
      </c>
    </row>
    <row r="165" spans="1:16" ht="33.4" x14ac:dyDescent="0.3">
      <c r="A165" s="6" t="str">
        <f>HYPERLINK("https://www.ti.com/product/TPS628523-Q1", "TPS628523-Q1")</f>
        <v>TPS628523-Q1</v>
      </c>
      <c r="B165" s="5" t="s">
        <v>1425</v>
      </c>
      <c r="C165" s="6" t="str">
        <f>HYPERLINK("https://www.ti.com/lit/gpn/TPS628523-Q1", "PDF")</f>
        <v>PDF</v>
      </c>
      <c r="D165" s="5" t="s">
        <v>1426</v>
      </c>
      <c r="E165" s="5" t="s">
        <v>1427</v>
      </c>
      <c r="F165" s="5" t="s">
        <v>1428</v>
      </c>
      <c r="G165" s="5" t="s">
        <v>1429</v>
      </c>
      <c r="H165" s="1" t="s">
        <v>1430</v>
      </c>
      <c r="I165" s="5" t="s">
        <v>1431</v>
      </c>
      <c r="J165" s="7">
        <v>8</v>
      </c>
      <c r="K165" s="7">
        <v>3</v>
      </c>
      <c r="L165" s="5" t="s">
        <v>1432</v>
      </c>
      <c r="M165" s="7">
        <v>0.8</v>
      </c>
      <c r="N165" s="7">
        <v>0.5</v>
      </c>
      <c r="O165" s="7">
        <v>0.69599999999999995</v>
      </c>
      <c r="P165" s="1" t="s">
        <v>1433</v>
      </c>
    </row>
    <row r="166" spans="1:16" ht="33.4" x14ac:dyDescent="0.3">
      <c r="A166" s="6" t="str">
        <f>HYPERLINK("https://www.ti.com/product/TPS62A02-Q1", "TPS62A02-Q1")</f>
        <v>TPS62A02-Q1</v>
      </c>
      <c r="B166" s="5" t="s">
        <v>1434</v>
      </c>
      <c r="C166" s="6" t="str">
        <f>HYPERLINK("https://www.ti.com/lit/gpn/TPS62A02-Q1", "PDF")</f>
        <v>PDF</v>
      </c>
      <c r="D166" s="5" t="s">
        <v>1435</v>
      </c>
      <c r="E166" s="5" t="s">
        <v>1436</v>
      </c>
      <c r="F166" s="5" t="s">
        <v>1437</v>
      </c>
      <c r="G166" s="5" t="s">
        <v>1438</v>
      </c>
      <c r="H166" s="1" t="s">
        <v>1439</v>
      </c>
      <c r="I166" s="5" t="s">
        <v>1440</v>
      </c>
      <c r="J166" s="7">
        <v>6</v>
      </c>
      <c r="K166" s="7">
        <v>2.56</v>
      </c>
      <c r="L166" s="5" t="s">
        <v>1441</v>
      </c>
      <c r="M166" s="7">
        <v>0.6</v>
      </c>
      <c r="N166" s="7">
        <v>0.5</v>
      </c>
      <c r="O166" s="7">
        <v>0.253</v>
      </c>
      <c r="P166" s="1" t="s">
        <v>1442</v>
      </c>
    </row>
    <row r="167" spans="1:16" ht="33.4" x14ac:dyDescent="0.3">
      <c r="A167" s="6" t="str">
        <f>HYPERLINK("https://www.ti.com/product/TPS62A02A-Q1", "TPS62A02A-Q1")</f>
        <v>TPS62A02A-Q1</v>
      </c>
      <c r="B167" s="5" t="s">
        <v>1443</v>
      </c>
      <c r="C167" s="6" t="str">
        <f>HYPERLINK("https://www.ti.com/lit/gpn/TPS62A02A-Q1", "PDF")</f>
        <v>PDF</v>
      </c>
      <c r="D167" s="5" t="s">
        <v>1444</v>
      </c>
      <c r="E167" s="5" t="s">
        <v>1445</v>
      </c>
      <c r="F167" s="5" t="s">
        <v>1446</v>
      </c>
      <c r="G167" s="5" t="s">
        <v>1447</v>
      </c>
      <c r="H167" s="1" t="s">
        <v>1448</v>
      </c>
      <c r="I167" s="5" t="s">
        <v>1449</v>
      </c>
      <c r="J167" s="7">
        <v>6</v>
      </c>
      <c r="K167" s="7">
        <v>2.56</v>
      </c>
      <c r="L167" s="5" t="s">
        <v>1450</v>
      </c>
      <c r="M167" s="7">
        <v>0.6</v>
      </c>
      <c r="N167" s="7">
        <v>0.5</v>
      </c>
      <c r="O167" s="7">
        <v>0.253</v>
      </c>
      <c r="P167" s="1" t="s">
        <v>1451</v>
      </c>
    </row>
    <row r="168" spans="1:16" ht="33.4" x14ac:dyDescent="0.3">
      <c r="A168" s="6" t="str">
        <f>HYPERLINK("https://www.ti.com/product/TPS60800-Q1", "TPS60800-Q1")</f>
        <v>TPS60800-Q1</v>
      </c>
      <c r="B168" s="5" t="s">
        <v>1452</v>
      </c>
      <c r="C168" s="6" t="str">
        <f>HYPERLINK("https://www.ti.com/lit/gpn/TPS60800-Q1", "PDF")</f>
        <v>PDF</v>
      </c>
      <c r="D168" s="5" t="s">
        <v>1453</v>
      </c>
      <c r="E168" s="5" t="s">
        <v>1454</v>
      </c>
      <c r="F168" s="5"/>
      <c r="G168" s="5" t="s">
        <v>1455</v>
      </c>
      <c r="H168" s="1" t="s">
        <v>1456</v>
      </c>
      <c r="I168" s="5" t="s">
        <v>1457</v>
      </c>
      <c r="J168" s="7">
        <v>6</v>
      </c>
      <c r="K168" s="7">
        <v>2.56</v>
      </c>
      <c r="L168" s="5" t="s">
        <v>1458</v>
      </c>
      <c r="M168" s="7">
        <v>0.6</v>
      </c>
      <c r="N168" s="7">
        <v>0.5</v>
      </c>
      <c r="O168" s="7">
        <v>0.374</v>
      </c>
      <c r="P168" s="1" t="s">
        <v>1459</v>
      </c>
    </row>
    <row r="169" spans="1:16" ht="17.05" x14ac:dyDescent="0.3">
      <c r="A169" s="6" t="str">
        <f>HYPERLINK("https://www.ti.com/product/TPS7H6015-SP", "TPS7H6015-SP")</f>
        <v>TPS7H6015-SP</v>
      </c>
      <c r="B169" s="5" t="s">
        <v>1460</v>
      </c>
      <c r="C169" s="6" t="str">
        <f>HYPERLINK("https://www.ti.com/lit/gpn/TPS7H6015-SP", "PDF")</f>
        <v>PDF</v>
      </c>
      <c r="D169" s="5" t="s">
        <v>1461</v>
      </c>
      <c r="E169" s="5" t="s">
        <v>1462</v>
      </c>
      <c r="F169" s="5"/>
      <c r="G169" s="5" t="s">
        <v>1463</v>
      </c>
      <c r="H169" s="1" t="s">
        <v>1464</v>
      </c>
      <c r="I169" s="5" t="s">
        <v>1465</v>
      </c>
      <c r="J169" s="7">
        <v>56</v>
      </c>
      <c r="K169" s="7">
        <v>113.4</v>
      </c>
      <c r="L169" s="5" t="s">
        <v>1466</v>
      </c>
      <c r="M169" s="7">
        <v>1.2</v>
      </c>
      <c r="N169" s="7">
        <v>0.5</v>
      </c>
      <c r="O169" s="7">
        <v>1525.96</v>
      </c>
      <c r="P169" s="1" t="s">
        <v>1467</v>
      </c>
    </row>
    <row r="170" spans="1:16" ht="33.4" x14ac:dyDescent="0.3">
      <c r="A170" s="6" t="str">
        <f>HYPERLINK("https://www.ti.com/product/TPS4816-Q1", "TPS4816-Q1")</f>
        <v>TPS4816-Q1</v>
      </c>
      <c r="B170" s="5" t="s">
        <v>1468</v>
      </c>
      <c r="C170" s="6" t="str">
        <f>HYPERLINK("https://www.ti.com/lit/gpn/TPS4816-Q1", "PDF")</f>
        <v>PDF</v>
      </c>
      <c r="D170" s="5" t="s">
        <v>1469</v>
      </c>
      <c r="E170" s="5" t="s">
        <v>1470</v>
      </c>
      <c r="F170" s="5"/>
      <c r="G170" s="5" t="s">
        <v>1471</v>
      </c>
      <c r="H170" s="1" t="s">
        <v>1472</v>
      </c>
      <c r="I170" s="5" t="s">
        <v>1473</v>
      </c>
      <c r="J170" s="7">
        <v>23</v>
      </c>
      <c r="K170" s="7">
        <v>16</v>
      </c>
      <c r="L170" s="5" t="s">
        <v>1474</v>
      </c>
      <c r="M170" s="7">
        <v>1</v>
      </c>
      <c r="N170" s="7">
        <v>0.5</v>
      </c>
      <c r="O170" s="7">
        <v>2.113</v>
      </c>
      <c r="P170" s="1" t="s">
        <v>1475</v>
      </c>
    </row>
    <row r="171" spans="1:16" ht="33.4" x14ac:dyDescent="0.3">
      <c r="A171" s="6" t="str">
        <f>HYPERLINK("https://www.ti.com/product/TPS6286A06D", "TPS6286A06D")</f>
        <v>TPS6286A06D</v>
      </c>
      <c r="B171" s="5" t="s">
        <v>1476</v>
      </c>
      <c r="C171" s="6" t="str">
        <f>HYPERLINK("https://www.ti.com/lit/gpn/TPS6286A06D", "PDF")</f>
        <v>PDF</v>
      </c>
      <c r="D171" s="5" t="s">
        <v>1477</v>
      </c>
      <c r="E171" s="5" t="s">
        <v>1478</v>
      </c>
      <c r="F171" s="5" t="s">
        <v>1479</v>
      </c>
      <c r="G171" s="5" t="s">
        <v>1480</v>
      </c>
      <c r="H171" s="1" t="s">
        <v>1481</v>
      </c>
      <c r="I171" s="5" t="s">
        <v>1482</v>
      </c>
      <c r="J171" s="7">
        <v>13</v>
      </c>
      <c r="K171" s="7">
        <v>6</v>
      </c>
      <c r="L171" s="5" t="s">
        <v>1483</v>
      </c>
      <c r="M171" s="7">
        <v>1</v>
      </c>
      <c r="N171" s="7">
        <v>0.5</v>
      </c>
      <c r="O171" s="7">
        <v>0.95</v>
      </c>
      <c r="P171" s="1" t="s">
        <v>1484</v>
      </c>
    </row>
    <row r="172" spans="1:16" ht="17.05" x14ac:dyDescent="0.3">
      <c r="A172" s="6" t="str">
        <f>HYPERLINK("https://www.ti.com/product/TPS7H6005-SP", "TPS7H6005-SP")</f>
        <v>TPS7H6005-SP</v>
      </c>
      <c r="B172" s="5" t="s">
        <v>1485</v>
      </c>
      <c r="C172" s="6" t="str">
        <f>HYPERLINK("https://www.ti.com/lit/gpn/TPS7H6005-SP", "PDF")</f>
        <v>PDF</v>
      </c>
      <c r="D172" s="5" t="s">
        <v>1486</v>
      </c>
      <c r="E172" s="5" t="s">
        <v>1487</v>
      </c>
      <c r="F172" s="5"/>
      <c r="G172" s="5" t="s">
        <v>1488</v>
      </c>
      <c r="H172" s="1" t="s">
        <v>1489</v>
      </c>
      <c r="I172" s="5" t="s">
        <v>1490</v>
      </c>
      <c r="J172" s="7">
        <v>56</v>
      </c>
      <c r="K172" s="7">
        <v>113.4</v>
      </c>
      <c r="L172" s="5" t="s">
        <v>1491</v>
      </c>
      <c r="M172" s="7">
        <v>1.2</v>
      </c>
      <c r="N172" s="7">
        <v>0.5</v>
      </c>
      <c r="O172" s="7">
        <v>2120.5</v>
      </c>
      <c r="P172" s="1" t="s">
        <v>1492</v>
      </c>
    </row>
    <row r="173" spans="1:16" ht="33.4" x14ac:dyDescent="0.3">
      <c r="A173" s="6" t="str">
        <f>HYPERLINK("https://www.ti.com/product/TPS2HCS08-Q1", "TPS2HCS08-Q1")</f>
        <v>TPS2HCS08-Q1</v>
      </c>
      <c r="B173" s="5" t="s">
        <v>1493</v>
      </c>
      <c r="C173" s="6" t="str">
        <f>HYPERLINK("https://www.ti.com/lit/gpn/TPS2HCS08-Q1", "PDF")</f>
        <v>PDF</v>
      </c>
      <c r="D173" s="5" t="s">
        <v>1494</v>
      </c>
      <c r="E173" s="5" t="s">
        <v>1495</v>
      </c>
      <c r="F173" s="5"/>
      <c r="G173" s="5" t="s">
        <v>1496</v>
      </c>
      <c r="H173" s="1" t="s">
        <v>1497</v>
      </c>
      <c r="I173" s="5" t="s">
        <v>1498</v>
      </c>
      <c r="J173" s="7">
        <v>16</v>
      </c>
      <c r="K173" s="7">
        <v>32</v>
      </c>
      <c r="L173" s="5" t="s">
        <v>1499</v>
      </c>
      <c r="M173" s="7">
        <v>1.2</v>
      </c>
      <c r="N173" s="7">
        <v>0.65</v>
      </c>
      <c r="O173" s="7">
        <v>1.6970000000000001</v>
      </c>
      <c r="P173" s="1" t="s">
        <v>1500</v>
      </c>
    </row>
    <row r="174" spans="1:16" ht="33.4" x14ac:dyDescent="0.3">
      <c r="A174" s="6" t="str">
        <f>HYPERLINK("https://www.ti.com/product/TPS61372L", "TPS61372L")</f>
        <v>TPS61372L</v>
      </c>
      <c r="B174" s="5" t="s">
        <v>1501</v>
      </c>
      <c r="C174" s="6" t="str">
        <f>HYPERLINK("https://www.ti.com/lit/gpn/TPS61372L", "PDF")</f>
        <v>PDF</v>
      </c>
      <c r="D174" s="5" t="s">
        <v>1502</v>
      </c>
      <c r="E174" s="5" t="s">
        <v>1503</v>
      </c>
      <c r="F174" s="5" t="s">
        <v>1504</v>
      </c>
      <c r="G174" s="5" t="s">
        <v>1505</v>
      </c>
      <c r="H174" s="1" t="s">
        <v>1506</v>
      </c>
      <c r="I174" s="5" t="s">
        <v>1507</v>
      </c>
      <c r="J174" s="7">
        <v>14</v>
      </c>
      <c r="K174" s="7">
        <v>6.25</v>
      </c>
      <c r="L174" s="5" t="s">
        <v>1508</v>
      </c>
      <c r="M174" s="7">
        <v>0.8</v>
      </c>
      <c r="N174" s="7">
        <v>0.5</v>
      </c>
      <c r="O174" s="7">
        <v>1.6</v>
      </c>
      <c r="P174" s="1" t="s">
        <v>1509</v>
      </c>
    </row>
    <row r="175" spans="1:16" ht="33.4" x14ac:dyDescent="0.3">
      <c r="A175" s="6" t="str">
        <f>HYPERLINK("https://www.ti.com/product/TPS542025", "TPS542025")</f>
        <v>TPS542025</v>
      </c>
      <c r="B175" s="5" t="s">
        <v>1510</v>
      </c>
      <c r="C175" s="6" t="str">
        <f>HYPERLINK("https://www.ti.com/lit/gpn/TPS542025", "PDF")</f>
        <v>PDF</v>
      </c>
      <c r="D175" s="5" t="s">
        <v>1511</v>
      </c>
      <c r="E175" s="5" t="s">
        <v>1512</v>
      </c>
      <c r="F175" s="5" t="s">
        <v>1513</v>
      </c>
      <c r="G175" s="5" t="s">
        <v>1514</v>
      </c>
      <c r="H175" s="1" t="s">
        <v>1515</v>
      </c>
      <c r="I175" s="5" t="s">
        <v>1516</v>
      </c>
      <c r="J175" s="7">
        <v>6</v>
      </c>
      <c r="K175" s="7">
        <v>8.1199999999999992</v>
      </c>
      <c r="L175" s="5" t="s">
        <v>1517</v>
      </c>
      <c r="M175" s="7">
        <v>1.1000000000000001</v>
      </c>
      <c r="N175" s="7">
        <v>0.95</v>
      </c>
      <c r="O175" s="7">
        <v>0.40799999999999997</v>
      </c>
      <c r="P175" s="1" t="s">
        <v>1518</v>
      </c>
    </row>
    <row r="176" spans="1:16" ht="49.75" x14ac:dyDescent="0.3">
      <c r="A176" s="6" t="str">
        <f>HYPERLINK("https://www.ti.com/product/UCC25661", "UCC25661")</f>
        <v>UCC25661</v>
      </c>
      <c r="B176" s="5" t="s">
        <v>1519</v>
      </c>
      <c r="C176" s="6" t="str">
        <f>HYPERLINK("https://www.ti.com/lit/gpn/UCC25661", "PDF")</f>
        <v>PDF</v>
      </c>
      <c r="D176" s="5" t="s">
        <v>1520</v>
      </c>
      <c r="E176" s="5" t="s">
        <v>1521</v>
      </c>
      <c r="F176" s="5" t="s">
        <v>1522</v>
      </c>
      <c r="G176" s="5" t="s">
        <v>1523</v>
      </c>
      <c r="H176" s="1" t="s">
        <v>1524</v>
      </c>
      <c r="I176" s="5" t="s">
        <v>1525</v>
      </c>
      <c r="J176" s="7">
        <v>14</v>
      </c>
      <c r="K176" s="7">
        <v>59.4</v>
      </c>
      <c r="L176" s="5" t="s">
        <v>1526</v>
      </c>
      <c r="M176" s="7">
        <v>1.75</v>
      </c>
      <c r="N176" s="7">
        <v>1.27</v>
      </c>
      <c r="O176" s="7">
        <v>1.0349999999999999</v>
      </c>
      <c r="P176" s="1" t="s">
        <v>1527</v>
      </c>
    </row>
    <row r="177" spans="1:16" ht="33.4" x14ac:dyDescent="0.3">
      <c r="A177" s="6" t="str">
        <f>HYPERLINK("https://www.ti.com/product/TPS1212-Q1", "TPS1212-Q1")</f>
        <v>TPS1212-Q1</v>
      </c>
      <c r="B177" s="5" t="s">
        <v>1528</v>
      </c>
      <c r="C177" s="6" t="str">
        <f>HYPERLINK("https://www.ti.com/lit/gpn/TPS1212-Q1", "PDF")</f>
        <v>PDF</v>
      </c>
      <c r="D177" s="5" t="s">
        <v>1529</v>
      </c>
      <c r="E177" s="5" t="s">
        <v>1530</v>
      </c>
      <c r="F177" s="5"/>
      <c r="G177" s="5" t="s">
        <v>1531</v>
      </c>
      <c r="H177" s="1" t="s">
        <v>1532</v>
      </c>
      <c r="I177" s="5" t="s">
        <v>1533</v>
      </c>
      <c r="J177" s="7">
        <v>23</v>
      </c>
      <c r="K177" s="7">
        <v>16</v>
      </c>
      <c r="L177" s="5" t="s">
        <v>1534</v>
      </c>
      <c r="M177" s="7">
        <v>1</v>
      </c>
      <c r="N177" s="7">
        <v>0.5</v>
      </c>
      <c r="O177" s="7">
        <v>1.837</v>
      </c>
      <c r="P177" s="1" t="s">
        <v>1535</v>
      </c>
    </row>
    <row r="178" spans="1:16" ht="33.4" x14ac:dyDescent="0.3">
      <c r="A178" s="6" t="str">
        <f>HYPERLINK("https://www.ti.com/product/LMG3527R030", "LMG3527R030")</f>
        <v>LMG3527R030</v>
      </c>
      <c r="B178" s="5" t="s">
        <v>1536</v>
      </c>
      <c r="C178" s="6" t="str">
        <f>HYPERLINK("https://www.ti.com/lit/gpn/LMG3527R030", "PDF")</f>
        <v>PDF</v>
      </c>
      <c r="D178" s="5" t="s">
        <v>1537</v>
      </c>
      <c r="E178" s="5" t="s">
        <v>1538</v>
      </c>
      <c r="F178" s="5"/>
      <c r="G178" s="5" t="s">
        <v>1539</v>
      </c>
      <c r="H178" s="1" t="s">
        <v>1540</v>
      </c>
      <c r="I178" s="5" t="s">
        <v>1541</v>
      </c>
      <c r="J178" s="7">
        <v>52</v>
      </c>
      <c r="K178" s="7">
        <v>144</v>
      </c>
      <c r="L178" s="5" t="s">
        <v>1542</v>
      </c>
      <c r="M178" s="7">
        <v>1</v>
      </c>
      <c r="N178" s="7">
        <v>0.65</v>
      </c>
      <c r="O178" s="7">
        <v>12.54</v>
      </c>
      <c r="P178" s="1" t="s">
        <v>1543</v>
      </c>
    </row>
    <row r="179" spans="1:16" ht="33.4" x14ac:dyDescent="0.3">
      <c r="A179" s="6" t="str">
        <f>HYPERLINK("https://www.ti.com/product/TPS1685", "TPS1685")</f>
        <v>TPS1685</v>
      </c>
      <c r="B179" s="5" t="s">
        <v>1544</v>
      </c>
      <c r="C179" s="6" t="str">
        <f>HYPERLINK("https://www.ti.com/lit/gpn/TPS1685", "PDF")</f>
        <v>PDF</v>
      </c>
      <c r="D179" s="5" t="s">
        <v>1545</v>
      </c>
      <c r="E179" s="5" t="s">
        <v>1546</v>
      </c>
      <c r="F179" s="5"/>
      <c r="G179" s="5" t="s">
        <v>1547</v>
      </c>
      <c r="H179" s="1" t="s">
        <v>1548</v>
      </c>
      <c r="I179" s="5" t="s">
        <v>1549</v>
      </c>
      <c r="J179" s="7">
        <v>23</v>
      </c>
      <c r="K179" s="7">
        <v>30</v>
      </c>
      <c r="L179" s="5" t="s">
        <v>1550</v>
      </c>
      <c r="M179" s="7">
        <v>1.5</v>
      </c>
      <c r="N179" s="7">
        <v>0.45</v>
      </c>
      <c r="O179" s="7">
        <v>3.6749999999999998</v>
      </c>
      <c r="P179" s="1" t="s">
        <v>1551</v>
      </c>
    </row>
    <row r="180" spans="1:16" ht="17.05" x14ac:dyDescent="0.3">
      <c r="A180" s="6" t="str">
        <f>HYPERLINK("https://www.ti.com/product/TPS3424", "TPS3424")</f>
        <v>TPS3424</v>
      </c>
      <c r="B180" s="5" t="s">
        <v>1552</v>
      </c>
      <c r="C180" s="6" t="str">
        <f>HYPERLINK("https://www.ti.com/lit/gpn/TPS3424", "PDF")</f>
        <v>PDF</v>
      </c>
      <c r="D180" s="5" t="s">
        <v>1553</v>
      </c>
      <c r="E180" s="5" t="s">
        <v>1554</v>
      </c>
      <c r="F180" s="5"/>
      <c r="G180" s="5" t="s">
        <v>1555</v>
      </c>
      <c r="H180" s="1" t="s">
        <v>1556</v>
      </c>
      <c r="I180" s="5" t="s">
        <v>1557</v>
      </c>
      <c r="J180" s="7">
        <v>8</v>
      </c>
      <c r="K180" s="7">
        <v>3.36</v>
      </c>
      <c r="L180" s="5" t="s">
        <v>1558</v>
      </c>
      <c r="M180" s="7">
        <v>0.6</v>
      </c>
      <c r="N180" s="7">
        <v>0.5</v>
      </c>
      <c r="O180" s="7">
        <v>0.86299999999999999</v>
      </c>
      <c r="P180" s="1" t="s">
        <v>1559</v>
      </c>
    </row>
    <row r="181" spans="1:16" ht="33.4" x14ac:dyDescent="0.3">
      <c r="A181" s="6" t="str">
        <f>HYPERLINK("https://www.ti.com/product/TPS7B4261-Q1", "TPS7B4261-Q1")</f>
        <v>TPS7B4261-Q1</v>
      </c>
      <c r="B181" s="5" t="s">
        <v>1560</v>
      </c>
      <c r="C181" s="6" t="str">
        <f>HYPERLINK("https://www.ti.com/lit/gpn/TPS7B4261-Q1", "PDF")</f>
        <v>PDF</v>
      </c>
      <c r="D181" s="5" t="s">
        <v>1561</v>
      </c>
      <c r="E181" s="5" t="s">
        <v>1562</v>
      </c>
      <c r="F181" s="5"/>
      <c r="G181" s="5" t="s">
        <v>1563</v>
      </c>
      <c r="H181" s="1" t="s">
        <v>1564</v>
      </c>
      <c r="I181" s="5" t="s">
        <v>1565</v>
      </c>
      <c r="J181" s="7">
        <v>8</v>
      </c>
      <c r="K181" s="7">
        <v>29.4</v>
      </c>
      <c r="L181" s="5" t="s">
        <v>1566</v>
      </c>
      <c r="M181" s="7">
        <v>1.7</v>
      </c>
      <c r="N181" s="7">
        <v>1.27</v>
      </c>
      <c r="O181" s="7">
        <v>0.87</v>
      </c>
      <c r="P181" s="1" t="s">
        <v>1567</v>
      </c>
    </row>
    <row r="182" spans="1:16" ht="33.4" x14ac:dyDescent="0.3">
      <c r="A182" s="6" t="str">
        <f>HYPERLINK("https://www.ti.com/product/TPS546E25", "TPS546E25")</f>
        <v>TPS546E25</v>
      </c>
      <c r="B182" s="5" t="s">
        <v>1568</v>
      </c>
      <c r="C182" s="6" t="str">
        <f>HYPERLINK("https://www.ti.com/lit/gpn/TPS546E25", "PDF")</f>
        <v>PDF</v>
      </c>
      <c r="D182" s="5" t="s">
        <v>1569</v>
      </c>
      <c r="E182" s="5" t="s">
        <v>1570</v>
      </c>
      <c r="F182" s="5" t="s">
        <v>1571</v>
      </c>
      <c r="G182" s="5" t="s">
        <v>1572</v>
      </c>
      <c r="H182" s="1" t="s">
        <v>1573</v>
      </c>
      <c r="I182" s="5" t="s">
        <v>1574</v>
      </c>
      <c r="J182" s="7">
        <v>37</v>
      </c>
      <c r="K182" s="7">
        <v>30</v>
      </c>
      <c r="L182" s="5" t="s">
        <v>1575</v>
      </c>
      <c r="M182" s="7">
        <v>0.7</v>
      </c>
      <c r="N182" s="7">
        <v>0.5</v>
      </c>
      <c r="O182" s="7">
        <v>3.3929999999999998</v>
      </c>
      <c r="P182" s="1" t="s">
        <v>1576</v>
      </c>
    </row>
    <row r="183" spans="1:16" ht="33.4" x14ac:dyDescent="0.3">
      <c r="A183" s="6" t="str">
        <f>HYPERLINK("https://www.ti.com/product/UCC34141-Q1", "UCC34141-Q1")</f>
        <v>UCC34141-Q1</v>
      </c>
      <c r="B183" s="5" t="s">
        <v>1577</v>
      </c>
      <c r="C183" s="6" t="str">
        <f>HYPERLINK("https://www.ti.com/lit/gpn/UCC34141-Q1", "PDF")</f>
        <v>PDF</v>
      </c>
      <c r="D183" s="5" t="s">
        <v>1578</v>
      </c>
      <c r="E183" s="5" t="s">
        <v>1579</v>
      </c>
      <c r="F183" s="5" t="s">
        <v>1580</v>
      </c>
      <c r="G183" s="5" t="s">
        <v>1581</v>
      </c>
      <c r="H183" s="1" t="s">
        <v>1582</v>
      </c>
      <c r="I183" s="5" t="s">
        <v>1583</v>
      </c>
      <c r="J183" s="7">
        <v>16</v>
      </c>
      <c r="K183" s="7">
        <v>60.255000000000003</v>
      </c>
      <c r="L183" s="5" t="s">
        <v>1584</v>
      </c>
      <c r="M183" s="7">
        <v>2.8</v>
      </c>
      <c r="N183" s="7">
        <v>0.65</v>
      </c>
      <c r="O183" s="7">
        <v>3.036</v>
      </c>
      <c r="P183" s="1" t="s">
        <v>1585</v>
      </c>
    </row>
    <row r="184" spans="1:16" ht="33.4" x14ac:dyDescent="0.3">
      <c r="A184" s="6" t="str">
        <f>HYPERLINK("https://www.ti.com/product/TPS61381-Q1", "TPS61381-Q1")</f>
        <v>TPS61381-Q1</v>
      </c>
      <c r="B184" s="5" t="s">
        <v>1586</v>
      </c>
      <c r="C184" s="6" t="str">
        <f>HYPERLINK("https://www.ti.com/lit/gpn/TPS61381-Q1", "PDF")</f>
        <v>PDF</v>
      </c>
      <c r="D184" s="5" t="s">
        <v>1587</v>
      </c>
      <c r="E184" s="5" t="s">
        <v>1588</v>
      </c>
      <c r="F184" s="5" t="s">
        <v>1589</v>
      </c>
      <c r="G184" s="5" t="s">
        <v>1590</v>
      </c>
      <c r="H184" s="1" t="s">
        <v>1591</v>
      </c>
      <c r="I184" s="5" t="s">
        <v>1592</v>
      </c>
      <c r="J184" s="7">
        <v>24</v>
      </c>
      <c r="K184" s="7">
        <v>12</v>
      </c>
      <c r="L184" s="5" t="s">
        <v>1593</v>
      </c>
      <c r="M184" s="7">
        <v>0.7</v>
      </c>
      <c r="N184" s="7">
        <v>0.5</v>
      </c>
      <c r="O184" s="7">
        <v>2.8</v>
      </c>
      <c r="P184" s="1" t="s">
        <v>1594</v>
      </c>
    </row>
    <row r="185" spans="1:16" ht="33.4" x14ac:dyDescent="0.3">
      <c r="A185" s="6" t="str">
        <f>HYPERLINK("https://www.ti.com/product/LM5125-Q1", "LM5125-Q1")</f>
        <v>LM5125-Q1</v>
      </c>
      <c r="B185" s="5" t="s">
        <v>1595</v>
      </c>
      <c r="C185" s="6" t="str">
        <f>HYPERLINK("https://www.ti.com/lit/gpn/LM5125-Q1", "PDF")</f>
        <v>PDF</v>
      </c>
      <c r="D185" s="5" t="s">
        <v>1596</v>
      </c>
      <c r="E185" s="5" t="s">
        <v>1597</v>
      </c>
      <c r="F185" s="5" t="s">
        <v>1598</v>
      </c>
      <c r="G185" s="5" t="s">
        <v>1599</v>
      </c>
      <c r="H185" s="1" t="s">
        <v>1600</v>
      </c>
      <c r="I185" s="5" t="s">
        <v>1601</v>
      </c>
      <c r="J185" s="7">
        <v>32</v>
      </c>
      <c r="K185" s="7">
        <v>25</v>
      </c>
      <c r="L185" s="5" t="s">
        <v>1602</v>
      </c>
      <c r="M185" s="7">
        <v>1</v>
      </c>
      <c r="N185" s="7">
        <v>0.5</v>
      </c>
      <c r="O185" s="7">
        <v>2.85</v>
      </c>
      <c r="P185" s="1" t="s">
        <v>1603</v>
      </c>
    </row>
    <row r="186" spans="1:16" ht="33.4" x14ac:dyDescent="0.3">
      <c r="A186" s="6" t="str">
        <f>HYPERLINK("https://www.ti.com/product/TPSM843521", "TPSM843521")</f>
        <v>TPSM843521</v>
      </c>
      <c r="B186" s="5" t="s">
        <v>1604</v>
      </c>
      <c r="C186" s="6" t="str">
        <f>HYPERLINK("https://www.ti.com/lit/gpn/TPSM843521", "PDF")</f>
        <v>PDF</v>
      </c>
      <c r="D186" s="5" t="s">
        <v>1605</v>
      </c>
      <c r="E186" s="5" t="s">
        <v>1606</v>
      </c>
      <c r="F186" s="5" t="s">
        <v>1607</v>
      </c>
      <c r="G186" s="5" t="s">
        <v>1608</v>
      </c>
      <c r="H186" s="1" t="s">
        <v>1609</v>
      </c>
      <c r="I186" s="5" t="s">
        <v>1610</v>
      </c>
      <c r="J186" s="7">
        <v>9</v>
      </c>
      <c r="K186" s="7">
        <v>14.85</v>
      </c>
      <c r="L186" s="5" t="s">
        <v>1611</v>
      </c>
      <c r="M186" s="7">
        <v>2.1</v>
      </c>
      <c r="N186" s="7">
        <v>0.5</v>
      </c>
      <c r="O186" s="7">
        <v>1.38</v>
      </c>
      <c r="P186" s="1" t="s">
        <v>1612</v>
      </c>
    </row>
    <row r="187" spans="1:16" ht="33.4" x14ac:dyDescent="0.3">
      <c r="A187" s="6" t="str">
        <f>HYPERLINK("https://www.ti.com/product/TPSM84538", "TPSM84538")</f>
        <v>TPSM84538</v>
      </c>
      <c r="B187" s="5" t="s">
        <v>1613</v>
      </c>
      <c r="C187" s="6" t="str">
        <f>HYPERLINK("https://www.ti.com/lit/gpn/TPSM84538", "PDF")</f>
        <v>PDF</v>
      </c>
      <c r="D187" s="5" t="s">
        <v>1614</v>
      </c>
      <c r="E187" s="5" t="s">
        <v>1615</v>
      </c>
      <c r="F187" s="5" t="s">
        <v>1616</v>
      </c>
      <c r="G187" s="5" t="s">
        <v>1617</v>
      </c>
      <c r="H187" s="1" t="s">
        <v>1618</v>
      </c>
      <c r="I187" s="5" t="s">
        <v>1619</v>
      </c>
      <c r="J187" s="7">
        <v>9</v>
      </c>
      <c r="K187" s="7">
        <v>14.85</v>
      </c>
      <c r="L187" s="5" t="s">
        <v>1620</v>
      </c>
      <c r="M187" s="7">
        <v>2.1</v>
      </c>
      <c r="N187" s="7">
        <v>0.5</v>
      </c>
      <c r="O187" s="7">
        <v>1.4950000000000001</v>
      </c>
      <c r="P187" s="1" t="s">
        <v>1621</v>
      </c>
    </row>
    <row r="188" spans="1:16" ht="33.4" x14ac:dyDescent="0.3">
      <c r="A188" s="6" t="str">
        <f>HYPERLINK("https://www.ti.com/product/TPS371K-Q1", "TPS371K-Q1")</f>
        <v>TPS371K-Q1</v>
      </c>
      <c r="B188" s="5" t="s">
        <v>1622</v>
      </c>
      <c r="C188" s="6" t="str">
        <f>HYPERLINK("https://www.ti.com/lit/gpn/TPS371K-Q1", "PDF")</f>
        <v>PDF</v>
      </c>
      <c r="D188" s="5" t="s">
        <v>1623</v>
      </c>
      <c r="E188" s="5" t="s">
        <v>1624</v>
      </c>
      <c r="F188" s="5"/>
      <c r="G188" s="5" t="s">
        <v>1625</v>
      </c>
      <c r="H188" s="1" t="s">
        <v>1626</v>
      </c>
      <c r="I188" s="5" t="s">
        <v>1627</v>
      </c>
      <c r="J188" s="7">
        <v>15</v>
      </c>
      <c r="K188" s="7">
        <v>131.84</v>
      </c>
      <c r="L188" s="5" t="s">
        <v>1628</v>
      </c>
      <c r="M188" s="7">
        <v>3.55</v>
      </c>
      <c r="N188" s="7">
        <v>0.65</v>
      </c>
      <c r="O188" s="7">
        <v>1.9</v>
      </c>
      <c r="P188" s="1" t="s">
        <v>1629</v>
      </c>
    </row>
    <row r="189" spans="1:16" ht="33.4" x14ac:dyDescent="0.3">
      <c r="A189" s="6" t="str">
        <f>HYPERLINK("https://www.ti.com/product/TPS388C0-Q1", "TPS388C0-Q1")</f>
        <v>TPS388C0-Q1</v>
      </c>
      <c r="B189" s="5" t="s">
        <v>1630</v>
      </c>
      <c r="C189" s="6" t="str">
        <f>HYPERLINK("https://www.ti.com/lit/gpn/TPS388C0-Q1", "PDF")</f>
        <v>PDF</v>
      </c>
      <c r="D189" s="5" t="s">
        <v>1631</v>
      </c>
      <c r="E189" s="5" t="s">
        <v>1632</v>
      </c>
      <c r="F189" s="5"/>
      <c r="G189" s="5" t="s">
        <v>1633</v>
      </c>
      <c r="H189" s="1" t="s">
        <v>1634</v>
      </c>
      <c r="I189" s="5" t="s">
        <v>1635</v>
      </c>
      <c r="J189" s="7">
        <v>16</v>
      </c>
      <c r="K189" s="7">
        <v>9</v>
      </c>
      <c r="L189" s="5" t="s">
        <v>1636</v>
      </c>
      <c r="M189" s="7">
        <v>0.8</v>
      </c>
      <c r="N189" s="7">
        <v>0.5</v>
      </c>
      <c r="O189" s="7">
        <v>2.3069999999999999</v>
      </c>
      <c r="P189" s="1" t="s">
        <v>1637</v>
      </c>
    </row>
    <row r="190" spans="1:16" ht="33.4" x14ac:dyDescent="0.3">
      <c r="A190" s="6" t="str">
        <f>HYPERLINK("https://www.ti.com/product/TPSI3050M", "TPSI3050M")</f>
        <v>TPSI3050M</v>
      </c>
      <c r="B190" s="5" t="s">
        <v>1638</v>
      </c>
      <c r="C190" s="6" t="str">
        <f>HYPERLINK("https://www.ti.com/lit/gpn/TPSI3050M", "PDF")</f>
        <v>PDF</v>
      </c>
      <c r="D190" s="5" t="s">
        <v>1639</v>
      </c>
      <c r="E190" s="5" t="s">
        <v>1640</v>
      </c>
      <c r="F190" s="5"/>
      <c r="G190" s="5" t="s">
        <v>1641</v>
      </c>
      <c r="H190" s="1" t="s">
        <v>1642</v>
      </c>
      <c r="I190" s="5" t="s">
        <v>1643</v>
      </c>
      <c r="J190" s="7">
        <v>8</v>
      </c>
      <c r="K190" s="7">
        <v>67.275000000000006</v>
      </c>
      <c r="L190" s="5" t="s">
        <v>1644</v>
      </c>
      <c r="M190" s="7">
        <v>2.8</v>
      </c>
      <c r="N190" s="7">
        <v>1.27</v>
      </c>
      <c r="O190" s="7">
        <v>20</v>
      </c>
      <c r="P190" s="1" t="s">
        <v>1645</v>
      </c>
    </row>
    <row r="191" spans="1:16" ht="33.4" x14ac:dyDescent="0.3">
      <c r="A191" s="6" t="str">
        <f>HYPERLINK("https://www.ti.com/product/BQ25858-Q1", "BQ25858-Q1")</f>
        <v>BQ25858-Q1</v>
      </c>
      <c r="B191" s="5" t="s">
        <v>1646</v>
      </c>
      <c r="C191" s="6" t="str">
        <f>HYPERLINK("https://www.ti.com/lit/gpn/BQ25858-Q1", "PDF")</f>
        <v>PDF</v>
      </c>
      <c r="D191" s="5" t="s">
        <v>1647</v>
      </c>
      <c r="E191" s="5" t="s">
        <v>1648</v>
      </c>
      <c r="F191" s="5" t="s">
        <v>1649</v>
      </c>
      <c r="G191" s="5" t="s">
        <v>1650</v>
      </c>
      <c r="H191" s="1" t="s">
        <v>1651</v>
      </c>
      <c r="I191" s="5" t="s">
        <v>1652</v>
      </c>
      <c r="J191" s="7">
        <v>36</v>
      </c>
      <c r="K191" s="7">
        <v>30</v>
      </c>
      <c r="L191" s="5" t="s">
        <v>1653</v>
      </c>
      <c r="M191" s="7">
        <v>1</v>
      </c>
      <c r="N191" s="7">
        <v>0.5</v>
      </c>
      <c r="O191" s="7">
        <v>3.91</v>
      </c>
      <c r="P191" s="1" t="s">
        <v>1654</v>
      </c>
    </row>
    <row r="192" spans="1:16" ht="33.4" x14ac:dyDescent="0.3">
      <c r="A192" s="6" t="str">
        <f>HYPERLINK("https://www.ti.com/product/BQ25858B-Q1", "BQ25858B-Q1")</f>
        <v>BQ25858B-Q1</v>
      </c>
      <c r="B192" s="5" t="s">
        <v>1655</v>
      </c>
      <c r="C192" s="6" t="str">
        <f>HYPERLINK("https://www.ti.com/lit/gpn/BQ25858B-Q1", "PDF")</f>
        <v>PDF</v>
      </c>
      <c r="D192" s="5" t="s">
        <v>1656</v>
      </c>
      <c r="E192" s="5" t="s">
        <v>1657</v>
      </c>
      <c r="F192" s="5" t="s">
        <v>1658</v>
      </c>
      <c r="G192" s="5" t="s">
        <v>1659</v>
      </c>
      <c r="H192" s="1" t="s">
        <v>1660</v>
      </c>
      <c r="I192" s="5" t="s">
        <v>1661</v>
      </c>
      <c r="J192" s="7">
        <v>36</v>
      </c>
      <c r="K192" s="7">
        <v>30</v>
      </c>
      <c r="L192" s="5" t="s">
        <v>1662</v>
      </c>
      <c r="M192" s="7">
        <v>1</v>
      </c>
      <c r="N192" s="7">
        <v>0.5</v>
      </c>
      <c r="O192" s="7">
        <v>3.4</v>
      </c>
      <c r="P192" s="1" t="s">
        <v>1663</v>
      </c>
    </row>
    <row r="193" spans="1:16" ht="33.4" x14ac:dyDescent="0.3">
      <c r="A193" s="6" t="str">
        <f>HYPERLINK("https://www.ti.com/product/UCC27624V", "UCC27624V")</f>
        <v>UCC27624V</v>
      </c>
      <c r="B193" s="5" t="s">
        <v>1664</v>
      </c>
      <c r="C193" s="6" t="str">
        <f>HYPERLINK("https://www.ti.com/lit/gpn/UCC27624V", "PDF")</f>
        <v>PDF</v>
      </c>
      <c r="D193" s="5" t="s">
        <v>1665</v>
      </c>
      <c r="E193" s="5" t="s">
        <v>1666</v>
      </c>
      <c r="F193" s="5"/>
      <c r="G193" s="5" t="s">
        <v>1667</v>
      </c>
      <c r="H193" s="1" t="s">
        <v>1668</v>
      </c>
      <c r="I193" s="5" t="s">
        <v>1669</v>
      </c>
      <c r="J193" s="7">
        <v>8</v>
      </c>
      <c r="K193" s="7" t="s">
        <v>1670</v>
      </c>
      <c r="L193" s="5" t="s">
        <v>1671</v>
      </c>
      <c r="M193" s="7" t="s">
        <v>1672</v>
      </c>
      <c r="N193" s="7" t="s">
        <v>1673</v>
      </c>
      <c r="O193" s="7">
        <v>0.40300000000000002</v>
      </c>
      <c r="P193" s="1" t="s">
        <v>1674</v>
      </c>
    </row>
    <row r="194" spans="1:16" ht="33.4" x14ac:dyDescent="0.3">
      <c r="A194" s="6" t="str">
        <f>HYPERLINK("https://www.ti.com/product/UCC27624V-Q1", "UCC27624V-Q1")</f>
        <v>UCC27624V-Q1</v>
      </c>
      <c r="B194" s="5" t="s">
        <v>1675</v>
      </c>
      <c r="C194" s="6" t="str">
        <f>HYPERLINK("https://www.ti.com/lit/gpn/UCC27624V-Q1", "PDF")</f>
        <v>PDF</v>
      </c>
      <c r="D194" s="5" t="s">
        <v>1676</v>
      </c>
      <c r="E194" s="5" t="s">
        <v>1677</v>
      </c>
      <c r="F194" s="5"/>
      <c r="G194" s="5" t="s">
        <v>1678</v>
      </c>
      <c r="H194" s="1" t="s">
        <v>1679</v>
      </c>
      <c r="I194" s="5" t="s">
        <v>1680</v>
      </c>
      <c r="J194" s="7">
        <v>8</v>
      </c>
      <c r="K194" s="7" t="s">
        <v>1681</v>
      </c>
      <c r="L194" s="5" t="s">
        <v>1682</v>
      </c>
      <c r="M194" s="7" t="s">
        <v>1683</v>
      </c>
      <c r="N194" s="7" t="s">
        <v>1684</v>
      </c>
      <c r="O194" s="7">
        <v>0.47599999999999998</v>
      </c>
      <c r="P194" s="1" t="s">
        <v>1685</v>
      </c>
    </row>
    <row r="195" spans="1:16" ht="33.4" x14ac:dyDescent="0.3">
      <c r="A195" s="6" t="str">
        <f>HYPERLINK("https://www.ti.com/product/TPS7A56", "TPS7A56")</f>
        <v>TPS7A56</v>
      </c>
      <c r="B195" s="5" t="s">
        <v>1686</v>
      </c>
      <c r="C195" s="6" t="str">
        <f>HYPERLINK("https://www.ti.com/lit/gpn/TPS7A56", "PDF")</f>
        <v>PDF</v>
      </c>
      <c r="D195" s="5" t="s">
        <v>1687</v>
      </c>
      <c r="E195" s="5" t="s">
        <v>1688</v>
      </c>
      <c r="F195" s="5"/>
      <c r="G195" s="5" t="s">
        <v>1689</v>
      </c>
      <c r="H195" s="1" t="s">
        <v>1690</v>
      </c>
      <c r="I195" s="5" t="s">
        <v>1691</v>
      </c>
      <c r="J195" s="7">
        <v>16</v>
      </c>
      <c r="K195" s="7">
        <v>9</v>
      </c>
      <c r="L195" s="5" t="s">
        <v>1692</v>
      </c>
      <c r="M195" s="7">
        <v>0.8</v>
      </c>
      <c r="N195" s="7">
        <v>0.5</v>
      </c>
      <c r="O195" s="7">
        <v>6.601</v>
      </c>
      <c r="P195" s="1" t="s">
        <v>1693</v>
      </c>
    </row>
    <row r="196" spans="1:16" ht="33.4" x14ac:dyDescent="0.3">
      <c r="A196" s="6" t="str">
        <f>HYPERLINK("https://www.ti.com/product/UCC5350L-Q1", "UCC5350L-Q1")</f>
        <v>UCC5350L-Q1</v>
      </c>
      <c r="B196" s="5" t="s">
        <v>1694</v>
      </c>
      <c r="C196" s="6" t="str">
        <f>HYPERLINK("https://www.ti.com/lit/gpn/UCC5350L-Q1", "PDF")</f>
        <v>PDF</v>
      </c>
      <c r="D196" s="5" t="s">
        <v>1695</v>
      </c>
      <c r="E196" s="5" t="s">
        <v>1696</v>
      </c>
      <c r="F196" s="5"/>
      <c r="G196" s="5" t="s">
        <v>1697</v>
      </c>
      <c r="H196" s="1" t="s">
        <v>1698</v>
      </c>
      <c r="I196" s="5" t="s">
        <v>1699</v>
      </c>
      <c r="J196" s="7">
        <v>8</v>
      </c>
      <c r="K196" s="7">
        <v>106.24</v>
      </c>
      <c r="L196" s="5" t="s">
        <v>1700</v>
      </c>
      <c r="M196" s="7">
        <v>4.0339999999999998</v>
      </c>
      <c r="N196" s="7">
        <v>1.27</v>
      </c>
      <c r="O196" s="7">
        <v>1.177</v>
      </c>
      <c r="P196" s="1" t="s">
        <v>1701</v>
      </c>
    </row>
    <row r="197" spans="1:16" ht="49.75" x14ac:dyDescent="0.3">
      <c r="A197" s="6" t="str">
        <f>HYPERLINK("https://www.ti.com/product/LP5814", "LP5814")</f>
        <v>LP5814</v>
      </c>
      <c r="B197" s="5" t="s">
        <v>1702</v>
      </c>
      <c r="C197" s="6" t="str">
        <f>HYPERLINK("https://www.ti.com/lit/gpn/LP5814", "PDF")</f>
        <v>PDF</v>
      </c>
      <c r="D197" s="5" t="s">
        <v>1703</v>
      </c>
      <c r="E197" s="5" t="s">
        <v>1704</v>
      </c>
      <c r="F197" s="5" t="s">
        <v>1705</v>
      </c>
      <c r="G197" s="5" t="s">
        <v>1706</v>
      </c>
      <c r="H197" s="1" t="s">
        <v>1707</v>
      </c>
      <c r="I197" s="5" t="s">
        <v>1708</v>
      </c>
      <c r="J197" s="7">
        <v>8</v>
      </c>
      <c r="K197" s="7" t="s">
        <v>1709</v>
      </c>
      <c r="L197" s="5" t="s">
        <v>1710</v>
      </c>
      <c r="M197" s="7" t="s">
        <v>1711</v>
      </c>
      <c r="N197" s="7" t="s">
        <v>1712</v>
      </c>
      <c r="O197" s="7">
        <v>0.15</v>
      </c>
      <c r="P197" s="1" t="s">
        <v>1713</v>
      </c>
    </row>
    <row r="198" spans="1:16" ht="49.75" x14ac:dyDescent="0.3">
      <c r="A198" s="6" t="str">
        <f>HYPERLINK("https://www.ti.com/product/LP5815", "LP5815")</f>
        <v>LP5815</v>
      </c>
      <c r="B198" s="5" t="s">
        <v>1714</v>
      </c>
      <c r="C198" s="6" t="str">
        <f>HYPERLINK("https://www.ti.com/lit/gpn/LP5815", "PDF")</f>
        <v>PDF</v>
      </c>
      <c r="D198" s="5" t="s">
        <v>1715</v>
      </c>
      <c r="E198" s="5" t="s">
        <v>1716</v>
      </c>
      <c r="F198" s="5" t="s">
        <v>1717</v>
      </c>
      <c r="G198" s="5" t="s">
        <v>1718</v>
      </c>
      <c r="H198" s="1" t="s">
        <v>1719</v>
      </c>
      <c r="I198" s="5" t="s">
        <v>1720</v>
      </c>
      <c r="J198" s="7">
        <v>8</v>
      </c>
      <c r="K198" s="7" t="s">
        <v>1721</v>
      </c>
      <c r="L198" s="5" t="s">
        <v>1722</v>
      </c>
      <c r="M198" s="7" t="s">
        <v>1723</v>
      </c>
      <c r="N198" s="7" t="s">
        <v>1724</v>
      </c>
      <c r="O198" s="7">
        <v>0.17299999999999999</v>
      </c>
      <c r="P198" s="1" t="s">
        <v>1725</v>
      </c>
    </row>
    <row r="199" spans="1:16" ht="49.75" x14ac:dyDescent="0.3">
      <c r="A199" s="6" t="str">
        <f>HYPERLINK("https://www.ti.com/product/LP5816", "LP5816")</f>
        <v>LP5816</v>
      </c>
      <c r="B199" s="5" t="s">
        <v>1726</v>
      </c>
      <c r="C199" s="6" t="str">
        <f>HYPERLINK("https://www.ti.com/lit/gpn/LP5816", "PDF")</f>
        <v>PDF</v>
      </c>
      <c r="D199" s="5" t="s">
        <v>1727</v>
      </c>
      <c r="E199" s="5" t="s">
        <v>1728</v>
      </c>
      <c r="F199" s="5" t="s">
        <v>1729</v>
      </c>
      <c r="G199" s="5" t="s">
        <v>1730</v>
      </c>
      <c r="H199" s="1" t="s">
        <v>1731</v>
      </c>
      <c r="I199" s="5" t="s">
        <v>1732</v>
      </c>
      <c r="J199" s="7">
        <v>8</v>
      </c>
      <c r="K199" s="7" t="s">
        <v>1733</v>
      </c>
      <c r="L199" s="5" t="s">
        <v>1734</v>
      </c>
      <c r="M199" s="7" t="s">
        <v>1735</v>
      </c>
      <c r="N199" s="7" t="s">
        <v>1736</v>
      </c>
      <c r="O199" s="7">
        <v>0.115</v>
      </c>
      <c r="P199" s="1" t="s">
        <v>1737</v>
      </c>
    </row>
    <row r="200" spans="1:16" ht="49.75" x14ac:dyDescent="0.3">
      <c r="A200" s="6" t="str">
        <f>HYPERLINK("https://www.ti.com/product/LP5817", "LP5817")</f>
        <v>LP5817</v>
      </c>
      <c r="B200" s="5" t="s">
        <v>1738</v>
      </c>
      <c r="C200" s="6" t="str">
        <f>HYPERLINK("https://www.ti.com/lit/gpn/LP5817", "PDF")</f>
        <v>PDF</v>
      </c>
      <c r="D200" s="5" t="s">
        <v>1739</v>
      </c>
      <c r="E200" s="5" t="s">
        <v>1740</v>
      </c>
      <c r="F200" s="5" t="s">
        <v>1741</v>
      </c>
      <c r="G200" s="5" t="s">
        <v>1742</v>
      </c>
      <c r="H200" s="1" t="s">
        <v>1743</v>
      </c>
      <c r="I200" s="5" t="s">
        <v>1744</v>
      </c>
      <c r="J200" s="7">
        <v>8</v>
      </c>
      <c r="K200" s="7" t="s">
        <v>1745</v>
      </c>
      <c r="L200" s="5" t="s">
        <v>1746</v>
      </c>
      <c r="M200" s="7" t="s">
        <v>1747</v>
      </c>
      <c r="N200" s="7" t="s">
        <v>1748</v>
      </c>
      <c r="O200" s="7">
        <v>9.1999999999999998E-2</v>
      </c>
      <c r="P200" s="1" t="s">
        <v>1749</v>
      </c>
    </row>
    <row r="201" spans="1:16" ht="33.4" x14ac:dyDescent="0.3">
      <c r="A201" s="6" t="str">
        <f>HYPERLINK("https://www.ti.com/product/TLV772", "TLV772")</f>
        <v>TLV772</v>
      </c>
      <c r="B201" s="5" t="s">
        <v>1750</v>
      </c>
      <c r="C201" s="6" t="str">
        <f>HYPERLINK("https://www.ti.com/lit/gpn/TLV772", "PDF")</f>
        <v>PDF</v>
      </c>
      <c r="D201" s="5" t="s">
        <v>1751</v>
      </c>
      <c r="E201" s="5" t="s">
        <v>1752</v>
      </c>
      <c r="F201" s="5"/>
      <c r="G201" s="5" t="s">
        <v>1753</v>
      </c>
      <c r="H201" s="1" t="s">
        <v>1754</v>
      </c>
      <c r="I201" s="5" t="s">
        <v>1755</v>
      </c>
      <c r="J201" s="7" t="s">
        <v>1756</v>
      </c>
      <c r="K201" s="7" t="s">
        <v>1757</v>
      </c>
      <c r="L201" s="5" t="s">
        <v>1758</v>
      </c>
      <c r="M201" s="7" t="s">
        <v>1759</v>
      </c>
      <c r="N201" s="7" t="s">
        <v>1760</v>
      </c>
      <c r="O201" s="7">
        <v>4.5999999999999999E-2</v>
      </c>
      <c r="P201" s="1" t="s">
        <v>1761</v>
      </c>
    </row>
    <row r="202" spans="1:16" ht="33.4" x14ac:dyDescent="0.3">
      <c r="A202" s="6" t="str">
        <f>HYPERLINK("https://www.ti.com/product/REF80", "REF80")</f>
        <v>REF80</v>
      </c>
      <c r="B202" s="5" t="s">
        <v>1762</v>
      </c>
      <c r="C202" s="6" t="str">
        <f>HYPERLINK("https://www.ti.com/lit/gpn/REF80", "PDF")</f>
        <v>PDF</v>
      </c>
      <c r="D202" s="5" t="s">
        <v>1763</v>
      </c>
      <c r="E202" s="5" t="s">
        <v>1764</v>
      </c>
      <c r="F202" s="5"/>
      <c r="G202" s="5" t="s">
        <v>1765</v>
      </c>
      <c r="H202" s="1" t="s">
        <v>1766</v>
      </c>
      <c r="I202" s="5" t="s">
        <v>1767</v>
      </c>
      <c r="J202" s="7">
        <v>20</v>
      </c>
      <c r="K202" s="7">
        <v>79.0321</v>
      </c>
      <c r="L202" s="5" t="s">
        <v>1768</v>
      </c>
      <c r="M202" s="7">
        <v>1.91</v>
      </c>
      <c r="N202" s="7">
        <v>1.27</v>
      </c>
      <c r="O202" s="7">
        <v>73.358999999999995</v>
      </c>
      <c r="P202" s="1" t="s">
        <v>1769</v>
      </c>
    </row>
    <row r="203" spans="1:16" ht="33.4" x14ac:dyDescent="0.3">
      <c r="A203" s="6" t="str">
        <f>HYPERLINK("https://www.ti.com/product/UC2842L", "UC2842L")</f>
        <v>UC2842L</v>
      </c>
      <c r="B203" s="5" t="s">
        <v>1770</v>
      </c>
      <c r="C203" s="6" t="str">
        <f>HYPERLINK("https://www.ti.com/lit/gpn/UC2842L", "PDF")</f>
        <v>PDF</v>
      </c>
      <c r="D203" s="5" t="s">
        <v>1771</v>
      </c>
      <c r="E203" s="5" t="s">
        <v>1772</v>
      </c>
      <c r="F203" s="5" t="s">
        <v>1773</v>
      </c>
      <c r="G203" s="5" t="s">
        <v>1774</v>
      </c>
      <c r="H203" s="1" t="s">
        <v>1775</v>
      </c>
      <c r="I203" s="5" t="s">
        <v>1776</v>
      </c>
      <c r="J203" s="7">
        <v>8</v>
      </c>
      <c r="K203" s="7">
        <v>29.4</v>
      </c>
      <c r="L203" s="5" t="s">
        <v>1777</v>
      </c>
      <c r="M203" s="7">
        <v>1.75</v>
      </c>
      <c r="N203" s="7">
        <v>1.27</v>
      </c>
      <c r="O203" s="7">
        <v>0.2</v>
      </c>
      <c r="P203" s="1" t="s">
        <v>1778</v>
      </c>
    </row>
    <row r="204" spans="1:16" ht="33.4" x14ac:dyDescent="0.3">
      <c r="A204" s="6" t="str">
        <f>HYPERLINK("https://www.ti.com/product/UC2843L", "UC2843L")</f>
        <v>UC2843L</v>
      </c>
      <c r="B204" s="5" t="s">
        <v>1779</v>
      </c>
      <c r="C204" s="6" t="str">
        <f>HYPERLINK("https://www.ti.com/lit/gpn/UC2843L", "PDF")</f>
        <v>PDF</v>
      </c>
      <c r="D204" s="5" t="s">
        <v>1780</v>
      </c>
      <c r="E204" s="5" t="s">
        <v>1781</v>
      </c>
      <c r="F204" s="5" t="s">
        <v>1782</v>
      </c>
      <c r="G204" s="5" t="s">
        <v>1783</v>
      </c>
      <c r="H204" s="1" t="s">
        <v>1784</v>
      </c>
      <c r="I204" s="5" t="s">
        <v>1785</v>
      </c>
      <c r="J204" s="7">
        <v>8</v>
      </c>
      <c r="K204" s="7">
        <v>29.4</v>
      </c>
      <c r="L204" s="5" t="s">
        <v>1786</v>
      </c>
      <c r="M204" s="7">
        <v>1.75</v>
      </c>
      <c r="N204" s="7">
        <v>1.27</v>
      </c>
      <c r="O204" s="7">
        <v>0.2</v>
      </c>
      <c r="P204" s="1" t="s">
        <v>1787</v>
      </c>
    </row>
    <row r="205" spans="1:16" ht="33.4" x14ac:dyDescent="0.3">
      <c r="A205" s="6" t="str">
        <f>HYPERLINK("https://www.ti.com/product/UC2843L-Q1", "UC2843L-Q1")</f>
        <v>UC2843L-Q1</v>
      </c>
      <c r="B205" s="5" t="s">
        <v>1788</v>
      </c>
      <c r="C205" s="6" t="str">
        <f>HYPERLINK("https://www.ti.com/lit/gpn/UC2843L-Q1", "PDF")</f>
        <v>PDF</v>
      </c>
      <c r="D205" s="5" t="s">
        <v>1789</v>
      </c>
      <c r="E205" s="5" t="s">
        <v>1790</v>
      </c>
      <c r="F205" s="5" t="s">
        <v>1791</v>
      </c>
      <c r="G205" s="5" t="s">
        <v>1792</v>
      </c>
      <c r="H205" s="1" t="s">
        <v>1793</v>
      </c>
      <c r="I205" s="5" t="s">
        <v>1794</v>
      </c>
      <c r="J205" s="7">
        <v>8</v>
      </c>
      <c r="K205" s="7">
        <v>29.4</v>
      </c>
      <c r="L205" s="5" t="s">
        <v>1795</v>
      </c>
      <c r="M205" s="7">
        <v>1.75</v>
      </c>
      <c r="N205" s="7">
        <v>1.27</v>
      </c>
      <c r="O205" s="7">
        <v>0.51800000000000002</v>
      </c>
      <c r="P205" s="1" t="s">
        <v>1796</v>
      </c>
    </row>
    <row r="206" spans="1:16" ht="33.4" x14ac:dyDescent="0.3">
      <c r="A206" s="6" t="str">
        <f>HYPERLINK("https://www.ti.com/product/UC2844L", "UC2844L")</f>
        <v>UC2844L</v>
      </c>
      <c r="B206" s="5" t="s">
        <v>1797</v>
      </c>
      <c r="C206" s="6" t="str">
        <f>HYPERLINK("https://www.ti.com/lit/gpn/UC2844L", "PDF")</f>
        <v>PDF</v>
      </c>
      <c r="D206" s="5" t="s">
        <v>1798</v>
      </c>
      <c r="E206" s="5" t="s">
        <v>1799</v>
      </c>
      <c r="F206" s="5" t="s">
        <v>1800</v>
      </c>
      <c r="G206" s="5" t="s">
        <v>1801</v>
      </c>
      <c r="H206" s="1" t="s">
        <v>1802</v>
      </c>
      <c r="I206" s="5" t="s">
        <v>1803</v>
      </c>
      <c r="J206" s="7">
        <v>8</v>
      </c>
      <c r="K206" s="7">
        <v>29.4</v>
      </c>
      <c r="L206" s="5" t="s">
        <v>1804</v>
      </c>
      <c r="M206" s="7">
        <v>1.75</v>
      </c>
      <c r="N206" s="7">
        <v>1.27</v>
      </c>
      <c r="O206" s="7">
        <v>0.2</v>
      </c>
      <c r="P206" s="1" t="s">
        <v>1805</v>
      </c>
    </row>
    <row r="207" spans="1:16" ht="33.4" x14ac:dyDescent="0.3">
      <c r="A207" s="6" t="str">
        <f>HYPERLINK("https://www.ti.com/product/UC2844L-Q1", "UC2844L-Q1")</f>
        <v>UC2844L-Q1</v>
      </c>
      <c r="B207" s="5" t="s">
        <v>1806</v>
      </c>
      <c r="C207" s="6" t="str">
        <f>HYPERLINK("https://www.ti.com/lit/gpn/UC2844L-Q1", "PDF")</f>
        <v>PDF</v>
      </c>
      <c r="D207" s="5" t="s">
        <v>1807</v>
      </c>
      <c r="E207" s="5" t="s">
        <v>1808</v>
      </c>
      <c r="F207" s="5" t="s">
        <v>1809</v>
      </c>
      <c r="G207" s="5" t="s">
        <v>1810</v>
      </c>
      <c r="H207" s="1" t="s">
        <v>1811</v>
      </c>
      <c r="I207" s="5" t="s">
        <v>1812</v>
      </c>
      <c r="J207" s="7">
        <v>8</v>
      </c>
      <c r="K207" s="7">
        <v>29.4</v>
      </c>
      <c r="L207" s="5" t="s">
        <v>1813</v>
      </c>
      <c r="M207" s="7">
        <v>1.75</v>
      </c>
      <c r="N207" s="7">
        <v>1.27</v>
      </c>
      <c r="O207" s="7">
        <v>0.51800000000000002</v>
      </c>
      <c r="P207" s="1" t="s">
        <v>1814</v>
      </c>
    </row>
    <row r="208" spans="1:16" ht="33.4" x14ac:dyDescent="0.3">
      <c r="A208" s="6" t="str">
        <f>HYPERLINK("https://www.ti.com/product/UC2845L", "UC2845L")</f>
        <v>UC2845L</v>
      </c>
      <c r="B208" s="5" t="s">
        <v>1815</v>
      </c>
      <c r="C208" s="6" t="str">
        <f>HYPERLINK("https://www.ti.com/lit/gpn/UC2845L", "PDF")</f>
        <v>PDF</v>
      </c>
      <c r="D208" s="5" t="s">
        <v>1816</v>
      </c>
      <c r="E208" s="5" t="s">
        <v>1817</v>
      </c>
      <c r="F208" s="5" t="s">
        <v>1818</v>
      </c>
      <c r="G208" s="5" t="s">
        <v>1819</v>
      </c>
      <c r="H208" s="1" t="s">
        <v>1820</v>
      </c>
      <c r="I208" s="5" t="s">
        <v>1821</v>
      </c>
      <c r="J208" s="7">
        <v>8</v>
      </c>
      <c r="K208" s="7">
        <v>29.4</v>
      </c>
      <c r="L208" s="5" t="s">
        <v>1822</v>
      </c>
      <c r="M208" s="7">
        <v>1.75</v>
      </c>
      <c r="N208" s="7">
        <v>1.27</v>
      </c>
      <c r="O208" s="7">
        <v>0.2</v>
      </c>
      <c r="P208" s="1" t="s">
        <v>1823</v>
      </c>
    </row>
    <row r="209" spans="1:16" ht="33.4" x14ac:dyDescent="0.3">
      <c r="A209" s="6" t="str">
        <f>HYPERLINK("https://www.ti.com/product/UC2845L-Q1", "UC2845L-Q1")</f>
        <v>UC2845L-Q1</v>
      </c>
      <c r="B209" s="5" t="s">
        <v>1824</v>
      </c>
      <c r="C209" s="6" t="str">
        <f>HYPERLINK("https://www.ti.com/lit/gpn/UC2845L-Q1", "PDF")</f>
        <v>PDF</v>
      </c>
      <c r="D209" s="5" t="s">
        <v>1825</v>
      </c>
      <c r="E209" s="5" t="s">
        <v>1826</v>
      </c>
      <c r="F209" s="5" t="s">
        <v>1827</v>
      </c>
      <c r="G209" s="5" t="s">
        <v>1828</v>
      </c>
      <c r="H209" s="1" t="s">
        <v>1829</v>
      </c>
      <c r="I209" s="5" t="s">
        <v>1830</v>
      </c>
      <c r="J209" s="7">
        <v>8</v>
      </c>
      <c r="K209" s="7">
        <v>29.4</v>
      </c>
      <c r="L209" s="5" t="s">
        <v>1831</v>
      </c>
      <c r="M209" s="7">
        <v>1.75</v>
      </c>
      <c r="N209" s="7">
        <v>1.27</v>
      </c>
      <c r="O209" s="7">
        <v>0.51800000000000002</v>
      </c>
      <c r="P209" s="1" t="s">
        <v>1832</v>
      </c>
    </row>
    <row r="210" spans="1:16" ht="33.4" x14ac:dyDescent="0.3">
      <c r="A210" s="6" t="str">
        <f>HYPERLINK("https://www.ti.com/product/TPS543321", "TPS543321")</f>
        <v>TPS543321</v>
      </c>
      <c r="B210" s="5" t="s">
        <v>1833</v>
      </c>
      <c r="C210" s="6" t="str">
        <f>HYPERLINK("https://www.ti.com/lit/gpn/TPS543321", "PDF")</f>
        <v>PDF</v>
      </c>
      <c r="D210" s="5" t="s">
        <v>1834</v>
      </c>
      <c r="E210" s="5" t="s">
        <v>1835</v>
      </c>
      <c r="F210" s="5" t="s">
        <v>1836</v>
      </c>
      <c r="G210" s="5" t="s">
        <v>1837</v>
      </c>
      <c r="H210" s="1" t="s">
        <v>1838</v>
      </c>
      <c r="I210" s="5" t="s">
        <v>1839</v>
      </c>
      <c r="J210" s="7">
        <v>9</v>
      </c>
      <c r="K210" s="7">
        <v>3</v>
      </c>
      <c r="L210" s="5" t="s">
        <v>1840</v>
      </c>
      <c r="M210" s="7">
        <v>1</v>
      </c>
      <c r="N210" s="7">
        <v>0.5</v>
      </c>
      <c r="O210" s="7">
        <v>0.48299999999999998</v>
      </c>
      <c r="P210" s="1" t="s">
        <v>1841</v>
      </c>
    </row>
    <row r="211" spans="1:16" ht="33.4" x14ac:dyDescent="0.3">
      <c r="A211" s="6" t="str">
        <f>HYPERLINK("https://www.ti.com/product/TPS54338", "TPS54338")</f>
        <v>TPS54338</v>
      </c>
      <c r="B211" s="5" t="s">
        <v>1842</v>
      </c>
      <c r="C211" s="6" t="str">
        <f>HYPERLINK("https://www.ti.com/lit/gpn/TPS54338", "PDF")</f>
        <v>PDF</v>
      </c>
      <c r="D211" s="5" t="s">
        <v>1843</v>
      </c>
      <c r="E211" s="5" t="s">
        <v>1844</v>
      </c>
      <c r="F211" s="5" t="s">
        <v>1845</v>
      </c>
      <c r="G211" s="5" t="s">
        <v>1846</v>
      </c>
      <c r="H211" s="1" t="s">
        <v>1847</v>
      </c>
      <c r="I211" s="5" t="s">
        <v>1848</v>
      </c>
      <c r="J211" s="7">
        <v>9</v>
      </c>
      <c r="K211" s="7">
        <v>3</v>
      </c>
      <c r="L211" s="5" t="s">
        <v>1849</v>
      </c>
      <c r="M211" s="7">
        <v>1</v>
      </c>
      <c r="N211" s="7">
        <v>0.5</v>
      </c>
      <c r="O211" s="7">
        <v>0.50600000000000001</v>
      </c>
      <c r="P211" s="1" t="s">
        <v>1850</v>
      </c>
    </row>
    <row r="212" spans="1:16" ht="33.4" x14ac:dyDescent="0.3">
      <c r="A212" s="6" t="str">
        <f>HYPERLINK("https://www.ti.com/product/TPS543421", "TPS543421")</f>
        <v>TPS543421</v>
      </c>
      <c r="B212" s="5" t="s">
        <v>1851</v>
      </c>
      <c r="C212" s="6" t="str">
        <f>HYPERLINK("https://www.ti.com/lit/gpn/TPS543421", "PDF")</f>
        <v>PDF</v>
      </c>
      <c r="D212" s="5" t="s">
        <v>1852</v>
      </c>
      <c r="E212" s="5" t="s">
        <v>1853</v>
      </c>
      <c r="F212" s="5" t="s">
        <v>1854</v>
      </c>
      <c r="G212" s="5" t="s">
        <v>1855</v>
      </c>
      <c r="H212" s="1" t="s">
        <v>1856</v>
      </c>
      <c r="I212" s="5" t="s">
        <v>1857</v>
      </c>
      <c r="J212" s="7">
        <v>9</v>
      </c>
      <c r="K212" s="7">
        <v>3</v>
      </c>
      <c r="L212" s="5" t="s">
        <v>1858</v>
      </c>
      <c r="M212" s="7">
        <v>1</v>
      </c>
      <c r="N212" s="7">
        <v>0.5</v>
      </c>
      <c r="O212" s="7">
        <v>0.48</v>
      </c>
      <c r="P212" s="1" t="s">
        <v>1859</v>
      </c>
    </row>
    <row r="213" spans="1:16" ht="33.4" x14ac:dyDescent="0.3">
      <c r="A213" s="6" t="str">
        <f>HYPERLINK("https://www.ti.com/product/TPS543521", "TPS543521")</f>
        <v>TPS543521</v>
      </c>
      <c r="B213" s="5" t="s">
        <v>1860</v>
      </c>
      <c r="C213" s="6" t="str">
        <f>HYPERLINK("https://www.ti.com/lit/gpn/TPS543521", "PDF")</f>
        <v>PDF</v>
      </c>
      <c r="D213" s="5" t="s">
        <v>1861</v>
      </c>
      <c r="E213" s="5" t="s">
        <v>1862</v>
      </c>
      <c r="F213" s="5" t="s">
        <v>1863</v>
      </c>
      <c r="G213" s="5" t="s">
        <v>1864</v>
      </c>
      <c r="H213" s="1" t="s">
        <v>1865</v>
      </c>
      <c r="I213" s="5" t="s">
        <v>1866</v>
      </c>
      <c r="J213" s="7">
        <v>9</v>
      </c>
      <c r="K213" s="7">
        <v>3</v>
      </c>
      <c r="L213" s="5" t="s">
        <v>1867</v>
      </c>
      <c r="M213" s="7">
        <v>1</v>
      </c>
      <c r="N213" s="7">
        <v>0.5</v>
      </c>
      <c r="O213" s="7">
        <v>0.59799999999999998</v>
      </c>
      <c r="P213" s="1" t="s">
        <v>1868</v>
      </c>
    </row>
    <row r="214" spans="1:16" ht="33.4" x14ac:dyDescent="0.3">
      <c r="A214" s="6" t="str">
        <f>HYPERLINK("https://www.ti.com/product/TPS54438", "TPS54438")</f>
        <v>TPS54438</v>
      </c>
      <c r="B214" s="5" t="s">
        <v>1869</v>
      </c>
      <c r="C214" s="6" t="str">
        <f>HYPERLINK("https://www.ti.com/lit/gpn/TPS54438", "PDF")</f>
        <v>PDF</v>
      </c>
      <c r="D214" s="5" t="s">
        <v>1870</v>
      </c>
      <c r="E214" s="5" t="s">
        <v>1871</v>
      </c>
      <c r="F214" s="5" t="s">
        <v>1872</v>
      </c>
      <c r="G214" s="5" t="s">
        <v>1873</v>
      </c>
      <c r="H214" s="1" t="s">
        <v>1874</v>
      </c>
      <c r="I214" s="5" t="s">
        <v>1875</v>
      </c>
      <c r="J214" s="7">
        <v>9</v>
      </c>
      <c r="K214" s="7">
        <v>3</v>
      </c>
      <c r="L214" s="5" t="s">
        <v>1876</v>
      </c>
      <c r="M214" s="7">
        <v>1</v>
      </c>
      <c r="N214" s="7">
        <v>0.5</v>
      </c>
      <c r="O214" s="7">
        <v>0.5</v>
      </c>
      <c r="P214" s="1" t="s">
        <v>1877</v>
      </c>
    </row>
    <row r="215" spans="1:16" ht="33.4" x14ac:dyDescent="0.3">
      <c r="A215" s="6" t="str">
        <f>HYPERLINK("https://www.ti.com/product/TPS7B4260-Q1", "TPS7B4260-Q1")</f>
        <v>TPS7B4260-Q1</v>
      </c>
      <c r="B215" s="5" t="s">
        <v>1878</v>
      </c>
      <c r="C215" s="6" t="str">
        <f>HYPERLINK("https://www.ti.com/lit/gpn/TPS7B4260-Q1", "PDF")</f>
        <v>PDF</v>
      </c>
      <c r="D215" s="5" t="s">
        <v>1879</v>
      </c>
      <c r="E215" s="5" t="s">
        <v>1880</v>
      </c>
      <c r="F215" s="5"/>
      <c r="G215" s="5" t="s">
        <v>1881</v>
      </c>
      <c r="H215" s="1" t="s">
        <v>1882</v>
      </c>
      <c r="I215" s="5" t="s">
        <v>1883</v>
      </c>
      <c r="J215" s="7">
        <v>8</v>
      </c>
      <c r="K215" s="7">
        <v>29.4</v>
      </c>
      <c r="L215" s="5" t="s">
        <v>1884</v>
      </c>
      <c r="M215" s="7">
        <v>1.7</v>
      </c>
      <c r="N215" s="7">
        <v>1.27</v>
      </c>
      <c r="O215" s="7">
        <v>0.65300000000000002</v>
      </c>
      <c r="P215" s="1" t="s">
        <v>1885</v>
      </c>
    </row>
    <row r="216" spans="1:16" ht="33.4" x14ac:dyDescent="0.3">
      <c r="A216" s="6" t="str">
        <f>HYPERLINK("https://www.ti.com/product/TPS92541-Q1", "TPS92541-Q1")</f>
        <v>TPS92541-Q1</v>
      </c>
      <c r="B216" s="5" t="s">
        <v>1886</v>
      </c>
      <c r="C216" s="6" t="str">
        <f>HYPERLINK("https://www.ti.com/lit/gpn/TPS92541-Q1", "PDF")</f>
        <v>PDF</v>
      </c>
      <c r="D216" s="5" t="s">
        <v>1887</v>
      </c>
      <c r="E216" s="5" t="s">
        <v>1888</v>
      </c>
      <c r="F216" s="5" t="s">
        <v>1889</v>
      </c>
      <c r="G216" s="5" t="s">
        <v>1890</v>
      </c>
      <c r="H216" s="1" t="s">
        <v>1891</v>
      </c>
      <c r="I216" s="5" t="s">
        <v>1892</v>
      </c>
      <c r="J216" s="7">
        <v>48</v>
      </c>
      <c r="K216" s="7">
        <v>81</v>
      </c>
      <c r="L216" s="5" t="s">
        <v>1893</v>
      </c>
      <c r="M216" s="7">
        <v>1.2</v>
      </c>
      <c r="N216" s="7">
        <v>0.5</v>
      </c>
      <c r="O216" s="7">
        <v>1.7250000000000001</v>
      </c>
      <c r="P216" s="1" t="s">
        <v>1894</v>
      </c>
    </row>
    <row r="217" spans="1:16" ht="33.4" x14ac:dyDescent="0.3">
      <c r="A217" s="6" t="str">
        <f>HYPERLINK("https://www.ti.com/product/TPS2HC120-Q1", "TPS2HC120-Q1")</f>
        <v>TPS2HC120-Q1</v>
      </c>
      <c r="B217" s="5" t="s">
        <v>1895</v>
      </c>
      <c r="C217" s="6" t="str">
        <f>HYPERLINK("https://www.ti.com/lit/gpn/TPS2HC120-Q1", "PDF")</f>
        <v>PDF</v>
      </c>
      <c r="D217" s="5" t="s">
        <v>1896</v>
      </c>
      <c r="E217" s="5" t="s">
        <v>1897</v>
      </c>
      <c r="F217" s="5"/>
      <c r="G217" s="5" t="s">
        <v>1898</v>
      </c>
      <c r="H217" s="1" t="s">
        <v>1899</v>
      </c>
      <c r="I217" s="5" t="s">
        <v>1900</v>
      </c>
      <c r="J217" s="7">
        <v>28</v>
      </c>
      <c r="K217" s="7">
        <v>34.79</v>
      </c>
      <c r="L217" s="5" t="s">
        <v>1901</v>
      </c>
      <c r="M217" s="7">
        <v>1.1000000000000001</v>
      </c>
      <c r="N217" s="7">
        <v>0.5</v>
      </c>
      <c r="O217" s="7">
        <v>0.53100000000000003</v>
      </c>
      <c r="P217" s="1" t="s">
        <v>1902</v>
      </c>
    </row>
    <row r="218" spans="1:16" ht="17.05" x14ac:dyDescent="0.3">
      <c r="A218" s="6" t="str">
        <f>HYPERLINK("https://www.ti.com/product/TPS7H6015-SEP", "TPS7H6015-SEP")</f>
        <v>TPS7H6015-SEP</v>
      </c>
      <c r="B218" s="5" t="s">
        <v>1903</v>
      </c>
      <c r="C218" s="6" t="str">
        <f>HYPERLINK("https://www.ti.com/lit/gpn/TPS7H6015-SEP", "PDF")</f>
        <v>PDF</v>
      </c>
      <c r="D218" s="5" t="s">
        <v>1904</v>
      </c>
      <c r="E218" s="5" t="s">
        <v>1905</v>
      </c>
      <c r="F218" s="5"/>
      <c r="G218" s="5" t="s">
        <v>1906</v>
      </c>
      <c r="H218" s="1" t="s">
        <v>1907</v>
      </c>
      <c r="I218" s="5" t="s">
        <v>1908</v>
      </c>
      <c r="J218" s="7">
        <v>56</v>
      </c>
      <c r="K218" s="7">
        <v>113.4</v>
      </c>
      <c r="L218" s="5" t="s">
        <v>1909</v>
      </c>
      <c r="M218" s="7">
        <v>1.2</v>
      </c>
      <c r="N218" s="7">
        <v>0.5</v>
      </c>
      <c r="O218" s="7">
        <v>584.94799999999998</v>
      </c>
      <c r="P218" s="1" t="s">
        <v>1910</v>
      </c>
    </row>
    <row r="219" spans="1:16" ht="33.4" x14ac:dyDescent="0.3">
      <c r="A219" s="6" t="str">
        <f>HYPERLINK("https://www.ti.com/product/TPS92544-Q1", "TPS92544-Q1")</f>
        <v>TPS92544-Q1</v>
      </c>
      <c r="B219" s="5" t="s">
        <v>1911</v>
      </c>
      <c r="C219" s="6" t="str">
        <f>HYPERLINK("https://www.ti.com/lit/gpn/TPS92544-Q1", "PDF")</f>
        <v>PDF</v>
      </c>
      <c r="D219" s="5" t="s">
        <v>1912</v>
      </c>
      <c r="E219" s="5" t="s">
        <v>1913</v>
      </c>
      <c r="F219" s="5" t="s">
        <v>1914</v>
      </c>
      <c r="G219" s="5" t="s">
        <v>1915</v>
      </c>
      <c r="H219" s="1" t="s">
        <v>1916</v>
      </c>
      <c r="I219" s="5" t="s">
        <v>1917</v>
      </c>
      <c r="J219" s="7">
        <v>48</v>
      </c>
      <c r="K219" s="7">
        <v>81</v>
      </c>
      <c r="L219" s="5" t="s">
        <v>1918</v>
      </c>
      <c r="M219" s="7">
        <v>1.2</v>
      </c>
      <c r="N219" s="7">
        <v>0.5</v>
      </c>
      <c r="O219" s="7">
        <v>1.84</v>
      </c>
      <c r="P219" s="1" t="s">
        <v>1919</v>
      </c>
    </row>
    <row r="220" spans="1:16" ht="49.75" x14ac:dyDescent="0.3">
      <c r="A220" s="6" t="str">
        <f>HYPERLINK("https://www.ti.com/product/TPS65223-Q1", "TPS65223-Q1")</f>
        <v>TPS65223-Q1</v>
      </c>
      <c r="B220" s="5" t="s">
        <v>1920</v>
      </c>
      <c r="C220" s="6" t="str">
        <f>HYPERLINK("https://www.ti.com/lit/gpn/TPS65223-Q1", "PDF")</f>
        <v>PDF</v>
      </c>
      <c r="D220" s="5" t="s">
        <v>1921</v>
      </c>
      <c r="E220" s="5" t="s">
        <v>1922</v>
      </c>
      <c r="F220" s="5"/>
      <c r="G220" s="5" t="s">
        <v>1923</v>
      </c>
      <c r="H220" s="1" t="s">
        <v>1924</v>
      </c>
      <c r="I220" s="5" t="s">
        <v>1925</v>
      </c>
      <c r="J220" s="7">
        <v>36</v>
      </c>
      <c r="K220" s="7">
        <v>30</v>
      </c>
      <c r="L220" s="5" t="s">
        <v>1926</v>
      </c>
      <c r="M220" s="7">
        <v>1</v>
      </c>
      <c r="N220" s="7">
        <v>0.5</v>
      </c>
      <c r="O220" s="7">
        <v>2.99</v>
      </c>
      <c r="P220" s="1" t="s">
        <v>1927</v>
      </c>
    </row>
    <row r="221" spans="1:16" ht="49.75" x14ac:dyDescent="0.3">
      <c r="A221" s="6" t="str">
        <f>HYPERLINK("https://www.ti.com/product/TPSM8287B30", "TPSM8287B30")</f>
        <v>TPSM8287B30</v>
      </c>
      <c r="B221" s="5" t="s">
        <v>1928</v>
      </c>
      <c r="C221" s="6" t="str">
        <f>HYPERLINK("https://www.ti.com/lit/gpn/TPSM8287B30", "PDF")</f>
        <v>PDF</v>
      </c>
      <c r="D221" s="5" t="s">
        <v>1929</v>
      </c>
      <c r="E221" s="5" t="s">
        <v>1930</v>
      </c>
      <c r="F221" s="5" t="s">
        <v>1931</v>
      </c>
      <c r="G221" s="5" t="s">
        <v>1932</v>
      </c>
      <c r="H221" s="1" t="s">
        <v>1933</v>
      </c>
      <c r="I221" s="5" t="s">
        <v>1934</v>
      </c>
      <c r="J221" s="7">
        <v>37</v>
      </c>
      <c r="K221" s="7">
        <v>30</v>
      </c>
      <c r="L221" s="5" t="s">
        <v>1935</v>
      </c>
      <c r="M221" s="7">
        <v>2</v>
      </c>
      <c r="N221" s="7">
        <v>0.5</v>
      </c>
      <c r="O221" s="7">
        <v>15</v>
      </c>
      <c r="P221" s="1" t="s">
        <v>1936</v>
      </c>
    </row>
    <row r="222" spans="1:16" ht="33.4" x14ac:dyDescent="0.3">
      <c r="A222" s="6" t="str">
        <f>HYPERLINK("https://www.ti.com/product/LM25190", "LM25190")</f>
        <v>LM25190</v>
      </c>
      <c r="B222" s="5" t="s">
        <v>1937</v>
      </c>
      <c r="C222" s="6" t="str">
        <f>HYPERLINK("https://www.ti.com/lit/gpn/LM25190", "PDF")</f>
        <v>PDF</v>
      </c>
      <c r="D222" s="5" t="s">
        <v>1938</v>
      </c>
      <c r="E222" s="5" t="s">
        <v>1939</v>
      </c>
      <c r="F222" s="5" t="s">
        <v>1940</v>
      </c>
      <c r="G222" s="5" t="s">
        <v>1941</v>
      </c>
      <c r="H222" s="1" t="s">
        <v>1942</v>
      </c>
      <c r="I222" s="5" t="s">
        <v>1943</v>
      </c>
      <c r="J222" s="7">
        <v>19</v>
      </c>
      <c r="K222" s="7">
        <v>15.75</v>
      </c>
      <c r="L222" s="5" t="s">
        <v>1944</v>
      </c>
      <c r="M222" s="7">
        <v>1</v>
      </c>
      <c r="N222" s="7">
        <v>0.5</v>
      </c>
      <c r="O222" s="7">
        <v>1.4179999999999999</v>
      </c>
      <c r="P222" s="1" t="s">
        <v>1945</v>
      </c>
    </row>
    <row r="223" spans="1:16" ht="17.05" x14ac:dyDescent="0.3">
      <c r="A223" s="6" t="str">
        <f>HYPERLINK("https://www.ti.com/product/UCC57102Z", "UCC57102Z")</f>
        <v>UCC57102Z</v>
      </c>
      <c r="B223" s="5" t="s">
        <v>1946</v>
      </c>
      <c r="C223" s="6" t="str">
        <f>HYPERLINK("https://www.ti.com/lit/gpn/UCC57102Z", "PDF")</f>
        <v>PDF</v>
      </c>
      <c r="D223" s="5" t="s">
        <v>1947</v>
      </c>
      <c r="E223" s="5" t="s">
        <v>1948</v>
      </c>
      <c r="F223" s="5"/>
      <c r="G223" s="5" t="s">
        <v>1949</v>
      </c>
      <c r="H223" s="1" t="s">
        <v>1950</v>
      </c>
      <c r="I223" s="5" t="s">
        <v>1951</v>
      </c>
      <c r="J223" s="7">
        <v>8</v>
      </c>
      <c r="K223" s="7">
        <v>29.4</v>
      </c>
      <c r="L223" s="5" t="s">
        <v>1952</v>
      </c>
      <c r="M223" s="7">
        <v>1.75</v>
      </c>
      <c r="N223" s="7">
        <v>1.27</v>
      </c>
      <c r="O223" s="7">
        <v>0.55000000000000004</v>
      </c>
      <c r="P223" s="1" t="s">
        <v>1953</v>
      </c>
    </row>
    <row r="224" spans="1:16" ht="33.4" x14ac:dyDescent="0.3">
      <c r="A224" s="6" t="str">
        <f>HYPERLINK("https://www.ti.com/product/TPS1689", "TPS1689")</f>
        <v>TPS1689</v>
      </c>
      <c r="B224" s="5" t="s">
        <v>1954</v>
      </c>
      <c r="C224" s="6" t="str">
        <f>HYPERLINK("https://www.ti.com/lit/gpn/TPS1689", "PDF")</f>
        <v>PDF</v>
      </c>
      <c r="D224" s="5" t="s">
        <v>1955</v>
      </c>
      <c r="E224" s="5" t="s">
        <v>1956</v>
      </c>
      <c r="F224" s="5"/>
      <c r="G224" s="5" t="s">
        <v>1957</v>
      </c>
      <c r="H224" s="1" t="s">
        <v>1958</v>
      </c>
      <c r="I224" s="5" t="s">
        <v>1959</v>
      </c>
      <c r="J224" s="7">
        <v>23</v>
      </c>
      <c r="K224" s="7">
        <v>30</v>
      </c>
      <c r="L224" s="5" t="s">
        <v>1960</v>
      </c>
      <c r="M224" s="7">
        <v>1.5</v>
      </c>
      <c r="N224" s="7">
        <v>0.45</v>
      </c>
      <c r="O224" s="7">
        <v>3.59</v>
      </c>
      <c r="P224" s="1" t="s">
        <v>1961</v>
      </c>
    </row>
    <row r="225" spans="1:16" ht="17.05" x14ac:dyDescent="0.3">
      <c r="A225" s="6" t="str">
        <f>HYPERLINK("https://www.ti.com/product/TPS7H6025-SEP", "TPS7H6025-SEP")</f>
        <v>TPS7H6025-SEP</v>
      </c>
      <c r="B225" s="5" t="s">
        <v>1962</v>
      </c>
      <c r="C225" s="6" t="str">
        <f>HYPERLINK("https://www.ti.com/lit/gpn/TPS7H6025-SEP", "PDF")</f>
        <v>PDF</v>
      </c>
      <c r="D225" s="5" t="s">
        <v>1963</v>
      </c>
      <c r="E225" s="5" t="s">
        <v>1964</v>
      </c>
      <c r="F225" s="5"/>
      <c r="G225" s="5" t="s">
        <v>1965</v>
      </c>
      <c r="H225" s="1" t="s">
        <v>1966</v>
      </c>
      <c r="I225" s="5" t="s">
        <v>1967</v>
      </c>
      <c r="J225" s="7">
        <v>56</v>
      </c>
      <c r="K225" s="7">
        <v>113.4</v>
      </c>
      <c r="L225" s="5" t="s">
        <v>1968</v>
      </c>
      <c r="M225" s="7">
        <v>1.2</v>
      </c>
      <c r="N225" s="7">
        <v>0.5</v>
      </c>
      <c r="O225" s="7">
        <v>363.52699999999999</v>
      </c>
      <c r="P225" s="1" t="s">
        <v>1969</v>
      </c>
    </row>
    <row r="226" spans="1:16" ht="33.4" x14ac:dyDescent="0.3">
      <c r="A226" s="6" t="str">
        <f>HYPERLINK("https://www.ti.com/product/TPSM843321", "TPSM843321")</f>
        <v>TPSM843321</v>
      </c>
      <c r="B226" s="5" t="s">
        <v>1970</v>
      </c>
      <c r="C226" s="6" t="str">
        <f>HYPERLINK("https://www.ti.com/lit/gpn/TPSM843321", "PDF")</f>
        <v>PDF</v>
      </c>
      <c r="D226" s="5" t="s">
        <v>1971</v>
      </c>
      <c r="E226" s="5" t="s">
        <v>1972</v>
      </c>
      <c r="F226" s="5" t="s">
        <v>1973</v>
      </c>
      <c r="G226" s="5" t="s">
        <v>1974</v>
      </c>
      <c r="H226" s="1" t="s">
        <v>1975</v>
      </c>
      <c r="I226" s="5" t="s">
        <v>1976</v>
      </c>
      <c r="J226" s="7">
        <v>9</v>
      </c>
      <c r="K226" s="7">
        <v>14.85</v>
      </c>
      <c r="L226" s="5" t="s">
        <v>1977</v>
      </c>
      <c r="M226" s="7">
        <v>2.1</v>
      </c>
      <c r="N226" s="7">
        <v>0.5</v>
      </c>
      <c r="O226" s="7">
        <v>1.0349999999999999</v>
      </c>
      <c r="P226" s="1" t="s">
        <v>1978</v>
      </c>
    </row>
    <row r="227" spans="1:16" ht="33.4" x14ac:dyDescent="0.3">
      <c r="A227" s="6" t="str">
        <f>HYPERLINK("https://www.ti.com/product/TPS6286A08", "TPS6286A08")</f>
        <v>TPS6286A08</v>
      </c>
      <c r="B227" s="5" t="s">
        <v>1979</v>
      </c>
      <c r="C227" s="6" t="str">
        <f>HYPERLINK("https://www.ti.com/lit/gpn/TPS6286A08", "PDF")</f>
        <v>PDF</v>
      </c>
      <c r="D227" s="5" t="s">
        <v>1980</v>
      </c>
      <c r="E227" s="5" t="s">
        <v>1981</v>
      </c>
      <c r="F227" s="5" t="s">
        <v>1982</v>
      </c>
      <c r="G227" s="5" t="s">
        <v>1983</v>
      </c>
      <c r="H227" s="1" t="s">
        <v>1984</v>
      </c>
      <c r="I227" s="5" t="s">
        <v>1985</v>
      </c>
      <c r="J227" s="7">
        <v>13</v>
      </c>
      <c r="K227" s="7">
        <v>6</v>
      </c>
      <c r="L227" s="5" t="s">
        <v>1986</v>
      </c>
      <c r="M227" s="7">
        <v>1</v>
      </c>
      <c r="N227" s="7">
        <v>0.5</v>
      </c>
      <c r="O227" s="7">
        <v>1.05</v>
      </c>
      <c r="P227" s="1" t="s">
        <v>1987</v>
      </c>
    </row>
    <row r="228" spans="1:16" ht="33.4" x14ac:dyDescent="0.3">
      <c r="A228" s="6" t="str">
        <f>HYPERLINK("https://www.ti.com/product/TPS6286A10", "TPS6286A10")</f>
        <v>TPS6286A10</v>
      </c>
      <c r="B228" s="5" t="s">
        <v>1988</v>
      </c>
      <c r="C228" s="6" t="str">
        <f>HYPERLINK("https://www.ti.com/lit/gpn/TPS6286A10", "PDF")</f>
        <v>PDF</v>
      </c>
      <c r="D228" s="5" t="s">
        <v>1989</v>
      </c>
      <c r="E228" s="5" t="s">
        <v>1990</v>
      </c>
      <c r="F228" s="5" t="s">
        <v>1991</v>
      </c>
      <c r="G228" s="5" t="s">
        <v>1992</v>
      </c>
      <c r="H228" s="1" t="s">
        <v>1993</v>
      </c>
      <c r="I228" s="5" t="s">
        <v>1994</v>
      </c>
      <c r="J228" s="7">
        <v>13</v>
      </c>
      <c r="K228" s="7">
        <v>6</v>
      </c>
      <c r="L228" s="5" t="s">
        <v>1995</v>
      </c>
      <c r="M228" s="7">
        <v>1</v>
      </c>
      <c r="N228" s="7">
        <v>0.5</v>
      </c>
      <c r="O228" s="7">
        <v>1.357</v>
      </c>
      <c r="P228" s="1" t="s">
        <v>1996</v>
      </c>
    </row>
    <row r="229" spans="1:16" ht="33.4" x14ac:dyDescent="0.3">
      <c r="A229" s="6" t="str">
        <f>HYPERLINK("https://www.ti.com/product/TPS6286B08", "TPS6286B08")</f>
        <v>TPS6286B08</v>
      </c>
      <c r="B229" s="5" t="s">
        <v>1997</v>
      </c>
      <c r="C229" s="6" t="str">
        <f>HYPERLINK("https://www.ti.com/lit/gpn/TPS6286B08", "PDF")</f>
        <v>PDF</v>
      </c>
      <c r="D229" s="5" t="s">
        <v>1998</v>
      </c>
      <c r="E229" s="5" t="s">
        <v>1999</v>
      </c>
      <c r="F229" s="5" t="s">
        <v>2000</v>
      </c>
      <c r="G229" s="5" t="s">
        <v>2001</v>
      </c>
      <c r="H229" s="1" t="s">
        <v>2002</v>
      </c>
      <c r="I229" s="5" t="s">
        <v>2003</v>
      </c>
      <c r="J229" s="7">
        <v>13</v>
      </c>
      <c r="K229" s="7">
        <v>6</v>
      </c>
      <c r="L229" s="5" t="s">
        <v>2004</v>
      </c>
      <c r="M229" s="7">
        <v>1</v>
      </c>
      <c r="N229" s="7">
        <v>0.5</v>
      </c>
      <c r="O229" s="7">
        <v>1.288</v>
      </c>
      <c r="P229" s="1" t="s">
        <v>2005</v>
      </c>
    </row>
    <row r="230" spans="1:16" ht="33.4" x14ac:dyDescent="0.3">
      <c r="A230" s="6" t="str">
        <f>HYPERLINK("https://www.ti.com/product/TLC69627-Q1", "TLC69627-Q1")</f>
        <v>TLC69627-Q1</v>
      </c>
      <c r="B230" s="5" t="s">
        <v>2006</v>
      </c>
      <c r="C230" s="6" t="str">
        <f>HYPERLINK("https://www.ti.com/lit/gpn/TLC69627-Q1", "PDF")</f>
        <v>PDF</v>
      </c>
      <c r="D230" s="5" t="s">
        <v>2007</v>
      </c>
      <c r="E230" s="5" t="s">
        <v>2008</v>
      </c>
      <c r="F230" s="5"/>
      <c r="G230" s="5" t="s">
        <v>2009</v>
      </c>
      <c r="H230" s="1" t="s">
        <v>2010</v>
      </c>
      <c r="I230" s="5" t="s">
        <v>2011</v>
      </c>
      <c r="J230" s="7">
        <v>56</v>
      </c>
      <c r="K230" s="7" t="s">
        <v>2012</v>
      </c>
      <c r="L230" s="5" t="s">
        <v>2013</v>
      </c>
      <c r="M230" s="7" t="s">
        <v>2014</v>
      </c>
      <c r="N230" s="7">
        <v>0.5</v>
      </c>
      <c r="O230" s="7">
        <v>1.923</v>
      </c>
      <c r="P230" s="1" t="s">
        <v>2015</v>
      </c>
    </row>
    <row r="231" spans="1:16" ht="33.4" x14ac:dyDescent="0.3">
      <c r="A231" s="6" t="str">
        <f>HYPERLINK("https://www.ti.com/product/TLC69628-Q1", "TLC69628-Q1")</f>
        <v>TLC69628-Q1</v>
      </c>
      <c r="B231" s="5" t="s">
        <v>2016</v>
      </c>
      <c r="C231" s="6" t="str">
        <f>HYPERLINK("https://www.ti.com/lit/gpn/TLC69628-Q1", "PDF")</f>
        <v>PDF</v>
      </c>
      <c r="D231" s="5" t="s">
        <v>2017</v>
      </c>
      <c r="E231" s="5" t="s">
        <v>2018</v>
      </c>
      <c r="F231" s="5"/>
      <c r="G231" s="5" t="s">
        <v>2019</v>
      </c>
      <c r="H231" s="1" t="s">
        <v>2020</v>
      </c>
      <c r="I231" s="5" t="s">
        <v>2021</v>
      </c>
      <c r="J231" s="7">
        <v>56</v>
      </c>
      <c r="K231" s="7" t="s">
        <v>2022</v>
      </c>
      <c r="L231" s="5" t="s">
        <v>2023</v>
      </c>
      <c r="M231" s="7" t="s">
        <v>2024</v>
      </c>
      <c r="N231" s="7">
        <v>0.5</v>
      </c>
      <c r="O231" s="7">
        <v>2.3079999999999998</v>
      </c>
      <c r="P231" s="1" t="s">
        <v>2025</v>
      </c>
    </row>
    <row r="232" spans="1:16" ht="33.4" x14ac:dyDescent="0.3">
      <c r="A232" s="6" t="str">
        <f>HYPERLINK("https://www.ti.com/product/TLC69637-Q1", "TLC69637-Q1")</f>
        <v>TLC69637-Q1</v>
      </c>
      <c r="B232" s="5" t="s">
        <v>2026</v>
      </c>
      <c r="C232" s="6" t="str">
        <f>HYPERLINK("https://www.ti.com/lit/gpn/TLC69637-Q1", "PDF")</f>
        <v>PDF</v>
      </c>
      <c r="D232" s="5" t="s">
        <v>2027</v>
      </c>
      <c r="E232" s="5" t="s">
        <v>2028</v>
      </c>
      <c r="F232" s="5"/>
      <c r="G232" s="5" t="s">
        <v>2029</v>
      </c>
      <c r="H232" s="1" t="s">
        <v>2030</v>
      </c>
      <c r="I232" s="5" t="s">
        <v>2031</v>
      </c>
      <c r="J232" s="7">
        <v>56</v>
      </c>
      <c r="K232" s="7" t="s">
        <v>2032</v>
      </c>
      <c r="L232" s="5" t="s">
        <v>2033</v>
      </c>
      <c r="M232" s="7" t="s">
        <v>2034</v>
      </c>
      <c r="N232" s="7">
        <v>0.5</v>
      </c>
      <c r="O232" s="7">
        <v>2.4039999999999999</v>
      </c>
      <c r="P232" s="1" t="s">
        <v>2035</v>
      </c>
    </row>
    <row r="233" spans="1:16" ht="33.4" x14ac:dyDescent="0.3">
      <c r="A233" s="6" t="str">
        <f>HYPERLINK("https://www.ti.com/product/TLC69638-Q1", "TLC69638-Q1")</f>
        <v>TLC69638-Q1</v>
      </c>
      <c r="B233" s="5" t="s">
        <v>2036</v>
      </c>
      <c r="C233" s="6" t="str">
        <f>HYPERLINK("https://www.ti.com/lit/gpn/TLC69638-Q1", "PDF")</f>
        <v>PDF</v>
      </c>
      <c r="D233" s="5" t="s">
        <v>2037</v>
      </c>
      <c r="E233" s="5" t="s">
        <v>2038</v>
      </c>
      <c r="F233" s="5"/>
      <c r="G233" s="5" t="s">
        <v>2039</v>
      </c>
      <c r="H233" s="1" t="s">
        <v>2040</v>
      </c>
      <c r="I233" s="5" t="s">
        <v>2041</v>
      </c>
      <c r="J233" s="7">
        <v>56</v>
      </c>
      <c r="K233" s="7" t="s">
        <v>2042</v>
      </c>
      <c r="L233" s="5" t="s">
        <v>2043</v>
      </c>
      <c r="M233" s="7" t="s">
        <v>2044</v>
      </c>
      <c r="N233" s="7">
        <v>0.5</v>
      </c>
      <c r="O233" s="7">
        <v>2.7879999999999998</v>
      </c>
      <c r="P233" s="1" t="s">
        <v>2045</v>
      </c>
    </row>
    <row r="234" spans="1:16" ht="33.4" x14ac:dyDescent="0.3">
      <c r="A234" s="6" t="str">
        <f>HYPERLINK("https://www.ti.com/product/TPS4141-Q1", "TPS4141-Q1")</f>
        <v>TPS4141-Q1</v>
      </c>
      <c r="B234" s="5" t="s">
        <v>2046</v>
      </c>
      <c r="C234" s="6" t="str">
        <f>HYPERLINK("https://www.ti.com/lit/gpn/TPS4141-Q1", "PDF")</f>
        <v>PDF</v>
      </c>
      <c r="D234" s="5" t="s">
        <v>2047</v>
      </c>
      <c r="E234" s="5" t="s">
        <v>2048</v>
      </c>
      <c r="F234" s="5"/>
      <c r="G234" s="5" t="s">
        <v>2049</v>
      </c>
      <c r="H234" s="1" t="s">
        <v>2050</v>
      </c>
      <c r="I234" s="5" t="s">
        <v>2051</v>
      </c>
      <c r="J234" s="7">
        <v>11</v>
      </c>
      <c r="K234" s="7">
        <v>106.09</v>
      </c>
      <c r="L234" s="5" t="s">
        <v>2052</v>
      </c>
      <c r="M234" s="7">
        <v>2.65</v>
      </c>
      <c r="N234" s="7">
        <v>1.27</v>
      </c>
      <c r="O234" s="7">
        <v>2.2999999999999998</v>
      </c>
      <c r="P234" s="1" t="s">
        <v>2053</v>
      </c>
    </row>
    <row r="235" spans="1:16" ht="33.4" x14ac:dyDescent="0.3">
      <c r="A235" s="6" t="str">
        <f>HYPERLINK("https://www.ti.com/product/TPS561300", "TPS561300")</f>
        <v>TPS561300</v>
      </c>
      <c r="B235" s="5" t="s">
        <v>2054</v>
      </c>
      <c r="C235" s="6" t="str">
        <f>HYPERLINK("https://www.ti.com/lit/gpn/TPS561300", "PDF")</f>
        <v>PDF</v>
      </c>
      <c r="D235" s="5" t="s">
        <v>2055</v>
      </c>
      <c r="E235" s="5" t="s">
        <v>2056</v>
      </c>
      <c r="F235" s="5" t="s">
        <v>2057</v>
      </c>
      <c r="G235" s="5" t="s">
        <v>2058</v>
      </c>
      <c r="H235" s="1" t="s">
        <v>2059</v>
      </c>
      <c r="I235" s="5" t="s">
        <v>2060</v>
      </c>
      <c r="J235" s="7">
        <v>6</v>
      </c>
      <c r="K235" s="7">
        <v>8.1199999999999992</v>
      </c>
      <c r="L235" s="5" t="s">
        <v>2061</v>
      </c>
      <c r="M235" s="7">
        <v>1.1000000000000001</v>
      </c>
      <c r="N235" s="7">
        <v>0.95</v>
      </c>
      <c r="O235" s="7">
        <v>0.34499999999999997</v>
      </c>
      <c r="P235" s="1" t="s">
        <v>2062</v>
      </c>
    </row>
    <row r="236" spans="1:16" ht="49.75" x14ac:dyDescent="0.3">
      <c r="A236" s="6" t="str">
        <f>HYPERLINK("https://www.ti.com/product/TPS65222-Q1", "TPS65222-Q1")</f>
        <v>TPS65222-Q1</v>
      </c>
      <c r="B236" s="5" t="s">
        <v>2063</v>
      </c>
      <c r="C236" s="6" t="str">
        <f>HYPERLINK("https://www.ti.com/lit/gpn/TPS65222-Q1", "PDF")</f>
        <v>PDF</v>
      </c>
      <c r="D236" s="5" t="s">
        <v>2064</v>
      </c>
      <c r="E236" s="5" t="s">
        <v>2065</v>
      </c>
      <c r="F236" s="5"/>
      <c r="G236" s="5" t="s">
        <v>2066</v>
      </c>
      <c r="H236" s="1" t="s">
        <v>2067</v>
      </c>
      <c r="I236" s="5" t="s">
        <v>2068</v>
      </c>
      <c r="J236" s="7">
        <v>36</v>
      </c>
      <c r="K236" s="7">
        <v>30</v>
      </c>
      <c r="L236" s="5" t="s">
        <v>2069</v>
      </c>
      <c r="M236" s="7">
        <v>1</v>
      </c>
      <c r="N236" s="7">
        <v>0.5</v>
      </c>
      <c r="O236" s="7">
        <v>2.5499999999999998</v>
      </c>
      <c r="P236" s="1" t="s">
        <v>2070</v>
      </c>
    </row>
    <row r="237" spans="1:16" ht="33.4" x14ac:dyDescent="0.3">
      <c r="A237" s="6" t="str">
        <f>HYPERLINK("https://www.ti.com/product/UCC33420", "UCC33420")</f>
        <v>UCC33420</v>
      </c>
      <c r="B237" s="5" t="s">
        <v>2071</v>
      </c>
      <c r="C237" s="6" t="str">
        <f>HYPERLINK("https://www.ti.com/lit/gpn/UCC33420", "PDF")</f>
        <v>PDF</v>
      </c>
      <c r="D237" s="5" t="s">
        <v>2072</v>
      </c>
      <c r="E237" s="5" t="s">
        <v>2073</v>
      </c>
      <c r="F237" s="5"/>
      <c r="G237" s="5" t="s">
        <v>2074</v>
      </c>
      <c r="H237" s="1" t="s">
        <v>2075</v>
      </c>
      <c r="I237" s="5" t="s">
        <v>2076</v>
      </c>
      <c r="J237" s="7">
        <v>12</v>
      </c>
      <c r="K237" s="7">
        <v>20</v>
      </c>
      <c r="L237" s="5" t="s">
        <v>2077</v>
      </c>
      <c r="M237" s="7">
        <v>1.05</v>
      </c>
      <c r="N237" s="7">
        <v>0.65</v>
      </c>
      <c r="O237" s="7">
        <v>1.25</v>
      </c>
      <c r="P237" s="1" t="s">
        <v>2078</v>
      </c>
    </row>
    <row r="238" spans="1:16" ht="33.4" x14ac:dyDescent="0.3">
      <c r="A238" s="6" t="str">
        <f>HYPERLINK("https://www.ti.com/product/LMG2652", "LMG2652")</f>
        <v>LMG2652</v>
      </c>
      <c r="B238" s="5" t="s">
        <v>2079</v>
      </c>
      <c r="C238" s="6" t="str">
        <f>HYPERLINK("https://www.ti.com/lit/gpn/LMG2652", "PDF")</f>
        <v>PDF</v>
      </c>
      <c r="D238" s="5" t="s">
        <v>2080</v>
      </c>
      <c r="E238" s="5" t="s">
        <v>2081</v>
      </c>
      <c r="F238" s="5"/>
      <c r="G238" s="5" t="s">
        <v>2082</v>
      </c>
      <c r="H238" s="1" t="s">
        <v>2083</v>
      </c>
      <c r="I238" s="5" t="s">
        <v>2084</v>
      </c>
      <c r="J238" s="7">
        <v>19</v>
      </c>
      <c r="K238" s="7">
        <v>48</v>
      </c>
      <c r="L238" s="5" t="s">
        <v>2085</v>
      </c>
      <c r="M238" s="7">
        <v>1</v>
      </c>
      <c r="N238" s="7">
        <v>0.65</v>
      </c>
      <c r="O238" s="7">
        <v>4.99</v>
      </c>
      <c r="P238" s="1" t="s">
        <v>2086</v>
      </c>
    </row>
    <row r="239" spans="1:16" ht="33.4" x14ac:dyDescent="0.3">
      <c r="A239" s="6" t="str">
        <f>HYPERLINK("https://www.ti.com/product/LP5892-Q1", "LP5892-Q1")</f>
        <v>LP5892-Q1</v>
      </c>
      <c r="B239" s="5" t="s">
        <v>2087</v>
      </c>
      <c r="C239" s="6" t="str">
        <f>HYPERLINK("https://www.ti.com/lit/gpn/LP5892-Q1", "PDF")</f>
        <v>PDF</v>
      </c>
      <c r="D239" s="5" t="s">
        <v>2088</v>
      </c>
      <c r="E239" s="5" t="s">
        <v>2089</v>
      </c>
      <c r="F239" s="5"/>
      <c r="G239" s="5" t="s">
        <v>2090</v>
      </c>
      <c r="H239" s="1" t="s">
        <v>2091</v>
      </c>
      <c r="I239" s="5" t="s">
        <v>2092</v>
      </c>
      <c r="J239" s="7">
        <v>76</v>
      </c>
      <c r="K239" s="7">
        <v>81</v>
      </c>
      <c r="L239" s="5" t="s">
        <v>2093</v>
      </c>
      <c r="M239" s="7">
        <v>1</v>
      </c>
      <c r="N239" s="7">
        <v>0.4</v>
      </c>
      <c r="O239" s="7">
        <v>6.5529999999999999</v>
      </c>
      <c r="P239" s="1" t="s">
        <v>2094</v>
      </c>
    </row>
    <row r="240" spans="1:16" ht="33.4" x14ac:dyDescent="0.3">
      <c r="A240" s="6" t="str">
        <f>HYPERLINK("https://www.ti.com/product/TPSI3100", "TPSI3100")</f>
        <v>TPSI3100</v>
      </c>
      <c r="B240" s="5" t="s">
        <v>2095</v>
      </c>
      <c r="C240" s="6" t="str">
        <f>HYPERLINK("https://www.ti.com/lit/gpn/TPSI3100", "PDF")</f>
        <v>PDF</v>
      </c>
      <c r="D240" s="5" t="s">
        <v>2096</v>
      </c>
      <c r="E240" s="5" t="s">
        <v>2097</v>
      </c>
      <c r="F240" s="5"/>
      <c r="G240" s="5" t="s">
        <v>2098</v>
      </c>
      <c r="H240" s="1" t="s">
        <v>2099</v>
      </c>
      <c r="I240" s="5" t="s">
        <v>2100</v>
      </c>
      <c r="J240" s="7">
        <v>16</v>
      </c>
      <c r="K240" s="7">
        <v>60.255000000000003</v>
      </c>
      <c r="L240" s="5" t="s">
        <v>2101</v>
      </c>
      <c r="M240" s="7">
        <v>2.8</v>
      </c>
      <c r="N240" s="7">
        <v>0.65</v>
      </c>
      <c r="O240" s="7">
        <v>2.1850000000000001</v>
      </c>
      <c r="P240" s="1" t="s">
        <v>2102</v>
      </c>
    </row>
    <row r="241" spans="1:16" ht="33.4" x14ac:dyDescent="0.3">
      <c r="A241" s="6" t="str">
        <f>HYPERLINK("https://www.ti.com/product/TPS38800", "TPS38800")</f>
        <v>TPS38800</v>
      </c>
      <c r="B241" s="5" t="s">
        <v>2103</v>
      </c>
      <c r="C241" s="6" t="str">
        <f>HYPERLINK("https://www.ti.com/lit/gpn/TPS38800", "PDF")</f>
        <v>PDF</v>
      </c>
      <c r="D241" s="5" t="s">
        <v>2104</v>
      </c>
      <c r="E241" s="5" t="s">
        <v>2105</v>
      </c>
      <c r="F241" s="5"/>
      <c r="G241" s="5" t="s">
        <v>2106</v>
      </c>
      <c r="H241" s="1" t="s">
        <v>2107</v>
      </c>
      <c r="I241" s="5" t="s">
        <v>2108</v>
      </c>
      <c r="J241" s="7">
        <v>16</v>
      </c>
      <c r="K241" s="7">
        <v>9</v>
      </c>
      <c r="L241" s="5" t="s">
        <v>2109</v>
      </c>
      <c r="M241" s="7">
        <v>0.8</v>
      </c>
      <c r="N241" s="7">
        <v>0.5</v>
      </c>
      <c r="O241" s="7">
        <v>1.9550000000000001</v>
      </c>
      <c r="P241" s="1" t="s">
        <v>2110</v>
      </c>
    </row>
    <row r="242" spans="1:16" ht="33.4" x14ac:dyDescent="0.3">
      <c r="A242" s="6" t="str">
        <f>HYPERLINK("https://www.ti.com/product/TPS62914-Q1", "TPS62914-Q1")</f>
        <v>TPS62914-Q1</v>
      </c>
      <c r="B242" s="5" t="s">
        <v>2111</v>
      </c>
      <c r="C242" s="6" t="str">
        <f>HYPERLINK("https://www.ti.com/lit/gpn/TPS62914-Q1", "PDF")</f>
        <v>PDF</v>
      </c>
      <c r="D242" s="5" t="s">
        <v>2112</v>
      </c>
      <c r="E242" s="5" t="s">
        <v>2113</v>
      </c>
      <c r="F242" s="5" t="s">
        <v>2114</v>
      </c>
      <c r="G242" s="5" t="s">
        <v>2115</v>
      </c>
      <c r="H242" s="1" t="s">
        <v>2116</v>
      </c>
      <c r="I242" s="5" t="s">
        <v>2117</v>
      </c>
      <c r="J242" s="7">
        <v>14</v>
      </c>
      <c r="K242" s="7">
        <v>7.5</v>
      </c>
      <c r="L242" s="5" t="s">
        <v>2118</v>
      </c>
      <c r="M242" s="7">
        <v>1</v>
      </c>
      <c r="N242" s="7">
        <v>0.5</v>
      </c>
      <c r="O242" s="7">
        <v>1.5529999999999999</v>
      </c>
      <c r="P242" s="1" t="s">
        <v>2119</v>
      </c>
    </row>
    <row r="243" spans="1:16" ht="33.4" x14ac:dyDescent="0.3">
      <c r="A243" s="6" t="str">
        <f>HYPERLINK("https://www.ti.com/product/LMR51625", "LMR51625")</f>
        <v>LMR51625</v>
      </c>
      <c r="B243" s="5" t="s">
        <v>2120</v>
      </c>
      <c r="C243" s="6" t="str">
        <f>HYPERLINK("https://www.ti.com/lit/gpn/LMR51625", "PDF")</f>
        <v>PDF</v>
      </c>
      <c r="D243" s="5" t="s">
        <v>2121</v>
      </c>
      <c r="E243" s="5" t="s">
        <v>2122</v>
      </c>
      <c r="F243" s="5" t="s">
        <v>2123</v>
      </c>
      <c r="G243" s="5" t="s">
        <v>2124</v>
      </c>
      <c r="H243" s="1" t="s">
        <v>2125</v>
      </c>
      <c r="I243" s="5" t="s">
        <v>2126</v>
      </c>
      <c r="J243" s="7">
        <v>6</v>
      </c>
      <c r="K243" s="7">
        <v>8.1199999999999992</v>
      </c>
      <c r="L243" s="5" t="s">
        <v>2127</v>
      </c>
      <c r="M243" s="7">
        <v>1.1000000000000001</v>
      </c>
      <c r="N243" s="7">
        <v>0.95</v>
      </c>
      <c r="O243" s="7">
        <v>0.748</v>
      </c>
      <c r="P243" s="1" t="s">
        <v>2128</v>
      </c>
    </row>
    <row r="244" spans="1:16" ht="49.75" x14ac:dyDescent="0.3">
      <c r="A244" s="6" t="str">
        <f>HYPERLINK("https://www.ti.com/product/TPS542021", "TPS542021")</f>
        <v>TPS542021</v>
      </c>
      <c r="B244" s="5" t="s">
        <v>2129</v>
      </c>
      <c r="C244" s="6" t="str">
        <f>HYPERLINK("https://www.ti.com/lit/gpn/TPS542021", "PDF")</f>
        <v>PDF</v>
      </c>
      <c r="D244" s="5" t="s">
        <v>2130</v>
      </c>
      <c r="E244" s="5" t="s">
        <v>2131</v>
      </c>
      <c r="F244" s="5" t="s">
        <v>2132</v>
      </c>
      <c r="G244" s="5" t="s">
        <v>2133</v>
      </c>
      <c r="H244" s="1" t="s">
        <v>2134</v>
      </c>
      <c r="I244" s="5" t="s">
        <v>2135</v>
      </c>
      <c r="J244" s="7">
        <v>6</v>
      </c>
      <c r="K244" s="7" t="s">
        <v>2136</v>
      </c>
      <c r="L244" s="5" t="s">
        <v>2137</v>
      </c>
      <c r="M244" s="7" t="s">
        <v>2138</v>
      </c>
      <c r="N244" s="7" t="s">
        <v>2139</v>
      </c>
      <c r="O244" s="7">
        <v>0.34799999999999998</v>
      </c>
      <c r="P244" s="1" t="s">
        <v>2140</v>
      </c>
    </row>
    <row r="245" spans="1:16" ht="33.4" x14ac:dyDescent="0.3">
      <c r="A245" s="6" t="str">
        <f>HYPERLINK("https://www.ti.com/product/TPS62916-Q1", "TPS62916-Q1")</f>
        <v>TPS62916-Q1</v>
      </c>
      <c r="B245" s="5" t="s">
        <v>2141</v>
      </c>
      <c r="C245" s="6" t="str">
        <f>HYPERLINK("https://www.ti.com/lit/gpn/TPS62916-Q1", "PDF")</f>
        <v>PDF</v>
      </c>
      <c r="D245" s="5" t="s">
        <v>2142</v>
      </c>
      <c r="E245" s="5" t="s">
        <v>2143</v>
      </c>
      <c r="F245" s="5" t="s">
        <v>2144</v>
      </c>
      <c r="G245" s="5" t="s">
        <v>2145</v>
      </c>
      <c r="H245" s="1" t="s">
        <v>2146</v>
      </c>
      <c r="I245" s="5" t="s">
        <v>2147</v>
      </c>
      <c r="J245" s="7">
        <v>14</v>
      </c>
      <c r="K245" s="7">
        <v>7.5</v>
      </c>
      <c r="L245" s="5" t="s">
        <v>2148</v>
      </c>
      <c r="M245" s="7">
        <v>1</v>
      </c>
      <c r="N245" s="7">
        <v>0.5</v>
      </c>
      <c r="O245" s="7">
        <v>2.0150000000000001</v>
      </c>
      <c r="P245" s="1" t="s">
        <v>2149</v>
      </c>
    </row>
    <row r="246" spans="1:16" ht="33.4" x14ac:dyDescent="0.3">
      <c r="A246" s="6" t="str">
        <f>HYPERLINK("https://www.ti.com/product/TPS62918-Q1", "TPS62918-Q1")</f>
        <v>TPS62918-Q1</v>
      </c>
      <c r="B246" s="5" t="s">
        <v>2150</v>
      </c>
      <c r="C246" s="6" t="str">
        <f>HYPERLINK("https://www.ti.com/lit/gpn/TPS62918-Q1", "PDF")</f>
        <v>PDF</v>
      </c>
      <c r="D246" s="5" t="s">
        <v>2151</v>
      </c>
      <c r="E246" s="5" t="s">
        <v>2152</v>
      </c>
      <c r="F246" s="5" t="s">
        <v>2153</v>
      </c>
      <c r="G246" s="5" t="s">
        <v>2154</v>
      </c>
      <c r="H246" s="1" t="s">
        <v>2155</v>
      </c>
      <c r="I246" s="5" t="s">
        <v>2156</v>
      </c>
      <c r="J246" s="7">
        <v>14</v>
      </c>
      <c r="K246" s="7">
        <v>7.5</v>
      </c>
      <c r="L246" s="5" t="s">
        <v>2157</v>
      </c>
      <c r="M246" s="7">
        <v>1</v>
      </c>
      <c r="N246" s="7">
        <v>0.5</v>
      </c>
      <c r="O246" s="7">
        <v>2.6429999999999998</v>
      </c>
      <c r="P246" s="1" t="s">
        <v>2158</v>
      </c>
    </row>
    <row r="247" spans="1:16" ht="33.4" x14ac:dyDescent="0.3">
      <c r="A247" s="6" t="str">
        <f>HYPERLINK("https://www.ti.com/product/TPS6286B10", "TPS6286B10")</f>
        <v>TPS6286B10</v>
      </c>
      <c r="B247" s="5" t="s">
        <v>2159</v>
      </c>
      <c r="C247" s="6" t="str">
        <f>HYPERLINK("https://www.ti.com/lit/gpn/TPS6286B10", "PDF")</f>
        <v>PDF</v>
      </c>
      <c r="D247" s="5" t="s">
        <v>2160</v>
      </c>
      <c r="E247" s="5" t="s">
        <v>2161</v>
      </c>
      <c r="F247" s="5" t="s">
        <v>2162</v>
      </c>
      <c r="G247" s="5" t="s">
        <v>2163</v>
      </c>
      <c r="H247" s="1" t="s">
        <v>2164</v>
      </c>
      <c r="I247" s="5" t="s">
        <v>2165</v>
      </c>
      <c r="J247" s="7">
        <v>13</v>
      </c>
      <c r="K247" s="7">
        <v>6</v>
      </c>
      <c r="L247" s="5" t="s">
        <v>2166</v>
      </c>
      <c r="M247" s="7">
        <v>1</v>
      </c>
      <c r="N247" s="7">
        <v>0.5</v>
      </c>
      <c r="O247" s="7">
        <v>1.4379999999999999</v>
      </c>
      <c r="P247" s="1" t="s">
        <v>2167</v>
      </c>
    </row>
    <row r="248" spans="1:16" ht="33.4" x14ac:dyDescent="0.3">
      <c r="A248" s="6" t="str">
        <f>HYPERLINK("https://www.ti.com/product/TPS922050", "TPS922050")</f>
        <v>TPS922050</v>
      </c>
      <c r="B248" s="5" t="s">
        <v>2168</v>
      </c>
      <c r="C248" s="6" t="str">
        <f>HYPERLINK("https://www.ti.com/lit/gpn/TPS922050", "PDF")</f>
        <v>PDF</v>
      </c>
      <c r="D248" s="5" t="s">
        <v>2169</v>
      </c>
      <c r="E248" s="5" t="s">
        <v>2170</v>
      </c>
      <c r="F248" s="5" t="s">
        <v>2171</v>
      </c>
      <c r="G248" s="5" t="s">
        <v>2172</v>
      </c>
      <c r="H248" s="1" t="s">
        <v>2173</v>
      </c>
      <c r="I248" s="5" t="s">
        <v>2174</v>
      </c>
      <c r="J248" s="7">
        <v>8</v>
      </c>
      <c r="K248" s="7" t="s">
        <v>2175</v>
      </c>
      <c r="L248" s="5" t="s">
        <v>2176</v>
      </c>
      <c r="M248" s="7" t="s">
        <v>2177</v>
      </c>
      <c r="N248" s="7" t="s">
        <v>2178</v>
      </c>
      <c r="O248" s="7">
        <v>0.13800000000000001</v>
      </c>
      <c r="P248" s="1" t="s">
        <v>2179</v>
      </c>
    </row>
    <row r="249" spans="1:16" ht="33.4" x14ac:dyDescent="0.3">
      <c r="A249" s="6" t="str">
        <f>HYPERLINK("https://www.ti.com/product/TPS923651", "TPS923651")</f>
        <v>TPS923651</v>
      </c>
      <c r="B249" s="5" t="s">
        <v>2180</v>
      </c>
      <c r="C249" s="6" t="str">
        <f>HYPERLINK("https://www.ti.com/lit/gpn/TPS923651", "PDF")</f>
        <v>PDF</v>
      </c>
      <c r="D249" s="5" t="s">
        <v>2181</v>
      </c>
      <c r="E249" s="5" t="s">
        <v>2182</v>
      </c>
      <c r="F249" s="5" t="s">
        <v>2183</v>
      </c>
      <c r="G249" s="5" t="s">
        <v>2184</v>
      </c>
      <c r="H249" s="1" t="s">
        <v>2185</v>
      </c>
      <c r="I249" s="5" t="s">
        <v>2186</v>
      </c>
      <c r="J249" s="7">
        <v>8</v>
      </c>
      <c r="K249" s="7" t="s">
        <v>2187</v>
      </c>
      <c r="L249" s="5" t="s">
        <v>2188</v>
      </c>
      <c r="M249" s="7" t="s">
        <v>2189</v>
      </c>
      <c r="N249" s="7" t="s">
        <v>2190</v>
      </c>
      <c r="O249" s="7">
        <v>0.255</v>
      </c>
      <c r="P249" s="1" t="s">
        <v>2191</v>
      </c>
    </row>
    <row r="250" spans="1:16" ht="17.05" x14ac:dyDescent="0.3">
      <c r="A250" s="6" t="str">
        <f>HYPERLINK("https://www.ti.com/product/LMG3100R017", "LMG3100R017")</f>
        <v>LMG3100R017</v>
      </c>
      <c r="B250" s="5" t="s">
        <v>2192</v>
      </c>
      <c r="C250" s="6" t="str">
        <f>HYPERLINK("https://www.ti.com/lit/gpn/LMG3100R017", "PDF")</f>
        <v>PDF</v>
      </c>
      <c r="D250" s="5" t="s">
        <v>2193</v>
      </c>
      <c r="E250" s="5" t="s">
        <v>2194</v>
      </c>
      <c r="F250" s="5"/>
      <c r="G250" s="5" t="s">
        <v>2195</v>
      </c>
      <c r="H250" s="1" t="s">
        <v>2196</v>
      </c>
      <c r="I250" s="5" t="s">
        <v>2197</v>
      </c>
      <c r="J250" s="7">
        <v>15</v>
      </c>
      <c r="K250" s="7">
        <v>26</v>
      </c>
      <c r="L250" s="5" t="s">
        <v>2198</v>
      </c>
      <c r="M250" s="7">
        <v>0.9</v>
      </c>
      <c r="N250" s="7">
        <v>0.5</v>
      </c>
      <c r="O250" s="7">
        <v>5.67</v>
      </c>
      <c r="P250" s="1" t="s">
        <v>2199</v>
      </c>
    </row>
    <row r="251" spans="1:16" ht="33.4" x14ac:dyDescent="0.3">
      <c r="A251" s="6" t="str">
        <f>HYPERLINK("https://www.ti.com/product/LP5899", "LP5899")</f>
        <v>LP5899</v>
      </c>
      <c r="B251" s="5" t="s">
        <v>2200</v>
      </c>
      <c r="C251" s="6" t="str">
        <f>HYPERLINK("https://www.ti.com/lit/gpn/LP5899", "PDF")</f>
        <v>PDF</v>
      </c>
      <c r="D251" s="5" t="s">
        <v>2201</v>
      </c>
      <c r="E251" s="5" t="s">
        <v>2202</v>
      </c>
      <c r="F251" s="5"/>
      <c r="G251" s="5" t="s">
        <v>2203</v>
      </c>
      <c r="H251" s="1" t="s">
        <v>2204</v>
      </c>
      <c r="I251" s="5" t="s">
        <v>2205</v>
      </c>
      <c r="J251" s="7" t="s">
        <v>2206</v>
      </c>
      <c r="K251" s="7" t="s">
        <v>2207</v>
      </c>
      <c r="L251" s="5" t="s">
        <v>2208</v>
      </c>
      <c r="M251" s="7" t="s">
        <v>2209</v>
      </c>
      <c r="N251" s="7">
        <v>0.5</v>
      </c>
      <c r="O251" s="7">
        <v>0.53700000000000003</v>
      </c>
      <c r="P251" s="1" t="s">
        <v>2210</v>
      </c>
    </row>
    <row r="252" spans="1:16" ht="33.4" x14ac:dyDescent="0.3">
      <c r="A252" s="6" t="str">
        <f>HYPERLINK("https://www.ti.com/product/TLC69699", "TLC69699")</f>
        <v>TLC69699</v>
      </c>
      <c r="B252" s="5" t="s">
        <v>2211</v>
      </c>
      <c r="C252" s="6" t="str">
        <f>HYPERLINK("https://www.ti.com/lit/gpn/TLC69699", "PDF")</f>
        <v>PDF</v>
      </c>
      <c r="D252" s="5" t="s">
        <v>2212</v>
      </c>
      <c r="E252" s="5" t="s">
        <v>2213</v>
      </c>
      <c r="F252" s="5"/>
      <c r="G252" s="5" t="s">
        <v>2214</v>
      </c>
      <c r="H252" s="1" t="s">
        <v>2215</v>
      </c>
      <c r="I252" s="5" t="s">
        <v>2216</v>
      </c>
      <c r="J252" s="7" t="s">
        <v>2217</v>
      </c>
      <c r="K252" s="7" t="s">
        <v>2218</v>
      </c>
      <c r="L252" s="5" t="s">
        <v>2219</v>
      </c>
      <c r="M252" s="7" t="s">
        <v>2220</v>
      </c>
      <c r="N252" s="7">
        <v>0.5</v>
      </c>
      <c r="O252" s="7">
        <v>0.46</v>
      </c>
      <c r="P252" s="1" t="s">
        <v>2221</v>
      </c>
    </row>
    <row r="253" spans="1:16" ht="33.4" x14ac:dyDescent="0.3">
      <c r="A253" s="6" t="str">
        <f>HYPERLINK("https://www.ti.com/product/TLC6989", "TLC6989")</f>
        <v>TLC6989</v>
      </c>
      <c r="B253" s="5" t="s">
        <v>2222</v>
      </c>
      <c r="C253" s="6" t="str">
        <f>HYPERLINK("https://www.ti.com/lit/gpn/TLC6989", "PDF")</f>
        <v>PDF</v>
      </c>
      <c r="D253" s="5" t="s">
        <v>2223</v>
      </c>
      <c r="E253" s="5" t="s">
        <v>2224</v>
      </c>
      <c r="F253" s="5"/>
      <c r="G253" s="5" t="s">
        <v>2225</v>
      </c>
      <c r="H253" s="1" t="s">
        <v>2226</v>
      </c>
      <c r="I253" s="5" t="s">
        <v>2227</v>
      </c>
      <c r="J253" s="7" t="s">
        <v>2228</v>
      </c>
      <c r="K253" s="7" t="s">
        <v>2229</v>
      </c>
      <c r="L253" s="5" t="s">
        <v>2230</v>
      </c>
      <c r="M253" s="7" t="s">
        <v>2231</v>
      </c>
      <c r="N253" s="7">
        <v>0.5</v>
      </c>
      <c r="O253" s="7">
        <v>0.46</v>
      </c>
      <c r="P253" s="1" t="s">
        <v>2232</v>
      </c>
    </row>
    <row r="254" spans="1:16" ht="33.4" x14ac:dyDescent="0.3">
      <c r="A254" s="6" t="str">
        <f>HYPERLINK("https://www.ti.com/product/TPS650365-Q1", "TPS650365-Q1")</f>
        <v>TPS650365-Q1</v>
      </c>
      <c r="B254" s="5" t="s">
        <v>2233</v>
      </c>
      <c r="C254" s="6" t="str">
        <f>HYPERLINK("https://www.ti.com/lit/gpn/TPS650365-Q1", "PDF")</f>
        <v>PDF</v>
      </c>
      <c r="D254" s="5" t="s">
        <v>2234</v>
      </c>
      <c r="E254" s="5" t="s">
        <v>2235</v>
      </c>
      <c r="F254" s="5"/>
      <c r="G254" s="5" t="s">
        <v>2236</v>
      </c>
      <c r="H254" s="1" t="s">
        <v>2237</v>
      </c>
      <c r="I254" s="5" t="s">
        <v>2238</v>
      </c>
      <c r="J254" s="7">
        <v>24</v>
      </c>
      <c r="K254" s="7">
        <v>12.25</v>
      </c>
      <c r="L254" s="5" t="s">
        <v>2239</v>
      </c>
      <c r="M254" s="7">
        <v>1</v>
      </c>
      <c r="N254" s="7">
        <v>0.5</v>
      </c>
      <c r="O254" s="7">
        <v>1.6679999999999999</v>
      </c>
      <c r="P254" s="1" t="s">
        <v>2240</v>
      </c>
    </row>
    <row r="255" spans="1:16" ht="33.4" x14ac:dyDescent="0.3">
      <c r="A255" s="6" t="str">
        <f>HYPERLINK("https://www.ti.com/product/TPS62964", "TPS62964")</f>
        <v>TPS62964</v>
      </c>
      <c r="B255" s="5" t="s">
        <v>2241</v>
      </c>
      <c r="C255" s="6" t="str">
        <f>HYPERLINK("https://www.ti.com/lit/gpn/TPS62964", "PDF")</f>
        <v>PDF</v>
      </c>
      <c r="D255" s="5" t="s">
        <v>2242</v>
      </c>
      <c r="E255" s="5" t="s">
        <v>2243</v>
      </c>
      <c r="F255" s="5"/>
      <c r="G255" s="5" t="s">
        <v>2244</v>
      </c>
      <c r="H255" s="1" t="s">
        <v>2245</v>
      </c>
      <c r="I255" s="5" t="s">
        <v>2246</v>
      </c>
      <c r="J255" s="7">
        <v>14</v>
      </c>
      <c r="K255" s="7">
        <v>7.5</v>
      </c>
      <c r="L255" s="5" t="s">
        <v>2247</v>
      </c>
      <c r="M255" s="7">
        <v>1</v>
      </c>
      <c r="N255" s="7">
        <v>0.5</v>
      </c>
      <c r="O255" s="7">
        <v>1.5529999999999999</v>
      </c>
      <c r="P255" s="1" t="s">
        <v>2248</v>
      </c>
    </row>
    <row r="256" spans="1:16" ht="33.4" x14ac:dyDescent="0.3">
      <c r="A256" s="6" t="str">
        <f>HYPERLINK("https://www.ti.com/product/TPS1200-Q1", "TPS1200-Q1")</f>
        <v>TPS1200-Q1</v>
      </c>
      <c r="B256" s="5" t="s">
        <v>2249</v>
      </c>
      <c r="C256" s="6" t="str">
        <f>HYPERLINK("https://www.ti.com/lit/gpn/TPS1200-Q1", "PDF")</f>
        <v>PDF</v>
      </c>
      <c r="D256" s="5" t="s">
        <v>2250</v>
      </c>
      <c r="E256" s="5" t="s">
        <v>2251</v>
      </c>
      <c r="F256" s="5"/>
      <c r="G256" s="5" t="s">
        <v>2252</v>
      </c>
      <c r="H256" s="1" t="s">
        <v>2253</v>
      </c>
      <c r="I256" s="5" t="s">
        <v>2254</v>
      </c>
      <c r="J256" s="7">
        <v>19</v>
      </c>
      <c r="K256" s="7">
        <v>15.3</v>
      </c>
      <c r="L256" s="5" t="s">
        <v>2255</v>
      </c>
      <c r="M256" s="7">
        <v>0.95</v>
      </c>
      <c r="N256" s="7">
        <v>0.5</v>
      </c>
      <c r="O256" s="7">
        <v>1.37</v>
      </c>
      <c r="P256" s="1" t="s">
        <v>2256</v>
      </c>
    </row>
    <row r="257" spans="1:16" ht="33.4" x14ac:dyDescent="0.3">
      <c r="A257" s="6" t="str">
        <f>HYPERLINK("https://www.ti.com/product/TPS1210-Q1", "TPS1210-Q1")</f>
        <v>TPS1210-Q1</v>
      </c>
      <c r="B257" s="5" t="s">
        <v>2257</v>
      </c>
      <c r="C257" s="6" t="str">
        <f>HYPERLINK("https://www.ti.com/lit/gpn/TPS1210-Q1", "PDF")</f>
        <v>PDF</v>
      </c>
      <c r="D257" s="5" t="s">
        <v>2258</v>
      </c>
      <c r="E257" s="5" t="s">
        <v>2259</v>
      </c>
      <c r="F257" s="5"/>
      <c r="G257" s="5" t="s">
        <v>2260</v>
      </c>
      <c r="H257" s="1" t="s">
        <v>2261</v>
      </c>
      <c r="I257" s="5" t="s">
        <v>2262</v>
      </c>
      <c r="J257" s="7">
        <v>19</v>
      </c>
      <c r="K257" s="7">
        <v>15.3</v>
      </c>
      <c r="L257" s="5" t="s">
        <v>2263</v>
      </c>
      <c r="M257" s="7">
        <v>0.95</v>
      </c>
      <c r="N257" s="7">
        <v>0.5</v>
      </c>
      <c r="O257" s="7">
        <v>1.4550000000000001</v>
      </c>
      <c r="P257" s="1" t="s">
        <v>2264</v>
      </c>
    </row>
    <row r="258" spans="1:16" ht="33.4" x14ac:dyDescent="0.3">
      <c r="A258" s="6" t="str">
        <f>HYPERLINK("https://www.ti.com/product/TPS4800-Q1", "TPS4800-Q1")</f>
        <v>TPS4800-Q1</v>
      </c>
      <c r="B258" s="5" t="s">
        <v>2265</v>
      </c>
      <c r="C258" s="6" t="str">
        <f>HYPERLINK("https://www.ti.com/lit/gpn/TPS4800-Q1", "PDF")</f>
        <v>PDF</v>
      </c>
      <c r="D258" s="5" t="s">
        <v>2266</v>
      </c>
      <c r="E258" s="5" t="s">
        <v>2267</v>
      </c>
      <c r="F258" s="5"/>
      <c r="G258" s="5" t="s">
        <v>2268</v>
      </c>
      <c r="H258" s="1" t="s">
        <v>2269</v>
      </c>
      <c r="I258" s="5" t="s">
        <v>2270</v>
      </c>
      <c r="J258" s="7">
        <v>19</v>
      </c>
      <c r="K258" s="7">
        <v>15.3</v>
      </c>
      <c r="L258" s="5" t="s">
        <v>2271</v>
      </c>
      <c r="M258" s="7">
        <v>0.95</v>
      </c>
      <c r="N258" s="7">
        <v>0.5</v>
      </c>
      <c r="O258" s="7">
        <v>1.6439999999999999</v>
      </c>
      <c r="P258" s="1" t="s">
        <v>2272</v>
      </c>
    </row>
    <row r="259" spans="1:16" ht="33.4" x14ac:dyDescent="0.3">
      <c r="A259" s="6" t="str">
        <f>HYPERLINK("https://www.ti.com/product/TPS4810-Q1", "TPS4810-Q1")</f>
        <v>TPS4810-Q1</v>
      </c>
      <c r="B259" s="5" t="s">
        <v>2273</v>
      </c>
      <c r="C259" s="6" t="str">
        <f>HYPERLINK("https://www.ti.com/lit/gpn/TPS4810-Q1", "PDF")</f>
        <v>PDF</v>
      </c>
      <c r="D259" s="5" t="s">
        <v>2274</v>
      </c>
      <c r="E259" s="5" t="s">
        <v>2275</v>
      </c>
      <c r="F259" s="5"/>
      <c r="G259" s="5" t="s">
        <v>2276</v>
      </c>
      <c r="H259" s="1" t="s">
        <v>2277</v>
      </c>
      <c r="I259" s="5" t="s">
        <v>2278</v>
      </c>
      <c r="J259" s="7">
        <v>19</v>
      </c>
      <c r="K259" s="7">
        <v>15.3</v>
      </c>
      <c r="L259" s="5" t="s">
        <v>2279</v>
      </c>
      <c r="M259" s="7">
        <v>0.95</v>
      </c>
      <c r="N259" s="7">
        <v>0.5</v>
      </c>
      <c r="O259" s="7">
        <v>1.7609999999999999</v>
      </c>
      <c r="P259" s="1" t="s">
        <v>2280</v>
      </c>
    </row>
    <row r="260" spans="1:16" ht="33.4" x14ac:dyDescent="0.3">
      <c r="A260" s="6" t="str">
        <f>HYPERLINK("https://www.ti.com/product/TPS7N53", "TPS7N53")</f>
        <v>TPS7N53</v>
      </c>
      <c r="B260" s="5" t="s">
        <v>2281</v>
      </c>
      <c r="C260" s="6" t="str">
        <f>HYPERLINK("https://www.ti.com/lit/gpn/TPS7N53", "PDF")</f>
        <v>PDF</v>
      </c>
      <c r="D260" s="5" t="s">
        <v>2282</v>
      </c>
      <c r="E260" s="5" t="s">
        <v>2283</v>
      </c>
      <c r="F260" s="5"/>
      <c r="G260" s="5" t="s">
        <v>2284</v>
      </c>
      <c r="H260" s="1" t="s">
        <v>2285</v>
      </c>
      <c r="I260" s="5" t="s">
        <v>2286</v>
      </c>
      <c r="J260" s="7">
        <v>16</v>
      </c>
      <c r="K260" s="7">
        <v>9</v>
      </c>
      <c r="L260" s="5" t="s">
        <v>2287</v>
      </c>
      <c r="M260" s="7">
        <v>0.8</v>
      </c>
      <c r="N260" s="7">
        <v>0.5</v>
      </c>
      <c r="O260" s="7">
        <v>1.369</v>
      </c>
      <c r="P260" s="1" t="s">
        <v>2288</v>
      </c>
    </row>
    <row r="261" spans="1:16" ht="33.4" x14ac:dyDescent="0.3">
      <c r="A261" s="6" t="str">
        <f>HYPERLINK("https://www.ti.com/product/UCC33020-Q1", "UCC33020-Q1")</f>
        <v>UCC33020-Q1</v>
      </c>
      <c r="B261" s="5" t="s">
        <v>2289</v>
      </c>
      <c r="C261" s="6" t="str">
        <f>HYPERLINK("https://www.ti.com/lit/gpn/UCC33020-Q1", "PDF")</f>
        <v>PDF</v>
      </c>
      <c r="D261" s="5" t="s">
        <v>2290</v>
      </c>
      <c r="E261" s="5" t="s">
        <v>2291</v>
      </c>
      <c r="F261" s="5"/>
      <c r="G261" s="5" t="s">
        <v>2292</v>
      </c>
      <c r="H261" s="1" t="s">
        <v>2293</v>
      </c>
      <c r="I261" s="5" t="s">
        <v>2294</v>
      </c>
      <c r="J261" s="7">
        <v>12</v>
      </c>
      <c r="K261" s="7">
        <v>20</v>
      </c>
      <c r="L261" s="5" t="s">
        <v>2295</v>
      </c>
      <c r="M261" s="7">
        <v>1.05</v>
      </c>
      <c r="N261" s="7">
        <v>0.65</v>
      </c>
      <c r="O261" s="7">
        <v>1.5629999999999999</v>
      </c>
      <c r="P261" s="1" t="s">
        <v>2296</v>
      </c>
    </row>
    <row r="262" spans="1:16" ht="33.4" x14ac:dyDescent="0.3">
      <c r="A262" s="6" t="str">
        <f>HYPERLINK("https://www.ti.com/product/LMR60440", "LMR60440")</f>
        <v>LMR60440</v>
      </c>
      <c r="B262" s="5" t="s">
        <v>2297</v>
      </c>
      <c r="C262" s="6" t="str">
        <f>HYPERLINK("https://www.ti.com/lit/gpn/LMR60440", "PDF")</f>
        <v>PDF</v>
      </c>
      <c r="D262" s="5" t="s">
        <v>2298</v>
      </c>
      <c r="E262" s="5" t="s">
        <v>2299</v>
      </c>
      <c r="F262" s="5" t="s">
        <v>2300</v>
      </c>
      <c r="G262" s="5" t="s">
        <v>2301</v>
      </c>
      <c r="H262" s="1" t="s">
        <v>2302</v>
      </c>
      <c r="I262" s="5" t="s">
        <v>2303</v>
      </c>
      <c r="J262" s="7">
        <v>9</v>
      </c>
      <c r="K262" s="7">
        <v>5</v>
      </c>
      <c r="L262" s="5" t="s">
        <v>2304</v>
      </c>
      <c r="M262" s="7">
        <v>0.8</v>
      </c>
      <c r="N262" s="7">
        <v>0.5</v>
      </c>
      <c r="O262" s="7">
        <v>0.748</v>
      </c>
      <c r="P262" s="1" t="s">
        <v>2305</v>
      </c>
    </row>
    <row r="263" spans="1:16" ht="33.4" x14ac:dyDescent="0.3">
      <c r="A263" s="6" t="str">
        <f>HYPERLINK("https://www.ti.com/product/UCC5881-Q1", "UCC5881-Q1")</f>
        <v>UCC5881-Q1</v>
      </c>
      <c r="B263" s="5" t="s">
        <v>2306</v>
      </c>
      <c r="C263" s="6" t="str">
        <f>HYPERLINK("https://www.ti.com/lit/gpn/UCC5881-Q1", "PDF")</f>
        <v>PDF</v>
      </c>
      <c r="D263" s="5" t="s">
        <v>2307</v>
      </c>
      <c r="E263" s="5" t="s">
        <v>2308</v>
      </c>
      <c r="F263" s="5"/>
      <c r="G263" s="5" t="s">
        <v>2309</v>
      </c>
      <c r="H263" s="1" t="s">
        <v>2310</v>
      </c>
      <c r="I263" s="5" t="s">
        <v>2311</v>
      </c>
      <c r="J263" s="7">
        <v>32</v>
      </c>
      <c r="K263" s="7">
        <v>106.09</v>
      </c>
      <c r="L263" s="5" t="s">
        <v>2312</v>
      </c>
      <c r="M263" s="7">
        <v>2.65</v>
      </c>
      <c r="N263" s="7">
        <v>0.6</v>
      </c>
      <c r="O263" s="7">
        <v>5.6349999999999998</v>
      </c>
      <c r="P263" s="1" t="s">
        <v>2313</v>
      </c>
    </row>
    <row r="264" spans="1:16" ht="33.4" x14ac:dyDescent="0.3">
      <c r="A264" s="6" t="str">
        <f>HYPERLINK("https://www.ti.com/product/LMR60420", "LMR60420")</f>
        <v>LMR60420</v>
      </c>
      <c r="B264" s="5" t="s">
        <v>2314</v>
      </c>
      <c r="C264" s="6" t="str">
        <f>HYPERLINK("https://www.ti.com/lit/gpn/LMR60420", "PDF")</f>
        <v>PDF</v>
      </c>
      <c r="D264" s="5" t="s">
        <v>2315</v>
      </c>
      <c r="E264" s="5" t="s">
        <v>2316</v>
      </c>
      <c r="F264" s="5" t="s">
        <v>2317</v>
      </c>
      <c r="G264" s="5" t="s">
        <v>2318</v>
      </c>
      <c r="H264" s="1" t="s">
        <v>2319</v>
      </c>
      <c r="I264" s="5" t="s">
        <v>2320</v>
      </c>
      <c r="J264" s="7">
        <v>9</v>
      </c>
      <c r="K264" s="7">
        <v>5</v>
      </c>
      <c r="L264" s="5" t="s">
        <v>2321</v>
      </c>
      <c r="M264" s="7">
        <v>0.8</v>
      </c>
      <c r="N264" s="7">
        <v>0.5</v>
      </c>
      <c r="O264" s="7">
        <v>0.72499999999999998</v>
      </c>
      <c r="P264" s="1" t="s">
        <v>2322</v>
      </c>
    </row>
    <row r="265" spans="1:16" ht="33.4" x14ac:dyDescent="0.3">
      <c r="A265" s="6" t="str">
        <f>HYPERLINK("https://www.ti.com/product/UCC33420-Q1", "UCC33420-Q1")</f>
        <v>UCC33420-Q1</v>
      </c>
      <c r="B265" s="5" t="s">
        <v>2323</v>
      </c>
      <c r="C265" s="6" t="str">
        <f>HYPERLINK("https://www.ti.com/lit/gpn/UCC33420-Q1", "PDF")</f>
        <v>PDF</v>
      </c>
      <c r="D265" s="5" t="s">
        <v>2324</v>
      </c>
      <c r="E265" s="5" t="s">
        <v>2325</v>
      </c>
      <c r="F265" s="5"/>
      <c r="G265" s="5" t="s">
        <v>2326</v>
      </c>
      <c r="H265" s="1" t="s">
        <v>2327</v>
      </c>
      <c r="I265" s="5" t="s">
        <v>2328</v>
      </c>
      <c r="J265" s="7">
        <v>12</v>
      </c>
      <c r="K265" s="7">
        <v>20</v>
      </c>
      <c r="L265" s="5" t="s">
        <v>2329</v>
      </c>
      <c r="M265" s="7">
        <v>1.05</v>
      </c>
      <c r="N265" s="7">
        <v>0.65</v>
      </c>
      <c r="O265" s="7">
        <v>1.5629999999999999</v>
      </c>
      <c r="P265" s="1" t="s">
        <v>2330</v>
      </c>
    </row>
    <row r="266" spans="1:16" ht="33.4" x14ac:dyDescent="0.3">
      <c r="A266" s="6" t="str">
        <f>HYPERLINK("https://www.ti.com/product/UCC57102Z-Q1", "UCC57102Z-Q1")</f>
        <v>UCC57102Z-Q1</v>
      </c>
      <c r="B266" s="5" t="s">
        <v>2331</v>
      </c>
      <c r="C266" s="6" t="str">
        <f>HYPERLINK("https://www.ti.com/lit/gpn/UCC57102Z-Q1", "PDF")</f>
        <v>PDF</v>
      </c>
      <c r="D266" s="5" t="s">
        <v>2332</v>
      </c>
      <c r="E266" s="5" t="s">
        <v>2333</v>
      </c>
      <c r="F266" s="5"/>
      <c r="G266" s="5" t="s">
        <v>2334</v>
      </c>
      <c r="H266" s="1" t="s">
        <v>2335</v>
      </c>
      <c r="I266" s="5" t="s">
        <v>2336</v>
      </c>
      <c r="J266" s="7">
        <v>8</v>
      </c>
      <c r="K266" s="7">
        <v>29.4</v>
      </c>
      <c r="L266" s="5" t="s">
        <v>2337</v>
      </c>
      <c r="M266" s="7">
        <v>1.75</v>
      </c>
      <c r="N266" s="7">
        <v>1.27</v>
      </c>
      <c r="O266" s="7">
        <v>0.55000000000000004</v>
      </c>
      <c r="P266" s="1" t="s">
        <v>2338</v>
      </c>
    </row>
    <row r="267" spans="1:16" ht="33.4" x14ac:dyDescent="0.3">
      <c r="A267" s="6" t="str">
        <f>HYPERLINK("https://www.ti.com/product/LM644A2-Q1", "LM644A2-Q1")</f>
        <v>LM644A2-Q1</v>
      </c>
      <c r="B267" s="5" t="s">
        <v>2339</v>
      </c>
      <c r="C267" s="6" t="str">
        <f>HYPERLINK("https://www.ti.com/lit/gpn/LM644A2-Q1", "PDF")</f>
        <v>PDF</v>
      </c>
      <c r="D267" s="5" t="s">
        <v>2340</v>
      </c>
      <c r="E267" s="5" t="s">
        <v>2341</v>
      </c>
      <c r="F267" s="5" t="s">
        <v>2342</v>
      </c>
      <c r="G267" s="5" t="s">
        <v>2343</v>
      </c>
      <c r="H267" s="1" t="s">
        <v>2344</v>
      </c>
      <c r="I267" s="5" t="s">
        <v>2345</v>
      </c>
      <c r="J267" s="7">
        <v>24</v>
      </c>
      <c r="K267" s="7">
        <v>20</v>
      </c>
      <c r="L267" s="5" t="s">
        <v>2346</v>
      </c>
      <c r="M267" s="7">
        <v>0.8</v>
      </c>
      <c r="N267" s="7">
        <v>0.5</v>
      </c>
      <c r="O267" s="7">
        <v>3.8</v>
      </c>
      <c r="P267" s="1" t="s">
        <v>2347</v>
      </c>
    </row>
    <row r="268" spans="1:16" ht="33.4" x14ac:dyDescent="0.3">
      <c r="A268" s="6" t="str">
        <f>HYPERLINK("https://www.ti.com/product/TPS4812-Q1", "TPS4812-Q1")</f>
        <v>TPS4812-Q1</v>
      </c>
      <c r="B268" s="5" t="s">
        <v>2348</v>
      </c>
      <c r="C268" s="6" t="str">
        <f>HYPERLINK("https://www.ti.com/lit/gpn/TPS4812-Q1", "PDF")</f>
        <v>PDF</v>
      </c>
      <c r="D268" s="5" t="s">
        <v>2349</v>
      </c>
      <c r="E268" s="5" t="s">
        <v>2350</v>
      </c>
      <c r="F268" s="5"/>
      <c r="G268" s="5" t="s">
        <v>2351</v>
      </c>
      <c r="H268" s="1" t="s">
        <v>2352</v>
      </c>
      <c r="I268" s="5" t="s">
        <v>2353</v>
      </c>
      <c r="J268" s="7">
        <v>23</v>
      </c>
      <c r="K268" s="7">
        <v>16</v>
      </c>
      <c r="L268" s="5" t="s">
        <v>2354</v>
      </c>
      <c r="M268" s="7">
        <v>1</v>
      </c>
      <c r="N268" s="7">
        <v>0.5</v>
      </c>
      <c r="O268" s="7">
        <v>2.5819999999999999</v>
      </c>
      <c r="P268" s="1" t="s">
        <v>2355</v>
      </c>
    </row>
    <row r="269" spans="1:16" ht="17.05" x14ac:dyDescent="0.3">
      <c r="A269" s="6" t="str">
        <f>HYPERLINK("https://www.ti.com/product/TPS7H6005-SEP", "TPS7H6005-SEP")</f>
        <v>TPS7H6005-SEP</v>
      </c>
      <c r="B269" s="5" t="s">
        <v>2356</v>
      </c>
      <c r="C269" s="6" t="str">
        <f>HYPERLINK("https://www.ti.com/lit/gpn/TPS7H6005-SEP", "PDF")</f>
        <v>PDF</v>
      </c>
      <c r="D269" s="5" t="s">
        <v>2357</v>
      </c>
      <c r="E269" s="5" t="s">
        <v>2358</v>
      </c>
      <c r="F269" s="5"/>
      <c r="G269" s="5" t="s">
        <v>2359</v>
      </c>
      <c r="H269" s="1" t="s">
        <v>2360</v>
      </c>
      <c r="I269" s="5" t="s">
        <v>2361</v>
      </c>
      <c r="J269" s="7">
        <v>56</v>
      </c>
      <c r="K269" s="7">
        <v>113.4</v>
      </c>
      <c r="L269" s="5" t="s">
        <v>2362</v>
      </c>
      <c r="M269" s="7">
        <v>1.2</v>
      </c>
      <c r="N269" s="7">
        <v>0.5</v>
      </c>
      <c r="O269" s="7">
        <v>812.85500000000002</v>
      </c>
      <c r="P269" s="1" t="s">
        <v>2363</v>
      </c>
    </row>
    <row r="270" spans="1:16" ht="33.4" x14ac:dyDescent="0.3">
      <c r="A270" s="6" t="str">
        <f>HYPERLINK("https://www.ti.com/product/LMR60410", "LMR60410")</f>
        <v>LMR60410</v>
      </c>
      <c r="B270" s="5" t="s">
        <v>2364</v>
      </c>
      <c r="C270" s="6" t="str">
        <f>HYPERLINK("https://www.ti.com/lit/gpn/LMR60410", "PDF")</f>
        <v>PDF</v>
      </c>
      <c r="D270" s="5" t="s">
        <v>2365</v>
      </c>
      <c r="E270" s="5" t="s">
        <v>2366</v>
      </c>
      <c r="F270" s="5" t="s">
        <v>2367</v>
      </c>
      <c r="G270" s="5" t="s">
        <v>2368</v>
      </c>
      <c r="H270" s="1" t="s">
        <v>2369</v>
      </c>
      <c r="I270" s="5" t="s">
        <v>2370</v>
      </c>
      <c r="J270" s="7">
        <v>9</v>
      </c>
      <c r="K270" s="7">
        <v>5</v>
      </c>
      <c r="L270" s="5" t="s">
        <v>2371</v>
      </c>
      <c r="M270" s="7">
        <v>0.8</v>
      </c>
      <c r="N270" s="7">
        <v>0.5</v>
      </c>
      <c r="O270" s="7">
        <v>0.65600000000000003</v>
      </c>
      <c r="P270" s="1" t="s">
        <v>2372</v>
      </c>
    </row>
    <row r="271" spans="1:16" ht="33.4" x14ac:dyDescent="0.3">
      <c r="A271" s="6" t="str">
        <f>HYPERLINK("https://www.ti.com/product/LMR60440-Q1", "LMR60440-Q1")</f>
        <v>LMR60440-Q1</v>
      </c>
      <c r="B271" s="5" t="s">
        <v>2373</v>
      </c>
      <c r="C271" s="6" t="str">
        <f>HYPERLINK("https://www.ti.com/lit/gpn/LMR60440-Q1", "PDF")</f>
        <v>PDF</v>
      </c>
      <c r="D271" s="5" t="s">
        <v>2374</v>
      </c>
      <c r="E271" s="5" t="s">
        <v>2375</v>
      </c>
      <c r="F271" s="5" t="s">
        <v>2376</v>
      </c>
      <c r="G271" s="5" t="s">
        <v>2377</v>
      </c>
      <c r="H271" s="1" t="s">
        <v>2378</v>
      </c>
      <c r="I271" s="5" t="s">
        <v>2379</v>
      </c>
      <c r="J271" s="7">
        <v>9</v>
      </c>
      <c r="K271" s="7">
        <v>5</v>
      </c>
      <c r="L271" s="5" t="s">
        <v>2380</v>
      </c>
      <c r="M271" s="7">
        <v>0.8</v>
      </c>
      <c r="N271" s="7">
        <v>0.5</v>
      </c>
      <c r="O271" s="7">
        <v>0.748</v>
      </c>
      <c r="P271" s="1" t="s">
        <v>2381</v>
      </c>
    </row>
    <row r="272" spans="1:16" ht="33.4" x14ac:dyDescent="0.3">
      <c r="A272" s="6" t="str">
        <f>HYPERLINK("https://www.ti.com/product/TLV61220A", "TLV61220A")</f>
        <v>TLV61220A</v>
      </c>
      <c r="B272" s="5" t="s">
        <v>2382</v>
      </c>
      <c r="C272" s="6" t="str">
        <f>HYPERLINK("https://www.ti.com/lit/gpn/TLV61220A", "PDF")</f>
        <v>PDF</v>
      </c>
      <c r="D272" s="5" t="s">
        <v>2383</v>
      </c>
      <c r="E272" s="5" t="s">
        <v>2384</v>
      </c>
      <c r="F272" s="5" t="s">
        <v>2385</v>
      </c>
      <c r="G272" s="5" t="s">
        <v>2386</v>
      </c>
      <c r="H272" s="1" t="s">
        <v>2387</v>
      </c>
      <c r="I272" s="5" t="s">
        <v>2388</v>
      </c>
      <c r="J272" s="7">
        <v>6</v>
      </c>
      <c r="K272" s="7">
        <v>8.1199999999999992</v>
      </c>
      <c r="L272" s="5" t="s">
        <v>2389</v>
      </c>
      <c r="M272" s="7">
        <v>1.45</v>
      </c>
      <c r="N272" s="7">
        <v>0.95</v>
      </c>
      <c r="O272" s="7">
        <v>0.33400000000000002</v>
      </c>
      <c r="P272" s="1" t="s">
        <v>2390</v>
      </c>
    </row>
    <row r="273" spans="1:16" ht="33.4" x14ac:dyDescent="0.3">
      <c r="A273" s="6" t="str">
        <f>HYPERLINK("https://www.ti.com/product/TLV774", "TLV774")</f>
        <v>TLV774</v>
      </c>
      <c r="B273" s="5" t="s">
        <v>2391</v>
      </c>
      <c r="C273" s="6" t="str">
        <f>HYPERLINK("https://www.ti.com/lit/gpn/TLV774", "PDF")</f>
        <v>PDF</v>
      </c>
      <c r="D273" s="5" t="s">
        <v>2392</v>
      </c>
      <c r="E273" s="5" t="s">
        <v>2393</v>
      </c>
      <c r="F273" s="5"/>
      <c r="G273" s="5" t="s">
        <v>2394</v>
      </c>
      <c r="H273" s="1" t="s">
        <v>2395</v>
      </c>
      <c r="I273" s="5" t="s">
        <v>2396</v>
      </c>
      <c r="J273" s="7">
        <v>4</v>
      </c>
      <c r="K273" s="7">
        <v>1</v>
      </c>
      <c r="L273" s="5" t="s">
        <v>2397</v>
      </c>
      <c r="M273" s="7">
        <v>0.4</v>
      </c>
      <c r="N273" s="7">
        <v>0.65</v>
      </c>
      <c r="O273" s="7">
        <v>2.3E-2</v>
      </c>
      <c r="P273" s="1" t="s">
        <v>2398</v>
      </c>
    </row>
    <row r="274" spans="1:16" ht="33.4" x14ac:dyDescent="0.3">
      <c r="A274" s="6" t="str">
        <f>HYPERLINK("https://www.ti.com/product/TPS3423", "TPS3423")</f>
        <v>TPS3423</v>
      </c>
      <c r="B274" s="5" t="s">
        <v>2399</v>
      </c>
      <c r="C274" s="6" t="str">
        <f>HYPERLINK("https://www.ti.com/lit/gpn/TPS3423", "PDF")</f>
        <v>PDF</v>
      </c>
      <c r="D274" s="5" t="s">
        <v>2400</v>
      </c>
      <c r="E274" s="5" t="s">
        <v>2401</v>
      </c>
      <c r="F274" s="5"/>
      <c r="G274" s="5" t="s">
        <v>2402</v>
      </c>
      <c r="H274" s="1" t="s">
        <v>2403</v>
      </c>
      <c r="I274" s="5" t="s">
        <v>2404</v>
      </c>
      <c r="J274" s="7">
        <v>8</v>
      </c>
      <c r="K274" s="7">
        <v>3.36</v>
      </c>
      <c r="L274" s="5" t="s">
        <v>2405</v>
      </c>
      <c r="M274" s="7">
        <v>0.6</v>
      </c>
      <c r="N274" s="7">
        <v>0.5</v>
      </c>
      <c r="O274" s="7">
        <v>0.88600000000000001</v>
      </c>
      <c r="P274" s="1" t="s">
        <v>2406</v>
      </c>
    </row>
    <row r="275" spans="1:16" ht="17.05" x14ac:dyDescent="0.3">
      <c r="A275" s="6" t="str">
        <f>HYPERLINK("https://www.ti.com/product/LM74681", "LM74681")</f>
        <v>LM74681</v>
      </c>
      <c r="B275" s="5" t="s">
        <v>2407</v>
      </c>
      <c r="C275" s="6" t="str">
        <f>HYPERLINK("https://www.ti.com/lit/gpn/LM74681", "PDF")</f>
        <v>PDF</v>
      </c>
      <c r="D275" s="5" t="s">
        <v>2408</v>
      </c>
      <c r="E275" s="5" t="s">
        <v>2409</v>
      </c>
      <c r="F275" s="5"/>
      <c r="G275" s="5" t="s">
        <v>2410</v>
      </c>
      <c r="H275" s="1" t="s">
        <v>2411</v>
      </c>
      <c r="I275" s="5" t="s">
        <v>2412</v>
      </c>
      <c r="J275" s="7">
        <v>12</v>
      </c>
      <c r="K275" s="7">
        <v>9</v>
      </c>
      <c r="L275" s="5" t="s">
        <v>2413</v>
      </c>
      <c r="M275" s="7">
        <v>0.8</v>
      </c>
      <c r="N275" s="7">
        <v>0.5</v>
      </c>
      <c r="O275" s="7">
        <v>1.61</v>
      </c>
      <c r="P275" s="1" t="s">
        <v>2414</v>
      </c>
    </row>
    <row r="276" spans="1:16" ht="33.4" x14ac:dyDescent="0.3">
      <c r="A276" s="6" t="str">
        <f>HYPERLINK("https://www.ti.com/product/TPS7C84-Q1", "TPS7C84-Q1")</f>
        <v>TPS7C84-Q1</v>
      </c>
      <c r="B276" s="5" t="s">
        <v>2415</v>
      </c>
      <c r="C276" s="6" t="str">
        <f>HYPERLINK("https://www.ti.com/lit/gpn/TPS7C84-Q1", "PDF")</f>
        <v>PDF</v>
      </c>
      <c r="D276" s="5" t="s">
        <v>2416</v>
      </c>
      <c r="E276" s="5" t="s">
        <v>2417</v>
      </c>
      <c r="F276" s="5"/>
      <c r="G276" s="5" t="s">
        <v>2418</v>
      </c>
      <c r="H276" s="1" t="s">
        <v>2419</v>
      </c>
      <c r="I276" s="5" t="s">
        <v>2420</v>
      </c>
      <c r="J276" s="7">
        <v>8</v>
      </c>
      <c r="K276" s="7">
        <v>29.4</v>
      </c>
      <c r="L276" s="5" t="s">
        <v>2421</v>
      </c>
      <c r="M276" s="7">
        <v>1.75</v>
      </c>
      <c r="N276" s="7">
        <v>1.27</v>
      </c>
      <c r="O276" s="7">
        <v>0.45400000000000001</v>
      </c>
      <c r="P276" s="1" t="s">
        <v>2422</v>
      </c>
    </row>
    <row r="277" spans="1:16" ht="33.4" x14ac:dyDescent="0.3">
      <c r="A277" s="6" t="str">
        <f>HYPERLINK("https://www.ti.com/product/TPS92542-Q1", "TPS92542-Q1")</f>
        <v>TPS92542-Q1</v>
      </c>
      <c r="B277" s="5" t="s">
        <v>2423</v>
      </c>
      <c r="C277" s="6" t="str">
        <f>HYPERLINK("https://www.ti.com/lit/gpn/TPS92542-Q1", "PDF")</f>
        <v>PDF</v>
      </c>
      <c r="D277" s="5" t="s">
        <v>2424</v>
      </c>
      <c r="E277" s="5" t="s">
        <v>2425</v>
      </c>
      <c r="F277" s="5" t="s">
        <v>2426</v>
      </c>
      <c r="G277" s="5" t="s">
        <v>2427</v>
      </c>
      <c r="H277" s="1" t="s">
        <v>2428</v>
      </c>
      <c r="I277" s="5" t="s">
        <v>2429</v>
      </c>
      <c r="J277" s="7">
        <v>48</v>
      </c>
      <c r="K277" s="7">
        <v>81</v>
      </c>
      <c r="L277" s="5" t="s">
        <v>2430</v>
      </c>
      <c r="M277" s="7">
        <v>1.2</v>
      </c>
      <c r="N277" s="7">
        <v>0.5</v>
      </c>
      <c r="O277" s="7">
        <v>2.0129999999999999</v>
      </c>
      <c r="P277" s="1" t="s">
        <v>2431</v>
      </c>
    </row>
    <row r="278" spans="1:16" ht="33.4" x14ac:dyDescent="0.3">
      <c r="A278" s="6" t="str">
        <f>HYPERLINK("https://www.ti.com/product/LM51770", "LM51770")</f>
        <v>LM51770</v>
      </c>
      <c r="B278" s="5" t="s">
        <v>2432</v>
      </c>
      <c r="C278" s="6" t="str">
        <f>HYPERLINK("https://www.ti.com/lit/gpn/LM51770", "PDF")</f>
        <v>PDF</v>
      </c>
      <c r="D278" s="5" t="s">
        <v>2433</v>
      </c>
      <c r="E278" s="5" t="s">
        <v>2434</v>
      </c>
      <c r="F278" s="5" t="s">
        <v>2435</v>
      </c>
      <c r="G278" s="5" t="s">
        <v>2436</v>
      </c>
      <c r="H278" s="1" t="s">
        <v>2437</v>
      </c>
      <c r="I278" s="5" t="s">
        <v>2438</v>
      </c>
      <c r="J278" s="7">
        <v>38</v>
      </c>
      <c r="K278" s="7">
        <v>62.08</v>
      </c>
      <c r="L278" s="5" t="s">
        <v>2439</v>
      </c>
      <c r="M278" s="7">
        <v>1.2</v>
      </c>
      <c r="N278" s="7">
        <v>0.5</v>
      </c>
      <c r="O278" s="7">
        <v>3.048</v>
      </c>
      <c r="P278" s="1" t="s">
        <v>2440</v>
      </c>
    </row>
    <row r="279" spans="1:16" ht="33.4" x14ac:dyDescent="0.3">
      <c r="A279" s="6" t="str">
        <f>HYPERLINK("https://www.ti.com/product/LM61480T-Q1", "LM61480T-Q1")</f>
        <v>LM61480T-Q1</v>
      </c>
      <c r="B279" s="5" t="s">
        <v>2441</v>
      </c>
      <c r="C279" s="6" t="str">
        <f>HYPERLINK("https://www.ti.com/lit/gpn/LM61480T-Q1", "PDF")</f>
        <v>PDF</v>
      </c>
      <c r="D279" s="5" t="s">
        <v>2442</v>
      </c>
      <c r="E279" s="5" t="s">
        <v>2443</v>
      </c>
      <c r="F279" s="5" t="s">
        <v>2444</v>
      </c>
      <c r="G279" s="5" t="s">
        <v>2445</v>
      </c>
      <c r="H279" s="1" t="s">
        <v>2446</v>
      </c>
      <c r="I279" s="5" t="s">
        <v>2447</v>
      </c>
      <c r="J279" s="7">
        <v>16</v>
      </c>
      <c r="K279" s="7">
        <v>15.75</v>
      </c>
      <c r="L279" s="5" t="s">
        <v>2448</v>
      </c>
      <c r="M279" s="7">
        <v>1</v>
      </c>
      <c r="N279" s="7">
        <v>0.5</v>
      </c>
      <c r="O279" s="7">
        <v>2.456</v>
      </c>
      <c r="P279" s="1" t="s">
        <v>2449</v>
      </c>
    </row>
    <row r="280" spans="1:16" ht="33.4" x14ac:dyDescent="0.3">
      <c r="A280" s="6" t="str">
        <f>HYPERLINK("https://www.ti.com/product/LM61495T-Q1", "LM61495T-Q1")</f>
        <v>LM61495T-Q1</v>
      </c>
      <c r="B280" s="5" t="s">
        <v>2450</v>
      </c>
      <c r="C280" s="6" t="str">
        <f>HYPERLINK("https://www.ti.com/lit/gpn/LM61495T-Q1", "PDF")</f>
        <v>PDF</v>
      </c>
      <c r="D280" s="5" t="s">
        <v>2451</v>
      </c>
      <c r="E280" s="5" t="s">
        <v>2452</v>
      </c>
      <c r="F280" s="5" t="s">
        <v>2453</v>
      </c>
      <c r="G280" s="5" t="s">
        <v>2454</v>
      </c>
      <c r="H280" s="1" t="s">
        <v>2455</v>
      </c>
      <c r="I280" s="5" t="s">
        <v>2456</v>
      </c>
      <c r="J280" s="7">
        <v>16</v>
      </c>
      <c r="K280" s="7">
        <v>15.75</v>
      </c>
      <c r="L280" s="5" t="s">
        <v>2457</v>
      </c>
      <c r="M280" s="7">
        <v>1</v>
      </c>
      <c r="N280" s="7">
        <v>0.5</v>
      </c>
      <c r="O280" s="7">
        <v>2.7029999999999998</v>
      </c>
      <c r="P280" s="1" t="s">
        <v>2458</v>
      </c>
    </row>
    <row r="281" spans="1:16" ht="33.4" x14ac:dyDescent="0.3">
      <c r="A281" s="6" t="str">
        <f>HYPERLINK("https://www.ti.com/product/LMG2640", "LMG2640")</f>
        <v>LMG2640</v>
      </c>
      <c r="B281" s="5" t="s">
        <v>2459</v>
      </c>
      <c r="C281" s="6" t="str">
        <f>HYPERLINK("https://www.ti.com/lit/gpn/LMG2640", "PDF")</f>
        <v>PDF</v>
      </c>
      <c r="D281" s="5" t="s">
        <v>2460</v>
      </c>
      <c r="E281" s="5" t="s">
        <v>2461</v>
      </c>
      <c r="F281" s="5"/>
      <c r="G281" s="5" t="s">
        <v>2462</v>
      </c>
      <c r="H281" s="1" t="s">
        <v>2463</v>
      </c>
      <c r="I281" s="5" t="s">
        <v>2464</v>
      </c>
      <c r="J281" s="7">
        <v>40</v>
      </c>
      <c r="K281" s="7">
        <v>63</v>
      </c>
      <c r="L281" s="5" t="s">
        <v>2465</v>
      </c>
      <c r="M281" s="7">
        <v>1</v>
      </c>
      <c r="N281" s="7">
        <v>0.5</v>
      </c>
      <c r="O281" s="7">
        <v>6.3</v>
      </c>
      <c r="P281" s="1" t="s">
        <v>2466</v>
      </c>
    </row>
    <row r="282" spans="1:16" ht="33.4" x14ac:dyDescent="0.3">
      <c r="A282" s="6" t="str">
        <f>HYPERLINK("https://www.ti.com/product/LMG3614", "LMG3614")</f>
        <v>LMG3614</v>
      </c>
      <c r="B282" s="5" t="s">
        <v>2467</v>
      </c>
      <c r="C282" s="6" t="str">
        <f>HYPERLINK("https://www.ti.com/lit/gpn/LMG3614", "PDF")</f>
        <v>PDF</v>
      </c>
      <c r="D282" s="5" t="s">
        <v>2468</v>
      </c>
      <c r="E282" s="5" t="s">
        <v>2469</v>
      </c>
      <c r="F282" s="5"/>
      <c r="G282" s="5" t="s">
        <v>2470</v>
      </c>
      <c r="H282" s="1" t="s">
        <v>2471</v>
      </c>
      <c r="I282" s="5" t="s">
        <v>2472</v>
      </c>
      <c r="J282" s="7">
        <v>38</v>
      </c>
      <c r="K282" s="7">
        <v>42.4</v>
      </c>
      <c r="L282" s="5" t="s">
        <v>2473</v>
      </c>
      <c r="M282" s="7">
        <v>1</v>
      </c>
      <c r="N282" s="7">
        <v>0.5</v>
      </c>
      <c r="O282" s="7">
        <v>2.65</v>
      </c>
      <c r="P282" s="1" t="s">
        <v>2474</v>
      </c>
    </row>
    <row r="283" spans="1:16" ht="33.4" x14ac:dyDescent="0.3">
      <c r="A283" s="6" t="str">
        <f>HYPERLINK("https://www.ti.com/product/REF50E", "REF50E")</f>
        <v>REF50E</v>
      </c>
      <c r="B283" s="5" t="s">
        <v>2475</v>
      </c>
      <c r="C283" s="6" t="str">
        <f>HYPERLINK("https://www.ti.com/lit/gpn/REF50E", "PDF")</f>
        <v>PDF</v>
      </c>
      <c r="D283" s="5" t="s">
        <v>2476</v>
      </c>
      <c r="E283" s="5" t="s">
        <v>2477</v>
      </c>
      <c r="F283" s="5"/>
      <c r="G283" s="5" t="s">
        <v>2478</v>
      </c>
      <c r="H283" s="1" t="s">
        <v>2479</v>
      </c>
      <c r="I283" s="5" t="s">
        <v>2480</v>
      </c>
      <c r="J283" s="7">
        <v>8</v>
      </c>
      <c r="K283" s="7">
        <v>29.4</v>
      </c>
      <c r="L283" s="5" t="s">
        <v>2481</v>
      </c>
      <c r="M283" s="7">
        <v>1.75</v>
      </c>
      <c r="N283" s="7">
        <v>1.27</v>
      </c>
      <c r="O283" s="7">
        <v>3.3039999999999998</v>
      </c>
      <c r="P283" s="1" t="s">
        <v>2482</v>
      </c>
    </row>
    <row r="284" spans="1:16" ht="33.4" x14ac:dyDescent="0.3">
      <c r="A284" s="6" t="str">
        <f>HYPERLINK("https://www.ti.com/product/TPS4HC120-Q1", "TPS4HC120-Q1")</f>
        <v>TPS4HC120-Q1</v>
      </c>
      <c r="B284" s="5" t="s">
        <v>2483</v>
      </c>
      <c r="C284" s="6" t="str">
        <f>HYPERLINK("https://www.ti.com/lit/gpn/TPS4HC120-Q1", "PDF")</f>
        <v>PDF</v>
      </c>
      <c r="D284" s="5" t="s">
        <v>2484</v>
      </c>
      <c r="E284" s="5" t="s">
        <v>2485</v>
      </c>
      <c r="F284" s="5"/>
      <c r="G284" s="5" t="s">
        <v>2486</v>
      </c>
      <c r="H284" s="1" t="s">
        <v>2487</v>
      </c>
      <c r="I284" s="5" t="s">
        <v>2488</v>
      </c>
      <c r="J284" s="7">
        <v>28</v>
      </c>
      <c r="K284" s="7">
        <v>34.79</v>
      </c>
      <c r="L284" s="5" t="s">
        <v>2489</v>
      </c>
      <c r="M284" s="7">
        <v>1.1000000000000001</v>
      </c>
      <c r="N284" s="7">
        <v>0.5</v>
      </c>
      <c r="O284" s="7">
        <v>1.127</v>
      </c>
      <c r="P284" s="1" t="s">
        <v>2490</v>
      </c>
    </row>
    <row r="285" spans="1:16" ht="33.4" x14ac:dyDescent="0.3">
      <c r="A285" s="6" t="str">
        <f>HYPERLINK("https://www.ti.com/product/TPS923650", "TPS923650")</f>
        <v>TPS923650</v>
      </c>
      <c r="B285" s="5" t="s">
        <v>2491</v>
      </c>
      <c r="C285" s="6" t="str">
        <f>HYPERLINK("https://www.ti.com/lit/gpn/TPS923650", "PDF")</f>
        <v>PDF</v>
      </c>
      <c r="D285" s="5" t="s">
        <v>2492</v>
      </c>
      <c r="E285" s="5" t="s">
        <v>2493</v>
      </c>
      <c r="F285" s="5" t="s">
        <v>2494</v>
      </c>
      <c r="G285" s="5" t="s">
        <v>2495</v>
      </c>
      <c r="H285" s="1" t="s">
        <v>2496</v>
      </c>
      <c r="I285" s="5" t="s">
        <v>2497</v>
      </c>
      <c r="J285" s="7">
        <v>8</v>
      </c>
      <c r="K285" s="7" t="s">
        <v>2498</v>
      </c>
      <c r="L285" s="5" t="s">
        <v>2499</v>
      </c>
      <c r="M285" s="7" t="s">
        <v>2500</v>
      </c>
      <c r="N285" s="7" t="s">
        <v>2501</v>
      </c>
      <c r="O285" s="7">
        <v>0.13800000000000001</v>
      </c>
      <c r="P285" s="1" t="s">
        <v>2502</v>
      </c>
    </row>
    <row r="286" spans="1:16" ht="33.4" x14ac:dyDescent="0.3">
      <c r="A286" s="6" t="str">
        <f>HYPERLINK("https://www.ti.com/product/LM5190", "LM5190")</f>
        <v>LM5190</v>
      </c>
      <c r="B286" s="5" t="s">
        <v>2503</v>
      </c>
      <c r="C286" s="6" t="str">
        <f>HYPERLINK("https://www.ti.com/lit/gpn/LM5190", "PDF")</f>
        <v>PDF</v>
      </c>
      <c r="D286" s="5" t="s">
        <v>2504</v>
      </c>
      <c r="E286" s="5" t="s">
        <v>2505</v>
      </c>
      <c r="F286" s="5" t="s">
        <v>2506</v>
      </c>
      <c r="G286" s="5" t="s">
        <v>2507</v>
      </c>
      <c r="H286" s="1" t="s">
        <v>2508</v>
      </c>
      <c r="I286" s="5" t="s">
        <v>2509</v>
      </c>
      <c r="J286" s="7">
        <v>19</v>
      </c>
      <c r="K286" s="7">
        <v>15.75</v>
      </c>
      <c r="L286" s="5" t="s">
        <v>2510</v>
      </c>
      <c r="M286" s="7">
        <v>1</v>
      </c>
      <c r="N286" s="7">
        <v>0.5</v>
      </c>
      <c r="O286" s="7">
        <v>1.9419999999999999</v>
      </c>
      <c r="P286" s="1" t="s">
        <v>2511</v>
      </c>
    </row>
    <row r="287" spans="1:16" ht="33.4" x14ac:dyDescent="0.3">
      <c r="A287" s="6" t="str">
        <f>HYPERLINK("https://www.ti.com/product/TPS922051", "TPS922051")</f>
        <v>TPS922051</v>
      </c>
      <c r="B287" s="5" t="s">
        <v>2512</v>
      </c>
      <c r="C287" s="6" t="str">
        <f>HYPERLINK("https://www.ti.com/lit/gpn/TPS922051", "PDF")</f>
        <v>PDF</v>
      </c>
      <c r="D287" s="5" t="s">
        <v>2513</v>
      </c>
      <c r="E287" s="5" t="s">
        <v>2514</v>
      </c>
      <c r="F287" s="5" t="s">
        <v>2515</v>
      </c>
      <c r="G287" s="5" t="s">
        <v>2516</v>
      </c>
      <c r="H287" s="1" t="s">
        <v>2517</v>
      </c>
      <c r="I287" s="5" t="s">
        <v>2518</v>
      </c>
      <c r="J287" s="7">
        <v>8</v>
      </c>
      <c r="K287" s="7" t="s">
        <v>2519</v>
      </c>
      <c r="L287" s="5" t="s">
        <v>2520</v>
      </c>
      <c r="M287" s="7" t="s">
        <v>2521</v>
      </c>
      <c r="N287" s="7" t="s">
        <v>2522</v>
      </c>
      <c r="O287" s="7">
        <v>0.20699999999999999</v>
      </c>
      <c r="P287" s="1" t="s">
        <v>2523</v>
      </c>
    </row>
    <row r="288" spans="1:16" ht="33.4" x14ac:dyDescent="0.3">
      <c r="A288" s="6" t="str">
        <f>HYPERLINK("https://www.ti.com/product/TPSM81033", "TPSM81033")</f>
        <v>TPSM81033</v>
      </c>
      <c r="B288" s="5" t="s">
        <v>2524</v>
      </c>
      <c r="C288" s="6" t="str">
        <f>HYPERLINK("https://www.ti.com/lit/gpn/TPSM81033", "PDF")</f>
        <v>PDF</v>
      </c>
      <c r="D288" s="5" t="s">
        <v>2525</v>
      </c>
      <c r="E288" s="5" t="s">
        <v>2526</v>
      </c>
      <c r="F288" s="5" t="s">
        <v>2527</v>
      </c>
      <c r="G288" s="5" t="s">
        <v>2528</v>
      </c>
      <c r="H288" s="1" t="s">
        <v>2529</v>
      </c>
      <c r="I288" s="5" t="s">
        <v>2530</v>
      </c>
      <c r="J288" s="7">
        <v>9</v>
      </c>
      <c r="K288" s="7">
        <v>6.5</v>
      </c>
      <c r="L288" s="5" t="s">
        <v>2531</v>
      </c>
      <c r="M288" s="7">
        <v>2</v>
      </c>
      <c r="N288" s="7">
        <v>0.5</v>
      </c>
      <c r="O288" s="7">
        <v>1.7250000000000001</v>
      </c>
      <c r="P288" s="1" t="s">
        <v>2532</v>
      </c>
    </row>
    <row r="289" spans="1:16" ht="33.4" x14ac:dyDescent="0.3">
      <c r="A289" s="6" t="str">
        <f>HYPERLINK("https://www.ti.com/product/TPSM84338", "TPSM84338")</f>
        <v>TPSM84338</v>
      </c>
      <c r="B289" s="5" t="s">
        <v>2533</v>
      </c>
      <c r="C289" s="6" t="str">
        <f>HYPERLINK("https://www.ti.com/lit/gpn/TPSM84338", "PDF")</f>
        <v>PDF</v>
      </c>
      <c r="D289" s="5" t="s">
        <v>2534</v>
      </c>
      <c r="E289" s="5" t="s">
        <v>2535</v>
      </c>
      <c r="F289" s="5" t="s">
        <v>2536</v>
      </c>
      <c r="G289" s="5" t="s">
        <v>2537</v>
      </c>
      <c r="H289" s="1" t="s">
        <v>2538</v>
      </c>
      <c r="I289" s="5" t="s">
        <v>2539</v>
      </c>
      <c r="J289" s="7">
        <v>9</v>
      </c>
      <c r="K289" s="7">
        <v>14.85</v>
      </c>
      <c r="L289" s="5" t="s">
        <v>2540</v>
      </c>
      <c r="M289" s="7">
        <v>2.1</v>
      </c>
      <c r="N289" s="7">
        <v>0.5</v>
      </c>
      <c r="O289" s="7">
        <v>1.1499999999999999</v>
      </c>
      <c r="P289" s="1" t="s">
        <v>2541</v>
      </c>
    </row>
    <row r="290" spans="1:16" ht="17.05" x14ac:dyDescent="0.3">
      <c r="A290" s="6" t="str">
        <f>HYPERLINK("https://www.ti.com/product/LM74680", "LM74680")</f>
        <v>LM74680</v>
      </c>
      <c r="B290" s="5" t="s">
        <v>2542</v>
      </c>
      <c r="C290" s="6" t="str">
        <f>HYPERLINK("https://www.ti.com/lit/gpn/LM74680", "PDF")</f>
        <v>PDF</v>
      </c>
      <c r="D290" s="5" t="s">
        <v>2543</v>
      </c>
      <c r="E290" s="5" t="s">
        <v>2544</v>
      </c>
      <c r="F290" s="5"/>
      <c r="G290" s="5" t="s">
        <v>2545</v>
      </c>
      <c r="H290" s="1" t="s">
        <v>2546</v>
      </c>
      <c r="I290" s="5" t="s">
        <v>2547</v>
      </c>
      <c r="J290" s="7">
        <v>12</v>
      </c>
      <c r="K290" s="7">
        <v>9</v>
      </c>
      <c r="L290" s="5" t="s">
        <v>2548</v>
      </c>
      <c r="M290" s="7">
        <v>0.8</v>
      </c>
      <c r="N290" s="7">
        <v>0.5</v>
      </c>
      <c r="O290" s="7">
        <v>1.38</v>
      </c>
      <c r="P290" s="1" t="s">
        <v>2549</v>
      </c>
    </row>
    <row r="291" spans="1:16" ht="33.4" x14ac:dyDescent="0.3">
      <c r="A291" s="6" t="str">
        <f>HYPERLINK("https://www.ti.com/product/TPS3762-Q1", "TPS3762-Q1")</f>
        <v>TPS3762-Q1</v>
      </c>
      <c r="B291" s="5" t="s">
        <v>2550</v>
      </c>
      <c r="C291" s="6" t="str">
        <f>HYPERLINK("https://www.ti.com/lit/gpn/TPS3762-Q1", "PDF")</f>
        <v>PDF</v>
      </c>
      <c r="D291" s="5" t="s">
        <v>2551</v>
      </c>
      <c r="E291" s="5" t="s">
        <v>2552</v>
      </c>
      <c r="F291" s="5"/>
      <c r="G291" s="5" t="s">
        <v>2553</v>
      </c>
      <c r="H291" s="1" t="s">
        <v>2554</v>
      </c>
      <c r="I291" s="5" t="s">
        <v>2555</v>
      </c>
      <c r="J291" s="7">
        <v>8</v>
      </c>
      <c r="K291" s="7">
        <v>8.1199999999999992</v>
      </c>
      <c r="L291" s="5" t="s">
        <v>2556</v>
      </c>
      <c r="M291" s="7">
        <v>1.1000000000000001</v>
      </c>
      <c r="N291" s="7">
        <v>0.65</v>
      </c>
      <c r="O291" s="7">
        <v>1.0820000000000001</v>
      </c>
      <c r="P291" s="1" t="s">
        <v>2557</v>
      </c>
    </row>
    <row r="292" spans="1:16" ht="33.4" x14ac:dyDescent="0.3">
      <c r="A292" s="6" t="str">
        <f>HYPERLINK("https://www.ti.com/product/TPS4813-Q1", "TPS4813-Q1")</f>
        <v>TPS4813-Q1</v>
      </c>
      <c r="B292" s="5" t="s">
        <v>2558</v>
      </c>
      <c r="C292" s="6" t="str">
        <f>HYPERLINK("https://www.ti.com/lit/gpn/TPS4813-Q1", "PDF")</f>
        <v>PDF</v>
      </c>
      <c r="D292" s="5" t="s">
        <v>2559</v>
      </c>
      <c r="E292" s="5" t="s">
        <v>2560</v>
      </c>
      <c r="F292" s="5"/>
      <c r="G292" s="5" t="s">
        <v>2561</v>
      </c>
      <c r="H292" s="1" t="s">
        <v>2562</v>
      </c>
      <c r="I292" s="5" t="s">
        <v>2563</v>
      </c>
      <c r="J292" s="7">
        <v>19</v>
      </c>
      <c r="K292" s="7">
        <v>15.3</v>
      </c>
      <c r="L292" s="5" t="s">
        <v>2564</v>
      </c>
      <c r="M292" s="7">
        <v>0.95</v>
      </c>
      <c r="N292" s="7">
        <v>0.5</v>
      </c>
      <c r="O292" s="7">
        <v>1.9950000000000001</v>
      </c>
      <c r="P292" s="1" t="s">
        <v>2565</v>
      </c>
    </row>
    <row r="293" spans="1:16" ht="33.4" x14ac:dyDescent="0.3">
      <c r="A293" s="6" t="str">
        <f>HYPERLINK("https://www.ti.com/product/TPS54538", "TPS54538")</f>
        <v>TPS54538</v>
      </c>
      <c r="B293" s="5" t="s">
        <v>2566</v>
      </c>
      <c r="C293" s="6" t="str">
        <f>HYPERLINK("https://www.ti.com/lit/gpn/TPS54538", "PDF")</f>
        <v>PDF</v>
      </c>
      <c r="D293" s="5" t="s">
        <v>2567</v>
      </c>
      <c r="E293" s="5" t="s">
        <v>2568</v>
      </c>
      <c r="F293" s="5" t="s">
        <v>2569</v>
      </c>
      <c r="G293" s="5" t="s">
        <v>2570</v>
      </c>
      <c r="H293" s="1" t="s">
        <v>2571</v>
      </c>
      <c r="I293" s="5" t="s">
        <v>2572</v>
      </c>
      <c r="J293" s="7">
        <v>9</v>
      </c>
      <c r="K293" s="7">
        <v>3</v>
      </c>
      <c r="L293" s="5" t="s">
        <v>2573</v>
      </c>
      <c r="M293" s="7">
        <v>1</v>
      </c>
      <c r="N293" s="7">
        <v>0.5</v>
      </c>
      <c r="O293" s="7">
        <v>0.64400000000000002</v>
      </c>
      <c r="P293" s="1" t="s">
        <v>2574</v>
      </c>
    </row>
    <row r="294" spans="1:16" ht="33.4" x14ac:dyDescent="0.3">
      <c r="A294" s="6" t="str">
        <f>HYPERLINK("https://www.ti.com/product/LMG5126", "LMG5126")</f>
        <v>LMG5126</v>
      </c>
      <c r="B294" s="5" t="s">
        <v>2575</v>
      </c>
      <c r="C294" s="6" t="str">
        <f>HYPERLINK("https://www.ti.com/lit/gpn/LMG5126", "PDF")</f>
        <v>PDF</v>
      </c>
      <c r="D294" s="5" t="s">
        <v>2576</v>
      </c>
      <c r="E294" s="5" t="s">
        <v>2577</v>
      </c>
      <c r="F294" s="5" t="s">
        <v>2578</v>
      </c>
      <c r="G294" s="5" t="s">
        <v>2579</v>
      </c>
      <c r="H294" s="1" t="s">
        <v>2580</v>
      </c>
      <c r="I294" s="5" t="s">
        <v>2581</v>
      </c>
      <c r="J294" s="7">
        <v>22</v>
      </c>
      <c r="K294" s="7">
        <v>24.75</v>
      </c>
      <c r="L294" s="5" t="s">
        <v>2582</v>
      </c>
      <c r="M294" s="7">
        <v>0.89</v>
      </c>
      <c r="N294" s="7">
        <v>0.5</v>
      </c>
      <c r="O294" s="7">
        <v>4</v>
      </c>
      <c r="P294" s="1" t="s">
        <v>2583</v>
      </c>
    </row>
    <row r="295" spans="1:16" ht="33.4" x14ac:dyDescent="0.3">
      <c r="A295" s="6" t="str">
        <f>HYPERLINK("https://www.ti.com/product/TPS25984B", "TPS25984B")</f>
        <v>TPS25984B</v>
      </c>
      <c r="B295" s="5" t="s">
        <v>2584</v>
      </c>
      <c r="C295" s="6" t="str">
        <f>HYPERLINK("https://www.ti.com/lit/gpn/TPS25984B", "PDF")</f>
        <v>PDF</v>
      </c>
      <c r="D295" s="5" t="s">
        <v>2585</v>
      </c>
      <c r="E295" s="5" t="s">
        <v>2586</v>
      </c>
      <c r="F295" s="5"/>
      <c r="G295" s="5" t="s">
        <v>2587</v>
      </c>
      <c r="H295" s="1" t="s">
        <v>2588</v>
      </c>
      <c r="I295" s="5" t="s">
        <v>2589</v>
      </c>
      <c r="J295" s="7">
        <v>32</v>
      </c>
      <c r="K295" s="7">
        <v>25</v>
      </c>
      <c r="L295" s="5" t="s">
        <v>2590</v>
      </c>
      <c r="M295" s="7">
        <v>0.7</v>
      </c>
      <c r="N295" s="7">
        <v>0.5</v>
      </c>
      <c r="O295" s="7">
        <v>2.645</v>
      </c>
      <c r="P295" s="1" t="s">
        <v>2591</v>
      </c>
    </row>
    <row r="296" spans="1:16" ht="33.4" x14ac:dyDescent="0.3">
      <c r="A296" s="6" t="str">
        <f>HYPERLINK("https://www.ti.com/product/TPS388R0-Q1", "TPS388R0-Q1")</f>
        <v>TPS388R0-Q1</v>
      </c>
      <c r="B296" s="5" t="s">
        <v>2592</v>
      </c>
      <c r="C296" s="6" t="str">
        <f>HYPERLINK("https://www.ti.com/lit/gpn/TPS388R0-Q1", "PDF")</f>
        <v>PDF</v>
      </c>
      <c r="D296" s="5" t="s">
        <v>2593</v>
      </c>
      <c r="E296" s="5" t="s">
        <v>2594</v>
      </c>
      <c r="F296" s="5"/>
      <c r="G296" s="5" t="s">
        <v>2595</v>
      </c>
      <c r="H296" s="1" t="s">
        <v>2596</v>
      </c>
      <c r="I296" s="5" t="s">
        <v>2597</v>
      </c>
      <c r="J296" s="7">
        <v>16</v>
      </c>
      <c r="K296" s="7">
        <v>9</v>
      </c>
      <c r="L296" s="5" t="s">
        <v>2598</v>
      </c>
      <c r="M296" s="7">
        <v>0.8</v>
      </c>
      <c r="N296" s="7">
        <v>0.5</v>
      </c>
      <c r="O296" s="7">
        <v>1.9550000000000001</v>
      </c>
      <c r="P296" s="1" t="s">
        <v>2599</v>
      </c>
    </row>
    <row r="297" spans="1:16" ht="33.4" x14ac:dyDescent="0.3">
      <c r="A297" s="6" t="str">
        <f>HYPERLINK("https://www.ti.com/product/TPS62966", "TPS62966")</f>
        <v>TPS62966</v>
      </c>
      <c r="B297" s="5" t="s">
        <v>2600</v>
      </c>
      <c r="C297" s="6" t="str">
        <f>HYPERLINK("https://www.ti.com/lit/gpn/TPS62966", "PDF")</f>
        <v>PDF</v>
      </c>
      <c r="D297" s="5" t="s">
        <v>2601</v>
      </c>
      <c r="E297" s="5" t="s">
        <v>2602</v>
      </c>
      <c r="F297" s="5" t="s">
        <v>2603</v>
      </c>
      <c r="G297" s="5" t="s">
        <v>2604</v>
      </c>
      <c r="H297" s="1" t="s">
        <v>2605</v>
      </c>
      <c r="I297" s="5" t="s">
        <v>2606</v>
      </c>
      <c r="J297" s="7">
        <v>14</v>
      </c>
      <c r="K297" s="7">
        <v>7.5</v>
      </c>
      <c r="L297" s="5" t="s">
        <v>2607</v>
      </c>
      <c r="M297" s="7">
        <v>1</v>
      </c>
      <c r="N297" s="7">
        <v>0.5</v>
      </c>
      <c r="O297" s="7">
        <v>1.7250000000000001</v>
      </c>
      <c r="P297" s="1" t="s">
        <v>2608</v>
      </c>
    </row>
    <row r="298" spans="1:16" ht="33.4" x14ac:dyDescent="0.3">
      <c r="A298" s="6" t="str">
        <f>HYPERLINK("https://www.ti.com/product/TPS62968", "TPS62968")</f>
        <v>TPS62968</v>
      </c>
      <c r="B298" s="5" t="s">
        <v>2609</v>
      </c>
      <c r="C298" s="6" t="str">
        <f>HYPERLINK("https://www.ti.com/lit/gpn/TPS62968", "PDF")</f>
        <v>PDF</v>
      </c>
      <c r="D298" s="5" t="s">
        <v>2610</v>
      </c>
      <c r="E298" s="5" t="s">
        <v>2611</v>
      </c>
      <c r="F298" s="5"/>
      <c r="G298" s="5" t="s">
        <v>2612</v>
      </c>
      <c r="H298" s="1" t="s">
        <v>2613</v>
      </c>
      <c r="I298" s="5" t="s">
        <v>2614</v>
      </c>
      <c r="J298" s="7">
        <v>14</v>
      </c>
      <c r="K298" s="7">
        <v>7.5</v>
      </c>
      <c r="L298" s="5" t="s">
        <v>2615</v>
      </c>
      <c r="M298" s="7">
        <v>1</v>
      </c>
      <c r="N298" s="7">
        <v>0.5</v>
      </c>
      <c r="O298" s="7">
        <v>1.8979999999999999</v>
      </c>
      <c r="P298" s="1" t="s">
        <v>2616</v>
      </c>
    </row>
    <row r="299" spans="1:16" ht="33.4" x14ac:dyDescent="0.3">
      <c r="A299" s="6" t="str">
        <f>HYPERLINK("https://www.ti.com/product/TPS22996H-Q1", "TPS22996H-Q1")</f>
        <v>TPS22996H-Q1</v>
      </c>
      <c r="B299" s="5" t="s">
        <v>2617</v>
      </c>
      <c r="C299" s="6" t="str">
        <f>HYPERLINK("https://www.ti.com/lit/gpn/TPS22996H-Q1", "PDF")</f>
        <v>PDF</v>
      </c>
      <c r="D299" s="5" t="s">
        <v>2618</v>
      </c>
      <c r="E299" s="5" t="s">
        <v>2619</v>
      </c>
      <c r="F299" s="5"/>
      <c r="G299" s="5" t="s">
        <v>2620</v>
      </c>
      <c r="H299" s="1" t="s">
        <v>2621</v>
      </c>
      <c r="I299" s="5" t="s">
        <v>2622</v>
      </c>
      <c r="J299" s="7">
        <v>8</v>
      </c>
      <c r="K299" s="7">
        <v>2.52</v>
      </c>
      <c r="L299" s="5" t="s">
        <v>2623</v>
      </c>
      <c r="M299" s="7">
        <v>0.6</v>
      </c>
      <c r="N299" s="7">
        <v>0.5</v>
      </c>
      <c r="O299" s="7">
        <v>0.17</v>
      </c>
      <c r="P299" s="1" t="s">
        <v>2624</v>
      </c>
    </row>
    <row r="300" spans="1:16" ht="49.75" x14ac:dyDescent="0.3">
      <c r="A300" s="6" t="str">
        <f>HYPERLINK("https://www.ti.com/product/UCC33411-Q1", "UCC33411-Q1")</f>
        <v>UCC33411-Q1</v>
      </c>
      <c r="B300" s="5" t="s">
        <v>2625</v>
      </c>
      <c r="C300" s="6" t="str">
        <f>HYPERLINK("https://www.ti.com/lit/gpn/UCC33411-Q1", "PDF")</f>
        <v>PDF</v>
      </c>
      <c r="D300" s="5" t="s">
        <v>2626</v>
      </c>
      <c r="E300" s="5" t="s">
        <v>2627</v>
      </c>
      <c r="F300" s="5"/>
      <c r="G300" s="5" t="s">
        <v>2628</v>
      </c>
      <c r="H300" s="1" t="s">
        <v>2629</v>
      </c>
      <c r="I300" s="5" t="s">
        <v>2630</v>
      </c>
      <c r="J300" s="7">
        <v>16</v>
      </c>
      <c r="K300" s="7" t="s">
        <v>2631</v>
      </c>
      <c r="L300" s="5" t="s">
        <v>2632</v>
      </c>
      <c r="M300" s="7" t="s">
        <v>2633</v>
      </c>
      <c r="N300" s="7" t="s">
        <v>2634</v>
      </c>
      <c r="O300" s="7">
        <v>1.9319999999999999</v>
      </c>
      <c r="P300" s="1" t="s">
        <v>2635</v>
      </c>
    </row>
    <row r="301" spans="1:16" ht="33.4" x14ac:dyDescent="0.3">
      <c r="A301" s="6" t="str">
        <f>HYPERLINK("https://www.ti.com/product/LMR51603", "LMR51603")</f>
        <v>LMR51603</v>
      </c>
      <c r="B301" s="5" t="s">
        <v>2636</v>
      </c>
      <c r="C301" s="6" t="str">
        <f>HYPERLINK("https://www.ti.com/lit/gpn/LMR51603", "PDF")</f>
        <v>PDF</v>
      </c>
      <c r="D301" s="5" t="s">
        <v>2637</v>
      </c>
      <c r="E301" s="5" t="s">
        <v>2638</v>
      </c>
      <c r="F301" s="5" t="s">
        <v>2639</v>
      </c>
      <c r="G301" s="5" t="s">
        <v>2640</v>
      </c>
      <c r="H301" s="1" t="s">
        <v>2641</v>
      </c>
      <c r="I301" s="5" t="s">
        <v>2642</v>
      </c>
      <c r="J301" s="7">
        <v>6</v>
      </c>
      <c r="K301" s="7">
        <v>8.1199999999999992</v>
      </c>
      <c r="L301" s="5" t="s">
        <v>2643</v>
      </c>
      <c r="M301" s="7">
        <v>1.45</v>
      </c>
      <c r="N301" s="7">
        <v>0.95</v>
      </c>
      <c r="O301" s="7">
        <v>0.34499999999999997</v>
      </c>
      <c r="P301" s="1" t="s">
        <v>2644</v>
      </c>
    </row>
    <row r="302" spans="1:16" ht="33.4" x14ac:dyDescent="0.3">
      <c r="A302" s="6" t="str">
        <f>HYPERLINK("https://www.ti.com/product/TPSI3100-Q1", "TPSI3100-Q1")</f>
        <v>TPSI3100-Q1</v>
      </c>
      <c r="B302" s="5" t="s">
        <v>2645</v>
      </c>
      <c r="C302" s="6" t="str">
        <f>HYPERLINK("https://www.ti.com/lit/gpn/TPSI3100-Q1", "PDF")</f>
        <v>PDF</v>
      </c>
      <c r="D302" s="5" t="s">
        <v>2646</v>
      </c>
      <c r="E302" s="5" t="s">
        <v>2647</v>
      </c>
      <c r="F302" s="5"/>
      <c r="G302" s="5" t="s">
        <v>2648</v>
      </c>
      <c r="H302" s="1" t="s">
        <v>2649</v>
      </c>
      <c r="I302" s="5" t="s">
        <v>2650</v>
      </c>
      <c r="J302" s="7">
        <v>16</v>
      </c>
      <c r="K302" s="7">
        <v>60.255000000000003</v>
      </c>
      <c r="L302" s="5" t="s">
        <v>2651</v>
      </c>
      <c r="M302" s="7">
        <v>2.8</v>
      </c>
      <c r="N302" s="7">
        <v>0.65</v>
      </c>
      <c r="O302" s="7">
        <v>2.2890000000000001</v>
      </c>
      <c r="P302" s="1" t="s">
        <v>2652</v>
      </c>
    </row>
    <row r="303" spans="1:16" ht="33.4" x14ac:dyDescent="0.3">
      <c r="A303" s="6" t="str">
        <f>HYPERLINK("https://www.ti.com/product/TLV61047", "TLV61047")</f>
        <v>TLV61047</v>
      </c>
      <c r="B303" s="5" t="s">
        <v>2653</v>
      </c>
      <c r="C303" s="6" t="str">
        <f>HYPERLINK("https://www.ti.com/lit/gpn/TLV61047", "PDF")</f>
        <v>PDF</v>
      </c>
      <c r="D303" s="5" t="s">
        <v>2654</v>
      </c>
      <c r="E303" s="5" t="s">
        <v>2655</v>
      </c>
      <c r="F303" s="5" t="s">
        <v>2656</v>
      </c>
      <c r="G303" s="5" t="s">
        <v>2657</v>
      </c>
      <c r="H303" s="1" t="s">
        <v>2658</v>
      </c>
      <c r="I303" s="5" t="s">
        <v>2659</v>
      </c>
      <c r="J303" s="7">
        <v>5</v>
      </c>
      <c r="K303" s="7">
        <v>8.1199999999999992</v>
      </c>
      <c r="L303" s="5" t="s">
        <v>2660</v>
      </c>
      <c r="M303" s="7">
        <v>1.1000000000000001</v>
      </c>
      <c r="N303" s="7">
        <v>0.95</v>
      </c>
      <c r="O303" s="7">
        <v>0.52500000000000002</v>
      </c>
      <c r="P303" s="1" t="s">
        <v>2661</v>
      </c>
    </row>
    <row r="304" spans="1:16" ht="33.4" x14ac:dyDescent="0.3">
      <c r="A304" s="6" t="str">
        <f>HYPERLINK("https://www.ti.com/product/TPS1214-Q1", "TPS1214-Q1")</f>
        <v>TPS1214-Q1</v>
      </c>
      <c r="B304" s="5" t="s">
        <v>2662</v>
      </c>
      <c r="C304" s="6" t="str">
        <f>HYPERLINK("https://www.ti.com/lit/gpn/TPS1214-Q1", "PDF")</f>
        <v>PDF</v>
      </c>
      <c r="D304" s="5" t="s">
        <v>2663</v>
      </c>
      <c r="E304" s="5" t="s">
        <v>2664</v>
      </c>
      <c r="F304" s="5"/>
      <c r="G304" s="5" t="s">
        <v>2665</v>
      </c>
      <c r="H304" s="1" t="s">
        <v>2666</v>
      </c>
      <c r="I304" s="5" t="s">
        <v>2667</v>
      </c>
      <c r="J304" s="7">
        <v>23</v>
      </c>
      <c r="K304" s="7">
        <v>16</v>
      </c>
      <c r="L304" s="5" t="s">
        <v>2668</v>
      </c>
      <c r="M304" s="7">
        <v>1</v>
      </c>
      <c r="N304" s="7">
        <v>0.5</v>
      </c>
      <c r="O304" s="7">
        <v>1.968</v>
      </c>
      <c r="P304" s="1" t="s">
        <v>2669</v>
      </c>
    </row>
    <row r="305" spans="1:16" ht="49.75" x14ac:dyDescent="0.3">
      <c r="A305" s="6" t="str">
        <f>HYPERLINK("https://www.ti.com/product/TPSM82866C", "TPSM82866C")</f>
        <v>TPSM82866C</v>
      </c>
      <c r="B305" s="5" t="s">
        <v>2670</v>
      </c>
      <c r="C305" s="6" t="str">
        <f>HYPERLINK("https://www.ti.com/lit/gpn/TPSM82866C", "PDF")</f>
        <v>PDF</v>
      </c>
      <c r="D305" s="5" t="s">
        <v>2671</v>
      </c>
      <c r="E305" s="5" t="s">
        <v>2672</v>
      </c>
      <c r="F305" s="5" t="s">
        <v>2673</v>
      </c>
      <c r="G305" s="5" t="s">
        <v>2674</v>
      </c>
      <c r="H305" s="1" t="s">
        <v>2675</v>
      </c>
      <c r="I305" s="5" t="s">
        <v>2676</v>
      </c>
      <c r="J305" s="7">
        <v>15</v>
      </c>
      <c r="K305" s="7">
        <v>6.9</v>
      </c>
      <c r="L305" s="5" t="s">
        <v>2677</v>
      </c>
      <c r="M305" s="7">
        <v>2</v>
      </c>
      <c r="N305" s="7">
        <v>0.5</v>
      </c>
      <c r="O305" s="7">
        <v>2.9020000000000001</v>
      </c>
      <c r="P305" s="1" t="s">
        <v>2678</v>
      </c>
    </row>
    <row r="306" spans="1:16" ht="33.4" x14ac:dyDescent="0.3">
      <c r="A306" s="6" t="str">
        <f>HYPERLINK("https://www.ti.com/product/LMR51403", "LMR51403")</f>
        <v>LMR51403</v>
      </c>
      <c r="B306" s="5" t="s">
        <v>2679</v>
      </c>
      <c r="C306" s="6" t="str">
        <f>HYPERLINK("https://www.ti.com/lit/gpn/LMR51403", "PDF")</f>
        <v>PDF</v>
      </c>
      <c r="D306" s="5" t="s">
        <v>2680</v>
      </c>
      <c r="E306" s="5" t="s">
        <v>2681</v>
      </c>
      <c r="F306" s="5" t="s">
        <v>2682</v>
      </c>
      <c r="G306" s="5" t="s">
        <v>2683</v>
      </c>
      <c r="H306" s="1" t="s">
        <v>2684</v>
      </c>
      <c r="I306" s="5" t="s">
        <v>2685</v>
      </c>
      <c r="J306" s="7">
        <v>6</v>
      </c>
      <c r="K306" s="7">
        <v>8.1199999999999992</v>
      </c>
      <c r="L306" s="5" t="s">
        <v>2686</v>
      </c>
      <c r="M306" s="7">
        <v>1.45</v>
      </c>
      <c r="N306" s="7">
        <v>0.95</v>
      </c>
      <c r="O306" s="7">
        <v>0.32200000000000001</v>
      </c>
      <c r="P306" s="1" t="s">
        <v>2687</v>
      </c>
    </row>
    <row r="307" spans="1:16" ht="33.4" x14ac:dyDescent="0.3">
      <c r="A307" s="6" t="str">
        <f>HYPERLINK("https://www.ti.com/product/LP5899-Q1", "LP5899-Q1")</f>
        <v>LP5899-Q1</v>
      </c>
      <c r="B307" s="5" t="s">
        <v>2688</v>
      </c>
      <c r="C307" s="6" t="str">
        <f>HYPERLINK("https://www.ti.com/lit/gpn/LP5899-Q1", "PDF")</f>
        <v>PDF</v>
      </c>
      <c r="D307" s="5" t="s">
        <v>2689</v>
      </c>
      <c r="E307" s="5" t="s">
        <v>2690</v>
      </c>
      <c r="F307" s="5"/>
      <c r="G307" s="5" t="s">
        <v>2691</v>
      </c>
      <c r="H307" s="1" t="s">
        <v>2692</v>
      </c>
      <c r="I307" s="5" t="s">
        <v>2693</v>
      </c>
      <c r="J307" s="7" t="s">
        <v>2694</v>
      </c>
      <c r="K307" s="7" t="s">
        <v>2695</v>
      </c>
      <c r="L307" s="5" t="s">
        <v>2696</v>
      </c>
      <c r="M307" s="7" t="s">
        <v>2697</v>
      </c>
      <c r="N307" s="7">
        <v>0.5</v>
      </c>
      <c r="O307" s="7">
        <v>0.63400000000000001</v>
      </c>
      <c r="P307" s="1" t="s">
        <v>2698</v>
      </c>
    </row>
    <row r="308" spans="1:16" ht="33.4" x14ac:dyDescent="0.3">
      <c r="A308" s="6" t="str">
        <f>HYPERLINK("https://www.ti.com/product/TLC69699-Q1", "TLC69699-Q1")</f>
        <v>TLC69699-Q1</v>
      </c>
      <c r="B308" s="5" t="s">
        <v>2699</v>
      </c>
      <c r="C308" s="6" t="str">
        <f>HYPERLINK("https://www.ti.com/lit/gpn/TLC69699-Q1", "PDF")</f>
        <v>PDF</v>
      </c>
      <c r="D308" s="5" t="s">
        <v>2700</v>
      </c>
      <c r="E308" s="5" t="s">
        <v>2701</v>
      </c>
      <c r="F308" s="5"/>
      <c r="G308" s="5" t="s">
        <v>2702</v>
      </c>
      <c r="H308" s="1" t="s">
        <v>2703</v>
      </c>
      <c r="I308" s="5" t="s">
        <v>2704</v>
      </c>
      <c r="J308" s="7" t="s">
        <v>2705</v>
      </c>
      <c r="K308" s="7" t="s">
        <v>2706</v>
      </c>
      <c r="L308" s="5" t="s">
        <v>2707</v>
      </c>
      <c r="M308" s="7" t="s">
        <v>2708</v>
      </c>
      <c r="N308" s="7">
        <v>0.5</v>
      </c>
      <c r="O308" s="7">
        <v>0.54300000000000004</v>
      </c>
      <c r="P308" s="1" t="s">
        <v>2709</v>
      </c>
    </row>
    <row r="309" spans="1:16" ht="49.75" x14ac:dyDescent="0.3">
      <c r="A309" s="6" t="str">
        <f>HYPERLINK("https://www.ti.com/product/TPSM82843", "TPSM82843")</f>
        <v>TPSM82843</v>
      </c>
      <c r="B309" s="5" t="s">
        <v>2710</v>
      </c>
      <c r="C309" s="6" t="str">
        <f>HYPERLINK("https://www.ti.com/lit/gpn/TPSM82843", "PDF")</f>
        <v>PDF</v>
      </c>
      <c r="D309" s="5" t="s">
        <v>2711</v>
      </c>
      <c r="E309" s="5" t="s">
        <v>2712</v>
      </c>
      <c r="F309" s="5" t="s">
        <v>2713</v>
      </c>
      <c r="G309" s="5" t="s">
        <v>2714</v>
      </c>
      <c r="H309" s="1" t="s">
        <v>2715</v>
      </c>
      <c r="I309" s="5" t="s">
        <v>2716</v>
      </c>
      <c r="J309" s="7">
        <v>7</v>
      </c>
      <c r="K309" s="7">
        <v>6.6150000000000002</v>
      </c>
      <c r="L309" s="5" t="s">
        <v>2717</v>
      </c>
      <c r="M309" s="7">
        <v>1.32</v>
      </c>
      <c r="N309" s="7">
        <v>0.5</v>
      </c>
      <c r="O309" s="7">
        <v>1.0349999999999999</v>
      </c>
      <c r="P309" s="1" t="s">
        <v>2718</v>
      </c>
    </row>
    <row r="310" spans="1:16" ht="33.4" x14ac:dyDescent="0.3">
      <c r="A310" s="6" t="str">
        <f>HYPERLINK("https://www.ti.com/product/TPS650352-Q1", "TPS650352-Q1")</f>
        <v>TPS650352-Q1</v>
      </c>
      <c r="B310" s="5" t="s">
        <v>2719</v>
      </c>
      <c r="C310" s="6" t="str">
        <f>HYPERLINK("https://www.ti.com/lit/gpn/TPS650352-Q1", "PDF")</f>
        <v>PDF</v>
      </c>
      <c r="D310" s="5" t="s">
        <v>2720</v>
      </c>
      <c r="E310" s="5" t="s">
        <v>2721</v>
      </c>
      <c r="F310" s="5"/>
      <c r="G310" s="5" t="s">
        <v>2722</v>
      </c>
      <c r="H310" s="1" t="s">
        <v>2723</v>
      </c>
      <c r="I310" s="5" t="s">
        <v>2724</v>
      </c>
      <c r="J310" s="7">
        <v>22</v>
      </c>
      <c r="K310" s="7">
        <v>10.5</v>
      </c>
      <c r="L310" s="5" t="s">
        <v>2725</v>
      </c>
      <c r="M310" s="7">
        <v>0.7</v>
      </c>
      <c r="N310" s="7">
        <v>0.5</v>
      </c>
      <c r="O310" s="7">
        <v>1.5049999999999999</v>
      </c>
      <c r="P310" s="1" t="s">
        <v>2726</v>
      </c>
    </row>
    <row r="311" spans="1:16" ht="17.05" x14ac:dyDescent="0.3">
      <c r="A311" s="6" t="str">
        <f>HYPERLINK("https://www.ti.com/product/LMG3100R044", "LMG3100R044")</f>
        <v>LMG3100R044</v>
      </c>
      <c r="B311" s="5" t="s">
        <v>2727</v>
      </c>
      <c r="C311" s="6" t="str">
        <f>HYPERLINK("https://www.ti.com/lit/gpn/LMG3100R044", "PDF")</f>
        <v>PDF</v>
      </c>
      <c r="D311" s="5" t="s">
        <v>2728</v>
      </c>
      <c r="E311" s="5" t="s">
        <v>2729</v>
      </c>
      <c r="F311" s="5"/>
      <c r="G311" s="5" t="s">
        <v>2730</v>
      </c>
      <c r="H311" s="1" t="s">
        <v>2731</v>
      </c>
      <c r="I311" s="5" t="s">
        <v>2732</v>
      </c>
      <c r="J311" s="7">
        <v>15</v>
      </c>
      <c r="K311" s="7">
        <v>26</v>
      </c>
      <c r="L311" s="5" t="s">
        <v>2733</v>
      </c>
      <c r="M311" s="7">
        <v>0.9</v>
      </c>
      <c r="N311" s="7">
        <v>0.5</v>
      </c>
      <c r="O311" s="7">
        <v>3.21</v>
      </c>
      <c r="P311" s="1" t="s">
        <v>2734</v>
      </c>
    </row>
    <row r="312" spans="1:16" ht="17.05" x14ac:dyDescent="0.3">
      <c r="A312" s="6" t="str">
        <f>HYPERLINK("https://www.ti.com/product/TPS92401", "TPS92401")</f>
        <v>TPS92401</v>
      </c>
      <c r="B312" s="5" t="s">
        <v>2735</v>
      </c>
      <c r="C312" s="6" t="str">
        <f>HYPERLINK("https://www.ti.com/lit/gpn/TPS92401", "PDF")</f>
        <v>PDF</v>
      </c>
      <c r="D312" s="5" t="s">
        <v>2736</v>
      </c>
      <c r="E312" s="5" t="s">
        <v>2737</v>
      </c>
      <c r="F312" s="5" t="s">
        <v>2738</v>
      </c>
      <c r="G312" s="5" t="s">
        <v>2739</v>
      </c>
      <c r="H312" s="1" t="s">
        <v>2740</v>
      </c>
      <c r="I312" s="5" t="s">
        <v>2741</v>
      </c>
      <c r="J312" s="7">
        <v>36</v>
      </c>
      <c r="K312" s="7">
        <v>30</v>
      </c>
      <c r="L312" s="5" t="s">
        <v>2742</v>
      </c>
      <c r="M312" s="7">
        <v>1</v>
      </c>
      <c r="N312" s="7">
        <v>0.5</v>
      </c>
      <c r="O312" s="7">
        <v>2.76</v>
      </c>
      <c r="P312" s="1" t="s">
        <v>2743</v>
      </c>
    </row>
    <row r="313" spans="1:16" ht="49.75" x14ac:dyDescent="0.3">
      <c r="A313" s="6" t="str">
        <f>HYPERLINK("https://www.ti.com/product/TPS6286A06", "TPS6286A06")</f>
        <v>TPS6286A06</v>
      </c>
      <c r="B313" s="5" t="s">
        <v>2744</v>
      </c>
      <c r="C313" s="6" t="str">
        <f>HYPERLINK("https://www.ti.com/lit/gpn/TPS6286A06", "PDF")</f>
        <v>PDF</v>
      </c>
      <c r="D313" s="5" t="s">
        <v>2745</v>
      </c>
      <c r="E313" s="5" t="s">
        <v>2746</v>
      </c>
      <c r="F313" s="5" t="s">
        <v>2747</v>
      </c>
      <c r="G313" s="5" t="s">
        <v>2748</v>
      </c>
      <c r="H313" s="1" t="s">
        <v>2749</v>
      </c>
      <c r="I313" s="5" t="s">
        <v>2750</v>
      </c>
      <c r="J313" s="7">
        <v>13</v>
      </c>
      <c r="K313" s="7">
        <v>6</v>
      </c>
      <c r="L313" s="5" t="s">
        <v>2751</v>
      </c>
      <c r="M313" s="7">
        <v>1</v>
      </c>
      <c r="N313" s="7">
        <v>0.5</v>
      </c>
      <c r="O313" s="7">
        <v>1.425</v>
      </c>
      <c r="P313" s="1" t="s">
        <v>2752</v>
      </c>
    </row>
    <row r="314" spans="1:16" ht="33.4" x14ac:dyDescent="0.3">
      <c r="A314" s="6" t="str">
        <f>HYPERLINK("https://www.ti.com/product/TPS92543-Q1", "TPS92543-Q1")</f>
        <v>TPS92543-Q1</v>
      </c>
      <c r="B314" s="5" t="s">
        <v>2753</v>
      </c>
      <c r="C314" s="6" t="str">
        <f>HYPERLINK("https://www.ti.com/lit/gpn/TPS92543-Q1", "PDF")</f>
        <v>PDF</v>
      </c>
      <c r="D314" s="5" t="s">
        <v>2754</v>
      </c>
      <c r="E314" s="5" t="s">
        <v>2755</v>
      </c>
      <c r="F314" s="5" t="s">
        <v>2756</v>
      </c>
      <c r="G314" s="5" t="s">
        <v>2757</v>
      </c>
      <c r="H314" s="1" t="s">
        <v>2758</v>
      </c>
      <c r="I314" s="5" t="s">
        <v>2759</v>
      </c>
      <c r="J314" s="7">
        <v>48</v>
      </c>
      <c r="K314" s="7">
        <v>81</v>
      </c>
      <c r="L314" s="5" t="s">
        <v>2760</v>
      </c>
      <c r="M314" s="7">
        <v>1.2</v>
      </c>
      <c r="N314" s="7">
        <v>0.5</v>
      </c>
      <c r="O314" s="7">
        <v>2.1280000000000001</v>
      </c>
      <c r="P314" s="1" t="s">
        <v>2761</v>
      </c>
    </row>
    <row r="315" spans="1:16" ht="33.4" x14ac:dyDescent="0.3">
      <c r="A315" s="6" t="str">
        <f>HYPERLINK("https://www.ti.com/product/LMR51635", "LMR51635")</f>
        <v>LMR51635</v>
      </c>
      <c r="B315" s="5" t="s">
        <v>2762</v>
      </c>
      <c r="C315" s="6" t="str">
        <f>HYPERLINK("https://www.ti.com/lit/gpn/LMR51635", "PDF")</f>
        <v>PDF</v>
      </c>
      <c r="D315" s="5" t="s">
        <v>2763</v>
      </c>
      <c r="E315" s="5" t="s">
        <v>2764</v>
      </c>
      <c r="F315" s="5" t="s">
        <v>2765</v>
      </c>
      <c r="G315" s="5" t="s">
        <v>2766</v>
      </c>
      <c r="H315" s="1" t="s">
        <v>2767</v>
      </c>
      <c r="I315" s="5" t="s">
        <v>2768</v>
      </c>
      <c r="J315" s="7">
        <v>6</v>
      </c>
      <c r="K315" s="7">
        <v>8.1199999999999992</v>
      </c>
      <c r="L315" s="5" t="s">
        <v>2769</v>
      </c>
      <c r="M315" s="7">
        <v>1.1000000000000001</v>
      </c>
      <c r="N315" s="7">
        <v>0.95</v>
      </c>
      <c r="O315" s="7">
        <v>0.80500000000000005</v>
      </c>
      <c r="P315" s="1" t="s">
        <v>2770</v>
      </c>
    </row>
    <row r="316" spans="1:16" ht="33.4" x14ac:dyDescent="0.3">
      <c r="A316" s="6" t="str">
        <f>HYPERLINK("https://www.ti.com/product/TLA432", "TLA432")</f>
        <v>TLA432</v>
      </c>
      <c r="B316" s="5" t="s">
        <v>2771</v>
      </c>
      <c r="C316" s="6" t="str">
        <f>HYPERLINK("https://www.ti.com/lit/gpn/TLA432", "PDF")</f>
        <v>PDF</v>
      </c>
      <c r="D316" s="5" t="s">
        <v>2772</v>
      </c>
      <c r="E316" s="5" t="s">
        <v>2773</v>
      </c>
      <c r="F316" s="5"/>
      <c r="G316" s="5" t="s">
        <v>2774</v>
      </c>
      <c r="H316" s="1" t="s">
        <v>2775</v>
      </c>
      <c r="I316" s="5" t="s">
        <v>2776</v>
      </c>
      <c r="J316" s="7">
        <v>3</v>
      </c>
      <c r="K316" s="7">
        <v>6.9203999999999999</v>
      </c>
      <c r="L316" s="5" t="s">
        <v>2777</v>
      </c>
      <c r="M316" s="7">
        <v>1.1200000000000001</v>
      </c>
      <c r="N316" s="7">
        <v>0.96</v>
      </c>
      <c r="O316" s="7">
        <v>8.8999999999999996E-2</v>
      </c>
      <c r="P316" s="1" t="s">
        <v>2778</v>
      </c>
    </row>
    <row r="317" spans="1:16" ht="33.4" x14ac:dyDescent="0.3">
      <c r="A317" s="6" t="str">
        <f>HYPERLINK("https://www.ti.com/product/TPS61287", "TPS61287")</f>
        <v>TPS61287</v>
      </c>
      <c r="B317" s="5" t="s">
        <v>2779</v>
      </c>
      <c r="C317" s="6" t="str">
        <f>HYPERLINK("https://www.ti.com/lit/gpn/TPS61287", "PDF")</f>
        <v>PDF</v>
      </c>
      <c r="D317" s="5" t="s">
        <v>2780</v>
      </c>
      <c r="E317" s="5" t="s">
        <v>2781</v>
      </c>
      <c r="F317" s="5" t="s">
        <v>2782</v>
      </c>
      <c r="G317" s="5" t="s">
        <v>2783</v>
      </c>
      <c r="H317" s="1" t="s">
        <v>2784</v>
      </c>
      <c r="I317" s="5" t="s">
        <v>2785</v>
      </c>
      <c r="J317" s="7">
        <v>14</v>
      </c>
      <c r="K317" s="7">
        <v>7.5</v>
      </c>
      <c r="L317" s="5" t="s">
        <v>2786</v>
      </c>
      <c r="M317" s="7">
        <v>1</v>
      </c>
      <c r="N317" s="7">
        <v>0.5</v>
      </c>
      <c r="O317" s="7">
        <v>0.86299999999999999</v>
      </c>
      <c r="P317" s="1" t="s">
        <v>2787</v>
      </c>
    </row>
    <row r="318" spans="1:16" ht="33.4" x14ac:dyDescent="0.3">
      <c r="A318" s="6" t="str">
        <f>HYPERLINK("https://www.ti.com/product/TPS25763-Q1", "TPS25763-Q1")</f>
        <v>TPS25763-Q1</v>
      </c>
      <c r="B318" s="5" t="s">
        <v>2788</v>
      </c>
      <c r="C318" s="6" t="str">
        <f>HYPERLINK("https://www.ti.com/lit/gpn/TPS25763-Q1", "PDF")</f>
        <v>PDF</v>
      </c>
      <c r="D318" s="5" t="s">
        <v>2789</v>
      </c>
      <c r="E318" s="5" t="s">
        <v>2790</v>
      </c>
      <c r="F318" s="5"/>
      <c r="G318" s="5" t="s">
        <v>2791</v>
      </c>
      <c r="H318" s="1" t="s">
        <v>2792</v>
      </c>
      <c r="I318" s="5" t="s">
        <v>2793</v>
      </c>
      <c r="J318" s="7">
        <v>29</v>
      </c>
      <c r="K318" s="7">
        <v>30</v>
      </c>
      <c r="L318" s="5" t="s">
        <v>2794</v>
      </c>
      <c r="M318" s="7">
        <v>1</v>
      </c>
      <c r="N318" s="7">
        <v>0.5</v>
      </c>
      <c r="O318" s="7">
        <v>3.5590000000000002</v>
      </c>
      <c r="P318" s="1" t="s">
        <v>2795</v>
      </c>
    </row>
    <row r="319" spans="1:16" ht="33.4" x14ac:dyDescent="0.3">
      <c r="A319" s="6" t="str">
        <f>HYPERLINK("https://www.ti.com/product/LM68680-Q1", "LM68680-Q1")</f>
        <v>LM68680-Q1</v>
      </c>
      <c r="B319" s="5" t="s">
        <v>2796</v>
      </c>
      <c r="C319" s="6" t="str">
        <f>HYPERLINK("https://www.ti.com/lit/gpn/LM68680-Q1", "PDF")</f>
        <v>PDF</v>
      </c>
      <c r="D319" s="5" t="s">
        <v>2797</v>
      </c>
      <c r="E319" s="5" t="s">
        <v>2798</v>
      </c>
      <c r="F319" s="5" t="s">
        <v>2799</v>
      </c>
      <c r="G319" s="5" t="s">
        <v>2800</v>
      </c>
      <c r="H319" s="1" t="s">
        <v>2801</v>
      </c>
      <c r="I319" s="5" t="s">
        <v>2802</v>
      </c>
      <c r="J319" s="7">
        <v>26</v>
      </c>
      <c r="K319" s="7">
        <v>20.25</v>
      </c>
      <c r="L319" s="5" t="s">
        <v>2803</v>
      </c>
      <c r="M319" s="7">
        <v>0.7</v>
      </c>
      <c r="N319" s="7">
        <v>0.5</v>
      </c>
      <c r="O319" s="7">
        <v>3.06</v>
      </c>
      <c r="P319" s="1" t="s">
        <v>2804</v>
      </c>
    </row>
    <row r="320" spans="1:16" ht="33.4" x14ac:dyDescent="0.3">
      <c r="A320" s="6" t="str">
        <f>HYPERLINK("https://www.ti.com/product/TLA431", "TLA431")</f>
        <v>TLA431</v>
      </c>
      <c r="B320" s="5" t="s">
        <v>2805</v>
      </c>
      <c r="C320" s="6" t="str">
        <f>HYPERLINK("https://www.ti.com/lit/gpn/TLA431", "PDF")</f>
        <v>PDF</v>
      </c>
      <c r="D320" s="5" t="s">
        <v>2806</v>
      </c>
      <c r="E320" s="5" t="s">
        <v>2807</v>
      </c>
      <c r="F320" s="5"/>
      <c r="G320" s="5" t="s">
        <v>2808</v>
      </c>
      <c r="H320" s="1" t="s">
        <v>2809</v>
      </c>
      <c r="I320" s="5" t="s">
        <v>2810</v>
      </c>
      <c r="J320" s="7">
        <v>3</v>
      </c>
      <c r="K320" s="7">
        <v>6.9203999999999999</v>
      </c>
      <c r="L320" s="5" t="s">
        <v>2811</v>
      </c>
      <c r="M320" s="7">
        <v>1.1200000000000001</v>
      </c>
      <c r="N320" s="7">
        <v>0.96</v>
      </c>
      <c r="O320" s="7">
        <v>8.8999999999999996E-2</v>
      </c>
      <c r="P320" s="1" t="s">
        <v>2812</v>
      </c>
    </row>
    <row r="321" spans="1:16" ht="33.4" x14ac:dyDescent="0.3">
      <c r="A321" s="6" t="str">
        <f>HYPERLINK("https://www.ti.com/product/LM3645", "LM3645")</f>
        <v>LM3645</v>
      </c>
      <c r="B321" s="5" t="s">
        <v>2813</v>
      </c>
      <c r="C321" s="6" t="str">
        <f>HYPERLINK("https://www.ti.com/lit/gpn/LM3645", "PDF")</f>
        <v>PDF</v>
      </c>
      <c r="D321" s="5" t="s">
        <v>2814</v>
      </c>
      <c r="E321" s="5" t="s">
        <v>2815</v>
      </c>
      <c r="F321" s="5" t="s">
        <v>2816</v>
      </c>
      <c r="G321" s="5" t="s">
        <v>2817</v>
      </c>
      <c r="H321" s="1" t="s">
        <v>2818</v>
      </c>
      <c r="I321" s="5" t="s">
        <v>2819</v>
      </c>
      <c r="J321" s="7">
        <v>25</v>
      </c>
      <c r="K321" s="7">
        <v>3.0625</v>
      </c>
      <c r="L321" s="5" t="s">
        <v>2820</v>
      </c>
      <c r="M321" s="7">
        <v>0.5</v>
      </c>
      <c r="N321" s="7">
        <v>0.35</v>
      </c>
      <c r="O321" s="7">
        <v>0.46</v>
      </c>
      <c r="P321" s="1" t="s">
        <v>2821</v>
      </c>
    </row>
    <row r="322" spans="1:16" ht="33.4" x14ac:dyDescent="0.3">
      <c r="A322" s="6" t="str">
        <f>HYPERLINK("https://www.ti.com/product/LM65680-Q1", "LM65680-Q1")</f>
        <v>LM65680-Q1</v>
      </c>
      <c r="B322" s="5" t="s">
        <v>2822</v>
      </c>
      <c r="C322" s="6" t="str">
        <f>HYPERLINK("https://www.ti.com/lit/gpn/LM65680-Q1", "PDF")</f>
        <v>PDF</v>
      </c>
      <c r="D322" s="5" t="s">
        <v>2823</v>
      </c>
      <c r="E322" s="5" t="s">
        <v>2824</v>
      </c>
      <c r="F322" s="5" t="s">
        <v>2825</v>
      </c>
      <c r="G322" s="5" t="s">
        <v>2826</v>
      </c>
      <c r="H322" s="1" t="s">
        <v>2827</v>
      </c>
      <c r="I322" s="5" t="s">
        <v>2828</v>
      </c>
      <c r="J322" s="7">
        <v>26</v>
      </c>
      <c r="K322" s="7">
        <v>20.25</v>
      </c>
      <c r="L322" s="5" t="s">
        <v>2829</v>
      </c>
      <c r="M322" s="7">
        <v>0.7</v>
      </c>
      <c r="N322" s="7">
        <v>0.5</v>
      </c>
      <c r="O322" s="7">
        <v>2.9329999999999998</v>
      </c>
      <c r="P322" s="1" t="s">
        <v>2830</v>
      </c>
    </row>
    <row r="323" spans="1:16" ht="33.4" x14ac:dyDescent="0.3">
      <c r="A323" s="6" t="str">
        <f>HYPERLINK("https://www.ti.com/product/TPS65224-Q1", "TPS65224-Q1")</f>
        <v>TPS65224-Q1</v>
      </c>
      <c r="B323" s="5" t="s">
        <v>2831</v>
      </c>
      <c r="C323" s="6" t="str">
        <f>HYPERLINK("https://www.ti.com/lit/gpn/TPS65224-Q1", "PDF")</f>
        <v>PDF</v>
      </c>
      <c r="D323" s="5" t="s">
        <v>2832</v>
      </c>
      <c r="E323" s="5" t="s">
        <v>2833</v>
      </c>
      <c r="F323" s="5"/>
      <c r="G323" s="5" t="s">
        <v>2834</v>
      </c>
      <c r="H323" s="1" t="s">
        <v>2835</v>
      </c>
      <c r="I323" s="5" t="s">
        <v>2836</v>
      </c>
      <c r="J323" s="7">
        <v>36</v>
      </c>
      <c r="K323" s="7">
        <v>30</v>
      </c>
      <c r="L323" s="5" t="s">
        <v>2837</v>
      </c>
      <c r="M323" s="7">
        <v>1</v>
      </c>
      <c r="N323" s="7">
        <v>0.5</v>
      </c>
      <c r="O323" s="7">
        <v>2.7</v>
      </c>
      <c r="P323" s="1" t="s">
        <v>2838</v>
      </c>
    </row>
    <row r="324" spans="1:16" ht="33.4" x14ac:dyDescent="0.3">
      <c r="A324" s="6" t="str">
        <f>HYPERLINK("https://www.ti.com/product/TPS62A03", "TPS62A03")</f>
        <v>TPS62A03</v>
      </c>
      <c r="B324" s="5" t="s">
        <v>2839</v>
      </c>
      <c r="C324" s="6" t="str">
        <f>HYPERLINK("https://www.ti.com/lit/gpn/TPS62A03", "PDF")</f>
        <v>PDF</v>
      </c>
      <c r="D324" s="5" t="s">
        <v>2840</v>
      </c>
      <c r="E324" s="5" t="s">
        <v>2841</v>
      </c>
      <c r="F324" s="5" t="s">
        <v>2842</v>
      </c>
      <c r="G324" s="5" t="s">
        <v>2843</v>
      </c>
      <c r="H324" s="1" t="s">
        <v>2844</v>
      </c>
      <c r="I324" s="5" t="s">
        <v>2845</v>
      </c>
      <c r="J324" s="7">
        <v>6</v>
      </c>
      <c r="K324" s="7">
        <v>2.56</v>
      </c>
      <c r="L324" s="5" t="s">
        <v>2846</v>
      </c>
      <c r="M324" s="7">
        <v>0.6</v>
      </c>
      <c r="N324" s="7">
        <v>0.5</v>
      </c>
      <c r="O324" s="7">
        <v>8.1000000000000003E-2</v>
      </c>
      <c r="P324" s="1" t="s">
        <v>2847</v>
      </c>
    </row>
    <row r="325" spans="1:16" ht="33.4" x14ac:dyDescent="0.3">
      <c r="A325" s="6" t="str">
        <f>HYPERLINK("https://www.ti.com/product/TPS62A03A", "TPS62A03A")</f>
        <v>TPS62A03A</v>
      </c>
      <c r="B325" s="5" t="s">
        <v>2848</v>
      </c>
      <c r="C325" s="6" t="str">
        <f>HYPERLINK("https://www.ti.com/lit/gpn/TPS62A03A", "PDF")</f>
        <v>PDF</v>
      </c>
      <c r="D325" s="5" t="s">
        <v>2849</v>
      </c>
      <c r="E325" s="5" t="s">
        <v>2850</v>
      </c>
      <c r="F325" s="5" t="s">
        <v>2851</v>
      </c>
      <c r="G325" s="5" t="s">
        <v>2852</v>
      </c>
      <c r="H325" s="1" t="s">
        <v>2853</v>
      </c>
      <c r="I325" s="5" t="s">
        <v>2854</v>
      </c>
      <c r="J325" s="7">
        <v>6</v>
      </c>
      <c r="K325" s="7">
        <v>2.56</v>
      </c>
      <c r="L325" s="5" t="s">
        <v>2855</v>
      </c>
      <c r="M325" s="7">
        <v>0.6</v>
      </c>
      <c r="N325" s="7">
        <v>0.5</v>
      </c>
      <c r="O325" s="7">
        <v>8.1000000000000003E-2</v>
      </c>
      <c r="P325" s="1" t="s">
        <v>2856</v>
      </c>
    </row>
    <row r="326" spans="1:16" ht="33.4" x14ac:dyDescent="0.3">
      <c r="A326" s="6" t="str">
        <f>HYPERLINK("https://www.ti.com/product/TPS389R0-Q1", "TPS389R0-Q1")</f>
        <v>TPS389R0-Q1</v>
      </c>
      <c r="B326" s="5" t="s">
        <v>2857</v>
      </c>
      <c r="C326" s="6" t="str">
        <f>HYPERLINK("https://www.ti.com/lit/gpn/TPS389R0-Q1", "PDF")</f>
        <v>PDF</v>
      </c>
      <c r="D326" s="5" t="s">
        <v>2858</v>
      </c>
      <c r="E326" s="5" t="s">
        <v>2859</v>
      </c>
      <c r="F326" s="5"/>
      <c r="G326" s="5" t="s">
        <v>2860</v>
      </c>
      <c r="H326" s="1" t="s">
        <v>2861</v>
      </c>
      <c r="I326" s="5" t="s">
        <v>2862</v>
      </c>
      <c r="J326" s="7">
        <v>16</v>
      </c>
      <c r="K326" s="7">
        <v>9</v>
      </c>
      <c r="L326" s="5" t="s">
        <v>2863</v>
      </c>
      <c r="M326" s="7">
        <v>0.8</v>
      </c>
      <c r="N326" s="7">
        <v>0.5</v>
      </c>
      <c r="O326" s="7">
        <v>2.5960000000000001</v>
      </c>
      <c r="P326" s="1" t="s">
        <v>2864</v>
      </c>
    </row>
    <row r="327" spans="1:16" ht="33.4" x14ac:dyDescent="0.3">
      <c r="A327" s="6" t="str">
        <f>HYPERLINK("https://www.ti.com/product/TPS653860-Q1", "TPS653860-Q1")</f>
        <v>TPS653860-Q1</v>
      </c>
      <c r="B327" s="5" t="s">
        <v>2865</v>
      </c>
      <c r="C327" s="6" t="str">
        <f>HYPERLINK("https://www.ti.com/lit/gpn/TPS653860-Q1", "PDF")</f>
        <v>PDF</v>
      </c>
      <c r="D327" s="5" t="s">
        <v>2866</v>
      </c>
      <c r="E327" s="5" t="s">
        <v>2867</v>
      </c>
      <c r="F327" s="5" t="s">
        <v>2868</v>
      </c>
      <c r="G327" s="5" t="s">
        <v>2869</v>
      </c>
      <c r="H327" s="1" t="s">
        <v>2870</v>
      </c>
      <c r="I327" s="5" t="s">
        <v>2871</v>
      </c>
      <c r="J327" s="7">
        <v>48</v>
      </c>
      <c r="K327" s="7">
        <v>101.25</v>
      </c>
      <c r="L327" s="5" t="s">
        <v>2872</v>
      </c>
      <c r="M327" s="7">
        <v>1.2</v>
      </c>
      <c r="N327" s="7">
        <v>0.5</v>
      </c>
      <c r="O327" s="7">
        <v>3.855</v>
      </c>
      <c r="P327" s="1" t="s">
        <v>2873</v>
      </c>
    </row>
    <row r="328" spans="1:16" ht="33.4" x14ac:dyDescent="0.3">
      <c r="A328" s="6" t="str">
        <f>HYPERLINK("https://www.ti.com/product/LM251772", "LM251772")</f>
        <v>LM251772</v>
      </c>
      <c r="B328" s="5" t="s">
        <v>2874</v>
      </c>
      <c r="C328" s="6" t="str">
        <f>HYPERLINK("https://www.ti.com/lit/gpn/LM251772", "PDF")</f>
        <v>PDF</v>
      </c>
      <c r="D328" s="5" t="s">
        <v>2875</v>
      </c>
      <c r="E328" s="5" t="s">
        <v>2876</v>
      </c>
      <c r="F328" s="5" t="s">
        <v>2877</v>
      </c>
      <c r="G328" s="5" t="s">
        <v>2878</v>
      </c>
      <c r="H328" s="1" t="s">
        <v>2879</v>
      </c>
      <c r="I328" s="5" t="s">
        <v>2880</v>
      </c>
      <c r="J328" s="7">
        <v>40</v>
      </c>
      <c r="K328" s="7">
        <v>36</v>
      </c>
      <c r="L328" s="5" t="s">
        <v>2881</v>
      </c>
      <c r="M328" s="7">
        <v>1</v>
      </c>
      <c r="N328" s="7">
        <v>0.5</v>
      </c>
      <c r="O328" s="7">
        <v>2.2999999999999998</v>
      </c>
      <c r="P328" s="1" t="s">
        <v>2882</v>
      </c>
    </row>
    <row r="329" spans="1:16" ht="49.75" x14ac:dyDescent="0.3">
      <c r="A329" s="6" t="str">
        <f>HYPERLINK("https://www.ti.com/product/TPS62810-EP", "TPS62810-EP")</f>
        <v>TPS62810-EP</v>
      </c>
      <c r="B329" s="5" t="s">
        <v>2883</v>
      </c>
      <c r="C329" s="6" t="str">
        <f>HYPERLINK("https://www.ti.com/lit/gpn/TPS62810-EP", "PDF")</f>
        <v>PDF</v>
      </c>
      <c r="D329" s="5" t="s">
        <v>2884</v>
      </c>
      <c r="E329" s="5" t="s">
        <v>2885</v>
      </c>
      <c r="F329" s="5" t="s">
        <v>2886</v>
      </c>
      <c r="G329" s="5" t="s">
        <v>2887</v>
      </c>
      <c r="H329" s="1" t="s">
        <v>2888</v>
      </c>
      <c r="I329" s="5" t="s">
        <v>2889</v>
      </c>
      <c r="J329" s="7">
        <v>9</v>
      </c>
      <c r="K329" s="7">
        <v>6</v>
      </c>
      <c r="L329" s="5" t="s">
        <v>2890</v>
      </c>
      <c r="M329" s="7">
        <v>1</v>
      </c>
      <c r="N329" s="7">
        <v>0.5</v>
      </c>
      <c r="O329" s="7">
        <v>4.1059999999999999</v>
      </c>
      <c r="P329" s="1" t="s">
        <v>2891</v>
      </c>
    </row>
    <row r="330" spans="1:16" ht="49.75" x14ac:dyDescent="0.3">
      <c r="A330" s="6" t="str">
        <f>HYPERLINK("https://www.ti.com/product/TPS62811-EP", "TPS62811-EP")</f>
        <v>TPS62811-EP</v>
      </c>
      <c r="B330" s="5" t="s">
        <v>2892</v>
      </c>
      <c r="C330" s="6" t="str">
        <f>HYPERLINK("https://www.ti.com/lit/gpn/TPS62811-EP", "PDF")</f>
        <v>PDF</v>
      </c>
      <c r="D330" s="5" t="s">
        <v>2893</v>
      </c>
      <c r="E330" s="5" t="s">
        <v>2894</v>
      </c>
      <c r="F330" s="5"/>
      <c r="G330" s="5" t="s">
        <v>2895</v>
      </c>
      <c r="H330" s="1" t="s">
        <v>2896</v>
      </c>
      <c r="I330" s="5" t="s">
        <v>2897</v>
      </c>
      <c r="J330" s="7">
        <v>9</v>
      </c>
      <c r="K330" s="7">
        <v>6</v>
      </c>
      <c r="L330" s="5" t="s">
        <v>2898</v>
      </c>
      <c r="M330" s="7">
        <v>1</v>
      </c>
      <c r="N330" s="7">
        <v>0.5</v>
      </c>
      <c r="O330" s="7">
        <v>2.59</v>
      </c>
      <c r="P330" s="1" t="s">
        <v>2899</v>
      </c>
    </row>
    <row r="331" spans="1:16" ht="49.75" x14ac:dyDescent="0.3">
      <c r="A331" s="6" t="str">
        <f>HYPERLINK("https://www.ti.com/product/TPS62812-EP", "TPS62812-EP")</f>
        <v>TPS62812-EP</v>
      </c>
      <c r="B331" s="5" t="s">
        <v>2900</v>
      </c>
      <c r="C331" s="6" t="str">
        <f>HYPERLINK("https://www.ti.com/lit/gpn/TPS62812-EP", "PDF")</f>
        <v>PDF</v>
      </c>
      <c r="D331" s="5" t="s">
        <v>2901</v>
      </c>
      <c r="E331" s="5" t="s">
        <v>2902</v>
      </c>
      <c r="F331" s="5"/>
      <c r="G331" s="5" t="s">
        <v>2903</v>
      </c>
      <c r="H331" s="1" t="s">
        <v>2904</v>
      </c>
      <c r="I331" s="5" t="s">
        <v>2905</v>
      </c>
      <c r="J331" s="7">
        <v>9</v>
      </c>
      <c r="K331" s="7">
        <v>6</v>
      </c>
      <c r="L331" s="5" t="s">
        <v>2906</v>
      </c>
      <c r="M331" s="7">
        <v>1</v>
      </c>
      <c r="N331" s="7">
        <v>0.5</v>
      </c>
      <c r="O331" s="7">
        <v>3.3580000000000001</v>
      </c>
      <c r="P331" s="1" t="s">
        <v>2907</v>
      </c>
    </row>
    <row r="332" spans="1:16" ht="49.75" x14ac:dyDescent="0.3">
      <c r="A332" s="6" t="str">
        <f>HYPERLINK("https://www.ti.com/product/TPS62813-EP", "TPS62813-EP")</f>
        <v>TPS62813-EP</v>
      </c>
      <c r="B332" s="5" t="s">
        <v>2908</v>
      </c>
      <c r="C332" s="6" t="str">
        <f>HYPERLINK("https://www.ti.com/lit/gpn/TPS62813-EP", "PDF")</f>
        <v>PDF</v>
      </c>
      <c r="D332" s="5" t="s">
        <v>2909</v>
      </c>
      <c r="E332" s="5" t="s">
        <v>2910</v>
      </c>
      <c r="F332" s="5"/>
      <c r="G332" s="5" t="s">
        <v>2911</v>
      </c>
      <c r="H332" s="1" t="s">
        <v>2912</v>
      </c>
      <c r="I332" s="5" t="s">
        <v>2913</v>
      </c>
      <c r="J332" s="7">
        <v>9</v>
      </c>
      <c r="K332" s="7">
        <v>6</v>
      </c>
      <c r="L332" s="5" t="s">
        <v>2914</v>
      </c>
      <c r="M332" s="7">
        <v>1</v>
      </c>
      <c r="N332" s="7">
        <v>0.5</v>
      </c>
      <c r="O332" s="7">
        <v>3.726</v>
      </c>
      <c r="P332" s="1" t="s">
        <v>2915</v>
      </c>
    </row>
    <row r="333" spans="1:16" ht="49.75" x14ac:dyDescent="0.3">
      <c r="A333" s="6" t="str">
        <f>HYPERLINK("https://www.ti.com/product/LMG2100R026", "LMG2100R026")</f>
        <v>LMG2100R026</v>
      </c>
      <c r="B333" s="5" t="s">
        <v>2916</v>
      </c>
      <c r="C333" s="6" t="str">
        <f>HYPERLINK("https://www.ti.com/lit/gpn/LMG2100R026", "PDF")</f>
        <v>PDF</v>
      </c>
      <c r="D333" s="5" t="s">
        <v>2917</v>
      </c>
      <c r="E333" s="5" t="s">
        <v>2918</v>
      </c>
      <c r="F333" s="5"/>
      <c r="G333" s="5" t="s">
        <v>2919</v>
      </c>
      <c r="H333" s="1" t="s">
        <v>2920</v>
      </c>
      <c r="I333" s="5" t="s">
        <v>2921</v>
      </c>
      <c r="J333" s="7" t="s">
        <v>2922</v>
      </c>
      <c r="K333" s="7" t="s">
        <v>2923</v>
      </c>
      <c r="L333" s="5" t="s">
        <v>2924</v>
      </c>
      <c r="M333" s="7" t="s">
        <v>2925</v>
      </c>
      <c r="N333" s="7" t="s">
        <v>2926</v>
      </c>
      <c r="O333" s="7">
        <v>4.75</v>
      </c>
      <c r="P333" s="1" t="s">
        <v>2927</v>
      </c>
    </row>
    <row r="334" spans="1:16" ht="66.150000000000006" x14ac:dyDescent="0.3">
      <c r="A334" s="6" t="str">
        <f>HYPERLINK("https://www.ti.com/product/TPS6287B30", "TPS6287B30")</f>
        <v>TPS6287B30</v>
      </c>
      <c r="B334" s="5" t="s">
        <v>2928</v>
      </c>
      <c r="C334" s="6" t="str">
        <f>HYPERLINK("https://www.ti.com/lit/gpn/TPS6287B30", "PDF")</f>
        <v>PDF</v>
      </c>
      <c r="D334" s="5" t="s">
        <v>2929</v>
      </c>
      <c r="E334" s="5" t="s">
        <v>2930</v>
      </c>
      <c r="F334" s="5" t="s">
        <v>2931</v>
      </c>
      <c r="G334" s="5" t="s">
        <v>2932</v>
      </c>
      <c r="H334" s="1" t="s">
        <v>2933</v>
      </c>
      <c r="I334" s="5" t="s">
        <v>2934</v>
      </c>
      <c r="J334" s="7">
        <v>24</v>
      </c>
      <c r="K334" s="7">
        <v>12.352499999999999</v>
      </c>
      <c r="L334" s="5" t="s">
        <v>2935</v>
      </c>
      <c r="M334" s="7">
        <v>0.7</v>
      </c>
      <c r="N334" s="7">
        <v>0.5</v>
      </c>
      <c r="O334" s="7">
        <v>2.8519999999999999</v>
      </c>
      <c r="P334" s="1" t="s">
        <v>2936</v>
      </c>
    </row>
    <row r="335" spans="1:16" ht="49.75" x14ac:dyDescent="0.3">
      <c r="A335" s="6" t="str">
        <f>HYPERLINK("https://www.ti.com/product/TPSM8287A12M", "TPSM8287A12M")</f>
        <v>TPSM8287A12M</v>
      </c>
      <c r="B335" s="5" t="s">
        <v>2937</v>
      </c>
      <c r="C335" s="6" t="str">
        <f>HYPERLINK("https://www.ti.com/lit/gpn/TPSM8287A12M", "PDF")</f>
        <v>PDF</v>
      </c>
      <c r="D335" s="5" t="s">
        <v>2938</v>
      </c>
      <c r="E335" s="5" t="s">
        <v>2939</v>
      </c>
      <c r="F335" s="5" t="s">
        <v>2940</v>
      </c>
      <c r="G335" s="5" t="s">
        <v>2941</v>
      </c>
      <c r="H335" s="1" t="s">
        <v>2942</v>
      </c>
      <c r="I335" s="5" t="s">
        <v>2943</v>
      </c>
      <c r="J335" s="7">
        <v>39</v>
      </c>
      <c r="K335" s="7">
        <v>30.6</v>
      </c>
      <c r="L335" s="5" t="s">
        <v>2944</v>
      </c>
      <c r="M335" s="7">
        <v>1.8</v>
      </c>
      <c r="N335" s="7">
        <v>0.5</v>
      </c>
      <c r="O335" s="7">
        <v>14.49</v>
      </c>
      <c r="P335" s="1" t="s">
        <v>2945</v>
      </c>
    </row>
    <row r="336" spans="1:16" ht="49.75" x14ac:dyDescent="0.3">
      <c r="A336" s="6" t="str">
        <f>HYPERLINK("https://www.ti.com/product/TPSM8287A15M", "TPSM8287A15M")</f>
        <v>TPSM8287A15M</v>
      </c>
      <c r="B336" s="5" t="s">
        <v>2946</v>
      </c>
      <c r="C336" s="6" t="str">
        <f>HYPERLINK("https://www.ti.com/lit/gpn/TPSM8287A15M", "PDF")</f>
        <v>PDF</v>
      </c>
      <c r="D336" s="5" t="s">
        <v>2947</v>
      </c>
      <c r="E336" s="5" t="s">
        <v>2948</v>
      </c>
      <c r="F336" s="5" t="s">
        <v>2949</v>
      </c>
      <c r="G336" s="5" t="s">
        <v>2950</v>
      </c>
      <c r="H336" s="1" t="s">
        <v>2951</v>
      </c>
      <c r="I336" s="5" t="s">
        <v>2952</v>
      </c>
      <c r="J336" s="7">
        <v>39</v>
      </c>
      <c r="K336" s="7">
        <v>30.6</v>
      </c>
      <c r="L336" s="5" t="s">
        <v>2953</v>
      </c>
      <c r="M336" s="7">
        <v>4</v>
      </c>
      <c r="N336" s="7">
        <v>0.5</v>
      </c>
      <c r="O336" s="7">
        <v>20.286000000000001</v>
      </c>
      <c r="P336" s="1" t="s">
        <v>2954</v>
      </c>
    </row>
    <row r="337" spans="1:16" ht="49.75" x14ac:dyDescent="0.3">
      <c r="A337" s="6" t="str">
        <f>HYPERLINK("https://www.ti.com/product/TPS62A04AB", "TPS62A04AB")</f>
        <v>TPS62A04AB</v>
      </c>
      <c r="B337" s="5" t="s">
        <v>2955</v>
      </c>
      <c r="C337" s="6" t="str">
        <f>HYPERLINK("https://www.ti.com/lit/gpn/TPS62A04AB", "PDF")</f>
        <v>PDF</v>
      </c>
      <c r="D337" s="5" t="s">
        <v>2956</v>
      </c>
      <c r="E337" s="5" t="s">
        <v>2957</v>
      </c>
      <c r="F337" s="5" t="s">
        <v>2958</v>
      </c>
      <c r="G337" s="5" t="s">
        <v>2959</v>
      </c>
      <c r="H337" s="1" t="s">
        <v>2960</v>
      </c>
      <c r="I337" s="5" t="s">
        <v>2961</v>
      </c>
      <c r="J337" s="7">
        <v>6</v>
      </c>
      <c r="K337" s="7">
        <v>2.56</v>
      </c>
      <c r="L337" s="5" t="s">
        <v>2962</v>
      </c>
      <c r="M337" s="7">
        <v>0.6</v>
      </c>
      <c r="N337" s="7">
        <v>0.5</v>
      </c>
      <c r="O337" s="7">
        <v>0.161</v>
      </c>
      <c r="P337" s="1" t="s">
        <v>2963</v>
      </c>
    </row>
    <row r="338" spans="1:16" ht="49.75" x14ac:dyDescent="0.3">
      <c r="A338" s="6" t="str">
        <f>HYPERLINK("https://www.ti.com/product/TPS62A04B", "TPS62A04B")</f>
        <v>TPS62A04B</v>
      </c>
      <c r="B338" s="5" t="s">
        <v>2964</v>
      </c>
      <c r="C338" s="6" t="str">
        <f>HYPERLINK("https://www.ti.com/lit/gpn/TPS62A04B", "PDF")</f>
        <v>PDF</v>
      </c>
      <c r="D338" s="5" t="s">
        <v>2965</v>
      </c>
      <c r="E338" s="5" t="s">
        <v>2966</v>
      </c>
      <c r="F338" s="5" t="s">
        <v>2967</v>
      </c>
      <c r="G338" s="5" t="s">
        <v>2968</v>
      </c>
      <c r="H338" s="1" t="s">
        <v>2969</v>
      </c>
      <c r="I338" s="5" t="s">
        <v>2970</v>
      </c>
      <c r="J338" s="7">
        <v>6</v>
      </c>
      <c r="K338" s="7">
        <v>2.56</v>
      </c>
      <c r="L338" s="5" t="s">
        <v>2971</v>
      </c>
      <c r="M338" s="7">
        <v>0.6</v>
      </c>
      <c r="N338" s="7">
        <v>0.5</v>
      </c>
      <c r="O338" s="7">
        <v>0.161</v>
      </c>
      <c r="P338" s="1" t="s">
        <v>2972</v>
      </c>
    </row>
    <row r="339" spans="1:16" ht="33.4" x14ac:dyDescent="0.3">
      <c r="A339" s="6" t="str">
        <f>HYPERLINK("https://www.ti.com/product/TPS26750", "TPS26750")</f>
        <v>TPS26750</v>
      </c>
      <c r="B339" s="5" t="s">
        <v>2973</v>
      </c>
      <c r="C339" s="6" t="str">
        <f>HYPERLINK("https://www.ti.com/lit/gpn/TPS26750", "PDF")</f>
        <v>PDF</v>
      </c>
      <c r="D339" s="5" t="s">
        <v>2974</v>
      </c>
      <c r="E339" s="5" t="s">
        <v>2975</v>
      </c>
      <c r="F339" s="5"/>
      <c r="G339" s="5" t="s">
        <v>2976</v>
      </c>
      <c r="H339" s="1" t="s">
        <v>2977</v>
      </c>
      <c r="I339" s="5" t="s">
        <v>2978</v>
      </c>
      <c r="J339" s="7">
        <v>32</v>
      </c>
      <c r="K339" s="7">
        <v>16</v>
      </c>
      <c r="L339" s="5" t="s">
        <v>2979</v>
      </c>
      <c r="M339" s="7">
        <v>1</v>
      </c>
      <c r="N339" s="7">
        <v>0.4</v>
      </c>
      <c r="O339" s="7">
        <v>1.208</v>
      </c>
      <c r="P339" s="1" t="s">
        <v>2980</v>
      </c>
    </row>
    <row r="340" spans="1:16" ht="33.4" x14ac:dyDescent="0.3">
      <c r="A340" s="6" t="str">
        <f>HYPERLINK("https://www.ti.com/product/TPS1213-Q1", "TPS1213-Q1")</f>
        <v>TPS1213-Q1</v>
      </c>
      <c r="B340" s="5" t="s">
        <v>2981</v>
      </c>
      <c r="C340" s="6" t="str">
        <f>HYPERLINK("https://www.ti.com/lit/gpn/TPS1213-Q1", "PDF")</f>
        <v>PDF</v>
      </c>
      <c r="D340" s="5" t="s">
        <v>2982</v>
      </c>
      <c r="E340" s="5" t="s">
        <v>2983</v>
      </c>
      <c r="F340" s="5"/>
      <c r="G340" s="5" t="s">
        <v>2984</v>
      </c>
      <c r="H340" s="1" t="s">
        <v>2985</v>
      </c>
      <c r="I340" s="5" t="s">
        <v>2986</v>
      </c>
      <c r="J340" s="7">
        <v>19</v>
      </c>
      <c r="K340" s="7">
        <v>15.3</v>
      </c>
      <c r="L340" s="5" t="s">
        <v>2987</v>
      </c>
      <c r="M340" s="7">
        <v>0.95</v>
      </c>
      <c r="N340" s="7">
        <v>0.5</v>
      </c>
      <c r="O340" s="7">
        <v>1.6439999999999999</v>
      </c>
      <c r="P340" s="1" t="s">
        <v>2988</v>
      </c>
    </row>
    <row r="341" spans="1:16" ht="33.4" x14ac:dyDescent="0.3">
      <c r="A341" s="6" t="str">
        <f>HYPERLINK("https://www.ti.com/product/TPS7H1121-SP", "TPS7H1121-SP")</f>
        <v>TPS7H1121-SP</v>
      </c>
      <c r="B341" s="5" t="s">
        <v>2989</v>
      </c>
      <c r="C341" s="6" t="str">
        <f>HYPERLINK("https://www.ti.com/lit/gpn/TPS7H1121-SP", "PDF")</f>
        <v>PDF</v>
      </c>
      <c r="D341" s="5" t="s">
        <v>2990</v>
      </c>
      <c r="E341" s="5" t="s">
        <v>2991</v>
      </c>
      <c r="F341" s="5"/>
      <c r="G341" s="5" t="s">
        <v>2992</v>
      </c>
      <c r="H341" s="1" t="s">
        <v>2993</v>
      </c>
      <c r="I341" s="5" t="s">
        <v>2994</v>
      </c>
      <c r="J341" s="7">
        <v>22</v>
      </c>
      <c r="K341" s="7">
        <v>60.221856000000002</v>
      </c>
      <c r="L341" s="5" t="s">
        <v>2995</v>
      </c>
      <c r="M341" s="7">
        <v>2.4279999999999999</v>
      </c>
      <c r="N341" s="7">
        <v>0.63500000000000001</v>
      </c>
      <c r="O341" s="7">
        <v>711.11400000000003</v>
      </c>
      <c r="P341" s="1" t="s">
        <v>2996</v>
      </c>
    </row>
    <row r="342" spans="1:16" ht="33.4" x14ac:dyDescent="0.3">
      <c r="A342" s="6" t="str">
        <f>HYPERLINK("https://www.ti.com/product/LM704A0-Q1", "LM704A0-Q1")</f>
        <v>LM704A0-Q1</v>
      </c>
      <c r="B342" s="5" t="s">
        <v>2997</v>
      </c>
      <c r="C342" s="6" t="str">
        <f>HYPERLINK("https://www.ti.com/lit/gpn/LM704A0-Q1", "PDF")</f>
        <v>PDF</v>
      </c>
      <c r="D342" s="5" t="s">
        <v>2998</v>
      </c>
      <c r="E342" s="5" t="s">
        <v>2999</v>
      </c>
      <c r="F342" s="5" t="s">
        <v>3000</v>
      </c>
      <c r="G342" s="5" t="s">
        <v>3001</v>
      </c>
      <c r="H342" s="1" t="s">
        <v>3002</v>
      </c>
      <c r="I342" s="5" t="s">
        <v>3003</v>
      </c>
      <c r="J342" s="7">
        <v>29</v>
      </c>
      <c r="K342" s="7">
        <v>36</v>
      </c>
      <c r="L342" s="5" t="s">
        <v>3004</v>
      </c>
      <c r="M342" s="7">
        <v>1</v>
      </c>
      <c r="N342" s="7">
        <v>0.5</v>
      </c>
      <c r="O342" s="7">
        <v>2.8180000000000001</v>
      </c>
      <c r="P342" s="1" t="s">
        <v>3005</v>
      </c>
    </row>
    <row r="343" spans="1:16" ht="33.4" x14ac:dyDescent="0.3">
      <c r="A343" s="6" t="str">
        <f>HYPERLINK("https://www.ti.com/product/LM70660", "LM70660")</f>
        <v>LM70660</v>
      </c>
      <c r="B343" s="5" t="s">
        <v>3006</v>
      </c>
      <c r="C343" s="6" t="str">
        <f>HYPERLINK("https://www.ti.com/lit/gpn/LM70660", "PDF")</f>
        <v>PDF</v>
      </c>
      <c r="D343" s="5" t="s">
        <v>3007</v>
      </c>
      <c r="E343" s="5" t="s">
        <v>3008</v>
      </c>
      <c r="F343" s="5" t="s">
        <v>3009</v>
      </c>
      <c r="G343" s="5" t="s">
        <v>3010</v>
      </c>
      <c r="H343" s="1" t="s">
        <v>3011</v>
      </c>
      <c r="I343" s="5" t="s">
        <v>3012</v>
      </c>
      <c r="J343" s="7">
        <v>29</v>
      </c>
      <c r="K343" s="7">
        <v>36</v>
      </c>
      <c r="L343" s="5" t="s">
        <v>3013</v>
      </c>
      <c r="M343" s="7">
        <v>1</v>
      </c>
      <c r="N343" s="7">
        <v>0.5</v>
      </c>
      <c r="O343" s="7">
        <v>2.5819999999999999</v>
      </c>
      <c r="P343" s="1" t="s">
        <v>3014</v>
      </c>
    </row>
    <row r="344" spans="1:16" ht="33.4" x14ac:dyDescent="0.3">
      <c r="A344" s="6" t="str">
        <f>HYPERLINK("https://www.ti.com/product/LM706A0", "LM706A0")</f>
        <v>LM706A0</v>
      </c>
      <c r="B344" s="5" t="s">
        <v>3015</v>
      </c>
      <c r="C344" s="6" t="str">
        <f>HYPERLINK("https://www.ti.com/lit/gpn/LM706A0", "PDF")</f>
        <v>PDF</v>
      </c>
      <c r="D344" s="5" t="s">
        <v>3016</v>
      </c>
      <c r="E344" s="5" t="s">
        <v>3017</v>
      </c>
      <c r="F344" s="5" t="s">
        <v>3018</v>
      </c>
      <c r="G344" s="5" t="s">
        <v>3019</v>
      </c>
      <c r="H344" s="1" t="s">
        <v>3020</v>
      </c>
      <c r="I344" s="5" t="s">
        <v>3021</v>
      </c>
      <c r="J344" s="7">
        <v>29</v>
      </c>
      <c r="K344" s="7">
        <v>36</v>
      </c>
      <c r="L344" s="5" t="s">
        <v>3022</v>
      </c>
      <c r="M344" s="7">
        <v>1</v>
      </c>
      <c r="N344" s="7">
        <v>0.5</v>
      </c>
      <c r="O344" s="7">
        <v>2.9889999999999999</v>
      </c>
      <c r="P344" s="1" t="s">
        <v>3023</v>
      </c>
    </row>
    <row r="345" spans="1:16" ht="33.4" x14ac:dyDescent="0.3">
      <c r="A345" s="6" t="str">
        <f>HYPERLINK("https://www.ti.com/product/LM706A0-Q1", "LM706A0-Q1")</f>
        <v>LM706A0-Q1</v>
      </c>
      <c r="B345" s="5" t="s">
        <v>3024</v>
      </c>
      <c r="C345" s="6" t="str">
        <f>HYPERLINK("https://www.ti.com/lit/gpn/LM706A0-Q1", "PDF")</f>
        <v>PDF</v>
      </c>
      <c r="D345" s="5" t="s">
        <v>3025</v>
      </c>
      <c r="E345" s="5" t="s">
        <v>3026</v>
      </c>
      <c r="F345" s="5" t="s">
        <v>3027</v>
      </c>
      <c r="G345" s="5" t="s">
        <v>3028</v>
      </c>
      <c r="H345" s="1" t="s">
        <v>3029</v>
      </c>
      <c r="I345" s="5" t="s">
        <v>3030</v>
      </c>
      <c r="J345" s="7">
        <v>29</v>
      </c>
      <c r="K345" s="7">
        <v>36</v>
      </c>
      <c r="L345" s="5" t="s">
        <v>3031</v>
      </c>
      <c r="M345" s="7">
        <v>1</v>
      </c>
      <c r="N345" s="7">
        <v>0.5</v>
      </c>
      <c r="O345" s="7">
        <v>3.3809999999999998</v>
      </c>
      <c r="P345" s="1" t="s">
        <v>3032</v>
      </c>
    </row>
    <row r="346" spans="1:16" ht="33.4" x14ac:dyDescent="0.3">
      <c r="A346" s="6" t="str">
        <f>HYPERLINK("https://www.ti.com/product/LM70840", "LM70840")</f>
        <v>LM70840</v>
      </c>
      <c r="B346" s="5" t="s">
        <v>3033</v>
      </c>
      <c r="C346" s="6" t="str">
        <f>HYPERLINK("https://www.ti.com/lit/gpn/LM70840", "PDF")</f>
        <v>PDF</v>
      </c>
      <c r="D346" s="5" t="s">
        <v>3034</v>
      </c>
      <c r="E346" s="5" t="s">
        <v>3035</v>
      </c>
      <c r="F346" s="5" t="s">
        <v>3036</v>
      </c>
      <c r="G346" s="5" t="s">
        <v>3037</v>
      </c>
      <c r="H346" s="1" t="s">
        <v>3038</v>
      </c>
      <c r="I346" s="5" t="s">
        <v>3039</v>
      </c>
      <c r="J346" s="7">
        <v>29</v>
      </c>
      <c r="K346" s="7">
        <v>36</v>
      </c>
      <c r="L346" s="5" t="s">
        <v>3040</v>
      </c>
      <c r="M346" s="7">
        <v>1</v>
      </c>
      <c r="N346" s="7">
        <v>0.5</v>
      </c>
      <c r="O346" s="7">
        <v>2.7240000000000002</v>
      </c>
      <c r="P346" s="1" t="s">
        <v>3041</v>
      </c>
    </row>
    <row r="347" spans="1:16" ht="33.4" x14ac:dyDescent="0.3">
      <c r="A347" s="6" t="str">
        <f>HYPERLINK("https://www.ti.com/product/LM70860", "LM70860")</f>
        <v>LM70860</v>
      </c>
      <c r="B347" s="5" t="s">
        <v>3042</v>
      </c>
      <c r="C347" s="6" t="str">
        <f>HYPERLINK("https://www.ti.com/lit/gpn/LM70860", "PDF")</f>
        <v>PDF</v>
      </c>
      <c r="D347" s="5" t="s">
        <v>3043</v>
      </c>
      <c r="E347" s="5" t="s">
        <v>3044</v>
      </c>
      <c r="F347" s="5" t="s">
        <v>3045</v>
      </c>
      <c r="G347" s="5" t="s">
        <v>3046</v>
      </c>
      <c r="H347" s="1" t="s">
        <v>3047</v>
      </c>
      <c r="I347" s="5" t="s">
        <v>3048</v>
      </c>
      <c r="J347" s="7">
        <v>29</v>
      </c>
      <c r="K347" s="7">
        <v>36</v>
      </c>
      <c r="L347" s="5" t="s">
        <v>3049</v>
      </c>
      <c r="M347" s="7">
        <v>1</v>
      </c>
      <c r="N347" s="7">
        <v>0.5</v>
      </c>
      <c r="O347" s="7">
        <v>2.86</v>
      </c>
      <c r="P347" s="1" t="s">
        <v>3050</v>
      </c>
    </row>
    <row r="348" spans="1:16" ht="33.4" x14ac:dyDescent="0.3">
      <c r="A348" s="6" t="str">
        <f>HYPERLINK("https://www.ti.com/product/LM70880", "LM70880")</f>
        <v>LM70880</v>
      </c>
      <c r="B348" s="5" t="s">
        <v>3051</v>
      </c>
      <c r="C348" s="6" t="str">
        <f>HYPERLINK("https://www.ti.com/lit/gpn/LM70880", "PDF")</f>
        <v>PDF</v>
      </c>
      <c r="D348" s="5" t="s">
        <v>3052</v>
      </c>
      <c r="E348" s="5" t="s">
        <v>3053</v>
      </c>
      <c r="F348" s="5" t="s">
        <v>3054</v>
      </c>
      <c r="G348" s="5" t="s">
        <v>3055</v>
      </c>
      <c r="H348" s="1" t="s">
        <v>3056</v>
      </c>
      <c r="I348" s="5" t="s">
        <v>3057</v>
      </c>
      <c r="J348" s="7">
        <v>29</v>
      </c>
      <c r="K348" s="7">
        <v>36</v>
      </c>
      <c r="L348" s="5" t="s">
        <v>3058</v>
      </c>
      <c r="M348" s="7">
        <v>1</v>
      </c>
      <c r="N348" s="7">
        <v>0.5</v>
      </c>
      <c r="O348" s="7">
        <v>3.0739999999999998</v>
      </c>
      <c r="P348" s="1" t="s">
        <v>3059</v>
      </c>
    </row>
    <row r="349" spans="1:16" ht="33.4" x14ac:dyDescent="0.3">
      <c r="A349" s="6" t="str">
        <f>HYPERLINK("https://www.ti.com/product/LMR51425", "LMR51425")</f>
        <v>LMR51425</v>
      </c>
      <c r="B349" s="5" t="s">
        <v>3060</v>
      </c>
      <c r="C349" s="6" t="str">
        <f>HYPERLINK("https://www.ti.com/lit/gpn/LMR51425", "PDF")</f>
        <v>PDF</v>
      </c>
      <c r="D349" s="5" t="s">
        <v>3061</v>
      </c>
      <c r="E349" s="5" t="s">
        <v>3062</v>
      </c>
      <c r="F349" s="5" t="s">
        <v>3063</v>
      </c>
      <c r="G349" s="5" t="s">
        <v>3064</v>
      </c>
      <c r="H349" s="1" t="s">
        <v>3065</v>
      </c>
      <c r="I349" s="5" t="s">
        <v>3066</v>
      </c>
      <c r="J349" s="7">
        <v>12</v>
      </c>
      <c r="K349" s="7">
        <v>9</v>
      </c>
      <c r="L349" s="5" t="s">
        <v>3067</v>
      </c>
      <c r="M349" s="7">
        <v>0.8</v>
      </c>
      <c r="N349" s="7">
        <v>0.5</v>
      </c>
      <c r="O349" s="7">
        <v>0.63300000000000001</v>
      </c>
      <c r="P349" s="1" t="s">
        <v>3068</v>
      </c>
    </row>
    <row r="350" spans="1:16" ht="33.4" x14ac:dyDescent="0.3">
      <c r="A350" s="6" t="str">
        <f>HYPERLINK("https://www.ti.com/product/LMR51425-Q1", "LMR51425-Q1")</f>
        <v>LMR51425-Q1</v>
      </c>
      <c r="B350" s="5" t="s">
        <v>3069</v>
      </c>
      <c r="C350" s="6" t="str">
        <f>HYPERLINK("https://www.ti.com/lit/gpn/LMR51425-Q1", "PDF")</f>
        <v>PDF</v>
      </c>
      <c r="D350" s="5" t="s">
        <v>3070</v>
      </c>
      <c r="E350" s="5" t="s">
        <v>3071</v>
      </c>
      <c r="F350" s="5" t="s">
        <v>3072</v>
      </c>
      <c r="G350" s="5" t="s">
        <v>3073</v>
      </c>
      <c r="H350" s="1" t="s">
        <v>3074</v>
      </c>
      <c r="I350" s="5" t="s">
        <v>3075</v>
      </c>
      <c r="J350" s="7">
        <v>12</v>
      </c>
      <c r="K350" s="7">
        <v>9</v>
      </c>
      <c r="L350" s="5" t="s">
        <v>3076</v>
      </c>
      <c r="M350" s="7">
        <v>0.8</v>
      </c>
      <c r="N350" s="7">
        <v>0.5</v>
      </c>
      <c r="O350" s="7">
        <v>0.748</v>
      </c>
      <c r="P350" s="1" t="s">
        <v>3077</v>
      </c>
    </row>
    <row r="351" spans="1:16" ht="33.4" x14ac:dyDescent="0.3">
      <c r="A351" s="6" t="str">
        <f>HYPERLINK("https://www.ti.com/product/LMR51435", "LMR51435")</f>
        <v>LMR51435</v>
      </c>
      <c r="B351" s="5" t="s">
        <v>3078</v>
      </c>
      <c r="C351" s="6" t="str">
        <f>HYPERLINK("https://www.ti.com/lit/gpn/LMR51435", "PDF")</f>
        <v>PDF</v>
      </c>
      <c r="D351" s="5" t="s">
        <v>3079</v>
      </c>
      <c r="E351" s="5" t="s">
        <v>3080</v>
      </c>
      <c r="F351" s="5" t="s">
        <v>3081</v>
      </c>
      <c r="G351" s="5" t="s">
        <v>3082</v>
      </c>
      <c r="H351" s="1" t="s">
        <v>3083</v>
      </c>
      <c r="I351" s="5" t="s">
        <v>3084</v>
      </c>
      <c r="J351" s="7">
        <v>12</v>
      </c>
      <c r="K351" s="7">
        <v>9</v>
      </c>
      <c r="L351" s="5" t="s">
        <v>3085</v>
      </c>
      <c r="M351" s="7">
        <v>0.8</v>
      </c>
      <c r="N351" s="7">
        <v>0.5</v>
      </c>
      <c r="O351" s="7">
        <v>0.64400000000000002</v>
      </c>
      <c r="P351" s="1" t="s">
        <v>3086</v>
      </c>
    </row>
    <row r="352" spans="1:16" ht="33.4" x14ac:dyDescent="0.3">
      <c r="A352" s="6" t="str">
        <f>HYPERLINK("https://www.ti.com/product/LMR51435-Q1", "LMR51435-Q1")</f>
        <v>LMR51435-Q1</v>
      </c>
      <c r="B352" s="5" t="s">
        <v>3087</v>
      </c>
      <c r="C352" s="6" t="str">
        <f>HYPERLINK("https://www.ti.com/lit/gpn/LMR51435-Q1", "PDF")</f>
        <v>PDF</v>
      </c>
      <c r="D352" s="5" t="s">
        <v>3088</v>
      </c>
      <c r="E352" s="5" t="s">
        <v>3089</v>
      </c>
      <c r="F352" s="5" t="s">
        <v>3090</v>
      </c>
      <c r="G352" s="5" t="s">
        <v>3091</v>
      </c>
      <c r="H352" s="1" t="s">
        <v>3092</v>
      </c>
      <c r="I352" s="5" t="s">
        <v>3093</v>
      </c>
      <c r="J352" s="7">
        <v>12</v>
      </c>
      <c r="K352" s="7">
        <v>9</v>
      </c>
      <c r="L352" s="5" t="s">
        <v>3094</v>
      </c>
      <c r="M352" s="7">
        <v>0.8</v>
      </c>
      <c r="N352" s="7">
        <v>0.5</v>
      </c>
      <c r="O352" s="7">
        <v>0.75900000000000001</v>
      </c>
      <c r="P352" s="1" t="s">
        <v>3095</v>
      </c>
    </row>
    <row r="353" spans="1:16" ht="49.75" x14ac:dyDescent="0.3">
      <c r="A353" s="6" t="str">
        <f>HYPERLINK("https://www.ti.com/product/LMR66430-EP", "LMR66430-EP")</f>
        <v>LMR66430-EP</v>
      </c>
      <c r="B353" s="5" t="s">
        <v>3096</v>
      </c>
      <c r="C353" s="6" t="str">
        <f>HYPERLINK("https://www.ti.com/lit/gpn/LMR66430-EP", "PDF")</f>
        <v>PDF</v>
      </c>
      <c r="D353" s="5" t="s">
        <v>3097</v>
      </c>
      <c r="E353" s="5" t="s">
        <v>3098</v>
      </c>
      <c r="F353" s="5" t="s">
        <v>3099</v>
      </c>
      <c r="G353" s="5" t="s">
        <v>3100</v>
      </c>
      <c r="H353" s="1" t="s">
        <v>3101</v>
      </c>
      <c r="I353" s="5" t="s">
        <v>3102</v>
      </c>
      <c r="J353" s="7">
        <v>14</v>
      </c>
      <c r="K353" s="7">
        <v>6.76</v>
      </c>
      <c r="L353" s="5" t="s">
        <v>3103</v>
      </c>
      <c r="M353" s="7">
        <v>1.05</v>
      </c>
      <c r="N353" s="7">
        <v>0.5</v>
      </c>
      <c r="O353" s="7">
        <v>8.6999999999999993</v>
      </c>
      <c r="P353" s="1" t="s">
        <v>3104</v>
      </c>
    </row>
    <row r="354" spans="1:16" ht="33.4" x14ac:dyDescent="0.3">
      <c r="A354" s="6" t="str">
        <f>HYPERLINK("https://www.ti.com/product/TPS7A20U", "TPS7A20U")</f>
        <v>TPS7A20U</v>
      </c>
      <c r="B354" s="5" t="s">
        <v>3105</v>
      </c>
      <c r="C354" s="6" t="str">
        <f>HYPERLINK("https://www.ti.com/lit/gpn/TPS7A20U", "PDF")</f>
        <v>PDF</v>
      </c>
      <c r="D354" s="5" t="s">
        <v>3106</v>
      </c>
      <c r="E354" s="5" t="s">
        <v>3107</v>
      </c>
      <c r="F354" s="5"/>
      <c r="G354" s="5" t="s">
        <v>3108</v>
      </c>
      <c r="H354" s="1" t="s">
        <v>3109</v>
      </c>
      <c r="I354" s="5" t="s">
        <v>3110</v>
      </c>
      <c r="J354" s="7">
        <v>4</v>
      </c>
      <c r="K354" s="7">
        <v>0.37945600000000002</v>
      </c>
      <c r="L354" s="5" t="s">
        <v>3111</v>
      </c>
      <c r="M354" s="7">
        <v>0.33</v>
      </c>
      <c r="N354" s="7">
        <v>0.35</v>
      </c>
      <c r="O354" s="7">
        <v>0.121</v>
      </c>
      <c r="P354" s="1" t="s">
        <v>3112</v>
      </c>
    </row>
    <row r="355" spans="1:16" ht="33.4" x14ac:dyDescent="0.3">
      <c r="A355" s="6" t="str">
        <f>HYPERLINK("https://www.ti.com/product/TPS92402", "TPS92402")</f>
        <v>TPS92402</v>
      </c>
      <c r="B355" s="5" t="s">
        <v>3113</v>
      </c>
      <c r="C355" s="6" t="str">
        <f>HYPERLINK("https://www.ti.com/lit/gpn/TPS92402", "PDF")</f>
        <v>PDF</v>
      </c>
      <c r="D355" s="5" t="s">
        <v>3114</v>
      </c>
      <c r="E355" s="5" t="s">
        <v>3115</v>
      </c>
      <c r="F355" s="5" t="s">
        <v>3116</v>
      </c>
      <c r="G355" s="5" t="s">
        <v>3117</v>
      </c>
      <c r="H355" s="1" t="s">
        <v>3118</v>
      </c>
      <c r="I355" s="5" t="s">
        <v>3119</v>
      </c>
      <c r="J355" s="7">
        <v>36</v>
      </c>
      <c r="K355" s="7">
        <v>30</v>
      </c>
      <c r="L355" s="5" t="s">
        <v>3120</v>
      </c>
      <c r="M355" s="7">
        <v>1</v>
      </c>
      <c r="N355" s="7">
        <v>0.5</v>
      </c>
      <c r="O355" s="7">
        <v>3.22</v>
      </c>
      <c r="P355" s="1" t="s">
        <v>3121</v>
      </c>
    </row>
    <row r="356" spans="1:16" ht="33.4" x14ac:dyDescent="0.3">
      <c r="A356" s="6" t="str">
        <f>HYPERLINK("https://www.ti.com/product/UCC57102", "UCC57102")</f>
        <v>UCC57102</v>
      </c>
      <c r="B356" s="5" t="s">
        <v>3122</v>
      </c>
      <c r="C356" s="6" t="str">
        <f>HYPERLINK("https://www.ti.com/lit/gpn/UCC57102", "PDF")</f>
        <v>PDF</v>
      </c>
      <c r="D356" s="5" t="s">
        <v>3123</v>
      </c>
      <c r="E356" s="5" t="s">
        <v>3124</v>
      </c>
      <c r="F356" s="5"/>
      <c r="G356" s="5" t="s">
        <v>3125</v>
      </c>
      <c r="H356" s="1" t="s">
        <v>3126</v>
      </c>
      <c r="I356" s="5" t="s">
        <v>3127</v>
      </c>
      <c r="J356" s="7">
        <v>8</v>
      </c>
      <c r="K356" s="7">
        <v>29.4</v>
      </c>
      <c r="L356" s="5" t="s">
        <v>3128</v>
      </c>
      <c r="M356" s="7">
        <v>1.75</v>
      </c>
      <c r="N356" s="7">
        <v>1.27</v>
      </c>
      <c r="O356" s="7">
        <v>0.63300000000000001</v>
      </c>
      <c r="P356" s="1" t="s">
        <v>3129</v>
      </c>
    </row>
    <row r="357" spans="1:16" ht="33.4" x14ac:dyDescent="0.3">
      <c r="A357" s="6" t="str">
        <f>HYPERLINK("https://www.ti.com/product/UCC57102-Q1", "UCC57102-Q1")</f>
        <v>UCC57102-Q1</v>
      </c>
      <c r="B357" s="5" t="s">
        <v>3130</v>
      </c>
      <c r="C357" s="6" t="str">
        <f>HYPERLINK("https://www.ti.com/lit/gpn/UCC57102-Q1", "PDF")</f>
        <v>PDF</v>
      </c>
      <c r="D357" s="5" t="s">
        <v>3131</v>
      </c>
      <c r="E357" s="5" t="s">
        <v>3132</v>
      </c>
      <c r="F357" s="5"/>
      <c r="G357" s="5" t="s">
        <v>3133</v>
      </c>
      <c r="H357" s="1" t="s">
        <v>3134</v>
      </c>
      <c r="I357" s="5" t="s">
        <v>3135</v>
      </c>
      <c r="J357" s="7">
        <v>8</v>
      </c>
      <c r="K357" s="7">
        <v>29.4</v>
      </c>
      <c r="L357" s="5" t="s">
        <v>3136</v>
      </c>
      <c r="M357" s="7">
        <v>1.75</v>
      </c>
      <c r="N357" s="7">
        <v>1.27</v>
      </c>
      <c r="O357" s="7">
        <v>0.63300000000000001</v>
      </c>
      <c r="P357" s="1" t="s">
        <v>3137</v>
      </c>
    </row>
    <row r="358" spans="1:16" ht="33.4" x14ac:dyDescent="0.3">
      <c r="A358" s="6" t="str">
        <f>HYPERLINK("https://www.ti.com/product/LMR51603-Q1", "LMR51603-Q1")</f>
        <v>LMR51603-Q1</v>
      </c>
      <c r="B358" s="5" t="s">
        <v>3138</v>
      </c>
      <c r="C358" s="6" t="str">
        <f>HYPERLINK("https://www.ti.com/lit/gpn/LMR51603-Q1", "PDF")</f>
        <v>PDF</v>
      </c>
      <c r="D358" s="5" t="s">
        <v>3139</v>
      </c>
      <c r="E358" s="5" t="s">
        <v>3140</v>
      </c>
      <c r="F358" s="5" t="s">
        <v>3141</v>
      </c>
      <c r="G358" s="5" t="s">
        <v>3142</v>
      </c>
      <c r="H358" s="1" t="s">
        <v>3143</v>
      </c>
      <c r="I358" s="5" t="s">
        <v>3144</v>
      </c>
      <c r="J358" s="7">
        <v>6</v>
      </c>
      <c r="K358" s="7">
        <v>8.1199999999999992</v>
      </c>
      <c r="L358" s="5" t="s">
        <v>3145</v>
      </c>
      <c r="M358" s="7">
        <v>1.45</v>
      </c>
      <c r="N358" s="7">
        <v>0.95</v>
      </c>
      <c r="O358" s="7">
        <v>0.40699999999999997</v>
      </c>
      <c r="P358" s="1" t="s">
        <v>3146</v>
      </c>
    </row>
    <row r="359" spans="1:16" ht="33.4" x14ac:dyDescent="0.3">
      <c r="A359" s="6" t="str">
        <f>HYPERLINK("https://www.ti.com/product/TPS3842", "TPS3842")</f>
        <v>TPS3842</v>
      </c>
      <c r="B359" s="5" t="s">
        <v>3147</v>
      </c>
      <c r="C359" s="6" t="str">
        <f>HYPERLINK("https://www.ti.com/lit/gpn/TPS3842", "PDF")</f>
        <v>PDF</v>
      </c>
      <c r="D359" s="5" t="s">
        <v>3148</v>
      </c>
      <c r="E359" s="5" t="s">
        <v>3149</v>
      </c>
      <c r="F359" s="5"/>
      <c r="G359" s="5" t="s">
        <v>3150</v>
      </c>
      <c r="H359" s="1" t="s">
        <v>3151</v>
      </c>
      <c r="I359" s="5" t="s">
        <v>3152</v>
      </c>
      <c r="J359" s="7">
        <v>6</v>
      </c>
      <c r="K359" s="7">
        <v>2.56</v>
      </c>
      <c r="L359" s="5" t="s">
        <v>3153</v>
      </c>
      <c r="M359" s="7">
        <v>0.6</v>
      </c>
      <c r="N359" s="7">
        <v>0.5</v>
      </c>
      <c r="O359" s="7">
        <v>0.59899999999999998</v>
      </c>
      <c r="P359" s="1" t="s">
        <v>3154</v>
      </c>
    </row>
    <row r="360" spans="1:16" ht="33.4" x14ac:dyDescent="0.3">
      <c r="A360" s="6" t="str">
        <f>HYPERLINK("https://www.ti.com/product/TPS3842-Q1", "TPS3842-Q1")</f>
        <v>TPS3842-Q1</v>
      </c>
      <c r="B360" s="5" t="s">
        <v>3155</v>
      </c>
      <c r="C360" s="6" t="str">
        <f>HYPERLINK("https://www.ti.com/lit/gpn/TPS3842-Q1", "PDF")</f>
        <v>PDF</v>
      </c>
      <c r="D360" s="5" t="s">
        <v>3156</v>
      </c>
      <c r="E360" s="5" t="s">
        <v>3157</v>
      </c>
      <c r="F360" s="5"/>
      <c r="G360" s="5" t="s">
        <v>3158</v>
      </c>
      <c r="H360" s="1" t="s">
        <v>3159</v>
      </c>
      <c r="I360" s="5" t="s">
        <v>3160</v>
      </c>
      <c r="J360" s="7">
        <v>6</v>
      </c>
      <c r="K360" s="7">
        <v>2.56</v>
      </c>
      <c r="L360" s="5" t="s">
        <v>3161</v>
      </c>
      <c r="M360" s="7">
        <v>0.6</v>
      </c>
      <c r="N360" s="7">
        <v>0.5</v>
      </c>
      <c r="O360" s="7">
        <v>0.70699999999999996</v>
      </c>
      <c r="P360" s="1" t="s">
        <v>3162</v>
      </c>
    </row>
    <row r="361" spans="1:16" ht="33.4" x14ac:dyDescent="0.3">
      <c r="A361" s="6" t="str">
        <f>HYPERLINK("https://www.ti.com/product/TPS544E27", "TPS544E27")</f>
        <v>TPS544E27</v>
      </c>
      <c r="B361" s="5" t="s">
        <v>3163</v>
      </c>
      <c r="C361" s="6" t="str">
        <f>HYPERLINK("https://www.ti.com/lit/gpn/TPS544E27", "PDF")</f>
        <v>PDF</v>
      </c>
      <c r="D361" s="5" t="s">
        <v>3164</v>
      </c>
      <c r="E361" s="5" t="s">
        <v>3165</v>
      </c>
      <c r="F361" s="5" t="s">
        <v>3166</v>
      </c>
      <c r="G361" s="5" t="s">
        <v>3167</v>
      </c>
      <c r="H361" s="1" t="s">
        <v>3168</v>
      </c>
      <c r="I361" s="5" t="s">
        <v>3169</v>
      </c>
      <c r="J361" s="7">
        <v>37</v>
      </c>
      <c r="K361" s="7">
        <v>30</v>
      </c>
      <c r="L361" s="5" t="s">
        <v>3170</v>
      </c>
      <c r="M361" s="7">
        <v>0.7</v>
      </c>
      <c r="N361" s="7">
        <v>0.5</v>
      </c>
      <c r="O361" s="7">
        <v>3.278</v>
      </c>
      <c r="P361" s="1" t="s">
        <v>3171</v>
      </c>
    </row>
    <row r="362" spans="1:16" ht="33.4" x14ac:dyDescent="0.3">
      <c r="A362" s="6" t="str">
        <f>HYPERLINK("https://www.ti.com/product/LMG3427R030", "LMG3427R030")</f>
        <v>LMG3427R030</v>
      </c>
      <c r="B362" s="5" t="s">
        <v>3172</v>
      </c>
      <c r="C362" s="6" t="str">
        <f>HYPERLINK("https://www.ti.com/lit/gpn/LMG3427R030", "PDF")</f>
        <v>PDF</v>
      </c>
      <c r="D362" s="5" t="s">
        <v>3173</v>
      </c>
      <c r="E362" s="5" t="s">
        <v>3174</v>
      </c>
      <c r="F362" s="5"/>
      <c r="G362" s="5" t="s">
        <v>3175</v>
      </c>
      <c r="H362" s="1" t="s">
        <v>3176</v>
      </c>
      <c r="I362" s="5" t="s">
        <v>3177</v>
      </c>
      <c r="J362" s="7">
        <v>54</v>
      </c>
      <c r="K362" s="7">
        <v>144</v>
      </c>
      <c r="L362" s="5" t="s">
        <v>3178</v>
      </c>
      <c r="M362" s="7">
        <v>1</v>
      </c>
      <c r="N362" s="7">
        <v>0.65</v>
      </c>
      <c r="O362" s="7">
        <v>8.9700000000000006</v>
      </c>
      <c r="P362" s="1" t="s">
        <v>3179</v>
      </c>
    </row>
    <row r="363" spans="1:16" ht="17.05" x14ac:dyDescent="0.3">
      <c r="A363" s="6" t="str">
        <f>HYPERLINK("https://www.ti.com/product/UCC27311A", "UCC27311A")</f>
        <v>UCC27311A</v>
      </c>
      <c r="B363" s="5" t="s">
        <v>3180</v>
      </c>
      <c r="C363" s="6" t="str">
        <f>HYPERLINK("https://www.ti.com/lit/gpn/UCC27311A", "PDF")</f>
        <v>PDF</v>
      </c>
      <c r="D363" s="5" t="s">
        <v>3181</v>
      </c>
      <c r="E363" s="5" t="s">
        <v>3182</v>
      </c>
      <c r="F363" s="5"/>
      <c r="G363" s="5" t="s">
        <v>3183</v>
      </c>
      <c r="H363" s="1" t="s">
        <v>3184</v>
      </c>
      <c r="I363" s="5" t="s">
        <v>3185</v>
      </c>
      <c r="J363" s="7">
        <v>10</v>
      </c>
      <c r="K363" s="7">
        <v>9</v>
      </c>
      <c r="L363" s="5" t="s">
        <v>3186</v>
      </c>
      <c r="M363" s="7">
        <v>1</v>
      </c>
      <c r="N363" s="7">
        <v>0.5</v>
      </c>
      <c r="O363" s="7">
        <v>0.79400000000000004</v>
      </c>
      <c r="P363" s="1" t="s">
        <v>3187</v>
      </c>
    </row>
    <row r="364" spans="1:16" ht="33.4" x14ac:dyDescent="0.3">
      <c r="A364" s="6" t="str">
        <f>HYPERLINK("https://www.ti.com/product/UCC27311A-Q1", "UCC27311A-Q1")</f>
        <v>UCC27311A-Q1</v>
      </c>
      <c r="B364" s="5" t="s">
        <v>3188</v>
      </c>
      <c r="C364" s="6" t="str">
        <f>HYPERLINK("https://www.ti.com/lit/gpn/UCC27311A-Q1", "PDF")</f>
        <v>PDF</v>
      </c>
      <c r="D364" s="5" t="s">
        <v>3189</v>
      </c>
      <c r="E364" s="5" t="s">
        <v>3190</v>
      </c>
      <c r="F364" s="5"/>
      <c r="G364" s="5" t="s">
        <v>3191</v>
      </c>
      <c r="H364" s="1" t="s">
        <v>3192</v>
      </c>
      <c r="I364" s="5" t="s">
        <v>3193</v>
      </c>
      <c r="J364" s="7">
        <v>10</v>
      </c>
      <c r="K364" s="7">
        <v>9</v>
      </c>
      <c r="L364" s="5" t="s">
        <v>3194</v>
      </c>
      <c r="M364" s="7">
        <v>1</v>
      </c>
      <c r="N364" s="7">
        <v>0.5</v>
      </c>
      <c r="O364" s="7">
        <v>0.93700000000000006</v>
      </c>
      <c r="P364" s="1" t="s">
        <v>3195</v>
      </c>
    </row>
    <row r="365" spans="1:16" ht="33.4" x14ac:dyDescent="0.3">
      <c r="A365" s="6" t="str">
        <f>HYPERLINK("https://www.ti.com/product/TPS51375", "TPS51375")</f>
        <v>TPS51375</v>
      </c>
      <c r="B365" s="5" t="s">
        <v>3196</v>
      </c>
      <c r="C365" s="6" t="str">
        <f>HYPERLINK("https://www.ti.com/lit/gpn/TPS51375", "PDF")</f>
        <v>PDF</v>
      </c>
      <c r="D365" s="5" t="s">
        <v>3197</v>
      </c>
      <c r="E365" s="5" t="s">
        <v>3198</v>
      </c>
      <c r="F365" s="5" t="s">
        <v>3199</v>
      </c>
      <c r="G365" s="5" t="s">
        <v>3200</v>
      </c>
      <c r="H365" s="1" t="s">
        <v>3201</v>
      </c>
      <c r="I365" s="5" t="s">
        <v>3202</v>
      </c>
      <c r="J365" s="7">
        <v>19</v>
      </c>
      <c r="K365" s="7">
        <v>12</v>
      </c>
      <c r="L365" s="5" t="s">
        <v>3203</v>
      </c>
      <c r="M365" s="7">
        <v>0.7</v>
      </c>
      <c r="N365" s="7">
        <v>0.4</v>
      </c>
      <c r="O365" s="7">
        <v>0.51500000000000001</v>
      </c>
      <c r="P365" s="1" t="s">
        <v>3204</v>
      </c>
    </row>
    <row r="366" spans="1:16" ht="33.4" x14ac:dyDescent="0.3">
      <c r="A366" s="6" t="str">
        <f>HYPERLINK("https://www.ti.com/product/TPS51388", "TPS51388")</f>
        <v>TPS51388</v>
      </c>
      <c r="B366" s="5" t="s">
        <v>3205</v>
      </c>
      <c r="C366" s="6" t="str">
        <f>HYPERLINK("https://www.ti.com/lit/gpn/TPS51388", "PDF")</f>
        <v>PDF</v>
      </c>
      <c r="D366" s="5" t="s">
        <v>3206</v>
      </c>
      <c r="E366" s="5" t="s">
        <v>3207</v>
      </c>
      <c r="F366" s="5" t="s">
        <v>3208</v>
      </c>
      <c r="G366" s="5" t="s">
        <v>3209</v>
      </c>
      <c r="H366" s="1" t="s">
        <v>3210</v>
      </c>
      <c r="I366" s="5" t="s">
        <v>3211</v>
      </c>
      <c r="J366" s="7">
        <v>13</v>
      </c>
      <c r="K366" s="7">
        <v>12</v>
      </c>
      <c r="L366" s="5" t="s">
        <v>3212</v>
      </c>
      <c r="M366" s="7">
        <v>1</v>
      </c>
      <c r="N366" s="7">
        <v>0.45</v>
      </c>
      <c r="O366" s="7">
        <v>0.46800000000000003</v>
      </c>
      <c r="P366" s="1" t="s">
        <v>3213</v>
      </c>
    </row>
    <row r="367" spans="1:16" ht="49.75" x14ac:dyDescent="0.3">
      <c r="A367" s="6" t="str">
        <f>HYPERLINK("https://www.ti.com/product/TPS7H4011-SP", "TPS7H4011-SP")</f>
        <v>TPS7H4011-SP</v>
      </c>
      <c r="B367" s="5" t="s">
        <v>3214</v>
      </c>
      <c r="C367" s="6" t="str">
        <f>HYPERLINK("https://www.ti.com/lit/gpn/TPS7H4011-SP", "PDF")</f>
        <v>PDF</v>
      </c>
      <c r="D367" s="5" t="s">
        <v>3215</v>
      </c>
      <c r="E367" s="5" t="s">
        <v>3216</v>
      </c>
      <c r="F367" s="5"/>
      <c r="G367" s="5" t="s">
        <v>3217</v>
      </c>
      <c r="H367" s="1" t="s">
        <v>3218</v>
      </c>
      <c r="I367" s="5" t="s">
        <v>3219</v>
      </c>
      <c r="J367" s="7" t="s">
        <v>3220</v>
      </c>
      <c r="K367" s="7" t="s">
        <v>3221</v>
      </c>
      <c r="L367" s="5" t="s">
        <v>3222</v>
      </c>
      <c r="M367" s="7" t="s">
        <v>3223</v>
      </c>
      <c r="N367" s="7" t="s">
        <v>3224</v>
      </c>
      <c r="O367" s="7">
        <v>7492.5150000000003</v>
      </c>
      <c r="P367" s="1" t="s">
        <v>3225</v>
      </c>
    </row>
    <row r="368" spans="1:16" ht="33.4" x14ac:dyDescent="0.3">
      <c r="A368" s="6" t="str">
        <f>HYPERLINK("https://www.ti.com/product/UCC21231", "UCC21231")</f>
        <v>UCC21231</v>
      </c>
      <c r="B368" s="5" t="s">
        <v>3226</v>
      </c>
      <c r="C368" s="6" t="str">
        <f>HYPERLINK("https://www.ti.com/lit/gpn/UCC21231", "PDF")</f>
        <v>PDF</v>
      </c>
      <c r="D368" s="5" t="s">
        <v>3227</v>
      </c>
      <c r="E368" s="5" t="s">
        <v>3228</v>
      </c>
      <c r="F368" s="5"/>
      <c r="G368" s="5" t="s">
        <v>3229</v>
      </c>
      <c r="H368" s="1" t="s">
        <v>3230</v>
      </c>
      <c r="I368" s="5" t="s">
        <v>3231</v>
      </c>
      <c r="J368" s="7">
        <v>13</v>
      </c>
      <c r="K368" s="7">
        <v>16</v>
      </c>
      <c r="L368" s="5" t="s">
        <v>3232</v>
      </c>
      <c r="M368" s="7">
        <v>0.8</v>
      </c>
      <c r="N368" s="7">
        <v>0.5</v>
      </c>
      <c r="O368" s="7">
        <v>1.2290000000000001</v>
      </c>
      <c r="P368" s="1" t="s">
        <v>3233</v>
      </c>
    </row>
    <row r="369" spans="1:16" ht="33.4" x14ac:dyDescent="0.3">
      <c r="A369" s="6" t="str">
        <f>HYPERLINK("https://www.ti.com/product/BQ25758A", "BQ25758A")</f>
        <v>BQ25758A</v>
      </c>
      <c r="B369" s="5" t="s">
        <v>3234</v>
      </c>
      <c r="C369" s="6" t="str">
        <f>HYPERLINK("https://www.ti.com/lit/gpn/BQ25758A", "PDF")</f>
        <v>PDF</v>
      </c>
      <c r="D369" s="5" t="s">
        <v>3235</v>
      </c>
      <c r="E369" s="5" t="s">
        <v>3236</v>
      </c>
      <c r="F369" s="5" t="s">
        <v>3237</v>
      </c>
      <c r="G369" s="5" t="s">
        <v>3238</v>
      </c>
      <c r="H369" s="1" t="s">
        <v>3239</v>
      </c>
      <c r="I369" s="5" t="s">
        <v>3240</v>
      </c>
      <c r="J369" s="7">
        <v>36</v>
      </c>
      <c r="K369" s="7">
        <v>30</v>
      </c>
      <c r="L369" s="5" t="s">
        <v>3241</v>
      </c>
      <c r="M369" s="7">
        <v>1</v>
      </c>
      <c r="N369" s="7">
        <v>0.5</v>
      </c>
      <c r="O369" s="7">
        <v>2.1</v>
      </c>
      <c r="P369" s="1" t="s">
        <v>3242</v>
      </c>
    </row>
    <row r="370" spans="1:16" ht="33.4" x14ac:dyDescent="0.3">
      <c r="A370" s="6" t="str">
        <f>HYPERLINK("https://www.ti.com/product/BQ25758S", "BQ25758S")</f>
        <v>BQ25758S</v>
      </c>
      <c r="B370" s="5" t="s">
        <v>3243</v>
      </c>
      <c r="C370" s="6" t="str">
        <f>HYPERLINK("https://www.ti.com/lit/gpn/BQ25758S", "PDF")</f>
        <v>PDF</v>
      </c>
      <c r="D370" s="5" t="s">
        <v>3244</v>
      </c>
      <c r="E370" s="5" t="s">
        <v>3245</v>
      </c>
      <c r="F370" s="5" t="s">
        <v>3246</v>
      </c>
      <c r="G370" s="5" t="s">
        <v>3247</v>
      </c>
      <c r="H370" s="1" t="s">
        <v>3248</v>
      </c>
      <c r="I370" s="5" t="s">
        <v>3249</v>
      </c>
      <c r="J370" s="7">
        <v>36</v>
      </c>
      <c r="K370" s="7">
        <v>30</v>
      </c>
      <c r="L370" s="5" t="s">
        <v>3250</v>
      </c>
      <c r="M370" s="7">
        <v>1</v>
      </c>
      <c r="N370" s="7">
        <v>0.5</v>
      </c>
      <c r="O370" s="7">
        <v>1.79</v>
      </c>
      <c r="P370" s="1" t="s">
        <v>3251</v>
      </c>
    </row>
    <row r="371" spans="1:16" ht="33.4" x14ac:dyDescent="0.3">
      <c r="A371" s="6" t="str">
        <f>HYPERLINK("https://www.ti.com/product/UCC27301A", "UCC27301A")</f>
        <v>UCC27301A</v>
      </c>
      <c r="B371" s="5" t="s">
        <v>3252</v>
      </c>
      <c r="C371" s="6" t="str">
        <f>HYPERLINK("https://www.ti.com/lit/gpn/UCC27301A", "PDF")</f>
        <v>PDF</v>
      </c>
      <c r="D371" s="5" t="s">
        <v>3253</v>
      </c>
      <c r="E371" s="5" t="s">
        <v>3254</v>
      </c>
      <c r="F371" s="5"/>
      <c r="G371" s="5" t="s">
        <v>3255</v>
      </c>
      <c r="H371" s="1" t="s">
        <v>3256</v>
      </c>
      <c r="I371" s="5" t="s">
        <v>3257</v>
      </c>
      <c r="J371" s="7" t="s">
        <v>3258</v>
      </c>
      <c r="K371" s="7" t="s">
        <v>3259</v>
      </c>
      <c r="L371" s="5" t="s">
        <v>3260</v>
      </c>
      <c r="M371" s="7" t="s">
        <v>3261</v>
      </c>
      <c r="N371" s="7" t="s">
        <v>3262</v>
      </c>
      <c r="O371" s="7">
        <v>0.79400000000000004</v>
      </c>
      <c r="P371" s="1" t="s">
        <v>3263</v>
      </c>
    </row>
    <row r="372" spans="1:16" ht="33.4" x14ac:dyDescent="0.3">
      <c r="A372" s="6" t="str">
        <f>HYPERLINK("https://www.ti.com/product/LM63440-Q1", "LM63440-Q1")</f>
        <v>LM63440-Q1</v>
      </c>
      <c r="B372" s="5" t="s">
        <v>3264</v>
      </c>
      <c r="C372" s="6" t="str">
        <f>HYPERLINK("https://www.ti.com/lit/gpn/LM63440-Q1", "PDF")</f>
        <v>PDF</v>
      </c>
      <c r="D372" s="5" t="s">
        <v>3265</v>
      </c>
      <c r="E372" s="5" t="s">
        <v>3266</v>
      </c>
      <c r="F372" s="5" t="s">
        <v>3267</v>
      </c>
      <c r="G372" s="5" t="s">
        <v>3268</v>
      </c>
      <c r="H372" s="1" t="s">
        <v>3269</v>
      </c>
      <c r="I372" s="5" t="s">
        <v>3270</v>
      </c>
      <c r="J372" s="7">
        <v>22</v>
      </c>
      <c r="K372" s="7">
        <v>14</v>
      </c>
      <c r="L372" s="5" t="s">
        <v>3271</v>
      </c>
      <c r="M372" s="7">
        <v>1.05</v>
      </c>
      <c r="N372" s="7">
        <v>0.5</v>
      </c>
      <c r="O372" s="7">
        <v>2.2429999999999999</v>
      </c>
      <c r="P372" s="1" t="s">
        <v>3272</v>
      </c>
    </row>
    <row r="373" spans="1:16" ht="33.4" x14ac:dyDescent="0.3">
      <c r="A373" s="6" t="str">
        <f>HYPERLINK("https://www.ti.com/product/LM64440-Q1", "LM64440-Q1")</f>
        <v>LM64440-Q1</v>
      </c>
      <c r="B373" s="5" t="s">
        <v>3273</v>
      </c>
      <c r="C373" s="6" t="str">
        <f>HYPERLINK("https://www.ti.com/lit/gpn/LM64440-Q1", "PDF")</f>
        <v>PDF</v>
      </c>
      <c r="D373" s="5" t="s">
        <v>3274</v>
      </c>
      <c r="E373" s="5" t="s">
        <v>3275</v>
      </c>
      <c r="F373" s="5" t="s">
        <v>3276</v>
      </c>
      <c r="G373" s="5" t="s">
        <v>3277</v>
      </c>
      <c r="H373" s="1" t="s">
        <v>3278</v>
      </c>
      <c r="I373" s="5" t="s">
        <v>3279</v>
      </c>
      <c r="J373" s="7">
        <v>22</v>
      </c>
      <c r="K373" s="7">
        <v>14</v>
      </c>
      <c r="L373" s="5" t="s">
        <v>3280</v>
      </c>
      <c r="M373" s="7">
        <v>1.05</v>
      </c>
      <c r="N373" s="7">
        <v>0.5</v>
      </c>
      <c r="O373" s="7">
        <v>2.2429999999999999</v>
      </c>
      <c r="P373" s="1" t="s">
        <v>3281</v>
      </c>
    </row>
    <row r="374" spans="1:16" ht="33.4" x14ac:dyDescent="0.3">
      <c r="A374" s="6" t="str">
        <f>HYPERLINK("https://www.ti.com/product/TPSM83102", "TPSM83102")</f>
        <v>TPSM83102</v>
      </c>
      <c r="B374" s="5" t="s">
        <v>3282</v>
      </c>
      <c r="C374" s="6" t="str">
        <f>HYPERLINK("https://www.ti.com/lit/gpn/TPSM83102", "PDF")</f>
        <v>PDF</v>
      </c>
      <c r="D374" s="5" t="s">
        <v>3283</v>
      </c>
      <c r="E374" s="5" t="s">
        <v>3284</v>
      </c>
      <c r="F374" s="5" t="s">
        <v>3285</v>
      </c>
      <c r="G374" s="5" t="s">
        <v>3286</v>
      </c>
      <c r="H374" s="1" t="s">
        <v>3287</v>
      </c>
      <c r="I374" s="5" t="s">
        <v>3288</v>
      </c>
      <c r="J374" s="7">
        <v>8</v>
      </c>
      <c r="K374" s="7" t="s">
        <v>3289</v>
      </c>
      <c r="L374" s="5" t="s">
        <v>3290</v>
      </c>
      <c r="M374" s="7" t="s">
        <v>3291</v>
      </c>
      <c r="N374" s="7" t="s">
        <v>3292</v>
      </c>
      <c r="O374" s="7">
        <v>2.875</v>
      </c>
      <c r="P374" s="1" t="s">
        <v>3293</v>
      </c>
    </row>
    <row r="375" spans="1:16" ht="33.4" x14ac:dyDescent="0.3">
      <c r="A375" s="6" t="str">
        <f>HYPERLINK("https://www.ti.com/product/LMR51440-Q1", "LMR51440-Q1")</f>
        <v>LMR51440-Q1</v>
      </c>
      <c r="B375" s="5" t="s">
        <v>3294</v>
      </c>
      <c r="C375" s="6" t="str">
        <f>HYPERLINK("https://www.ti.com/lit/gpn/LMR51440-Q1", "PDF")</f>
        <v>PDF</v>
      </c>
      <c r="D375" s="5" t="s">
        <v>3295</v>
      </c>
      <c r="E375" s="5" t="s">
        <v>3296</v>
      </c>
      <c r="F375" s="5" t="s">
        <v>3297</v>
      </c>
      <c r="G375" s="5" t="s">
        <v>3298</v>
      </c>
      <c r="H375" s="1" t="s">
        <v>3299</v>
      </c>
      <c r="I375" s="5" t="s">
        <v>3300</v>
      </c>
      <c r="J375" s="7">
        <v>12</v>
      </c>
      <c r="K375" s="7">
        <v>9</v>
      </c>
      <c r="L375" s="5" t="s">
        <v>3301</v>
      </c>
      <c r="M375" s="7">
        <v>0.8</v>
      </c>
      <c r="N375" s="7">
        <v>0.5</v>
      </c>
      <c r="O375" s="7">
        <v>0.78200000000000003</v>
      </c>
      <c r="P375" s="1" t="s">
        <v>3302</v>
      </c>
    </row>
    <row r="376" spans="1:16" ht="33.4" x14ac:dyDescent="0.3">
      <c r="A376" s="6" t="str">
        <f>HYPERLINK("https://www.ti.com/product/LMR51450-Q1", "LMR51450-Q1")</f>
        <v>LMR51450-Q1</v>
      </c>
      <c r="B376" s="5" t="s">
        <v>3303</v>
      </c>
      <c r="C376" s="6" t="str">
        <f>HYPERLINK("https://www.ti.com/lit/gpn/LMR51450-Q1", "PDF")</f>
        <v>PDF</v>
      </c>
      <c r="D376" s="5" t="s">
        <v>3304</v>
      </c>
      <c r="E376" s="5" t="s">
        <v>3305</v>
      </c>
      <c r="F376" s="5" t="s">
        <v>3306</v>
      </c>
      <c r="G376" s="5" t="s">
        <v>3307</v>
      </c>
      <c r="H376" s="1" t="s">
        <v>3308</v>
      </c>
      <c r="I376" s="5" t="s">
        <v>3309</v>
      </c>
      <c r="J376" s="7">
        <v>12</v>
      </c>
      <c r="K376" s="7">
        <v>9</v>
      </c>
      <c r="L376" s="5" t="s">
        <v>3310</v>
      </c>
      <c r="M376" s="7">
        <v>0.8</v>
      </c>
      <c r="N376" s="7">
        <v>0.5</v>
      </c>
      <c r="O376" s="7">
        <v>0.80500000000000005</v>
      </c>
      <c r="P376" s="1" t="s">
        <v>3311</v>
      </c>
    </row>
    <row r="377" spans="1:16" ht="33.4" x14ac:dyDescent="0.3">
      <c r="A377" s="6" t="str">
        <f>HYPERLINK("https://www.ti.com/product/LMR51460-Q1", "LMR51460-Q1")</f>
        <v>LMR51460-Q1</v>
      </c>
      <c r="B377" s="5" t="s">
        <v>3312</v>
      </c>
      <c r="C377" s="6" t="str">
        <f>HYPERLINK("https://www.ti.com/lit/gpn/LMR51460-Q1", "PDF")</f>
        <v>PDF</v>
      </c>
      <c r="D377" s="5" t="s">
        <v>3313</v>
      </c>
      <c r="E377" s="5" t="s">
        <v>3314</v>
      </c>
      <c r="F377" s="5" t="s">
        <v>3315</v>
      </c>
      <c r="G377" s="5" t="s">
        <v>3316</v>
      </c>
      <c r="H377" s="1" t="s">
        <v>3317</v>
      </c>
      <c r="I377" s="5" t="s">
        <v>3318</v>
      </c>
      <c r="J377" s="7">
        <v>12</v>
      </c>
      <c r="K377" s="7">
        <v>9</v>
      </c>
      <c r="L377" s="5" t="s">
        <v>3319</v>
      </c>
      <c r="M377" s="7">
        <v>0.8</v>
      </c>
      <c r="N377" s="7">
        <v>0.5</v>
      </c>
      <c r="O377" s="7">
        <v>0.82799999999999996</v>
      </c>
      <c r="P377" s="1" t="s">
        <v>3320</v>
      </c>
    </row>
    <row r="378" spans="1:16" ht="33.4" x14ac:dyDescent="0.3">
      <c r="A378" s="6" t="str">
        <f>HYPERLINK("https://www.ti.com/product/LMR51606-Q1", "LMR51606-Q1")</f>
        <v>LMR51606-Q1</v>
      </c>
      <c r="B378" s="5" t="s">
        <v>3321</v>
      </c>
      <c r="C378" s="6" t="str">
        <f>HYPERLINK("https://www.ti.com/lit/gpn/LMR51606-Q1", "PDF")</f>
        <v>PDF</v>
      </c>
      <c r="D378" s="5" t="s">
        <v>3322</v>
      </c>
      <c r="E378" s="5" t="s">
        <v>3323</v>
      </c>
      <c r="F378" s="5" t="s">
        <v>3324</v>
      </c>
      <c r="G378" s="5" t="s">
        <v>3325</v>
      </c>
      <c r="H378" s="1" t="s">
        <v>3326</v>
      </c>
      <c r="I378" s="5" t="s">
        <v>3327</v>
      </c>
      <c r="J378" s="7">
        <v>6</v>
      </c>
      <c r="K378" s="7">
        <v>8.1199999999999992</v>
      </c>
      <c r="L378" s="5" t="s">
        <v>3328</v>
      </c>
      <c r="M378" s="7">
        <v>1.45</v>
      </c>
      <c r="N378" s="7">
        <v>0.95</v>
      </c>
      <c r="O378" s="7">
        <v>0.56599999999999995</v>
      </c>
      <c r="P378" s="1" t="s">
        <v>3329</v>
      </c>
    </row>
    <row r="379" spans="1:16" ht="33.4" x14ac:dyDescent="0.3">
      <c r="A379" s="6" t="str">
        <f>HYPERLINK("https://www.ti.com/product/LMR51610-Q1", "LMR51610-Q1")</f>
        <v>LMR51610-Q1</v>
      </c>
      <c r="B379" s="5" t="s">
        <v>3330</v>
      </c>
      <c r="C379" s="6" t="str">
        <f>HYPERLINK("https://www.ti.com/lit/gpn/LMR51610-Q1", "PDF")</f>
        <v>PDF</v>
      </c>
      <c r="D379" s="5" t="s">
        <v>3331</v>
      </c>
      <c r="E379" s="5" t="s">
        <v>3332</v>
      </c>
      <c r="F379" s="5" t="s">
        <v>3333</v>
      </c>
      <c r="G379" s="5" t="s">
        <v>3334</v>
      </c>
      <c r="H379" s="1" t="s">
        <v>3335</v>
      </c>
      <c r="I379" s="5" t="s">
        <v>3336</v>
      </c>
      <c r="J379" s="7">
        <v>6</v>
      </c>
      <c r="K379" s="7">
        <v>8.1199999999999992</v>
      </c>
      <c r="L379" s="5" t="s">
        <v>3337</v>
      </c>
      <c r="M379" s="7">
        <v>1.45</v>
      </c>
      <c r="N379" s="7">
        <v>0.95</v>
      </c>
      <c r="O379" s="7">
        <v>0.61099999999999999</v>
      </c>
      <c r="P379" s="1" t="s">
        <v>3338</v>
      </c>
    </row>
    <row r="380" spans="1:16" ht="17.05" x14ac:dyDescent="0.3">
      <c r="A380" s="6" t="str">
        <f>HYPERLINK("https://www.ti.com/product/TLVM14404", "TLVM14404")</f>
        <v>TLVM14404</v>
      </c>
      <c r="B380" s="5" t="s">
        <v>3339</v>
      </c>
      <c r="C380" s="6" t="str">
        <f>HYPERLINK("https://www.ti.com/lit/gpn/TLVM14404", "PDF")</f>
        <v>PDF</v>
      </c>
      <c r="D380" s="5" t="s">
        <v>3340</v>
      </c>
      <c r="E380" s="5" t="s">
        <v>3341</v>
      </c>
      <c r="F380" s="5" t="s">
        <v>3342</v>
      </c>
      <c r="G380" s="5" t="s">
        <v>3343</v>
      </c>
      <c r="H380" s="1" t="s">
        <v>3344</v>
      </c>
      <c r="I380" s="5" t="s">
        <v>3345</v>
      </c>
      <c r="J380" s="7">
        <v>28</v>
      </c>
      <c r="K380" s="7">
        <v>45.5</v>
      </c>
      <c r="L380" s="5" t="s">
        <v>3346</v>
      </c>
      <c r="M380" s="7">
        <v>2.1</v>
      </c>
      <c r="N380" s="7">
        <v>0.5</v>
      </c>
      <c r="O380" s="7">
        <v>3.0590000000000002</v>
      </c>
      <c r="P380" s="1" t="s">
        <v>3347</v>
      </c>
    </row>
    <row r="381" spans="1:16" ht="17.05" x14ac:dyDescent="0.3">
      <c r="A381" s="6" t="str">
        <f>HYPERLINK("https://www.ti.com/product/TLVM14406", "TLVM14406")</f>
        <v>TLVM14406</v>
      </c>
      <c r="B381" s="5" t="s">
        <v>3348</v>
      </c>
      <c r="C381" s="6" t="str">
        <f>HYPERLINK("https://www.ti.com/lit/gpn/TLVM14406", "PDF")</f>
        <v>PDF</v>
      </c>
      <c r="D381" s="5" t="s">
        <v>3349</v>
      </c>
      <c r="E381" s="5" t="s">
        <v>3350</v>
      </c>
      <c r="F381" s="5" t="s">
        <v>3351</v>
      </c>
      <c r="G381" s="5" t="s">
        <v>3352</v>
      </c>
      <c r="H381" s="1" t="s">
        <v>3353</v>
      </c>
      <c r="I381" s="5" t="s">
        <v>3354</v>
      </c>
      <c r="J381" s="7">
        <v>28</v>
      </c>
      <c r="K381" s="7">
        <v>45.5</v>
      </c>
      <c r="L381" s="5" t="s">
        <v>3355</v>
      </c>
      <c r="M381" s="7">
        <v>2.1</v>
      </c>
      <c r="N381" s="7">
        <v>0.5</v>
      </c>
      <c r="O381" s="7">
        <v>3.6339999999999999</v>
      </c>
      <c r="P381" s="1" t="s">
        <v>3356</v>
      </c>
    </row>
    <row r="382" spans="1:16" ht="17.05" x14ac:dyDescent="0.3">
      <c r="A382" s="6" t="str">
        <f>HYPERLINK("https://www.ti.com/product/TPSM64404", "TPSM64404")</f>
        <v>TPSM64404</v>
      </c>
      <c r="B382" s="5" t="s">
        <v>3357</v>
      </c>
      <c r="C382" s="6" t="str">
        <f>HYPERLINK("https://www.ti.com/lit/gpn/TPSM64404", "PDF")</f>
        <v>PDF</v>
      </c>
      <c r="D382" s="5" t="s">
        <v>3358</v>
      </c>
      <c r="E382" s="5" t="s">
        <v>3359</v>
      </c>
      <c r="F382" s="5" t="s">
        <v>3360</v>
      </c>
      <c r="G382" s="5" t="s">
        <v>3361</v>
      </c>
      <c r="H382" s="1" t="s">
        <v>3362</v>
      </c>
      <c r="I382" s="5" t="s">
        <v>3363</v>
      </c>
      <c r="J382" s="7">
        <v>28</v>
      </c>
      <c r="K382" s="7">
        <v>45.5</v>
      </c>
      <c r="L382" s="5" t="s">
        <v>3364</v>
      </c>
      <c r="M382" s="7">
        <v>2.1</v>
      </c>
      <c r="N382" s="7">
        <v>0.5</v>
      </c>
      <c r="O382" s="7">
        <v>5.75</v>
      </c>
      <c r="P382" s="1" t="s">
        <v>3365</v>
      </c>
    </row>
    <row r="383" spans="1:16" ht="17.05" x14ac:dyDescent="0.3">
      <c r="A383" s="6" t="str">
        <f>HYPERLINK("https://www.ti.com/product/TPSM64406E", "TPSM64406E")</f>
        <v>TPSM64406E</v>
      </c>
      <c r="B383" s="5" t="s">
        <v>3366</v>
      </c>
      <c r="C383" s="6" t="str">
        <f>HYPERLINK("https://www.ti.com/lit/gpn/TPSM64406E", "PDF")</f>
        <v>PDF</v>
      </c>
      <c r="D383" s="5" t="s">
        <v>3367</v>
      </c>
      <c r="E383" s="5" t="s">
        <v>3368</v>
      </c>
      <c r="F383" s="5" t="s">
        <v>3369</v>
      </c>
      <c r="G383" s="5" t="s">
        <v>3370</v>
      </c>
      <c r="H383" s="1" t="s">
        <v>3371</v>
      </c>
      <c r="I383" s="5" t="s">
        <v>3372</v>
      </c>
      <c r="J383" s="7">
        <v>28</v>
      </c>
      <c r="K383" s="7">
        <v>45.5</v>
      </c>
      <c r="L383" s="5" t="s">
        <v>3373</v>
      </c>
      <c r="M383" s="7">
        <v>2.1</v>
      </c>
      <c r="N383" s="7">
        <v>0.5</v>
      </c>
      <c r="O383" s="7">
        <v>33.212000000000003</v>
      </c>
      <c r="P383" s="1" t="s">
        <v>3374</v>
      </c>
    </row>
    <row r="384" spans="1:16" ht="33.4" x14ac:dyDescent="0.3">
      <c r="A384" s="6" t="str">
        <f>HYPERLINK("https://www.ti.com/product/LP87743-Q1", "LP87743-Q1")</f>
        <v>LP87743-Q1</v>
      </c>
      <c r="B384" s="5" t="s">
        <v>3375</v>
      </c>
      <c r="C384" s="6" t="str">
        <f>HYPERLINK("https://www.ti.com/lit/gpn/LP87743-Q1", "PDF")</f>
        <v>PDF</v>
      </c>
      <c r="D384" s="5" t="s">
        <v>3376</v>
      </c>
      <c r="E384" s="5" t="s">
        <v>3377</v>
      </c>
      <c r="F384" s="5"/>
      <c r="G384" s="5" t="s">
        <v>3378</v>
      </c>
      <c r="H384" s="1" t="s">
        <v>3379</v>
      </c>
      <c r="I384" s="5" t="s">
        <v>3380</v>
      </c>
      <c r="J384" s="7">
        <v>28</v>
      </c>
      <c r="K384" s="7">
        <v>22.5</v>
      </c>
      <c r="L384" s="5" t="s">
        <v>3381</v>
      </c>
      <c r="M384" s="7">
        <v>1</v>
      </c>
      <c r="N384" s="7">
        <v>0.5</v>
      </c>
      <c r="O384" s="7">
        <v>2.2890000000000001</v>
      </c>
      <c r="P384" s="1" t="s">
        <v>3382</v>
      </c>
    </row>
    <row r="385" spans="1:16" ht="33.4" x14ac:dyDescent="0.3">
      <c r="A385" s="6" t="str">
        <f>HYPERLINK("https://www.ti.com/product/LP87744-Q1", "LP87744-Q1")</f>
        <v>LP87744-Q1</v>
      </c>
      <c r="B385" s="5" t="s">
        <v>3383</v>
      </c>
      <c r="C385" s="6" t="str">
        <f>HYPERLINK("https://www.ti.com/lit/gpn/LP87744-Q1", "PDF")</f>
        <v>PDF</v>
      </c>
      <c r="D385" s="5" t="s">
        <v>3384</v>
      </c>
      <c r="E385" s="5" t="s">
        <v>3385</v>
      </c>
      <c r="F385" s="5"/>
      <c r="G385" s="5" t="s">
        <v>3386</v>
      </c>
      <c r="H385" s="1" t="s">
        <v>3387</v>
      </c>
      <c r="I385" s="5" t="s">
        <v>3388</v>
      </c>
      <c r="J385" s="7">
        <v>28</v>
      </c>
      <c r="K385" s="7">
        <v>22.5</v>
      </c>
      <c r="L385" s="5" t="s">
        <v>3389</v>
      </c>
      <c r="M385" s="7">
        <v>1</v>
      </c>
      <c r="N385" s="7">
        <v>0.5</v>
      </c>
      <c r="O385" s="7">
        <v>2.2890000000000001</v>
      </c>
      <c r="P385" s="1" t="s">
        <v>3390</v>
      </c>
    </row>
    <row r="386" spans="1:16" ht="33.4" x14ac:dyDescent="0.3">
      <c r="A386" s="6" t="str">
        <f>HYPERLINK("https://www.ti.com/product/TPS7A20C", "TPS7A20C")</f>
        <v>TPS7A20C</v>
      </c>
      <c r="B386" s="5" t="s">
        <v>3391</v>
      </c>
      <c r="C386" s="6" t="str">
        <f>HYPERLINK("https://www.ti.com/lit/gpn/TPS7A20C", "PDF")</f>
        <v>PDF</v>
      </c>
      <c r="D386" s="5" t="s">
        <v>3392</v>
      </c>
      <c r="E386" s="5" t="s">
        <v>3393</v>
      </c>
      <c r="F386" s="5"/>
      <c r="G386" s="5" t="s">
        <v>3394</v>
      </c>
      <c r="H386" s="1" t="s">
        <v>3395</v>
      </c>
      <c r="I386" s="5" t="s">
        <v>3396</v>
      </c>
      <c r="J386" s="7">
        <v>4</v>
      </c>
      <c r="K386" s="7">
        <v>0.37945600000000002</v>
      </c>
      <c r="L386" s="5" t="s">
        <v>3397</v>
      </c>
      <c r="M386" s="7">
        <v>0.33</v>
      </c>
      <c r="N386" s="7">
        <v>0.35</v>
      </c>
      <c r="O386" s="7">
        <v>8.1000000000000003E-2</v>
      </c>
      <c r="P386" s="1" t="s">
        <v>3398</v>
      </c>
    </row>
    <row r="387" spans="1:16" ht="33.4" x14ac:dyDescent="0.3">
      <c r="A387" s="6" t="str">
        <f>HYPERLINK("https://www.ti.com/product/TPS55287", "TPS55287")</f>
        <v>TPS55287</v>
      </c>
      <c r="B387" s="5" t="s">
        <v>3399</v>
      </c>
      <c r="C387" s="6" t="str">
        <f>HYPERLINK("https://www.ti.com/lit/gpn/TPS55287", "PDF")</f>
        <v>PDF</v>
      </c>
      <c r="D387" s="5" t="s">
        <v>3400</v>
      </c>
      <c r="E387" s="5" t="s">
        <v>3401</v>
      </c>
      <c r="F387" s="5" t="s">
        <v>3402</v>
      </c>
      <c r="G387" s="5" t="s">
        <v>3403</v>
      </c>
      <c r="H387" s="1" t="s">
        <v>3404</v>
      </c>
      <c r="I387" s="5" t="s">
        <v>3405</v>
      </c>
      <c r="J387" s="7">
        <v>21</v>
      </c>
      <c r="K387" s="7">
        <v>15</v>
      </c>
      <c r="L387" s="5" t="s">
        <v>3406</v>
      </c>
      <c r="M387" s="7">
        <v>1</v>
      </c>
      <c r="N387" s="7">
        <v>0.5</v>
      </c>
      <c r="O387" s="7">
        <v>1.9550000000000001</v>
      </c>
      <c r="P387" s="1" t="s">
        <v>3407</v>
      </c>
    </row>
    <row r="388" spans="1:16" ht="33.4" x14ac:dyDescent="0.3">
      <c r="A388" s="6" t="str">
        <f>HYPERLINK("https://www.ti.com/product/TPS55287-Q1", "TPS55287-Q1")</f>
        <v>TPS55287-Q1</v>
      </c>
      <c r="B388" s="5" t="s">
        <v>3408</v>
      </c>
      <c r="C388" s="6" t="str">
        <f>HYPERLINK("https://www.ti.com/lit/gpn/TPS55287-Q1", "PDF")</f>
        <v>PDF</v>
      </c>
      <c r="D388" s="5" t="s">
        <v>3409</v>
      </c>
      <c r="E388" s="5" t="s">
        <v>3410</v>
      </c>
      <c r="F388" s="5" t="s">
        <v>3411</v>
      </c>
      <c r="G388" s="5" t="s">
        <v>3412</v>
      </c>
      <c r="H388" s="1" t="s">
        <v>3413</v>
      </c>
      <c r="I388" s="5" t="s">
        <v>3414</v>
      </c>
      <c r="J388" s="7">
        <v>21</v>
      </c>
      <c r="K388" s="7">
        <v>15</v>
      </c>
      <c r="L388" s="5" t="s">
        <v>3415</v>
      </c>
      <c r="M388" s="7">
        <v>1</v>
      </c>
      <c r="N388" s="7">
        <v>0.5</v>
      </c>
      <c r="O388" s="7">
        <v>2.4729999999999999</v>
      </c>
      <c r="P388" s="1" t="s">
        <v>3416</v>
      </c>
    </row>
    <row r="389" spans="1:16" ht="17.05" x14ac:dyDescent="0.3">
      <c r="A389" s="6" t="str">
        <f>HYPERLINK("https://www.ti.com/product/TPS22991", "TPS22991")</f>
        <v>TPS22991</v>
      </c>
      <c r="B389" s="5" t="s">
        <v>3417</v>
      </c>
      <c r="C389" s="6" t="str">
        <f>HYPERLINK("https://www.ti.com/lit/gpn/TPS22991", "PDF")</f>
        <v>PDF</v>
      </c>
      <c r="D389" s="5" t="s">
        <v>3418</v>
      </c>
      <c r="E389" s="5" t="s">
        <v>3419</v>
      </c>
      <c r="F389" s="5"/>
      <c r="G389" s="5" t="s">
        <v>3420</v>
      </c>
      <c r="H389" s="1" t="s">
        <v>3421</v>
      </c>
      <c r="I389" s="5" t="s">
        <v>3422</v>
      </c>
      <c r="J389" s="7">
        <v>4</v>
      </c>
      <c r="K389" s="7">
        <v>0.63749999999999996</v>
      </c>
      <c r="L389" s="5" t="s">
        <v>3423</v>
      </c>
      <c r="M389" s="7">
        <v>0.6</v>
      </c>
      <c r="N389" s="7">
        <v>0.4</v>
      </c>
      <c r="O389" s="7">
        <v>8.1000000000000003E-2</v>
      </c>
      <c r="P389" s="1" t="s">
        <v>3424</v>
      </c>
    </row>
    <row r="390" spans="1:16" ht="33.4" x14ac:dyDescent="0.3">
      <c r="A390" s="6" t="str">
        <f>HYPERLINK("https://www.ti.com/product/TPS544C27", "TPS544C27")</f>
        <v>TPS544C27</v>
      </c>
      <c r="B390" s="5" t="s">
        <v>3425</v>
      </c>
      <c r="C390" s="6" t="str">
        <f>HYPERLINK("https://www.ti.com/lit/gpn/TPS544C27", "PDF")</f>
        <v>PDF</v>
      </c>
      <c r="D390" s="5" t="s">
        <v>3426</v>
      </c>
      <c r="E390" s="5" t="s">
        <v>3427</v>
      </c>
      <c r="F390" s="5" t="s">
        <v>3428</v>
      </c>
      <c r="G390" s="5" t="s">
        <v>3429</v>
      </c>
      <c r="H390" s="1" t="s">
        <v>3430</v>
      </c>
      <c r="I390" s="5" t="s">
        <v>3431</v>
      </c>
      <c r="J390" s="7">
        <v>33</v>
      </c>
      <c r="K390" s="7">
        <v>20</v>
      </c>
      <c r="L390" s="5" t="s">
        <v>3432</v>
      </c>
      <c r="M390" s="7">
        <v>0.7</v>
      </c>
      <c r="N390" s="7">
        <v>0.5</v>
      </c>
      <c r="O390" s="7">
        <v>2.85</v>
      </c>
      <c r="P390" s="1" t="s">
        <v>3433</v>
      </c>
    </row>
    <row r="391" spans="1:16" ht="33.4" x14ac:dyDescent="0.3">
      <c r="A391" s="6" t="str">
        <f>HYPERLINK("https://www.ti.com/product/TPS543A26T", "TPS543A26T")</f>
        <v>TPS543A26T</v>
      </c>
      <c r="B391" s="5" t="s">
        <v>3434</v>
      </c>
      <c r="C391" s="6" t="str">
        <f>HYPERLINK("https://www.ti.com/lit/gpn/TPS543A26T", "PDF")</f>
        <v>PDF</v>
      </c>
      <c r="D391" s="5" t="s">
        <v>3435</v>
      </c>
      <c r="E391" s="5" t="s">
        <v>3436</v>
      </c>
      <c r="F391" s="5" t="s">
        <v>3437</v>
      </c>
      <c r="G391" s="5" t="s">
        <v>3438</v>
      </c>
      <c r="H391" s="1" t="s">
        <v>3439</v>
      </c>
      <c r="I391" s="5" t="s">
        <v>3440</v>
      </c>
      <c r="J391" s="7">
        <v>17</v>
      </c>
      <c r="K391" s="7">
        <v>11.25</v>
      </c>
      <c r="L391" s="5" t="s">
        <v>3441</v>
      </c>
      <c r="M391" s="7">
        <v>0.7</v>
      </c>
      <c r="N391" s="7">
        <v>0.5</v>
      </c>
      <c r="O391" s="7">
        <v>1.794</v>
      </c>
      <c r="P391" s="1" t="s">
        <v>3442</v>
      </c>
    </row>
    <row r="392" spans="1:16" ht="33.4" x14ac:dyDescent="0.3">
      <c r="A392" s="6" t="str">
        <f>HYPERLINK("https://www.ti.com/product/UCC57108", "UCC57108")</f>
        <v>UCC57108</v>
      </c>
      <c r="B392" s="5" t="s">
        <v>3443</v>
      </c>
      <c r="C392" s="6" t="str">
        <f>HYPERLINK("https://www.ti.com/lit/gpn/UCC57108", "PDF")</f>
        <v>PDF</v>
      </c>
      <c r="D392" s="5" t="s">
        <v>3444</v>
      </c>
      <c r="E392" s="5" t="s">
        <v>3445</v>
      </c>
      <c r="F392" s="5"/>
      <c r="G392" s="5" t="s">
        <v>3446</v>
      </c>
      <c r="H392" s="1" t="s">
        <v>3447</v>
      </c>
      <c r="I392" s="5" t="s">
        <v>3448</v>
      </c>
      <c r="J392" s="7">
        <v>8</v>
      </c>
      <c r="K392" s="7">
        <v>29.4</v>
      </c>
      <c r="L392" s="5" t="s">
        <v>3449</v>
      </c>
      <c r="M392" s="7">
        <v>1.75</v>
      </c>
      <c r="N392" s="7">
        <v>1.27</v>
      </c>
      <c r="O392" s="7">
        <v>0.63300000000000001</v>
      </c>
      <c r="P392" s="1" t="s">
        <v>3450</v>
      </c>
    </row>
    <row r="393" spans="1:16" ht="33.4" x14ac:dyDescent="0.3">
      <c r="A393" s="6" t="str">
        <f>HYPERLINK("https://www.ti.com/product/UCC57108-Q1", "UCC57108-Q1")</f>
        <v>UCC57108-Q1</v>
      </c>
      <c r="B393" s="5" t="s">
        <v>3451</v>
      </c>
      <c r="C393" s="6" t="str">
        <f>HYPERLINK("https://www.ti.com/lit/gpn/UCC57108-Q1", "PDF")</f>
        <v>PDF</v>
      </c>
      <c r="D393" s="5" t="s">
        <v>3452</v>
      </c>
      <c r="E393" s="5" t="s">
        <v>3453</v>
      </c>
      <c r="F393" s="5"/>
      <c r="G393" s="5" t="s">
        <v>3454</v>
      </c>
      <c r="H393" s="1" t="s">
        <v>3455</v>
      </c>
      <c r="I393" s="5" t="s">
        <v>3456</v>
      </c>
      <c r="J393" s="7">
        <v>8</v>
      </c>
      <c r="K393" s="7">
        <v>29.4</v>
      </c>
      <c r="L393" s="5" t="s">
        <v>3457</v>
      </c>
      <c r="M393" s="7">
        <v>1.75</v>
      </c>
      <c r="N393" s="7">
        <v>1.27</v>
      </c>
      <c r="O393" s="7">
        <v>0.63300000000000001</v>
      </c>
      <c r="P393" s="1" t="s">
        <v>3458</v>
      </c>
    </row>
    <row r="394" spans="1:16" ht="33.4" x14ac:dyDescent="0.3">
      <c r="A394" s="6" t="str">
        <f>HYPERLINK("https://www.ti.com/product/TPS551892-Q1", "TPS551892-Q1")</f>
        <v>TPS551892-Q1</v>
      </c>
      <c r="B394" s="5" t="s">
        <v>3459</v>
      </c>
      <c r="C394" s="6" t="str">
        <f>HYPERLINK("https://www.ti.com/lit/gpn/TPS551892-Q1", "PDF")</f>
        <v>PDF</v>
      </c>
      <c r="D394" s="5" t="s">
        <v>3460</v>
      </c>
      <c r="E394" s="5" t="s">
        <v>3461</v>
      </c>
      <c r="F394" s="5" t="s">
        <v>3462</v>
      </c>
      <c r="G394" s="5" t="s">
        <v>3463</v>
      </c>
      <c r="H394" s="1" t="s">
        <v>3464</v>
      </c>
      <c r="I394" s="5" t="s">
        <v>3465</v>
      </c>
      <c r="J394" s="7">
        <v>21</v>
      </c>
      <c r="K394" s="7">
        <v>15</v>
      </c>
      <c r="L394" s="5" t="s">
        <v>3466</v>
      </c>
      <c r="M394" s="7">
        <v>1</v>
      </c>
      <c r="N394" s="7">
        <v>0.5</v>
      </c>
      <c r="O394" s="7">
        <v>2.258</v>
      </c>
      <c r="P394" s="1" t="s">
        <v>3467</v>
      </c>
    </row>
    <row r="395" spans="1:16" ht="33.4" x14ac:dyDescent="0.3">
      <c r="A395" s="6" t="str">
        <f>HYPERLINK("https://www.ti.com/product/LMQ64480-Q1", "LMQ64480-Q1")</f>
        <v>LMQ64480-Q1</v>
      </c>
      <c r="B395" s="5" t="s">
        <v>3468</v>
      </c>
      <c r="C395" s="6" t="str">
        <f>HYPERLINK("https://www.ti.com/lit/gpn/LMQ64480-Q1", "PDF")</f>
        <v>PDF</v>
      </c>
      <c r="D395" s="5" t="s">
        <v>3469</v>
      </c>
      <c r="E395" s="5" t="s">
        <v>3470</v>
      </c>
      <c r="F395" s="5" t="s">
        <v>3471</v>
      </c>
      <c r="G395" s="5" t="s">
        <v>3472</v>
      </c>
      <c r="H395" s="1" t="s">
        <v>3473</v>
      </c>
      <c r="I395" s="5" t="s">
        <v>3474</v>
      </c>
      <c r="J395" s="7">
        <v>24</v>
      </c>
      <c r="K395" s="7">
        <v>20</v>
      </c>
      <c r="L395" s="5" t="s">
        <v>3475</v>
      </c>
      <c r="M395" s="7">
        <v>1.05</v>
      </c>
      <c r="N395" s="7">
        <v>0.5</v>
      </c>
      <c r="O395" s="7">
        <v>2.645</v>
      </c>
      <c r="P395" s="1" t="s">
        <v>3476</v>
      </c>
    </row>
    <row r="396" spans="1:16" ht="33.4" x14ac:dyDescent="0.3">
      <c r="A396" s="6" t="str">
        <f>HYPERLINK("https://www.ti.com/product/LMQ644A0-Q1", "LMQ644A0-Q1")</f>
        <v>LMQ644A0-Q1</v>
      </c>
      <c r="B396" s="5" t="s">
        <v>3477</v>
      </c>
      <c r="C396" s="6" t="str">
        <f>HYPERLINK("https://www.ti.com/lit/gpn/LMQ644A0-Q1", "PDF")</f>
        <v>PDF</v>
      </c>
      <c r="D396" s="5" t="s">
        <v>3478</v>
      </c>
      <c r="E396" s="5" t="s">
        <v>3479</v>
      </c>
      <c r="F396" s="5" t="s">
        <v>3480</v>
      </c>
      <c r="G396" s="5" t="s">
        <v>3481</v>
      </c>
      <c r="H396" s="1" t="s">
        <v>3482</v>
      </c>
      <c r="I396" s="5" t="s">
        <v>3483</v>
      </c>
      <c r="J396" s="7">
        <v>24</v>
      </c>
      <c r="K396" s="7">
        <v>20</v>
      </c>
      <c r="L396" s="5" t="s">
        <v>3484</v>
      </c>
      <c r="M396" s="7">
        <v>1.05</v>
      </c>
      <c r="N396" s="7">
        <v>0.5</v>
      </c>
      <c r="O396" s="7">
        <v>2.9329999999999998</v>
      </c>
      <c r="P396" s="1" t="s">
        <v>3485</v>
      </c>
    </row>
    <row r="397" spans="1:16" ht="33.4" x14ac:dyDescent="0.3">
      <c r="A397" s="6" t="str">
        <f>HYPERLINK("https://www.ti.com/product/TPS513885", "TPS513885")</f>
        <v>TPS513885</v>
      </c>
      <c r="B397" s="5" t="s">
        <v>3486</v>
      </c>
      <c r="C397" s="6" t="str">
        <f>HYPERLINK("https://www.ti.com/lit/gpn/TPS513885", "PDF")</f>
        <v>PDF</v>
      </c>
      <c r="D397" s="5" t="s">
        <v>3487</v>
      </c>
      <c r="E397" s="5" t="s">
        <v>3488</v>
      </c>
      <c r="F397" s="5" t="s">
        <v>3489</v>
      </c>
      <c r="G397" s="5" t="s">
        <v>3490</v>
      </c>
      <c r="H397" s="1" t="s">
        <v>3491</v>
      </c>
      <c r="I397" s="5" t="s">
        <v>3492</v>
      </c>
      <c r="J397" s="7">
        <v>13</v>
      </c>
      <c r="K397" s="7">
        <v>12</v>
      </c>
      <c r="L397" s="5" t="s">
        <v>3493</v>
      </c>
      <c r="M397" s="7">
        <v>1</v>
      </c>
      <c r="N397" s="7">
        <v>0.45</v>
      </c>
      <c r="O397" s="7">
        <v>0.46800000000000003</v>
      </c>
      <c r="P397" s="1" t="s">
        <v>3494</v>
      </c>
    </row>
    <row r="398" spans="1:16" ht="33.4" x14ac:dyDescent="0.3">
      <c r="A398" s="6" t="str">
        <f>HYPERLINK("https://www.ti.com/product/UCC27301A-Q1", "UCC27301A-Q1")</f>
        <v>UCC27301A-Q1</v>
      </c>
      <c r="B398" s="5" t="s">
        <v>3495</v>
      </c>
      <c r="C398" s="6" t="str">
        <f>HYPERLINK("https://www.ti.com/lit/gpn/UCC27301A-Q1", "PDF")</f>
        <v>PDF</v>
      </c>
      <c r="D398" s="5" t="s">
        <v>3496</v>
      </c>
      <c r="E398" s="5" t="s">
        <v>3497</v>
      </c>
      <c r="F398" s="5"/>
      <c r="G398" s="5" t="s">
        <v>3498</v>
      </c>
      <c r="H398" s="1" t="s">
        <v>3499</v>
      </c>
      <c r="I398" s="5" t="s">
        <v>3500</v>
      </c>
      <c r="J398" s="7" t="s">
        <v>3501</v>
      </c>
      <c r="K398" s="7" t="s">
        <v>3502</v>
      </c>
      <c r="L398" s="5" t="s">
        <v>3503</v>
      </c>
      <c r="M398" s="7" t="s">
        <v>3504</v>
      </c>
      <c r="N398" s="7" t="s">
        <v>3505</v>
      </c>
      <c r="O398" s="7">
        <v>0.93700000000000006</v>
      </c>
      <c r="P398" s="1" t="s">
        <v>3506</v>
      </c>
    </row>
    <row r="399" spans="1:16" ht="33.4" x14ac:dyDescent="0.3">
      <c r="A399" s="6" t="str">
        <f>HYPERLINK("https://www.ti.com/product/LMG3624", "LMG3624")</f>
        <v>LMG3624</v>
      </c>
      <c r="B399" s="5" t="s">
        <v>3507</v>
      </c>
      <c r="C399" s="6" t="str">
        <f>HYPERLINK("https://www.ti.com/lit/gpn/LMG3624", "PDF")</f>
        <v>PDF</v>
      </c>
      <c r="D399" s="5" t="s">
        <v>3508</v>
      </c>
      <c r="E399" s="5" t="s">
        <v>3509</v>
      </c>
      <c r="F399" s="5"/>
      <c r="G399" s="5" t="s">
        <v>3510</v>
      </c>
      <c r="H399" s="1" t="s">
        <v>3511</v>
      </c>
      <c r="I399" s="5" t="s">
        <v>3512</v>
      </c>
      <c r="J399" s="7">
        <v>38</v>
      </c>
      <c r="K399" s="7">
        <v>42.4</v>
      </c>
      <c r="L399" s="5" t="s">
        <v>3513</v>
      </c>
      <c r="M399" s="7">
        <v>1</v>
      </c>
      <c r="N399" s="7">
        <v>0.5</v>
      </c>
      <c r="O399" s="7">
        <v>2.65</v>
      </c>
      <c r="P399" s="1" t="s">
        <v>3514</v>
      </c>
    </row>
    <row r="400" spans="1:16" ht="33.4" x14ac:dyDescent="0.3">
      <c r="A400" s="6" t="str">
        <f>HYPERLINK("https://www.ti.com/product/TPS62916E", "TPS62916E")</f>
        <v>TPS62916E</v>
      </c>
      <c r="B400" s="5" t="s">
        <v>3515</v>
      </c>
      <c r="C400" s="6" t="str">
        <f>HYPERLINK("https://www.ti.com/lit/gpn/TPS62916E", "PDF")</f>
        <v>PDF</v>
      </c>
      <c r="D400" s="5" t="s">
        <v>3516</v>
      </c>
      <c r="E400" s="5" t="s">
        <v>3517</v>
      </c>
      <c r="F400" s="5"/>
      <c r="G400" s="5" t="s">
        <v>3518</v>
      </c>
      <c r="H400" s="1" t="s">
        <v>3519</v>
      </c>
      <c r="I400" s="5" t="s">
        <v>3520</v>
      </c>
      <c r="J400" s="7">
        <v>14</v>
      </c>
      <c r="K400" s="7">
        <v>7.5</v>
      </c>
      <c r="L400" s="5" t="s">
        <v>3521</v>
      </c>
      <c r="M400" s="7">
        <v>1</v>
      </c>
      <c r="N400" s="7">
        <v>0.5</v>
      </c>
      <c r="O400" s="7">
        <v>5.1749999999999998</v>
      </c>
      <c r="P400" s="1" t="s">
        <v>3522</v>
      </c>
    </row>
    <row r="401" spans="1:16" ht="33.4" x14ac:dyDescent="0.3">
      <c r="A401" s="6" t="str">
        <f>HYPERLINK("https://www.ti.com/product/ISOM8600", "ISOM8600")</f>
        <v>ISOM8600</v>
      </c>
      <c r="B401" s="5" t="s">
        <v>3523</v>
      </c>
      <c r="C401" s="6" t="str">
        <f>HYPERLINK("https://www.ti.com/lit/gpn/ISOM8600", "PDF")</f>
        <v>PDF</v>
      </c>
      <c r="D401" s="5" t="s">
        <v>3524</v>
      </c>
      <c r="E401" s="5" t="s">
        <v>3525</v>
      </c>
      <c r="F401" s="5"/>
      <c r="G401" s="5" t="s">
        <v>3526</v>
      </c>
      <c r="H401" s="1" t="s">
        <v>3527</v>
      </c>
      <c r="I401" s="5" t="s">
        <v>3528</v>
      </c>
      <c r="J401" s="7">
        <v>4</v>
      </c>
      <c r="K401" s="7">
        <v>24.57</v>
      </c>
      <c r="L401" s="5" t="s">
        <v>3529</v>
      </c>
      <c r="M401" s="7">
        <v>2.4</v>
      </c>
      <c r="N401" s="7">
        <v>2.54</v>
      </c>
      <c r="O401" s="7">
        <v>0.32200000000000001</v>
      </c>
      <c r="P401" s="1" t="s">
        <v>3530</v>
      </c>
    </row>
    <row r="402" spans="1:16" ht="66.150000000000006" x14ac:dyDescent="0.3">
      <c r="A402" s="6" t="str">
        <f>HYPERLINK("https://www.ti.com/product/TPS6287B15", "TPS6287B15")</f>
        <v>TPS6287B15</v>
      </c>
      <c r="B402" s="5" t="s">
        <v>3531</v>
      </c>
      <c r="C402" s="6" t="str">
        <f>HYPERLINK("https://www.ti.com/lit/gpn/TPS6287B15", "PDF")</f>
        <v>PDF</v>
      </c>
      <c r="D402" s="5" t="s">
        <v>3532</v>
      </c>
      <c r="E402" s="5" t="s">
        <v>3533</v>
      </c>
      <c r="F402" s="5" t="s">
        <v>3534</v>
      </c>
      <c r="G402" s="5" t="s">
        <v>3535</v>
      </c>
      <c r="H402" s="1" t="s">
        <v>3536</v>
      </c>
      <c r="I402" s="5" t="s">
        <v>3537</v>
      </c>
      <c r="J402" s="7">
        <v>24</v>
      </c>
      <c r="K402" s="7">
        <v>12.352499999999999</v>
      </c>
      <c r="L402" s="5" t="s">
        <v>3538</v>
      </c>
      <c r="M402" s="7">
        <v>0.7</v>
      </c>
      <c r="N402" s="7">
        <v>0.5</v>
      </c>
      <c r="O402" s="7">
        <v>2.0019999999999998</v>
      </c>
      <c r="P402" s="1" t="s">
        <v>3539</v>
      </c>
    </row>
    <row r="403" spans="1:16" ht="66.150000000000006" x14ac:dyDescent="0.3">
      <c r="A403" s="6" t="str">
        <f>HYPERLINK("https://www.ti.com/product/TPS6287B20", "TPS6287B20")</f>
        <v>TPS6287B20</v>
      </c>
      <c r="B403" s="5" t="s">
        <v>3540</v>
      </c>
      <c r="C403" s="6" t="str">
        <f>HYPERLINK("https://www.ti.com/lit/gpn/TPS6287B20", "PDF")</f>
        <v>PDF</v>
      </c>
      <c r="D403" s="5" t="s">
        <v>3541</v>
      </c>
      <c r="E403" s="5" t="s">
        <v>3542</v>
      </c>
      <c r="F403" s="5" t="s">
        <v>3543</v>
      </c>
      <c r="G403" s="5" t="s">
        <v>3544</v>
      </c>
      <c r="H403" s="1" t="s">
        <v>3545</v>
      </c>
      <c r="I403" s="5" t="s">
        <v>3546</v>
      </c>
      <c r="J403" s="7">
        <v>24</v>
      </c>
      <c r="K403" s="7">
        <v>12.352499999999999</v>
      </c>
      <c r="L403" s="5" t="s">
        <v>3547</v>
      </c>
      <c r="M403" s="7">
        <v>0.7</v>
      </c>
      <c r="N403" s="7">
        <v>0.5</v>
      </c>
      <c r="O403" s="7">
        <v>2.3359999999999999</v>
      </c>
      <c r="P403" s="1" t="s">
        <v>3548</v>
      </c>
    </row>
    <row r="404" spans="1:16" ht="33.4" x14ac:dyDescent="0.3">
      <c r="A404" s="6" t="str">
        <f>HYPERLINK("https://www.ti.com/product/TPS62914", "TPS62914")</f>
        <v>TPS62914</v>
      </c>
      <c r="B404" s="5" t="s">
        <v>3549</v>
      </c>
      <c r="C404" s="6" t="str">
        <f>HYPERLINK("https://www.ti.com/lit/gpn/TPS62914", "PDF")</f>
        <v>PDF</v>
      </c>
      <c r="D404" s="5" t="s">
        <v>3550</v>
      </c>
      <c r="E404" s="5" t="s">
        <v>3551</v>
      </c>
      <c r="F404" s="5"/>
      <c r="G404" s="5" t="s">
        <v>3552</v>
      </c>
      <c r="H404" s="1" t="s">
        <v>3553</v>
      </c>
      <c r="I404" s="5" t="s">
        <v>3554</v>
      </c>
      <c r="J404" s="7">
        <v>14</v>
      </c>
      <c r="K404" s="7">
        <v>7.5</v>
      </c>
      <c r="L404" s="5" t="s">
        <v>3555</v>
      </c>
      <c r="M404" s="7">
        <v>1</v>
      </c>
      <c r="N404" s="7">
        <v>0.5</v>
      </c>
      <c r="O404" s="7">
        <v>1.5529999999999999</v>
      </c>
      <c r="P404" s="1" t="s">
        <v>3556</v>
      </c>
    </row>
    <row r="405" spans="1:16" ht="33.4" x14ac:dyDescent="0.3">
      <c r="A405" s="6" t="str">
        <f>HYPERLINK("https://www.ti.com/product/TPS62918", "TPS62918")</f>
        <v>TPS62918</v>
      </c>
      <c r="B405" s="5" t="s">
        <v>3557</v>
      </c>
      <c r="C405" s="6" t="str">
        <f>HYPERLINK("https://www.ti.com/lit/gpn/TPS62918", "PDF")</f>
        <v>PDF</v>
      </c>
      <c r="D405" s="5" t="s">
        <v>3558</v>
      </c>
      <c r="E405" s="5" t="s">
        <v>3559</v>
      </c>
      <c r="F405" s="5"/>
      <c r="G405" s="5" t="s">
        <v>3560</v>
      </c>
      <c r="H405" s="1" t="s">
        <v>3561</v>
      </c>
      <c r="I405" s="5" t="s">
        <v>3562</v>
      </c>
      <c r="J405" s="7">
        <v>14</v>
      </c>
      <c r="K405" s="7">
        <v>7.5</v>
      </c>
      <c r="L405" s="5" t="s">
        <v>3563</v>
      </c>
      <c r="M405" s="7">
        <v>1</v>
      </c>
      <c r="N405" s="7">
        <v>0.5</v>
      </c>
      <c r="O405" s="7">
        <v>2</v>
      </c>
      <c r="P405" s="1" t="s">
        <v>3564</v>
      </c>
    </row>
    <row r="406" spans="1:16" ht="33.4" x14ac:dyDescent="0.3">
      <c r="A406" s="6" t="str">
        <f>HYPERLINK("https://www.ti.com/product/TPS1HTC100-Q1", "TPS1HTC100-Q1")</f>
        <v>TPS1HTC100-Q1</v>
      </c>
      <c r="B406" s="5" t="s">
        <v>3565</v>
      </c>
      <c r="C406" s="6" t="str">
        <f>HYPERLINK("https://www.ti.com/lit/gpn/TPS1HTC100-Q1", "PDF")</f>
        <v>PDF</v>
      </c>
      <c r="D406" s="5" t="s">
        <v>3566</v>
      </c>
      <c r="E406" s="5" t="s">
        <v>3567</v>
      </c>
      <c r="F406" s="5"/>
      <c r="G406" s="5" t="s">
        <v>3568</v>
      </c>
      <c r="H406" s="1" t="s">
        <v>3569</v>
      </c>
      <c r="I406" s="5" t="s">
        <v>3570</v>
      </c>
      <c r="J406" s="7">
        <v>14</v>
      </c>
      <c r="K406" s="7">
        <v>32</v>
      </c>
      <c r="L406" s="5" t="s">
        <v>3571</v>
      </c>
      <c r="M406" s="7">
        <v>1.2</v>
      </c>
      <c r="N406" s="7">
        <v>0.65</v>
      </c>
      <c r="O406" s="7">
        <v>0.89800000000000002</v>
      </c>
      <c r="P406" s="1" t="s">
        <v>3572</v>
      </c>
    </row>
    <row r="407" spans="1:16" ht="33.4" x14ac:dyDescent="0.3">
      <c r="A407" s="6" t="str">
        <f>HYPERLINK("https://www.ti.com/product/TPS561243", "TPS561243")</f>
        <v>TPS561243</v>
      </c>
      <c r="B407" s="5" t="s">
        <v>3573</v>
      </c>
      <c r="C407" s="6" t="str">
        <f>HYPERLINK("https://www.ti.com/lit/gpn/TPS561243", "PDF")</f>
        <v>PDF</v>
      </c>
      <c r="D407" s="5" t="s">
        <v>3574</v>
      </c>
      <c r="E407" s="5" t="s">
        <v>3575</v>
      </c>
      <c r="F407" s="5" t="s">
        <v>3576</v>
      </c>
      <c r="G407" s="5" t="s">
        <v>3577</v>
      </c>
      <c r="H407" s="1" t="s">
        <v>3578</v>
      </c>
      <c r="I407" s="5" t="s">
        <v>3579</v>
      </c>
      <c r="J407" s="7">
        <v>6</v>
      </c>
      <c r="K407" s="7">
        <v>2.56</v>
      </c>
      <c r="L407" s="5" t="s">
        <v>3580</v>
      </c>
      <c r="M407" s="7">
        <v>0.6</v>
      </c>
      <c r="N407" s="7">
        <v>0.5</v>
      </c>
      <c r="O407" s="7">
        <v>6.2E-2</v>
      </c>
      <c r="P407" s="1" t="s">
        <v>3581</v>
      </c>
    </row>
    <row r="408" spans="1:16" ht="33.4" x14ac:dyDescent="0.3">
      <c r="A408" s="6" t="str">
        <f>HYPERLINK("https://www.ti.com/product/TPS561246", "TPS561246")</f>
        <v>TPS561246</v>
      </c>
      <c r="B408" s="5" t="s">
        <v>3582</v>
      </c>
      <c r="C408" s="6" t="str">
        <f>HYPERLINK("https://www.ti.com/lit/gpn/TPS561246", "PDF")</f>
        <v>PDF</v>
      </c>
      <c r="D408" s="5" t="s">
        <v>3583</v>
      </c>
      <c r="E408" s="5" t="s">
        <v>3584</v>
      </c>
      <c r="F408" s="5" t="s">
        <v>3585</v>
      </c>
      <c r="G408" s="5" t="s">
        <v>3586</v>
      </c>
      <c r="H408" s="1" t="s">
        <v>3587</v>
      </c>
      <c r="I408" s="5" t="s">
        <v>3588</v>
      </c>
      <c r="J408" s="7">
        <v>6</v>
      </c>
      <c r="K408" s="7">
        <v>2.56</v>
      </c>
      <c r="L408" s="5" t="s">
        <v>3589</v>
      </c>
      <c r="M408" s="7">
        <v>0.6</v>
      </c>
      <c r="N408" s="7">
        <v>0.5</v>
      </c>
      <c r="O408" s="7">
        <v>6.2E-2</v>
      </c>
      <c r="P408" s="1" t="s">
        <v>3590</v>
      </c>
    </row>
    <row r="409" spans="1:16" ht="33.4" x14ac:dyDescent="0.3">
      <c r="A409" s="6" t="str">
        <f>HYPERLINK("https://www.ti.com/product/TPS562243", "TPS562243")</f>
        <v>TPS562243</v>
      </c>
      <c r="B409" s="5" t="s">
        <v>3591</v>
      </c>
      <c r="C409" s="6" t="str">
        <f>HYPERLINK("https://www.ti.com/lit/gpn/TPS562243", "PDF")</f>
        <v>PDF</v>
      </c>
      <c r="D409" s="5" t="s">
        <v>3592</v>
      </c>
      <c r="E409" s="5" t="s">
        <v>3593</v>
      </c>
      <c r="F409" s="5" t="s">
        <v>3594</v>
      </c>
      <c r="G409" s="5" t="s">
        <v>3595</v>
      </c>
      <c r="H409" s="1" t="s">
        <v>3596</v>
      </c>
      <c r="I409" s="5" t="s">
        <v>3597</v>
      </c>
      <c r="J409" s="7">
        <v>6</v>
      </c>
      <c r="K409" s="7">
        <v>2.56</v>
      </c>
      <c r="L409" s="5" t="s">
        <v>3598</v>
      </c>
      <c r="M409" s="7">
        <v>0.6</v>
      </c>
      <c r="N409" s="7">
        <v>0.5</v>
      </c>
      <c r="O409" s="7">
        <v>8.5999999999999993E-2</v>
      </c>
      <c r="P409" s="1" t="s">
        <v>3599</v>
      </c>
    </row>
    <row r="410" spans="1:16" ht="33.4" x14ac:dyDescent="0.3">
      <c r="A410" s="6" t="str">
        <f>HYPERLINK("https://www.ti.com/product/TPS562246", "TPS562246")</f>
        <v>TPS562246</v>
      </c>
      <c r="B410" s="5" t="s">
        <v>3600</v>
      </c>
      <c r="C410" s="6" t="str">
        <f>HYPERLINK("https://www.ti.com/lit/gpn/TPS562246", "PDF")</f>
        <v>PDF</v>
      </c>
      <c r="D410" s="5" t="s">
        <v>3601</v>
      </c>
      <c r="E410" s="5" t="s">
        <v>3602</v>
      </c>
      <c r="F410" s="5" t="s">
        <v>3603</v>
      </c>
      <c r="G410" s="5" t="s">
        <v>3604</v>
      </c>
      <c r="H410" s="1" t="s">
        <v>3605</v>
      </c>
      <c r="I410" s="5" t="s">
        <v>3606</v>
      </c>
      <c r="J410" s="7">
        <v>6</v>
      </c>
      <c r="K410" s="7">
        <v>2.56</v>
      </c>
      <c r="L410" s="5" t="s">
        <v>3607</v>
      </c>
      <c r="M410" s="7">
        <v>0.6</v>
      </c>
      <c r="N410" s="7">
        <v>0.5</v>
      </c>
      <c r="O410" s="7">
        <v>8.5999999999999993E-2</v>
      </c>
      <c r="P410" s="1" t="s">
        <v>3608</v>
      </c>
    </row>
    <row r="411" spans="1:16" ht="33.4" x14ac:dyDescent="0.3">
      <c r="A411" s="6" t="str">
        <f>HYPERLINK("https://www.ti.com/product/LM51772", "LM51772")</f>
        <v>LM51772</v>
      </c>
      <c r="B411" s="5" t="s">
        <v>3609</v>
      </c>
      <c r="C411" s="6" t="str">
        <f>HYPERLINK("https://www.ti.com/lit/gpn/LM51772", "PDF")</f>
        <v>PDF</v>
      </c>
      <c r="D411" s="5" t="s">
        <v>3610</v>
      </c>
      <c r="E411" s="5" t="s">
        <v>3611</v>
      </c>
      <c r="F411" s="5" t="s">
        <v>3612</v>
      </c>
      <c r="G411" s="5" t="s">
        <v>3613</v>
      </c>
      <c r="H411" s="1" t="s">
        <v>3614</v>
      </c>
      <c r="I411" s="5" t="s">
        <v>3615</v>
      </c>
      <c r="J411" s="7">
        <v>40</v>
      </c>
      <c r="K411" s="7">
        <v>36</v>
      </c>
      <c r="L411" s="5" t="s">
        <v>3616</v>
      </c>
      <c r="M411" s="7">
        <v>1</v>
      </c>
      <c r="N411" s="7">
        <v>0.5</v>
      </c>
      <c r="O411" s="7">
        <v>3.1179999999999999</v>
      </c>
      <c r="P411" s="1" t="s">
        <v>3617</v>
      </c>
    </row>
    <row r="412" spans="1:16" ht="33.4" x14ac:dyDescent="0.3">
      <c r="A412" s="6" t="str">
        <f>HYPERLINK("https://www.ti.com/product/UCC33410", "UCC33410")</f>
        <v>UCC33410</v>
      </c>
      <c r="B412" s="5" t="s">
        <v>3618</v>
      </c>
      <c r="C412" s="6" t="str">
        <f>HYPERLINK("https://www.ti.com/lit/gpn/UCC33410", "PDF")</f>
        <v>PDF</v>
      </c>
      <c r="D412" s="5" t="s">
        <v>3619</v>
      </c>
      <c r="E412" s="5" t="s">
        <v>3620</v>
      </c>
      <c r="F412" s="5"/>
      <c r="G412" s="5" t="s">
        <v>3621</v>
      </c>
      <c r="H412" s="1" t="s">
        <v>3622</v>
      </c>
      <c r="I412" s="5" t="s">
        <v>3623</v>
      </c>
      <c r="J412" s="7">
        <v>12</v>
      </c>
      <c r="K412" s="7">
        <v>20</v>
      </c>
      <c r="L412" s="5" t="s">
        <v>3624</v>
      </c>
      <c r="M412" s="7">
        <v>1.05</v>
      </c>
      <c r="N412" s="7">
        <v>0.65</v>
      </c>
      <c r="O412" s="7">
        <v>1.4950000000000001</v>
      </c>
      <c r="P412" s="1" t="s">
        <v>3625</v>
      </c>
    </row>
    <row r="413" spans="1:16" ht="33.4" x14ac:dyDescent="0.3">
      <c r="A413" s="6" t="str">
        <f>HYPERLINK("https://www.ti.com/product/UCC33410-Q1", "UCC33410-Q1")</f>
        <v>UCC33410-Q1</v>
      </c>
      <c r="B413" s="5" t="s">
        <v>3626</v>
      </c>
      <c r="C413" s="6" t="str">
        <f>HYPERLINK("https://www.ti.com/lit/gpn/UCC33410-Q1", "PDF")</f>
        <v>PDF</v>
      </c>
      <c r="D413" s="5" t="s">
        <v>3627</v>
      </c>
      <c r="E413" s="5" t="s">
        <v>3628</v>
      </c>
      <c r="F413" s="5"/>
      <c r="G413" s="5" t="s">
        <v>3629</v>
      </c>
      <c r="H413" s="1" t="s">
        <v>3630</v>
      </c>
      <c r="I413" s="5" t="s">
        <v>3631</v>
      </c>
      <c r="J413" s="7">
        <v>12</v>
      </c>
      <c r="K413" s="7">
        <v>20</v>
      </c>
      <c r="L413" s="5" t="s">
        <v>3632</v>
      </c>
      <c r="M413" s="7">
        <v>1.05</v>
      </c>
      <c r="N413" s="7">
        <v>0.65</v>
      </c>
      <c r="O413" s="7">
        <v>1.764</v>
      </c>
      <c r="P413" s="1" t="s">
        <v>3633</v>
      </c>
    </row>
    <row r="414" spans="1:16" ht="49.75" x14ac:dyDescent="0.3">
      <c r="A414" s="6" t="str">
        <f>HYPERLINK("https://www.ti.com/product/UCC27614-Q1", "UCC27614-Q1")</f>
        <v>UCC27614-Q1</v>
      </c>
      <c r="B414" s="5" t="s">
        <v>3634</v>
      </c>
      <c r="C414" s="6" t="str">
        <f>HYPERLINK("https://www.ti.com/lit/gpn/UCC27614-Q1", "PDF")</f>
        <v>PDF</v>
      </c>
      <c r="D414" s="5" t="s">
        <v>3635</v>
      </c>
      <c r="E414" s="5" t="s">
        <v>3636</v>
      </c>
      <c r="F414" s="5"/>
      <c r="G414" s="5" t="s">
        <v>3637</v>
      </c>
      <c r="H414" s="1" t="s">
        <v>3638</v>
      </c>
      <c r="I414" s="5" t="s">
        <v>3639</v>
      </c>
      <c r="J414" s="7">
        <v>8</v>
      </c>
      <c r="K414" s="7" t="s">
        <v>3640</v>
      </c>
      <c r="L414" s="5" t="s">
        <v>3641</v>
      </c>
      <c r="M414" s="7" t="s">
        <v>3642</v>
      </c>
      <c r="N414" s="7" t="s">
        <v>3643</v>
      </c>
      <c r="O414" s="7">
        <v>0.65</v>
      </c>
      <c r="P414" s="1" t="s">
        <v>3644</v>
      </c>
    </row>
    <row r="415" spans="1:16" ht="33.4" x14ac:dyDescent="0.3">
      <c r="A415" s="6" t="str">
        <f>HYPERLINK("https://www.ti.com/product/ISOM8610", "ISOM8610")</f>
        <v>ISOM8610</v>
      </c>
      <c r="B415" s="5" t="s">
        <v>3645</v>
      </c>
      <c r="C415" s="6" t="str">
        <f>HYPERLINK("https://www.ti.com/lit/gpn/ISOM8610", "PDF")</f>
        <v>PDF</v>
      </c>
      <c r="D415" s="5" t="s">
        <v>3646</v>
      </c>
      <c r="E415" s="5" t="s">
        <v>3647</v>
      </c>
      <c r="F415" s="5"/>
      <c r="G415" s="5" t="s">
        <v>3648</v>
      </c>
      <c r="H415" s="1" t="s">
        <v>3649</v>
      </c>
      <c r="I415" s="5" t="s">
        <v>3650</v>
      </c>
      <c r="J415" s="7">
        <v>4</v>
      </c>
      <c r="K415" s="7">
        <v>24.57</v>
      </c>
      <c r="L415" s="5" t="s">
        <v>3651</v>
      </c>
      <c r="M415" s="7">
        <v>2.4</v>
      </c>
      <c r="N415" s="7">
        <v>2.54</v>
      </c>
      <c r="O415" s="7">
        <v>0.59899999999999998</v>
      </c>
      <c r="P415" s="1" t="s">
        <v>3652</v>
      </c>
    </row>
    <row r="416" spans="1:16" ht="33.4" x14ac:dyDescent="0.3">
      <c r="A416" s="6" t="str">
        <f>HYPERLINK("https://www.ti.com/product/LM5171", "LM5171")</f>
        <v>LM5171</v>
      </c>
      <c r="B416" s="5" t="s">
        <v>3653</v>
      </c>
      <c r="C416" s="6" t="str">
        <f>HYPERLINK("https://www.ti.com/lit/gpn/LM5171", "PDF")</f>
        <v>PDF</v>
      </c>
      <c r="D416" s="5" t="s">
        <v>3654</v>
      </c>
      <c r="E416" s="5" t="s">
        <v>3655</v>
      </c>
      <c r="F416" s="5" t="s">
        <v>3656</v>
      </c>
      <c r="G416" s="5" t="s">
        <v>3657</v>
      </c>
      <c r="H416" s="1" t="s">
        <v>3658</v>
      </c>
      <c r="I416" s="5" t="s">
        <v>3659</v>
      </c>
      <c r="J416" s="7">
        <v>48</v>
      </c>
      <c r="K416" s="7">
        <v>81</v>
      </c>
      <c r="L416" s="5" t="s">
        <v>3660</v>
      </c>
      <c r="M416" s="7">
        <v>1.2</v>
      </c>
      <c r="N416" s="7">
        <v>0.5</v>
      </c>
      <c r="O416" s="7">
        <v>2.923</v>
      </c>
      <c r="P416" s="1" t="s">
        <v>3661</v>
      </c>
    </row>
    <row r="417" spans="1:16" ht="33.4" x14ac:dyDescent="0.3">
      <c r="A417" s="6" t="str">
        <f>HYPERLINK("https://www.ti.com/product/LM70840-Q1", "LM70840-Q1")</f>
        <v>LM70840-Q1</v>
      </c>
      <c r="B417" s="5" t="s">
        <v>3662</v>
      </c>
      <c r="C417" s="6" t="str">
        <f>HYPERLINK("https://www.ti.com/lit/gpn/LM70840-Q1", "PDF")</f>
        <v>PDF</v>
      </c>
      <c r="D417" s="5" t="s">
        <v>3663</v>
      </c>
      <c r="E417" s="5" t="s">
        <v>3664</v>
      </c>
      <c r="F417" s="5" t="s">
        <v>3665</v>
      </c>
      <c r="G417" s="5" t="s">
        <v>3666</v>
      </c>
      <c r="H417" s="1" t="s">
        <v>3667</v>
      </c>
      <c r="I417" s="5" t="s">
        <v>3668</v>
      </c>
      <c r="J417" s="7">
        <v>29</v>
      </c>
      <c r="K417" s="7">
        <v>36</v>
      </c>
      <c r="L417" s="5" t="s">
        <v>3669</v>
      </c>
      <c r="M417" s="7">
        <v>1</v>
      </c>
      <c r="N417" s="7">
        <v>0.5</v>
      </c>
      <c r="O417" s="7">
        <v>3.0270000000000001</v>
      </c>
      <c r="P417" s="1" t="s">
        <v>3670</v>
      </c>
    </row>
    <row r="418" spans="1:16" ht="33.4" x14ac:dyDescent="0.3">
      <c r="A418" s="6" t="str">
        <f>HYPERLINK("https://www.ti.com/product/LM70860-Q1", "LM70860-Q1")</f>
        <v>LM70860-Q1</v>
      </c>
      <c r="B418" s="5" t="s">
        <v>3671</v>
      </c>
      <c r="C418" s="6" t="str">
        <f>HYPERLINK("https://www.ti.com/lit/gpn/LM70860-Q1", "PDF")</f>
        <v>PDF</v>
      </c>
      <c r="D418" s="5" t="s">
        <v>3672</v>
      </c>
      <c r="E418" s="5" t="s">
        <v>3673</v>
      </c>
      <c r="F418" s="5" t="s">
        <v>3674</v>
      </c>
      <c r="G418" s="5" t="s">
        <v>3675</v>
      </c>
      <c r="H418" s="1" t="s">
        <v>3676</v>
      </c>
      <c r="I418" s="5" t="s">
        <v>3677</v>
      </c>
      <c r="J418" s="7">
        <v>29</v>
      </c>
      <c r="K418" s="7">
        <v>36</v>
      </c>
      <c r="L418" s="5" t="s">
        <v>3678</v>
      </c>
      <c r="M418" s="7">
        <v>1</v>
      </c>
      <c r="N418" s="7">
        <v>0.5</v>
      </c>
      <c r="O418" s="7">
        <v>3.1789999999999998</v>
      </c>
      <c r="P418" s="1" t="s">
        <v>3679</v>
      </c>
    </row>
    <row r="419" spans="1:16" ht="33.4" x14ac:dyDescent="0.3">
      <c r="A419" s="6" t="str">
        <f>HYPERLINK("https://www.ti.com/product/LM70880-Q1", "LM70880-Q1")</f>
        <v>LM70880-Q1</v>
      </c>
      <c r="B419" s="5" t="s">
        <v>3680</v>
      </c>
      <c r="C419" s="6" t="str">
        <f>HYPERLINK("https://www.ti.com/lit/gpn/LM70880-Q1", "PDF")</f>
        <v>PDF</v>
      </c>
      <c r="D419" s="5" t="s">
        <v>3681</v>
      </c>
      <c r="E419" s="5" t="s">
        <v>3682</v>
      </c>
      <c r="F419" s="5" t="s">
        <v>3683</v>
      </c>
      <c r="G419" s="5" t="s">
        <v>3684</v>
      </c>
      <c r="H419" s="1" t="s">
        <v>3685</v>
      </c>
      <c r="I419" s="5" t="s">
        <v>3686</v>
      </c>
      <c r="J419" s="7">
        <v>29</v>
      </c>
      <c r="K419" s="7">
        <v>36</v>
      </c>
      <c r="L419" s="5" t="s">
        <v>3687</v>
      </c>
      <c r="M419" s="7">
        <v>1</v>
      </c>
      <c r="N419" s="7">
        <v>0.5</v>
      </c>
      <c r="O419" s="7">
        <v>3.4159999999999999</v>
      </c>
      <c r="P419" s="1" t="s">
        <v>3688</v>
      </c>
    </row>
    <row r="420" spans="1:16" ht="33.4" x14ac:dyDescent="0.3">
      <c r="A420" s="6" t="str">
        <f>HYPERLINK("https://www.ti.com/product/LMR36503E-Q1", "LMR36503E-Q1")</f>
        <v>LMR36503E-Q1</v>
      </c>
      <c r="B420" s="5" t="s">
        <v>3689</v>
      </c>
      <c r="C420" s="6" t="str">
        <f>HYPERLINK("https://www.ti.com/lit/gpn/LMR36503E-Q1", "PDF")</f>
        <v>PDF</v>
      </c>
      <c r="D420" s="5" t="s">
        <v>3690</v>
      </c>
      <c r="E420" s="5" t="s">
        <v>3691</v>
      </c>
      <c r="F420" s="5" t="s">
        <v>3692</v>
      </c>
      <c r="G420" s="5" t="s">
        <v>3693</v>
      </c>
      <c r="H420" s="1" t="s">
        <v>3694</v>
      </c>
      <c r="I420" s="5" t="s">
        <v>3695</v>
      </c>
      <c r="J420" s="7">
        <v>9</v>
      </c>
      <c r="K420" s="7">
        <v>4</v>
      </c>
      <c r="L420" s="5" t="s">
        <v>3696</v>
      </c>
      <c r="M420" s="7">
        <v>1</v>
      </c>
      <c r="N420" s="7">
        <v>0.5</v>
      </c>
      <c r="O420" s="7">
        <v>1.8069999999999999</v>
      </c>
      <c r="P420" s="1" t="s">
        <v>3697</v>
      </c>
    </row>
    <row r="421" spans="1:16" ht="33.4" x14ac:dyDescent="0.3">
      <c r="A421" s="6" t="str">
        <f>HYPERLINK("https://www.ti.com/product/TLV770", "TLV770")</f>
        <v>TLV770</v>
      </c>
      <c r="B421" s="5" t="s">
        <v>3698</v>
      </c>
      <c r="C421" s="6" t="str">
        <f>HYPERLINK("https://www.ti.com/lit/gpn/TLV770", "PDF")</f>
        <v>PDF</v>
      </c>
      <c r="D421" s="5" t="s">
        <v>3699</v>
      </c>
      <c r="E421" s="5" t="s">
        <v>3700</v>
      </c>
      <c r="F421" s="5"/>
      <c r="G421" s="5" t="s">
        <v>3701</v>
      </c>
      <c r="H421" s="1" t="s">
        <v>3702</v>
      </c>
      <c r="I421" s="5" t="s">
        <v>3703</v>
      </c>
      <c r="J421" s="7" t="s">
        <v>3704</v>
      </c>
      <c r="K421" s="7" t="s">
        <v>3705</v>
      </c>
      <c r="L421" s="5" t="s">
        <v>3706</v>
      </c>
      <c r="M421" s="7" t="s">
        <v>3707</v>
      </c>
      <c r="N421" s="7" t="s">
        <v>3708</v>
      </c>
      <c r="O421" s="7">
        <v>1.9E-2</v>
      </c>
      <c r="P421" s="1" t="s">
        <v>3709</v>
      </c>
    </row>
    <row r="422" spans="1:16" ht="33.4" x14ac:dyDescent="0.3">
      <c r="A422" s="6" t="str">
        <f>HYPERLINK("https://www.ti.com/product/TPS55189-Q1", "TPS55189-Q1")</f>
        <v>TPS55189-Q1</v>
      </c>
      <c r="B422" s="5" t="s">
        <v>3710</v>
      </c>
      <c r="C422" s="6" t="str">
        <f>HYPERLINK("https://www.ti.com/lit/gpn/TPS55189-Q1", "PDF")</f>
        <v>PDF</v>
      </c>
      <c r="D422" s="5" t="s">
        <v>3711</v>
      </c>
      <c r="E422" s="5" t="s">
        <v>3712</v>
      </c>
      <c r="F422" s="5" t="s">
        <v>3713</v>
      </c>
      <c r="G422" s="5" t="s">
        <v>3714</v>
      </c>
      <c r="H422" s="1" t="s">
        <v>3715</v>
      </c>
      <c r="I422" s="5" t="s">
        <v>3716</v>
      </c>
      <c r="J422" s="7">
        <v>21</v>
      </c>
      <c r="K422" s="7">
        <v>15</v>
      </c>
      <c r="L422" s="5" t="s">
        <v>3717</v>
      </c>
      <c r="M422" s="7">
        <v>1</v>
      </c>
      <c r="N422" s="7">
        <v>0.5</v>
      </c>
      <c r="O422" s="7">
        <v>2.258</v>
      </c>
      <c r="P422" s="1" t="s">
        <v>3718</v>
      </c>
    </row>
    <row r="423" spans="1:16" ht="33.4" x14ac:dyDescent="0.3">
      <c r="A423" s="6" t="str">
        <f>HYPERLINK("https://www.ti.com/product/TPS7H3014-SP", "TPS7H3014-SP")</f>
        <v>TPS7H3014-SP</v>
      </c>
      <c r="B423" s="5" t="s">
        <v>3719</v>
      </c>
      <c r="C423" s="6" t="str">
        <f>HYPERLINK("https://www.ti.com/lit/gpn/TPS7H3014-SP", "PDF")</f>
        <v>PDF</v>
      </c>
      <c r="D423" s="5" t="s">
        <v>3720</v>
      </c>
      <c r="E423" s="5" t="s">
        <v>3721</v>
      </c>
      <c r="F423" s="5"/>
      <c r="G423" s="5" t="s">
        <v>3722</v>
      </c>
      <c r="H423" s="1" t="s">
        <v>3723</v>
      </c>
      <c r="I423" s="5" t="s">
        <v>3724</v>
      </c>
      <c r="J423" s="7">
        <v>22</v>
      </c>
      <c r="K423" s="7">
        <v>60.221856000000002</v>
      </c>
      <c r="L423" s="5" t="s">
        <v>3725</v>
      </c>
      <c r="M423" s="7">
        <v>2.4279999999999999</v>
      </c>
      <c r="N423" s="7">
        <v>0.63500000000000001</v>
      </c>
      <c r="O423" s="7">
        <v>1732.9</v>
      </c>
      <c r="P423" s="1" t="s">
        <v>3726</v>
      </c>
    </row>
    <row r="424" spans="1:16" ht="49.75" x14ac:dyDescent="0.3">
      <c r="A424" s="6" t="str">
        <f>HYPERLINK("https://www.ti.com/product/TPSM8287A10", "TPSM8287A10")</f>
        <v>TPSM8287A10</v>
      </c>
      <c r="B424" s="5" t="s">
        <v>3727</v>
      </c>
      <c r="C424" s="6" t="str">
        <f>HYPERLINK("https://www.ti.com/lit/gpn/TPSM8287A10", "PDF")</f>
        <v>PDF</v>
      </c>
      <c r="D424" s="5" t="s">
        <v>3728</v>
      </c>
      <c r="E424" s="5" t="s">
        <v>3729</v>
      </c>
      <c r="F424" s="5" t="s">
        <v>3730</v>
      </c>
      <c r="G424" s="5" t="s">
        <v>3731</v>
      </c>
      <c r="H424" s="1" t="s">
        <v>3732</v>
      </c>
      <c r="I424" s="5" t="s">
        <v>3733</v>
      </c>
      <c r="J424" s="7">
        <v>39</v>
      </c>
      <c r="K424" s="7">
        <v>30.6</v>
      </c>
      <c r="L424" s="5" t="s">
        <v>3734</v>
      </c>
      <c r="M424" s="7">
        <v>4</v>
      </c>
      <c r="N424" s="7">
        <v>0.5</v>
      </c>
      <c r="O424" s="7">
        <v>6.59</v>
      </c>
      <c r="P424" s="1" t="s">
        <v>3735</v>
      </c>
    </row>
    <row r="425" spans="1:16" ht="49.75" x14ac:dyDescent="0.3">
      <c r="A425" s="6" t="str">
        <f>HYPERLINK("https://www.ti.com/product/TPSM8287A15", "TPSM8287A15")</f>
        <v>TPSM8287A15</v>
      </c>
      <c r="B425" s="5" t="s">
        <v>3736</v>
      </c>
      <c r="C425" s="6" t="str">
        <f>HYPERLINK("https://www.ti.com/lit/gpn/TPSM8287A15", "PDF")</f>
        <v>PDF</v>
      </c>
      <c r="D425" s="5" t="s">
        <v>3737</v>
      </c>
      <c r="E425" s="5" t="s">
        <v>3738</v>
      </c>
      <c r="F425" s="5" t="s">
        <v>3739</v>
      </c>
      <c r="G425" s="5" t="s">
        <v>3740</v>
      </c>
      <c r="H425" s="1" t="s">
        <v>3741</v>
      </c>
      <c r="I425" s="5" t="s">
        <v>3742</v>
      </c>
      <c r="J425" s="7">
        <v>39</v>
      </c>
      <c r="K425" s="7">
        <v>30.6</v>
      </c>
      <c r="L425" s="5" t="s">
        <v>3743</v>
      </c>
      <c r="M425" s="7">
        <v>4</v>
      </c>
      <c r="N425" s="7">
        <v>0.5</v>
      </c>
      <c r="O425" s="7">
        <v>10.119999999999999</v>
      </c>
      <c r="P425" s="1" t="s">
        <v>3744</v>
      </c>
    </row>
    <row r="426" spans="1:16" ht="33.4" x14ac:dyDescent="0.3">
      <c r="A426" s="6" t="str">
        <f>HYPERLINK("https://www.ti.com/product/TPS543B25T", "TPS543B25T")</f>
        <v>TPS543B25T</v>
      </c>
      <c r="B426" s="5" t="s">
        <v>3745</v>
      </c>
      <c r="C426" s="6" t="str">
        <f>HYPERLINK("https://www.ti.com/lit/gpn/TPS543B25T", "PDF")</f>
        <v>PDF</v>
      </c>
      <c r="D426" s="5" t="s">
        <v>3746</v>
      </c>
      <c r="E426" s="5" t="s">
        <v>3747</v>
      </c>
      <c r="F426" s="5"/>
      <c r="G426" s="5" t="s">
        <v>3748</v>
      </c>
      <c r="H426" s="1" t="s">
        <v>3749</v>
      </c>
      <c r="I426" s="5" t="s">
        <v>3750</v>
      </c>
      <c r="J426" s="7">
        <v>17</v>
      </c>
      <c r="K426" s="7">
        <v>11.25</v>
      </c>
      <c r="L426" s="5" t="s">
        <v>3751</v>
      </c>
      <c r="M426" s="7">
        <v>0.7</v>
      </c>
      <c r="N426" s="7">
        <v>0.5</v>
      </c>
      <c r="O426" s="7">
        <v>2.2999999999999998</v>
      </c>
      <c r="P426" s="1" t="s">
        <v>3752</v>
      </c>
    </row>
    <row r="427" spans="1:16" ht="33.4" x14ac:dyDescent="0.3">
      <c r="A427" s="6" t="str">
        <f>HYPERLINK("https://www.ti.com/product/TPS23881B", "TPS23881B")</f>
        <v>TPS23881B</v>
      </c>
      <c r="B427" s="5" t="s">
        <v>3753</v>
      </c>
      <c r="C427" s="6" t="str">
        <f>HYPERLINK("https://www.ti.com/lit/gpn/TPS23881B", "PDF")</f>
        <v>PDF</v>
      </c>
      <c r="D427" s="5" t="s">
        <v>3754</v>
      </c>
      <c r="E427" s="5" t="s">
        <v>3755</v>
      </c>
      <c r="F427" s="5"/>
      <c r="G427" s="5" t="s">
        <v>3756</v>
      </c>
      <c r="H427" s="1" t="s">
        <v>3757</v>
      </c>
      <c r="I427" s="5" t="s">
        <v>3758</v>
      </c>
      <c r="J427" s="7">
        <v>56</v>
      </c>
      <c r="K427" s="7">
        <v>64</v>
      </c>
      <c r="L427" s="5" t="s">
        <v>3759</v>
      </c>
      <c r="M427" s="7">
        <v>1</v>
      </c>
      <c r="N427" s="7">
        <v>0.5</v>
      </c>
      <c r="O427" s="7">
        <v>3.3340000000000001</v>
      </c>
      <c r="P427" s="1" t="s">
        <v>3760</v>
      </c>
    </row>
    <row r="428" spans="1:16" ht="33.4" x14ac:dyDescent="0.3">
      <c r="A428" s="6" t="str">
        <f>HYPERLINK("https://www.ti.com/product/TLV771", "TLV771")</f>
        <v>TLV771</v>
      </c>
      <c r="B428" s="5" t="s">
        <v>3761</v>
      </c>
      <c r="C428" s="6" t="str">
        <f>HYPERLINK("https://www.ti.com/lit/gpn/TLV771", "PDF")</f>
        <v>PDF</v>
      </c>
      <c r="D428" s="5" t="s">
        <v>3762</v>
      </c>
      <c r="E428" s="5" t="s">
        <v>3763</v>
      </c>
      <c r="F428" s="5"/>
      <c r="G428" s="5" t="s">
        <v>3764</v>
      </c>
      <c r="H428" s="1" t="s">
        <v>3765</v>
      </c>
      <c r="I428" s="5" t="s">
        <v>3766</v>
      </c>
      <c r="J428" s="7" t="s">
        <v>3767</v>
      </c>
      <c r="K428" s="7" t="s">
        <v>3768</v>
      </c>
      <c r="L428" s="5" t="s">
        <v>3769</v>
      </c>
      <c r="M428" s="7" t="s">
        <v>3770</v>
      </c>
      <c r="N428" s="7" t="s">
        <v>3771</v>
      </c>
      <c r="O428" s="7">
        <v>2.3E-2</v>
      </c>
      <c r="P428" s="1" t="s">
        <v>3772</v>
      </c>
    </row>
    <row r="429" spans="1:16" ht="33.4" x14ac:dyDescent="0.3">
      <c r="A429" s="6" t="str">
        <f>HYPERLINK("https://www.ti.com/product/TPSM86637", "TPSM86637")</f>
        <v>TPSM86637</v>
      </c>
      <c r="B429" s="5" t="s">
        <v>3773</v>
      </c>
      <c r="C429" s="6" t="str">
        <f>HYPERLINK("https://www.ti.com/lit/gpn/TPSM86637", "PDF")</f>
        <v>PDF</v>
      </c>
      <c r="D429" s="5" t="s">
        <v>3774</v>
      </c>
      <c r="E429" s="5" t="s">
        <v>3775</v>
      </c>
      <c r="F429" s="5" t="s">
        <v>3776</v>
      </c>
      <c r="G429" s="5" t="s">
        <v>3777</v>
      </c>
      <c r="H429" s="1" t="s">
        <v>3778</v>
      </c>
      <c r="I429" s="5" t="s">
        <v>3779</v>
      </c>
      <c r="J429" s="7">
        <v>19</v>
      </c>
      <c r="K429" s="7">
        <v>27.5</v>
      </c>
      <c r="L429" s="5" t="s">
        <v>3780</v>
      </c>
      <c r="M429" s="7">
        <v>4.0999999999999996</v>
      </c>
      <c r="N429" s="7">
        <v>0.5</v>
      </c>
      <c r="O429" s="7">
        <v>3.7949999999999999</v>
      </c>
      <c r="P429" s="1" t="s">
        <v>3781</v>
      </c>
    </row>
    <row r="430" spans="1:16" ht="33.4" x14ac:dyDescent="0.3">
      <c r="A430" s="6" t="str">
        <f>HYPERLINK("https://www.ti.com/product/TPSM86638", "TPSM86638")</f>
        <v>TPSM86638</v>
      </c>
      <c r="B430" s="5" t="s">
        <v>3782</v>
      </c>
      <c r="C430" s="6" t="str">
        <f>HYPERLINK("https://www.ti.com/lit/gpn/TPSM86638", "PDF")</f>
        <v>PDF</v>
      </c>
      <c r="D430" s="5" t="s">
        <v>3783</v>
      </c>
      <c r="E430" s="5" t="s">
        <v>3784</v>
      </c>
      <c r="F430" s="5" t="s">
        <v>3785</v>
      </c>
      <c r="G430" s="5" t="s">
        <v>3786</v>
      </c>
      <c r="H430" s="1" t="s">
        <v>3787</v>
      </c>
      <c r="I430" s="5" t="s">
        <v>3788</v>
      </c>
      <c r="J430" s="7">
        <v>19</v>
      </c>
      <c r="K430" s="7">
        <v>27.5</v>
      </c>
      <c r="L430" s="5" t="s">
        <v>3789</v>
      </c>
      <c r="M430" s="7">
        <v>4.0999999999999996</v>
      </c>
      <c r="N430" s="7">
        <v>0.5</v>
      </c>
      <c r="O430" s="7">
        <v>3.7949999999999999</v>
      </c>
      <c r="P430" s="1" t="s">
        <v>3790</v>
      </c>
    </row>
    <row r="431" spans="1:16" ht="33.4" x14ac:dyDescent="0.3">
      <c r="A431" s="6" t="str">
        <f>HYPERLINK("https://www.ti.com/product/TPSM86837", "TPSM86837")</f>
        <v>TPSM86837</v>
      </c>
      <c r="B431" s="5" t="s">
        <v>3791</v>
      </c>
      <c r="C431" s="6" t="str">
        <f>HYPERLINK("https://www.ti.com/lit/gpn/TPSM86837", "PDF")</f>
        <v>PDF</v>
      </c>
      <c r="D431" s="5" t="s">
        <v>3792</v>
      </c>
      <c r="E431" s="5" t="s">
        <v>3793</v>
      </c>
      <c r="F431" s="5" t="s">
        <v>3794</v>
      </c>
      <c r="G431" s="5" t="s">
        <v>3795</v>
      </c>
      <c r="H431" s="1" t="s">
        <v>3796</v>
      </c>
      <c r="I431" s="5" t="s">
        <v>3797</v>
      </c>
      <c r="J431" s="7">
        <v>19</v>
      </c>
      <c r="K431" s="7">
        <v>27.5</v>
      </c>
      <c r="L431" s="5" t="s">
        <v>3798</v>
      </c>
      <c r="M431" s="7">
        <v>4.0999999999999996</v>
      </c>
      <c r="N431" s="7">
        <v>0.5</v>
      </c>
      <c r="O431" s="7">
        <v>4.2210000000000001</v>
      </c>
      <c r="P431" s="1" t="s">
        <v>3799</v>
      </c>
    </row>
    <row r="432" spans="1:16" ht="33.4" x14ac:dyDescent="0.3">
      <c r="A432" s="6" t="str">
        <f>HYPERLINK("https://www.ti.com/product/TPS7B91", "TPS7B91")</f>
        <v>TPS7B91</v>
      </c>
      <c r="B432" s="5" t="s">
        <v>3800</v>
      </c>
      <c r="C432" s="6" t="str">
        <f>HYPERLINK("https://www.ti.com/lit/gpn/TPS7B91", "PDF")</f>
        <v>PDF</v>
      </c>
      <c r="D432" s="5" t="s">
        <v>3801</v>
      </c>
      <c r="E432" s="5" t="s">
        <v>3802</v>
      </c>
      <c r="F432" s="5"/>
      <c r="G432" s="5" t="s">
        <v>3803</v>
      </c>
      <c r="H432" s="1" t="s">
        <v>3804</v>
      </c>
      <c r="I432" s="5" t="s">
        <v>3805</v>
      </c>
      <c r="J432" s="7">
        <v>5</v>
      </c>
      <c r="K432" s="7">
        <v>8.1199999999999992</v>
      </c>
      <c r="L432" s="5" t="s">
        <v>3806</v>
      </c>
      <c r="M432" s="7">
        <v>1.45</v>
      </c>
      <c r="N432" s="7">
        <v>0.95</v>
      </c>
      <c r="O432" s="7">
        <v>9.2999999999999999E-2</v>
      </c>
      <c r="P432" s="1" t="s">
        <v>3807</v>
      </c>
    </row>
    <row r="433" spans="1:16" ht="33.4" x14ac:dyDescent="0.3">
      <c r="A433" s="6" t="str">
        <f>HYPERLINK("https://www.ti.com/product/TPS7B92", "TPS7B92")</f>
        <v>TPS7B92</v>
      </c>
      <c r="B433" s="5" t="s">
        <v>3808</v>
      </c>
      <c r="C433" s="6" t="str">
        <f>HYPERLINK("https://www.ti.com/lit/gpn/TPS7B92", "PDF")</f>
        <v>PDF</v>
      </c>
      <c r="D433" s="5" t="s">
        <v>3809</v>
      </c>
      <c r="E433" s="5" t="s">
        <v>3810</v>
      </c>
      <c r="F433" s="5"/>
      <c r="G433" s="5" t="s">
        <v>3811</v>
      </c>
      <c r="H433" s="1" t="s">
        <v>3812</v>
      </c>
      <c r="I433" s="5" t="s">
        <v>3813</v>
      </c>
      <c r="J433" s="7">
        <v>5</v>
      </c>
      <c r="K433" s="7">
        <v>8.1199999999999992</v>
      </c>
      <c r="L433" s="5" t="s">
        <v>3814</v>
      </c>
      <c r="M433" s="7">
        <v>1.45</v>
      </c>
      <c r="N433" s="7">
        <v>0.95</v>
      </c>
      <c r="O433" s="7">
        <v>0.11799999999999999</v>
      </c>
      <c r="P433" s="1" t="s">
        <v>3815</v>
      </c>
    </row>
    <row r="434" spans="1:16" ht="17.05" x14ac:dyDescent="0.3">
      <c r="A434" s="6" t="str">
        <f>HYPERLINK("https://www.ti.com/product/TPS53840", "TPS53840")</f>
        <v>TPS53840</v>
      </c>
      <c r="B434" s="5" t="s">
        <v>3816</v>
      </c>
      <c r="C434" s="6" t="str">
        <f>HYPERLINK("https://www.ti.com/lit/gpn/TPS53840", "PDF")</f>
        <v>PDF</v>
      </c>
      <c r="D434" s="5" t="s">
        <v>3817</v>
      </c>
      <c r="E434" s="5" t="s">
        <v>3818</v>
      </c>
      <c r="F434" s="5"/>
      <c r="G434" s="5" t="s">
        <v>3819</v>
      </c>
      <c r="H434" s="1" t="s">
        <v>3820</v>
      </c>
      <c r="I434" s="5" t="s">
        <v>3821</v>
      </c>
      <c r="J434" s="7">
        <v>35</v>
      </c>
      <c r="K434" s="7">
        <v>25</v>
      </c>
      <c r="L434" s="5" t="s">
        <v>3822</v>
      </c>
      <c r="M434" s="7">
        <v>1</v>
      </c>
      <c r="N434" s="7">
        <v>0.4</v>
      </c>
      <c r="O434" s="7">
        <v>5.52</v>
      </c>
      <c r="P434" s="1" t="s">
        <v>3823</v>
      </c>
    </row>
    <row r="435" spans="1:16" ht="33.4" x14ac:dyDescent="0.3">
      <c r="A435" s="6" t="str">
        <f>HYPERLINK("https://www.ti.com/product/LMR51406", "LMR51406")</f>
        <v>LMR51406</v>
      </c>
      <c r="B435" s="5" t="s">
        <v>3824</v>
      </c>
      <c r="C435" s="6" t="str">
        <f>HYPERLINK("https://www.ti.com/lit/gpn/LMR51406", "PDF")</f>
        <v>PDF</v>
      </c>
      <c r="D435" s="5" t="s">
        <v>3825</v>
      </c>
      <c r="E435" s="5" t="s">
        <v>3826</v>
      </c>
      <c r="F435" s="5"/>
      <c r="G435" s="5" t="s">
        <v>3827</v>
      </c>
      <c r="H435" s="1" t="s">
        <v>3828</v>
      </c>
      <c r="I435" s="5" t="s">
        <v>3829</v>
      </c>
      <c r="J435" s="7">
        <v>6</v>
      </c>
      <c r="K435" s="7">
        <v>8.1199999999999992</v>
      </c>
      <c r="L435" s="5" t="s">
        <v>3830</v>
      </c>
      <c r="M435" s="7">
        <v>1.45</v>
      </c>
      <c r="N435" s="7">
        <v>0.95</v>
      </c>
      <c r="O435" s="7">
        <v>0.45300000000000001</v>
      </c>
      <c r="P435" s="1" t="s">
        <v>3831</v>
      </c>
    </row>
    <row r="436" spans="1:16" ht="33.4" x14ac:dyDescent="0.3">
      <c r="A436" s="6" t="str">
        <f>HYPERLINK("https://www.ti.com/product/LMR51410", "LMR51410")</f>
        <v>LMR51410</v>
      </c>
      <c r="B436" s="5" t="s">
        <v>3832</v>
      </c>
      <c r="C436" s="6" t="str">
        <f>HYPERLINK("https://www.ti.com/lit/gpn/LMR51410", "PDF")</f>
        <v>PDF</v>
      </c>
      <c r="D436" s="5" t="s">
        <v>3833</v>
      </c>
      <c r="E436" s="5" t="s">
        <v>3834</v>
      </c>
      <c r="F436" s="5"/>
      <c r="G436" s="5" t="s">
        <v>3835</v>
      </c>
      <c r="H436" s="1" t="s">
        <v>3836</v>
      </c>
      <c r="I436" s="5" t="s">
        <v>3837</v>
      </c>
      <c r="J436" s="7">
        <v>6</v>
      </c>
      <c r="K436" s="7">
        <v>8.1199999999999992</v>
      </c>
      <c r="L436" s="5" t="s">
        <v>3838</v>
      </c>
      <c r="M436" s="7">
        <v>1.45</v>
      </c>
      <c r="N436" s="7">
        <v>0.95</v>
      </c>
      <c r="O436" s="7">
        <v>0.42199999999999999</v>
      </c>
      <c r="P436" s="1" t="s">
        <v>3839</v>
      </c>
    </row>
    <row r="437" spans="1:16" ht="33.4" x14ac:dyDescent="0.3">
      <c r="A437" s="6" t="str">
        <f>HYPERLINK("https://www.ti.com/product/UCC21331", "UCC21331")</f>
        <v>UCC21331</v>
      </c>
      <c r="B437" s="5" t="s">
        <v>3840</v>
      </c>
      <c r="C437" s="6" t="str">
        <f>HYPERLINK("https://www.ti.com/lit/gpn/UCC21331", "PDF")</f>
        <v>PDF</v>
      </c>
      <c r="D437" s="5" t="s">
        <v>3841</v>
      </c>
      <c r="E437" s="5" t="s">
        <v>3842</v>
      </c>
      <c r="F437" s="5"/>
      <c r="G437" s="5" t="s">
        <v>3843</v>
      </c>
      <c r="H437" s="1" t="s">
        <v>3844</v>
      </c>
      <c r="I437" s="5" t="s">
        <v>3845</v>
      </c>
      <c r="J437" s="7">
        <v>16</v>
      </c>
      <c r="K437" s="7">
        <v>59.4</v>
      </c>
      <c r="L437" s="5" t="s">
        <v>3846</v>
      </c>
      <c r="M437" s="7">
        <v>1.75</v>
      </c>
      <c r="N437" s="7">
        <v>1.27</v>
      </c>
      <c r="O437" s="7">
        <v>0.50600000000000001</v>
      </c>
      <c r="P437" s="1" t="s">
        <v>3847</v>
      </c>
    </row>
    <row r="438" spans="1:16" ht="33.4" x14ac:dyDescent="0.3">
      <c r="A438" s="6" t="str">
        <f>HYPERLINK("https://www.ti.com/product/UCC21331-Q1", "UCC21331-Q1")</f>
        <v>UCC21331-Q1</v>
      </c>
      <c r="B438" s="5" t="s">
        <v>3848</v>
      </c>
      <c r="C438" s="6" t="str">
        <f>HYPERLINK("https://www.ti.com/lit/gpn/UCC21331-Q1", "PDF")</f>
        <v>PDF</v>
      </c>
      <c r="D438" s="5" t="s">
        <v>3849</v>
      </c>
      <c r="E438" s="5" t="s">
        <v>3850</v>
      </c>
      <c r="F438" s="5"/>
      <c r="G438" s="5" t="s">
        <v>3851</v>
      </c>
      <c r="H438" s="1" t="s">
        <v>3852</v>
      </c>
      <c r="I438" s="5" t="s">
        <v>3853</v>
      </c>
      <c r="J438" s="7">
        <v>16</v>
      </c>
      <c r="K438" s="7">
        <v>59.4</v>
      </c>
      <c r="L438" s="5" t="s">
        <v>3854</v>
      </c>
      <c r="M438" s="7">
        <v>1.75</v>
      </c>
      <c r="N438" s="7">
        <v>1.27</v>
      </c>
      <c r="O438" s="7">
        <v>0.59699999999999998</v>
      </c>
      <c r="P438" s="1" t="s">
        <v>3855</v>
      </c>
    </row>
    <row r="439" spans="1:16" ht="17.05" x14ac:dyDescent="0.3">
      <c r="A439" s="6" t="str">
        <f>HYPERLINK("https://www.ti.com/product/TPS7H6023-SP", "TPS7H6023-SP")</f>
        <v>TPS7H6023-SP</v>
      </c>
      <c r="B439" s="5" t="s">
        <v>3856</v>
      </c>
      <c r="C439" s="6" t="str">
        <f>HYPERLINK("https://www.ti.com/lit/gpn/TPS7H6023-SP", "PDF")</f>
        <v>PDF</v>
      </c>
      <c r="D439" s="5" t="s">
        <v>3857</v>
      </c>
      <c r="E439" s="5" t="s">
        <v>3858</v>
      </c>
      <c r="F439" s="5"/>
      <c r="G439" s="5" t="s">
        <v>3859</v>
      </c>
      <c r="H439" s="1" t="s">
        <v>3860</v>
      </c>
      <c r="I439" s="5" t="s">
        <v>3861</v>
      </c>
      <c r="J439" s="7">
        <v>48</v>
      </c>
      <c r="K439" s="7">
        <v>468.72</v>
      </c>
      <c r="L439" s="5" t="s">
        <v>3862</v>
      </c>
      <c r="M439" s="7">
        <v>2.6669999999999998</v>
      </c>
      <c r="N439" s="7">
        <v>0.63500000000000001</v>
      </c>
      <c r="O439" s="7">
        <v>1090.568</v>
      </c>
      <c r="P439" s="1" t="s">
        <v>3863</v>
      </c>
    </row>
    <row r="440" spans="1:16" ht="33.4" x14ac:dyDescent="0.3">
      <c r="A440" s="6" t="str">
        <f>HYPERLINK("https://www.ti.com/product/TPS62916", "TPS62916")</f>
        <v>TPS62916</v>
      </c>
      <c r="B440" s="5" t="s">
        <v>3864</v>
      </c>
      <c r="C440" s="6" t="str">
        <f>HYPERLINK("https://www.ti.com/lit/gpn/TPS62916", "PDF")</f>
        <v>PDF</v>
      </c>
      <c r="D440" s="5" t="s">
        <v>3865</v>
      </c>
      <c r="E440" s="5" t="s">
        <v>3866</v>
      </c>
      <c r="F440" s="5" t="s">
        <v>3867</v>
      </c>
      <c r="G440" s="5" t="s">
        <v>3868</v>
      </c>
      <c r="H440" s="1" t="s">
        <v>3869</v>
      </c>
      <c r="I440" s="5" t="s">
        <v>3870</v>
      </c>
      <c r="J440" s="7">
        <v>14</v>
      </c>
      <c r="K440" s="7">
        <v>7.5</v>
      </c>
      <c r="L440" s="5" t="s">
        <v>3871</v>
      </c>
      <c r="M440" s="7">
        <v>1</v>
      </c>
      <c r="N440" s="7">
        <v>0.5</v>
      </c>
      <c r="O440" s="7">
        <v>1.7250000000000001</v>
      </c>
      <c r="P440" s="1" t="s">
        <v>3872</v>
      </c>
    </row>
    <row r="441" spans="1:16" ht="33.4" x14ac:dyDescent="0.3">
      <c r="A441" s="6" t="str">
        <f>HYPERLINK("https://www.ti.com/product/TPS25751", "TPS25751")</f>
        <v>TPS25751</v>
      </c>
      <c r="B441" s="5" t="s">
        <v>3873</v>
      </c>
      <c r="C441" s="6" t="str">
        <f>HYPERLINK("https://www.ti.com/lit/gpn/TPS25751", "PDF")</f>
        <v>PDF</v>
      </c>
      <c r="D441" s="5" t="s">
        <v>3874</v>
      </c>
      <c r="E441" s="5" t="s">
        <v>3875</v>
      </c>
      <c r="F441" s="5"/>
      <c r="G441" s="5" t="s">
        <v>3876</v>
      </c>
      <c r="H441" s="1" t="s">
        <v>3877</v>
      </c>
      <c r="I441" s="5" t="s">
        <v>3878</v>
      </c>
      <c r="J441" s="7" t="s">
        <v>3879</v>
      </c>
      <c r="K441" s="7" t="s">
        <v>3880</v>
      </c>
      <c r="L441" s="5" t="s">
        <v>3881</v>
      </c>
      <c r="M441" s="7" t="s">
        <v>3882</v>
      </c>
      <c r="N441" s="7">
        <v>0.4</v>
      </c>
      <c r="O441" s="7">
        <v>0.97799999999999998</v>
      </c>
      <c r="P441" s="1" t="s">
        <v>3883</v>
      </c>
    </row>
    <row r="442" spans="1:16" ht="33.4" x14ac:dyDescent="0.3">
      <c r="A442" s="6" t="str">
        <f>HYPERLINK("https://www.ti.com/product/LP5867", "LP5867")</f>
        <v>LP5867</v>
      </c>
      <c r="B442" s="5" t="s">
        <v>3884</v>
      </c>
      <c r="C442" s="6" t="str">
        <f>HYPERLINK("https://www.ti.com/lit/gpn/LP5867", "PDF")</f>
        <v>PDF</v>
      </c>
      <c r="D442" s="5" t="s">
        <v>3885</v>
      </c>
      <c r="E442" s="5" t="s">
        <v>3886</v>
      </c>
      <c r="F442" s="5" t="s">
        <v>3887</v>
      </c>
      <c r="G442" s="5" t="s">
        <v>3888</v>
      </c>
      <c r="H442" s="1" t="s">
        <v>3889</v>
      </c>
      <c r="I442" s="5" t="s">
        <v>3890</v>
      </c>
      <c r="J442" s="7">
        <v>24</v>
      </c>
      <c r="K442" s="7">
        <v>3.7683239999999998</v>
      </c>
      <c r="L442" s="5" t="s">
        <v>3891</v>
      </c>
      <c r="M442" s="7">
        <v>0.4</v>
      </c>
      <c r="N442" s="7">
        <v>0.4</v>
      </c>
      <c r="O442" s="7">
        <v>0.83</v>
      </c>
      <c r="P442" s="1" t="s">
        <v>3892</v>
      </c>
    </row>
    <row r="443" spans="1:16" ht="33.4" x14ac:dyDescent="0.3">
      <c r="A443" s="6" t="str">
        <f>HYPERLINK("https://www.ti.com/product/TPSM8S6B24S", "TPSM8S6B24S")</f>
        <v>TPSM8S6B24S</v>
      </c>
      <c r="B443" s="5" t="s">
        <v>3893</v>
      </c>
      <c r="C443" s="6" t="str">
        <f>HYPERLINK("https://www.ti.com/lit/gpn/TPSM8S6B24S", "PDF")</f>
        <v>PDF</v>
      </c>
      <c r="D443" s="5" t="s">
        <v>3894</v>
      </c>
      <c r="E443" s="5" t="s">
        <v>3895</v>
      </c>
      <c r="F443" s="5" t="s">
        <v>3896</v>
      </c>
      <c r="G443" s="5" t="s">
        <v>3897</v>
      </c>
      <c r="H443" s="1" t="s">
        <v>3898</v>
      </c>
      <c r="I443" s="5" t="s">
        <v>3899</v>
      </c>
      <c r="J443" s="7">
        <v>45</v>
      </c>
      <c r="K443" s="7">
        <v>176</v>
      </c>
      <c r="L443" s="5" t="s">
        <v>3900</v>
      </c>
      <c r="M443" s="7">
        <v>4.4000000000000004</v>
      </c>
      <c r="N443" s="7">
        <v>0.8</v>
      </c>
      <c r="O443" s="7">
        <v>14.95</v>
      </c>
      <c r="P443" s="1" t="s">
        <v>3901</v>
      </c>
    </row>
    <row r="444" spans="1:16" ht="33.4" x14ac:dyDescent="0.3">
      <c r="A444" s="6" t="str">
        <f>HYPERLINK("https://www.ti.com/product/TPSM861252", "TPSM861252")</f>
        <v>TPSM861252</v>
      </c>
      <c r="B444" s="5" t="s">
        <v>3902</v>
      </c>
      <c r="C444" s="6" t="str">
        <f>HYPERLINK("https://www.ti.com/lit/gpn/TPSM861252", "PDF")</f>
        <v>PDF</v>
      </c>
      <c r="D444" s="5" t="s">
        <v>3903</v>
      </c>
      <c r="E444" s="5" t="s">
        <v>3904</v>
      </c>
      <c r="F444" s="5" t="s">
        <v>3905</v>
      </c>
      <c r="G444" s="5" t="s">
        <v>3906</v>
      </c>
      <c r="H444" s="1" t="s">
        <v>3907</v>
      </c>
      <c r="I444" s="5" t="s">
        <v>3908</v>
      </c>
      <c r="J444" s="7">
        <v>7</v>
      </c>
      <c r="K444" s="7">
        <v>13.2</v>
      </c>
      <c r="L444" s="5" t="s">
        <v>3909</v>
      </c>
      <c r="M444" s="7">
        <v>2.1</v>
      </c>
      <c r="N444" s="7">
        <v>0.5</v>
      </c>
      <c r="O444" s="7">
        <v>0.9</v>
      </c>
      <c r="P444" s="1" t="s">
        <v>3910</v>
      </c>
    </row>
    <row r="445" spans="1:16" ht="33.4" x14ac:dyDescent="0.3">
      <c r="A445" s="6" t="str">
        <f>HYPERLINK("https://www.ti.com/product/TPSM861257", "TPSM861257")</f>
        <v>TPSM861257</v>
      </c>
      <c r="B445" s="5" t="s">
        <v>3911</v>
      </c>
      <c r="C445" s="6" t="str">
        <f>HYPERLINK("https://www.ti.com/lit/gpn/TPSM861257", "PDF")</f>
        <v>PDF</v>
      </c>
      <c r="D445" s="5" t="s">
        <v>3912</v>
      </c>
      <c r="E445" s="5" t="s">
        <v>3913</v>
      </c>
      <c r="F445" s="5" t="s">
        <v>3914</v>
      </c>
      <c r="G445" s="5" t="s">
        <v>3915</v>
      </c>
      <c r="H445" s="1" t="s">
        <v>3916</v>
      </c>
      <c r="I445" s="5" t="s">
        <v>3917</v>
      </c>
      <c r="J445" s="7">
        <v>7</v>
      </c>
      <c r="K445" s="7">
        <v>13.2</v>
      </c>
      <c r="L445" s="5" t="s">
        <v>3918</v>
      </c>
      <c r="M445" s="7">
        <v>2.1</v>
      </c>
      <c r="N445" s="7">
        <v>0.5</v>
      </c>
      <c r="O445" s="7">
        <v>0.9</v>
      </c>
      <c r="P445" s="1" t="s">
        <v>3919</v>
      </c>
    </row>
    <row r="446" spans="1:16" ht="33.4" x14ac:dyDescent="0.3">
      <c r="A446" s="6" t="str">
        <f>HYPERLINK("https://www.ti.com/product/UCC5880-Q1", "UCC5880-Q1")</f>
        <v>UCC5880-Q1</v>
      </c>
      <c r="B446" s="5" t="s">
        <v>3920</v>
      </c>
      <c r="C446" s="6" t="str">
        <f>HYPERLINK("https://www.ti.com/lit/gpn/UCC5880-Q1", "PDF")</f>
        <v>PDF</v>
      </c>
      <c r="D446" s="5" t="s">
        <v>3921</v>
      </c>
      <c r="E446" s="5" t="s">
        <v>3922</v>
      </c>
      <c r="F446" s="5"/>
      <c r="G446" s="5" t="s">
        <v>3923</v>
      </c>
      <c r="H446" s="1" t="s">
        <v>3924</v>
      </c>
      <c r="I446" s="5" t="s">
        <v>3925</v>
      </c>
      <c r="J446" s="7">
        <v>32</v>
      </c>
      <c r="K446" s="7">
        <v>106.09</v>
      </c>
      <c r="L446" s="5" t="s">
        <v>3926</v>
      </c>
      <c r="M446" s="7">
        <v>2.65</v>
      </c>
      <c r="N446" s="7">
        <v>0.6</v>
      </c>
      <c r="O446" s="7">
        <v>4.47</v>
      </c>
      <c r="P446" s="1" t="s">
        <v>3927</v>
      </c>
    </row>
    <row r="447" spans="1:16" ht="33.4" x14ac:dyDescent="0.3">
      <c r="A447" s="6" t="str">
        <f>HYPERLINK("https://www.ti.com/product/LMG3426R050", "LMG3426R050")</f>
        <v>LMG3426R050</v>
      </c>
      <c r="B447" s="5" t="s">
        <v>3928</v>
      </c>
      <c r="C447" s="6" t="str">
        <f>HYPERLINK("https://www.ti.com/lit/gpn/LMG3426R050", "PDF")</f>
        <v>PDF</v>
      </c>
      <c r="D447" s="5" t="s">
        <v>3929</v>
      </c>
      <c r="E447" s="5" t="s">
        <v>3930</v>
      </c>
      <c r="F447" s="5"/>
      <c r="G447" s="5" t="s">
        <v>3931</v>
      </c>
      <c r="H447" s="1" t="s">
        <v>3932</v>
      </c>
      <c r="I447" s="5" t="s">
        <v>3933</v>
      </c>
      <c r="J447" s="7">
        <v>54</v>
      </c>
      <c r="K447" s="7">
        <v>144</v>
      </c>
      <c r="L447" s="5" t="s">
        <v>3934</v>
      </c>
      <c r="M447" s="7">
        <v>1</v>
      </c>
      <c r="N447" s="7">
        <v>0.65</v>
      </c>
      <c r="O447" s="7">
        <v>6.75</v>
      </c>
      <c r="P447" s="1" t="s">
        <v>3935</v>
      </c>
    </row>
    <row r="448" spans="1:16" ht="33.4" x14ac:dyDescent="0.3">
      <c r="A448" s="6" t="str">
        <f>HYPERLINK("https://www.ti.com/product/TPS54KB20", "TPS54KB20")</f>
        <v>TPS54KB20</v>
      </c>
      <c r="B448" s="5" t="s">
        <v>3936</v>
      </c>
      <c r="C448" s="6" t="str">
        <f>HYPERLINK("https://www.ti.com/lit/gpn/TPS54KB20", "PDF")</f>
        <v>PDF</v>
      </c>
      <c r="D448" s="5" t="s">
        <v>3937</v>
      </c>
      <c r="E448" s="5" t="s">
        <v>3938</v>
      </c>
      <c r="F448" s="5" t="s">
        <v>3939</v>
      </c>
      <c r="G448" s="5" t="s">
        <v>3940</v>
      </c>
      <c r="H448" s="1" t="s">
        <v>3941</v>
      </c>
      <c r="I448" s="5" t="s">
        <v>3942</v>
      </c>
      <c r="J448" s="7">
        <v>16</v>
      </c>
      <c r="K448" s="7">
        <v>10.5</v>
      </c>
      <c r="L448" s="5" t="s">
        <v>3943</v>
      </c>
      <c r="M448" s="7">
        <v>0.7</v>
      </c>
      <c r="N448" s="7">
        <v>0.5</v>
      </c>
      <c r="O448" s="7">
        <v>1.8120000000000001</v>
      </c>
      <c r="P448" s="1" t="s">
        <v>3944</v>
      </c>
    </row>
    <row r="449" spans="1:16" ht="33.4" x14ac:dyDescent="0.3">
      <c r="A449" s="6" t="str">
        <f>HYPERLINK("https://www.ti.com/product/TPS54KC23", "TPS54KC23")</f>
        <v>TPS54KC23</v>
      </c>
      <c r="B449" s="5" t="s">
        <v>3945</v>
      </c>
      <c r="C449" s="6" t="str">
        <f>HYPERLINK("https://www.ti.com/lit/gpn/TPS54KC23", "PDF")</f>
        <v>PDF</v>
      </c>
      <c r="D449" s="5" t="s">
        <v>3946</v>
      </c>
      <c r="E449" s="5" t="s">
        <v>3947</v>
      </c>
      <c r="F449" s="5" t="s">
        <v>3948</v>
      </c>
      <c r="G449" s="5" t="s">
        <v>3949</v>
      </c>
      <c r="H449" s="1" t="s">
        <v>3950</v>
      </c>
      <c r="I449" s="5" t="s">
        <v>3951</v>
      </c>
      <c r="J449" s="7">
        <v>16</v>
      </c>
      <c r="K449" s="7">
        <v>10.5</v>
      </c>
      <c r="L449" s="5" t="s">
        <v>3952</v>
      </c>
      <c r="M449" s="7">
        <v>0.7</v>
      </c>
      <c r="N449" s="7">
        <v>0.5</v>
      </c>
      <c r="O449" s="7">
        <v>2.0129999999999999</v>
      </c>
      <c r="P449" s="1" t="s">
        <v>3953</v>
      </c>
    </row>
    <row r="450" spans="1:16" ht="17.05" x14ac:dyDescent="0.3">
      <c r="A450" s="6" t="str">
        <f>HYPERLINK("https://www.ti.com/product/TPS7H6013-SP", "TPS7H6013-SP")</f>
        <v>TPS7H6013-SP</v>
      </c>
      <c r="B450" s="5" t="s">
        <v>3954</v>
      </c>
      <c r="C450" s="6" t="str">
        <f>HYPERLINK("https://www.ti.com/lit/gpn/TPS7H6013-SP", "PDF")</f>
        <v>PDF</v>
      </c>
      <c r="D450" s="5" t="s">
        <v>3955</v>
      </c>
      <c r="E450" s="5" t="s">
        <v>3956</v>
      </c>
      <c r="F450" s="5"/>
      <c r="G450" s="5" t="s">
        <v>3957</v>
      </c>
      <c r="H450" s="1" t="s">
        <v>3958</v>
      </c>
      <c r="I450" s="5" t="s">
        <v>3959</v>
      </c>
      <c r="J450" s="7">
        <v>48</v>
      </c>
      <c r="K450" s="7">
        <v>468.72</v>
      </c>
      <c r="L450" s="5" t="s">
        <v>3960</v>
      </c>
      <c r="M450" s="7">
        <v>2.6669999999999998</v>
      </c>
      <c r="N450" s="7">
        <v>0.63500000000000001</v>
      </c>
      <c r="O450" s="7">
        <v>1754.854</v>
      </c>
      <c r="P450" s="1" t="s">
        <v>3961</v>
      </c>
    </row>
    <row r="451" spans="1:16" ht="33.4" x14ac:dyDescent="0.3">
      <c r="A451" s="6" t="str">
        <f>HYPERLINK("https://www.ti.com/product/LMG2100R044", "LMG2100R044")</f>
        <v>LMG2100R044</v>
      </c>
      <c r="B451" s="5" t="s">
        <v>3962</v>
      </c>
      <c r="C451" s="6" t="str">
        <f>HYPERLINK("https://www.ti.com/lit/gpn/LMG2100R044", "PDF")</f>
        <v>PDF</v>
      </c>
      <c r="D451" s="5" t="s">
        <v>3963</v>
      </c>
      <c r="E451" s="5" t="s">
        <v>3964</v>
      </c>
      <c r="F451" s="5"/>
      <c r="G451" s="5" t="s">
        <v>3965</v>
      </c>
      <c r="H451" s="1" t="s">
        <v>3966</v>
      </c>
      <c r="I451" s="5" t="s">
        <v>3967</v>
      </c>
      <c r="J451" s="7">
        <v>16</v>
      </c>
      <c r="K451" s="7" t="s">
        <v>3968</v>
      </c>
      <c r="L451" s="5" t="s">
        <v>3969</v>
      </c>
      <c r="M451" s="7" t="s">
        <v>3970</v>
      </c>
      <c r="N451" s="7" t="s">
        <v>3971</v>
      </c>
      <c r="O451" s="7">
        <v>3.25</v>
      </c>
      <c r="P451" s="1" t="s">
        <v>3972</v>
      </c>
    </row>
    <row r="452" spans="1:16" ht="33.4" x14ac:dyDescent="0.3">
      <c r="A452" s="6" t="str">
        <f>HYPERLINK("https://www.ti.com/product/LMR66410", "LMR66410")</f>
        <v>LMR66410</v>
      </c>
      <c r="B452" s="5" t="s">
        <v>3973</v>
      </c>
      <c r="C452" s="6" t="str">
        <f>HYPERLINK("https://www.ti.com/lit/gpn/LMR66410", "PDF")</f>
        <v>PDF</v>
      </c>
      <c r="D452" s="5" t="s">
        <v>3974</v>
      </c>
      <c r="E452" s="5" t="s">
        <v>3975</v>
      </c>
      <c r="F452" s="5" t="s">
        <v>3976</v>
      </c>
      <c r="G452" s="5" t="s">
        <v>3977</v>
      </c>
      <c r="H452" s="1" t="s">
        <v>3978</v>
      </c>
      <c r="I452" s="5" t="s">
        <v>3979</v>
      </c>
      <c r="J452" s="7">
        <v>14</v>
      </c>
      <c r="K452" s="7">
        <v>6.76</v>
      </c>
      <c r="L452" s="5" t="s">
        <v>3980</v>
      </c>
      <c r="M452" s="7">
        <v>1.05</v>
      </c>
      <c r="N452" s="7">
        <v>0.5</v>
      </c>
      <c r="O452" s="7">
        <v>0.92</v>
      </c>
      <c r="P452" s="1" t="s">
        <v>3981</v>
      </c>
    </row>
    <row r="453" spans="1:16" ht="33.4" x14ac:dyDescent="0.3">
      <c r="A453" s="6" t="str">
        <f>HYPERLINK("https://www.ti.com/product/LMR66410-Q1", "LMR66410-Q1")</f>
        <v>LMR66410-Q1</v>
      </c>
      <c r="B453" s="5" t="s">
        <v>3982</v>
      </c>
      <c r="C453" s="6" t="str">
        <f>HYPERLINK("https://www.ti.com/lit/gpn/LMR66410-Q1", "PDF")</f>
        <v>PDF</v>
      </c>
      <c r="D453" s="5" t="s">
        <v>3983</v>
      </c>
      <c r="E453" s="5" t="s">
        <v>3984</v>
      </c>
      <c r="F453" s="5"/>
      <c r="G453" s="5" t="s">
        <v>3985</v>
      </c>
      <c r="H453" s="1" t="s">
        <v>3986</v>
      </c>
      <c r="I453" s="5" t="s">
        <v>3987</v>
      </c>
      <c r="J453" s="7">
        <v>14</v>
      </c>
      <c r="K453" s="7">
        <v>6.76</v>
      </c>
      <c r="L453" s="5" t="s">
        <v>3988</v>
      </c>
      <c r="M453" s="7">
        <v>1.05</v>
      </c>
      <c r="N453" s="7">
        <v>0.5</v>
      </c>
      <c r="O453" s="7">
        <v>1.5069999999999999</v>
      </c>
      <c r="P453" s="1" t="s">
        <v>3989</v>
      </c>
    </row>
    <row r="454" spans="1:16" ht="33.4" x14ac:dyDescent="0.3">
      <c r="A454" s="6" t="str">
        <f>HYPERLINK("https://www.ti.com/product/LMR66420", "LMR66420")</f>
        <v>LMR66420</v>
      </c>
      <c r="B454" s="5" t="s">
        <v>3990</v>
      </c>
      <c r="C454" s="6" t="str">
        <f>HYPERLINK("https://www.ti.com/lit/gpn/LMR66420", "PDF")</f>
        <v>PDF</v>
      </c>
      <c r="D454" s="5" t="s">
        <v>3991</v>
      </c>
      <c r="E454" s="5" t="s">
        <v>3992</v>
      </c>
      <c r="F454" s="5" t="s">
        <v>3993</v>
      </c>
      <c r="G454" s="5" t="s">
        <v>3994</v>
      </c>
      <c r="H454" s="1" t="s">
        <v>3995</v>
      </c>
      <c r="I454" s="5" t="s">
        <v>3996</v>
      </c>
      <c r="J454" s="7">
        <v>14</v>
      </c>
      <c r="K454" s="7">
        <v>6.76</v>
      </c>
      <c r="L454" s="5" t="s">
        <v>3997</v>
      </c>
      <c r="M454" s="7">
        <v>1.05</v>
      </c>
      <c r="N454" s="7">
        <v>0.5</v>
      </c>
      <c r="O454" s="7">
        <v>1.208</v>
      </c>
      <c r="P454" s="1" t="s">
        <v>3998</v>
      </c>
    </row>
    <row r="455" spans="1:16" ht="33.4" x14ac:dyDescent="0.3">
      <c r="A455" s="6" t="str">
        <f>HYPERLINK("https://www.ti.com/product/LMR66420-Q1", "LMR66420-Q1")</f>
        <v>LMR66420-Q1</v>
      </c>
      <c r="B455" s="5" t="s">
        <v>3999</v>
      </c>
      <c r="C455" s="6" t="str">
        <f>HYPERLINK("https://www.ti.com/lit/gpn/LMR66420-Q1", "PDF")</f>
        <v>PDF</v>
      </c>
      <c r="D455" s="5" t="s">
        <v>4000</v>
      </c>
      <c r="E455" s="5" t="s">
        <v>4001</v>
      </c>
      <c r="F455" s="5"/>
      <c r="G455" s="5" t="s">
        <v>4002</v>
      </c>
      <c r="H455" s="1" t="s">
        <v>4003</v>
      </c>
      <c r="I455" s="5" t="s">
        <v>4004</v>
      </c>
      <c r="J455" s="7">
        <v>14</v>
      </c>
      <c r="K455" s="7">
        <v>6.76</v>
      </c>
      <c r="L455" s="5" t="s">
        <v>4005</v>
      </c>
      <c r="M455" s="7">
        <v>1.05</v>
      </c>
      <c r="N455" s="7">
        <v>0.5</v>
      </c>
      <c r="O455" s="7">
        <v>1.5529999999999999</v>
      </c>
      <c r="P455" s="1" t="s">
        <v>4006</v>
      </c>
    </row>
    <row r="456" spans="1:16" ht="33.4" x14ac:dyDescent="0.3">
      <c r="A456" s="6" t="str">
        <f>HYPERLINK("https://www.ti.com/product/LMR66430", "LMR66430")</f>
        <v>LMR66430</v>
      </c>
      <c r="B456" s="5" t="s">
        <v>4007</v>
      </c>
      <c r="C456" s="6" t="str">
        <f>HYPERLINK("https://www.ti.com/lit/gpn/LMR66430", "PDF")</f>
        <v>PDF</v>
      </c>
      <c r="D456" s="5" t="s">
        <v>4008</v>
      </c>
      <c r="E456" s="5" t="s">
        <v>4009</v>
      </c>
      <c r="F456" s="5" t="s">
        <v>4010</v>
      </c>
      <c r="G456" s="5" t="s">
        <v>4011</v>
      </c>
      <c r="H456" s="1" t="s">
        <v>4012</v>
      </c>
      <c r="I456" s="5" t="s">
        <v>4013</v>
      </c>
      <c r="J456" s="7">
        <v>14</v>
      </c>
      <c r="K456" s="7">
        <v>6.76</v>
      </c>
      <c r="L456" s="5" t="s">
        <v>4014</v>
      </c>
      <c r="M456" s="7">
        <v>1.05</v>
      </c>
      <c r="N456" s="7">
        <v>0.5</v>
      </c>
      <c r="O456" s="7">
        <v>1.357</v>
      </c>
      <c r="P456" s="1" t="s">
        <v>4015</v>
      </c>
    </row>
    <row r="457" spans="1:16" ht="33.4" x14ac:dyDescent="0.3">
      <c r="A457" s="6" t="str">
        <f>HYPERLINK("https://www.ti.com/product/LMR66430-Q1", "LMR66430-Q1")</f>
        <v>LMR66430-Q1</v>
      </c>
      <c r="B457" s="5" t="s">
        <v>4016</v>
      </c>
      <c r="C457" s="6" t="str">
        <f>HYPERLINK("https://www.ti.com/lit/gpn/LMR66430-Q1", "PDF")</f>
        <v>PDF</v>
      </c>
      <c r="D457" s="5" t="s">
        <v>4017</v>
      </c>
      <c r="E457" s="5" t="s">
        <v>4018</v>
      </c>
      <c r="F457" s="5"/>
      <c r="G457" s="5" t="s">
        <v>4019</v>
      </c>
      <c r="H457" s="1" t="s">
        <v>4020</v>
      </c>
      <c r="I457" s="5" t="s">
        <v>4021</v>
      </c>
      <c r="J457" s="7">
        <v>14</v>
      </c>
      <c r="K457" s="7">
        <v>6.76</v>
      </c>
      <c r="L457" s="5" t="s">
        <v>4022</v>
      </c>
      <c r="M457" s="7">
        <v>1.05</v>
      </c>
      <c r="N457" s="7">
        <v>0.5</v>
      </c>
      <c r="O457" s="7">
        <v>1.6040000000000001</v>
      </c>
      <c r="P457" s="1" t="s">
        <v>4023</v>
      </c>
    </row>
    <row r="458" spans="1:16" ht="33.4" x14ac:dyDescent="0.3">
      <c r="A458" s="6" t="str">
        <f>HYPERLINK("https://www.ti.com/product/LMG3426R030", "LMG3426R030")</f>
        <v>LMG3426R030</v>
      </c>
      <c r="B458" s="5" t="s">
        <v>4024</v>
      </c>
      <c r="C458" s="6" t="str">
        <f>HYPERLINK("https://www.ti.com/lit/gpn/LMG3426R030", "PDF")</f>
        <v>PDF</v>
      </c>
      <c r="D458" s="5" t="s">
        <v>4025</v>
      </c>
      <c r="E458" s="5" t="s">
        <v>4026</v>
      </c>
      <c r="F458" s="5"/>
      <c r="G458" s="5" t="s">
        <v>4027</v>
      </c>
      <c r="H458" s="1" t="s">
        <v>4028</v>
      </c>
      <c r="I458" s="5" t="s">
        <v>4029</v>
      </c>
      <c r="J458" s="7">
        <v>54</v>
      </c>
      <c r="K458" s="7">
        <v>144</v>
      </c>
      <c r="L458" s="5" t="s">
        <v>4030</v>
      </c>
      <c r="M458" s="7">
        <v>1</v>
      </c>
      <c r="N458" s="7">
        <v>0.65</v>
      </c>
      <c r="O458" s="7">
        <v>8.9700000000000006</v>
      </c>
      <c r="P458" s="1" t="s">
        <v>4031</v>
      </c>
    </row>
    <row r="459" spans="1:16" ht="17.05" x14ac:dyDescent="0.3">
      <c r="A459" s="6" t="str">
        <f>HYPERLINK("https://www.ti.com/product/TPS7H2201-SEP", "TPS7H2201-SEP")</f>
        <v>TPS7H2201-SEP</v>
      </c>
      <c r="B459" s="5" t="s">
        <v>4032</v>
      </c>
      <c r="C459" s="6" t="str">
        <f>HYPERLINK("https://www.ti.com/lit/gpn/TPS7H2201-SEP", "PDF")</f>
        <v>PDF</v>
      </c>
      <c r="D459" s="5" t="s">
        <v>4033</v>
      </c>
      <c r="E459" s="5" t="s">
        <v>4034</v>
      </c>
      <c r="F459" s="5"/>
      <c r="G459" s="5" t="s">
        <v>4035</v>
      </c>
      <c r="H459" s="1" t="s">
        <v>4036</v>
      </c>
      <c r="I459" s="5" t="s">
        <v>4037</v>
      </c>
      <c r="J459" s="7">
        <v>32</v>
      </c>
      <c r="K459" s="7">
        <v>89.1</v>
      </c>
      <c r="L459" s="5" t="s">
        <v>4038</v>
      </c>
      <c r="M459" s="7">
        <v>1.2</v>
      </c>
      <c r="N459" s="7">
        <v>0.65</v>
      </c>
      <c r="O459" s="7">
        <v>544.02499999999998</v>
      </c>
      <c r="P459" s="1" t="s">
        <v>4039</v>
      </c>
    </row>
    <row r="460" spans="1:16" ht="49.75" x14ac:dyDescent="0.3">
      <c r="A460" s="6" t="str">
        <f>HYPERLINK("https://www.ti.com/product/TPSM828301", "TPSM828301")</f>
        <v>TPSM828301</v>
      </c>
      <c r="B460" s="5" t="s">
        <v>4040</v>
      </c>
      <c r="C460" s="6" t="str">
        <f>HYPERLINK("https://www.ti.com/lit/gpn/TPSM828301", "PDF")</f>
        <v>PDF</v>
      </c>
      <c r="D460" s="5" t="s">
        <v>4041</v>
      </c>
      <c r="E460" s="5" t="s">
        <v>4042</v>
      </c>
      <c r="F460" s="5" t="s">
        <v>4043</v>
      </c>
      <c r="G460" s="5" t="s">
        <v>4044</v>
      </c>
      <c r="H460" s="1" t="s">
        <v>4045</v>
      </c>
      <c r="I460" s="5" t="s">
        <v>4046</v>
      </c>
      <c r="J460" s="7">
        <v>9</v>
      </c>
      <c r="K460" s="7">
        <v>9</v>
      </c>
      <c r="L460" s="5" t="s">
        <v>4047</v>
      </c>
      <c r="M460" s="7">
        <v>2.0499999999999998</v>
      </c>
      <c r="N460" s="7">
        <v>0.5</v>
      </c>
      <c r="O460" s="7">
        <v>1.0349999999999999</v>
      </c>
      <c r="P460" s="1" t="s">
        <v>4048</v>
      </c>
    </row>
    <row r="461" spans="1:16" ht="49.75" x14ac:dyDescent="0.3">
      <c r="A461" s="6" t="str">
        <f>HYPERLINK("https://www.ti.com/product/TPSM828302", "TPSM828302")</f>
        <v>TPSM828302</v>
      </c>
      <c r="B461" s="5" t="s">
        <v>4049</v>
      </c>
      <c r="C461" s="6" t="str">
        <f>HYPERLINK("https://www.ti.com/lit/gpn/TPSM828302", "PDF")</f>
        <v>PDF</v>
      </c>
      <c r="D461" s="5" t="s">
        <v>4050</v>
      </c>
      <c r="E461" s="5" t="s">
        <v>4051</v>
      </c>
      <c r="F461" s="5" t="s">
        <v>4052</v>
      </c>
      <c r="G461" s="5" t="s">
        <v>4053</v>
      </c>
      <c r="H461" s="1" t="s">
        <v>4054</v>
      </c>
      <c r="I461" s="5" t="s">
        <v>4055</v>
      </c>
      <c r="J461" s="7">
        <v>9</v>
      </c>
      <c r="K461" s="7">
        <v>9</v>
      </c>
      <c r="L461" s="5" t="s">
        <v>4056</v>
      </c>
      <c r="M461" s="7">
        <v>2.0499999999999998</v>
      </c>
      <c r="N461" s="7">
        <v>0.5</v>
      </c>
      <c r="O461" s="7">
        <v>1.1499999999999999</v>
      </c>
      <c r="P461" s="1" t="s">
        <v>4057</v>
      </c>
    </row>
    <row r="462" spans="1:16" ht="33.4" x14ac:dyDescent="0.3">
      <c r="A462" s="6" t="str">
        <f>HYPERLINK("https://www.ti.com/product/TPSM843320E", "TPSM843320E")</f>
        <v>TPSM843320E</v>
      </c>
      <c r="B462" s="5" t="s">
        <v>4058</v>
      </c>
      <c r="C462" s="6" t="str">
        <f>HYPERLINK("https://www.ti.com/lit/gpn/TPSM843320E", "PDF")</f>
        <v>PDF</v>
      </c>
      <c r="D462" s="5" t="s">
        <v>4059</v>
      </c>
      <c r="E462" s="5" t="s">
        <v>4060</v>
      </c>
      <c r="F462" s="5" t="s">
        <v>4061</v>
      </c>
      <c r="G462" s="5" t="s">
        <v>4062</v>
      </c>
      <c r="H462" s="1" t="s">
        <v>4063</v>
      </c>
      <c r="I462" s="5" t="s">
        <v>4064</v>
      </c>
      <c r="J462" s="7">
        <v>15</v>
      </c>
      <c r="K462" s="7">
        <v>12.25</v>
      </c>
      <c r="L462" s="5" t="s">
        <v>4065</v>
      </c>
      <c r="M462" s="7">
        <v>1.6</v>
      </c>
      <c r="N462" s="7">
        <v>0.5</v>
      </c>
      <c r="O462" s="7">
        <v>6</v>
      </c>
      <c r="P462" s="1" t="s">
        <v>4066</v>
      </c>
    </row>
    <row r="463" spans="1:16" ht="33.4" x14ac:dyDescent="0.3">
      <c r="A463" s="6" t="str">
        <f>HYPERLINK("https://www.ti.com/product/TPSM843620E", "TPSM843620E")</f>
        <v>TPSM843620E</v>
      </c>
      <c r="B463" s="5" t="s">
        <v>4067</v>
      </c>
      <c r="C463" s="6" t="str">
        <f>HYPERLINK("https://www.ti.com/lit/gpn/TPSM843620E", "PDF")</f>
        <v>PDF</v>
      </c>
      <c r="D463" s="5" t="s">
        <v>4068</v>
      </c>
      <c r="E463" s="5" t="s">
        <v>4069</v>
      </c>
      <c r="F463" s="5" t="s">
        <v>4070</v>
      </c>
      <c r="G463" s="5" t="s">
        <v>4071</v>
      </c>
      <c r="H463" s="1" t="s">
        <v>4072</v>
      </c>
      <c r="I463" s="5" t="s">
        <v>4073</v>
      </c>
      <c r="J463" s="7">
        <v>15</v>
      </c>
      <c r="K463" s="7">
        <v>12.25</v>
      </c>
      <c r="L463" s="5" t="s">
        <v>4074</v>
      </c>
      <c r="M463" s="7">
        <v>1.6</v>
      </c>
      <c r="N463" s="7">
        <v>0.5</v>
      </c>
      <c r="O463" s="7">
        <v>8.0500000000000007</v>
      </c>
      <c r="P463" s="1" t="s">
        <v>4075</v>
      </c>
    </row>
    <row r="464" spans="1:16" ht="33.4" x14ac:dyDescent="0.3">
      <c r="A464" s="6" t="str">
        <f>HYPERLINK("https://www.ti.com/product/TPSM843820E", "TPSM843820E")</f>
        <v>TPSM843820E</v>
      </c>
      <c r="B464" s="5" t="s">
        <v>4076</v>
      </c>
      <c r="C464" s="6" t="str">
        <f>HYPERLINK("https://www.ti.com/lit/gpn/TPSM843820E", "PDF")</f>
        <v>PDF</v>
      </c>
      <c r="D464" s="5" t="s">
        <v>4077</v>
      </c>
      <c r="E464" s="5" t="s">
        <v>4078</v>
      </c>
      <c r="F464" s="5" t="s">
        <v>4079</v>
      </c>
      <c r="G464" s="5" t="s">
        <v>4080</v>
      </c>
      <c r="H464" s="1" t="s">
        <v>4081</v>
      </c>
      <c r="I464" s="5" t="s">
        <v>4082</v>
      </c>
      <c r="J464" s="7">
        <v>15</v>
      </c>
      <c r="K464" s="7">
        <v>12.25</v>
      </c>
      <c r="L464" s="5" t="s">
        <v>4083</v>
      </c>
      <c r="M464" s="7">
        <v>1.6</v>
      </c>
      <c r="N464" s="7">
        <v>0.5</v>
      </c>
      <c r="O464" s="7">
        <v>9.1999999999999993</v>
      </c>
      <c r="P464" s="1" t="s">
        <v>4084</v>
      </c>
    </row>
    <row r="465" spans="1:16" ht="33.4" x14ac:dyDescent="0.3">
      <c r="A465" s="6" t="str">
        <f>HYPERLINK("https://www.ti.com/product/TPS548D26", "TPS548D26")</f>
        <v>TPS548D26</v>
      </c>
      <c r="B465" s="5" t="s">
        <v>4085</v>
      </c>
      <c r="C465" s="6" t="str">
        <f>HYPERLINK("https://www.ti.com/lit/gpn/TPS548D26", "PDF")</f>
        <v>PDF</v>
      </c>
      <c r="D465" s="5" t="s">
        <v>4086</v>
      </c>
      <c r="E465" s="5" t="s">
        <v>4087</v>
      </c>
      <c r="F465" s="5" t="s">
        <v>4088</v>
      </c>
      <c r="G465" s="5" t="s">
        <v>4089</v>
      </c>
      <c r="H465" s="1" t="s">
        <v>4090</v>
      </c>
      <c r="I465" s="5" t="s">
        <v>4091</v>
      </c>
      <c r="J465" s="7">
        <v>37</v>
      </c>
      <c r="K465" s="7">
        <v>30</v>
      </c>
      <c r="L465" s="5" t="s">
        <v>4092</v>
      </c>
      <c r="M465" s="7">
        <v>0.7</v>
      </c>
      <c r="N465" s="7">
        <v>0.5</v>
      </c>
      <c r="O465" s="7">
        <v>2.415</v>
      </c>
      <c r="P465" s="1" t="s">
        <v>4093</v>
      </c>
    </row>
    <row r="466" spans="1:16" ht="17.05" x14ac:dyDescent="0.3">
      <c r="A466" s="6" t="str">
        <f>HYPERLINK("https://www.ti.com/product/TPS7H2211-SEP", "TPS7H2211-SEP")</f>
        <v>TPS7H2211-SEP</v>
      </c>
      <c r="B466" s="5" t="s">
        <v>4094</v>
      </c>
      <c r="C466" s="6" t="str">
        <f>HYPERLINK("https://www.ti.com/lit/gpn/TPS7H2211-SEP", "PDF")</f>
        <v>PDF</v>
      </c>
      <c r="D466" s="5" t="s">
        <v>4095</v>
      </c>
      <c r="E466" s="5" t="s">
        <v>4096</v>
      </c>
      <c r="F466" s="5"/>
      <c r="G466" s="5" t="s">
        <v>4097</v>
      </c>
      <c r="H466" s="1" t="s">
        <v>4098</v>
      </c>
      <c r="I466" s="5" t="s">
        <v>4099</v>
      </c>
      <c r="J466" s="7">
        <v>32</v>
      </c>
      <c r="K466" s="7">
        <v>89.1</v>
      </c>
      <c r="L466" s="5" t="s">
        <v>4100</v>
      </c>
      <c r="M466" s="7">
        <v>1.2</v>
      </c>
      <c r="N466" s="7">
        <v>0.65</v>
      </c>
      <c r="O466" s="7">
        <v>531.52499999999998</v>
      </c>
      <c r="P466" s="1" t="s">
        <v>4101</v>
      </c>
    </row>
    <row r="467" spans="1:16" ht="33.4" x14ac:dyDescent="0.3">
      <c r="A467" s="6" t="str">
        <f>HYPERLINK("https://www.ti.com/product/TPS61299-Q1", "TPS61299-Q1")</f>
        <v>TPS61299-Q1</v>
      </c>
      <c r="B467" s="5" t="s">
        <v>4102</v>
      </c>
      <c r="C467" s="6" t="str">
        <f>HYPERLINK("https://www.ti.com/lit/gpn/TPS61299-Q1", "PDF")</f>
        <v>PDF</v>
      </c>
      <c r="D467" s="5" t="s">
        <v>4103</v>
      </c>
      <c r="E467" s="5" t="s">
        <v>4104</v>
      </c>
      <c r="F467" s="5" t="s">
        <v>4105</v>
      </c>
      <c r="G467" s="5" t="s">
        <v>4106</v>
      </c>
      <c r="H467" s="1" t="s">
        <v>4107</v>
      </c>
      <c r="I467" s="5" t="s">
        <v>4108</v>
      </c>
      <c r="J467" s="7">
        <v>6</v>
      </c>
      <c r="K467" s="7">
        <v>2.56</v>
      </c>
      <c r="L467" s="5" t="s">
        <v>4109</v>
      </c>
      <c r="M467" s="7">
        <v>0.6</v>
      </c>
      <c r="N467" s="7">
        <v>0.5</v>
      </c>
      <c r="O467" s="7">
        <v>1.7250000000000001</v>
      </c>
      <c r="P467" s="1" t="s">
        <v>4110</v>
      </c>
    </row>
    <row r="468" spans="1:16" ht="33.4" x14ac:dyDescent="0.3">
      <c r="A468" s="6" t="str">
        <f>HYPERLINK("https://www.ti.com/product/TPS7A20L", "TPS7A20L")</f>
        <v>TPS7A20L</v>
      </c>
      <c r="B468" s="5" t="s">
        <v>4111</v>
      </c>
      <c r="C468" s="6" t="str">
        <f>HYPERLINK("https://www.ti.com/lit/gpn/TPS7A20L", "PDF")</f>
        <v>PDF</v>
      </c>
      <c r="D468" s="5" t="s">
        <v>4112</v>
      </c>
      <c r="E468" s="5" t="s">
        <v>4113</v>
      </c>
      <c r="F468" s="5"/>
      <c r="G468" s="5" t="s">
        <v>4114</v>
      </c>
      <c r="H468" s="1" t="s">
        <v>4115</v>
      </c>
      <c r="I468" s="5" t="s">
        <v>4116</v>
      </c>
      <c r="J468" s="7">
        <v>4</v>
      </c>
      <c r="K468" s="7">
        <v>1</v>
      </c>
      <c r="L468" s="5" t="s">
        <v>4117</v>
      </c>
      <c r="M468" s="7">
        <v>0.4</v>
      </c>
      <c r="N468" s="7">
        <v>0.65</v>
      </c>
      <c r="O468" s="7">
        <v>0.11</v>
      </c>
      <c r="P468" s="1" t="s">
        <v>4118</v>
      </c>
    </row>
    <row r="469" spans="1:16" ht="33.4" x14ac:dyDescent="0.3">
      <c r="A469" s="6" t="str">
        <f>HYPERLINK("https://www.ti.com/product/LMR38015", "LMR38015")</f>
        <v>LMR38015</v>
      </c>
      <c r="B469" s="5" t="s">
        <v>4119</v>
      </c>
      <c r="C469" s="6" t="str">
        <f>HYPERLINK("https://www.ti.com/lit/gpn/LMR38015", "PDF")</f>
        <v>PDF</v>
      </c>
      <c r="D469" s="5" t="s">
        <v>4120</v>
      </c>
      <c r="E469" s="5" t="s">
        <v>4121</v>
      </c>
      <c r="F469" s="5" t="s">
        <v>4122</v>
      </c>
      <c r="G469" s="5" t="s">
        <v>4123</v>
      </c>
      <c r="H469" s="1" t="s">
        <v>4124</v>
      </c>
      <c r="I469" s="5" t="s">
        <v>4125</v>
      </c>
      <c r="J469" s="7">
        <v>12</v>
      </c>
      <c r="K469" s="7">
        <v>9</v>
      </c>
      <c r="L469" s="5" t="s">
        <v>4126</v>
      </c>
      <c r="M469" s="7">
        <v>0.8</v>
      </c>
      <c r="N469" s="7">
        <v>0.5</v>
      </c>
      <c r="O469" s="7">
        <v>1.2270000000000001</v>
      </c>
      <c r="P469" s="1" t="s">
        <v>4127</v>
      </c>
    </row>
    <row r="470" spans="1:16" ht="33.4" x14ac:dyDescent="0.3">
      <c r="A470" s="6" t="str">
        <f>HYPERLINK("https://www.ti.com/product/LMR38025", "LMR38025")</f>
        <v>LMR38025</v>
      </c>
      <c r="B470" s="5" t="s">
        <v>4128</v>
      </c>
      <c r="C470" s="6" t="str">
        <f>HYPERLINK("https://www.ti.com/lit/gpn/LMR38025", "PDF")</f>
        <v>PDF</v>
      </c>
      <c r="D470" s="5" t="s">
        <v>4129</v>
      </c>
      <c r="E470" s="5" t="s">
        <v>4130</v>
      </c>
      <c r="F470" s="5" t="s">
        <v>4131</v>
      </c>
      <c r="G470" s="5" t="s">
        <v>4132</v>
      </c>
      <c r="H470" s="1" t="s">
        <v>4133</v>
      </c>
      <c r="I470" s="5" t="s">
        <v>4134</v>
      </c>
      <c r="J470" s="7">
        <v>12</v>
      </c>
      <c r="K470" s="7">
        <v>9</v>
      </c>
      <c r="L470" s="5" t="s">
        <v>4135</v>
      </c>
      <c r="M470" s="7">
        <v>0.8</v>
      </c>
      <c r="N470" s="7">
        <v>0.5</v>
      </c>
      <c r="O470" s="7">
        <v>1.325</v>
      </c>
      <c r="P470" s="1" t="s">
        <v>4136</v>
      </c>
    </row>
    <row r="471" spans="1:16" ht="33.4" x14ac:dyDescent="0.3">
      <c r="A471" s="6" t="str">
        <f>HYPERLINK("https://www.ti.com/product/TPS3808E-Q1", "TPS3808E-Q1")</f>
        <v>TPS3808E-Q1</v>
      </c>
      <c r="B471" s="5" t="s">
        <v>4137</v>
      </c>
      <c r="C471" s="6" t="str">
        <f>HYPERLINK("https://www.ti.com/lit/gpn/TPS3808E-Q1", "PDF")</f>
        <v>PDF</v>
      </c>
      <c r="D471" s="5" t="s">
        <v>4138</v>
      </c>
      <c r="E471" s="5" t="s">
        <v>4139</v>
      </c>
      <c r="F471" s="5"/>
      <c r="G471" s="5" t="s">
        <v>4140</v>
      </c>
      <c r="H471" s="1" t="s">
        <v>4141</v>
      </c>
      <c r="I471" s="5" t="s">
        <v>4142</v>
      </c>
      <c r="J471" s="7">
        <v>6</v>
      </c>
      <c r="K471" s="7">
        <v>8.1199999999999992</v>
      </c>
      <c r="L471" s="5" t="s">
        <v>4143</v>
      </c>
      <c r="M471" s="7">
        <v>1.45</v>
      </c>
      <c r="N471" s="7">
        <v>0.95</v>
      </c>
      <c r="O471" s="7">
        <v>0.76600000000000001</v>
      </c>
      <c r="P471" s="1" t="s">
        <v>4144</v>
      </c>
    </row>
    <row r="472" spans="1:16" ht="33.4" x14ac:dyDescent="0.3">
      <c r="A472" s="6" t="str">
        <f>HYPERLINK("https://www.ti.com/product/LM63635C-Q1", "LM63635C-Q1")</f>
        <v>LM63635C-Q1</v>
      </c>
      <c r="B472" s="5" t="s">
        <v>4145</v>
      </c>
      <c r="C472" s="6" t="str">
        <f>HYPERLINK("https://www.ti.com/lit/gpn/LM63635C-Q1", "PDF")</f>
        <v>PDF</v>
      </c>
      <c r="D472" s="5" t="s">
        <v>4146</v>
      </c>
      <c r="E472" s="5" t="s">
        <v>4147</v>
      </c>
      <c r="F472" s="5" t="s">
        <v>4148</v>
      </c>
      <c r="G472" s="5" t="s">
        <v>4149</v>
      </c>
      <c r="H472" s="1" t="s">
        <v>4150</v>
      </c>
      <c r="I472" s="5" t="s">
        <v>4151</v>
      </c>
      <c r="J472" s="7">
        <v>12</v>
      </c>
      <c r="K472" s="7">
        <v>9</v>
      </c>
      <c r="L472" s="5" t="s">
        <v>4152</v>
      </c>
      <c r="M472" s="7">
        <v>0.8</v>
      </c>
      <c r="N472" s="7">
        <v>0.5</v>
      </c>
      <c r="O472" s="7">
        <v>1.625</v>
      </c>
      <c r="P472" s="1" t="s">
        <v>4153</v>
      </c>
    </row>
    <row r="473" spans="1:16" ht="33.4" x14ac:dyDescent="0.3">
      <c r="A473" s="6" t="str">
        <f>HYPERLINK("https://www.ti.com/product/TPSM861253", "TPSM861253")</f>
        <v>TPSM861253</v>
      </c>
      <c r="B473" s="5" t="s">
        <v>4154</v>
      </c>
      <c r="C473" s="6" t="str">
        <f>HYPERLINK("https://www.ti.com/lit/gpn/TPSM861253", "PDF")</f>
        <v>PDF</v>
      </c>
      <c r="D473" s="5" t="s">
        <v>4155</v>
      </c>
      <c r="E473" s="5" t="s">
        <v>4156</v>
      </c>
      <c r="F473" s="5" t="s">
        <v>4157</v>
      </c>
      <c r="G473" s="5" t="s">
        <v>4158</v>
      </c>
      <c r="H473" s="1" t="s">
        <v>4159</v>
      </c>
      <c r="I473" s="5" t="s">
        <v>4160</v>
      </c>
      <c r="J473" s="7">
        <v>7</v>
      </c>
      <c r="K473" s="7">
        <v>13.2</v>
      </c>
      <c r="L473" s="5" t="s">
        <v>4161</v>
      </c>
      <c r="M473" s="7">
        <v>2.1</v>
      </c>
      <c r="N473" s="7">
        <v>0.5</v>
      </c>
      <c r="O473" s="7">
        <v>0.9</v>
      </c>
      <c r="P473" s="1" t="s">
        <v>4162</v>
      </c>
    </row>
    <row r="474" spans="1:16" ht="33.4" x14ac:dyDescent="0.3">
      <c r="A474" s="6" t="str">
        <f>HYPERLINK("https://www.ti.com/product/TPSM863253", "TPSM863253")</f>
        <v>TPSM863253</v>
      </c>
      <c r="B474" s="5" t="s">
        <v>4163</v>
      </c>
      <c r="C474" s="6" t="str">
        <f>HYPERLINK("https://www.ti.com/lit/gpn/TPSM863253", "PDF")</f>
        <v>PDF</v>
      </c>
      <c r="D474" s="5" t="s">
        <v>4164</v>
      </c>
      <c r="E474" s="5" t="s">
        <v>4165</v>
      </c>
      <c r="F474" s="5" t="s">
        <v>4166</v>
      </c>
      <c r="G474" s="5" t="s">
        <v>4167</v>
      </c>
      <c r="H474" s="1" t="s">
        <v>4168</v>
      </c>
      <c r="I474" s="5" t="s">
        <v>4169</v>
      </c>
      <c r="J474" s="7">
        <v>7</v>
      </c>
      <c r="K474" s="7">
        <v>13.2</v>
      </c>
      <c r="L474" s="5" t="s">
        <v>4170</v>
      </c>
      <c r="M474" s="7">
        <v>2.1</v>
      </c>
      <c r="N474" s="7">
        <v>0.5</v>
      </c>
      <c r="O474" s="7">
        <v>1</v>
      </c>
      <c r="P474" s="1" t="s">
        <v>4171</v>
      </c>
    </row>
    <row r="475" spans="1:16" ht="33.4" x14ac:dyDescent="0.3">
      <c r="A475" s="6" t="str">
        <f>HYPERLINK("https://www.ti.com/product/UCC21330", "UCC21330")</f>
        <v>UCC21330</v>
      </c>
      <c r="B475" s="5" t="s">
        <v>4172</v>
      </c>
      <c r="C475" s="6" t="str">
        <f>HYPERLINK("https://www.ti.com/lit/gpn/UCC21330", "PDF")</f>
        <v>PDF</v>
      </c>
      <c r="D475" s="5" t="s">
        <v>4173</v>
      </c>
      <c r="E475" s="5" t="s">
        <v>4174</v>
      </c>
      <c r="F475" s="5"/>
      <c r="G475" s="5" t="s">
        <v>4175</v>
      </c>
      <c r="H475" s="1" t="s">
        <v>4176</v>
      </c>
      <c r="I475" s="5" t="s">
        <v>4177</v>
      </c>
      <c r="J475" s="7">
        <v>16</v>
      </c>
      <c r="K475" s="7">
        <v>59.4</v>
      </c>
      <c r="L475" s="5" t="s">
        <v>4178</v>
      </c>
      <c r="M475" s="7">
        <v>1.75</v>
      </c>
      <c r="N475" s="7">
        <v>1.27</v>
      </c>
      <c r="O475" s="7">
        <v>0.66</v>
      </c>
      <c r="P475" s="1" t="s">
        <v>4179</v>
      </c>
    </row>
    <row r="476" spans="1:16" ht="33.4" x14ac:dyDescent="0.3">
      <c r="A476" s="6" t="str">
        <f>HYPERLINK("https://www.ti.com/product/UCC21330-Q1", "UCC21330-Q1")</f>
        <v>UCC21330-Q1</v>
      </c>
      <c r="B476" s="5" t="s">
        <v>4180</v>
      </c>
      <c r="C476" s="6" t="str">
        <f>HYPERLINK("https://www.ti.com/lit/gpn/UCC21330-Q1", "PDF")</f>
        <v>PDF</v>
      </c>
      <c r="D476" s="5" t="s">
        <v>4181</v>
      </c>
      <c r="E476" s="5" t="s">
        <v>4182</v>
      </c>
      <c r="F476" s="5"/>
      <c r="G476" s="5" t="s">
        <v>4183</v>
      </c>
      <c r="H476" s="1" t="s">
        <v>4184</v>
      </c>
      <c r="I476" s="5" t="s">
        <v>4185</v>
      </c>
      <c r="J476" s="7">
        <v>16</v>
      </c>
      <c r="K476" s="7">
        <v>59.4</v>
      </c>
      <c r="L476" s="5" t="s">
        <v>4186</v>
      </c>
      <c r="M476" s="7">
        <v>1.75</v>
      </c>
      <c r="N476" s="7">
        <v>1.27</v>
      </c>
      <c r="O476" s="7">
        <v>0.77900000000000003</v>
      </c>
      <c r="P476" s="1" t="s">
        <v>4187</v>
      </c>
    </row>
    <row r="477" spans="1:16" ht="33.4" x14ac:dyDescent="0.3">
      <c r="A477" s="6" t="str">
        <f>HYPERLINK("https://www.ti.com/product/LMR43606-Q1", "LMR43606-Q1")</f>
        <v>LMR43606-Q1</v>
      </c>
      <c r="B477" s="5" t="s">
        <v>4188</v>
      </c>
      <c r="C477" s="6" t="str">
        <f>HYPERLINK("https://www.ti.com/lit/gpn/LMR43606-Q1", "PDF")</f>
        <v>PDF</v>
      </c>
      <c r="D477" s="5" t="s">
        <v>4189</v>
      </c>
      <c r="E477" s="5" t="s">
        <v>4190</v>
      </c>
      <c r="F477" s="5" t="s">
        <v>4191</v>
      </c>
      <c r="G477" s="5" t="s">
        <v>4192</v>
      </c>
      <c r="H477" s="1" t="s">
        <v>4193</v>
      </c>
      <c r="I477" s="5" t="s">
        <v>4194</v>
      </c>
      <c r="J477" s="7">
        <v>9</v>
      </c>
      <c r="K477" s="7">
        <v>4</v>
      </c>
      <c r="L477" s="5" t="s">
        <v>4195</v>
      </c>
      <c r="M477" s="7">
        <v>1</v>
      </c>
      <c r="N477" s="7">
        <v>0.5</v>
      </c>
      <c r="O477" s="7">
        <v>1.012</v>
      </c>
      <c r="P477" s="1" t="s">
        <v>4196</v>
      </c>
    </row>
    <row r="478" spans="1:16" ht="33.4" x14ac:dyDescent="0.3">
      <c r="A478" s="6" t="str">
        <f>HYPERLINK("https://www.ti.com/product/TPS7A53B", "TPS7A53B")</f>
        <v>TPS7A53B</v>
      </c>
      <c r="B478" s="5" t="s">
        <v>4197</v>
      </c>
      <c r="C478" s="6" t="str">
        <f>HYPERLINK("https://www.ti.com/lit/gpn/TPS7A53B", "PDF")</f>
        <v>PDF</v>
      </c>
      <c r="D478" s="5" t="s">
        <v>4198</v>
      </c>
      <c r="E478" s="5" t="s">
        <v>4199</v>
      </c>
      <c r="F478" s="5"/>
      <c r="G478" s="5" t="s">
        <v>4200</v>
      </c>
      <c r="H478" s="1" t="s">
        <v>4201</v>
      </c>
      <c r="I478" s="5" t="s">
        <v>4202</v>
      </c>
      <c r="J478" s="7">
        <v>12</v>
      </c>
      <c r="K478" s="7">
        <v>5.5</v>
      </c>
      <c r="L478" s="5" t="s">
        <v>4203</v>
      </c>
      <c r="M478" s="7">
        <v>1</v>
      </c>
      <c r="N478" s="7">
        <v>0.5</v>
      </c>
      <c r="O478" s="7">
        <v>1.369</v>
      </c>
      <c r="P478" s="1" t="s">
        <v>4204</v>
      </c>
    </row>
    <row r="479" spans="1:16" ht="33.4" x14ac:dyDescent="0.3">
      <c r="A479" s="6" t="str">
        <f>HYPERLINK("https://www.ti.com/product/TPS61289", "TPS61289")</f>
        <v>TPS61289</v>
      </c>
      <c r="B479" s="5" t="s">
        <v>4205</v>
      </c>
      <c r="C479" s="6" t="str">
        <f>HYPERLINK("https://www.ti.com/lit/gpn/TPS61289", "PDF")</f>
        <v>PDF</v>
      </c>
      <c r="D479" s="5" t="s">
        <v>4206</v>
      </c>
      <c r="E479" s="5" t="s">
        <v>4207</v>
      </c>
      <c r="F479" s="5" t="s">
        <v>4208</v>
      </c>
      <c r="G479" s="5" t="s">
        <v>4209</v>
      </c>
      <c r="H479" s="1" t="s">
        <v>4210</v>
      </c>
      <c r="I479" s="5" t="s">
        <v>4211</v>
      </c>
      <c r="J479" s="7">
        <v>14</v>
      </c>
      <c r="K479" s="7">
        <v>7.5</v>
      </c>
      <c r="L479" s="5" t="s">
        <v>4212</v>
      </c>
      <c r="M479" s="7">
        <v>1</v>
      </c>
      <c r="N479" s="7">
        <v>0.5</v>
      </c>
      <c r="O479" s="7">
        <v>0.96599999999999997</v>
      </c>
      <c r="P479" s="1" t="s">
        <v>4213</v>
      </c>
    </row>
    <row r="480" spans="1:16" ht="33.4" x14ac:dyDescent="0.3">
      <c r="A480" s="6" t="str">
        <f>HYPERLINK("https://www.ti.com/product/TPS56836", "TPS56836")</f>
        <v>TPS56836</v>
      </c>
      <c r="B480" s="5" t="s">
        <v>4214</v>
      </c>
      <c r="C480" s="6" t="str">
        <f>HYPERLINK("https://www.ti.com/lit/gpn/TPS56836", "PDF")</f>
        <v>PDF</v>
      </c>
      <c r="D480" s="5" t="s">
        <v>4215</v>
      </c>
      <c r="E480" s="5" t="s">
        <v>4216</v>
      </c>
      <c r="F480" s="5" t="s">
        <v>4217</v>
      </c>
      <c r="G480" s="5" t="s">
        <v>4218</v>
      </c>
      <c r="H480" s="1" t="s">
        <v>4219</v>
      </c>
      <c r="I480" s="5" t="s">
        <v>4220</v>
      </c>
      <c r="J480" s="7">
        <v>10</v>
      </c>
      <c r="K480" s="7">
        <v>9</v>
      </c>
      <c r="L480" s="5" t="s">
        <v>4221</v>
      </c>
      <c r="M480" s="7">
        <v>1</v>
      </c>
      <c r="N480" s="7">
        <v>0.5</v>
      </c>
      <c r="O480" s="7">
        <v>1.0580000000000001</v>
      </c>
      <c r="P480" s="1" t="s">
        <v>4222</v>
      </c>
    </row>
    <row r="481" spans="1:16" ht="33.4" x14ac:dyDescent="0.3">
      <c r="A481" s="6" t="str">
        <f>HYPERLINK("https://www.ti.com/product/TPS56838", "TPS56838")</f>
        <v>TPS56838</v>
      </c>
      <c r="B481" s="5" t="s">
        <v>4223</v>
      </c>
      <c r="C481" s="6" t="str">
        <f>HYPERLINK("https://www.ti.com/lit/gpn/TPS56838", "PDF")</f>
        <v>PDF</v>
      </c>
      <c r="D481" s="5" t="s">
        <v>4224</v>
      </c>
      <c r="E481" s="5" t="s">
        <v>4225</v>
      </c>
      <c r="F481" s="5" t="s">
        <v>4226</v>
      </c>
      <c r="G481" s="5" t="s">
        <v>4227</v>
      </c>
      <c r="H481" s="1" t="s">
        <v>4228</v>
      </c>
      <c r="I481" s="5" t="s">
        <v>4229</v>
      </c>
      <c r="J481" s="7">
        <v>10</v>
      </c>
      <c r="K481" s="7">
        <v>9</v>
      </c>
      <c r="L481" s="5" t="s">
        <v>4230</v>
      </c>
      <c r="M481" s="7">
        <v>1</v>
      </c>
      <c r="N481" s="7">
        <v>0.5</v>
      </c>
      <c r="O481" s="7">
        <v>1.0580000000000001</v>
      </c>
      <c r="P481" s="1" t="s">
        <v>4231</v>
      </c>
    </row>
    <row r="482" spans="1:16" ht="33.4" x14ac:dyDescent="0.3">
      <c r="A482" s="6" t="str">
        <f>HYPERLINK("https://www.ti.com/product/TPS56A37", "TPS56A37")</f>
        <v>TPS56A37</v>
      </c>
      <c r="B482" s="5" t="s">
        <v>4232</v>
      </c>
      <c r="C482" s="6" t="str">
        <f>HYPERLINK("https://www.ti.com/lit/gpn/TPS56A37", "PDF")</f>
        <v>PDF</v>
      </c>
      <c r="D482" s="5" t="s">
        <v>4233</v>
      </c>
      <c r="E482" s="5" t="s">
        <v>4234</v>
      </c>
      <c r="F482" s="5" t="s">
        <v>4235</v>
      </c>
      <c r="G482" s="5" t="s">
        <v>4236</v>
      </c>
      <c r="H482" s="1" t="s">
        <v>4237</v>
      </c>
      <c r="I482" s="5" t="s">
        <v>4238</v>
      </c>
      <c r="J482" s="7">
        <v>10</v>
      </c>
      <c r="K482" s="7">
        <v>9</v>
      </c>
      <c r="L482" s="5" t="s">
        <v>4239</v>
      </c>
      <c r="M482" s="7">
        <v>1</v>
      </c>
      <c r="N482" s="7">
        <v>0.5</v>
      </c>
      <c r="O482" s="7">
        <v>1.111</v>
      </c>
      <c r="P482" s="1" t="s">
        <v>4240</v>
      </c>
    </row>
    <row r="483" spans="1:16" ht="33.4" x14ac:dyDescent="0.3">
      <c r="A483" s="6" t="str">
        <f>HYPERLINK("https://www.ti.com/product/TPS562203", "TPS562203")</f>
        <v>TPS562203</v>
      </c>
      <c r="B483" s="5" t="s">
        <v>4241</v>
      </c>
      <c r="C483" s="6" t="str">
        <f>HYPERLINK("https://www.ti.com/lit/gpn/TPS562203", "PDF")</f>
        <v>PDF</v>
      </c>
      <c r="D483" s="5" t="s">
        <v>4242</v>
      </c>
      <c r="E483" s="5" t="s">
        <v>4243</v>
      </c>
      <c r="F483" s="5" t="s">
        <v>4244</v>
      </c>
      <c r="G483" s="5" t="s">
        <v>4245</v>
      </c>
      <c r="H483" s="1" t="s">
        <v>4246</v>
      </c>
      <c r="I483" s="5" t="s">
        <v>4247</v>
      </c>
      <c r="J483" s="7">
        <v>6</v>
      </c>
      <c r="K483" s="7">
        <v>2.56</v>
      </c>
      <c r="L483" s="5" t="s">
        <v>4248</v>
      </c>
      <c r="M483" s="7">
        <v>0.6</v>
      </c>
      <c r="N483" s="7">
        <v>0.5</v>
      </c>
      <c r="O483" s="7">
        <v>8.4000000000000005E-2</v>
      </c>
      <c r="P483" s="1" t="s">
        <v>4249</v>
      </c>
    </row>
    <row r="484" spans="1:16" ht="33.4" x14ac:dyDescent="0.3">
      <c r="A484" s="6" t="str">
        <f>HYPERLINK("https://www.ti.com/product/TPS562206", "TPS562206")</f>
        <v>TPS562206</v>
      </c>
      <c r="B484" s="5" t="s">
        <v>4250</v>
      </c>
      <c r="C484" s="6" t="str">
        <f>HYPERLINK("https://www.ti.com/lit/gpn/TPS562206", "PDF")</f>
        <v>PDF</v>
      </c>
      <c r="D484" s="5" t="s">
        <v>4251</v>
      </c>
      <c r="E484" s="5" t="s">
        <v>4252</v>
      </c>
      <c r="F484" s="5" t="s">
        <v>4253</v>
      </c>
      <c r="G484" s="5" t="s">
        <v>4254</v>
      </c>
      <c r="H484" s="1" t="s">
        <v>4255</v>
      </c>
      <c r="I484" s="5" t="s">
        <v>4256</v>
      </c>
      <c r="J484" s="7">
        <v>6</v>
      </c>
      <c r="K484" s="7">
        <v>2.56</v>
      </c>
      <c r="L484" s="5" t="s">
        <v>4257</v>
      </c>
      <c r="M484" s="7">
        <v>0.6</v>
      </c>
      <c r="N484" s="7">
        <v>0.5</v>
      </c>
      <c r="O484" s="7">
        <v>8.4000000000000005E-2</v>
      </c>
      <c r="P484" s="1" t="s">
        <v>4258</v>
      </c>
    </row>
    <row r="485" spans="1:16" ht="33.4" x14ac:dyDescent="0.3">
      <c r="A485" s="6" t="str">
        <f>HYPERLINK("https://www.ti.com/product/TPS563203", "TPS563203")</f>
        <v>TPS563203</v>
      </c>
      <c r="B485" s="5" t="s">
        <v>4259</v>
      </c>
      <c r="C485" s="6" t="str">
        <f>HYPERLINK("https://www.ti.com/lit/gpn/TPS563203", "PDF")</f>
        <v>PDF</v>
      </c>
      <c r="D485" s="5" t="s">
        <v>4260</v>
      </c>
      <c r="E485" s="5" t="s">
        <v>4261</v>
      </c>
      <c r="F485" s="5" t="s">
        <v>4262</v>
      </c>
      <c r="G485" s="5" t="s">
        <v>4263</v>
      </c>
      <c r="H485" s="1" t="s">
        <v>4264</v>
      </c>
      <c r="I485" s="5" t="s">
        <v>4265</v>
      </c>
      <c r="J485" s="7">
        <v>6</v>
      </c>
      <c r="K485" s="7">
        <v>2.56</v>
      </c>
      <c r="L485" s="5" t="s">
        <v>4266</v>
      </c>
      <c r="M485" s="7">
        <v>0.6</v>
      </c>
      <c r="N485" s="7">
        <v>0.5</v>
      </c>
      <c r="O485" s="7">
        <v>0.09</v>
      </c>
      <c r="P485" s="1" t="s">
        <v>4267</v>
      </c>
    </row>
    <row r="486" spans="1:16" ht="33.4" x14ac:dyDescent="0.3">
      <c r="A486" s="6" t="str">
        <f>HYPERLINK("https://www.ti.com/product/LMR38015-Q1", "LMR38015-Q1")</f>
        <v>LMR38015-Q1</v>
      </c>
      <c r="B486" s="5" t="s">
        <v>4268</v>
      </c>
      <c r="C486" s="6" t="str">
        <f>HYPERLINK("https://www.ti.com/lit/gpn/LMR38015-Q1", "PDF")</f>
        <v>PDF</v>
      </c>
      <c r="D486" s="5" t="s">
        <v>4269</v>
      </c>
      <c r="E486" s="5" t="s">
        <v>4270</v>
      </c>
      <c r="F486" s="5" t="s">
        <v>4271</v>
      </c>
      <c r="G486" s="5" t="s">
        <v>4272</v>
      </c>
      <c r="H486" s="1" t="s">
        <v>4273</v>
      </c>
      <c r="I486" s="5" t="s">
        <v>4274</v>
      </c>
      <c r="J486" s="7">
        <v>12</v>
      </c>
      <c r="K486" s="7">
        <v>9</v>
      </c>
      <c r="L486" s="5" t="s">
        <v>4275</v>
      </c>
      <c r="M486" s="7">
        <v>0.8</v>
      </c>
      <c r="N486" s="7">
        <v>0.5</v>
      </c>
      <c r="O486" s="7">
        <v>1.4379999999999999</v>
      </c>
      <c r="P486" s="1" t="s">
        <v>4276</v>
      </c>
    </row>
    <row r="487" spans="1:16" ht="33.4" x14ac:dyDescent="0.3">
      <c r="A487" s="6" t="str">
        <f>HYPERLINK("https://www.ti.com/product/TPS563206", "TPS563206")</f>
        <v>TPS563206</v>
      </c>
      <c r="B487" s="5" t="s">
        <v>4277</v>
      </c>
      <c r="C487" s="6" t="str">
        <f>HYPERLINK("https://www.ti.com/lit/gpn/TPS563206", "PDF")</f>
        <v>PDF</v>
      </c>
      <c r="D487" s="5" t="s">
        <v>4278</v>
      </c>
      <c r="E487" s="5" t="s">
        <v>4279</v>
      </c>
      <c r="F487" s="5" t="s">
        <v>4280</v>
      </c>
      <c r="G487" s="5" t="s">
        <v>4281</v>
      </c>
      <c r="H487" s="1" t="s">
        <v>4282</v>
      </c>
      <c r="I487" s="5" t="s">
        <v>4283</v>
      </c>
      <c r="J487" s="7">
        <v>6</v>
      </c>
      <c r="K487" s="7">
        <v>2.56</v>
      </c>
      <c r="L487" s="5" t="s">
        <v>4284</v>
      </c>
      <c r="M487" s="7">
        <v>0.6</v>
      </c>
      <c r="N487" s="7">
        <v>0.5</v>
      </c>
      <c r="O487" s="7">
        <v>0.09</v>
      </c>
      <c r="P487" s="1" t="s">
        <v>4285</v>
      </c>
    </row>
    <row r="488" spans="1:16" ht="33.4" x14ac:dyDescent="0.3">
      <c r="A488" s="6" t="str">
        <f>HYPERLINK("https://www.ti.com/product/TPSM86838", "TPSM86838")</f>
        <v>TPSM86838</v>
      </c>
      <c r="B488" s="5" t="s">
        <v>4286</v>
      </c>
      <c r="C488" s="6" t="str">
        <f>HYPERLINK("https://www.ti.com/lit/gpn/TPSM86838", "PDF")</f>
        <v>PDF</v>
      </c>
      <c r="D488" s="5" t="s">
        <v>4287</v>
      </c>
      <c r="E488" s="5" t="s">
        <v>4288</v>
      </c>
      <c r="F488" s="5" t="s">
        <v>4289</v>
      </c>
      <c r="G488" s="5" t="s">
        <v>4290</v>
      </c>
      <c r="H488" s="1" t="s">
        <v>4291</v>
      </c>
      <c r="I488" s="5" t="s">
        <v>4292</v>
      </c>
      <c r="J488" s="7">
        <v>19</v>
      </c>
      <c r="K488" s="7">
        <v>27.5</v>
      </c>
      <c r="L488" s="5" t="s">
        <v>4293</v>
      </c>
      <c r="M488" s="7">
        <v>4.0999999999999996</v>
      </c>
      <c r="N488" s="7">
        <v>0.5</v>
      </c>
      <c r="O488" s="7">
        <v>4.2210000000000001</v>
      </c>
      <c r="P488" s="1" t="s">
        <v>4294</v>
      </c>
    </row>
    <row r="489" spans="1:16" ht="33.4" x14ac:dyDescent="0.3">
      <c r="A489" s="6" t="str">
        <f>HYPERLINK("https://www.ti.com/product/TPS56837H", "TPS56837H")</f>
        <v>TPS56837H</v>
      </c>
      <c r="B489" s="5" t="s">
        <v>4295</v>
      </c>
      <c r="C489" s="6" t="str">
        <f>HYPERLINK("https://www.ti.com/lit/gpn/TPS56837H", "PDF")</f>
        <v>PDF</v>
      </c>
      <c r="D489" s="5" t="s">
        <v>4296</v>
      </c>
      <c r="E489" s="5" t="s">
        <v>4297</v>
      </c>
      <c r="F489" s="5" t="s">
        <v>4298</v>
      </c>
      <c r="G489" s="5" t="s">
        <v>4299</v>
      </c>
      <c r="H489" s="1" t="s">
        <v>4300</v>
      </c>
      <c r="I489" s="5" t="s">
        <v>4301</v>
      </c>
      <c r="J489" s="7">
        <v>10</v>
      </c>
      <c r="K489" s="7">
        <v>9</v>
      </c>
      <c r="L489" s="5" t="s">
        <v>4302</v>
      </c>
      <c r="M489" s="7">
        <v>1</v>
      </c>
      <c r="N489" s="7">
        <v>0.5</v>
      </c>
      <c r="O489" s="7">
        <v>1.0580000000000001</v>
      </c>
      <c r="P489" s="1" t="s">
        <v>4303</v>
      </c>
    </row>
    <row r="490" spans="1:16" ht="33.4" x14ac:dyDescent="0.3">
      <c r="A490" s="6" t="str">
        <f>HYPERLINK("https://www.ti.com/product/TLVM365R1", "TLVM365R1")</f>
        <v>TLVM365R1</v>
      </c>
      <c r="B490" s="5" t="s">
        <v>4304</v>
      </c>
      <c r="C490" s="6" t="str">
        <f>HYPERLINK("https://www.ti.com/lit/gpn/TLVM365R1", "PDF")</f>
        <v>PDF</v>
      </c>
      <c r="D490" s="5" t="s">
        <v>4305</v>
      </c>
      <c r="E490" s="5" t="s">
        <v>4306</v>
      </c>
      <c r="F490" s="5" t="s">
        <v>4307</v>
      </c>
      <c r="G490" s="5" t="s">
        <v>4308</v>
      </c>
      <c r="H490" s="1" t="s">
        <v>4309</v>
      </c>
      <c r="I490" s="5" t="s">
        <v>4310</v>
      </c>
      <c r="J490" s="7">
        <v>11</v>
      </c>
      <c r="K490" s="7">
        <v>15.75</v>
      </c>
      <c r="L490" s="5" t="s">
        <v>4311</v>
      </c>
      <c r="M490" s="7">
        <v>2.1</v>
      </c>
      <c r="N490" s="7">
        <v>0.5</v>
      </c>
      <c r="O490" s="7">
        <v>0.97799999999999998</v>
      </c>
      <c r="P490" s="1" t="s">
        <v>4312</v>
      </c>
    </row>
    <row r="491" spans="1:16" ht="33.4" x14ac:dyDescent="0.3">
      <c r="A491" s="6" t="str">
        <f>HYPERLINK("https://www.ti.com/product/TLVM365R15", "TLVM365R15")</f>
        <v>TLVM365R15</v>
      </c>
      <c r="B491" s="5" t="s">
        <v>4313</v>
      </c>
      <c r="C491" s="6" t="str">
        <f>HYPERLINK("https://www.ti.com/lit/gpn/TLVM365R15", "PDF")</f>
        <v>PDF</v>
      </c>
      <c r="D491" s="5" t="s">
        <v>4314</v>
      </c>
      <c r="E491" s="5" t="s">
        <v>4315</v>
      </c>
      <c r="F491" s="5" t="s">
        <v>4316</v>
      </c>
      <c r="G491" s="5" t="s">
        <v>4317</v>
      </c>
      <c r="H491" s="1" t="s">
        <v>4318</v>
      </c>
      <c r="I491" s="5" t="s">
        <v>4319</v>
      </c>
      <c r="J491" s="7">
        <v>11</v>
      </c>
      <c r="K491" s="7">
        <v>15.75</v>
      </c>
      <c r="L491" s="5" t="s">
        <v>4320</v>
      </c>
      <c r="M491" s="7">
        <v>2.1</v>
      </c>
      <c r="N491" s="7">
        <v>0.5</v>
      </c>
      <c r="O491" s="7">
        <v>1.0349999999999999</v>
      </c>
      <c r="P491" s="1" t="s">
        <v>4321</v>
      </c>
    </row>
    <row r="492" spans="1:16" ht="33.4" x14ac:dyDescent="0.3">
      <c r="A492" s="6" t="str">
        <f>HYPERLINK("https://www.ti.com/product/TPSM365R1", "TPSM365R1")</f>
        <v>TPSM365R1</v>
      </c>
      <c r="B492" s="5" t="s">
        <v>4322</v>
      </c>
      <c r="C492" s="6" t="str">
        <f>HYPERLINK("https://www.ti.com/lit/gpn/TPSM365R1", "PDF")</f>
        <v>PDF</v>
      </c>
      <c r="D492" s="5" t="s">
        <v>4323</v>
      </c>
      <c r="E492" s="5" t="s">
        <v>4324</v>
      </c>
      <c r="F492" s="5" t="s">
        <v>4325</v>
      </c>
      <c r="G492" s="5" t="s">
        <v>4326</v>
      </c>
      <c r="H492" s="1" t="s">
        <v>4327</v>
      </c>
      <c r="I492" s="5" t="s">
        <v>4328</v>
      </c>
      <c r="J492" s="7">
        <v>11</v>
      </c>
      <c r="K492" s="7">
        <v>15.75</v>
      </c>
      <c r="L492" s="5" t="s">
        <v>4329</v>
      </c>
      <c r="M492" s="7">
        <v>2.1</v>
      </c>
      <c r="N492" s="7">
        <v>0.5</v>
      </c>
      <c r="O492" s="7">
        <v>1.38</v>
      </c>
      <c r="P492" s="1" t="s">
        <v>4330</v>
      </c>
    </row>
    <row r="493" spans="1:16" ht="33.4" x14ac:dyDescent="0.3">
      <c r="A493" s="6" t="str">
        <f>HYPERLINK("https://www.ti.com/product/UCC27444", "UCC27444")</f>
        <v>UCC27444</v>
      </c>
      <c r="B493" s="5" t="s">
        <v>4331</v>
      </c>
      <c r="C493" s="6" t="str">
        <f>HYPERLINK("https://www.ti.com/lit/gpn/UCC27444", "PDF")</f>
        <v>PDF</v>
      </c>
      <c r="D493" s="5" t="s">
        <v>4332</v>
      </c>
      <c r="E493" s="5" t="s">
        <v>4333</v>
      </c>
      <c r="F493" s="5"/>
      <c r="G493" s="5" t="s">
        <v>4334</v>
      </c>
      <c r="H493" s="1" t="s">
        <v>4335</v>
      </c>
      <c r="I493" s="5" t="s">
        <v>4336</v>
      </c>
      <c r="J493" s="7">
        <v>8</v>
      </c>
      <c r="K493" s="7" t="s">
        <v>4337</v>
      </c>
      <c r="L493" s="5" t="s">
        <v>4338</v>
      </c>
      <c r="M493" s="7" t="s">
        <v>4339</v>
      </c>
      <c r="N493" s="7" t="s">
        <v>4340</v>
      </c>
      <c r="O493" s="7">
        <v>0.46500000000000002</v>
      </c>
      <c r="P493" s="1" t="s">
        <v>4341</v>
      </c>
    </row>
    <row r="494" spans="1:16" ht="33.4" x14ac:dyDescent="0.3">
      <c r="A494" s="6" t="str">
        <f>HYPERLINK("https://www.ti.com/product/LMR51606", "LMR51606")</f>
        <v>LMR51606</v>
      </c>
      <c r="B494" s="5" t="s">
        <v>4342</v>
      </c>
      <c r="C494" s="6" t="str">
        <f>HYPERLINK("https://www.ti.com/lit/gpn/LMR51606", "PDF")</f>
        <v>PDF</v>
      </c>
      <c r="D494" s="5" t="s">
        <v>4343</v>
      </c>
      <c r="E494" s="5" t="s">
        <v>4344</v>
      </c>
      <c r="F494" s="5" t="s">
        <v>4345</v>
      </c>
      <c r="G494" s="5" t="s">
        <v>4346</v>
      </c>
      <c r="H494" s="1" t="s">
        <v>4347</v>
      </c>
      <c r="I494" s="5" t="s">
        <v>4348</v>
      </c>
      <c r="J494" s="7">
        <v>6</v>
      </c>
      <c r="K494" s="7">
        <v>8.1199999999999992</v>
      </c>
      <c r="L494" s="5" t="s">
        <v>4349</v>
      </c>
      <c r="M494" s="7">
        <v>1.45</v>
      </c>
      <c r="N494" s="7">
        <v>0.95</v>
      </c>
      <c r="O494" s="7">
        <v>0.48</v>
      </c>
      <c r="P494" s="1" t="s">
        <v>4350</v>
      </c>
    </row>
    <row r="495" spans="1:16" ht="33.4" x14ac:dyDescent="0.3">
      <c r="A495" s="6" t="str">
        <f>HYPERLINK("https://www.ti.com/product/REF54", "REF54")</f>
        <v>REF54</v>
      </c>
      <c r="B495" s="5" t="s">
        <v>4351</v>
      </c>
      <c r="C495" s="6" t="str">
        <f>HYPERLINK("https://www.ti.com/lit/gpn/REF54", "PDF")</f>
        <v>PDF</v>
      </c>
      <c r="D495" s="5" t="s">
        <v>4352</v>
      </c>
      <c r="E495" s="5" t="s">
        <v>4353</v>
      </c>
      <c r="F495" s="5"/>
      <c r="G495" s="5" t="s">
        <v>4354</v>
      </c>
      <c r="H495" s="1" t="s">
        <v>4355</v>
      </c>
      <c r="I495" s="5" t="s">
        <v>4356</v>
      </c>
      <c r="J495" s="7">
        <v>8</v>
      </c>
      <c r="K495" s="7">
        <v>29.4</v>
      </c>
      <c r="L495" s="5" t="s">
        <v>4357</v>
      </c>
      <c r="M495" s="7">
        <v>1.75</v>
      </c>
      <c r="N495" s="7">
        <v>1.27</v>
      </c>
      <c r="O495" s="7">
        <v>7.9930000000000003</v>
      </c>
      <c r="P495" s="1" t="s">
        <v>4358</v>
      </c>
    </row>
    <row r="496" spans="1:16" ht="66.150000000000006" x14ac:dyDescent="0.3">
      <c r="A496" s="6" t="str">
        <f>HYPERLINK("https://www.ti.com/product/TPSM8287A06", "TPSM8287A06")</f>
        <v>TPSM8287A06</v>
      </c>
      <c r="B496" s="5" t="s">
        <v>4359</v>
      </c>
      <c r="C496" s="6" t="str">
        <f>HYPERLINK("https://www.ti.com/lit/gpn/TPSM8287A06", "PDF")</f>
        <v>PDF</v>
      </c>
      <c r="D496" s="5" t="s">
        <v>4360</v>
      </c>
      <c r="E496" s="5" t="s">
        <v>4361</v>
      </c>
      <c r="F496" s="5" t="s">
        <v>4362</v>
      </c>
      <c r="G496" s="5" t="s">
        <v>4363</v>
      </c>
      <c r="H496" s="1" t="s">
        <v>4364</v>
      </c>
      <c r="I496" s="5" t="s">
        <v>4365</v>
      </c>
      <c r="J496" s="7">
        <v>39</v>
      </c>
      <c r="K496" s="7">
        <v>30.6</v>
      </c>
      <c r="L496" s="5" t="s">
        <v>4366</v>
      </c>
      <c r="M496" s="7">
        <v>1.8</v>
      </c>
      <c r="N496" s="7">
        <v>0.5</v>
      </c>
      <c r="O496" s="7">
        <v>3.887</v>
      </c>
      <c r="P496" s="1" t="s">
        <v>4367</v>
      </c>
    </row>
    <row r="497" spans="1:16" ht="33.4" x14ac:dyDescent="0.3">
      <c r="A497" s="6" t="str">
        <f>HYPERLINK("https://www.ti.com/product/TPS3762", "TPS3762")</f>
        <v>TPS3762</v>
      </c>
      <c r="B497" s="5" t="s">
        <v>4368</v>
      </c>
      <c r="C497" s="6" t="str">
        <f>HYPERLINK("https://www.ti.com/lit/gpn/TPS3762", "PDF")</f>
        <v>PDF</v>
      </c>
      <c r="D497" s="5" t="s">
        <v>4369</v>
      </c>
      <c r="E497" s="5" t="s">
        <v>4370</v>
      </c>
      <c r="F497" s="5"/>
      <c r="G497" s="5" t="s">
        <v>4371</v>
      </c>
      <c r="H497" s="1" t="s">
        <v>4372</v>
      </c>
      <c r="I497" s="5" t="s">
        <v>4373</v>
      </c>
      <c r="J497" s="7">
        <v>8</v>
      </c>
      <c r="K497" s="7">
        <v>8.1199999999999992</v>
      </c>
      <c r="L497" s="5" t="s">
        <v>4374</v>
      </c>
      <c r="M497" s="7">
        <v>1.1000000000000001</v>
      </c>
      <c r="N497" s="7">
        <v>0.65</v>
      </c>
      <c r="O497" s="7">
        <v>0.88700000000000001</v>
      </c>
      <c r="P497" s="1" t="s">
        <v>4375</v>
      </c>
    </row>
    <row r="498" spans="1:16" ht="17.05" x14ac:dyDescent="0.3">
      <c r="A498" s="6" t="str">
        <f>HYPERLINK("https://www.ti.com/product/TPSM64406", "TPSM64406")</f>
        <v>TPSM64406</v>
      </c>
      <c r="B498" s="5" t="s">
        <v>4376</v>
      </c>
      <c r="C498" s="6" t="str">
        <f>HYPERLINK("https://www.ti.com/lit/gpn/TPSM64406", "PDF")</f>
        <v>PDF</v>
      </c>
      <c r="D498" s="5" t="s">
        <v>4377</v>
      </c>
      <c r="E498" s="5" t="s">
        <v>4378</v>
      </c>
      <c r="F498" s="5" t="s">
        <v>4379</v>
      </c>
      <c r="G498" s="5" t="s">
        <v>4380</v>
      </c>
      <c r="H498" s="1" t="s">
        <v>4381</v>
      </c>
      <c r="I498" s="5" t="s">
        <v>4382</v>
      </c>
      <c r="J498" s="7">
        <v>28</v>
      </c>
      <c r="K498" s="7">
        <v>45.5</v>
      </c>
      <c r="L498" s="5" t="s">
        <v>4383</v>
      </c>
      <c r="M498" s="7">
        <v>2.1</v>
      </c>
      <c r="N498" s="7">
        <v>0.5</v>
      </c>
      <c r="O498" s="7">
        <v>6.3250000000000002</v>
      </c>
      <c r="P498" s="1" t="s">
        <v>4384</v>
      </c>
    </row>
    <row r="499" spans="1:16" ht="33.4" x14ac:dyDescent="0.3">
      <c r="A499" s="6" t="str">
        <f>HYPERLINK("https://www.ti.com/product/LM74703-Q1", "LM74703-Q1")</f>
        <v>LM74703-Q1</v>
      </c>
      <c r="B499" s="5" t="s">
        <v>4385</v>
      </c>
      <c r="C499" s="6" t="str">
        <f>HYPERLINK("https://www.ti.com/lit/gpn/LM74703-Q1", "PDF")</f>
        <v>PDF</v>
      </c>
      <c r="D499" s="5" t="s">
        <v>4386</v>
      </c>
      <c r="E499" s="5" t="s">
        <v>4387</v>
      </c>
      <c r="F499" s="5"/>
      <c r="G499" s="5" t="s">
        <v>4388</v>
      </c>
      <c r="H499" s="1" t="s">
        <v>4389</v>
      </c>
      <c r="I499" s="5" t="s">
        <v>4390</v>
      </c>
      <c r="J499" s="7">
        <v>8</v>
      </c>
      <c r="K499" s="7">
        <v>8.1199999999999992</v>
      </c>
      <c r="L499" s="5" t="s">
        <v>4391</v>
      </c>
      <c r="M499" s="7">
        <v>1.1000000000000001</v>
      </c>
      <c r="N499" s="7">
        <v>0.65</v>
      </c>
      <c r="O499" s="7">
        <v>0.68899999999999995</v>
      </c>
      <c r="P499" s="1" t="s">
        <v>4392</v>
      </c>
    </row>
    <row r="500" spans="1:16" ht="33.4" x14ac:dyDescent="0.3">
      <c r="A500" s="6" t="str">
        <f>HYPERLINK("https://www.ti.com/product/LM74704-Q1", "LM74704-Q1")</f>
        <v>LM74704-Q1</v>
      </c>
      <c r="B500" s="5" t="s">
        <v>4393</v>
      </c>
      <c r="C500" s="6" t="str">
        <f>HYPERLINK("https://www.ti.com/lit/gpn/LM74704-Q1", "PDF")</f>
        <v>PDF</v>
      </c>
      <c r="D500" s="5" t="s">
        <v>4394</v>
      </c>
      <c r="E500" s="5" t="s">
        <v>4395</v>
      </c>
      <c r="F500" s="5"/>
      <c r="G500" s="5" t="s">
        <v>4396</v>
      </c>
      <c r="H500" s="1" t="s">
        <v>4397</v>
      </c>
      <c r="I500" s="5" t="s">
        <v>4398</v>
      </c>
      <c r="J500" s="7">
        <v>8</v>
      </c>
      <c r="K500" s="7">
        <v>8.1199999999999992</v>
      </c>
      <c r="L500" s="5" t="s">
        <v>4399</v>
      </c>
      <c r="M500" s="7">
        <v>1.1000000000000001</v>
      </c>
      <c r="N500" s="7">
        <v>0.65</v>
      </c>
      <c r="O500" s="7">
        <v>0.68899999999999995</v>
      </c>
      <c r="P500" s="1" t="s">
        <v>4400</v>
      </c>
    </row>
    <row r="501" spans="1:16" ht="33.4" x14ac:dyDescent="0.3">
      <c r="A501" s="6" t="str">
        <f>HYPERLINK("https://www.ti.com/product/LP87725-Q1", "LP87725-Q1")</f>
        <v>LP87725-Q1</v>
      </c>
      <c r="B501" s="5" t="s">
        <v>4401</v>
      </c>
      <c r="C501" s="6" t="str">
        <f>HYPERLINK("https://www.ti.com/lit/gpn/LP87725-Q1", "PDF")</f>
        <v>PDF</v>
      </c>
      <c r="D501" s="5" t="s">
        <v>4402</v>
      </c>
      <c r="E501" s="5" t="s">
        <v>4403</v>
      </c>
      <c r="F501" s="5"/>
      <c r="G501" s="5" t="s">
        <v>4404</v>
      </c>
      <c r="H501" s="1" t="s">
        <v>4405</v>
      </c>
      <c r="I501" s="5" t="s">
        <v>4406</v>
      </c>
      <c r="J501" s="7">
        <v>24</v>
      </c>
      <c r="K501" s="7">
        <v>16</v>
      </c>
      <c r="L501" s="5" t="s">
        <v>4407</v>
      </c>
      <c r="M501" s="7">
        <v>1</v>
      </c>
      <c r="N501" s="7">
        <v>0.5</v>
      </c>
      <c r="O501" s="7">
        <v>1.4950000000000001</v>
      </c>
      <c r="P501" s="1" t="s">
        <v>4408</v>
      </c>
    </row>
    <row r="502" spans="1:16" ht="33.4" x14ac:dyDescent="0.3">
      <c r="A502" s="6" t="str">
        <f>HYPERLINK("https://www.ti.com/product/TPS7H3302-SP", "TPS7H3302-SP")</f>
        <v>TPS7H3302-SP</v>
      </c>
      <c r="B502" s="5" t="s">
        <v>4409</v>
      </c>
      <c r="C502" s="6" t="str">
        <f>HYPERLINK("https://www.ti.com/lit/gpn/TPS7H3302-SP", "PDF")</f>
        <v>PDF</v>
      </c>
      <c r="D502" s="5" t="s">
        <v>4410</v>
      </c>
      <c r="E502" s="5" t="s">
        <v>4411</v>
      </c>
      <c r="F502" s="5"/>
      <c r="G502" s="5" t="s">
        <v>4412</v>
      </c>
      <c r="H502" s="1" t="s">
        <v>4413</v>
      </c>
      <c r="I502" s="5" t="s">
        <v>4414</v>
      </c>
      <c r="J502" s="7">
        <v>32</v>
      </c>
      <c r="K502" s="7">
        <v>89.1</v>
      </c>
      <c r="L502" s="5" t="s">
        <v>4415</v>
      </c>
      <c r="M502" s="7">
        <v>1.2</v>
      </c>
      <c r="N502" s="7">
        <v>0.65</v>
      </c>
      <c r="O502" s="7">
        <v>5250.4179999999997</v>
      </c>
      <c r="P502" s="1" t="s">
        <v>4416</v>
      </c>
    </row>
    <row r="503" spans="1:16" ht="33.4" x14ac:dyDescent="0.3">
      <c r="A503" s="6" t="str">
        <f>HYPERLINK("https://www.ti.com/product/TPS92530-Q1", "TPS92530-Q1")</f>
        <v>TPS92530-Q1</v>
      </c>
      <c r="B503" s="5" t="s">
        <v>4417</v>
      </c>
      <c r="C503" s="6" t="str">
        <f>HYPERLINK("https://www.ti.com/lit/gpn/TPS92530-Q1", "PDF")</f>
        <v>PDF</v>
      </c>
      <c r="D503" s="5" t="s">
        <v>4418</v>
      </c>
      <c r="E503" s="5" t="s">
        <v>4419</v>
      </c>
      <c r="F503" s="5" t="s">
        <v>4420</v>
      </c>
      <c r="G503" s="5" t="s">
        <v>4421</v>
      </c>
      <c r="H503" s="1" t="s">
        <v>4422</v>
      </c>
      <c r="I503" s="5" t="s">
        <v>4423</v>
      </c>
      <c r="J503" s="7">
        <v>48</v>
      </c>
      <c r="K503" s="7">
        <v>81</v>
      </c>
      <c r="L503" s="5" t="s">
        <v>4424</v>
      </c>
      <c r="M503" s="7">
        <v>1.2</v>
      </c>
      <c r="N503" s="7">
        <v>0.5</v>
      </c>
      <c r="O503" s="7">
        <v>1.7250000000000001</v>
      </c>
      <c r="P503" s="1" t="s">
        <v>4425</v>
      </c>
    </row>
    <row r="504" spans="1:16" ht="17.05" x14ac:dyDescent="0.3">
      <c r="A504" s="6" t="str">
        <f>HYPERLINK("https://www.ti.com/product/TPS281C100", "TPS281C100")</f>
        <v>TPS281C100</v>
      </c>
      <c r="B504" s="5" t="s">
        <v>4426</v>
      </c>
      <c r="C504" s="6" t="str">
        <f>HYPERLINK("https://www.ti.com/lit/gpn/TPS281C100", "PDF")</f>
        <v>PDF</v>
      </c>
      <c r="D504" s="5" t="s">
        <v>4427</v>
      </c>
      <c r="E504" s="5" t="s">
        <v>4428</v>
      </c>
      <c r="F504" s="5"/>
      <c r="G504" s="5" t="s">
        <v>4429</v>
      </c>
      <c r="H504" s="1" t="s">
        <v>4430</v>
      </c>
      <c r="I504" s="5" t="s">
        <v>4431</v>
      </c>
      <c r="J504" s="7">
        <v>12</v>
      </c>
      <c r="K504" s="7">
        <v>16</v>
      </c>
      <c r="L504" s="5" t="s">
        <v>4432</v>
      </c>
      <c r="M504" s="7">
        <v>0.8</v>
      </c>
      <c r="N504" s="7">
        <v>0.5</v>
      </c>
      <c r="O504" s="7">
        <v>0.92</v>
      </c>
      <c r="P504" s="1" t="s">
        <v>4433</v>
      </c>
    </row>
    <row r="505" spans="1:16" ht="33.4" x14ac:dyDescent="0.3">
      <c r="A505" s="6" t="str">
        <f>HYPERLINK("https://www.ti.com/product/UCC28750", "UCC28750")</f>
        <v>UCC28750</v>
      </c>
      <c r="B505" s="5" t="s">
        <v>4434</v>
      </c>
      <c r="C505" s="6" t="str">
        <f>HYPERLINK("https://www.ti.com/lit/gpn/UCC28750", "PDF")</f>
        <v>PDF</v>
      </c>
      <c r="D505" s="5" t="s">
        <v>4435</v>
      </c>
      <c r="E505" s="5" t="s">
        <v>4436</v>
      </c>
      <c r="F505" s="5" t="s">
        <v>4437</v>
      </c>
      <c r="G505" s="5" t="s">
        <v>4438</v>
      </c>
      <c r="H505" s="1" t="s">
        <v>4439</v>
      </c>
      <c r="I505" s="5" t="s">
        <v>4440</v>
      </c>
      <c r="J505" s="7">
        <v>6</v>
      </c>
      <c r="K505" s="7">
        <v>8.1199999999999992</v>
      </c>
      <c r="L505" s="5" t="s">
        <v>4441</v>
      </c>
      <c r="M505" s="7">
        <v>1.45</v>
      </c>
      <c r="N505" s="7">
        <v>0.95</v>
      </c>
      <c r="O505" s="7">
        <v>0.107</v>
      </c>
      <c r="P505" s="1" t="s">
        <v>4442</v>
      </c>
    </row>
    <row r="506" spans="1:16" ht="33.4" x14ac:dyDescent="0.3">
      <c r="A506" s="6" t="str">
        <f>HYPERLINK("https://www.ti.com/product/TPS22996", "TPS22996")</f>
        <v>TPS22996</v>
      </c>
      <c r="B506" s="5" t="s">
        <v>4443</v>
      </c>
      <c r="C506" s="6" t="str">
        <f>HYPERLINK("https://www.ti.com/lit/gpn/TPS22996", "PDF")</f>
        <v>PDF</v>
      </c>
      <c r="D506" s="5" t="s">
        <v>4444</v>
      </c>
      <c r="E506" s="5" t="s">
        <v>4445</v>
      </c>
      <c r="F506" s="5"/>
      <c r="G506" s="5" t="s">
        <v>4446</v>
      </c>
      <c r="H506" s="1" t="s">
        <v>4447</v>
      </c>
      <c r="I506" s="5" t="s">
        <v>4448</v>
      </c>
      <c r="J506" s="7">
        <v>8</v>
      </c>
      <c r="K506" s="7">
        <v>3.36</v>
      </c>
      <c r="L506" s="5" t="s">
        <v>4449</v>
      </c>
      <c r="M506" s="7">
        <v>0.6</v>
      </c>
      <c r="N506" s="7">
        <v>0.5</v>
      </c>
      <c r="O506" s="7">
        <v>0.16</v>
      </c>
      <c r="P506" s="1" t="s">
        <v>4450</v>
      </c>
    </row>
    <row r="507" spans="1:16" ht="49.75" x14ac:dyDescent="0.3">
      <c r="A507" s="6" t="str">
        <f>HYPERLINK("https://www.ti.com/product/TPSM828303", "TPSM828303")</f>
        <v>TPSM828303</v>
      </c>
      <c r="B507" s="5" t="s">
        <v>4451</v>
      </c>
      <c r="C507" s="6" t="str">
        <f>HYPERLINK("https://www.ti.com/lit/gpn/TPSM828303", "PDF")</f>
        <v>PDF</v>
      </c>
      <c r="D507" s="5" t="s">
        <v>4452</v>
      </c>
      <c r="E507" s="5" t="s">
        <v>4453</v>
      </c>
      <c r="F507" s="5" t="s">
        <v>4454</v>
      </c>
      <c r="G507" s="5" t="s">
        <v>4455</v>
      </c>
      <c r="H507" s="1" t="s">
        <v>4456</v>
      </c>
      <c r="I507" s="5" t="s">
        <v>4457</v>
      </c>
      <c r="J507" s="7" t="s">
        <v>4458</v>
      </c>
      <c r="K507" s="7" t="s">
        <v>4459</v>
      </c>
      <c r="L507" s="5" t="s">
        <v>4460</v>
      </c>
      <c r="M507" s="7" t="s">
        <v>4461</v>
      </c>
      <c r="N507" s="7">
        <v>0.5</v>
      </c>
      <c r="O507" s="7">
        <v>1.3109999999999999</v>
      </c>
      <c r="P507" s="1" t="s">
        <v>4462</v>
      </c>
    </row>
    <row r="508" spans="1:16" ht="49.75" x14ac:dyDescent="0.3">
      <c r="A508" s="6" t="str">
        <f>HYPERLINK("https://www.ti.com/product/TPSM8287A12", "TPSM8287A12")</f>
        <v>TPSM8287A12</v>
      </c>
      <c r="B508" s="5" t="s">
        <v>4463</v>
      </c>
      <c r="C508" s="6" t="str">
        <f>HYPERLINK("https://www.ti.com/lit/gpn/TPSM8287A12", "PDF")</f>
        <v>PDF</v>
      </c>
      <c r="D508" s="5" t="s">
        <v>4464</v>
      </c>
      <c r="E508" s="5" t="s">
        <v>4465</v>
      </c>
      <c r="F508" s="5" t="s">
        <v>4466</v>
      </c>
      <c r="G508" s="5" t="s">
        <v>4467</v>
      </c>
      <c r="H508" s="1" t="s">
        <v>4468</v>
      </c>
      <c r="I508" s="5" t="s">
        <v>4469</v>
      </c>
      <c r="J508" s="7">
        <v>39</v>
      </c>
      <c r="K508" s="7">
        <v>30.6</v>
      </c>
      <c r="L508" s="5" t="s">
        <v>4470</v>
      </c>
      <c r="M508" s="7">
        <v>1.8</v>
      </c>
      <c r="N508" s="7">
        <v>0.5</v>
      </c>
      <c r="O508" s="7">
        <v>7.2220000000000004</v>
      </c>
      <c r="P508" s="1" t="s">
        <v>4471</v>
      </c>
    </row>
    <row r="509" spans="1:16" ht="49.75" x14ac:dyDescent="0.3">
      <c r="A509" s="6" t="str">
        <f>HYPERLINK("https://www.ti.com/product/TPS55289-Q1", "TPS55289-Q1")</f>
        <v>TPS55289-Q1</v>
      </c>
      <c r="B509" s="5" t="s">
        <v>4472</v>
      </c>
      <c r="C509" s="6" t="str">
        <f>HYPERLINK("https://www.ti.com/lit/gpn/TPS55289-Q1", "PDF")</f>
        <v>PDF</v>
      </c>
      <c r="D509" s="5" t="s">
        <v>4473</v>
      </c>
      <c r="E509" s="5" t="s">
        <v>4474</v>
      </c>
      <c r="F509" s="5" t="s">
        <v>4475</v>
      </c>
      <c r="G509" s="5" t="s">
        <v>4476</v>
      </c>
      <c r="H509" s="1" t="s">
        <v>4477</v>
      </c>
      <c r="I509" s="5" t="s">
        <v>4478</v>
      </c>
      <c r="J509" s="7">
        <v>21</v>
      </c>
      <c r="K509" s="7">
        <v>15</v>
      </c>
      <c r="L509" s="5" t="s">
        <v>4479</v>
      </c>
      <c r="M509" s="7">
        <v>1</v>
      </c>
      <c r="N509" s="7">
        <v>0.5</v>
      </c>
      <c r="O509" s="7">
        <v>3.19</v>
      </c>
      <c r="P509" s="1" t="s">
        <v>4480</v>
      </c>
    </row>
    <row r="510" spans="1:16" ht="33.4" x14ac:dyDescent="0.3">
      <c r="A510" s="6" t="str">
        <f>HYPERLINK("https://www.ti.com/product/TPS6287B10", "TPS6287B10")</f>
        <v>TPS6287B10</v>
      </c>
      <c r="B510" s="5" t="s">
        <v>4481</v>
      </c>
      <c r="C510" s="6" t="str">
        <f>HYPERLINK("https://www.ti.com/lit/gpn/TPS6287B10", "PDF")</f>
        <v>PDF</v>
      </c>
      <c r="D510" s="5" t="s">
        <v>4482</v>
      </c>
      <c r="E510" s="5" t="s">
        <v>4483</v>
      </c>
      <c r="F510" s="5" t="s">
        <v>4484</v>
      </c>
      <c r="G510" s="5" t="s">
        <v>4485</v>
      </c>
      <c r="H510" s="1" t="s">
        <v>4486</v>
      </c>
      <c r="I510" s="5" t="s">
        <v>4487</v>
      </c>
      <c r="J510" s="7">
        <v>24</v>
      </c>
      <c r="K510" s="7">
        <v>12.352499999999999</v>
      </c>
      <c r="L510" s="5" t="s">
        <v>4488</v>
      </c>
      <c r="M510" s="7">
        <v>0.7</v>
      </c>
      <c r="N510" s="7">
        <v>0.5</v>
      </c>
      <c r="O510" s="7">
        <v>1.599</v>
      </c>
      <c r="P510" s="1" t="s">
        <v>4489</v>
      </c>
    </row>
    <row r="511" spans="1:16" ht="66.150000000000006" x14ac:dyDescent="0.3">
      <c r="A511" s="6" t="str">
        <f>HYPERLINK("https://www.ti.com/product/TPS6287B25", "TPS6287B25")</f>
        <v>TPS6287B25</v>
      </c>
      <c r="B511" s="5" t="s">
        <v>4490</v>
      </c>
      <c r="C511" s="6" t="str">
        <f>HYPERLINK("https://www.ti.com/lit/gpn/TPS6287B25", "PDF")</f>
        <v>PDF</v>
      </c>
      <c r="D511" s="5" t="s">
        <v>4491</v>
      </c>
      <c r="E511" s="5" t="s">
        <v>4492</v>
      </c>
      <c r="F511" s="5" t="s">
        <v>4493</v>
      </c>
      <c r="G511" s="5" t="s">
        <v>4494</v>
      </c>
      <c r="H511" s="1" t="s">
        <v>4495</v>
      </c>
      <c r="I511" s="5" t="s">
        <v>4496</v>
      </c>
      <c r="J511" s="7">
        <v>24</v>
      </c>
      <c r="K511" s="7">
        <v>12.352499999999999</v>
      </c>
      <c r="L511" s="5" t="s">
        <v>4497</v>
      </c>
      <c r="M511" s="7">
        <v>0.7</v>
      </c>
      <c r="N511" s="7">
        <v>0.5</v>
      </c>
      <c r="O511" s="7">
        <v>2.6920000000000002</v>
      </c>
      <c r="P511" s="1" t="s">
        <v>4498</v>
      </c>
    </row>
    <row r="512" spans="1:16" ht="33.4" x14ac:dyDescent="0.3">
      <c r="A512" s="6" t="str">
        <f>HYPERLINK("https://www.ti.com/product/LM25185", "LM25185")</f>
        <v>LM25185</v>
      </c>
      <c r="B512" s="5" t="s">
        <v>4499</v>
      </c>
      <c r="C512" s="6" t="str">
        <f>HYPERLINK("https://www.ti.com/lit/gpn/LM25185", "PDF")</f>
        <v>PDF</v>
      </c>
      <c r="D512" s="5" t="s">
        <v>4500</v>
      </c>
      <c r="E512" s="5" t="s">
        <v>4501</v>
      </c>
      <c r="F512" s="5" t="s">
        <v>4502</v>
      </c>
      <c r="G512" s="5" t="s">
        <v>4503</v>
      </c>
      <c r="H512" s="1" t="s">
        <v>4504</v>
      </c>
      <c r="I512" s="5" t="s">
        <v>4505</v>
      </c>
      <c r="J512" s="7">
        <v>14</v>
      </c>
      <c r="K512" s="7">
        <v>32</v>
      </c>
      <c r="L512" s="5" t="s">
        <v>4506</v>
      </c>
      <c r="M512" s="7">
        <v>1.2</v>
      </c>
      <c r="N512" s="7">
        <v>0.65</v>
      </c>
      <c r="O512" s="7">
        <v>1.2649999999999999</v>
      </c>
      <c r="P512" s="1" t="s">
        <v>4507</v>
      </c>
    </row>
    <row r="513" spans="1:16" ht="33.4" x14ac:dyDescent="0.3">
      <c r="A513" s="6" t="str">
        <f>HYPERLINK("https://www.ti.com/product/LM25185-Q1", "LM25185-Q1")</f>
        <v>LM25185-Q1</v>
      </c>
      <c r="B513" s="5" t="s">
        <v>4508</v>
      </c>
      <c r="C513" s="6" t="str">
        <f>HYPERLINK("https://www.ti.com/lit/gpn/LM25185-Q1", "PDF")</f>
        <v>PDF</v>
      </c>
      <c r="D513" s="5" t="s">
        <v>4509</v>
      </c>
      <c r="E513" s="5" t="s">
        <v>4510</v>
      </c>
      <c r="F513" s="5" t="s">
        <v>4511</v>
      </c>
      <c r="G513" s="5" t="s">
        <v>4512</v>
      </c>
      <c r="H513" s="1" t="s">
        <v>4513</v>
      </c>
      <c r="I513" s="5" t="s">
        <v>4514</v>
      </c>
      <c r="J513" s="7">
        <v>14</v>
      </c>
      <c r="K513" s="7">
        <v>32</v>
      </c>
      <c r="L513" s="5" t="s">
        <v>4515</v>
      </c>
      <c r="M513" s="7">
        <v>1.2</v>
      </c>
      <c r="N513" s="7">
        <v>0.65</v>
      </c>
      <c r="O513" s="7">
        <v>1.38</v>
      </c>
      <c r="P513" s="1" t="s">
        <v>4516</v>
      </c>
    </row>
    <row r="514" spans="1:16" ht="33.4" x14ac:dyDescent="0.3">
      <c r="A514" s="6" t="str">
        <f>HYPERLINK("https://www.ti.com/product/LM5185", "LM5185")</f>
        <v>LM5185</v>
      </c>
      <c r="B514" s="5" t="s">
        <v>4517</v>
      </c>
      <c r="C514" s="6" t="str">
        <f>HYPERLINK("https://www.ti.com/lit/gpn/LM5185", "PDF")</f>
        <v>PDF</v>
      </c>
      <c r="D514" s="5" t="s">
        <v>4518</v>
      </c>
      <c r="E514" s="5" t="s">
        <v>4519</v>
      </c>
      <c r="F514" s="5" t="s">
        <v>4520</v>
      </c>
      <c r="G514" s="5" t="s">
        <v>4521</v>
      </c>
      <c r="H514" s="1" t="s">
        <v>4522</v>
      </c>
      <c r="I514" s="5" t="s">
        <v>4523</v>
      </c>
      <c r="J514" s="7">
        <v>14</v>
      </c>
      <c r="K514" s="7">
        <v>32</v>
      </c>
      <c r="L514" s="5" t="s">
        <v>4524</v>
      </c>
      <c r="M514" s="7">
        <v>1.2</v>
      </c>
      <c r="N514" s="7">
        <v>0.65</v>
      </c>
      <c r="O514" s="7">
        <v>1.38</v>
      </c>
      <c r="P514" s="1" t="s">
        <v>4525</v>
      </c>
    </row>
    <row r="515" spans="1:16" ht="33.4" x14ac:dyDescent="0.3">
      <c r="A515" s="6" t="str">
        <f>HYPERLINK("https://www.ti.com/product/TLV773", "TLV773")</f>
        <v>TLV773</v>
      </c>
      <c r="B515" s="5" t="s">
        <v>4526</v>
      </c>
      <c r="C515" s="6" t="str">
        <f>HYPERLINK("https://www.ti.com/lit/gpn/TLV773", "PDF")</f>
        <v>PDF</v>
      </c>
      <c r="D515" s="5" t="s">
        <v>4527</v>
      </c>
      <c r="E515" s="5" t="s">
        <v>4528</v>
      </c>
      <c r="F515" s="5"/>
      <c r="G515" s="5" t="s">
        <v>4529</v>
      </c>
      <c r="H515" s="1" t="s">
        <v>4530</v>
      </c>
      <c r="I515" s="5" t="s">
        <v>4531</v>
      </c>
      <c r="J515" s="7" t="s">
        <v>4532</v>
      </c>
      <c r="K515" s="7" t="s">
        <v>4533</v>
      </c>
      <c r="L515" s="5" t="s">
        <v>4534</v>
      </c>
      <c r="M515" s="7" t="s">
        <v>4535</v>
      </c>
      <c r="N515" s="7" t="s">
        <v>4536</v>
      </c>
      <c r="O515" s="7">
        <v>2.5000000000000001E-2</v>
      </c>
      <c r="P515" s="1" t="s">
        <v>4537</v>
      </c>
    </row>
    <row r="516" spans="1:16" ht="17.05" x14ac:dyDescent="0.3">
      <c r="A516" s="6" t="str">
        <f>HYPERLINK("https://www.ti.com/product/TPS7H6003-SP", "TPS7H6003-SP")</f>
        <v>TPS7H6003-SP</v>
      </c>
      <c r="B516" s="5" t="s">
        <v>4538</v>
      </c>
      <c r="C516" s="6" t="str">
        <f>HYPERLINK("https://www.ti.com/lit/gpn/TPS7H6003-SP", "PDF")</f>
        <v>PDF</v>
      </c>
      <c r="D516" s="5" t="s">
        <v>4539</v>
      </c>
      <c r="E516" s="5" t="s">
        <v>4540</v>
      </c>
      <c r="F516" s="5"/>
      <c r="G516" s="5" t="s">
        <v>4541</v>
      </c>
      <c r="H516" s="1" t="s">
        <v>4542</v>
      </c>
      <c r="I516" s="5" t="s">
        <v>4543</v>
      </c>
      <c r="J516" s="7">
        <v>48</v>
      </c>
      <c r="K516" s="7">
        <v>468.72</v>
      </c>
      <c r="L516" s="5" t="s">
        <v>4544</v>
      </c>
      <c r="M516" s="7">
        <v>2.6669999999999998</v>
      </c>
      <c r="N516" s="7">
        <v>0.63500000000000001</v>
      </c>
      <c r="O516" s="7">
        <v>2650.625</v>
      </c>
      <c r="P516" s="1" t="s">
        <v>4545</v>
      </c>
    </row>
    <row r="517" spans="1:16" ht="49.75" x14ac:dyDescent="0.3">
      <c r="A517" s="6" t="str">
        <f>HYPERLINK("https://www.ti.com/product/TPSM828510", "TPSM828510")</f>
        <v>TPSM828510</v>
      </c>
      <c r="B517" s="5" t="s">
        <v>4546</v>
      </c>
      <c r="C517" s="6" t="str">
        <f>HYPERLINK("https://www.ti.com/lit/gpn/TPSM828510", "PDF")</f>
        <v>PDF</v>
      </c>
      <c r="D517" s="5" t="s">
        <v>4547</v>
      </c>
      <c r="E517" s="5" t="s">
        <v>4548</v>
      </c>
      <c r="F517" s="5" t="s">
        <v>4549</v>
      </c>
      <c r="G517" s="5" t="s">
        <v>4550</v>
      </c>
      <c r="H517" s="1" t="s">
        <v>4551</v>
      </c>
      <c r="I517" s="5" t="s">
        <v>4552</v>
      </c>
      <c r="J517" s="7">
        <v>9</v>
      </c>
      <c r="K517" s="7">
        <v>8.1</v>
      </c>
      <c r="L517" s="5" t="s">
        <v>4553</v>
      </c>
      <c r="M517" s="7">
        <v>2.0499999999999998</v>
      </c>
      <c r="N517" s="7">
        <v>0.5</v>
      </c>
      <c r="O517" s="7">
        <v>0.97799999999999998</v>
      </c>
      <c r="P517" s="1" t="s">
        <v>4554</v>
      </c>
    </row>
    <row r="518" spans="1:16" ht="49.75" x14ac:dyDescent="0.3">
      <c r="A518" s="6" t="str">
        <f>HYPERLINK("https://www.ti.com/product/TPSM828511", "TPSM828511")</f>
        <v>TPSM828511</v>
      </c>
      <c r="B518" s="5" t="s">
        <v>4555</v>
      </c>
      <c r="C518" s="6" t="str">
        <f>HYPERLINK("https://www.ti.com/lit/gpn/TPSM828511", "PDF")</f>
        <v>PDF</v>
      </c>
      <c r="D518" s="5" t="s">
        <v>4556</v>
      </c>
      <c r="E518" s="5" t="s">
        <v>4557</v>
      </c>
      <c r="F518" s="5" t="s">
        <v>4558</v>
      </c>
      <c r="G518" s="5" t="s">
        <v>4559</v>
      </c>
      <c r="H518" s="1" t="s">
        <v>4560</v>
      </c>
      <c r="I518" s="5" t="s">
        <v>4561</v>
      </c>
      <c r="J518" s="7">
        <v>9</v>
      </c>
      <c r="K518" s="7">
        <v>8.1</v>
      </c>
      <c r="L518" s="5" t="s">
        <v>4562</v>
      </c>
      <c r="M518" s="7">
        <v>2.0499999999999998</v>
      </c>
      <c r="N518" s="7">
        <v>0.5</v>
      </c>
      <c r="O518" s="7">
        <v>1.0349999999999999</v>
      </c>
      <c r="P518" s="1" t="s">
        <v>4563</v>
      </c>
    </row>
    <row r="519" spans="1:16" ht="49.75" x14ac:dyDescent="0.3">
      <c r="A519" s="6" t="str">
        <f>HYPERLINK("https://www.ti.com/product/TPSM828512", "TPSM828512")</f>
        <v>TPSM828512</v>
      </c>
      <c r="B519" s="5" t="s">
        <v>4564</v>
      </c>
      <c r="C519" s="6" t="str">
        <f>HYPERLINK("https://www.ti.com/lit/gpn/TPSM828512", "PDF")</f>
        <v>PDF</v>
      </c>
      <c r="D519" s="5" t="s">
        <v>4565</v>
      </c>
      <c r="E519" s="5" t="s">
        <v>4566</v>
      </c>
      <c r="F519" s="5" t="s">
        <v>4567</v>
      </c>
      <c r="G519" s="5" t="s">
        <v>4568</v>
      </c>
      <c r="H519" s="1" t="s">
        <v>4569</v>
      </c>
      <c r="I519" s="5" t="s">
        <v>4570</v>
      </c>
      <c r="J519" s="7">
        <v>9</v>
      </c>
      <c r="K519" s="7">
        <v>8.1</v>
      </c>
      <c r="L519" s="5" t="s">
        <v>4571</v>
      </c>
      <c r="M519" s="7">
        <v>2.0499999999999998</v>
      </c>
      <c r="N519" s="7">
        <v>0.5</v>
      </c>
      <c r="O519" s="7">
        <v>1.1499999999999999</v>
      </c>
      <c r="P519" s="1" t="s">
        <v>4572</v>
      </c>
    </row>
    <row r="520" spans="1:16" ht="33.4" x14ac:dyDescent="0.3">
      <c r="A520" s="6" t="str">
        <f>HYPERLINK("https://www.ti.com/product/TPSM843320", "TPSM843320")</f>
        <v>TPSM843320</v>
      </c>
      <c r="B520" s="5" t="s">
        <v>4573</v>
      </c>
      <c r="C520" s="6" t="str">
        <f>HYPERLINK("https://www.ti.com/lit/gpn/TPSM843320", "PDF")</f>
        <v>PDF</v>
      </c>
      <c r="D520" s="5" t="s">
        <v>4574</v>
      </c>
      <c r="E520" s="5" t="s">
        <v>4575</v>
      </c>
      <c r="F520" s="5" t="s">
        <v>4576</v>
      </c>
      <c r="G520" s="5" t="s">
        <v>4577</v>
      </c>
      <c r="H520" s="1" t="s">
        <v>4578</v>
      </c>
      <c r="I520" s="5" t="s">
        <v>4579</v>
      </c>
      <c r="J520" s="7">
        <v>15</v>
      </c>
      <c r="K520" s="7">
        <v>12.25</v>
      </c>
      <c r="L520" s="5" t="s">
        <v>4580</v>
      </c>
      <c r="M520" s="7">
        <v>1.6</v>
      </c>
      <c r="N520" s="7">
        <v>0.5</v>
      </c>
      <c r="O520" s="7">
        <v>2.6219999999999999</v>
      </c>
      <c r="P520" s="1" t="s">
        <v>4581</v>
      </c>
    </row>
    <row r="521" spans="1:16" ht="33.4" x14ac:dyDescent="0.3">
      <c r="A521" s="6" t="str">
        <f>HYPERLINK("https://www.ti.com/product/TPSM843620", "TPSM843620")</f>
        <v>TPSM843620</v>
      </c>
      <c r="B521" s="5" t="s">
        <v>4582</v>
      </c>
      <c r="C521" s="6" t="str">
        <f>HYPERLINK("https://www.ti.com/lit/gpn/TPSM843620", "PDF")</f>
        <v>PDF</v>
      </c>
      <c r="D521" s="5" t="s">
        <v>4583</v>
      </c>
      <c r="E521" s="5" t="s">
        <v>4584</v>
      </c>
      <c r="F521" s="5" t="s">
        <v>4585</v>
      </c>
      <c r="G521" s="5" t="s">
        <v>4586</v>
      </c>
      <c r="H521" s="1" t="s">
        <v>4587</v>
      </c>
      <c r="I521" s="5" t="s">
        <v>4588</v>
      </c>
      <c r="J521" s="7">
        <v>15</v>
      </c>
      <c r="K521" s="7">
        <v>12.25</v>
      </c>
      <c r="L521" s="5" t="s">
        <v>4589</v>
      </c>
      <c r="M521" s="7">
        <v>1.6</v>
      </c>
      <c r="N521" s="7">
        <v>0.5</v>
      </c>
      <c r="O521" s="7">
        <v>2.76</v>
      </c>
      <c r="P521" s="1" t="s">
        <v>4590</v>
      </c>
    </row>
    <row r="522" spans="1:16" ht="33.4" x14ac:dyDescent="0.3">
      <c r="A522" s="6" t="str">
        <f>HYPERLINK("https://www.ti.com/product/TPSM843820", "TPSM843820")</f>
        <v>TPSM843820</v>
      </c>
      <c r="B522" s="5" t="s">
        <v>4591</v>
      </c>
      <c r="C522" s="6" t="str">
        <f>HYPERLINK("https://www.ti.com/lit/gpn/TPSM843820", "PDF")</f>
        <v>PDF</v>
      </c>
      <c r="D522" s="5" t="s">
        <v>4592</v>
      </c>
      <c r="E522" s="5" t="s">
        <v>4593</v>
      </c>
      <c r="F522" s="5" t="s">
        <v>4594</v>
      </c>
      <c r="G522" s="5" t="s">
        <v>4595</v>
      </c>
      <c r="H522" s="1" t="s">
        <v>4596</v>
      </c>
      <c r="I522" s="5" t="s">
        <v>4597</v>
      </c>
      <c r="J522" s="7">
        <v>15</v>
      </c>
      <c r="K522" s="7">
        <v>12.25</v>
      </c>
      <c r="L522" s="5" t="s">
        <v>4598</v>
      </c>
      <c r="M522" s="7">
        <v>1.6</v>
      </c>
      <c r="N522" s="7">
        <v>0.5</v>
      </c>
      <c r="O522" s="7">
        <v>3.15</v>
      </c>
      <c r="P522" s="1" t="s">
        <v>4599</v>
      </c>
    </row>
    <row r="523" spans="1:16" ht="33.4" x14ac:dyDescent="0.3">
      <c r="A523" s="6" t="str">
        <f>HYPERLINK("https://www.ti.com/product/TPS389C03-Q1", "TPS389C03-Q1")</f>
        <v>TPS389C03-Q1</v>
      </c>
      <c r="B523" s="5" t="s">
        <v>4600</v>
      </c>
      <c r="C523" s="6" t="str">
        <f>HYPERLINK("https://www.ti.com/lit/gpn/TPS389C03-Q1", "PDF")</f>
        <v>PDF</v>
      </c>
      <c r="D523" s="5" t="s">
        <v>4601</v>
      </c>
      <c r="E523" s="5" t="s">
        <v>4602</v>
      </c>
      <c r="F523" s="5"/>
      <c r="G523" s="5" t="s">
        <v>4603</v>
      </c>
      <c r="H523" s="1" t="s">
        <v>4604</v>
      </c>
      <c r="I523" s="5" t="s">
        <v>4605</v>
      </c>
      <c r="J523" s="7">
        <v>16</v>
      </c>
      <c r="K523" s="7">
        <v>9</v>
      </c>
      <c r="L523" s="5" t="s">
        <v>4606</v>
      </c>
      <c r="M523" s="7">
        <v>0.8</v>
      </c>
      <c r="N523" s="7">
        <v>0.5</v>
      </c>
      <c r="O523" s="7">
        <v>2.85</v>
      </c>
      <c r="P523" s="1" t="s">
        <v>4607</v>
      </c>
    </row>
    <row r="524" spans="1:16" ht="33.4" x14ac:dyDescent="0.3">
      <c r="A524" s="6" t="str">
        <f>HYPERLINK("https://www.ti.com/product/TPS62870", "TPS62870")</f>
        <v>TPS62870</v>
      </c>
      <c r="B524" s="5" t="s">
        <v>4608</v>
      </c>
      <c r="C524" s="6" t="str">
        <f>HYPERLINK("https://www.ti.com/lit/gpn/TPS62870", "PDF")</f>
        <v>PDF</v>
      </c>
      <c r="D524" s="5" t="s">
        <v>4609</v>
      </c>
      <c r="E524" s="5" t="s">
        <v>4610</v>
      </c>
      <c r="F524" s="5" t="s">
        <v>4611</v>
      </c>
      <c r="G524" s="5" t="s">
        <v>4612</v>
      </c>
      <c r="H524" s="1" t="s">
        <v>4613</v>
      </c>
      <c r="I524" s="5" t="s">
        <v>4614</v>
      </c>
      <c r="J524" s="7">
        <v>16</v>
      </c>
      <c r="K524" s="7">
        <v>9.0525000000000002</v>
      </c>
      <c r="L524" s="5" t="s">
        <v>4615</v>
      </c>
      <c r="M524" s="7">
        <v>1.05</v>
      </c>
      <c r="N524" s="7">
        <v>0.5</v>
      </c>
      <c r="O524" s="7">
        <v>1.472</v>
      </c>
      <c r="P524" s="1" t="s">
        <v>4616</v>
      </c>
    </row>
    <row r="525" spans="1:16" ht="33.4" x14ac:dyDescent="0.3">
      <c r="A525" s="6" t="str">
        <f>HYPERLINK("https://www.ti.com/product/TPS61033-Q1", "TPS61033-Q1")</f>
        <v>TPS61033-Q1</v>
      </c>
      <c r="B525" s="5" t="s">
        <v>4617</v>
      </c>
      <c r="C525" s="6" t="str">
        <f>HYPERLINK("https://www.ti.com/lit/gpn/TPS61033-Q1", "PDF")</f>
        <v>PDF</v>
      </c>
      <c r="D525" s="5" t="s">
        <v>4618</v>
      </c>
      <c r="E525" s="5" t="s">
        <v>4619</v>
      </c>
      <c r="F525" s="5" t="s">
        <v>4620</v>
      </c>
      <c r="G525" s="5" t="s">
        <v>4621</v>
      </c>
      <c r="H525" s="1" t="s">
        <v>4622</v>
      </c>
      <c r="I525" s="5" t="s">
        <v>4623</v>
      </c>
      <c r="J525" s="7">
        <v>8</v>
      </c>
      <c r="K525" s="7">
        <v>3.36</v>
      </c>
      <c r="L525" s="5" t="s">
        <v>4624</v>
      </c>
      <c r="M525" s="7">
        <v>0.6</v>
      </c>
      <c r="N525" s="7">
        <v>0.5</v>
      </c>
      <c r="O525" s="7">
        <v>0.874</v>
      </c>
      <c r="P525" s="1" t="s">
        <v>4625</v>
      </c>
    </row>
    <row r="526" spans="1:16" ht="33.4" x14ac:dyDescent="0.3">
      <c r="A526" s="6" t="str">
        <f>HYPERLINK("https://www.ti.com/product/TPS610333-Q1", "TPS610333-Q1")</f>
        <v>TPS610333-Q1</v>
      </c>
      <c r="B526" s="5" t="s">
        <v>4626</v>
      </c>
      <c r="C526" s="6" t="str">
        <f>HYPERLINK("https://www.ti.com/lit/gpn/TPS610333-Q1", "PDF")</f>
        <v>PDF</v>
      </c>
      <c r="D526" s="5" t="s">
        <v>4627</v>
      </c>
      <c r="E526" s="5" t="s">
        <v>4628</v>
      </c>
      <c r="F526" s="5" t="s">
        <v>4629</v>
      </c>
      <c r="G526" s="5" t="s">
        <v>4630</v>
      </c>
      <c r="H526" s="1" t="s">
        <v>4631</v>
      </c>
      <c r="I526" s="5" t="s">
        <v>4632</v>
      </c>
      <c r="J526" s="7">
        <v>8</v>
      </c>
      <c r="K526" s="7">
        <v>3.36</v>
      </c>
      <c r="L526" s="5" t="s">
        <v>4633</v>
      </c>
      <c r="M526" s="7">
        <v>0.6</v>
      </c>
      <c r="N526" s="7">
        <v>0.5</v>
      </c>
      <c r="O526" s="7">
        <v>0.63300000000000001</v>
      </c>
      <c r="P526" s="1" t="s">
        <v>4634</v>
      </c>
    </row>
    <row r="527" spans="1:16" ht="33.4" x14ac:dyDescent="0.3">
      <c r="A527" s="6" t="str">
        <f>HYPERLINK("https://www.ti.com/product/TPS62A01A-Q1", "TPS62A01A-Q1")</f>
        <v>TPS62A01A-Q1</v>
      </c>
      <c r="B527" s="5" t="s">
        <v>4635</v>
      </c>
      <c r="C527" s="6" t="str">
        <f>HYPERLINK("https://www.ti.com/lit/gpn/TPS62A01A-Q1", "PDF")</f>
        <v>PDF</v>
      </c>
      <c r="D527" s="5" t="s">
        <v>4636</v>
      </c>
      <c r="E527" s="5" t="s">
        <v>4637</v>
      </c>
      <c r="F527" s="5" t="s">
        <v>4638</v>
      </c>
      <c r="G527" s="5" t="s">
        <v>4639</v>
      </c>
      <c r="H527" s="1" t="s">
        <v>4640</v>
      </c>
      <c r="I527" s="5" t="s">
        <v>4641</v>
      </c>
      <c r="J527" s="7">
        <v>6</v>
      </c>
      <c r="K527" s="7">
        <v>2.56</v>
      </c>
      <c r="L527" s="5" t="s">
        <v>4642</v>
      </c>
      <c r="M527" s="7">
        <v>0.6</v>
      </c>
      <c r="N527" s="7">
        <v>0.5</v>
      </c>
      <c r="O527" s="7">
        <v>0.219</v>
      </c>
      <c r="P527" s="1" t="s">
        <v>4643</v>
      </c>
    </row>
    <row r="528" spans="1:16" ht="33.4" x14ac:dyDescent="0.3">
      <c r="A528" s="6" t="str">
        <f>HYPERLINK("https://www.ti.com/product/TPS7B4256-Q1", "TPS7B4256-Q1")</f>
        <v>TPS7B4256-Q1</v>
      </c>
      <c r="B528" s="5" t="s">
        <v>4644</v>
      </c>
      <c r="C528" s="6" t="str">
        <f>HYPERLINK("https://www.ti.com/lit/gpn/TPS7B4256-Q1", "PDF")</f>
        <v>PDF</v>
      </c>
      <c r="D528" s="5" t="s">
        <v>4645</v>
      </c>
      <c r="E528" s="5" t="s">
        <v>4646</v>
      </c>
      <c r="F528" s="5"/>
      <c r="G528" s="5" t="s">
        <v>4647</v>
      </c>
      <c r="H528" s="1" t="s">
        <v>4648</v>
      </c>
      <c r="I528" s="5" t="s">
        <v>4649</v>
      </c>
      <c r="J528" s="7">
        <v>8</v>
      </c>
      <c r="K528" s="7">
        <v>29.4</v>
      </c>
      <c r="L528" s="5" t="s">
        <v>4650</v>
      </c>
      <c r="M528" s="7" t="s">
        <v>4651</v>
      </c>
      <c r="N528" s="7">
        <v>1.27</v>
      </c>
      <c r="O528" s="7">
        <v>0.51800000000000002</v>
      </c>
      <c r="P528" s="1" t="s">
        <v>4652</v>
      </c>
    </row>
    <row r="529" spans="1:16" ht="33.4" x14ac:dyDescent="0.3">
      <c r="A529" s="6" t="str">
        <f>HYPERLINK("https://www.ti.com/product/TPS25730", "TPS25730")</f>
        <v>TPS25730</v>
      </c>
      <c r="B529" s="5" t="s">
        <v>4653</v>
      </c>
      <c r="C529" s="6" t="str">
        <f>HYPERLINK("https://www.ti.com/lit/gpn/TPS25730", "PDF")</f>
        <v>PDF</v>
      </c>
      <c r="D529" s="5" t="s">
        <v>4654</v>
      </c>
      <c r="E529" s="5" t="s">
        <v>4655</v>
      </c>
      <c r="F529" s="5"/>
      <c r="G529" s="5" t="s">
        <v>4656</v>
      </c>
      <c r="H529" s="1" t="s">
        <v>4657</v>
      </c>
      <c r="I529" s="5" t="s">
        <v>4658</v>
      </c>
      <c r="J529" s="7" t="s">
        <v>4659</v>
      </c>
      <c r="K529" s="7" t="s">
        <v>4660</v>
      </c>
      <c r="L529" s="5" t="s">
        <v>4661</v>
      </c>
      <c r="M529" s="7" t="s">
        <v>4662</v>
      </c>
      <c r="N529" s="7">
        <v>0.4</v>
      </c>
      <c r="O529" s="7">
        <v>0.92</v>
      </c>
      <c r="P529" s="1" t="s">
        <v>4663</v>
      </c>
    </row>
    <row r="530" spans="1:16" ht="33.4" x14ac:dyDescent="0.3">
      <c r="A530" s="6" t="str">
        <f>HYPERLINK("https://www.ti.com/product/TPS546A24S", "TPS546A24S")</f>
        <v>TPS546A24S</v>
      </c>
      <c r="B530" s="5" t="s">
        <v>4664</v>
      </c>
      <c r="C530" s="6" t="str">
        <f>HYPERLINK("https://www.ti.com/lit/gpn/TPS546A24S", "PDF")</f>
        <v>PDF</v>
      </c>
      <c r="D530" s="5" t="s">
        <v>4665</v>
      </c>
      <c r="E530" s="5" t="s">
        <v>4666</v>
      </c>
      <c r="F530" s="5" t="s">
        <v>4667</v>
      </c>
      <c r="G530" s="5" t="s">
        <v>4668</v>
      </c>
      <c r="H530" s="1" t="s">
        <v>4669</v>
      </c>
      <c r="I530" s="5" t="s">
        <v>4670</v>
      </c>
      <c r="J530" s="7">
        <v>40</v>
      </c>
      <c r="K530" s="7">
        <v>35</v>
      </c>
      <c r="L530" s="5" t="s">
        <v>4671</v>
      </c>
      <c r="M530" s="7">
        <v>1.52</v>
      </c>
      <c r="N530" s="7">
        <v>0.5</v>
      </c>
      <c r="O530" s="7">
        <v>2.7170000000000001</v>
      </c>
      <c r="P530" s="1" t="s">
        <v>4672</v>
      </c>
    </row>
    <row r="531" spans="1:16" ht="33.4" x14ac:dyDescent="0.3">
      <c r="A531" s="6" t="str">
        <f>HYPERLINK("https://www.ti.com/product/TPS546B24S", "TPS546B24S")</f>
        <v>TPS546B24S</v>
      </c>
      <c r="B531" s="5" t="s">
        <v>4673</v>
      </c>
      <c r="C531" s="6" t="str">
        <f>HYPERLINK("https://www.ti.com/lit/gpn/TPS546B24S", "PDF")</f>
        <v>PDF</v>
      </c>
      <c r="D531" s="5" t="s">
        <v>4674</v>
      </c>
      <c r="E531" s="5" t="s">
        <v>4675</v>
      </c>
      <c r="F531" s="5" t="s">
        <v>4676</v>
      </c>
      <c r="G531" s="5" t="s">
        <v>4677</v>
      </c>
      <c r="H531" s="1" t="s">
        <v>4678</v>
      </c>
      <c r="I531" s="5" t="s">
        <v>4679</v>
      </c>
      <c r="J531" s="7">
        <v>40</v>
      </c>
      <c r="K531" s="7">
        <v>35</v>
      </c>
      <c r="L531" s="5" t="s">
        <v>4680</v>
      </c>
      <c r="M531" s="7">
        <v>1.52</v>
      </c>
      <c r="N531" s="7">
        <v>0.5</v>
      </c>
      <c r="O531" s="7">
        <v>3.8849999999999998</v>
      </c>
      <c r="P531" s="1" t="s">
        <v>4681</v>
      </c>
    </row>
    <row r="532" spans="1:16" ht="33.4" x14ac:dyDescent="0.3">
      <c r="A532" s="6" t="str">
        <f>HYPERLINK("https://www.ti.com/product/TPS62A01-Q1", "TPS62A01-Q1")</f>
        <v>TPS62A01-Q1</v>
      </c>
      <c r="B532" s="5" t="s">
        <v>4682</v>
      </c>
      <c r="C532" s="6" t="str">
        <f>HYPERLINK("https://www.ti.com/lit/gpn/TPS62A01-Q1", "PDF")</f>
        <v>PDF</v>
      </c>
      <c r="D532" s="5" t="s">
        <v>4683</v>
      </c>
      <c r="E532" s="5" t="s">
        <v>4684</v>
      </c>
      <c r="F532" s="5" t="s">
        <v>4685</v>
      </c>
      <c r="G532" s="5" t="s">
        <v>4686</v>
      </c>
      <c r="H532" s="1" t="s">
        <v>4687</v>
      </c>
      <c r="I532" s="5" t="s">
        <v>4688</v>
      </c>
      <c r="J532" s="7">
        <v>6</v>
      </c>
      <c r="K532" s="7">
        <v>2.56</v>
      </c>
      <c r="L532" s="5" t="s">
        <v>4689</v>
      </c>
      <c r="M532" s="7">
        <v>0.6</v>
      </c>
      <c r="N532" s="7">
        <v>0.5</v>
      </c>
      <c r="O532" s="7">
        <v>0.219</v>
      </c>
      <c r="P532" s="1" t="s">
        <v>4690</v>
      </c>
    </row>
    <row r="533" spans="1:16" ht="33.4" x14ac:dyDescent="0.3">
      <c r="A533" s="6" t="str">
        <f>HYPERLINK("https://www.ti.com/product/TPS92642-Q1", "TPS92642-Q1")</f>
        <v>TPS92642-Q1</v>
      </c>
      <c r="B533" s="5" t="s">
        <v>4691</v>
      </c>
      <c r="C533" s="6" t="str">
        <f>HYPERLINK("https://www.ti.com/lit/gpn/TPS92642-Q1", "PDF")</f>
        <v>PDF</v>
      </c>
      <c r="D533" s="5" t="s">
        <v>4692</v>
      </c>
      <c r="E533" s="5" t="s">
        <v>4693</v>
      </c>
      <c r="F533" s="5" t="s">
        <v>4694</v>
      </c>
      <c r="G533" s="5" t="s">
        <v>4695</v>
      </c>
      <c r="H533" s="1" t="s">
        <v>4696</v>
      </c>
      <c r="I533" s="5" t="s">
        <v>4697</v>
      </c>
      <c r="J533" s="7">
        <v>16</v>
      </c>
      <c r="K533" s="7">
        <v>32</v>
      </c>
      <c r="L533" s="5" t="s">
        <v>4698</v>
      </c>
      <c r="M533" s="7">
        <v>1.2</v>
      </c>
      <c r="N533" s="7">
        <v>0.65</v>
      </c>
      <c r="O533" s="7">
        <v>2.2999999999999998</v>
      </c>
      <c r="P533" s="1" t="s">
        <v>4699</v>
      </c>
    </row>
    <row r="534" spans="1:16" ht="33.4" x14ac:dyDescent="0.3">
      <c r="A534" s="6" t="str">
        <f>HYPERLINK("https://www.ti.com/product/UCC21550", "UCC21550")</f>
        <v>UCC21550</v>
      </c>
      <c r="B534" s="5" t="s">
        <v>4700</v>
      </c>
      <c r="C534" s="6" t="str">
        <f>HYPERLINK("https://www.ti.com/lit/gpn/UCC21550", "PDF")</f>
        <v>PDF</v>
      </c>
      <c r="D534" s="5" t="s">
        <v>4701</v>
      </c>
      <c r="E534" s="5" t="s">
        <v>4702</v>
      </c>
      <c r="F534" s="5"/>
      <c r="G534" s="5" t="s">
        <v>4703</v>
      </c>
      <c r="H534" s="1" t="s">
        <v>4704</v>
      </c>
      <c r="I534" s="5" t="s">
        <v>4705</v>
      </c>
      <c r="J534" s="7" t="s">
        <v>4706</v>
      </c>
      <c r="K534" s="7">
        <v>106.09</v>
      </c>
      <c r="L534" s="5" t="s">
        <v>4707</v>
      </c>
      <c r="M534" s="7">
        <v>2.65</v>
      </c>
      <c r="N534" s="7">
        <v>1.27</v>
      </c>
      <c r="O534" s="7">
        <v>0.58899999999999997</v>
      </c>
      <c r="P534" s="1" t="s">
        <v>4708</v>
      </c>
    </row>
    <row r="535" spans="1:16" ht="33.4" x14ac:dyDescent="0.3">
      <c r="A535" s="6" t="str">
        <f>HYPERLINK("https://www.ti.com/product/LM5185-Q1", "LM5185-Q1")</f>
        <v>LM5185-Q1</v>
      </c>
      <c r="B535" s="5" t="s">
        <v>4709</v>
      </c>
      <c r="C535" s="6" t="str">
        <f>HYPERLINK("https://www.ti.com/lit/gpn/LM5185-Q1", "PDF")</f>
        <v>PDF</v>
      </c>
      <c r="D535" s="5" t="s">
        <v>4710</v>
      </c>
      <c r="E535" s="5" t="s">
        <v>4711</v>
      </c>
      <c r="F535" s="5" t="s">
        <v>4712</v>
      </c>
      <c r="G535" s="5" t="s">
        <v>4713</v>
      </c>
      <c r="H535" s="1" t="s">
        <v>4714</v>
      </c>
      <c r="I535" s="5" t="s">
        <v>4715</v>
      </c>
      <c r="J535" s="7">
        <v>14</v>
      </c>
      <c r="K535" s="7">
        <v>32</v>
      </c>
      <c r="L535" s="5" t="s">
        <v>4716</v>
      </c>
      <c r="M535" s="7">
        <v>1.2</v>
      </c>
      <c r="N535" s="7">
        <v>0.65</v>
      </c>
      <c r="O535" s="7">
        <v>1.61</v>
      </c>
      <c r="P535" s="1" t="s">
        <v>4717</v>
      </c>
    </row>
    <row r="536" spans="1:16" ht="33.4" x14ac:dyDescent="0.3">
      <c r="A536" s="6" t="str">
        <f>HYPERLINK("https://www.ti.com/product/LP8868U-Q1", "LP8868U-Q1")</f>
        <v>LP8868U-Q1</v>
      </c>
      <c r="B536" s="5" t="s">
        <v>4718</v>
      </c>
      <c r="C536" s="6" t="str">
        <f>HYPERLINK("https://www.ti.com/lit/gpn/LP8868U-Q1", "PDF")</f>
        <v>PDF</v>
      </c>
      <c r="D536" s="5" t="s">
        <v>4719</v>
      </c>
      <c r="E536" s="5" t="s">
        <v>4720</v>
      </c>
      <c r="F536" s="5" t="s">
        <v>4721</v>
      </c>
      <c r="G536" s="5" t="s">
        <v>4722</v>
      </c>
      <c r="H536" s="1" t="s">
        <v>4723</v>
      </c>
      <c r="I536" s="5" t="s">
        <v>4724</v>
      </c>
      <c r="J536" s="7">
        <v>14</v>
      </c>
      <c r="K536" s="7">
        <v>13.5</v>
      </c>
      <c r="L536" s="5" t="s">
        <v>4725</v>
      </c>
      <c r="M536" s="7">
        <v>1</v>
      </c>
      <c r="N536" s="7">
        <v>0.65</v>
      </c>
      <c r="O536" s="7">
        <v>0.86299999999999999</v>
      </c>
      <c r="P536" s="1" t="s">
        <v>4726</v>
      </c>
    </row>
    <row r="537" spans="1:16" ht="33.4" x14ac:dyDescent="0.3">
      <c r="A537" s="6" t="str">
        <f>HYPERLINK("https://www.ti.com/product/LP8868V-Q1", "LP8868V-Q1")</f>
        <v>LP8868V-Q1</v>
      </c>
      <c r="B537" s="5" t="s">
        <v>4727</v>
      </c>
      <c r="C537" s="6" t="str">
        <f>HYPERLINK("https://www.ti.com/lit/gpn/LP8868V-Q1", "PDF")</f>
        <v>PDF</v>
      </c>
      <c r="D537" s="5" t="s">
        <v>4728</v>
      </c>
      <c r="E537" s="5" t="s">
        <v>4729</v>
      </c>
      <c r="F537" s="5" t="s">
        <v>4730</v>
      </c>
      <c r="G537" s="5" t="s">
        <v>4731</v>
      </c>
      <c r="H537" s="1" t="s">
        <v>4732</v>
      </c>
      <c r="I537" s="5" t="s">
        <v>4733</v>
      </c>
      <c r="J537" s="7">
        <v>14</v>
      </c>
      <c r="K537" s="7">
        <v>13.5</v>
      </c>
      <c r="L537" s="5" t="s">
        <v>4734</v>
      </c>
      <c r="M537" s="7">
        <v>1</v>
      </c>
      <c r="N537" s="7">
        <v>0.65</v>
      </c>
      <c r="O537" s="7">
        <v>0.92</v>
      </c>
      <c r="P537" s="1" t="s">
        <v>4735</v>
      </c>
    </row>
    <row r="538" spans="1:16" ht="33.4" x14ac:dyDescent="0.3">
      <c r="A538" s="6" t="str">
        <f>HYPERLINK("https://www.ti.com/product/LP8868W-Q1", "LP8868W-Q1")</f>
        <v>LP8868W-Q1</v>
      </c>
      <c r="B538" s="5" t="s">
        <v>4736</v>
      </c>
      <c r="C538" s="6" t="str">
        <f>HYPERLINK("https://www.ti.com/lit/gpn/LP8868W-Q1", "PDF")</f>
        <v>PDF</v>
      </c>
      <c r="D538" s="5" t="s">
        <v>4737</v>
      </c>
      <c r="E538" s="5" t="s">
        <v>4738</v>
      </c>
      <c r="F538" s="5" t="s">
        <v>4739</v>
      </c>
      <c r="G538" s="5" t="s">
        <v>4740</v>
      </c>
      <c r="H538" s="1" t="s">
        <v>4741</v>
      </c>
      <c r="I538" s="5" t="s">
        <v>4742</v>
      </c>
      <c r="J538" s="7">
        <v>14</v>
      </c>
      <c r="K538" s="7">
        <v>13.5</v>
      </c>
      <c r="L538" s="5" t="s">
        <v>4743</v>
      </c>
      <c r="M538" s="7">
        <v>1</v>
      </c>
      <c r="N538" s="7">
        <v>0.65</v>
      </c>
      <c r="O538" s="7">
        <v>0.80600000000000005</v>
      </c>
      <c r="P538" s="1" t="s">
        <v>4744</v>
      </c>
    </row>
    <row r="539" spans="1:16" ht="33.4" x14ac:dyDescent="0.3">
      <c r="A539" s="6" t="str">
        <f>HYPERLINK("https://www.ti.com/product/LP8868X-Q1", "LP8868X-Q1")</f>
        <v>LP8868X-Q1</v>
      </c>
      <c r="B539" s="5" t="s">
        <v>4745</v>
      </c>
      <c r="C539" s="6" t="str">
        <f>HYPERLINK("https://www.ti.com/lit/gpn/LP8868X-Q1", "PDF")</f>
        <v>PDF</v>
      </c>
      <c r="D539" s="5" t="s">
        <v>4746</v>
      </c>
      <c r="E539" s="5" t="s">
        <v>4747</v>
      </c>
      <c r="F539" s="5" t="s">
        <v>4748</v>
      </c>
      <c r="G539" s="5" t="s">
        <v>4749</v>
      </c>
      <c r="H539" s="1" t="s">
        <v>4750</v>
      </c>
      <c r="I539" s="5" t="s">
        <v>4751</v>
      </c>
      <c r="J539" s="7" t="s">
        <v>4752</v>
      </c>
      <c r="K539" s="7" t="s">
        <v>4753</v>
      </c>
      <c r="L539" s="5" t="s">
        <v>4754</v>
      </c>
      <c r="M539" s="7" t="s">
        <v>4755</v>
      </c>
      <c r="N539" s="7">
        <v>0.65</v>
      </c>
      <c r="O539" s="7">
        <v>0.81</v>
      </c>
      <c r="P539" s="1" t="s">
        <v>4756</v>
      </c>
    </row>
    <row r="540" spans="1:16" ht="33.4" x14ac:dyDescent="0.3">
      <c r="A540" s="6" t="str">
        <f>HYPERLINK("https://www.ti.com/product/LP8868Y-Q1", "LP8868Y-Q1")</f>
        <v>LP8868Y-Q1</v>
      </c>
      <c r="B540" s="5" t="s">
        <v>4757</v>
      </c>
      <c r="C540" s="6" t="str">
        <f>HYPERLINK("https://www.ti.com/lit/gpn/LP8868Y-Q1", "PDF")</f>
        <v>PDF</v>
      </c>
      <c r="D540" s="5" t="s">
        <v>4758</v>
      </c>
      <c r="E540" s="5" t="s">
        <v>4759</v>
      </c>
      <c r="F540" s="5" t="s">
        <v>4760</v>
      </c>
      <c r="G540" s="5" t="s">
        <v>4761</v>
      </c>
      <c r="H540" s="1" t="s">
        <v>4762</v>
      </c>
      <c r="I540" s="5" t="s">
        <v>4763</v>
      </c>
      <c r="J540" s="7" t="s">
        <v>4764</v>
      </c>
      <c r="K540" s="7" t="s">
        <v>4765</v>
      </c>
      <c r="L540" s="5" t="s">
        <v>4766</v>
      </c>
      <c r="M540" s="7" t="s">
        <v>4767</v>
      </c>
      <c r="N540" s="7">
        <v>0.65</v>
      </c>
      <c r="O540" s="7">
        <v>0.86299999999999999</v>
      </c>
      <c r="P540" s="1" t="s">
        <v>4768</v>
      </c>
    </row>
    <row r="541" spans="1:16" ht="49.75" x14ac:dyDescent="0.3">
      <c r="A541" s="6" t="str">
        <f>HYPERLINK("https://www.ti.com/product/LP8868Z-Q1", "LP8868Z-Q1")</f>
        <v>LP8868Z-Q1</v>
      </c>
      <c r="B541" s="5" t="s">
        <v>4769</v>
      </c>
      <c r="C541" s="6" t="str">
        <f>HYPERLINK("https://www.ti.com/lit/gpn/LP8868Z-Q1", "PDF")</f>
        <v>PDF</v>
      </c>
      <c r="D541" s="5" t="s">
        <v>4770</v>
      </c>
      <c r="E541" s="5" t="s">
        <v>4771</v>
      </c>
      <c r="F541" s="5" t="s">
        <v>4772</v>
      </c>
      <c r="G541" s="5" t="s">
        <v>4773</v>
      </c>
      <c r="H541" s="1" t="s">
        <v>4774</v>
      </c>
      <c r="I541" s="5" t="s">
        <v>4775</v>
      </c>
      <c r="J541" s="7" t="s">
        <v>4776</v>
      </c>
      <c r="K541" s="7" t="s">
        <v>4777</v>
      </c>
      <c r="L541" s="5" t="s">
        <v>4778</v>
      </c>
      <c r="M541" s="7" t="s">
        <v>4779</v>
      </c>
      <c r="N541" s="7">
        <v>0.65</v>
      </c>
      <c r="O541" s="7">
        <v>0.75700000000000001</v>
      </c>
      <c r="P541" s="1" t="s">
        <v>4780</v>
      </c>
    </row>
    <row r="542" spans="1:16" ht="33.4" x14ac:dyDescent="0.3">
      <c r="A542" s="6" t="str">
        <f>HYPERLINK("https://www.ti.com/product/LP5810", "LP5810")</f>
        <v>LP5810</v>
      </c>
      <c r="B542" s="5" t="s">
        <v>4781</v>
      </c>
      <c r="C542" s="6" t="str">
        <f>HYPERLINK("https://www.ti.com/lit/gpn/LP5810", "PDF")</f>
        <v>PDF</v>
      </c>
      <c r="D542" s="5" t="s">
        <v>4782</v>
      </c>
      <c r="E542" s="5" t="s">
        <v>4783</v>
      </c>
      <c r="F542" s="5" t="s">
        <v>4784</v>
      </c>
      <c r="G542" s="5" t="s">
        <v>4785</v>
      </c>
      <c r="H542" s="1" t="s">
        <v>4786</v>
      </c>
      <c r="I542" s="5" t="s">
        <v>4787</v>
      </c>
      <c r="J542" s="7" t="s">
        <v>4788</v>
      </c>
      <c r="K542" s="7" t="s">
        <v>4789</v>
      </c>
      <c r="L542" s="5" t="s">
        <v>4790</v>
      </c>
      <c r="M542" s="7" t="s">
        <v>4791</v>
      </c>
      <c r="N542" s="7" t="s">
        <v>4792</v>
      </c>
      <c r="O542" s="7">
        <v>0.27600000000000002</v>
      </c>
      <c r="P542" s="1" t="s">
        <v>4793</v>
      </c>
    </row>
    <row r="543" spans="1:16" ht="33.4" x14ac:dyDescent="0.3">
      <c r="A543" s="6" t="str">
        <f>HYPERLINK("https://www.ti.com/product/LP5812", "LP5812")</f>
        <v>LP5812</v>
      </c>
      <c r="B543" s="5" t="s">
        <v>4794</v>
      </c>
      <c r="C543" s="6" t="str">
        <f>HYPERLINK("https://www.ti.com/lit/gpn/LP5812", "PDF")</f>
        <v>PDF</v>
      </c>
      <c r="D543" s="5" t="s">
        <v>4795</v>
      </c>
      <c r="E543" s="5" t="s">
        <v>4796</v>
      </c>
      <c r="F543" s="5" t="s">
        <v>4797</v>
      </c>
      <c r="G543" s="5" t="s">
        <v>4798</v>
      </c>
      <c r="H543" s="1" t="s">
        <v>4799</v>
      </c>
      <c r="I543" s="5" t="s">
        <v>4800</v>
      </c>
      <c r="J543" s="7" t="s">
        <v>4801</v>
      </c>
      <c r="K543" s="7" t="s">
        <v>4802</v>
      </c>
      <c r="L543" s="5" t="s">
        <v>4803</v>
      </c>
      <c r="M543" s="7" t="s">
        <v>4804</v>
      </c>
      <c r="N543" s="7" t="s">
        <v>4805</v>
      </c>
      <c r="O543" s="7">
        <v>0.40699999999999997</v>
      </c>
      <c r="P543" s="1" t="s">
        <v>4806</v>
      </c>
    </row>
    <row r="544" spans="1:16" ht="33.4" x14ac:dyDescent="0.3">
      <c r="A544" s="6" t="str">
        <f>HYPERLINK("https://www.ti.com/product/LP87745", "LP87745")</f>
        <v>LP87745</v>
      </c>
      <c r="B544" s="5" t="s">
        <v>4807</v>
      </c>
      <c r="C544" s="6" t="str">
        <f>HYPERLINK("https://www.ti.com/lit/gpn/LP87745", "PDF")</f>
        <v>PDF</v>
      </c>
      <c r="D544" s="5" t="s">
        <v>4808</v>
      </c>
      <c r="E544" s="5" t="s">
        <v>4809</v>
      </c>
      <c r="F544" s="5"/>
      <c r="G544" s="5" t="s">
        <v>4810</v>
      </c>
      <c r="H544" s="1" t="s">
        <v>4811</v>
      </c>
      <c r="I544" s="5" t="s">
        <v>4812</v>
      </c>
      <c r="J544" s="7">
        <v>28</v>
      </c>
      <c r="K544" s="7">
        <v>22.5</v>
      </c>
      <c r="L544" s="5" t="s">
        <v>4813</v>
      </c>
      <c r="M544" s="7">
        <v>1</v>
      </c>
      <c r="N544" s="7">
        <v>0.5</v>
      </c>
      <c r="O544" s="7">
        <v>1.75</v>
      </c>
      <c r="P544" s="1" t="s">
        <v>4814</v>
      </c>
    </row>
    <row r="545" spans="1:16" ht="33.4" x14ac:dyDescent="0.3">
      <c r="A545" s="6" t="str">
        <f>HYPERLINK("https://www.ti.com/product/TPS628301", "TPS628301")</f>
        <v>TPS628301</v>
      </c>
      <c r="B545" s="5" t="s">
        <v>4815</v>
      </c>
      <c r="C545" s="6" t="str">
        <f>HYPERLINK("https://www.ti.com/lit/gpn/TPS628301", "PDF")</f>
        <v>PDF</v>
      </c>
      <c r="D545" s="5" t="s">
        <v>4816</v>
      </c>
      <c r="E545" s="5" t="s">
        <v>4817</v>
      </c>
      <c r="F545" s="5" t="s">
        <v>4818</v>
      </c>
      <c r="G545" s="5" t="s">
        <v>4819</v>
      </c>
      <c r="H545" s="1" t="s">
        <v>4820</v>
      </c>
      <c r="I545" s="5" t="s">
        <v>4821</v>
      </c>
      <c r="J545" s="7">
        <v>8</v>
      </c>
      <c r="K545" s="7" t="s">
        <v>4822</v>
      </c>
      <c r="L545" s="5" t="s">
        <v>4823</v>
      </c>
      <c r="M545" s="7" t="s">
        <v>4824</v>
      </c>
      <c r="N545" s="7">
        <v>0.5</v>
      </c>
      <c r="O545" s="7">
        <v>0.44900000000000001</v>
      </c>
      <c r="P545" s="1" t="s">
        <v>4825</v>
      </c>
    </row>
    <row r="546" spans="1:16" ht="33.4" x14ac:dyDescent="0.3">
      <c r="A546" s="6" t="str">
        <f>HYPERLINK("https://www.ti.com/product/TPS628302", "TPS628302")</f>
        <v>TPS628302</v>
      </c>
      <c r="B546" s="5" t="s">
        <v>4826</v>
      </c>
      <c r="C546" s="6" t="str">
        <f>HYPERLINK("https://www.ti.com/lit/gpn/TPS628302", "PDF")</f>
        <v>PDF</v>
      </c>
      <c r="D546" s="5" t="s">
        <v>4827</v>
      </c>
      <c r="E546" s="5" t="s">
        <v>4828</v>
      </c>
      <c r="F546" s="5" t="s">
        <v>4829</v>
      </c>
      <c r="G546" s="5" t="s">
        <v>4830</v>
      </c>
      <c r="H546" s="1" t="s">
        <v>4831</v>
      </c>
      <c r="I546" s="5" t="s">
        <v>4832</v>
      </c>
      <c r="J546" s="7">
        <v>8</v>
      </c>
      <c r="K546" s="7" t="s">
        <v>4833</v>
      </c>
      <c r="L546" s="5" t="s">
        <v>4834</v>
      </c>
      <c r="M546" s="7" t="s">
        <v>4835</v>
      </c>
      <c r="N546" s="7">
        <v>0.5</v>
      </c>
      <c r="O546" s="7">
        <v>0.45100000000000001</v>
      </c>
      <c r="P546" s="1" t="s">
        <v>4836</v>
      </c>
    </row>
    <row r="547" spans="1:16" ht="49.75" x14ac:dyDescent="0.3">
      <c r="A547" s="6" t="str">
        <f>HYPERLINK("https://www.ti.com/product/TPS628304", "TPS628304")</f>
        <v>TPS628304</v>
      </c>
      <c r="B547" s="5" t="s">
        <v>4837</v>
      </c>
      <c r="C547" s="6" t="str">
        <f>HYPERLINK("https://www.ti.com/lit/gpn/TPS628304", "PDF")</f>
        <v>PDF</v>
      </c>
      <c r="D547" s="5" t="s">
        <v>4838</v>
      </c>
      <c r="E547" s="5" t="s">
        <v>4839</v>
      </c>
      <c r="F547" s="5" t="s">
        <v>4840</v>
      </c>
      <c r="G547" s="5" t="s">
        <v>4841</v>
      </c>
      <c r="H547" s="1" t="s">
        <v>4842</v>
      </c>
      <c r="I547" s="5" t="s">
        <v>4843</v>
      </c>
      <c r="J547" s="7">
        <v>8</v>
      </c>
      <c r="K547" s="7" t="s">
        <v>4844</v>
      </c>
      <c r="L547" s="5" t="s">
        <v>4845</v>
      </c>
      <c r="M547" s="7" t="s">
        <v>4846</v>
      </c>
      <c r="N547" s="7">
        <v>0.5</v>
      </c>
      <c r="O547" s="7">
        <v>0.75900000000000001</v>
      </c>
      <c r="P547" s="1" t="s">
        <v>4847</v>
      </c>
    </row>
    <row r="548" spans="1:16" ht="33.4" x14ac:dyDescent="0.3">
      <c r="A548" s="6" t="str">
        <f>HYPERLINK("https://www.ti.com/product/LMR36500", "LMR36500")</f>
        <v>LMR36500</v>
      </c>
      <c r="B548" s="5" t="s">
        <v>4848</v>
      </c>
      <c r="C548" s="6" t="str">
        <f>HYPERLINK("https://www.ti.com/lit/gpn/LMR36500", "PDF")</f>
        <v>PDF</v>
      </c>
      <c r="D548" s="5" t="s">
        <v>4849</v>
      </c>
      <c r="E548" s="5" t="s">
        <v>4850</v>
      </c>
      <c r="F548" s="5" t="s">
        <v>4851</v>
      </c>
      <c r="G548" s="5" t="s">
        <v>4852</v>
      </c>
      <c r="H548" s="1" t="s">
        <v>4853</v>
      </c>
      <c r="I548" s="5" t="s">
        <v>4854</v>
      </c>
      <c r="J548" s="7">
        <v>9</v>
      </c>
      <c r="K548" s="7">
        <v>4</v>
      </c>
      <c r="L548" s="5" t="s">
        <v>4855</v>
      </c>
      <c r="M548" s="7">
        <v>1</v>
      </c>
      <c r="N548" s="7">
        <v>0.5</v>
      </c>
      <c r="O548" s="7">
        <v>1.139</v>
      </c>
      <c r="P548" s="1" t="s">
        <v>4856</v>
      </c>
    </row>
    <row r="549" spans="1:16" ht="33.4" x14ac:dyDescent="0.3">
      <c r="A549" s="6" t="str">
        <f>HYPERLINK("https://www.ti.com/product/LMG3612", "LMG3612")</f>
        <v>LMG3612</v>
      </c>
      <c r="B549" s="5" t="s">
        <v>4857</v>
      </c>
      <c r="C549" s="6" t="str">
        <f>HYPERLINK("https://www.ti.com/lit/gpn/LMG3612", "PDF")</f>
        <v>PDF</v>
      </c>
      <c r="D549" s="5" t="s">
        <v>4858</v>
      </c>
      <c r="E549" s="5" t="s">
        <v>4859</v>
      </c>
      <c r="F549" s="5"/>
      <c r="G549" s="5" t="s">
        <v>4860</v>
      </c>
      <c r="H549" s="1" t="s">
        <v>4861</v>
      </c>
      <c r="I549" s="5" t="s">
        <v>4862</v>
      </c>
      <c r="J549" s="7">
        <v>38</v>
      </c>
      <c r="K549" s="7">
        <v>42.4</v>
      </c>
      <c r="L549" s="5" t="s">
        <v>4863</v>
      </c>
      <c r="M549" s="7">
        <v>1</v>
      </c>
      <c r="N549" s="7">
        <v>0.5</v>
      </c>
      <c r="O549" s="7">
        <v>3.25</v>
      </c>
      <c r="P549" s="1" t="s">
        <v>4864</v>
      </c>
    </row>
    <row r="550" spans="1:16" ht="33.4" x14ac:dyDescent="0.3">
      <c r="A550" s="6" t="str">
        <f>HYPERLINK("https://www.ti.com/product/LMG3616", "LMG3616")</f>
        <v>LMG3616</v>
      </c>
      <c r="B550" s="5" t="s">
        <v>4865</v>
      </c>
      <c r="C550" s="6" t="str">
        <f>HYPERLINK("https://www.ti.com/lit/gpn/LMG3616", "PDF")</f>
        <v>PDF</v>
      </c>
      <c r="D550" s="5" t="s">
        <v>4866</v>
      </c>
      <c r="E550" s="5" t="s">
        <v>4867</v>
      </c>
      <c r="F550" s="5"/>
      <c r="G550" s="5" t="s">
        <v>4868</v>
      </c>
      <c r="H550" s="1" t="s">
        <v>4869</v>
      </c>
      <c r="I550" s="5" t="s">
        <v>4870</v>
      </c>
      <c r="J550" s="7">
        <v>38</v>
      </c>
      <c r="K550" s="7">
        <v>42.4</v>
      </c>
      <c r="L550" s="5" t="s">
        <v>4871</v>
      </c>
      <c r="M550" s="7">
        <v>1</v>
      </c>
      <c r="N550" s="7">
        <v>0.5</v>
      </c>
      <c r="O550" s="7">
        <v>2.1</v>
      </c>
      <c r="P550" s="1" t="s">
        <v>4872</v>
      </c>
    </row>
    <row r="551" spans="1:16" ht="33.4" x14ac:dyDescent="0.3">
      <c r="A551" s="6" t="str">
        <f>HYPERLINK("https://www.ti.com/product/LMR38025-Q1", "LMR38025-Q1")</f>
        <v>LMR38025-Q1</v>
      </c>
      <c r="B551" s="5" t="s">
        <v>4873</v>
      </c>
      <c r="C551" s="6" t="str">
        <f>HYPERLINK("https://www.ti.com/lit/gpn/LMR38025-Q1", "PDF")</f>
        <v>PDF</v>
      </c>
      <c r="D551" s="5" t="s">
        <v>4874</v>
      </c>
      <c r="E551" s="5" t="s">
        <v>4875</v>
      </c>
      <c r="F551" s="5" t="s">
        <v>4876</v>
      </c>
      <c r="G551" s="5" t="s">
        <v>4877</v>
      </c>
      <c r="H551" s="1" t="s">
        <v>4878</v>
      </c>
      <c r="I551" s="5" t="s">
        <v>4879</v>
      </c>
      <c r="J551" s="7">
        <v>12</v>
      </c>
      <c r="K551" s="7">
        <v>9</v>
      </c>
      <c r="L551" s="5" t="s">
        <v>4880</v>
      </c>
      <c r="M551" s="7">
        <v>0.8</v>
      </c>
      <c r="N551" s="7">
        <v>0.5</v>
      </c>
      <c r="O551" s="7">
        <v>1.6879999999999999</v>
      </c>
      <c r="P551" s="1" t="s">
        <v>4881</v>
      </c>
    </row>
    <row r="552" spans="1:16" ht="33.4" x14ac:dyDescent="0.3">
      <c r="A552" s="6" t="str">
        <f>HYPERLINK("https://www.ti.com/product/TPS62871", "TPS62871")</f>
        <v>TPS62871</v>
      </c>
      <c r="B552" s="5" t="s">
        <v>4882</v>
      </c>
      <c r="C552" s="6" t="str">
        <f>HYPERLINK("https://www.ti.com/lit/gpn/TPS62871", "PDF")</f>
        <v>PDF</v>
      </c>
      <c r="D552" s="5" t="s">
        <v>4883</v>
      </c>
      <c r="E552" s="5" t="s">
        <v>4884</v>
      </c>
      <c r="F552" s="5" t="s">
        <v>4885</v>
      </c>
      <c r="G552" s="5" t="s">
        <v>4886</v>
      </c>
      <c r="H552" s="1" t="s">
        <v>4887</v>
      </c>
      <c r="I552" s="5" t="s">
        <v>4888</v>
      </c>
      <c r="J552" s="7">
        <v>16</v>
      </c>
      <c r="K552" s="7">
        <v>9.0525000000000002</v>
      </c>
      <c r="L552" s="5" t="s">
        <v>4889</v>
      </c>
      <c r="M552" s="7">
        <v>1.05</v>
      </c>
      <c r="N552" s="7">
        <v>0.5</v>
      </c>
      <c r="O552" s="7">
        <v>1.5620000000000001</v>
      </c>
      <c r="P552" s="1" t="s">
        <v>4890</v>
      </c>
    </row>
    <row r="553" spans="1:16" ht="49.75" x14ac:dyDescent="0.3">
      <c r="A553" s="6" t="str">
        <f>HYPERLINK("https://www.ti.com/product/TPS6522005-EP", "TPS6522005-EP")</f>
        <v>TPS6522005-EP</v>
      </c>
      <c r="B553" s="5" t="s">
        <v>4891</v>
      </c>
      <c r="C553" s="6" t="str">
        <f>HYPERLINK("https://www.ti.com/lit/gpn/TPS6522005-EP", "PDF")</f>
        <v>PDF</v>
      </c>
      <c r="D553" s="5" t="s">
        <v>4892</v>
      </c>
      <c r="E553" s="5" t="s">
        <v>4893</v>
      </c>
      <c r="F553" s="5"/>
      <c r="G553" s="5" t="s">
        <v>4894</v>
      </c>
      <c r="H553" s="1" t="s">
        <v>4895</v>
      </c>
      <c r="I553" s="5" t="s">
        <v>4896</v>
      </c>
      <c r="J553" s="7">
        <v>32</v>
      </c>
      <c r="K553" s="7">
        <v>25</v>
      </c>
      <c r="L553" s="5" t="s">
        <v>4897</v>
      </c>
      <c r="M553" s="7">
        <v>1</v>
      </c>
      <c r="N553" s="7">
        <v>0.5</v>
      </c>
      <c r="O553" s="7">
        <v>16.100000000000001</v>
      </c>
      <c r="P553" s="1" t="s">
        <v>4898</v>
      </c>
    </row>
    <row r="554" spans="1:16" ht="33.4" x14ac:dyDescent="0.3">
      <c r="A554" s="6" t="str">
        <f>HYPERLINK("https://www.ti.com/product/TPS22999", "TPS22999")</f>
        <v>TPS22999</v>
      </c>
      <c r="B554" s="5" t="s">
        <v>4899</v>
      </c>
      <c r="C554" s="6" t="str">
        <f>HYPERLINK("https://www.ti.com/lit/gpn/TPS22999", "PDF")</f>
        <v>PDF</v>
      </c>
      <c r="D554" s="5" t="s">
        <v>4900</v>
      </c>
      <c r="E554" s="5" t="s">
        <v>4901</v>
      </c>
      <c r="F554" s="5"/>
      <c r="G554" s="5" t="s">
        <v>4902</v>
      </c>
      <c r="H554" s="1" t="s">
        <v>4903</v>
      </c>
      <c r="I554" s="5" t="s">
        <v>4904</v>
      </c>
      <c r="J554" s="7">
        <v>8</v>
      </c>
      <c r="K554" s="7">
        <v>0.98</v>
      </c>
      <c r="L554" s="5" t="s">
        <v>4905</v>
      </c>
      <c r="M554" s="7">
        <v>0.4</v>
      </c>
      <c r="N554" s="7">
        <v>0.35</v>
      </c>
      <c r="O554" s="7">
        <v>0.20599999999999999</v>
      </c>
      <c r="P554" s="1" t="s">
        <v>4906</v>
      </c>
    </row>
    <row r="555" spans="1:16" ht="33.4" x14ac:dyDescent="0.3">
      <c r="A555" s="6" t="str">
        <f>HYPERLINK("https://www.ti.com/product/TPS61377", "TPS61377")</f>
        <v>TPS61377</v>
      </c>
      <c r="B555" s="5" t="s">
        <v>4907</v>
      </c>
      <c r="C555" s="6" t="str">
        <f>HYPERLINK("https://www.ti.com/lit/gpn/TPS61377", "PDF")</f>
        <v>PDF</v>
      </c>
      <c r="D555" s="5" t="s">
        <v>4908</v>
      </c>
      <c r="E555" s="5" t="s">
        <v>4909</v>
      </c>
      <c r="F555" s="5" t="s">
        <v>4910</v>
      </c>
      <c r="G555" s="5" t="s">
        <v>4911</v>
      </c>
      <c r="H555" s="1" t="s">
        <v>4912</v>
      </c>
      <c r="I555" s="5" t="s">
        <v>4913</v>
      </c>
      <c r="J555" s="7">
        <v>13</v>
      </c>
      <c r="K555" s="7">
        <v>5</v>
      </c>
      <c r="L555" s="5" t="s">
        <v>4914</v>
      </c>
      <c r="M555" s="7">
        <v>1</v>
      </c>
      <c r="N555" s="7">
        <v>0.5</v>
      </c>
      <c r="O555" s="7">
        <v>1.38</v>
      </c>
      <c r="P555" s="1" t="s">
        <v>4915</v>
      </c>
    </row>
    <row r="556" spans="1:16" ht="33.4" x14ac:dyDescent="0.3">
      <c r="A556" s="6" t="str">
        <f>HYPERLINK("https://www.ti.com/product/LMG3622", "LMG3622")</f>
        <v>LMG3622</v>
      </c>
      <c r="B556" s="5" t="s">
        <v>4916</v>
      </c>
      <c r="C556" s="6" t="str">
        <f>HYPERLINK("https://www.ti.com/lit/gpn/LMG3622", "PDF")</f>
        <v>PDF</v>
      </c>
      <c r="D556" s="5" t="s">
        <v>4917</v>
      </c>
      <c r="E556" s="5" t="s">
        <v>4918</v>
      </c>
      <c r="F556" s="5"/>
      <c r="G556" s="5" t="s">
        <v>4919</v>
      </c>
      <c r="H556" s="1" t="s">
        <v>4920</v>
      </c>
      <c r="I556" s="5" t="s">
        <v>4921</v>
      </c>
      <c r="J556" s="7">
        <v>38</v>
      </c>
      <c r="K556" s="7">
        <v>42.4</v>
      </c>
      <c r="L556" s="5" t="s">
        <v>4922</v>
      </c>
      <c r="M556" s="7">
        <v>1</v>
      </c>
      <c r="N556" s="7">
        <v>0.5</v>
      </c>
      <c r="O556" s="7">
        <v>3.25</v>
      </c>
      <c r="P556" s="1" t="s">
        <v>4923</v>
      </c>
    </row>
    <row r="557" spans="1:16" ht="33.4" x14ac:dyDescent="0.3">
      <c r="A557" s="6" t="str">
        <f>HYPERLINK("https://www.ti.com/product/LMG3626", "LMG3626")</f>
        <v>LMG3626</v>
      </c>
      <c r="B557" s="5" t="s">
        <v>4924</v>
      </c>
      <c r="C557" s="6" t="str">
        <f>HYPERLINK("https://www.ti.com/lit/gpn/LMG3626", "PDF")</f>
        <v>PDF</v>
      </c>
      <c r="D557" s="5" t="s">
        <v>4925</v>
      </c>
      <c r="E557" s="5" t="s">
        <v>4926</v>
      </c>
      <c r="F557" s="5"/>
      <c r="G557" s="5" t="s">
        <v>4927</v>
      </c>
      <c r="H557" s="1" t="s">
        <v>4928</v>
      </c>
      <c r="I557" s="5" t="s">
        <v>4929</v>
      </c>
      <c r="J557" s="7">
        <v>38</v>
      </c>
      <c r="K557" s="7">
        <v>42.4</v>
      </c>
      <c r="L557" s="5" t="s">
        <v>4930</v>
      </c>
      <c r="M557" s="7">
        <v>1</v>
      </c>
      <c r="N557" s="7">
        <v>0.5</v>
      </c>
      <c r="O557" s="7">
        <v>2.1</v>
      </c>
      <c r="P557" s="1" t="s">
        <v>4931</v>
      </c>
    </row>
    <row r="558" spans="1:16" ht="33.4" x14ac:dyDescent="0.3">
      <c r="A558" s="6" t="str">
        <f>HYPERLINK("https://www.ti.com/product/TPS3808E", "TPS3808E")</f>
        <v>TPS3808E</v>
      </c>
      <c r="B558" s="5" t="s">
        <v>4932</v>
      </c>
      <c r="C558" s="6" t="str">
        <f>HYPERLINK("https://www.ti.com/lit/gpn/TPS3808E", "PDF")</f>
        <v>PDF</v>
      </c>
      <c r="D558" s="5" t="s">
        <v>4933</v>
      </c>
      <c r="E558" s="5" t="s">
        <v>4934</v>
      </c>
      <c r="F558" s="5"/>
      <c r="G558" s="5" t="s">
        <v>4935</v>
      </c>
      <c r="H558" s="1" t="s">
        <v>4936</v>
      </c>
      <c r="I558" s="5" t="s">
        <v>4937</v>
      </c>
      <c r="J558" s="7">
        <v>6</v>
      </c>
      <c r="K558" s="7">
        <v>8.1199999999999992</v>
      </c>
      <c r="L558" s="5" t="s">
        <v>4938</v>
      </c>
      <c r="M558" s="7">
        <v>1.45</v>
      </c>
      <c r="N558" s="7">
        <v>0.95</v>
      </c>
      <c r="O558" s="7">
        <v>0.64900000000000002</v>
      </c>
      <c r="P558" s="1" t="s">
        <v>4939</v>
      </c>
    </row>
    <row r="559" spans="1:16" ht="33.4" x14ac:dyDescent="0.3">
      <c r="A559" s="6" t="str">
        <f>HYPERLINK("https://www.ti.com/product/TPS568236", "TPS568236")</f>
        <v>TPS568236</v>
      </c>
      <c r="B559" s="5" t="s">
        <v>4940</v>
      </c>
      <c r="C559" s="6" t="str">
        <f>HYPERLINK("https://www.ti.com/lit/gpn/TPS568236", "PDF")</f>
        <v>PDF</v>
      </c>
      <c r="D559" s="5" t="s">
        <v>4941</v>
      </c>
      <c r="E559" s="5" t="s">
        <v>4942</v>
      </c>
      <c r="F559" s="5" t="s">
        <v>4943</v>
      </c>
      <c r="G559" s="5" t="s">
        <v>4944</v>
      </c>
      <c r="H559" s="1" t="s">
        <v>4945</v>
      </c>
      <c r="I559" s="5" t="s">
        <v>4946</v>
      </c>
      <c r="J559" s="7">
        <v>12</v>
      </c>
      <c r="K559" s="7">
        <v>6</v>
      </c>
      <c r="L559" s="5" t="s">
        <v>4947</v>
      </c>
      <c r="M559" s="7">
        <v>1</v>
      </c>
      <c r="N559" s="7">
        <v>0.5</v>
      </c>
      <c r="O559" s="7">
        <v>0.69</v>
      </c>
      <c r="P559" s="1" t="s">
        <v>4948</v>
      </c>
    </row>
    <row r="560" spans="1:16" ht="33.4" x14ac:dyDescent="0.3">
      <c r="A560" s="6" t="str">
        <f>HYPERLINK("https://www.ti.com/product/TPS628303", "TPS628303")</f>
        <v>TPS628303</v>
      </c>
      <c r="B560" s="5" t="s">
        <v>4949</v>
      </c>
      <c r="C560" s="6" t="str">
        <f>HYPERLINK("https://www.ti.com/lit/gpn/TPS628303", "PDF")</f>
        <v>PDF</v>
      </c>
      <c r="D560" s="5" t="s">
        <v>4950</v>
      </c>
      <c r="E560" s="5" t="s">
        <v>4951</v>
      </c>
      <c r="F560" s="5" t="s">
        <v>4952</v>
      </c>
      <c r="G560" s="5" t="s">
        <v>4953</v>
      </c>
      <c r="H560" s="1" t="s">
        <v>4954</v>
      </c>
      <c r="I560" s="5" t="s">
        <v>4955</v>
      </c>
      <c r="J560" s="7">
        <v>8</v>
      </c>
      <c r="K560" s="7" t="s">
        <v>4956</v>
      </c>
      <c r="L560" s="5" t="s">
        <v>4957</v>
      </c>
      <c r="M560" s="7" t="s">
        <v>4958</v>
      </c>
      <c r="N560" s="7">
        <v>0.5</v>
      </c>
      <c r="O560" s="7">
        <v>0.63300000000000001</v>
      </c>
      <c r="P560" s="1" t="s">
        <v>4959</v>
      </c>
    </row>
    <row r="561" spans="1:16" ht="33.4" x14ac:dyDescent="0.3">
      <c r="A561" s="6" t="str">
        <f>HYPERLINK("https://www.ti.com/product/LP8865U-Q1", "LP8865U-Q1")</f>
        <v>LP8865U-Q1</v>
      </c>
      <c r="B561" s="5" t="s">
        <v>4960</v>
      </c>
      <c r="C561" s="6" t="str">
        <f>HYPERLINK("https://www.ti.com/lit/gpn/LP8865U-Q1", "PDF")</f>
        <v>PDF</v>
      </c>
      <c r="D561" s="5" t="s">
        <v>4961</v>
      </c>
      <c r="E561" s="5" t="s">
        <v>4962</v>
      </c>
      <c r="F561" s="5" t="s">
        <v>4963</v>
      </c>
      <c r="G561" s="5" t="s">
        <v>4964</v>
      </c>
      <c r="H561" s="1" t="s">
        <v>4965</v>
      </c>
      <c r="I561" s="5" t="s">
        <v>4966</v>
      </c>
      <c r="J561" s="7">
        <v>14</v>
      </c>
      <c r="K561" s="7">
        <v>13.5</v>
      </c>
      <c r="L561" s="5" t="s">
        <v>4967</v>
      </c>
      <c r="M561" s="7">
        <v>1</v>
      </c>
      <c r="N561" s="7">
        <v>0.65</v>
      </c>
      <c r="O561" s="7">
        <v>0.66400000000000003</v>
      </c>
      <c r="P561" s="1" t="s">
        <v>4968</v>
      </c>
    </row>
    <row r="562" spans="1:16" ht="33.4" x14ac:dyDescent="0.3">
      <c r="A562" s="6" t="str">
        <f>HYPERLINK("https://www.ti.com/product/LP8865V-Q1", "LP8865V-Q1")</f>
        <v>LP8865V-Q1</v>
      </c>
      <c r="B562" s="5" t="s">
        <v>4969</v>
      </c>
      <c r="C562" s="6" t="str">
        <f>HYPERLINK("https://www.ti.com/lit/gpn/LP8865V-Q1", "PDF")</f>
        <v>PDF</v>
      </c>
      <c r="D562" s="5" t="s">
        <v>4970</v>
      </c>
      <c r="E562" s="5" t="s">
        <v>4971</v>
      </c>
      <c r="F562" s="5" t="s">
        <v>4972</v>
      </c>
      <c r="G562" s="5" t="s">
        <v>4973</v>
      </c>
      <c r="H562" s="1" t="s">
        <v>4974</v>
      </c>
      <c r="I562" s="5" t="s">
        <v>4975</v>
      </c>
      <c r="J562" s="7">
        <v>14</v>
      </c>
      <c r="K562" s="7">
        <v>13.5</v>
      </c>
      <c r="L562" s="5" t="s">
        <v>4976</v>
      </c>
      <c r="M562" s="7">
        <v>1</v>
      </c>
      <c r="N562" s="7">
        <v>0.65</v>
      </c>
      <c r="O562" s="7">
        <v>0.70799999999999996</v>
      </c>
      <c r="P562" s="1" t="s">
        <v>4977</v>
      </c>
    </row>
    <row r="563" spans="1:16" ht="33.4" x14ac:dyDescent="0.3">
      <c r="A563" s="6" t="str">
        <f>HYPERLINK("https://www.ti.com/product/LP8865W-Q1", "LP8865W-Q1")</f>
        <v>LP8865W-Q1</v>
      </c>
      <c r="B563" s="5" t="s">
        <v>4978</v>
      </c>
      <c r="C563" s="6" t="str">
        <f>HYPERLINK("https://www.ti.com/lit/gpn/LP8865W-Q1", "PDF")</f>
        <v>PDF</v>
      </c>
      <c r="D563" s="5" t="s">
        <v>4979</v>
      </c>
      <c r="E563" s="5" t="s">
        <v>4980</v>
      </c>
      <c r="F563" s="5" t="s">
        <v>4981</v>
      </c>
      <c r="G563" s="5" t="s">
        <v>4982</v>
      </c>
      <c r="H563" s="1" t="s">
        <v>4983</v>
      </c>
      <c r="I563" s="5" t="s">
        <v>4984</v>
      </c>
      <c r="J563" s="7">
        <v>14</v>
      </c>
      <c r="K563" s="7">
        <v>13.5</v>
      </c>
      <c r="L563" s="5" t="s">
        <v>4985</v>
      </c>
      <c r="M563" s="7">
        <v>1</v>
      </c>
      <c r="N563" s="7">
        <v>0.65</v>
      </c>
      <c r="O563" s="7">
        <v>0.62</v>
      </c>
      <c r="P563" s="1" t="s">
        <v>4986</v>
      </c>
    </row>
    <row r="564" spans="1:16" ht="33.4" x14ac:dyDescent="0.3">
      <c r="A564" s="6" t="str">
        <f>HYPERLINK("https://www.ti.com/product/LP8865X-Q1", "LP8865X-Q1")</f>
        <v>LP8865X-Q1</v>
      </c>
      <c r="B564" s="5" t="s">
        <v>4987</v>
      </c>
      <c r="C564" s="6" t="str">
        <f>HYPERLINK("https://www.ti.com/lit/gpn/LP8865X-Q1", "PDF")</f>
        <v>PDF</v>
      </c>
      <c r="D564" s="5" t="s">
        <v>4988</v>
      </c>
      <c r="E564" s="5" t="s">
        <v>4989</v>
      </c>
      <c r="F564" s="5" t="s">
        <v>4990</v>
      </c>
      <c r="G564" s="5" t="s">
        <v>4991</v>
      </c>
      <c r="H564" s="1" t="s">
        <v>4992</v>
      </c>
      <c r="I564" s="5" t="s">
        <v>4993</v>
      </c>
      <c r="J564" s="7">
        <v>14</v>
      </c>
      <c r="K564" s="7">
        <v>13.5</v>
      </c>
      <c r="L564" s="5" t="s">
        <v>4994</v>
      </c>
      <c r="M564" s="7">
        <v>1</v>
      </c>
      <c r="N564" s="7">
        <v>0.65</v>
      </c>
      <c r="O564" s="7">
        <v>0.69899999999999995</v>
      </c>
      <c r="P564" s="1" t="s">
        <v>4995</v>
      </c>
    </row>
    <row r="565" spans="1:16" ht="33.4" x14ac:dyDescent="0.3">
      <c r="A565" s="6" t="str">
        <f>HYPERLINK("https://www.ti.com/product/LP8865Y-Q1", "LP8865Y-Q1")</f>
        <v>LP8865Y-Q1</v>
      </c>
      <c r="B565" s="5" t="s">
        <v>4996</v>
      </c>
      <c r="C565" s="6" t="str">
        <f>HYPERLINK("https://www.ti.com/lit/gpn/LP8865Y-Q1", "PDF")</f>
        <v>PDF</v>
      </c>
      <c r="D565" s="5" t="s">
        <v>4997</v>
      </c>
      <c r="E565" s="5" t="s">
        <v>4998</v>
      </c>
      <c r="F565" s="5" t="s">
        <v>4999</v>
      </c>
      <c r="G565" s="5" t="s">
        <v>5000</v>
      </c>
      <c r="H565" s="1" t="s">
        <v>5001</v>
      </c>
      <c r="I565" s="5" t="s">
        <v>5002</v>
      </c>
      <c r="J565" s="7">
        <v>14</v>
      </c>
      <c r="K565" s="7">
        <v>13.5</v>
      </c>
      <c r="L565" s="5" t="s">
        <v>5003</v>
      </c>
      <c r="M565" s="7">
        <v>1</v>
      </c>
      <c r="N565" s="7">
        <v>0.65</v>
      </c>
      <c r="O565" s="7">
        <v>0.745</v>
      </c>
      <c r="P565" s="1" t="s">
        <v>5004</v>
      </c>
    </row>
    <row r="566" spans="1:16" ht="49.75" x14ac:dyDescent="0.3">
      <c r="A566" s="6" t="str">
        <f>HYPERLINK("https://www.ti.com/product/LP8865Z-Q1", "LP8865Z-Q1")</f>
        <v>LP8865Z-Q1</v>
      </c>
      <c r="B566" s="5" t="s">
        <v>5005</v>
      </c>
      <c r="C566" s="6" t="str">
        <f>HYPERLINK("https://www.ti.com/lit/gpn/LP8865Z-Q1", "PDF")</f>
        <v>PDF</v>
      </c>
      <c r="D566" s="5" t="s">
        <v>5006</v>
      </c>
      <c r="E566" s="5" t="s">
        <v>5007</v>
      </c>
      <c r="F566" s="5" t="s">
        <v>5008</v>
      </c>
      <c r="G566" s="5" t="s">
        <v>5009</v>
      </c>
      <c r="H566" s="1" t="s">
        <v>5010</v>
      </c>
      <c r="I566" s="5" t="s">
        <v>5011</v>
      </c>
      <c r="J566" s="7">
        <v>14</v>
      </c>
      <c r="K566" s="7">
        <v>13.5</v>
      </c>
      <c r="L566" s="5" t="s">
        <v>5012</v>
      </c>
      <c r="M566" s="7">
        <v>1</v>
      </c>
      <c r="N566" s="7">
        <v>0.65</v>
      </c>
      <c r="O566" s="7">
        <v>0.65200000000000002</v>
      </c>
      <c r="P566" s="1" t="s">
        <v>5013</v>
      </c>
    </row>
    <row r="567" spans="1:16" ht="33.4" x14ac:dyDescent="0.3">
      <c r="A567" s="6" t="str">
        <f>HYPERLINK("https://www.ti.com/product/LM74930-Q1", "LM74930-Q1")</f>
        <v>LM74930-Q1</v>
      </c>
      <c r="B567" s="5" t="s">
        <v>5014</v>
      </c>
      <c r="C567" s="6" t="str">
        <f>HYPERLINK("https://www.ti.com/lit/gpn/LM74930-Q1", "PDF")</f>
        <v>PDF</v>
      </c>
      <c r="D567" s="5" t="s">
        <v>5015</v>
      </c>
      <c r="E567" s="5" t="s">
        <v>5016</v>
      </c>
      <c r="F567" s="5"/>
      <c r="G567" s="5" t="s">
        <v>5017</v>
      </c>
      <c r="H567" s="1" t="s">
        <v>5018</v>
      </c>
      <c r="I567" s="5" t="s">
        <v>5019</v>
      </c>
      <c r="J567" s="7">
        <v>24</v>
      </c>
      <c r="K567" s="7">
        <v>16</v>
      </c>
      <c r="L567" s="5" t="s">
        <v>5020</v>
      </c>
      <c r="M567" s="7">
        <v>1</v>
      </c>
      <c r="N567" s="7">
        <v>0.5</v>
      </c>
      <c r="O567" s="7">
        <v>2.0699999999999998</v>
      </c>
      <c r="P567" s="1" t="s">
        <v>5021</v>
      </c>
    </row>
    <row r="568" spans="1:16" ht="33.4" x14ac:dyDescent="0.3">
      <c r="A568" s="6" t="str">
        <f>HYPERLINK("https://www.ti.com/product/UCC21550-Q1", "UCC21550-Q1")</f>
        <v>UCC21550-Q1</v>
      </c>
      <c r="B568" s="5" t="s">
        <v>5022</v>
      </c>
      <c r="C568" s="6" t="str">
        <f>HYPERLINK("https://www.ti.com/lit/gpn/UCC21550-Q1", "PDF")</f>
        <v>PDF</v>
      </c>
      <c r="D568" s="5" t="s">
        <v>5023</v>
      </c>
      <c r="E568" s="5" t="s">
        <v>5024</v>
      </c>
      <c r="F568" s="5"/>
      <c r="G568" s="5" t="s">
        <v>5025</v>
      </c>
      <c r="H568" s="1" t="s">
        <v>5026</v>
      </c>
      <c r="I568" s="5" t="s">
        <v>5027</v>
      </c>
      <c r="J568" s="7" t="s">
        <v>5028</v>
      </c>
      <c r="K568" s="7">
        <v>106.09</v>
      </c>
      <c r="L568" s="5" t="s">
        <v>5029</v>
      </c>
      <c r="M568" s="7">
        <v>2.65</v>
      </c>
      <c r="N568" s="7">
        <v>1.27</v>
      </c>
      <c r="O568" s="7">
        <v>1.5309999999999999</v>
      </c>
      <c r="P568" s="1" t="s">
        <v>5030</v>
      </c>
    </row>
    <row r="569" spans="1:16" ht="33.4" x14ac:dyDescent="0.3">
      <c r="A569" s="6" t="str">
        <f>HYPERLINK("https://www.ti.com/product/TPS92201", "TPS92201")</f>
        <v>TPS92201</v>
      </c>
      <c r="B569" s="5" t="s">
        <v>5031</v>
      </c>
      <c r="C569" s="6" t="str">
        <f>HYPERLINK("https://www.ti.com/lit/gpn/TPS92201", "PDF")</f>
        <v>PDF</v>
      </c>
      <c r="D569" s="5" t="s">
        <v>5032</v>
      </c>
      <c r="E569" s="5" t="s">
        <v>5033</v>
      </c>
      <c r="F569" s="5" t="s">
        <v>5034</v>
      </c>
      <c r="G569" s="5" t="s">
        <v>5035</v>
      </c>
      <c r="H569" s="1" t="s">
        <v>5036</v>
      </c>
      <c r="I569" s="5" t="s">
        <v>5037</v>
      </c>
      <c r="J569" s="7">
        <v>6</v>
      </c>
      <c r="K569" s="7" t="s">
        <v>5038</v>
      </c>
      <c r="L569" s="5" t="s">
        <v>5039</v>
      </c>
      <c r="M569" s="7" t="s">
        <v>5040</v>
      </c>
      <c r="N569" s="7" t="s">
        <v>5041</v>
      </c>
      <c r="O569" s="7">
        <v>5.8000000000000003E-2</v>
      </c>
      <c r="P569" s="1" t="s">
        <v>5042</v>
      </c>
    </row>
    <row r="570" spans="1:16" ht="17.05" x14ac:dyDescent="0.3">
      <c r="A570" s="6" t="str">
        <f>HYPERLINK("https://www.ti.com/product/UCC44273", "UCC44273")</f>
        <v>UCC44273</v>
      </c>
      <c r="B570" s="5" t="s">
        <v>5043</v>
      </c>
      <c r="C570" s="6" t="str">
        <f>HYPERLINK("https://www.ti.com/lit/gpn/UCC44273", "PDF")</f>
        <v>PDF</v>
      </c>
      <c r="D570" s="5" t="s">
        <v>5044</v>
      </c>
      <c r="E570" s="5" t="s">
        <v>5045</v>
      </c>
      <c r="F570" s="5"/>
      <c r="G570" s="5" t="s">
        <v>5046</v>
      </c>
      <c r="H570" s="1" t="s">
        <v>5047</v>
      </c>
      <c r="I570" s="5" t="s">
        <v>5048</v>
      </c>
      <c r="J570" s="7">
        <v>5</v>
      </c>
      <c r="K570" s="7">
        <v>8.1199999999999992</v>
      </c>
      <c r="L570" s="5" t="s">
        <v>5049</v>
      </c>
      <c r="M570" s="7">
        <v>1.45</v>
      </c>
      <c r="N570" s="7">
        <v>0.95</v>
      </c>
      <c r="O570" s="7">
        <v>0.27500000000000002</v>
      </c>
      <c r="P570" s="1" t="s">
        <v>5050</v>
      </c>
    </row>
    <row r="571" spans="1:16" ht="33.4" x14ac:dyDescent="0.3">
      <c r="A571" s="6" t="str">
        <f>HYPERLINK("https://www.ti.com/product/TPS92201A", "TPS92201A")</f>
        <v>TPS92201A</v>
      </c>
      <c r="B571" s="5" t="s">
        <v>5051</v>
      </c>
      <c r="C571" s="6" t="str">
        <f>HYPERLINK("https://www.ti.com/lit/gpn/TPS92201A", "PDF")</f>
        <v>PDF</v>
      </c>
      <c r="D571" s="5" t="s">
        <v>5052</v>
      </c>
      <c r="E571" s="5" t="s">
        <v>5053</v>
      </c>
      <c r="F571" s="5" t="s">
        <v>5054</v>
      </c>
      <c r="G571" s="5" t="s">
        <v>5055</v>
      </c>
      <c r="H571" s="1" t="s">
        <v>5056</v>
      </c>
      <c r="I571" s="5" t="s">
        <v>5057</v>
      </c>
      <c r="J571" s="7">
        <v>6</v>
      </c>
      <c r="K571" s="7" t="s">
        <v>5058</v>
      </c>
      <c r="L571" s="5" t="s">
        <v>5059</v>
      </c>
      <c r="M571" s="7" t="s">
        <v>5060</v>
      </c>
      <c r="N571" s="7" t="s">
        <v>5061</v>
      </c>
      <c r="O571" s="7">
        <v>5.8000000000000003E-2</v>
      </c>
      <c r="P571" s="1" t="s">
        <v>5062</v>
      </c>
    </row>
    <row r="572" spans="1:16" ht="33.4" x14ac:dyDescent="0.3">
      <c r="A572" s="6" t="str">
        <f>HYPERLINK("https://www.ti.com/product/UCC27332-Q1", "UCC27332-Q1")</f>
        <v>UCC27332-Q1</v>
      </c>
      <c r="B572" s="5" t="s">
        <v>5063</v>
      </c>
      <c r="C572" s="6" t="str">
        <f>HYPERLINK("https://www.ti.com/lit/gpn/UCC27332-Q1", "PDF")</f>
        <v>PDF</v>
      </c>
      <c r="D572" s="5" t="s">
        <v>5064</v>
      </c>
      <c r="E572" s="5" t="s">
        <v>5065</v>
      </c>
      <c r="F572" s="5"/>
      <c r="G572" s="5" t="s">
        <v>5066</v>
      </c>
      <c r="H572" s="1" t="s">
        <v>5067</v>
      </c>
      <c r="I572" s="5" t="s">
        <v>5068</v>
      </c>
      <c r="J572" s="7">
        <v>8</v>
      </c>
      <c r="K572" s="7">
        <v>14.7</v>
      </c>
      <c r="L572" s="5" t="s">
        <v>5069</v>
      </c>
      <c r="M572" s="7">
        <v>1.1000000000000001</v>
      </c>
      <c r="N572" s="7">
        <v>0.65</v>
      </c>
      <c r="O572" s="7">
        <v>0.748</v>
      </c>
      <c r="P572" s="1" t="s">
        <v>5070</v>
      </c>
    </row>
    <row r="573" spans="1:16" ht="66.150000000000006" x14ac:dyDescent="0.3">
      <c r="A573" s="6" t="str">
        <f>HYPERLINK("https://www.ti.com/product/TPS62874-Q1", "TPS62874-Q1")</f>
        <v>TPS62874-Q1</v>
      </c>
      <c r="B573" s="5" t="s">
        <v>5071</v>
      </c>
      <c r="C573" s="6" t="str">
        <f>HYPERLINK("https://www.ti.com/lit/gpn/TPS62874-Q1", "PDF")</f>
        <v>PDF</v>
      </c>
      <c r="D573" s="5" t="s">
        <v>5072</v>
      </c>
      <c r="E573" s="5" t="s">
        <v>5073</v>
      </c>
      <c r="F573" s="5" t="s">
        <v>5074</v>
      </c>
      <c r="G573" s="5" t="s">
        <v>5075</v>
      </c>
      <c r="H573" s="1" t="s">
        <v>5076</v>
      </c>
      <c r="I573" s="5" t="s">
        <v>5077</v>
      </c>
      <c r="J573" s="7">
        <v>24</v>
      </c>
      <c r="K573" s="7">
        <v>12.352499999999999</v>
      </c>
      <c r="L573" s="5" t="s">
        <v>5078</v>
      </c>
      <c r="M573" s="7">
        <v>0.7</v>
      </c>
      <c r="N573" s="7">
        <v>0.5</v>
      </c>
      <c r="O573" s="7">
        <v>2.35</v>
      </c>
      <c r="P573" s="1" t="s">
        <v>5079</v>
      </c>
    </row>
    <row r="574" spans="1:16" ht="66.150000000000006" x14ac:dyDescent="0.3">
      <c r="A574" s="6" t="str">
        <f>HYPERLINK("https://www.ti.com/product/TPS62875-Q1", "TPS62875-Q1")</f>
        <v>TPS62875-Q1</v>
      </c>
      <c r="B574" s="5" t="s">
        <v>5080</v>
      </c>
      <c r="C574" s="6" t="str">
        <f>HYPERLINK("https://www.ti.com/lit/gpn/TPS62875-Q1", "PDF")</f>
        <v>PDF</v>
      </c>
      <c r="D574" s="5" t="s">
        <v>5081</v>
      </c>
      <c r="E574" s="5" t="s">
        <v>5082</v>
      </c>
      <c r="F574" s="5" t="s">
        <v>5083</v>
      </c>
      <c r="G574" s="5" t="s">
        <v>5084</v>
      </c>
      <c r="H574" s="1" t="s">
        <v>5085</v>
      </c>
      <c r="I574" s="5" t="s">
        <v>5086</v>
      </c>
      <c r="J574" s="7">
        <v>24</v>
      </c>
      <c r="K574" s="7">
        <v>12.352499999999999</v>
      </c>
      <c r="L574" s="5" t="s">
        <v>5087</v>
      </c>
      <c r="M574" s="7">
        <v>0.7</v>
      </c>
      <c r="N574" s="7">
        <v>0.5</v>
      </c>
      <c r="O574" s="7">
        <v>2.7570000000000001</v>
      </c>
      <c r="P574" s="1" t="s">
        <v>5088</v>
      </c>
    </row>
    <row r="575" spans="1:16" ht="66.150000000000006" x14ac:dyDescent="0.3">
      <c r="A575" s="6" t="str">
        <f>HYPERLINK("https://www.ti.com/product/TPS62877-Q1", "TPS62877-Q1")</f>
        <v>TPS62877-Q1</v>
      </c>
      <c r="B575" s="5" t="s">
        <v>5089</v>
      </c>
      <c r="C575" s="6" t="str">
        <f>HYPERLINK("https://www.ti.com/lit/gpn/TPS62877-Q1", "PDF")</f>
        <v>PDF</v>
      </c>
      <c r="D575" s="5" t="s">
        <v>5090</v>
      </c>
      <c r="E575" s="5" t="s">
        <v>5091</v>
      </c>
      <c r="F575" s="5" t="s">
        <v>5092</v>
      </c>
      <c r="G575" s="5" t="s">
        <v>5093</v>
      </c>
      <c r="H575" s="1" t="s">
        <v>5094</v>
      </c>
      <c r="I575" s="5" t="s">
        <v>5095</v>
      </c>
      <c r="J575" s="7">
        <v>24</v>
      </c>
      <c r="K575" s="7">
        <v>12.352499999999999</v>
      </c>
      <c r="L575" s="5" t="s">
        <v>5096</v>
      </c>
      <c r="M575" s="7">
        <v>0.7</v>
      </c>
      <c r="N575" s="7">
        <v>0.5</v>
      </c>
      <c r="O575" s="7">
        <v>3.4630000000000001</v>
      </c>
      <c r="P575" s="1" t="s">
        <v>5097</v>
      </c>
    </row>
    <row r="576" spans="1:16" ht="33.4" x14ac:dyDescent="0.3">
      <c r="A576" s="6" t="str">
        <f>HYPERLINK("https://www.ti.com/product/TPSM365R15", "TPSM365R15")</f>
        <v>TPSM365R15</v>
      </c>
      <c r="B576" s="5" t="s">
        <v>5098</v>
      </c>
      <c r="C576" s="6" t="str">
        <f>HYPERLINK("https://www.ti.com/lit/gpn/TPSM365R15", "PDF")</f>
        <v>PDF</v>
      </c>
      <c r="D576" s="5" t="s">
        <v>5099</v>
      </c>
      <c r="E576" s="5" t="s">
        <v>5100</v>
      </c>
      <c r="F576" s="5" t="s">
        <v>5101</v>
      </c>
      <c r="G576" s="5" t="s">
        <v>5102</v>
      </c>
      <c r="H576" s="1" t="s">
        <v>5103</v>
      </c>
      <c r="I576" s="5" t="s">
        <v>5104</v>
      </c>
      <c r="J576" s="7">
        <v>11</v>
      </c>
      <c r="K576" s="7">
        <v>15.75</v>
      </c>
      <c r="L576" s="5" t="s">
        <v>5105</v>
      </c>
      <c r="M576" s="7">
        <v>2.1</v>
      </c>
      <c r="N576" s="7">
        <v>0.5</v>
      </c>
      <c r="O576" s="7">
        <v>1.4950000000000001</v>
      </c>
      <c r="P576" s="1" t="s">
        <v>5106</v>
      </c>
    </row>
    <row r="577" spans="1:16" ht="33.4" x14ac:dyDescent="0.3">
      <c r="A577" s="6" t="str">
        <f>HYPERLINK("https://www.ti.com/product/LP5811", "LP5811")</f>
        <v>LP5811</v>
      </c>
      <c r="B577" s="5" t="s">
        <v>5107</v>
      </c>
      <c r="C577" s="6" t="str">
        <f>HYPERLINK("https://www.ti.com/lit/gpn/LP5811", "PDF")</f>
        <v>PDF</v>
      </c>
      <c r="D577" s="5" t="s">
        <v>5108</v>
      </c>
      <c r="E577" s="5" t="s">
        <v>5109</v>
      </c>
      <c r="F577" s="5" t="s">
        <v>5110</v>
      </c>
      <c r="G577" s="5" t="s">
        <v>5111</v>
      </c>
      <c r="H577" s="1" t="s">
        <v>5112</v>
      </c>
      <c r="I577" s="5" t="s">
        <v>5113</v>
      </c>
      <c r="J577" s="7">
        <v>12</v>
      </c>
      <c r="K577" s="7" t="s">
        <v>5114</v>
      </c>
      <c r="L577" s="5" t="s">
        <v>5115</v>
      </c>
      <c r="M577" s="7" t="s">
        <v>5116</v>
      </c>
      <c r="N577" s="7" t="s">
        <v>5117</v>
      </c>
      <c r="O577" s="7">
        <v>0.63300000000000001</v>
      </c>
      <c r="P577" s="1" t="s">
        <v>5118</v>
      </c>
    </row>
    <row r="578" spans="1:16" ht="33.4" x14ac:dyDescent="0.3">
      <c r="A578" s="6" t="str">
        <f>HYPERLINK("https://www.ti.com/product/TPS274C65", "TPS274C65")</f>
        <v>TPS274C65</v>
      </c>
      <c r="B578" s="5" t="s">
        <v>5119</v>
      </c>
      <c r="C578" s="6" t="str">
        <f>HYPERLINK("https://www.ti.com/lit/gpn/TPS274C65", "PDF")</f>
        <v>PDF</v>
      </c>
      <c r="D578" s="5" t="s">
        <v>5120</v>
      </c>
      <c r="E578" s="5" t="s">
        <v>5121</v>
      </c>
      <c r="F578" s="5"/>
      <c r="G578" s="5" t="s">
        <v>5122</v>
      </c>
      <c r="H578" s="1" t="s">
        <v>5123</v>
      </c>
      <c r="I578" s="5" t="s">
        <v>5124</v>
      </c>
      <c r="J578" s="7">
        <v>40</v>
      </c>
      <c r="K578" s="7">
        <v>36</v>
      </c>
      <c r="L578" s="5" t="s">
        <v>5125</v>
      </c>
      <c r="M578" s="7">
        <v>1</v>
      </c>
      <c r="N578" s="7">
        <v>0.5</v>
      </c>
      <c r="O578" s="7">
        <v>1.92</v>
      </c>
      <c r="P578" s="1" t="s">
        <v>5126</v>
      </c>
    </row>
    <row r="579" spans="1:16" ht="17.05" x14ac:dyDescent="0.3">
      <c r="A579" s="6" t="str">
        <f>HYPERLINK("https://www.ti.com/product/TPS274C65CP", "TPS274C65CP")</f>
        <v>TPS274C65CP</v>
      </c>
      <c r="B579" s="5" t="s">
        <v>5127</v>
      </c>
      <c r="C579" s="6" t="str">
        <f>HYPERLINK("https://www.ti.com/lit/gpn/TPS274C65CP", "PDF")</f>
        <v>PDF</v>
      </c>
      <c r="D579" s="5" t="s">
        <v>5128</v>
      </c>
      <c r="E579" s="5" t="s">
        <v>5129</v>
      </c>
      <c r="F579" s="5"/>
      <c r="G579" s="5" t="s">
        <v>5130</v>
      </c>
      <c r="H579" s="1" t="s">
        <v>5131</v>
      </c>
      <c r="I579" s="5" t="s">
        <v>5132</v>
      </c>
      <c r="J579" s="7">
        <v>40</v>
      </c>
      <c r="K579" s="7">
        <v>36</v>
      </c>
      <c r="L579" s="5" t="s">
        <v>5133</v>
      </c>
      <c r="M579" s="7">
        <v>1</v>
      </c>
      <c r="N579" s="7">
        <v>0.5</v>
      </c>
      <c r="O579" s="7">
        <v>1.7450000000000001</v>
      </c>
      <c r="P579" s="1" t="s">
        <v>5134</v>
      </c>
    </row>
    <row r="580" spans="1:16" ht="33.4" x14ac:dyDescent="0.3">
      <c r="A580" s="6" t="str">
        <f>HYPERLINK("https://www.ti.com/product/TPS56837", "TPS56837")</f>
        <v>TPS56837</v>
      </c>
      <c r="B580" s="5" t="s">
        <v>5135</v>
      </c>
      <c r="C580" s="6" t="str">
        <f>HYPERLINK("https://www.ti.com/lit/gpn/TPS56837", "PDF")</f>
        <v>PDF</v>
      </c>
      <c r="D580" s="5" t="s">
        <v>5136</v>
      </c>
      <c r="E580" s="5" t="s">
        <v>5137</v>
      </c>
      <c r="F580" s="5" t="s">
        <v>5138</v>
      </c>
      <c r="G580" s="5" t="s">
        <v>5139</v>
      </c>
      <c r="H580" s="1" t="s">
        <v>5140</v>
      </c>
      <c r="I580" s="5" t="s">
        <v>5141</v>
      </c>
      <c r="J580" s="7">
        <v>10</v>
      </c>
      <c r="K580" s="7">
        <v>9</v>
      </c>
      <c r="L580" s="5" t="s">
        <v>5142</v>
      </c>
      <c r="M580" s="7">
        <v>1</v>
      </c>
      <c r="N580" s="7">
        <v>0.5</v>
      </c>
      <c r="O580" s="7">
        <v>1.1499999999999999</v>
      </c>
      <c r="P580" s="1" t="s">
        <v>5143</v>
      </c>
    </row>
    <row r="581" spans="1:16" ht="33.4" x14ac:dyDescent="0.3">
      <c r="A581" s="6" t="str">
        <f>HYPERLINK("https://www.ti.com/product/TPS51386", "TPS51386")</f>
        <v>TPS51386</v>
      </c>
      <c r="B581" s="5" t="s">
        <v>5144</v>
      </c>
      <c r="C581" s="6" t="str">
        <f>HYPERLINK("https://www.ti.com/lit/gpn/TPS51386", "PDF")</f>
        <v>PDF</v>
      </c>
      <c r="D581" s="5" t="s">
        <v>5145</v>
      </c>
      <c r="E581" s="5" t="s">
        <v>5146</v>
      </c>
      <c r="F581" s="5" t="s">
        <v>5147</v>
      </c>
      <c r="G581" s="5" t="s">
        <v>5148</v>
      </c>
      <c r="H581" s="1" t="s">
        <v>5149</v>
      </c>
      <c r="I581" s="5" t="s">
        <v>5150</v>
      </c>
      <c r="J581" s="7">
        <v>12</v>
      </c>
      <c r="K581" s="7">
        <v>6</v>
      </c>
      <c r="L581" s="5" t="s">
        <v>5151</v>
      </c>
      <c r="M581" s="7">
        <v>1</v>
      </c>
      <c r="N581" s="7">
        <v>0.5</v>
      </c>
      <c r="O581" s="7">
        <v>0.36199999999999999</v>
      </c>
      <c r="P581" s="1" t="s">
        <v>5152</v>
      </c>
    </row>
    <row r="582" spans="1:16" ht="33.4" x14ac:dyDescent="0.3">
      <c r="A582" s="6" t="str">
        <f>HYPERLINK("https://www.ti.com/product/TPS25983", "TPS25983")</f>
        <v>TPS25983</v>
      </c>
      <c r="B582" s="5" t="s">
        <v>5153</v>
      </c>
      <c r="C582" s="6" t="str">
        <f>HYPERLINK("https://www.ti.com/lit/gpn/TPS25983", "PDF")</f>
        <v>PDF</v>
      </c>
      <c r="D582" s="5" t="s">
        <v>5154</v>
      </c>
      <c r="E582" s="5" t="s">
        <v>5155</v>
      </c>
      <c r="F582" s="5"/>
      <c r="G582" s="5" t="s">
        <v>5156</v>
      </c>
      <c r="H582" s="1" t="s">
        <v>5157</v>
      </c>
      <c r="I582" s="5" t="s">
        <v>5158</v>
      </c>
      <c r="J582" s="7">
        <v>24</v>
      </c>
      <c r="K582" s="7">
        <v>16</v>
      </c>
      <c r="L582" s="5" t="s">
        <v>5159</v>
      </c>
      <c r="M582" s="7">
        <v>1</v>
      </c>
      <c r="N582" s="7">
        <v>0.5</v>
      </c>
      <c r="O582" s="7">
        <v>1.488</v>
      </c>
      <c r="P582" s="1" t="s">
        <v>5160</v>
      </c>
    </row>
    <row r="583" spans="1:16" ht="33.4" x14ac:dyDescent="0.3">
      <c r="A583" s="6" t="str">
        <f>HYPERLINK("https://www.ti.com/product/TPS7H2140-SEP", "TPS7H2140-SEP")</f>
        <v>TPS7H2140-SEP</v>
      </c>
      <c r="B583" s="5" t="s">
        <v>5161</v>
      </c>
      <c r="C583" s="6" t="str">
        <f>HYPERLINK("https://www.ti.com/lit/gpn/TPS7H2140-SEP", "PDF")</f>
        <v>PDF</v>
      </c>
      <c r="D583" s="5" t="s">
        <v>5162</v>
      </c>
      <c r="E583" s="5" t="s">
        <v>5163</v>
      </c>
      <c r="F583" s="5"/>
      <c r="G583" s="5" t="s">
        <v>5164</v>
      </c>
      <c r="H583" s="1" t="s">
        <v>5165</v>
      </c>
      <c r="I583" s="5" t="s">
        <v>5166</v>
      </c>
      <c r="J583" s="7">
        <v>28</v>
      </c>
      <c r="K583" s="7">
        <v>62.08</v>
      </c>
      <c r="L583" s="5" t="s">
        <v>5167</v>
      </c>
      <c r="M583" s="7">
        <v>1.2</v>
      </c>
      <c r="N583" s="7">
        <v>0.65</v>
      </c>
      <c r="O583" s="7">
        <v>865.17499999999995</v>
      </c>
      <c r="P583" s="1" t="s">
        <v>5168</v>
      </c>
    </row>
    <row r="584" spans="1:16" ht="33.4" x14ac:dyDescent="0.3">
      <c r="A584" s="6" t="str">
        <f>HYPERLINK("https://www.ti.com/product/TPS6521905-Q1", "TPS6521905-Q1")</f>
        <v>TPS6521905-Q1</v>
      </c>
      <c r="B584" s="5" t="s">
        <v>5169</v>
      </c>
      <c r="C584" s="6" t="str">
        <f>HYPERLINK("https://www.ti.com/lit/gpn/TPS6521905-Q1", "PDF")</f>
        <v>PDF</v>
      </c>
      <c r="D584" s="5" t="s">
        <v>5170</v>
      </c>
      <c r="E584" s="5" t="s">
        <v>5171</v>
      </c>
      <c r="F584" s="5"/>
      <c r="G584" s="5" t="s">
        <v>5172</v>
      </c>
      <c r="H584" s="1" t="s">
        <v>5173</v>
      </c>
      <c r="I584" s="5" t="s">
        <v>5174</v>
      </c>
      <c r="J584" s="7">
        <v>32</v>
      </c>
      <c r="K584" s="7">
        <v>25</v>
      </c>
      <c r="L584" s="5" t="s">
        <v>5175</v>
      </c>
      <c r="M584" s="7">
        <v>1</v>
      </c>
      <c r="N584" s="7">
        <v>0.5</v>
      </c>
      <c r="O584" s="7">
        <v>1.9550000000000001</v>
      </c>
      <c r="P584" s="1" t="s">
        <v>5176</v>
      </c>
    </row>
    <row r="585" spans="1:16" ht="33.4" x14ac:dyDescent="0.3">
      <c r="A585" s="6" t="str">
        <f>HYPERLINK("https://www.ti.com/product/TPS1HTC30-Q1", "TPS1HTC30-Q1")</f>
        <v>TPS1HTC30-Q1</v>
      </c>
      <c r="B585" s="5" t="s">
        <v>5177</v>
      </c>
      <c r="C585" s="6" t="str">
        <f>HYPERLINK("https://www.ti.com/lit/gpn/TPS1HTC30-Q1", "PDF")</f>
        <v>PDF</v>
      </c>
      <c r="D585" s="5" t="s">
        <v>5178</v>
      </c>
      <c r="E585" s="5" t="s">
        <v>5179</v>
      </c>
      <c r="F585" s="5"/>
      <c r="G585" s="5" t="s">
        <v>5180</v>
      </c>
      <c r="H585" s="1" t="s">
        <v>5181</v>
      </c>
      <c r="I585" s="5" t="s">
        <v>5182</v>
      </c>
      <c r="J585" s="7">
        <v>14</v>
      </c>
      <c r="K585" s="7">
        <v>32</v>
      </c>
      <c r="L585" s="5" t="s">
        <v>5183</v>
      </c>
      <c r="M585" s="7">
        <v>1.2</v>
      </c>
      <c r="N585" s="7">
        <v>0.65</v>
      </c>
      <c r="O585" s="7">
        <v>1.77</v>
      </c>
      <c r="P585" s="1" t="s">
        <v>5184</v>
      </c>
    </row>
    <row r="586" spans="1:16" ht="33.4" x14ac:dyDescent="0.3">
      <c r="A586" s="6" t="str">
        <f>HYPERLINK("https://www.ti.com/product/LM2104", "LM2104")</f>
        <v>LM2104</v>
      </c>
      <c r="B586" s="5" t="s">
        <v>5185</v>
      </c>
      <c r="C586" s="6" t="str">
        <f>HYPERLINK("https://www.ti.com/lit/gpn/LM2104", "PDF")</f>
        <v>PDF</v>
      </c>
      <c r="D586" s="5" t="s">
        <v>5186</v>
      </c>
      <c r="E586" s="5" t="s">
        <v>5187</v>
      </c>
      <c r="F586" s="5"/>
      <c r="G586" s="5" t="s">
        <v>5188</v>
      </c>
      <c r="H586" s="1" t="s">
        <v>5189</v>
      </c>
      <c r="I586" s="5" t="s">
        <v>5190</v>
      </c>
      <c r="J586" s="7">
        <v>8</v>
      </c>
      <c r="K586" s="7">
        <v>29.4</v>
      </c>
      <c r="L586" s="5" t="s">
        <v>5191</v>
      </c>
      <c r="M586" s="7">
        <v>1.75</v>
      </c>
      <c r="N586" s="7">
        <v>1.27</v>
      </c>
      <c r="O586" s="7">
        <v>0.26100000000000001</v>
      </c>
      <c r="P586" s="1" t="s">
        <v>5192</v>
      </c>
    </row>
    <row r="587" spans="1:16" ht="33.4" x14ac:dyDescent="0.3">
      <c r="A587" s="6" t="str">
        <f>HYPERLINK("https://www.ti.com/product/LM74700D-Q1", "LM74700D-Q1")</f>
        <v>LM74700D-Q1</v>
      </c>
      <c r="B587" s="5" t="s">
        <v>5193</v>
      </c>
      <c r="C587" s="6" t="str">
        <f>HYPERLINK("https://www.ti.com/lit/gpn/LM74700D-Q1", "PDF")</f>
        <v>PDF</v>
      </c>
      <c r="D587" s="5" t="s">
        <v>5194</v>
      </c>
      <c r="E587" s="5" t="s">
        <v>5195</v>
      </c>
      <c r="F587" s="5"/>
      <c r="G587" s="5" t="s">
        <v>5196</v>
      </c>
      <c r="H587" s="1" t="s">
        <v>5197</v>
      </c>
      <c r="I587" s="5" t="s">
        <v>5198</v>
      </c>
      <c r="J587" s="7">
        <v>8</v>
      </c>
      <c r="K587" s="7">
        <v>29.4</v>
      </c>
      <c r="L587" s="5" t="s">
        <v>5199</v>
      </c>
      <c r="M587" s="7">
        <v>1.75</v>
      </c>
      <c r="N587" s="7">
        <v>1.27</v>
      </c>
      <c r="O587" s="7">
        <v>0.91</v>
      </c>
      <c r="P587" s="1" t="s">
        <v>5200</v>
      </c>
    </row>
    <row r="588" spans="1:16" ht="33.4" x14ac:dyDescent="0.3">
      <c r="A588" s="6" t="str">
        <f>HYPERLINK("https://www.ti.com/product/UCC21551", "UCC21551")</f>
        <v>UCC21551</v>
      </c>
      <c r="B588" s="5" t="s">
        <v>5201</v>
      </c>
      <c r="C588" s="6" t="str">
        <f>HYPERLINK("https://www.ti.com/lit/gpn/UCC21551", "PDF")</f>
        <v>PDF</v>
      </c>
      <c r="D588" s="5" t="s">
        <v>5202</v>
      </c>
      <c r="E588" s="5" t="s">
        <v>5203</v>
      </c>
      <c r="F588" s="5"/>
      <c r="G588" s="5" t="s">
        <v>5204</v>
      </c>
      <c r="H588" s="1" t="s">
        <v>5205</v>
      </c>
      <c r="I588" s="5" t="s">
        <v>5206</v>
      </c>
      <c r="J588" s="7" t="s">
        <v>5207</v>
      </c>
      <c r="K588" s="7">
        <v>106.09</v>
      </c>
      <c r="L588" s="5" t="s">
        <v>5208</v>
      </c>
      <c r="M588" s="7">
        <v>2.65</v>
      </c>
      <c r="N588" s="7">
        <v>1.27</v>
      </c>
      <c r="O588" s="7">
        <v>0.58799999999999997</v>
      </c>
      <c r="P588" s="1" t="s">
        <v>5209</v>
      </c>
    </row>
    <row r="589" spans="1:16" ht="33.4" x14ac:dyDescent="0.3">
      <c r="A589" s="6" t="str">
        <f>HYPERLINK("https://www.ti.com/product/LM74912-Q1", "LM74912-Q1")</f>
        <v>LM74912-Q1</v>
      </c>
      <c r="B589" s="5" t="s">
        <v>5210</v>
      </c>
      <c r="C589" s="6" t="str">
        <f>HYPERLINK("https://www.ti.com/lit/gpn/LM74912-Q1", "PDF")</f>
        <v>PDF</v>
      </c>
      <c r="D589" s="5" t="s">
        <v>5211</v>
      </c>
      <c r="E589" s="5" t="s">
        <v>5212</v>
      </c>
      <c r="F589" s="5"/>
      <c r="G589" s="5" t="s">
        <v>5213</v>
      </c>
      <c r="H589" s="1" t="s">
        <v>5214</v>
      </c>
      <c r="I589" s="5" t="s">
        <v>5215</v>
      </c>
      <c r="J589" s="7">
        <v>24</v>
      </c>
      <c r="K589" s="7">
        <v>16</v>
      </c>
      <c r="L589" s="5" t="s">
        <v>5216</v>
      </c>
      <c r="M589" s="7">
        <v>1</v>
      </c>
      <c r="N589" s="7">
        <v>0.5</v>
      </c>
      <c r="O589" s="7">
        <v>1.5</v>
      </c>
      <c r="P589" s="1" t="s">
        <v>5217</v>
      </c>
    </row>
    <row r="590" spans="1:16" ht="33.4" x14ac:dyDescent="0.3">
      <c r="A590" s="6" t="str">
        <f>HYPERLINK("https://www.ti.com/product/LM63460-Q1", "LM63460-Q1")</f>
        <v>LM63460-Q1</v>
      </c>
      <c r="B590" s="5" t="s">
        <v>5218</v>
      </c>
      <c r="C590" s="6" t="str">
        <f>HYPERLINK("https://www.ti.com/lit/gpn/LM63460-Q1", "PDF")</f>
        <v>PDF</v>
      </c>
      <c r="D590" s="5" t="s">
        <v>5219</v>
      </c>
      <c r="E590" s="5" t="s">
        <v>5220</v>
      </c>
      <c r="F590" s="5" t="s">
        <v>5221</v>
      </c>
      <c r="G590" s="5" t="s">
        <v>5222</v>
      </c>
      <c r="H590" s="1" t="s">
        <v>5223</v>
      </c>
      <c r="I590" s="5" t="s">
        <v>5224</v>
      </c>
      <c r="J590" s="7">
        <v>22</v>
      </c>
      <c r="K590" s="7">
        <v>14</v>
      </c>
      <c r="L590" s="5" t="s">
        <v>5225</v>
      </c>
      <c r="M590" s="7">
        <v>1.05</v>
      </c>
      <c r="N590" s="7">
        <v>0.5</v>
      </c>
      <c r="O590" s="7">
        <v>2.5630000000000002</v>
      </c>
      <c r="P590" s="1" t="s">
        <v>5226</v>
      </c>
    </row>
    <row r="591" spans="1:16" ht="33.4" x14ac:dyDescent="0.3">
      <c r="A591" s="6" t="str">
        <f>HYPERLINK("https://www.ti.com/product/LM64460-Q1", "LM64460-Q1")</f>
        <v>LM64460-Q1</v>
      </c>
      <c r="B591" s="5" t="s">
        <v>5227</v>
      </c>
      <c r="C591" s="6" t="str">
        <f>HYPERLINK("https://www.ti.com/lit/gpn/LM64460-Q1", "PDF")</f>
        <v>PDF</v>
      </c>
      <c r="D591" s="5" t="s">
        <v>5228</v>
      </c>
      <c r="E591" s="5" t="s">
        <v>5229</v>
      </c>
      <c r="F591" s="5" t="s">
        <v>5230</v>
      </c>
      <c r="G591" s="5" t="s">
        <v>5231</v>
      </c>
      <c r="H591" s="1" t="s">
        <v>5232</v>
      </c>
      <c r="I591" s="5" t="s">
        <v>5233</v>
      </c>
      <c r="J591" s="7">
        <v>22</v>
      </c>
      <c r="K591" s="7">
        <v>14</v>
      </c>
      <c r="L591" s="5" t="s">
        <v>5234</v>
      </c>
      <c r="M591" s="7">
        <v>1.05</v>
      </c>
      <c r="N591" s="7">
        <v>0.5</v>
      </c>
      <c r="O591" s="7">
        <v>2.3580000000000001</v>
      </c>
      <c r="P591" s="1" t="s">
        <v>5235</v>
      </c>
    </row>
    <row r="592" spans="1:16" ht="33.4" x14ac:dyDescent="0.3">
      <c r="A592" s="6" t="str">
        <f>HYPERLINK("https://www.ti.com/product/LMQ644A2-Q1", "LMQ644A2-Q1")</f>
        <v>LMQ644A2-Q1</v>
      </c>
      <c r="B592" s="5" t="s">
        <v>5236</v>
      </c>
      <c r="C592" s="6" t="str">
        <f>HYPERLINK("https://www.ti.com/lit/gpn/LMQ644A2-Q1", "PDF")</f>
        <v>PDF</v>
      </c>
      <c r="D592" s="5" t="s">
        <v>5237</v>
      </c>
      <c r="E592" s="5" t="s">
        <v>5238</v>
      </c>
      <c r="F592" s="5" t="s">
        <v>5239</v>
      </c>
      <c r="G592" s="5" t="s">
        <v>5240</v>
      </c>
      <c r="H592" s="1" t="s">
        <v>5241</v>
      </c>
      <c r="I592" s="5" t="s">
        <v>5242</v>
      </c>
      <c r="J592" s="7">
        <v>24</v>
      </c>
      <c r="K592" s="7">
        <v>20</v>
      </c>
      <c r="L592" s="5" t="s">
        <v>5243</v>
      </c>
      <c r="M592" s="7">
        <v>1.05</v>
      </c>
      <c r="N592" s="7">
        <v>0.5</v>
      </c>
      <c r="O592" s="7">
        <v>3.22</v>
      </c>
      <c r="P592" s="1" t="s">
        <v>5244</v>
      </c>
    </row>
    <row r="593" spans="1:16" ht="33.4" x14ac:dyDescent="0.3">
      <c r="A593" s="6" t="str">
        <f>HYPERLINK("https://www.ti.com/product/LP5813", "LP5813")</f>
        <v>LP5813</v>
      </c>
      <c r="B593" s="5" t="s">
        <v>5245</v>
      </c>
      <c r="C593" s="6" t="str">
        <f>HYPERLINK("https://www.ti.com/lit/gpn/LP5813", "PDF")</f>
        <v>PDF</v>
      </c>
      <c r="D593" s="5" t="s">
        <v>5246</v>
      </c>
      <c r="E593" s="5" t="s">
        <v>5247</v>
      </c>
      <c r="F593" s="5" t="s">
        <v>5248</v>
      </c>
      <c r="G593" s="5" t="s">
        <v>5249</v>
      </c>
      <c r="H593" s="1" t="s">
        <v>5250</v>
      </c>
      <c r="I593" s="5" t="s">
        <v>5251</v>
      </c>
      <c r="J593" s="7">
        <v>12</v>
      </c>
      <c r="K593" s="7" t="s">
        <v>5252</v>
      </c>
      <c r="L593" s="5" t="s">
        <v>5253</v>
      </c>
      <c r="M593" s="7" t="s">
        <v>5254</v>
      </c>
      <c r="N593" s="7" t="s">
        <v>5255</v>
      </c>
      <c r="O593" s="7">
        <v>0.77400000000000002</v>
      </c>
      <c r="P593" s="1" t="s">
        <v>5256</v>
      </c>
    </row>
    <row r="594" spans="1:16" ht="49.75" x14ac:dyDescent="0.3">
      <c r="A594" s="6" t="str">
        <f>HYPERLINK("https://www.ti.com/product/TPS922052", "TPS922052")</f>
        <v>TPS922052</v>
      </c>
      <c r="B594" s="5" t="s">
        <v>5257</v>
      </c>
      <c r="C594" s="6" t="str">
        <f>HYPERLINK("https://www.ti.com/lit/gpn/TPS922052", "PDF")</f>
        <v>PDF</v>
      </c>
      <c r="D594" s="5" t="s">
        <v>5258</v>
      </c>
      <c r="E594" s="5" t="s">
        <v>5259</v>
      </c>
      <c r="F594" s="5" t="s">
        <v>5260</v>
      </c>
      <c r="G594" s="5" t="s">
        <v>5261</v>
      </c>
      <c r="H594" s="1" t="s">
        <v>5262</v>
      </c>
      <c r="I594" s="5" t="s">
        <v>5263</v>
      </c>
      <c r="J594" s="7" t="s">
        <v>5264</v>
      </c>
      <c r="K594" s="7" t="s">
        <v>5265</v>
      </c>
      <c r="L594" s="5" t="s">
        <v>5266</v>
      </c>
      <c r="M594" s="7" t="s">
        <v>5267</v>
      </c>
      <c r="N594" s="7" t="s">
        <v>5268</v>
      </c>
      <c r="O594" s="7">
        <v>0.55800000000000005</v>
      </c>
      <c r="P594" s="1" t="s">
        <v>5269</v>
      </c>
    </row>
    <row r="595" spans="1:16" ht="49.75" x14ac:dyDescent="0.3">
      <c r="A595" s="6" t="str">
        <f>HYPERLINK("https://www.ti.com/product/TPS922053", "TPS922053")</f>
        <v>TPS922053</v>
      </c>
      <c r="B595" s="5" t="s">
        <v>5270</v>
      </c>
      <c r="C595" s="6" t="str">
        <f>HYPERLINK("https://www.ti.com/lit/gpn/TPS922053", "PDF")</f>
        <v>PDF</v>
      </c>
      <c r="D595" s="5" t="s">
        <v>5271</v>
      </c>
      <c r="E595" s="5" t="s">
        <v>5272</v>
      </c>
      <c r="F595" s="5" t="s">
        <v>5273</v>
      </c>
      <c r="G595" s="5" t="s">
        <v>5274</v>
      </c>
      <c r="H595" s="1" t="s">
        <v>5275</v>
      </c>
      <c r="I595" s="5" t="s">
        <v>5276</v>
      </c>
      <c r="J595" s="7" t="s">
        <v>5277</v>
      </c>
      <c r="K595" s="7" t="s">
        <v>5278</v>
      </c>
      <c r="L595" s="5" t="s">
        <v>5279</v>
      </c>
      <c r="M595" s="7" t="s">
        <v>5280</v>
      </c>
      <c r="N595" s="7" t="s">
        <v>5281</v>
      </c>
      <c r="O595" s="7">
        <v>0.621</v>
      </c>
      <c r="P595" s="1" t="s">
        <v>5282</v>
      </c>
    </row>
    <row r="596" spans="1:16" ht="33.4" x14ac:dyDescent="0.3">
      <c r="A596" s="6" t="str">
        <f>HYPERLINK("https://www.ti.com/product/TPS922054", "TPS922054")</f>
        <v>TPS922054</v>
      </c>
      <c r="B596" s="5" t="s">
        <v>5283</v>
      </c>
      <c r="C596" s="6" t="str">
        <f>HYPERLINK("https://www.ti.com/lit/gpn/TPS922054", "PDF")</f>
        <v>PDF</v>
      </c>
      <c r="D596" s="5" t="s">
        <v>5284</v>
      </c>
      <c r="E596" s="5" t="s">
        <v>5285</v>
      </c>
      <c r="F596" s="5" t="s">
        <v>5286</v>
      </c>
      <c r="G596" s="5" t="s">
        <v>5287</v>
      </c>
      <c r="H596" s="1" t="s">
        <v>5288</v>
      </c>
      <c r="I596" s="5" t="s">
        <v>5289</v>
      </c>
      <c r="J596" s="7" t="s">
        <v>5290</v>
      </c>
      <c r="K596" s="7" t="s">
        <v>5291</v>
      </c>
      <c r="L596" s="5" t="s">
        <v>5292</v>
      </c>
      <c r="M596" s="7" t="s">
        <v>5293</v>
      </c>
      <c r="N596" s="7" t="s">
        <v>5294</v>
      </c>
      <c r="O596" s="7">
        <v>0.751</v>
      </c>
      <c r="P596" s="1" t="s">
        <v>5295</v>
      </c>
    </row>
    <row r="597" spans="1:16" ht="33.4" x14ac:dyDescent="0.3">
      <c r="A597" s="6" t="str">
        <f>HYPERLINK("https://www.ti.com/product/TPS922055", "TPS922055")</f>
        <v>TPS922055</v>
      </c>
      <c r="B597" s="5" t="s">
        <v>5296</v>
      </c>
      <c r="C597" s="6" t="str">
        <f>HYPERLINK("https://www.ti.com/lit/gpn/TPS922055", "PDF")</f>
        <v>PDF</v>
      </c>
      <c r="D597" s="5" t="s">
        <v>5297</v>
      </c>
      <c r="E597" s="5" t="s">
        <v>5298</v>
      </c>
      <c r="F597" s="5" t="s">
        <v>5299</v>
      </c>
      <c r="G597" s="5" t="s">
        <v>5300</v>
      </c>
      <c r="H597" s="1" t="s">
        <v>5301</v>
      </c>
      <c r="I597" s="5" t="s">
        <v>5302</v>
      </c>
      <c r="J597" s="7" t="s">
        <v>5303</v>
      </c>
      <c r="K597" s="7" t="s">
        <v>5304</v>
      </c>
      <c r="L597" s="5" t="s">
        <v>5305</v>
      </c>
      <c r="M597" s="7" t="s">
        <v>5306</v>
      </c>
      <c r="N597" s="7" t="s">
        <v>5307</v>
      </c>
      <c r="O597" s="7">
        <v>0.81399999999999995</v>
      </c>
      <c r="P597" s="1" t="s">
        <v>5308</v>
      </c>
    </row>
    <row r="598" spans="1:16" ht="49.75" x14ac:dyDescent="0.3">
      <c r="A598" s="6" t="str">
        <f>HYPERLINK("https://www.ti.com/product/TPS923652", "TPS923652")</f>
        <v>TPS923652</v>
      </c>
      <c r="B598" s="5" t="s">
        <v>5309</v>
      </c>
      <c r="C598" s="6" t="str">
        <f>HYPERLINK("https://www.ti.com/lit/gpn/TPS923652", "PDF")</f>
        <v>PDF</v>
      </c>
      <c r="D598" s="5" t="s">
        <v>5310</v>
      </c>
      <c r="E598" s="5" t="s">
        <v>5311</v>
      </c>
      <c r="F598" s="5" t="s">
        <v>5312</v>
      </c>
      <c r="G598" s="5" t="s">
        <v>5313</v>
      </c>
      <c r="H598" s="1" t="s">
        <v>5314</v>
      </c>
      <c r="I598" s="5" t="s">
        <v>5315</v>
      </c>
      <c r="J598" s="7" t="s">
        <v>5316</v>
      </c>
      <c r="K598" s="7" t="s">
        <v>5317</v>
      </c>
      <c r="L598" s="5" t="s">
        <v>5318</v>
      </c>
      <c r="M598" s="7" t="s">
        <v>5319</v>
      </c>
      <c r="N598" s="7" t="s">
        <v>5320</v>
      </c>
      <c r="O598" s="7">
        <v>0.621</v>
      </c>
      <c r="P598" s="1" t="s">
        <v>5321</v>
      </c>
    </row>
    <row r="599" spans="1:16" ht="49.75" x14ac:dyDescent="0.3">
      <c r="A599" s="6" t="str">
        <f>HYPERLINK("https://www.ti.com/product/TPS923653", "TPS923653")</f>
        <v>TPS923653</v>
      </c>
      <c r="B599" s="5" t="s">
        <v>5322</v>
      </c>
      <c r="C599" s="6" t="str">
        <f>HYPERLINK("https://www.ti.com/lit/gpn/TPS923653", "PDF")</f>
        <v>PDF</v>
      </c>
      <c r="D599" s="5" t="s">
        <v>5323</v>
      </c>
      <c r="E599" s="5" t="s">
        <v>5324</v>
      </c>
      <c r="F599" s="5" t="s">
        <v>5325</v>
      </c>
      <c r="G599" s="5" t="s">
        <v>5326</v>
      </c>
      <c r="H599" s="1" t="s">
        <v>5327</v>
      </c>
      <c r="I599" s="5" t="s">
        <v>5328</v>
      </c>
      <c r="J599" s="7" t="s">
        <v>5329</v>
      </c>
      <c r="K599" s="7" t="s">
        <v>5330</v>
      </c>
      <c r="L599" s="5" t="s">
        <v>5331</v>
      </c>
      <c r="M599" s="7" t="s">
        <v>5332</v>
      </c>
      <c r="N599" s="7" t="s">
        <v>5333</v>
      </c>
      <c r="O599" s="7">
        <v>0.69099999999999995</v>
      </c>
      <c r="P599" s="1" t="s">
        <v>5334</v>
      </c>
    </row>
    <row r="600" spans="1:16" ht="33.4" x14ac:dyDescent="0.3">
      <c r="A600" s="6" t="str">
        <f>HYPERLINK("https://www.ti.com/product/TPS923654", "TPS923654")</f>
        <v>TPS923654</v>
      </c>
      <c r="B600" s="5" t="s">
        <v>5335</v>
      </c>
      <c r="C600" s="6" t="str">
        <f>HYPERLINK("https://www.ti.com/lit/gpn/TPS923654", "PDF")</f>
        <v>PDF</v>
      </c>
      <c r="D600" s="5" t="s">
        <v>5336</v>
      </c>
      <c r="E600" s="5" t="s">
        <v>5337</v>
      </c>
      <c r="F600" s="5" t="s">
        <v>5338</v>
      </c>
      <c r="G600" s="5" t="s">
        <v>5339</v>
      </c>
      <c r="H600" s="1" t="s">
        <v>5340</v>
      </c>
      <c r="I600" s="5" t="s">
        <v>5341</v>
      </c>
      <c r="J600" s="7" t="s">
        <v>5342</v>
      </c>
      <c r="K600" s="7" t="s">
        <v>5343</v>
      </c>
      <c r="L600" s="5" t="s">
        <v>5344</v>
      </c>
      <c r="M600" s="7" t="s">
        <v>5345</v>
      </c>
      <c r="N600" s="7" t="s">
        <v>5346</v>
      </c>
      <c r="O600" s="7">
        <v>0.83599999999999997</v>
      </c>
      <c r="P600" s="1" t="s">
        <v>5347</v>
      </c>
    </row>
    <row r="601" spans="1:16" ht="33.4" x14ac:dyDescent="0.3">
      <c r="A601" s="6" t="str">
        <f>HYPERLINK("https://www.ti.com/product/TPS923655", "TPS923655")</f>
        <v>TPS923655</v>
      </c>
      <c r="B601" s="5" t="s">
        <v>5348</v>
      </c>
      <c r="C601" s="6" t="str">
        <f>HYPERLINK("https://www.ti.com/lit/gpn/TPS923655", "PDF")</f>
        <v>PDF</v>
      </c>
      <c r="D601" s="5" t="s">
        <v>5349</v>
      </c>
      <c r="E601" s="5" t="s">
        <v>5350</v>
      </c>
      <c r="F601" s="5" t="s">
        <v>5351</v>
      </c>
      <c r="G601" s="5" t="s">
        <v>5352</v>
      </c>
      <c r="H601" s="1" t="s">
        <v>5353</v>
      </c>
      <c r="I601" s="5" t="s">
        <v>5354</v>
      </c>
      <c r="J601" s="7" t="s">
        <v>5355</v>
      </c>
      <c r="K601" s="7" t="s">
        <v>5356</v>
      </c>
      <c r="L601" s="5" t="s">
        <v>5357</v>
      </c>
      <c r="M601" s="7" t="s">
        <v>5358</v>
      </c>
      <c r="N601" s="7" t="s">
        <v>5359</v>
      </c>
      <c r="O601" s="7">
        <v>0.90600000000000003</v>
      </c>
      <c r="P601" s="1" t="s">
        <v>5360</v>
      </c>
    </row>
    <row r="602" spans="1:16" ht="33.4" x14ac:dyDescent="0.3">
      <c r="A602" s="6" t="str">
        <f>HYPERLINK("https://www.ti.com/product/UCC14130-Q1", "UCC14130-Q1")</f>
        <v>UCC14130-Q1</v>
      </c>
      <c r="B602" s="5" t="s">
        <v>5361</v>
      </c>
      <c r="C602" s="6" t="str">
        <f>HYPERLINK("https://www.ti.com/lit/gpn/UCC14130-Q1", "PDF")</f>
        <v>PDF</v>
      </c>
      <c r="D602" s="5" t="s">
        <v>5362</v>
      </c>
      <c r="E602" s="5" t="s">
        <v>5363</v>
      </c>
      <c r="F602" s="5" t="s">
        <v>5364</v>
      </c>
      <c r="G602" s="5" t="s">
        <v>5365</v>
      </c>
      <c r="H602" s="1" t="s">
        <v>5366</v>
      </c>
      <c r="I602" s="5" t="s">
        <v>5367</v>
      </c>
      <c r="J602" s="7">
        <v>36</v>
      </c>
      <c r="K602" s="7">
        <v>131.84</v>
      </c>
      <c r="L602" s="5" t="s">
        <v>5368</v>
      </c>
      <c r="M602" s="7">
        <v>3.55</v>
      </c>
      <c r="N602" s="7">
        <v>0.65</v>
      </c>
      <c r="O602" s="7">
        <v>4.1059999999999999</v>
      </c>
      <c r="P602" s="1" t="s">
        <v>5369</v>
      </c>
    </row>
    <row r="603" spans="1:16" ht="33.4" x14ac:dyDescent="0.3">
      <c r="A603" s="6" t="str">
        <f>HYPERLINK("https://www.ti.com/product/UCC14131-Q1", "UCC14131-Q1")</f>
        <v>UCC14131-Q1</v>
      </c>
      <c r="B603" s="5" t="s">
        <v>5370</v>
      </c>
      <c r="C603" s="6" t="str">
        <f>HYPERLINK("https://www.ti.com/lit/gpn/UCC14131-Q1", "PDF")</f>
        <v>PDF</v>
      </c>
      <c r="D603" s="5" t="s">
        <v>5371</v>
      </c>
      <c r="E603" s="5" t="s">
        <v>5372</v>
      </c>
      <c r="F603" s="5" t="s">
        <v>5373</v>
      </c>
      <c r="G603" s="5" t="s">
        <v>5374</v>
      </c>
      <c r="H603" s="1" t="s">
        <v>5375</v>
      </c>
      <c r="I603" s="5" t="s">
        <v>5376</v>
      </c>
      <c r="J603" s="7">
        <v>36</v>
      </c>
      <c r="K603" s="7">
        <v>131.84</v>
      </c>
      <c r="L603" s="5" t="s">
        <v>5377</v>
      </c>
      <c r="M603" s="7">
        <v>3.55</v>
      </c>
      <c r="N603" s="7">
        <v>0.65</v>
      </c>
      <c r="O603" s="7">
        <v>3.93</v>
      </c>
      <c r="P603" s="1" t="s">
        <v>5378</v>
      </c>
    </row>
    <row r="604" spans="1:16" ht="33.4" x14ac:dyDescent="0.3">
      <c r="A604" s="6" t="str">
        <f>HYPERLINK("https://www.ti.com/product/UCC21738-Q1", "UCC21738-Q1")</f>
        <v>UCC21738-Q1</v>
      </c>
      <c r="B604" s="5" t="s">
        <v>5379</v>
      </c>
      <c r="C604" s="6" t="str">
        <f>HYPERLINK("https://www.ti.com/lit/gpn/UCC21738-Q1", "PDF")</f>
        <v>PDF</v>
      </c>
      <c r="D604" s="5" t="s">
        <v>5380</v>
      </c>
      <c r="E604" s="5" t="s">
        <v>5381</v>
      </c>
      <c r="F604" s="5"/>
      <c r="G604" s="5" t="s">
        <v>5382</v>
      </c>
      <c r="H604" s="1" t="s">
        <v>5383</v>
      </c>
      <c r="I604" s="5" t="s">
        <v>5384</v>
      </c>
      <c r="J604" s="7">
        <v>16</v>
      </c>
      <c r="K604" s="7">
        <v>106.09</v>
      </c>
      <c r="L604" s="5" t="s">
        <v>5385</v>
      </c>
      <c r="M604" s="7">
        <v>2.65</v>
      </c>
      <c r="N604" s="7">
        <v>1.27</v>
      </c>
      <c r="O604" s="7">
        <v>2.8090000000000002</v>
      </c>
      <c r="P604" s="1" t="s">
        <v>5386</v>
      </c>
    </row>
    <row r="605" spans="1:16" ht="33.4" x14ac:dyDescent="0.3">
      <c r="A605" s="6" t="str">
        <f>HYPERLINK("https://www.ti.com/product/UCC15240-Q1", "UCC15240-Q1")</f>
        <v>UCC15240-Q1</v>
      </c>
      <c r="B605" s="5" t="s">
        <v>5387</v>
      </c>
      <c r="C605" s="6" t="str">
        <f>HYPERLINK("https://www.ti.com/lit/gpn/UCC15240-Q1", "PDF")</f>
        <v>PDF</v>
      </c>
      <c r="D605" s="5" t="s">
        <v>5388</v>
      </c>
      <c r="E605" s="5" t="s">
        <v>5389</v>
      </c>
      <c r="F605" s="5" t="s">
        <v>5390</v>
      </c>
      <c r="G605" s="5" t="s">
        <v>5391</v>
      </c>
      <c r="H605" s="1" t="s">
        <v>5392</v>
      </c>
      <c r="I605" s="5" t="s">
        <v>5393</v>
      </c>
      <c r="J605" s="7">
        <v>36</v>
      </c>
      <c r="K605" s="7">
        <v>131.84</v>
      </c>
      <c r="L605" s="5" t="s">
        <v>5394</v>
      </c>
      <c r="M605" s="7">
        <v>3.55</v>
      </c>
      <c r="N605" s="7">
        <v>0.65</v>
      </c>
      <c r="O605" s="7">
        <v>4.7270000000000003</v>
      </c>
      <c r="P605" s="1" t="s">
        <v>5395</v>
      </c>
    </row>
    <row r="606" spans="1:16" ht="33.4" x14ac:dyDescent="0.3">
      <c r="A606" s="6" t="str">
        <f>HYPERLINK("https://www.ti.com/product/UCC15241-Q1", "UCC15241-Q1")</f>
        <v>UCC15241-Q1</v>
      </c>
      <c r="B606" s="5" t="s">
        <v>5396</v>
      </c>
      <c r="C606" s="6" t="str">
        <f>HYPERLINK("https://www.ti.com/lit/gpn/UCC15241-Q1", "PDF")</f>
        <v>PDF</v>
      </c>
      <c r="D606" s="5" t="s">
        <v>5397</v>
      </c>
      <c r="E606" s="5" t="s">
        <v>5398</v>
      </c>
      <c r="F606" s="5" t="s">
        <v>5399</v>
      </c>
      <c r="G606" s="5" t="s">
        <v>5400</v>
      </c>
      <c r="H606" s="1" t="s">
        <v>5401</v>
      </c>
      <c r="I606" s="5" t="s">
        <v>5402</v>
      </c>
      <c r="J606" s="7">
        <v>36</v>
      </c>
      <c r="K606" s="7">
        <v>131.84</v>
      </c>
      <c r="L606" s="5" t="s">
        <v>5403</v>
      </c>
      <c r="M606" s="7">
        <v>3.55</v>
      </c>
      <c r="N606" s="7">
        <v>0.65</v>
      </c>
      <c r="O606" s="7">
        <v>5.1870000000000003</v>
      </c>
      <c r="P606" s="1" t="s">
        <v>5404</v>
      </c>
    </row>
    <row r="607" spans="1:16" ht="33.4" x14ac:dyDescent="0.3">
      <c r="A607" s="6" t="str">
        <f>HYPERLINK("https://www.ti.com/product/TPS610333", "TPS610333")</f>
        <v>TPS610333</v>
      </c>
      <c r="B607" s="5" t="s">
        <v>5405</v>
      </c>
      <c r="C607" s="6" t="str">
        <f>HYPERLINK("https://www.ti.com/lit/gpn/TPS610333", "PDF")</f>
        <v>PDF</v>
      </c>
      <c r="D607" s="5" t="s">
        <v>5406</v>
      </c>
      <c r="E607" s="5" t="s">
        <v>5407</v>
      </c>
      <c r="F607" s="5" t="s">
        <v>5408</v>
      </c>
      <c r="G607" s="5" t="s">
        <v>5409</v>
      </c>
      <c r="H607" s="1" t="s">
        <v>5410</v>
      </c>
      <c r="I607" s="5" t="s">
        <v>5411</v>
      </c>
      <c r="J607" s="7">
        <v>8</v>
      </c>
      <c r="K607" s="7">
        <v>3.36</v>
      </c>
      <c r="L607" s="5" t="s">
        <v>5412</v>
      </c>
      <c r="M607" s="7">
        <v>0.6</v>
      </c>
      <c r="N607" s="7">
        <v>0.5</v>
      </c>
      <c r="O607" s="7">
        <v>0.40300000000000002</v>
      </c>
      <c r="P607" s="1" t="s">
        <v>5413</v>
      </c>
    </row>
    <row r="608" spans="1:16" ht="33.4" x14ac:dyDescent="0.3">
      <c r="A608" s="6" t="str">
        <f>HYPERLINK("https://www.ti.com/product/UCC14241-Q1", "UCC14241-Q1")</f>
        <v>UCC14241-Q1</v>
      </c>
      <c r="B608" s="5" t="s">
        <v>5414</v>
      </c>
      <c r="C608" s="6" t="str">
        <f>HYPERLINK("https://www.ti.com/lit/gpn/UCC14241-Q1", "PDF")</f>
        <v>PDF</v>
      </c>
      <c r="D608" s="5" t="s">
        <v>5415</v>
      </c>
      <c r="E608" s="5" t="s">
        <v>5416</v>
      </c>
      <c r="F608" s="5" t="s">
        <v>5417</v>
      </c>
      <c r="G608" s="5" t="s">
        <v>5418</v>
      </c>
      <c r="H608" s="1" t="s">
        <v>5419</v>
      </c>
      <c r="I608" s="5" t="s">
        <v>5420</v>
      </c>
      <c r="J608" s="7">
        <v>36</v>
      </c>
      <c r="K608" s="7">
        <v>131.84</v>
      </c>
      <c r="L608" s="5" t="s">
        <v>5421</v>
      </c>
      <c r="M608" s="7">
        <v>3.55</v>
      </c>
      <c r="N608" s="7">
        <v>0.65</v>
      </c>
      <c r="O608" s="7">
        <v>4.5199999999999996</v>
      </c>
      <c r="P608" s="1" t="s">
        <v>5422</v>
      </c>
    </row>
    <row r="609" spans="1:16" ht="33.4" x14ac:dyDescent="0.3">
      <c r="A609" s="6" t="str">
        <f>HYPERLINK("https://www.ti.com/product/UCC14340-Q1", "UCC14340-Q1")</f>
        <v>UCC14340-Q1</v>
      </c>
      <c r="B609" s="5" t="s">
        <v>5423</v>
      </c>
      <c r="C609" s="6" t="str">
        <f>HYPERLINK("https://www.ti.com/lit/gpn/UCC14340-Q1", "PDF")</f>
        <v>PDF</v>
      </c>
      <c r="D609" s="5" t="s">
        <v>5424</v>
      </c>
      <c r="E609" s="5" t="s">
        <v>5425</v>
      </c>
      <c r="F609" s="5" t="s">
        <v>5426</v>
      </c>
      <c r="G609" s="5" t="s">
        <v>5427</v>
      </c>
      <c r="H609" s="1" t="s">
        <v>5428</v>
      </c>
      <c r="I609" s="5" t="s">
        <v>5429</v>
      </c>
      <c r="J609" s="7">
        <v>36</v>
      </c>
      <c r="K609" s="7">
        <v>131.84</v>
      </c>
      <c r="L609" s="5" t="s">
        <v>5430</v>
      </c>
      <c r="M609" s="7">
        <v>3.55</v>
      </c>
      <c r="N609" s="7">
        <v>0.65</v>
      </c>
      <c r="O609" s="7">
        <v>4.1059999999999999</v>
      </c>
      <c r="P609" s="1" t="s">
        <v>5431</v>
      </c>
    </row>
    <row r="610" spans="1:16" ht="33.4" x14ac:dyDescent="0.3">
      <c r="A610" s="6" t="str">
        <f>HYPERLINK("https://www.ti.com/product/UCC14341-Q1", "UCC14341-Q1")</f>
        <v>UCC14341-Q1</v>
      </c>
      <c r="B610" s="5" t="s">
        <v>5432</v>
      </c>
      <c r="C610" s="6" t="str">
        <f>HYPERLINK("https://www.ti.com/lit/gpn/UCC14341-Q1", "PDF")</f>
        <v>PDF</v>
      </c>
      <c r="D610" s="5" t="s">
        <v>5433</v>
      </c>
      <c r="E610" s="5" t="s">
        <v>5434</v>
      </c>
      <c r="F610" s="5" t="s">
        <v>5435</v>
      </c>
      <c r="G610" s="5" t="s">
        <v>5436</v>
      </c>
      <c r="H610" s="1" t="s">
        <v>5437</v>
      </c>
      <c r="I610" s="5" t="s">
        <v>5438</v>
      </c>
      <c r="J610" s="7">
        <v>36</v>
      </c>
      <c r="K610" s="7">
        <v>131.84</v>
      </c>
      <c r="L610" s="5" t="s">
        <v>5439</v>
      </c>
      <c r="M610" s="7">
        <v>3.55</v>
      </c>
      <c r="N610" s="7">
        <v>0.65</v>
      </c>
      <c r="O610" s="7">
        <v>4.5199999999999996</v>
      </c>
      <c r="P610" s="1" t="s">
        <v>5440</v>
      </c>
    </row>
    <row r="611" spans="1:16" ht="33.4" x14ac:dyDescent="0.3">
      <c r="A611" s="6" t="str">
        <f>HYPERLINK("https://www.ti.com/product/UCC27444-Q1", "UCC27444-Q1")</f>
        <v>UCC27444-Q1</v>
      </c>
      <c r="B611" s="5" t="s">
        <v>5441</v>
      </c>
      <c r="C611" s="6" t="str">
        <f>HYPERLINK("https://www.ti.com/lit/gpn/UCC27444-Q1", "PDF")</f>
        <v>PDF</v>
      </c>
      <c r="D611" s="5" t="s">
        <v>5442</v>
      </c>
      <c r="E611" s="5" t="s">
        <v>5443</v>
      </c>
      <c r="F611" s="5"/>
      <c r="G611" s="5" t="s">
        <v>5444</v>
      </c>
      <c r="H611" s="1" t="s">
        <v>5445</v>
      </c>
      <c r="I611" s="5" t="s">
        <v>5446</v>
      </c>
      <c r="J611" s="7">
        <v>8</v>
      </c>
      <c r="K611" s="7" t="s">
        <v>5447</v>
      </c>
      <c r="L611" s="5" t="s">
        <v>5448</v>
      </c>
      <c r="M611" s="7" t="s">
        <v>5449</v>
      </c>
      <c r="N611" s="7" t="s">
        <v>5450</v>
      </c>
      <c r="O611" s="7">
        <v>0.46500000000000002</v>
      </c>
      <c r="P611" s="1" t="s">
        <v>5451</v>
      </c>
    </row>
    <row r="612" spans="1:16" ht="33.4" x14ac:dyDescent="0.3">
      <c r="A612" s="6" t="str">
        <f>HYPERLINK("https://www.ti.com/product/LMR51610", "LMR51610")</f>
        <v>LMR51610</v>
      </c>
      <c r="B612" s="5" t="s">
        <v>5452</v>
      </c>
      <c r="C612" s="6" t="str">
        <f>HYPERLINK("https://www.ti.com/lit/gpn/LMR51610", "PDF")</f>
        <v>PDF</v>
      </c>
      <c r="D612" s="5" t="s">
        <v>5453</v>
      </c>
      <c r="E612" s="5" t="s">
        <v>5454</v>
      </c>
      <c r="F612" s="5" t="s">
        <v>5455</v>
      </c>
      <c r="G612" s="5" t="s">
        <v>5456</v>
      </c>
      <c r="H612" s="1" t="s">
        <v>5457</v>
      </c>
      <c r="I612" s="5" t="s">
        <v>5458</v>
      </c>
      <c r="J612" s="7">
        <v>6</v>
      </c>
      <c r="K612" s="7">
        <v>8.1199999999999992</v>
      </c>
      <c r="L612" s="5" t="s">
        <v>5459</v>
      </c>
      <c r="M612" s="7">
        <v>1.45</v>
      </c>
      <c r="N612" s="7">
        <v>0.95</v>
      </c>
      <c r="O612" s="7">
        <v>0.51800000000000002</v>
      </c>
      <c r="P612" s="1" t="s">
        <v>5460</v>
      </c>
    </row>
    <row r="613" spans="1:16" ht="33.4" x14ac:dyDescent="0.3">
      <c r="A613" s="6" t="str">
        <f>HYPERLINK("https://www.ti.com/product/TPS53689T", "TPS53689T")</f>
        <v>TPS53689T</v>
      </c>
      <c r="B613" s="5" t="s">
        <v>5461</v>
      </c>
      <c r="C613" s="6" t="str">
        <f>HYPERLINK("https://www.ti.com/lit/gpn/TPS53689T", "PDF")</f>
        <v>PDF</v>
      </c>
      <c r="D613" s="5" t="s">
        <v>5462</v>
      </c>
      <c r="E613" s="5" t="s">
        <v>5463</v>
      </c>
      <c r="F613" s="5" t="s">
        <v>5464</v>
      </c>
      <c r="G613" s="5" t="s">
        <v>5465</v>
      </c>
      <c r="H613" s="1" t="s">
        <v>5466</v>
      </c>
      <c r="I613" s="5" t="s">
        <v>5467</v>
      </c>
      <c r="J613" s="7">
        <v>40</v>
      </c>
      <c r="K613" s="7">
        <v>25</v>
      </c>
      <c r="L613" s="5" t="s">
        <v>5468</v>
      </c>
      <c r="M613" s="7">
        <v>0.8</v>
      </c>
      <c r="N613" s="7">
        <v>0.4</v>
      </c>
      <c r="O613" s="7">
        <v>2.52</v>
      </c>
      <c r="P613" s="1" t="s">
        <v>5469</v>
      </c>
    </row>
    <row r="614" spans="1:16" ht="33.4" x14ac:dyDescent="0.3">
      <c r="A614" s="6" t="str">
        <f>HYPERLINK("https://www.ti.com/product/TPS25948", "TPS25948")</f>
        <v>TPS25948</v>
      </c>
      <c r="B614" s="5" t="s">
        <v>5470</v>
      </c>
      <c r="C614" s="6" t="str">
        <f>HYPERLINK("https://www.ti.com/lit/gpn/TPS25948", "PDF")</f>
        <v>PDF</v>
      </c>
      <c r="D614" s="5" t="s">
        <v>5471</v>
      </c>
      <c r="E614" s="5" t="s">
        <v>5472</v>
      </c>
      <c r="F614" s="5"/>
      <c r="G614" s="5" t="s">
        <v>5473</v>
      </c>
      <c r="H614" s="1" t="s">
        <v>5474</v>
      </c>
      <c r="I614" s="5" t="s">
        <v>5475</v>
      </c>
      <c r="J614" s="7">
        <v>12</v>
      </c>
      <c r="K614" s="7" t="s">
        <v>5476</v>
      </c>
      <c r="L614" s="5" t="s">
        <v>5477</v>
      </c>
      <c r="M614" s="7" t="s">
        <v>5478</v>
      </c>
      <c r="N614" s="7" t="s">
        <v>5479</v>
      </c>
      <c r="O614" s="7">
        <v>0.46</v>
      </c>
      <c r="P614" s="1" t="s">
        <v>5480</v>
      </c>
    </row>
    <row r="615" spans="1:16" ht="33.4" x14ac:dyDescent="0.3">
      <c r="A615" s="6" t="str">
        <f>HYPERLINK("https://www.ti.com/product/TPS536C9T", "TPS536C9T")</f>
        <v>TPS536C9T</v>
      </c>
      <c r="B615" s="5" t="s">
        <v>5481</v>
      </c>
      <c r="C615" s="6" t="str">
        <f>HYPERLINK("https://www.ti.com/lit/gpn/TPS536C9T", "PDF")</f>
        <v>PDF</v>
      </c>
      <c r="D615" s="5" t="s">
        <v>5482</v>
      </c>
      <c r="E615" s="5" t="s">
        <v>5483</v>
      </c>
      <c r="F615" s="5" t="s">
        <v>5484</v>
      </c>
      <c r="G615" s="5" t="s">
        <v>5485</v>
      </c>
      <c r="H615" s="1" t="s">
        <v>5486</v>
      </c>
      <c r="I615" s="5" t="s">
        <v>5487</v>
      </c>
      <c r="J615" s="7">
        <v>48</v>
      </c>
      <c r="K615" s="7">
        <v>36</v>
      </c>
      <c r="L615" s="5" t="s">
        <v>5488</v>
      </c>
      <c r="M615" s="7">
        <v>1</v>
      </c>
      <c r="N615" s="7">
        <v>0.4</v>
      </c>
      <c r="O615" s="7">
        <v>3.15</v>
      </c>
      <c r="P615" s="1" t="s">
        <v>5489</v>
      </c>
    </row>
    <row r="616" spans="1:16" ht="33.4" x14ac:dyDescent="0.3">
      <c r="A616" s="6" t="str">
        <f>HYPERLINK("https://www.ti.com/product/LM2005", "LM2005")</f>
        <v>LM2005</v>
      </c>
      <c r="B616" s="5" t="s">
        <v>5490</v>
      </c>
      <c r="C616" s="6" t="str">
        <f>HYPERLINK("https://www.ti.com/lit/gpn/LM2005", "PDF")</f>
        <v>PDF</v>
      </c>
      <c r="D616" s="5" t="s">
        <v>5491</v>
      </c>
      <c r="E616" s="5" t="s">
        <v>5492</v>
      </c>
      <c r="F616" s="5"/>
      <c r="G616" s="5" t="s">
        <v>5493</v>
      </c>
      <c r="H616" s="1" t="s">
        <v>5494</v>
      </c>
      <c r="I616" s="5" t="s">
        <v>5495</v>
      </c>
      <c r="J616" s="7">
        <v>8</v>
      </c>
      <c r="K616" s="7" t="s">
        <v>5496</v>
      </c>
      <c r="L616" s="5" t="s">
        <v>5497</v>
      </c>
      <c r="M616" s="7" t="s">
        <v>5498</v>
      </c>
      <c r="N616" s="7" t="s">
        <v>5499</v>
      </c>
      <c r="O616" s="7">
        <v>0.30299999999999999</v>
      </c>
      <c r="P616" s="1" t="s">
        <v>5500</v>
      </c>
    </row>
    <row r="617" spans="1:16" ht="33.4" x14ac:dyDescent="0.3">
      <c r="A617" s="6" t="str">
        <f>HYPERLINK("https://www.ti.com/product/LM2101", "LM2101")</f>
        <v>LM2101</v>
      </c>
      <c r="B617" s="5" t="s">
        <v>5501</v>
      </c>
      <c r="C617" s="6" t="str">
        <f>HYPERLINK("https://www.ti.com/lit/gpn/LM2101", "PDF")</f>
        <v>PDF</v>
      </c>
      <c r="D617" s="5" t="s">
        <v>5502</v>
      </c>
      <c r="E617" s="5" t="s">
        <v>5503</v>
      </c>
      <c r="F617" s="5"/>
      <c r="G617" s="5" t="s">
        <v>5504</v>
      </c>
      <c r="H617" s="1" t="s">
        <v>5505</v>
      </c>
      <c r="I617" s="5" t="s">
        <v>5506</v>
      </c>
      <c r="J617" s="7">
        <v>8</v>
      </c>
      <c r="K617" s="7" t="s">
        <v>5507</v>
      </c>
      <c r="L617" s="5" t="s">
        <v>5508</v>
      </c>
      <c r="M617" s="7" t="s">
        <v>5509</v>
      </c>
      <c r="N617" s="7" t="s">
        <v>5510</v>
      </c>
      <c r="O617" s="7">
        <v>0.26100000000000001</v>
      </c>
      <c r="P617" s="1" t="s">
        <v>5511</v>
      </c>
    </row>
    <row r="618" spans="1:16" ht="33.4" x14ac:dyDescent="0.3">
      <c r="A618" s="6" t="str">
        <f>HYPERLINK("https://www.ti.com/product/LMG3522R050", "LMG3522R050")</f>
        <v>LMG3522R050</v>
      </c>
      <c r="B618" s="5" t="s">
        <v>5512</v>
      </c>
      <c r="C618" s="6" t="str">
        <f>HYPERLINK("https://www.ti.com/lit/gpn/LMG3522R050", "PDF")</f>
        <v>PDF</v>
      </c>
      <c r="D618" s="5" t="s">
        <v>5513</v>
      </c>
      <c r="E618" s="5" t="s">
        <v>5514</v>
      </c>
      <c r="F618" s="5"/>
      <c r="G618" s="5" t="s">
        <v>5515</v>
      </c>
      <c r="H618" s="1" t="s">
        <v>5516</v>
      </c>
      <c r="I618" s="5" t="s">
        <v>5517</v>
      </c>
      <c r="J618" s="7">
        <v>52</v>
      </c>
      <c r="K618" s="7">
        <v>144</v>
      </c>
      <c r="L618" s="5" t="s">
        <v>5518</v>
      </c>
      <c r="M618" s="7">
        <v>1</v>
      </c>
      <c r="N618" s="7">
        <v>0.65</v>
      </c>
      <c r="O618" s="7">
        <v>7.92</v>
      </c>
      <c r="P618" s="1" t="s">
        <v>5519</v>
      </c>
    </row>
    <row r="619" spans="1:16" ht="33.4" x14ac:dyDescent="0.3">
      <c r="A619" s="6" t="str">
        <f>HYPERLINK("https://www.ti.com/product/LMG3526R050", "LMG3526R050")</f>
        <v>LMG3526R050</v>
      </c>
      <c r="B619" s="5" t="s">
        <v>5520</v>
      </c>
      <c r="C619" s="6" t="str">
        <f>HYPERLINK("https://www.ti.com/lit/gpn/LMG3526R050", "PDF")</f>
        <v>PDF</v>
      </c>
      <c r="D619" s="5" t="s">
        <v>5521</v>
      </c>
      <c r="E619" s="5" t="s">
        <v>5522</v>
      </c>
      <c r="F619" s="5"/>
      <c r="G619" s="5" t="s">
        <v>5523</v>
      </c>
      <c r="H619" s="1" t="s">
        <v>5524</v>
      </c>
      <c r="I619" s="5" t="s">
        <v>5525</v>
      </c>
      <c r="J619" s="7">
        <v>52</v>
      </c>
      <c r="K619" s="7">
        <v>144</v>
      </c>
      <c r="L619" s="5" t="s">
        <v>5526</v>
      </c>
      <c r="M619" s="7">
        <v>1</v>
      </c>
      <c r="N619" s="7">
        <v>0.65</v>
      </c>
      <c r="O619" s="7">
        <v>7.92</v>
      </c>
      <c r="P619" s="1" t="s">
        <v>5527</v>
      </c>
    </row>
    <row r="620" spans="1:16" ht="33.4" x14ac:dyDescent="0.3">
      <c r="A620" s="6" t="str">
        <f>HYPERLINK("https://www.ti.com/product/TPS51385", "TPS51385")</f>
        <v>TPS51385</v>
      </c>
      <c r="B620" s="5" t="s">
        <v>5528</v>
      </c>
      <c r="C620" s="6" t="str">
        <f>HYPERLINK("https://www.ti.com/lit/gpn/TPS51385", "PDF")</f>
        <v>PDF</v>
      </c>
      <c r="D620" s="5" t="s">
        <v>5529</v>
      </c>
      <c r="E620" s="5" t="s">
        <v>5530</v>
      </c>
      <c r="F620" s="5" t="s">
        <v>5531</v>
      </c>
      <c r="G620" s="5" t="s">
        <v>5532</v>
      </c>
      <c r="H620" s="1" t="s">
        <v>5533</v>
      </c>
      <c r="I620" s="5" t="s">
        <v>5534</v>
      </c>
      <c r="J620" s="7">
        <v>12</v>
      </c>
      <c r="K620" s="7">
        <v>6</v>
      </c>
      <c r="L620" s="5" t="s">
        <v>5535</v>
      </c>
      <c r="M620" s="7">
        <v>1</v>
      </c>
      <c r="N620" s="7">
        <v>0.5</v>
      </c>
      <c r="O620" s="7">
        <v>0.36199999999999999</v>
      </c>
      <c r="P620" s="1" t="s">
        <v>5536</v>
      </c>
    </row>
    <row r="621" spans="1:16" ht="33.4" x14ac:dyDescent="0.3">
      <c r="A621" s="6" t="str">
        <f>HYPERLINK("https://www.ti.com/product/UCC23113", "UCC23113")</f>
        <v>UCC23113</v>
      </c>
      <c r="B621" s="5" t="s">
        <v>5537</v>
      </c>
      <c r="C621" s="6" t="str">
        <f>HYPERLINK("https://www.ti.com/lit/gpn/UCC23113", "PDF")</f>
        <v>PDF</v>
      </c>
      <c r="D621" s="5" t="s">
        <v>5538</v>
      </c>
      <c r="E621" s="5" t="s">
        <v>5539</v>
      </c>
      <c r="F621" s="5"/>
      <c r="G621" s="5" t="s">
        <v>5540</v>
      </c>
      <c r="H621" s="1" t="s">
        <v>5541</v>
      </c>
      <c r="I621" s="5" t="s">
        <v>5542</v>
      </c>
      <c r="J621" s="7">
        <v>6</v>
      </c>
      <c r="K621" s="7">
        <v>53.82</v>
      </c>
      <c r="L621" s="5" t="s">
        <v>5543</v>
      </c>
      <c r="M621" s="7">
        <v>3.43</v>
      </c>
      <c r="N621" s="7">
        <v>1.27</v>
      </c>
      <c r="O621" s="7">
        <v>0.253</v>
      </c>
      <c r="P621" s="1" t="s">
        <v>5544</v>
      </c>
    </row>
    <row r="622" spans="1:16" ht="33.4" x14ac:dyDescent="0.3">
      <c r="A622" s="6" t="str">
        <f>HYPERLINK("https://www.ti.com/product/TPS2117", "TPS2117")</f>
        <v>TPS2117</v>
      </c>
      <c r="B622" s="5" t="s">
        <v>5545</v>
      </c>
      <c r="C622" s="6" t="str">
        <f>HYPERLINK("https://www.ti.com/lit/gpn/TPS2117", "PDF")</f>
        <v>PDF</v>
      </c>
      <c r="D622" s="5" t="s">
        <v>5546</v>
      </c>
      <c r="E622" s="5" t="s">
        <v>5547</v>
      </c>
      <c r="F622" s="5"/>
      <c r="G622" s="5" t="s">
        <v>5548</v>
      </c>
      <c r="H622" s="1" t="s">
        <v>5549</v>
      </c>
      <c r="I622" s="5" t="s">
        <v>5550</v>
      </c>
      <c r="J622" s="7">
        <v>8</v>
      </c>
      <c r="K622" s="7">
        <v>3.36</v>
      </c>
      <c r="L622" s="5" t="s">
        <v>5551</v>
      </c>
      <c r="M622" s="7">
        <v>0.6</v>
      </c>
      <c r="N622" s="7">
        <v>0.5</v>
      </c>
      <c r="O622" s="7">
        <v>0.46500000000000002</v>
      </c>
      <c r="P622" s="1" t="s">
        <v>5552</v>
      </c>
    </row>
    <row r="623" spans="1:16" ht="33.4" x14ac:dyDescent="0.3">
      <c r="A623" s="6" t="str">
        <f>HYPERLINK("https://www.ti.com/product/TPS552872", "TPS552872")</f>
        <v>TPS552872</v>
      </c>
      <c r="B623" s="5" t="s">
        <v>5553</v>
      </c>
      <c r="C623" s="6" t="str">
        <f>HYPERLINK("https://www.ti.com/lit/gpn/TPS552872", "PDF")</f>
        <v>PDF</v>
      </c>
      <c r="D623" s="5" t="s">
        <v>5554</v>
      </c>
      <c r="E623" s="5" t="s">
        <v>5555</v>
      </c>
      <c r="F623" s="5" t="s">
        <v>5556</v>
      </c>
      <c r="G623" s="5" t="s">
        <v>5557</v>
      </c>
      <c r="H623" s="1" t="s">
        <v>5558</v>
      </c>
      <c r="I623" s="5" t="s">
        <v>5559</v>
      </c>
      <c r="J623" s="7">
        <v>21</v>
      </c>
      <c r="K623" s="7">
        <v>15</v>
      </c>
      <c r="L623" s="5" t="s">
        <v>5560</v>
      </c>
      <c r="M623" s="7">
        <v>1</v>
      </c>
      <c r="N623" s="7">
        <v>0.5</v>
      </c>
      <c r="O623" s="7">
        <v>1.9550000000000001</v>
      </c>
      <c r="P623" s="1" t="s">
        <v>5561</v>
      </c>
    </row>
    <row r="624" spans="1:16" ht="33.4" x14ac:dyDescent="0.3">
      <c r="A624" s="6" t="str">
        <f>HYPERLINK("https://www.ti.com/product/TPS552872-Q1", "TPS552872-Q1")</f>
        <v>TPS552872-Q1</v>
      </c>
      <c r="B624" s="5" t="s">
        <v>5562</v>
      </c>
      <c r="C624" s="6" t="str">
        <f>HYPERLINK("https://www.ti.com/lit/gpn/TPS552872-Q1", "PDF")</f>
        <v>PDF</v>
      </c>
      <c r="D624" s="5" t="s">
        <v>5563</v>
      </c>
      <c r="E624" s="5" t="s">
        <v>5564</v>
      </c>
      <c r="F624" s="5" t="s">
        <v>5565</v>
      </c>
      <c r="G624" s="5" t="s">
        <v>5566</v>
      </c>
      <c r="H624" s="1" t="s">
        <v>5567</v>
      </c>
      <c r="I624" s="5" t="s">
        <v>5568</v>
      </c>
      <c r="J624" s="7">
        <v>21</v>
      </c>
      <c r="K624" s="7">
        <v>15</v>
      </c>
      <c r="L624" s="5" t="s">
        <v>5569</v>
      </c>
      <c r="M624" s="7">
        <v>1</v>
      </c>
      <c r="N624" s="7">
        <v>0.5</v>
      </c>
      <c r="O624" s="7">
        <v>2.4729999999999999</v>
      </c>
      <c r="P624" s="1" t="s">
        <v>5570</v>
      </c>
    </row>
    <row r="625" spans="1:16" ht="33.4" x14ac:dyDescent="0.3">
      <c r="A625" s="6" t="str">
        <f>HYPERLINK("https://www.ti.com/product/TPS631011", "TPS631011")</f>
        <v>TPS631011</v>
      </c>
      <c r="B625" s="5" t="s">
        <v>5571</v>
      </c>
      <c r="C625" s="6" t="str">
        <f>HYPERLINK("https://www.ti.com/lit/gpn/TPS631011", "PDF")</f>
        <v>PDF</v>
      </c>
      <c r="D625" s="5" t="s">
        <v>5572</v>
      </c>
      <c r="E625" s="5" t="s">
        <v>5573</v>
      </c>
      <c r="F625" s="5" t="s">
        <v>5574</v>
      </c>
      <c r="G625" s="5" t="s">
        <v>5575</v>
      </c>
      <c r="H625" s="1" t="s">
        <v>5576</v>
      </c>
      <c r="I625" s="5" t="s">
        <v>5577</v>
      </c>
      <c r="J625" s="7">
        <v>8</v>
      </c>
      <c r="K625" s="7">
        <v>1.7526889999999999</v>
      </c>
      <c r="L625" s="5" t="s">
        <v>5578</v>
      </c>
      <c r="M625" s="7">
        <v>0.5</v>
      </c>
      <c r="N625" s="7">
        <v>0.4</v>
      </c>
      <c r="O625" s="7">
        <v>0.51800000000000002</v>
      </c>
      <c r="P625" s="1" t="s">
        <v>5579</v>
      </c>
    </row>
    <row r="626" spans="1:16" ht="33.4" x14ac:dyDescent="0.3">
      <c r="A626" s="6" t="str">
        <f>HYPERLINK("https://www.ti.com/product/TPS92621-Q1", "TPS92621-Q1")</f>
        <v>TPS92621-Q1</v>
      </c>
      <c r="B626" s="5" t="s">
        <v>5580</v>
      </c>
      <c r="C626" s="6" t="str">
        <f>HYPERLINK("https://www.ti.com/lit/gpn/TPS92621-Q1", "PDF")</f>
        <v>PDF</v>
      </c>
      <c r="D626" s="5" t="s">
        <v>5581</v>
      </c>
      <c r="E626" s="5" t="s">
        <v>5582</v>
      </c>
      <c r="F626" s="5" t="s">
        <v>5583</v>
      </c>
      <c r="G626" s="5" t="s">
        <v>5584</v>
      </c>
      <c r="H626" s="1" t="s">
        <v>5585</v>
      </c>
      <c r="I626" s="5" t="s">
        <v>5586</v>
      </c>
      <c r="J626" s="7">
        <v>8</v>
      </c>
      <c r="K626" s="7">
        <v>14.7</v>
      </c>
      <c r="L626" s="5" t="s">
        <v>5587</v>
      </c>
      <c r="M626" s="7">
        <v>1.1000000000000001</v>
      </c>
      <c r="N626" s="7">
        <v>0.65</v>
      </c>
      <c r="O626" s="7">
        <v>0.88900000000000001</v>
      </c>
      <c r="P626" s="1" t="s">
        <v>5588</v>
      </c>
    </row>
    <row r="627" spans="1:16" ht="33.4" x14ac:dyDescent="0.3">
      <c r="A627" s="6" t="str">
        <f>HYPERLINK("https://www.ti.com/product/LM2103", "LM2103")</f>
        <v>LM2103</v>
      </c>
      <c r="B627" s="5" t="s">
        <v>5589</v>
      </c>
      <c r="C627" s="6" t="str">
        <f>HYPERLINK("https://www.ti.com/lit/gpn/LM2103", "PDF")</f>
        <v>PDF</v>
      </c>
      <c r="D627" s="5" t="s">
        <v>5590</v>
      </c>
      <c r="E627" s="5" t="s">
        <v>5591</v>
      </c>
      <c r="F627" s="5"/>
      <c r="G627" s="5" t="s">
        <v>5592</v>
      </c>
      <c r="H627" s="1" t="s">
        <v>5593</v>
      </c>
      <c r="I627" s="5" t="s">
        <v>5594</v>
      </c>
      <c r="J627" s="7">
        <v>8</v>
      </c>
      <c r="K627" s="7">
        <v>29.4</v>
      </c>
      <c r="L627" s="5" t="s">
        <v>5595</v>
      </c>
      <c r="M627" s="7">
        <v>1.75</v>
      </c>
      <c r="N627" s="7">
        <v>1.27</v>
      </c>
      <c r="O627" s="7">
        <v>0.26100000000000001</v>
      </c>
      <c r="P627" s="1" t="s">
        <v>5596</v>
      </c>
    </row>
    <row r="628" spans="1:16" ht="33.4" x14ac:dyDescent="0.3">
      <c r="A628" s="6" t="str">
        <f>HYPERLINK("https://www.ti.com/product/LV5144", "LV5144")</f>
        <v>LV5144</v>
      </c>
      <c r="B628" s="5" t="s">
        <v>5597</v>
      </c>
      <c r="C628" s="6" t="str">
        <f>HYPERLINK("https://www.ti.com/lit/gpn/LV5144", "PDF")</f>
        <v>PDF</v>
      </c>
      <c r="D628" s="5" t="s">
        <v>5598</v>
      </c>
      <c r="E628" s="5" t="s">
        <v>5599</v>
      </c>
      <c r="F628" s="5" t="s">
        <v>5600</v>
      </c>
      <c r="G628" s="5" t="s">
        <v>5601</v>
      </c>
      <c r="H628" s="1" t="s">
        <v>5602</v>
      </c>
      <c r="I628" s="5" t="s">
        <v>5603</v>
      </c>
      <c r="J628" s="7">
        <v>20</v>
      </c>
      <c r="K628" s="7">
        <v>15.75</v>
      </c>
      <c r="L628" s="5" t="s">
        <v>5604</v>
      </c>
      <c r="M628" s="7">
        <v>1</v>
      </c>
      <c r="N628" s="7">
        <v>0.5</v>
      </c>
      <c r="O628" s="7">
        <v>0.44900000000000001</v>
      </c>
      <c r="P628" s="1" t="s">
        <v>5605</v>
      </c>
    </row>
    <row r="629" spans="1:16" ht="33.4" x14ac:dyDescent="0.3">
      <c r="A629" s="6" t="str">
        <f>HYPERLINK("https://www.ti.com/product/TPS61299", "TPS61299")</f>
        <v>TPS61299</v>
      </c>
      <c r="B629" s="5" t="s">
        <v>5606</v>
      </c>
      <c r="C629" s="6" t="str">
        <f>HYPERLINK("https://www.ti.com/lit/gpn/TPS61299", "PDF")</f>
        <v>PDF</v>
      </c>
      <c r="D629" s="5" t="s">
        <v>5607</v>
      </c>
      <c r="E629" s="5" t="s">
        <v>5608</v>
      </c>
      <c r="F629" s="5" t="s">
        <v>5609</v>
      </c>
      <c r="G629" s="5" t="s">
        <v>5610</v>
      </c>
      <c r="H629" s="1" t="s">
        <v>5611</v>
      </c>
      <c r="I629" s="5" t="s">
        <v>5612</v>
      </c>
      <c r="J629" s="7">
        <v>6</v>
      </c>
      <c r="K629" s="7" t="s">
        <v>5613</v>
      </c>
      <c r="L629" s="5" t="s">
        <v>5614</v>
      </c>
      <c r="M629" s="7" t="s">
        <v>5615</v>
      </c>
      <c r="N629" s="7" t="s">
        <v>5616</v>
      </c>
      <c r="O629" s="7">
        <v>1.089</v>
      </c>
      <c r="P629" s="1" t="s">
        <v>5617</v>
      </c>
    </row>
    <row r="630" spans="1:16" ht="33.4" x14ac:dyDescent="0.3">
      <c r="A630" s="6" t="str">
        <f>HYPERLINK("https://www.ti.com/product/TPSM843A22E", "TPSM843A22E")</f>
        <v>TPSM843A22E</v>
      </c>
      <c r="B630" s="5" t="s">
        <v>5618</v>
      </c>
      <c r="C630" s="6" t="str">
        <f>HYPERLINK("https://www.ti.com/lit/gpn/TPSM843A22E", "PDF")</f>
        <v>PDF</v>
      </c>
      <c r="D630" s="5" t="s">
        <v>5619</v>
      </c>
      <c r="E630" s="5" t="s">
        <v>5620</v>
      </c>
      <c r="F630" s="5" t="s">
        <v>5621</v>
      </c>
      <c r="G630" s="5" t="s">
        <v>5622</v>
      </c>
      <c r="H630" s="1" t="s">
        <v>5623</v>
      </c>
      <c r="I630" s="5" t="s">
        <v>5624</v>
      </c>
      <c r="J630" s="7">
        <v>25</v>
      </c>
      <c r="K630" s="7">
        <v>48.75</v>
      </c>
      <c r="L630" s="5" t="s">
        <v>5625</v>
      </c>
      <c r="M630" s="7">
        <v>4.0999999999999996</v>
      </c>
      <c r="N630" s="7">
        <v>0.65</v>
      </c>
      <c r="O630" s="7">
        <v>21</v>
      </c>
      <c r="P630" s="1" t="s">
        <v>5626</v>
      </c>
    </row>
    <row r="631" spans="1:16" ht="33.4" x14ac:dyDescent="0.3">
      <c r="A631" s="6" t="str">
        <f>HYPERLINK("https://www.ti.com/product/TPSM843A26E", "TPSM843A26E")</f>
        <v>TPSM843A26E</v>
      </c>
      <c r="B631" s="5" t="s">
        <v>5627</v>
      </c>
      <c r="C631" s="6" t="str">
        <f>HYPERLINK("https://www.ti.com/lit/gpn/TPSM843A26E", "PDF")</f>
        <v>PDF</v>
      </c>
      <c r="D631" s="5" t="s">
        <v>5628</v>
      </c>
      <c r="E631" s="5" t="s">
        <v>5629</v>
      </c>
      <c r="F631" s="5" t="s">
        <v>5630</v>
      </c>
      <c r="G631" s="5" t="s">
        <v>5631</v>
      </c>
      <c r="H631" s="1" t="s">
        <v>5632</v>
      </c>
      <c r="I631" s="5" t="s">
        <v>5633</v>
      </c>
      <c r="J631" s="7">
        <v>25</v>
      </c>
      <c r="K631" s="7">
        <v>48.75</v>
      </c>
      <c r="L631" s="5" t="s">
        <v>5634</v>
      </c>
      <c r="M631" s="7">
        <v>4.0999999999999996</v>
      </c>
      <c r="N631" s="7">
        <v>0.65</v>
      </c>
      <c r="O631" s="7">
        <v>25</v>
      </c>
      <c r="P631" s="1" t="s">
        <v>5635</v>
      </c>
    </row>
    <row r="632" spans="1:16" ht="33.4" x14ac:dyDescent="0.3">
      <c r="A632" s="6" t="str">
        <f>HYPERLINK("https://www.ti.com/product/TPSM843B22E", "TPSM843B22E")</f>
        <v>TPSM843B22E</v>
      </c>
      <c r="B632" s="5" t="s">
        <v>5636</v>
      </c>
      <c r="C632" s="6" t="str">
        <f>HYPERLINK("https://www.ti.com/lit/gpn/TPSM843B22E", "PDF")</f>
        <v>PDF</v>
      </c>
      <c r="D632" s="5" t="s">
        <v>5637</v>
      </c>
      <c r="E632" s="5" t="s">
        <v>5638</v>
      </c>
      <c r="F632" s="5" t="s">
        <v>5639</v>
      </c>
      <c r="G632" s="5" t="s">
        <v>5640</v>
      </c>
      <c r="H632" s="1" t="s">
        <v>5641</v>
      </c>
      <c r="I632" s="5" t="s">
        <v>5642</v>
      </c>
      <c r="J632" s="7">
        <v>25</v>
      </c>
      <c r="K632" s="7">
        <v>48.75</v>
      </c>
      <c r="L632" s="5" t="s">
        <v>5643</v>
      </c>
      <c r="M632" s="7">
        <v>4.0999999999999996</v>
      </c>
      <c r="N632" s="7">
        <v>0.65</v>
      </c>
      <c r="O632" s="7">
        <v>32</v>
      </c>
      <c r="P632" s="1" t="s">
        <v>5644</v>
      </c>
    </row>
    <row r="633" spans="1:16" ht="49.75" x14ac:dyDescent="0.3">
      <c r="A633" s="6" t="str">
        <f>HYPERLINK("https://www.ti.com/product/TPS7B4255-Q1", "TPS7B4255-Q1")</f>
        <v>TPS7B4255-Q1</v>
      </c>
      <c r="B633" s="5" t="s">
        <v>5645</v>
      </c>
      <c r="C633" s="6" t="str">
        <f>HYPERLINK("https://www.ti.com/lit/gpn/TPS7B4255-Q1", "PDF")</f>
        <v>PDF</v>
      </c>
      <c r="D633" s="5" t="s">
        <v>5646</v>
      </c>
      <c r="E633" s="5" t="s">
        <v>5647</v>
      </c>
      <c r="F633" s="5"/>
      <c r="G633" s="5" t="s">
        <v>5648</v>
      </c>
      <c r="H633" s="1" t="s">
        <v>5649</v>
      </c>
      <c r="I633" s="5" t="s">
        <v>5650</v>
      </c>
      <c r="J633" s="7">
        <v>5</v>
      </c>
      <c r="K633" s="7" t="s">
        <v>5651</v>
      </c>
      <c r="L633" s="5" t="s">
        <v>5652</v>
      </c>
      <c r="M633" s="7" t="s">
        <v>5653</v>
      </c>
      <c r="N633" s="7">
        <v>0.95</v>
      </c>
      <c r="O633" s="7">
        <v>0.36199999999999999</v>
      </c>
      <c r="P633" s="1" t="s">
        <v>5654</v>
      </c>
    </row>
    <row r="634" spans="1:16" ht="33.4" x14ac:dyDescent="0.3">
      <c r="A634" s="6" t="str">
        <f>HYPERLINK("https://www.ti.com/product/TPSM843A22", "TPSM843A22")</f>
        <v>TPSM843A22</v>
      </c>
      <c r="B634" s="5" t="s">
        <v>5655</v>
      </c>
      <c r="C634" s="6" t="str">
        <f>HYPERLINK("https://www.ti.com/lit/gpn/TPSM843A22", "PDF")</f>
        <v>PDF</v>
      </c>
      <c r="D634" s="5" t="s">
        <v>5656</v>
      </c>
      <c r="E634" s="5" t="s">
        <v>5657</v>
      </c>
      <c r="F634" s="5" t="s">
        <v>5658</v>
      </c>
      <c r="G634" s="5" t="s">
        <v>5659</v>
      </c>
      <c r="H634" s="1" t="s">
        <v>5660</v>
      </c>
      <c r="I634" s="5" t="s">
        <v>5661</v>
      </c>
      <c r="J634" s="7">
        <v>25</v>
      </c>
      <c r="K634" s="7">
        <v>48.75</v>
      </c>
      <c r="L634" s="5" t="s">
        <v>5662</v>
      </c>
      <c r="M634" s="7">
        <v>4.0999999999999996</v>
      </c>
      <c r="N634" s="7">
        <v>0.65</v>
      </c>
      <c r="O634" s="7">
        <v>10.35</v>
      </c>
      <c r="P634" s="1" t="s">
        <v>5663</v>
      </c>
    </row>
    <row r="635" spans="1:16" ht="33.4" x14ac:dyDescent="0.3">
      <c r="A635" s="6" t="str">
        <f>HYPERLINK("https://www.ti.com/product/TPS61280E", "TPS61280E")</f>
        <v>TPS61280E</v>
      </c>
      <c r="B635" s="5" t="s">
        <v>5664</v>
      </c>
      <c r="C635" s="6" t="str">
        <f>HYPERLINK("https://www.ti.com/lit/gpn/TPS61280E", "PDF")</f>
        <v>PDF</v>
      </c>
      <c r="D635" s="5" t="s">
        <v>5665</v>
      </c>
      <c r="E635" s="5" t="s">
        <v>5666</v>
      </c>
      <c r="F635" s="5" t="s">
        <v>5667</v>
      </c>
      <c r="G635" s="5" t="s">
        <v>5668</v>
      </c>
      <c r="H635" s="1" t="s">
        <v>5669</v>
      </c>
      <c r="I635" s="5" t="s">
        <v>5670</v>
      </c>
      <c r="J635" s="7">
        <v>16</v>
      </c>
      <c r="K635" s="7">
        <v>3.24</v>
      </c>
      <c r="L635" s="5" t="s">
        <v>5671</v>
      </c>
      <c r="M635" s="7">
        <v>0.625</v>
      </c>
      <c r="N635" s="7">
        <v>0.4</v>
      </c>
      <c r="O635" s="7">
        <v>0.53100000000000003</v>
      </c>
      <c r="P635" s="1" t="s">
        <v>5672</v>
      </c>
    </row>
    <row r="636" spans="1:16" ht="33.4" x14ac:dyDescent="0.3">
      <c r="A636" s="6" t="str">
        <f>HYPERLINK("https://www.ti.com/product/REF35-Q1", "REF35-Q1")</f>
        <v>REF35-Q1</v>
      </c>
      <c r="B636" s="5" t="s">
        <v>5673</v>
      </c>
      <c r="C636" s="6" t="str">
        <f>HYPERLINK("https://www.ti.com/lit/gpn/REF35-Q1", "PDF")</f>
        <v>PDF</v>
      </c>
      <c r="D636" s="5" t="s">
        <v>5674</v>
      </c>
      <c r="E636" s="5" t="s">
        <v>5675</v>
      </c>
      <c r="F636" s="5"/>
      <c r="G636" s="5" t="s">
        <v>5676</v>
      </c>
      <c r="H636" s="1" t="s">
        <v>5677</v>
      </c>
      <c r="I636" s="5" t="s">
        <v>5678</v>
      </c>
      <c r="J636" s="7">
        <v>6</v>
      </c>
      <c r="K636" s="7">
        <v>8.1199999999999992</v>
      </c>
      <c r="L636" s="5" t="s">
        <v>5679</v>
      </c>
      <c r="M636" s="7">
        <v>1.45</v>
      </c>
      <c r="N636" s="7">
        <v>0.95</v>
      </c>
      <c r="O636" s="7">
        <v>0.94799999999999995</v>
      </c>
      <c r="P636" s="1" t="s">
        <v>5680</v>
      </c>
    </row>
    <row r="637" spans="1:16" ht="33.4" x14ac:dyDescent="0.3">
      <c r="A637" s="6" t="str">
        <f>HYPERLINK("https://www.ti.com/product/LP5860T", "LP5860T")</f>
        <v>LP5860T</v>
      </c>
      <c r="B637" s="5" t="s">
        <v>5681</v>
      </c>
      <c r="C637" s="6" t="str">
        <f>HYPERLINK("https://www.ti.com/lit/gpn/LP5860T", "PDF")</f>
        <v>PDF</v>
      </c>
      <c r="D637" s="5" t="s">
        <v>5682</v>
      </c>
      <c r="E637" s="5" t="s">
        <v>5683</v>
      </c>
      <c r="F637" s="5" t="s">
        <v>5684</v>
      </c>
      <c r="G637" s="5" t="s">
        <v>5685</v>
      </c>
      <c r="H637" s="1" t="s">
        <v>5686</v>
      </c>
      <c r="I637" s="5" t="s">
        <v>5687</v>
      </c>
      <c r="J637" s="7">
        <v>40</v>
      </c>
      <c r="K637" s="7">
        <v>25</v>
      </c>
      <c r="L637" s="5" t="s">
        <v>5688</v>
      </c>
      <c r="M637" s="7">
        <v>1</v>
      </c>
      <c r="N637" s="7">
        <v>0.4</v>
      </c>
      <c r="O637" s="7">
        <v>0.90600000000000003</v>
      </c>
      <c r="P637" s="1" t="s">
        <v>5689</v>
      </c>
    </row>
    <row r="638" spans="1:16" ht="33.4" x14ac:dyDescent="0.3">
      <c r="A638" s="6" t="str">
        <f>HYPERLINK("https://www.ti.com/product/LP5866T", "LP5866T")</f>
        <v>LP5866T</v>
      </c>
      <c r="B638" s="5" t="s">
        <v>5690</v>
      </c>
      <c r="C638" s="6" t="str">
        <f>HYPERLINK("https://www.ti.com/lit/gpn/LP5866T", "PDF")</f>
        <v>PDF</v>
      </c>
      <c r="D638" s="5" t="s">
        <v>5691</v>
      </c>
      <c r="E638" s="5" t="s">
        <v>5692</v>
      </c>
      <c r="F638" s="5" t="s">
        <v>5693</v>
      </c>
      <c r="G638" s="5" t="s">
        <v>5694</v>
      </c>
      <c r="H638" s="1" t="s">
        <v>5695</v>
      </c>
      <c r="I638" s="5" t="s">
        <v>5696</v>
      </c>
      <c r="J638" s="7">
        <v>40</v>
      </c>
      <c r="K638" s="7">
        <v>25</v>
      </c>
      <c r="L638" s="5" t="s">
        <v>5697</v>
      </c>
      <c r="M638" s="7">
        <v>1</v>
      </c>
      <c r="N638" s="7">
        <v>0.4</v>
      </c>
      <c r="O638" s="7">
        <v>0.90600000000000003</v>
      </c>
      <c r="P638" s="1" t="s">
        <v>5698</v>
      </c>
    </row>
    <row r="639" spans="1:16" ht="33.4" x14ac:dyDescent="0.3">
      <c r="A639" s="6" t="str">
        <f>HYPERLINK("https://www.ti.com/product/LP5868T", "LP5868T")</f>
        <v>LP5868T</v>
      </c>
      <c r="B639" s="5" t="s">
        <v>5699</v>
      </c>
      <c r="C639" s="6" t="str">
        <f>HYPERLINK("https://www.ti.com/lit/gpn/LP5868T", "PDF")</f>
        <v>PDF</v>
      </c>
      <c r="D639" s="5" t="s">
        <v>5700</v>
      </c>
      <c r="E639" s="5" t="s">
        <v>5701</v>
      </c>
      <c r="F639" s="5" t="s">
        <v>5702</v>
      </c>
      <c r="G639" s="5" t="s">
        <v>5703</v>
      </c>
      <c r="H639" s="1" t="s">
        <v>5704</v>
      </c>
      <c r="I639" s="5" t="s">
        <v>5705</v>
      </c>
      <c r="J639" s="7">
        <v>40</v>
      </c>
      <c r="K639" s="7">
        <v>25</v>
      </c>
      <c r="L639" s="5" t="s">
        <v>5706</v>
      </c>
      <c r="M639" s="7">
        <v>1</v>
      </c>
      <c r="N639" s="7">
        <v>0.4</v>
      </c>
      <c r="O639" s="7">
        <v>0.90600000000000003</v>
      </c>
      <c r="P639" s="1" t="s">
        <v>5707</v>
      </c>
    </row>
    <row r="640" spans="1:16" ht="33.4" x14ac:dyDescent="0.3">
      <c r="A640" s="6" t="str">
        <f>HYPERLINK("https://www.ti.com/product/TPSM843A26", "TPSM843A26")</f>
        <v>TPSM843A26</v>
      </c>
      <c r="B640" s="5" t="s">
        <v>5708</v>
      </c>
      <c r="C640" s="6" t="str">
        <f>HYPERLINK("https://www.ti.com/lit/gpn/TPSM843A26", "PDF")</f>
        <v>PDF</v>
      </c>
      <c r="D640" s="5" t="s">
        <v>5709</v>
      </c>
      <c r="E640" s="5" t="s">
        <v>5710</v>
      </c>
      <c r="F640" s="5" t="s">
        <v>5711</v>
      </c>
      <c r="G640" s="5" t="s">
        <v>5712</v>
      </c>
      <c r="H640" s="1" t="s">
        <v>5713</v>
      </c>
      <c r="I640" s="5" t="s">
        <v>5714</v>
      </c>
      <c r="J640" s="7">
        <v>25</v>
      </c>
      <c r="K640" s="7">
        <v>48.75</v>
      </c>
      <c r="L640" s="5" t="s">
        <v>5715</v>
      </c>
      <c r="M640" s="7">
        <v>4.0999999999999996</v>
      </c>
      <c r="N640" s="7">
        <v>0.65</v>
      </c>
      <c r="O640" s="7">
        <v>11.5</v>
      </c>
      <c r="P640" s="1" t="s">
        <v>5716</v>
      </c>
    </row>
    <row r="641" spans="1:16" ht="33.4" x14ac:dyDescent="0.3">
      <c r="A641" s="6" t="str">
        <f>HYPERLINK("https://www.ti.com/product/LP5861T", "LP5861T")</f>
        <v>LP5861T</v>
      </c>
      <c r="B641" s="5" t="s">
        <v>5717</v>
      </c>
      <c r="C641" s="6" t="str">
        <f>HYPERLINK("https://www.ti.com/lit/gpn/LP5861T", "PDF")</f>
        <v>PDF</v>
      </c>
      <c r="D641" s="5" t="s">
        <v>5718</v>
      </c>
      <c r="E641" s="5" t="s">
        <v>5719</v>
      </c>
      <c r="F641" s="5" t="s">
        <v>5720</v>
      </c>
      <c r="G641" s="5" t="s">
        <v>5721</v>
      </c>
      <c r="H641" s="1" t="s">
        <v>5722</v>
      </c>
      <c r="I641" s="5" t="s">
        <v>5723</v>
      </c>
      <c r="J641" s="7">
        <v>32</v>
      </c>
      <c r="K641" s="7">
        <v>16</v>
      </c>
      <c r="L641" s="5" t="s">
        <v>5724</v>
      </c>
      <c r="M641" s="7">
        <v>1</v>
      </c>
      <c r="N641" s="7">
        <v>0.4</v>
      </c>
      <c r="O641" s="7">
        <v>0.84</v>
      </c>
      <c r="P641" s="1" t="s">
        <v>5725</v>
      </c>
    </row>
    <row r="642" spans="1:16" ht="82.5" x14ac:dyDescent="0.3">
      <c r="A642" s="6" t="str">
        <f>HYPERLINK("https://www.ti.com/product/TPS61253E", "TPS61253E")</f>
        <v>TPS61253E</v>
      </c>
      <c r="B642" s="5" t="s">
        <v>5726</v>
      </c>
      <c r="C642" s="6" t="str">
        <f>HYPERLINK("https://www.ti.com/lit/gpn/TPS61253E", "PDF")</f>
        <v>PDF</v>
      </c>
      <c r="D642" s="5" t="s">
        <v>5727</v>
      </c>
      <c r="E642" s="5" t="s">
        <v>5728</v>
      </c>
      <c r="F642" s="5" t="s">
        <v>5729</v>
      </c>
      <c r="G642" s="5" t="s">
        <v>5730</v>
      </c>
      <c r="H642" s="1" t="s">
        <v>5731</v>
      </c>
      <c r="I642" s="5" t="s">
        <v>5732</v>
      </c>
      <c r="J642" s="7">
        <v>9</v>
      </c>
      <c r="K642" s="7">
        <v>1.9600000000000002</v>
      </c>
      <c r="L642" s="5" t="s">
        <v>5733</v>
      </c>
      <c r="M642" s="7">
        <v>0.625</v>
      </c>
      <c r="N642" s="7">
        <v>0.4</v>
      </c>
      <c r="O642" s="7">
        <v>0.375</v>
      </c>
      <c r="P642" s="1" t="s">
        <v>5734</v>
      </c>
    </row>
    <row r="643" spans="1:16" ht="33.4" x14ac:dyDescent="0.3">
      <c r="A643" s="6" t="str">
        <f>HYPERLINK("https://www.ti.com/product/TPSM82912", "TPSM82912")</f>
        <v>TPSM82912</v>
      </c>
      <c r="B643" s="5" t="s">
        <v>5735</v>
      </c>
      <c r="C643" s="6" t="str">
        <f>HYPERLINK("https://www.ti.com/lit/gpn/TPSM82912", "PDF")</f>
        <v>PDF</v>
      </c>
      <c r="D643" s="5" t="s">
        <v>5736</v>
      </c>
      <c r="E643" s="5" t="s">
        <v>5737</v>
      </c>
      <c r="F643" s="5" t="s">
        <v>5738</v>
      </c>
      <c r="G643" s="5" t="s">
        <v>5739</v>
      </c>
      <c r="H643" s="1" t="s">
        <v>5740</v>
      </c>
      <c r="I643" s="5" t="s">
        <v>5741</v>
      </c>
      <c r="J643" s="7">
        <v>28</v>
      </c>
      <c r="K643" s="7">
        <v>24.75</v>
      </c>
      <c r="L643" s="5" t="s">
        <v>5742</v>
      </c>
      <c r="M643" s="7">
        <v>1.9</v>
      </c>
      <c r="N643" s="7">
        <v>0.5</v>
      </c>
      <c r="O643" s="7">
        <v>2.1850000000000001</v>
      </c>
      <c r="P643" s="1" t="s">
        <v>5743</v>
      </c>
    </row>
    <row r="644" spans="1:16" ht="33.4" x14ac:dyDescent="0.3">
      <c r="A644" s="6" t="str">
        <f>HYPERLINK("https://www.ti.com/product/TPSM8S6C24", "TPSM8S6C24")</f>
        <v>TPSM8S6C24</v>
      </c>
      <c r="B644" s="5" t="s">
        <v>5744</v>
      </c>
      <c r="C644" s="6" t="str">
        <f>HYPERLINK("https://www.ti.com/lit/gpn/TPSM8S6C24", "PDF")</f>
        <v>PDF</v>
      </c>
      <c r="D644" s="5" t="s">
        <v>5745</v>
      </c>
      <c r="E644" s="5" t="s">
        <v>5746</v>
      </c>
      <c r="F644" s="5" t="s">
        <v>5747</v>
      </c>
      <c r="G644" s="5" t="s">
        <v>5748</v>
      </c>
      <c r="H644" s="1" t="s">
        <v>5749</v>
      </c>
      <c r="I644" s="5" t="s">
        <v>5750</v>
      </c>
      <c r="J644" s="7">
        <v>45</v>
      </c>
      <c r="K644" s="7">
        <v>176</v>
      </c>
      <c r="L644" s="5" t="s">
        <v>5751</v>
      </c>
      <c r="M644" s="7">
        <v>4.4000000000000004</v>
      </c>
      <c r="N644" s="7">
        <v>0.8</v>
      </c>
      <c r="O644" s="7">
        <v>18.399999999999999</v>
      </c>
      <c r="P644" s="1" t="s">
        <v>5752</v>
      </c>
    </row>
    <row r="645" spans="1:16" ht="33.4" x14ac:dyDescent="0.3">
      <c r="A645" s="6" t="str">
        <f>HYPERLINK("https://www.ti.com/product/TPS7A21-Q1", "TPS7A21-Q1")</f>
        <v>TPS7A21-Q1</v>
      </c>
      <c r="B645" s="5" t="s">
        <v>5753</v>
      </c>
      <c r="C645" s="6" t="str">
        <f>HYPERLINK("https://www.ti.com/lit/gpn/TPS7A21-Q1", "PDF")</f>
        <v>PDF</v>
      </c>
      <c r="D645" s="5" t="s">
        <v>5754</v>
      </c>
      <c r="E645" s="5" t="s">
        <v>5755</v>
      </c>
      <c r="F645" s="5"/>
      <c r="G645" s="5" t="s">
        <v>5756</v>
      </c>
      <c r="H645" s="1" t="s">
        <v>5757</v>
      </c>
      <c r="I645" s="5" t="s">
        <v>5758</v>
      </c>
      <c r="J645" s="7">
        <v>8</v>
      </c>
      <c r="K645" s="7" t="s">
        <v>5759</v>
      </c>
      <c r="L645" s="5" t="s">
        <v>5760</v>
      </c>
      <c r="M645" s="7" t="s">
        <v>5761</v>
      </c>
      <c r="N645" s="7" t="s">
        <v>5762</v>
      </c>
      <c r="O645" s="7">
        <v>0.28199999999999997</v>
      </c>
      <c r="P645" s="1" t="s">
        <v>5763</v>
      </c>
    </row>
    <row r="646" spans="1:16" ht="66.150000000000006" x14ac:dyDescent="0.3">
      <c r="A646" s="6" t="str">
        <f>HYPERLINK("https://www.ti.com/product/TPS62876-Q1", "TPS62876-Q1")</f>
        <v>TPS62876-Q1</v>
      </c>
      <c r="B646" s="5" t="s">
        <v>5764</v>
      </c>
      <c r="C646" s="6" t="str">
        <f>HYPERLINK("https://www.ti.com/lit/gpn/TPS62876-Q1", "PDF")</f>
        <v>PDF</v>
      </c>
      <c r="D646" s="5" t="s">
        <v>5765</v>
      </c>
      <c r="E646" s="5" t="s">
        <v>5766</v>
      </c>
      <c r="F646" s="5" t="s">
        <v>5767</v>
      </c>
      <c r="G646" s="5" t="s">
        <v>5768</v>
      </c>
      <c r="H646" s="1" t="s">
        <v>5769</v>
      </c>
      <c r="I646" s="5" t="s">
        <v>5770</v>
      </c>
      <c r="J646" s="7">
        <v>24</v>
      </c>
      <c r="K646" s="7">
        <v>12.352499999999999</v>
      </c>
      <c r="L646" s="5" t="s">
        <v>5771</v>
      </c>
      <c r="M646" s="7">
        <v>0.7</v>
      </c>
      <c r="N646" s="7">
        <v>0.5</v>
      </c>
      <c r="O646" s="7">
        <v>3.1640000000000001</v>
      </c>
      <c r="P646" s="1" t="s">
        <v>5772</v>
      </c>
    </row>
    <row r="647" spans="1:16" ht="33.4" x14ac:dyDescent="0.3">
      <c r="A647" s="6" t="str">
        <f>HYPERLINK("https://www.ti.com/product/TPS3435-Q1", "TPS3435-Q1")</f>
        <v>TPS3435-Q1</v>
      </c>
      <c r="B647" s="5" t="s">
        <v>5773</v>
      </c>
      <c r="C647" s="6" t="str">
        <f>HYPERLINK("https://www.ti.com/lit/gpn/TPS3435-Q1", "PDF")</f>
        <v>PDF</v>
      </c>
      <c r="D647" s="5" t="s">
        <v>5774</v>
      </c>
      <c r="E647" s="5" t="s">
        <v>5775</v>
      </c>
      <c r="F647" s="5"/>
      <c r="G647" s="5" t="s">
        <v>5776</v>
      </c>
      <c r="H647" s="1" t="s">
        <v>5777</v>
      </c>
      <c r="I647" s="5" t="s">
        <v>5778</v>
      </c>
      <c r="J647" s="7">
        <v>8</v>
      </c>
      <c r="K647" s="7">
        <v>8.1199999999999992</v>
      </c>
      <c r="L647" s="5" t="s">
        <v>5779</v>
      </c>
      <c r="M647" s="7">
        <v>1.1000000000000001</v>
      </c>
      <c r="N647" s="7">
        <v>0.65</v>
      </c>
      <c r="O647" s="7">
        <v>0.95</v>
      </c>
      <c r="P647" s="1" t="s">
        <v>5780</v>
      </c>
    </row>
    <row r="648" spans="1:16" ht="33.4" x14ac:dyDescent="0.3">
      <c r="A648" s="6" t="str">
        <f>HYPERLINK("https://www.ti.com/product/TPS7A96", "TPS7A96")</f>
        <v>TPS7A96</v>
      </c>
      <c r="B648" s="5" t="s">
        <v>5781</v>
      </c>
      <c r="C648" s="6" t="str">
        <f>HYPERLINK("https://www.ti.com/lit/gpn/TPS7A96", "PDF")</f>
        <v>PDF</v>
      </c>
      <c r="D648" s="5" t="s">
        <v>5782</v>
      </c>
      <c r="E648" s="5" t="s">
        <v>5783</v>
      </c>
      <c r="F648" s="5"/>
      <c r="G648" s="5" t="s">
        <v>5784</v>
      </c>
      <c r="H648" s="1" t="s">
        <v>5785</v>
      </c>
      <c r="I648" s="5" t="s">
        <v>5786</v>
      </c>
      <c r="J648" s="7">
        <v>10</v>
      </c>
      <c r="K648" s="7">
        <v>9</v>
      </c>
      <c r="L648" s="5" t="s">
        <v>5787</v>
      </c>
      <c r="M648" s="7">
        <v>0.8</v>
      </c>
      <c r="N648" s="7">
        <v>0.5</v>
      </c>
      <c r="O648" s="7">
        <v>4.508</v>
      </c>
      <c r="P648" s="1" t="s">
        <v>5788</v>
      </c>
    </row>
    <row r="649" spans="1:16" ht="49.75" x14ac:dyDescent="0.3">
      <c r="A649" s="6" t="str">
        <f>HYPERLINK("https://www.ti.com/product/TPS62A06A", "TPS62A06A")</f>
        <v>TPS62A06A</v>
      </c>
      <c r="B649" s="5" t="s">
        <v>5789</v>
      </c>
      <c r="C649" s="6" t="str">
        <f>HYPERLINK("https://www.ti.com/lit/gpn/TPS62A06A", "PDF")</f>
        <v>PDF</v>
      </c>
      <c r="D649" s="5" t="s">
        <v>5790</v>
      </c>
      <c r="E649" s="5" t="s">
        <v>5791</v>
      </c>
      <c r="F649" s="5" t="s">
        <v>5792</v>
      </c>
      <c r="G649" s="5" t="s">
        <v>5793</v>
      </c>
      <c r="H649" s="1" t="s">
        <v>5794</v>
      </c>
      <c r="I649" s="5" t="s">
        <v>5795</v>
      </c>
      <c r="J649" s="7">
        <v>6</v>
      </c>
      <c r="K649" s="7">
        <v>2.56</v>
      </c>
      <c r="L649" s="5" t="s">
        <v>5796</v>
      </c>
      <c r="M649" s="7">
        <v>0.6</v>
      </c>
      <c r="N649" s="7">
        <v>0.5</v>
      </c>
      <c r="O649" s="7">
        <v>0.33400000000000002</v>
      </c>
      <c r="P649" s="1" t="s">
        <v>5797</v>
      </c>
    </row>
    <row r="650" spans="1:16" ht="33.4" x14ac:dyDescent="0.3">
      <c r="A650" s="6" t="str">
        <f>HYPERLINK("https://www.ti.com/product/TPS631012", "TPS631012")</f>
        <v>TPS631012</v>
      </c>
      <c r="B650" s="5" t="s">
        <v>5798</v>
      </c>
      <c r="C650" s="6" t="str">
        <f>HYPERLINK("https://www.ti.com/lit/gpn/TPS631012", "PDF")</f>
        <v>PDF</v>
      </c>
      <c r="D650" s="5" t="s">
        <v>5799</v>
      </c>
      <c r="E650" s="5" t="s">
        <v>5800</v>
      </c>
      <c r="F650" s="5" t="s">
        <v>5801</v>
      </c>
      <c r="G650" s="5" t="s">
        <v>5802</v>
      </c>
      <c r="H650" s="1" t="s">
        <v>5803</v>
      </c>
      <c r="I650" s="5" t="s">
        <v>5804</v>
      </c>
      <c r="J650" s="7">
        <v>8</v>
      </c>
      <c r="K650" s="7">
        <v>1.7526889999999999</v>
      </c>
      <c r="L650" s="5" t="s">
        <v>5805</v>
      </c>
      <c r="M650" s="7">
        <v>0.5</v>
      </c>
      <c r="N650" s="7">
        <v>0.4</v>
      </c>
      <c r="O650" s="7">
        <v>0.51800000000000002</v>
      </c>
      <c r="P650" s="1" t="s">
        <v>5806</v>
      </c>
    </row>
    <row r="651" spans="1:16" ht="33.4" x14ac:dyDescent="0.3">
      <c r="A651" s="6" t="str">
        <f>HYPERLINK("https://www.ti.com/product/TPS631013", "TPS631013")</f>
        <v>TPS631013</v>
      </c>
      <c r="B651" s="5" t="s">
        <v>5807</v>
      </c>
      <c r="C651" s="6" t="str">
        <f>HYPERLINK("https://www.ti.com/lit/gpn/TPS631013", "PDF")</f>
        <v>PDF</v>
      </c>
      <c r="D651" s="5" t="s">
        <v>5808</v>
      </c>
      <c r="E651" s="5" t="s">
        <v>5809</v>
      </c>
      <c r="F651" s="5" t="s">
        <v>5810</v>
      </c>
      <c r="G651" s="5" t="s">
        <v>5811</v>
      </c>
      <c r="H651" s="1" t="s">
        <v>5812</v>
      </c>
      <c r="I651" s="5" t="s">
        <v>5813</v>
      </c>
      <c r="J651" s="7">
        <v>8</v>
      </c>
      <c r="K651" s="7">
        <v>1.7526889999999999</v>
      </c>
      <c r="L651" s="5" t="s">
        <v>5814</v>
      </c>
      <c r="M651" s="7">
        <v>0.5</v>
      </c>
      <c r="N651" s="7">
        <v>0.4</v>
      </c>
      <c r="O651" s="7">
        <v>0.51800000000000002</v>
      </c>
      <c r="P651" s="1" t="s">
        <v>5815</v>
      </c>
    </row>
    <row r="652" spans="1:16" ht="33.4" x14ac:dyDescent="0.3">
      <c r="A652" s="6" t="str">
        <f>HYPERLINK("https://www.ti.com/product/TPS2000E", "TPS2000E")</f>
        <v>TPS2000E</v>
      </c>
      <c r="B652" s="5" t="s">
        <v>5816</v>
      </c>
      <c r="C652" s="6" t="str">
        <f>HYPERLINK("https://www.ti.com/lit/gpn/TPS2000E", "PDF")</f>
        <v>PDF</v>
      </c>
      <c r="D652" s="5" t="s">
        <v>5817</v>
      </c>
      <c r="E652" s="5" t="s">
        <v>5818</v>
      </c>
      <c r="F652" s="5"/>
      <c r="G652" s="5" t="s">
        <v>5819</v>
      </c>
      <c r="H652" s="1" t="s">
        <v>5820</v>
      </c>
      <c r="I652" s="5" t="s">
        <v>5821</v>
      </c>
      <c r="J652" s="7" t="s">
        <v>5822</v>
      </c>
      <c r="K652" s="7" t="s">
        <v>5823</v>
      </c>
      <c r="L652" s="5" t="s">
        <v>5824</v>
      </c>
      <c r="M652" s="7" t="s">
        <v>5825</v>
      </c>
      <c r="N652" s="7" t="s">
        <v>5826</v>
      </c>
      <c r="O652" s="7">
        <v>9.1999999999999998E-2</v>
      </c>
      <c r="P652" s="1" t="s">
        <v>5827</v>
      </c>
    </row>
    <row r="653" spans="1:16" ht="33.4" x14ac:dyDescent="0.3">
      <c r="A653" s="6" t="str">
        <f>HYPERLINK("https://www.ti.com/product/TPS2001E", "TPS2001E")</f>
        <v>TPS2001E</v>
      </c>
      <c r="B653" s="5" t="s">
        <v>5828</v>
      </c>
      <c r="C653" s="6" t="str">
        <f>HYPERLINK("https://www.ti.com/lit/gpn/TPS2001E", "PDF")</f>
        <v>PDF</v>
      </c>
      <c r="D653" s="5" t="s">
        <v>5829</v>
      </c>
      <c r="E653" s="5" t="s">
        <v>5830</v>
      </c>
      <c r="F653" s="5"/>
      <c r="G653" s="5" t="s">
        <v>5831</v>
      </c>
      <c r="H653" s="1" t="s">
        <v>5832</v>
      </c>
      <c r="I653" s="5" t="s">
        <v>5833</v>
      </c>
      <c r="J653" s="7" t="s">
        <v>5834</v>
      </c>
      <c r="K653" s="7" t="s">
        <v>5835</v>
      </c>
      <c r="L653" s="5" t="s">
        <v>5836</v>
      </c>
      <c r="M653" s="7" t="s">
        <v>5837</v>
      </c>
      <c r="N653" s="7" t="s">
        <v>5838</v>
      </c>
      <c r="O653" s="7">
        <v>0.1</v>
      </c>
      <c r="P653" s="1" t="s">
        <v>5839</v>
      </c>
    </row>
    <row r="654" spans="1:16" ht="33.4" x14ac:dyDescent="0.3">
      <c r="A654" s="6" t="str">
        <f>HYPERLINK("https://www.ti.com/product/TPS2068E", "TPS2068E")</f>
        <v>TPS2068E</v>
      </c>
      <c r="B654" s="5" t="s">
        <v>5840</v>
      </c>
      <c r="C654" s="6" t="str">
        <f>HYPERLINK("https://www.ti.com/lit/gpn/TPS2068E", "PDF")</f>
        <v>PDF</v>
      </c>
      <c r="D654" s="5" t="s">
        <v>5841</v>
      </c>
      <c r="E654" s="5" t="s">
        <v>5842</v>
      </c>
      <c r="F654" s="5"/>
      <c r="G654" s="5" t="s">
        <v>5843</v>
      </c>
      <c r="H654" s="1" t="s">
        <v>5844</v>
      </c>
      <c r="I654" s="5" t="s">
        <v>5845</v>
      </c>
      <c r="J654" s="7" t="s">
        <v>5846</v>
      </c>
      <c r="K654" s="7" t="s">
        <v>5847</v>
      </c>
      <c r="L654" s="5" t="s">
        <v>5848</v>
      </c>
      <c r="M654" s="7" t="s">
        <v>5849</v>
      </c>
      <c r="N654" s="7" t="s">
        <v>5850</v>
      </c>
      <c r="O654" s="7">
        <v>9.1999999999999998E-2</v>
      </c>
      <c r="P654" s="1" t="s">
        <v>5851</v>
      </c>
    </row>
    <row r="655" spans="1:16" ht="33.4" x14ac:dyDescent="0.3">
      <c r="A655" s="6" t="str">
        <f>HYPERLINK("https://www.ti.com/product/TPS2069E", "TPS2069E")</f>
        <v>TPS2069E</v>
      </c>
      <c r="B655" s="5" t="s">
        <v>5852</v>
      </c>
      <c r="C655" s="6" t="str">
        <f>HYPERLINK("https://www.ti.com/lit/gpn/TPS2069E", "PDF")</f>
        <v>PDF</v>
      </c>
      <c r="D655" s="5" t="s">
        <v>5853</v>
      </c>
      <c r="E655" s="5" t="s">
        <v>5854</v>
      </c>
      <c r="F655" s="5"/>
      <c r="G655" s="5" t="s">
        <v>5855</v>
      </c>
      <c r="H655" s="1" t="s">
        <v>5856</v>
      </c>
      <c r="I655" s="5" t="s">
        <v>5857</v>
      </c>
      <c r="J655" s="7" t="s">
        <v>5858</v>
      </c>
      <c r="K655" s="7" t="s">
        <v>5859</v>
      </c>
      <c r="L655" s="5" t="s">
        <v>5860</v>
      </c>
      <c r="M655" s="7" t="s">
        <v>5861</v>
      </c>
      <c r="N655" s="7" t="s">
        <v>5862</v>
      </c>
      <c r="O655" s="7">
        <v>0.1</v>
      </c>
      <c r="P655" s="1" t="s">
        <v>5863</v>
      </c>
    </row>
    <row r="656" spans="1:16" ht="33.4" x14ac:dyDescent="0.3">
      <c r="A656" s="6" t="str">
        <f>HYPERLINK("https://www.ti.com/product/TLC69601-Q1", "TLC69601-Q1")</f>
        <v>TLC69601-Q1</v>
      </c>
      <c r="B656" s="5" t="s">
        <v>5864</v>
      </c>
      <c r="C656" s="6" t="str">
        <f>HYPERLINK("https://www.ti.com/lit/gpn/TLC69601-Q1", "PDF")</f>
        <v>PDF</v>
      </c>
      <c r="D656" s="5" t="s">
        <v>5865</v>
      </c>
      <c r="E656" s="5" t="s">
        <v>5866</v>
      </c>
      <c r="F656" s="5"/>
      <c r="G656" s="5" t="s">
        <v>5867</v>
      </c>
      <c r="H656" s="1" t="s">
        <v>5868</v>
      </c>
      <c r="I656" s="5" t="s">
        <v>5869</v>
      </c>
      <c r="J656" s="7" t="s">
        <v>5870</v>
      </c>
      <c r="K656" s="7" t="s">
        <v>5871</v>
      </c>
      <c r="L656" s="5" t="s">
        <v>5872</v>
      </c>
      <c r="M656" s="7" t="s">
        <v>5873</v>
      </c>
      <c r="N656" s="7" t="s">
        <v>5874</v>
      </c>
      <c r="O656" s="7">
        <v>1.0409999999999999</v>
      </c>
      <c r="P656" s="1" t="s">
        <v>5875</v>
      </c>
    </row>
    <row r="657" spans="1:16" ht="33.4" x14ac:dyDescent="0.3">
      <c r="A657" s="6" t="str">
        <f>HYPERLINK("https://www.ti.com/product/TLC69602-Q1", "TLC69602-Q1")</f>
        <v>TLC69602-Q1</v>
      </c>
      <c r="B657" s="5" t="s">
        <v>5876</v>
      </c>
      <c r="C657" s="6" t="str">
        <f>HYPERLINK("https://www.ti.com/lit/gpn/TLC69602-Q1", "PDF")</f>
        <v>PDF</v>
      </c>
      <c r="D657" s="5" t="s">
        <v>5877</v>
      </c>
      <c r="E657" s="5" t="s">
        <v>5878</v>
      </c>
      <c r="F657" s="5"/>
      <c r="G657" s="5" t="s">
        <v>5879</v>
      </c>
      <c r="H657" s="1" t="s">
        <v>5880</v>
      </c>
      <c r="I657" s="5" t="s">
        <v>5881</v>
      </c>
      <c r="J657" s="7" t="s">
        <v>5882</v>
      </c>
      <c r="K657" s="7" t="s">
        <v>5883</v>
      </c>
      <c r="L657" s="5" t="s">
        <v>5884</v>
      </c>
      <c r="M657" s="7" t="s">
        <v>5885</v>
      </c>
      <c r="N657" s="7" t="s">
        <v>5886</v>
      </c>
      <c r="O657" s="7">
        <v>1.5609999999999999</v>
      </c>
      <c r="P657" s="1" t="s">
        <v>5887</v>
      </c>
    </row>
    <row r="658" spans="1:16" ht="33.4" x14ac:dyDescent="0.3">
      <c r="A658" s="6" t="str">
        <f>HYPERLINK("https://www.ti.com/product/TLC69604-Q1", "TLC69604-Q1")</f>
        <v>TLC69604-Q1</v>
      </c>
      <c r="B658" s="5" t="s">
        <v>5888</v>
      </c>
      <c r="C658" s="6" t="str">
        <f>HYPERLINK("https://www.ti.com/lit/gpn/TLC69604-Q1", "PDF")</f>
        <v>PDF</v>
      </c>
      <c r="D658" s="5" t="s">
        <v>5889</v>
      </c>
      <c r="E658" s="5" t="s">
        <v>5890</v>
      </c>
      <c r="F658" s="5"/>
      <c r="G658" s="5" t="s">
        <v>5891</v>
      </c>
      <c r="H658" s="1" t="s">
        <v>5892</v>
      </c>
      <c r="I658" s="5" t="s">
        <v>5893</v>
      </c>
      <c r="J658" s="7" t="s">
        <v>5894</v>
      </c>
      <c r="K658" s="7" t="s">
        <v>5895</v>
      </c>
      <c r="L658" s="5" t="s">
        <v>5896</v>
      </c>
      <c r="M658" s="7" t="s">
        <v>5897</v>
      </c>
      <c r="N658" s="7" t="s">
        <v>5898</v>
      </c>
      <c r="O658" s="7">
        <v>2.1280000000000001</v>
      </c>
      <c r="P658" s="1" t="s">
        <v>5899</v>
      </c>
    </row>
    <row r="659" spans="1:16" ht="33.4" x14ac:dyDescent="0.3">
      <c r="A659" s="6" t="str">
        <f>HYPERLINK("https://www.ti.com/product/TPSM843B22", "TPSM843B22")</f>
        <v>TPSM843B22</v>
      </c>
      <c r="B659" s="5" t="s">
        <v>5900</v>
      </c>
      <c r="C659" s="6" t="str">
        <f>HYPERLINK("https://www.ti.com/lit/gpn/TPSM843B22", "PDF")</f>
        <v>PDF</v>
      </c>
      <c r="D659" s="5" t="s">
        <v>5901</v>
      </c>
      <c r="E659" s="5" t="s">
        <v>5902</v>
      </c>
      <c r="F659" s="5" t="s">
        <v>5903</v>
      </c>
      <c r="G659" s="5" t="s">
        <v>5904</v>
      </c>
      <c r="H659" s="1" t="s">
        <v>5905</v>
      </c>
      <c r="I659" s="5" t="s">
        <v>5906</v>
      </c>
      <c r="J659" s="7">
        <v>25</v>
      </c>
      <c r="K659" s="7">
        <v>48.75</v>
      </c>
      <c r="L659" s="5" t="s">
        <v>5907</v>
      </c>
      <c r="M659" s="7">
        <v>4.0999999999999996</v>
      </c>
      <c r="N659" s="7">
        <v>0.65</v>
      </c>
      <c r="O659" s="7">
        <v>13.75</v>
      </c>
      <c r="P659" s="1" t="s">
        <v>5908</v>
      </c>
    </row>
    <row r="660" spans="1:16" ht="33.4" x14ac:dyDescent="0.3">
      <c r="A660" s="6" t="str">
        <f>HYPERLINK("https://www.ti.com/product/TPS25984", "TPS25984")</f>
        <v>TPS25984</v>
      </c>
      <c r="B660" s="5" t="s">
        <v>5909</v>
      </c>
      <c r="C660" s="6" t="str">
        <f>HYPERLINK("https://www.ti.com/lit/gpn/TPS25984", "PDF")</f>
        <v>PDF</v>
      </c>
      <c r="D660" s="5" t="s">
        <v>5910</v>
      </c>
      <c r="E660" s="5" t="s">
        <v>5911</v>
      </c>
      <c r="F660" s="5"/>
      <c r="G660" s="5" t="s">
        <v>5912</v>
      </c>
      <c r="H660" s="1" t="s">
        <v>5913</v>
      </c>
      <c r="I660" s="5" t="s">
        <v>5914</v>
      </c>
      <c r="J660" s="7">
        <v>32</v>
      </c>
      <c r="K660" s="7">
        <v>25</v>
      </c>
      <c r="L660" s="5" t="s">
        <v>5915</v>
      </c>
      <c r="M660" s="7">
        <v>0.7</v>
      </c>
      <c r="N660" s="7">
        <v>0.5</v>
      </c>
      <c r="O660" s="7">
        <v>2.645</v>
      </c>
      <c r="P660" s="1" t="s">
        <v>5916</v>
      </c>
    </row>
    <row r="661" spans="1:16" ht="33.4" x14ac:dyDescent="0.3">
      <c r="A661" s="6" t="str">
        <f>HYPERLINK("https://www.ti.com/product/LMG3522R030-Q1", "LMG3522R030-Q1")</f>
        <v>LMG3522R030-Q1</v>
      </c>
      <c r="B661" s="5" t="s">
        <v>5917</v>
      </c>
      <c r="C661" s="6" t="str">
        <f>HYPERLINK("https://www.ti.com/lit/gpn/LMG3522R030-Q1", "PDF")</f>
        <v>PDF</v>
      </c>
      <c r="D661" s="5" t="s">
        <v>5918</v>
      </c>
      <c r="E661" s="5" t="s">
        <v>5919</v>
      </c>
      <c r="F661" s="5"/>
      <c r="G661" s="5" t="s">
        <v>5920</v>
      </c>
      <c r="H661" s="1" t="s">
        <v>5921</v>
      </c>
      <c r="I661" s="5" t="s">
        <v>5922</v>
      </c>
      <c r="J661" s="7">
        <v>52</v>
      </c>
      <c r="K661" s="7">
        <v>144</v>
      </c>
      <c r="L661" s="5" t="s">
        <v>5923</v>
      </c>
      <c r="M661" s="7">
        <v>1</v>
      </c>
      <c r="N661" s="7">
        <v>0.65</v>
      </c>
      <c r="O661" s="7">
        <v>11.76</v>
      </c>
      <c r="P661" s="1" t="s">
        <v>5924</v>
      </c>
    </row>
    <row r="662" spans="1:16" ht="33.4" x14ac:dyDescent="0.3">
      <c r="A662" s="6" t="str">
        <f>HYPERLINK("https://www.ti.com/product/TPS38700S-Q1", "TPS38700S-Q1")</f>
        <v>TPS38700S-Q1</v>
      </c>
      <c r="B662" s="5" t="s">
        <v>5925</v>
      </c>
      <c r="C662" s="6" t="str">
        <f>HYPERLINK("https://www.ti.com/lit/gpn/TPS38700S-Q1", "PDF")</f>
        <v>PDF</v>
      </c>
      <c r="D662" s="5" t="s">
        <v>5926</v>
      </c>
      <c r="E662" s="5" t="s">
        <v>5927</v>
      </c>
      <c r="F662" s="5"/>
      <c r="G662" s="5" t="s">
        <v>5928</v>
      </c>
      <c r="H662" s="1" t="s">
        <v>5929</v>
      </c>
      <c r="I662" s="5" t="s">
        <v>5930</v>
      </c>
      <c r="J662" s="7">
        <v>24</v>
      </c>
      <c r="K662" s="7">
        <v>16</v>
      </c>
      <c r="L662" s="5" t="s">
        <v>5931</v>
      </c>
      <c r="M662" s="7">
        <v>1</v>
      </c>
      <c r="N662" s="7">
        <v>0.5</v>
      </c>
      <c r="O662" s="7">
        <v>1.4930000000000001</v>
      </c>
      <c r="P662" s="1" t="s">
        <v>5932</v>
      </c>
    </row>
    <row r="663" spans="1:16" ht="33.4" x14ac:dyDescent="0.3">
      <c r="A663" s="6" t="str">
        <f>HYPERLINK("https://www.ti.com/product/LM74900-Q1", "LM74900-Q1")</f>
        <v>LM74900-Q1</v>
      </c>
      <c r="B663" s="5" t="s">
        <v>5933</v>
      </c>
      <c r="C663" s="6" t="str">
        <f>HYPERLINK("https://www.ti.com/lit/gpn/LM74900-Q1", "PDF")</f>
        <v>PDF</v>
      </c>
      <c r="D663" s="5" t="s">
        <v>5934</v>
      </c>
      <c r="E663" s="5" t="s">
        <v>5935</v>
      </c>
      <c r="F663" s="5"/>
      <c r="G663" s="5" t="s">
        <v>5936</v>
      </c>
      <c r="H663" s="1" t="s">
        <v>5937</v>
      </c>
      <c r="I663" s="5" t="s">
        <v>5938</v>
      </c>
      <c r="J663" s="7">
        <v>24</v>
      </c>
      <c r="K663" s="7">
        <v>16</v>
      </c>
      <c r="L663" s="5" t="s">
        <v>5939</v>
      </c>
      <c r="M663" s="7">
        <v>1</v>
      </c>
      <c r="N663" s="7">
        <v>0.5</v>
      </c>
      <c r="O663" s="7">
        <v>1.627</v>
      </c>
      <c r="P663" s="1" t="s">
        <v>5940</v>
      </c>
    </row>
    <row r="664" spans="1:16" ht="33.4" x14ac:dyDescent="0.3">
      <c r="A664" s="6" t="str">
        <f>HYPERLINK("https://www.ti.com/product/TPS6521905", "TPS6521905")</f>
        <v>TPS6521905</v>
      </c>
      <c r="B664" s="5" t="s">
        <v>5941</v>
      </c>
      <c r="C664" s="6" t="str">
        <f>HYPERLINK("https://www.ti.com/lit/gpn/TPS6521905", "PDF")</f>
        <v>PDF</v>
      </c>
      <c r="D664" s="5" t="s">
        <v>5942</v>
      </c>
      <c r="E664" s="5" t="s">
        <v>5943</v>
      </c>
      <c r="F664" s="5"/>
      <c r="G664" s="5" t="s">
        <v>5944</v>
      </c>
      <c r="H664" s="1" t="s">
        <v>5945</v>
      </c>
      <c r="I664" s="5" t="s">
        <v>5946</v>
      </c>
      <c r="J664" s="7">
        <v>32</v>
      </c>
      <c r="K664" s="7" t="s">
        <v>5947</v>
      </c>
      <c r="L664" s="5" t="s">
        <v>5948</v>
      </c>
      <c r="M664" s="7">
        <v>1</v>
      </c>
      <c r="N664" s="7" t="s">
        <v>5949</v>
      </c>
      <c r="O664" s="7">
        <v>1.127</v>
      </c>
      <c r="P664" s="1" t="s">
        <v>5950</v>
      </c>
    </row>
    <row r="665" spans="1:16" ht="33.4" x14ac:dyDescent="0.3">
      <c r="A665" s="6" t="str">
        <f>HYPERLINK("https://www.ti.com/product/TPS65220", "TPS65220")</f>
        <v>TPS65220</v>
      </c>
      <c r="B665" s="5" t="s">
        <v>5951</v>
      </c>
      <c r="C665" s="6" t="str">
        <f>HYPERLINK("https://www.ti.com/lit/gpn/TPS65220", "PDF")</f>
        <v>PDF</v>
      </c>
      <c r="D665" s="5" t="s">
        <v>5952</v>
      </c>
      <c r="E665" s="5" t="s">
        <v>5953</v>
      </c>
      <c r="F665" s="5"/>
      <c r="G665" s="5" t="s">
        <v>5954</v>
      </c>
      <c r="H665" s="1" t="s">
        <v>5955</v>
      </c>
      <c r="I665" s="5" t="s">
        <v>5956</v>
      </c>
      <c r="J665" s="7">
        <v>32</v>
      </c>
      <c r="K665" s="7">
        <v>25</v>
      </c>
      <c r="L665" s="5" t="s">
        <v>5957</v>
      </c>
      <c r="M665" s="7">
        <v>1</v>
      </c>
      <c r="N665" s="7">
        <v>0.5</v>
      </c>
      <c r="O665" s="7">
        <v>1.4950000000000001</v>
      </c>
      <c r="P665" s="1" t="s">
        <v>5958</v>
      </c>
    </row>
    <row r="666" spans="1:16" ht="33.4" x14ac:dyDescent="0.3">
      <c r="A666" s="6" t="str">
        <f>HYPERLINK("https://www.ti.com/product/TPS3436-Q1", "TPS3436-Q1")</f>
        <v>TPS3436-Q1</v>
      </c>
      <c r="B666" s="5" t="s">
        <v>5959</v>
      </c>
      <c r="C666" s="6" t="str">
        <f>HYPERLINK("https://www.ti.com/lit/gpn/TPS3436-Q1", "PDF")</f>
        <v>PDF</v>
      </c>
      <c r="D666" s="5" t="s">
        <v>5960</v>
      </c>
      <c r="E666" s="5" t="s">
        <v>5961</v>
      </c>
      <c r="F666" s="5"/>
      <c r="G666" s="5" t="s">
        <v>5962</v>
      </c>
      <c r="H666" s="1" t="s">
        <v>5963</v>
      </c>
      <c r="I666" s="5" t="s">
        <v>5964</v>
      </c>
      <c r="J666" s="7">
        <v>8</v>
      </c>
      <c r="K666" s="7">
        <v>8.1199999999999992</v>
      </c>
      <c r="L666" s="5" t="s">
        <v>5965</v>
      </c>
      <c r="M666" s="7">
        <v>1.1000000000000001</v>
      </c>
      <c r="N666" s="7">
        <v>0.65</v>
      </c>
      <c r="O666" s="7">
        <v>1.113</v>
      </c>
      <c r="P666" s="1" t="s">
        <v>5966</v>
      </c>
    </row>
    <row r="667" spans="1:16" ht="33.4" x14ac:dyDescent="0.3">
      <c r="A667" s="6" t="str">
        <f>HYPERLINK("https://www.ti.com/product/TLC69600-Q1", "TLC69600-Q1")</f>
        <v>TLC69600-Q1</v>
      </c>
      <c r="B667" s="5" t="s">
        <v>5967</v>
      </c>
      <c r="C667" s="6" t="str">
        <f>HYPERLINK("https://www.ti.com/lit/gpn/TLC69600-Q1", "PDF")</f>
        <v>PDF</v>
      </c>
      <c r="D667" s="5" t="s">
        <v>5968</v>
      </c>
      <c r="E667" s="5" t="s">
        <v>5969</v>
      </c>
      <c r="F667" s="5"/>
      <c r="G667" s="5" t="s">
        <v>5970</v>
      </c>
      <c r="H667" s="1" t="s">
        <v>5971</v>
      </c>
      <c r="I667" s="5" t="s">
        <v>5972</v>
      </c>
      <c r="J667" s="7" t="s">
        <v>5973</v>
      </c>
      <c r="K667" s="7" t="s">
        <v>5974</v>
      </c>
      <c r="L667" s="5" t="s">
        <v>5975</v>
      </c>
      <c r="M667" s="7" t="s">
        <v>5976</v>
      </c>
      <c r="N667" s="7" t="s">
        <v>5977</v>
      </c>
      <c r="O667" s="7">
        <v>1.0409999999999999</v>
      </c>
      <c r="P667" s="1" t="s">
        <v>5978</v>
      </c>
    </row>
    <row r="668" spans="1:16" ht="33.4" x14ac:dyDescent="0.3">
      <c r="A668" s="6" t="str">
        <f>HYPERLINK("https://www.ti.com/product/TLC69608-Q1", "TLC69608-Q1")</f>
        <v>TLC69608-Q1</v>
      </c>
      <c r="B668" s="5" t="s">
        <v>5979</v>
      </c>
      <c r="C668" s="6" t="str">
        <f>HYPERLINK("https://www.ti.com/lit/gpn/TLC69608-Q1", "PDF")</f>
        <v>PDF</v>
      </c>
      <c r="D668" s="5" t="s">
        <v>5980</v>
      </c>
      <c r="E668" s="5" t="s">
        <v>5981</v>
      </c>
      <c r="F668" s="5"/>
      <c r="G668" s="5" t="s">
        <v>5982</v>
      </c>
      <c r="H668" s="1" t="s">
        <v>5983</v>
      </c>
      <c r="I668" s="5" t="s">
        <v>5984</v>
      </c>
      <c r="J668" s="7" t="s">
        <v>5985</v>
      </c>
      <c r="K668" s="7" t="s">
        <v>5986</v>
      </c>
      <c r="L668" s="5" t="s">
        <v>5987</v>
      </c>
      <c r="M668" s="7" t="s">
        <v>5988</v>
      </c>
      <c r="N668" s="7" t="s">
        <v>5989</v>
      </c>
      <c r="O668" s="7">
        <v>3.1920000000000002</v>
      </c>
      <c r="P668" s="1" t="s">
        <v>5990</v>
      </c>
    </row>
    <row r="669" spans="1:16" ht="33.4" x14ac:dyDescent="0.3">
      <c r="A669" s="6" t="str">
        <f>HYPERLINK("https://www.ti.com/product/TLC69610-Q1", "TLC69610-Q1")</f>
        <v>TLC69610-Q1</v>
      </c>
      <c r="B669" s="5" t="s">
        <v>5991</v>
      </c>
      <c r="C669" s="6" t="str">
        <f>HYPERLINK("https://www.ti.com/lit/gpn/TLC69610-Q1", "PDF")</f>
        <v>PDF</v>
      </c>
      <c r="D669" s="5" t="s">
        <v>5992</v>
      </c>
      <c r="E669" s="5" t="s">
        <v>5993</v>
      </c>
      <c r="F669" s="5"/>
      <c r="G669" s="5" t="s">
        <v>5994</v>
      </c>
      <c r="H669" s="1" t="s">
        <v>5995</v>
      </c>
      <c r="I669" s="5" t="s">
        <v>5996</v>
      </c>
      <c r="J669" s="7" t="s">
        <v>5997</v>
      </c>
      <c r="K669" s="7" t="s">
        <v>5998</v>
      </c>
      <c r="L669" s="5" t="s">
        <v>5999</v>
      </c>
      <c r="M669" s="7" t="s">
        <v>6000</v>
      </c>
      <c r="N669" s="7" t="s">
        <v>6001</v>
      </c>
      <c r="O669" s="7">
        <v>1.2490000000000001</v>
      </c>
      <c r="P669" s="1" t="s">
        <v>6002</v>
      </c>
    </row>
    <row r="670" spans="1:16" ht="33.4" x14ac:dyDescent="0.3">
      <c r="A670" s="6" t="str">
        <f>HYPERLINK("https://www.ti.com/product/TLC69611-Q1", "TLC69611-Q1")</f>
        <v>TLC69611-Q1</v>
      </c>
      <c r="B670" s="5" t="s">
        <v>6003</v>
      </c>
      <c r="C670" s="6" t="str">
        <f>HYPERLINK("https://www.ti.com/lit/gpn/TLC69611-Q1", "PDF")</f>
        <v>PDF</v>
      </c>
      <c r="D670" s="5" t="s">
        <v>6004</v>
      </c>
      <c r="E670" s="5" t="s">
        <v>6005</v>
      </c>
      <c r="F670" s="5"/>
      <c r="G670" s="5" t="s">
        <v>6006</v>
      </c>
      <c r="H670" s="1" t="s">
        <v>6007</v>
      </c>
      <c r="I670" s="5" t="s">
        <v>6008</v>
      </c>
      <c r="J670" s="7" t="s">
        <v>6009</v>
      </c>
      <c r="K670" s="7" t="s">
        <v>6010</v>
      </c>
      <c r="L670" s="5" t="s">
        <v>6011</v>
      </c>
      <c r="M670" s="7" t="s">
        <v>6012</v>
      </c>
      <c r="N670" s="7" t="s">
        <v>6013</v>
      </c>
      <c r="O670" s="7">
        <v>1.2490000000000001</v>
      </c>
      <c r="P670" s="1" t="s">
        <v>6014</v>
      </c>
    </row>
    <row r="671" spans="1:16" ht="33.4" x14ac:dyDescent="0.3">
      <c r="A671" s="6" t="str">
        <f>HYPERLINK("https://www.ti.com/product/TLC69612-Q1", "TLC69612-Q1")</f>
        <v>TLC69612-Q1</v>
      </c>
      <c r="B671" s="5" t="s">
        <v>6015</v>
      </c>
      <c r="C671" s="6" t="str">
        <f>HYPERLINK("https://www.ti.com/lit/gpn/TLC69612-Q1", "PDF")</f>
        <v>PDF</v>
      </c>
      <c r="D671" s="5" t="s">
        <v>6016</v>
      </c>
      <c r="E671" s="5" t="s">
        <v>6017</v>
      </c>
      <c r="F671" s="5"/>
      <c r="G671" s="5" t="s">
        <v>6018</v>
      </c>
      <c r="H671" s="1" t="s">
        <v>6019</v>
      </c>
      <c r="I671" s="5" t="s">
        <v>6020</v>
      </c>
      <c r="J671" s="7" t="s">
        <v>6021</v>
      </c>
      <c r="K671" s="7" t="s">
        <v>6022</v>
      </c>
      <c r="L671" s="5" t="s">
        <v>6023</v>
      </c>
      <c r="M671" s="7" t="s">
        <v>6024</v>
      </c>
      <c r="N671" s="7" t="s">
        <v>6025</v>
      </c>
      <c r="O671" s="7">
        <v>1.6279999999999999</v>
      </c>
      <c r="P671" s="1" t="s">
        <v>6026</v>
      </c>
    </row>
    <row r="672" spans="1:16" ht="33.4" x14ac:dyDescent="0.3">
      <c r="A672" s="6" t="str">
        <f>HYPERLINK("https://www.ti.com/product/TLC69614-Q1", "TLC69614-Q1")</f>
        <v>TLC69614-Q1</v>
      </c>
      <c r="B672" s="5" t="s">
        <v>6027</v>
      </c>
      <c r="C672" s="6" t="str">
        <f>HYPERLINK("https://www.ti.com/lit/gpn/TLC69614-Q1", "PDF")</f>
        <v>PDF</v>
      </c>
      <c r="D672" s="5" t="s">
        <v>6028</v>
      </c>
      <c r="E672" s="5" t="s">
        <v>6029</v>
      </c>
      <c r="F672" s="5"/>
      <c r="G672" s="5" t="s">
        <v>6030</v>
      </c>
      <c r="H672" s="1" t="s">
        <v>6031</v>
      </c>
      <c r="I672" s="5" t="s">
        <v>6032</v>
      </c>
      <c r="J672" s="7" t="s">
        <v>6033</v>
      </c>
      <c r="K672" s="7" t="s">
        <v>6034</v>
      </c>
      <c r="L672" s="5" t="s">
        <v>6035</v>
      </c>
      <c r="M672" s="7" t="s">
        <v>6036</v>
      </c>
      <c r="N672" s="7" t="s">
        <v>6037</v>
      </c>
      <c r="O672" s="7">
        <v>2.3410000000000002</v>
      </c>
      <c r="P672" s="1" t="s">
        <v>6038</v>
      </c>
    </row>
    <row r="673" spans="1:16" ht="33.4" x14ac:dyDescent="0.3">
      <c r="A673" s="6" t="str">
        <f>HYPERLINK("https://www.ti.com/product/TLC69618-Q1", "TLC69618-Q1")</f>
        <v>TLC69618-Q1</v>
      </c>
      <c r="B673" s="5" t="s">
        <v>6039</v>
      </c>
      <c r="C673" s="6" t="str">
        <f>HYPERLINK("https://www.ti.com/lit/gpn/TLC69618-Q1", "PDF")</f>
        <v>PDF</v>
      </c>
      <c r="D673" s="5" t="s">
        <v>6040</v>
      </c>
      <c r="E673" s="5" t="s">
        <v>6041</v>
      </c>
      <c r="F673" s="5"/>
      <c r="G673" s="5" t="s">
        <v>6042</v>
      </c>
      <c r="H673" s="1" t="s">
        <v>6043</v>
      </c>
      <c r="I673" s="5" t="s">
        <v>6044</v>
      </c>
      <c r="J673" s="7" t="s">
        <v>6045</v>
      </c>
      <c r="K673" s="7" t="s">
        <v>6046</v>
      </c>
      <c r="L673" s="5" t="s">
        <v>6047</v>
      </c>
      <c r="M673" s="7" t="s">
        <v>6048</v>
      </c>
      <c r="N673" s="7" t="s">
        <v>6049</v>
      </c>
      <c r="O673" s="7">
        <v>3.5110000000000001</v>
      </c>
      <c r="P673" s="1" t="s">
        <v>6050</v>
      </c>
    </row>
    <row r="674" spans="1:16" ht="33.4" x14ac:dyDescent="0.3">
      <c r="A674" s="6" t="str">
        <f>HYPERLINK("https://www.ti.com/product/TLC69650-Q1", "TLC69650-Q1")</f>
        <v>TLC69650-Q1</v>
      </c>
      <c r="B674" s="5" t="s">
        <v>6051</v>
      </c>
      <c r="C674" s="6" t="str">
        <f>HYPERLINK("https://www.ti.com/lit/gpn/TLC69650-Q1", "PDF")</f>
        <v>PDF</v>
      </c>
      <c r="D674" s="5" t="s">
        <v>6052</v>
      </c>
      <c r="E674" s="5" t="s">
        <v>6053</v>
      </c>
      <c r="F674" s="5"/>
      <c r="G674" s="5" t="s">
        <v>6054</v>
      </c>
      <c r="H674" s="1" t="s">
        <v>6055</v>
      </c>
      <c r="I674" s="5" t="s">
        <v>6056</v>
      </c>
      <c r="J674" s="7" t="s">
        <v>6057</v>
      </c>
      <c r="K674" s="7" t="s">
        <v>6058</v>
      </c>
      <c r="L674" s="5" t="s">
        <v>6059</v>
      </c>
      <c r="M674" s="7" t="s">
        <v>6060</v>
      </c>
      <c r="N674" s="7" t="s">
        <v>6061</v>
      </c>
      <c r="O674" s="7">
        <v>1.0860000000000001</v>
      </c>
      <c r="P674" s="1" t="s">
        <v>6062</v>
      </c>
    </row>
    <row r="675" spans="1:16" ht="49.75" x14ac:dyDescent="0.3">
      <c r="A675" s="6" t="str">
        <f>HYPERLINK("https://www.ti.com/product/TPS35", "TPS35")</f>
        <v>TPS35</v>
      </c>
      <c r="B675" s="5" t="s">
        <v>6063</v>
      </c>
      <c r="C675" s="6" t="str">
        <f>HYPERLINK("https://www.ti.com/lit/gpn/TPS35", "PDF")</f>
        <v>PDF</v>
      </c>
      <c r="D675" s="5" t="s">
        <v>6064</v>
      </c>
      <c r="E675" s="5" t="s">
        <v>6065</v>
      </c>
      <c r="F675" s="5"/>
      <c r="G675" s="5" t="s">
        <v>6066</v>
      </c>
      <c r="H675" s="1" t="s">
        <v>6067</v>
      </c>
      <c r="I675" s="5" t="s">
        <v>6068</v>
      </c>
      <c r="J675" s="7" t="s">
        <v>6069</v>
      </c>
      <c r="K675" s="7" t="s">
        <v>6070</v>
      </c>
      <c r="L675" s="5" t="s">
        <v>6071</v>
      </c>
      <c r="M675" s="7" t="s">
        <v>6072</v>
      </c>
      <c r="N675" s="7" t="s">
        <v>6073</v>
      </c>
      <c r="O675" s="7">
        <v>1.093</v>
      </c>
      <c r="P675" s="1" t="s">
        <v>6074</v>
      </c>
    </row>
    <row r="676" spans="1:16" ht="33.4" x14ac:dyDescent="0.3">
      <c r="A676" s="6" t="str">
        <f>HYPERLINK("https://www.ti.com/product/TPS35-Q1", "TPS35-Q1")</f>
        <v>TPS35-Q1</v>
      </c>
      <c r="B676" s="5" t="s">
        <v>6075</v>
      </c>
      <c r="C676" s="6" t="str">
        <f>HYPERLINK("https://www.ti.com/lit/gpn/TPS35-Q1", "PDF")</f>
        <v>PDF</v>
      </c>
      <c r="D676" s="5" t="s">
        <v>6076</v>
      </c>
      <c r="E676" s="5" t="s">
        <v>6077</v>
      </c>
      <c r="F676" s="5"/>
      <c r="G676" s="5" t="s">
        <v>6078</v>
      </c>
      <c r="H676" s="1" t="s">
        <v>6079</v>
      </c>
      <c r="I676" s="5" t="s">
        <v>6080</v>
      </c>
      <c r="J676" s="7">
        <v>8</v>
      </c>
      <c r="K676" s="7">
        <v>8.1199999999999992</v>
      </c>
      <c r="L676" s="5" t="s">
        <v>6081</v>
      </c>
      <c r="M676" s="7">
        <v>1.1000000000000001</v>
      </c>
      <c r="N676" s="7">
        <v>0.65</v>
      </c>
      <c r="O676" s="7">
        <v>1.29</v>
      </c>
      <c r="P676" s="1" t="s">
        <v>6082</v>
      </c>
    </row>
    <row r="677" spans="1:16" ht="33.4" x14ac:dyDescent="0.3">
      <c r="A677" s="6" t="str">
        <f>HYPERLINK("https://www.ti.com/product/TLC69651-Q1", "TLC69651-Q1")</f>
        <v>TLC69651-Q1</v>
      </c>
      <c r="B677" s="5" t="s">
        <v>6083</v>
      </c>
      <c r="C677" s="6" t="str">
        <f>HYPERLINK("https://www.ti.com/lit/gpn/TLC69651-Q1", "PDF")</f>
        <v>PDF</v>
      </c>
      <c r="D677" s="5" t="s">
        <v>6084</v>
      </c>
      <c r="E677" s="5" t="s">
        <v>6085</v>
      </c>
      <c r="F677" s="5"/>
      <c r="G677" s="5" t="s">
        <v>6086</v>
      </c>
      <c r="H677" s="1" t="s">
        <v>6087</v>
      </c>
      <c r="I677" s="5" t="s">
        <v>6088</v>
      </c>
      <c r="J677" s="7" t="s">
        <v>6089</v>
      </c>
      <c r="K677" s="7" t="s">
        <v>6090</v>
      </c>
      <c r="L677" s="5" t="s">
        <v>6091</v>
      </c>
      <c r="M677" s="7" t="s">
        <v>6092</v>
      </c>
      <c r="N677" s="7" t="s">
        <v>6093</v>
      </c>
      <c r="O677" s="7">
        <v>1.2490000000000001</v>
      </c>
      <c r="P677" s="1" t="s">
        <v>6094</v>
      </c>
    </row>
    <row r="678" spans="1:16" ht="33.4" x14ac:dyDescent="0.3">
      <c r="A678" s="6" t="str">
        <f>HYPERLINK("https://www.ti.com/product/TLC69652-Q1", "TLC69652-Q1")</f>
        <v>TLC69652-Q1</v>
      </c>
      <c r="B678" s="5" t="s">
        <v>6095</v>
      </c>
      <c r="C678" s="6" t="str">
        <f>HYPERLINK("https://www.ti.com/lit/gpn/TLC69652-Q1", "PDF")</f>
        <v>PDF</v>
      </c>
      <c r="D678" s="5" t="s">
        <v>6096</v>
      </c>
      <c r="E678" s="5" t="s">
        <v>6097</v>
      </c>
      <c r="F678" s="5"/>
      <c r="G678" s="5" t="s">
        <v>6098</v>
      </c>
      <c r="H678" s="1" t="s">
        <v>6099</v>
      </c>
      <c r="I678" s="5" t="s">
        <v>6100</v>
      </c>
      <c r="J678" s="7" t="s">
        <v>6101</v>
      </c>
      <c r="K678" s="7" t="s">
        <v>6102</v>
      </c>
      <c r="L678" s="5" t="s">
        <v>6103</v>
      </c>
      <c r="M678" s="7" t="s">
        <v>6104</v>
      </c>
      <c r="N678" s="7" t="s">
        <v>6105</v>
      </c>
      <c r="O678" s="7">
        <v>1.6279999999999999</v>
      </c>
      <c r="P678" s="1" t="s">
        <v>6106</v>
      </c>
    </row>
    <row r="679" spans="1:16" ht="33.4" x14ac:dyDescent="0.3">
      <c r="A679" s="6" t="str">
        <f>HYPERLINK("https://www.ti.com/product/TLC69654-Q1", "TLC69654-Q1")</f>
        <v>TLC69654-Q1</v>
      </c>
      <c r="B679" s="5" t="s">
        <v>6107</v>
      </c>
      <c r="C679" s="6" t="str">
        <f>HYPERLINK("https://www.ti.com/lit/gpn/TLC69654-Q1", "PDF")</f>
        <v>PDF</v>
      </c>
      <c r="D679" s="5" t="s">
        <v>6108</v>
      </c>
      <c r="E679" s="5" t="s">
        <v>6109</v>
      </c>
      <c r="F679" s="5"/>
      <c r="G679" s="5" t="s">
        <v>6110</v>
      </c>
      <c r="H679" s="1" t="s">
        <v>6111</v>
      </c>
      <c r="I679" s="5" t="s">
        <v>6112</v>
      </c>
      <c r="J679" s="7" t="s">
        <v>6113</v>
      </c>
      <c r="K679" s="7" t="s">
        <v>6114</v>
      </c>
      <c r="L679" s="5" t="s">
        <v>6115</v>
      </c>
      <c r="M679" s="7" t="s">
        <v>6116</v>
      </c>
      <c r="N679" s="7" t="s">
        <v>6117</v>
      </c>
      <c r="O679" s="7">
        <v>2.036</v>
      </c>
      <c r="P679" s="1" t="s">
        <v>6118</v>
      </c>
    </row>
    <row r="680" spans="1:16" ht="33.4" x14ac:dyDescent="0.3">
      <c r="A680" s="6" t="str">
        <f>HYPERLINK("https://www.ti.com/product/TLC69658-Q1", "TLC69658-Q1")</f>
        <v>TLC69658-Q1</v>
      </c>
      <c r="B680" s="5" t="s">
        <v>6119</v>
      </c>
      <c r="C680" s="6" t="str">
        <f>HYPERLINK("https://www.ti.com/lit/gpn/TLC69658-Q1", "PDF")</f>
        <v>PDF</v>
      </c>
      <c r="D680" s="5" t="s">
        <v>6120</v>
      </c>
      <c r="E680" s="5" t="s">
        <v>6121</v>
      </c>
      <c r="F680" s="5"/>
      <c r="G680" s="5" t="s">
        <v>6122</v>
      </c>
      <c r="H680" s="1" t="s">
        <v>6123</v>
      </c>
      <c r="I680" s="5" t="s">
        <v>6124</v>
      </c>
      <c r="J680" s="7" t="s">
        <v>6125</v>
      </c>
      <c r="K680" s="7" t="s">
        <v>6126</v>
      </c>
      <c r="L680" s="5" t="s">
        <v>6127</v>
      </c>
      <c r="M680" s="7" t="s">
        <v>6128</v>
      </c>
      <c r="N680" s="7" t="s">
        <v>6129</v>
      </c>
      <c r="O680" s="7">
        <v>3.0529999999999999</v>
      </c>
      <c r="P680" s="1" t="s">
        <v>6130</v>
      </c>
    </row>
    <row r="681" spans="1:16" ht="33.4" x14ac:dyDescent="0.3">
      <c r="A681" s="6" t="str">
        <f>HYPERLINK("https://www.ti.com/product/TLC69660-Q1", "TLC69660-Q1")</f>
        <v>TLC69660-Q1</v>
      </c>
      <c r="B681" s="5" t="s">
        <v>6131</v>
      </c>
      <c r="C681" s="6" t="str">
        <f>HYPERLINK("https://www.ti.com/lit/gpn/TLC69660-Q1", "PDF")</f>
        <v>PDF</v>
      </c>
      <c r="D681" s="5" t="s">
        <v>6132</v>
      </c>
      <c r="E681" s="5" t="s">
        <v>6133</v>
      </c>
      <c r="F681" s="5"/>
      <c r="G681" s="5" t="s">
        <v>6134</v>
      </c>
      <c r="H681" s="1" t="s">
        <v>6135</v>
      </c>
      <c r="I681" s="5" t="s">
        <v>6136</v>
      </c>
      <c r="J681" s="7" t="s">
        <v>6137</v>
      </c>
      <c r="K681" s="7" t="s">
        <v>6138</v>
      </c>
      <c r="L681" s="5" t="s">
        <v>6139</v>
      </c>
      <c r="M681" s="7" t="s">
        <v>6140</v>
      </c>
      <c r="N681" s="7" t="s">
        <v>6141</v>
      </c>
      <c r="O681" s="7">
        <v>1.177</v>
      </c>
      <c r="P681" s="1" t="s">
        <v>6142</v>
      </c>
    </row>
    <row r="682" spans="1:16" ht="33.4" x14ac:dyDescent="0.3">
      <c r="A682" s="6" t="str">
        <f>HYPERLINK("https://www.ti.com/product/TLC69661-Q1", "TLC69661-Q1")</f>
        <v>TLC69661-Q1</v>
      </c>
      <c r="B682" s="5" t="s">
        <v>6143</v>
      </c>
      <c r="C682" s="6" t="str">
        <f>HYPERLINK("https://www.ti.com/lit/gpn/TLC69661-Q1", "PDF")</f>
        <v>PDF</v>
      </c>
      <c r="D682" s="5" t="s">
        <v>6144</v>
      </c>
      <c r="E682" s="5" t="s">
        <v>6145</v>
      </c>
      <c r="F682" s="5"/>
      <c r="G682" s="5" t="s">
        <v>6146</v>
      </c>
      <c r="H682" s="1" t="s">
        <v>6147</v>
      </c>
      <c r="I682" s="5" t="s">
        <v>6148</v>
      </c>
      <c r="J682" s="7" t="s">
        <v>6149</v>
      </c>
      <c r="K682" s="7" t="s">
        <v>6150</v>
      </c>
      <c r="L682" s="5" t="s">
        <v>6151</v>
      </c>
      <c r="M682" s="7" t="s">
        <v>6152</v>
      </c>
      <c r="N682" s="7" t="s">
        <v>6153</v>
      </c>
      <c r="O682" s="7">
        <v>1.3540000000000001</v>
      </c>
      <c r="P682" s="1" t="s">
        <v>6154</v>
      </c>
    </row>
    <row r="683" spans="1:16" ht="33.4" x14ac:dyDescent="0.3">
      <c r="A683" s="6" t="str">
        <f>HYPERLINK("https://www.ti.com/product/TLC69662-Q1", "TLC69662-Q1")</f>
        <v>TLC69662-Q1</v>
      </c>
      <c r="B683" s="5" t="s">
        <v>6155</v>
      </c>
      <c r="C683" s="6" t="str">
        <f>HYPERLINK("https://www.ti.com/lit/gpn/TLC69662-Q1", "PDF")</f>
        <v>PDF</v>
      </c>
      <c r="D683" s="5" t="s">
        <v>6156</v>
      </c>
      <c r="E683" s="5" t="s">
        <v>6157</v>
      </c>
      <c r="F683" s="5"/>
      <c r="G683" s="5" t="s">
        <v>6158</v>
      </c>
      <c r="H683" s="1" t="s">
        <v>6159</v>
      </c>
      <c r="I683" s="5" t="s">
        <v>6160</v>
      </c>
      <c r="J683" s="7" t="s">
        <v>6161</v>
      </c>
      <c r="K683" s="7" t="s">
        <v>6162</v>
      </c>
      <c r="L683" s="5" t="s">
        <v>6163</v>
      </c>
      <c r="M683" s="7" t="s">
        <v>6164</v>
      </c>
      <c r="N683" s="7" t="s">
        <v>6165</v>
      </c>
      <c r="O683" s="7">
        <v>1.764</v>
      </c>
      <c r="P683" s="1" t="s">
        <v>6166</v>
      </c>
    </row>
    <row r="684" spans="1:16" ht="33.4" x14ac:dyDescent="0.3">
      <c r="A684" s="6" t="str">
        <f>HYPERLINK("https://www.ti.com/product/TLC69664-Q1", "TLC69664-Q1")</f>
        <v>TLC69664-Q1</v>
      </c>
      <c r="B684" s="5" t="s">
        <v>6167</v>
      </c>
      <c r="C684" s="6" t="str">
        <f>HYPERLINK("https://www.ti.com/lit/gpn/TLC69664-Q1", "PDF")</f>
        <v>PDF</v>
      </c>
      <c r="D684" s="5" t="s">
        <v>6168</v>
      </c>
      <c r="E684" s="5" t="s">
        <v>6169</v>
      </c>
      <c r="F684" s="5"/>
      <c r="G684" s="5" t="s">
        <v>6170</v>
      </c>
      <c r="H684" s="1" t="s">
        <v>6171</v>
      </c>
      <c r="I684" s="5" t="s">
        <v>6172</v>
      </c>
      <c r="J684" s="7" t="s">
        <v>6173</v>
      </c>
      <c r="K684" s="7" t="s">
        <v>6174</v>
      </c>
      <c r="L684" s="5" t="s">
        <v>6175</v>
      </c>
      <c r="M684" s="7" t="s">
        <v>6176</v>
      </c>
      <c r="N684" s="7" t="s">
        <v>6177</v>
      </c>
      <c r="O684" s="7">
        <v>2.766</v>
      </c>
      <c r="P684" s="1" t="s">
        <v>6178</v>
      </c>
    </row>
    <row r="685" spans="1:16" ht="33.4" x14ac:dyDescent="0.3">
      <c r="A685" s="6" t="str">
        <f>HYPERLINK("https://www.ti.com/product/TPS7H1111-SEP", "TPS7H1111-SEP")</f>
        <v>TPS7H1111-SEP</v>
      </c>
      <c r="B685" s="5" t="s">
        <v>6179</v>
      </c>
      <c r="C685" s="6" t="str">
        <f>HYPERLINK("https://www.ti.com/lit/gpn/TPS7H1111-SEP", "PDF")</f>
        <v>PDF</v>
      </c>
      <c r="D685" s="5" t="s">
        <v>6180</v>
      </c>
      <c r="E685" s="5" t="s">
        <v>6181</v>
      </c>
      <c r="F685" s="5"/>
      <c r="G685" s="5" t="s">
        <v>6182</v>
      </c>
      <c r="H685" s="1" t="s">
        <v>6183</v>
      </c>
      <c r="I685" s="5" t="s">
        <v>6184</v>
      </c>
      <c r="J685" s="7">
        <v>28</v>
      </c>
      <c r="K685" s="7">
        <v>62.08</v>
      </c>
      <c r="L685" s="5" t="s">
        <v>6185</v>
      </c>
      <c r="M685" s="7">
        <v>1.2</v>
      </c>
      <c r="N685" s="7">
        <v>0.65</v>
      </c>
      <c r="O685" s="7">
        <v>1006.319</v>
      </c>
      <c r="P685" s="1" t="s">
        <v>6186</v>
      </c>
    </row>
    <row r="686" spans="1:16" ht="33.4" x14ac:dyDescent="0.3">
      <c r="A686" s="6" t="str">
        <f>HYPERLINK("https://www.ti.com/product/TPSI2072-Q1", "TPSI2072-Q1")</f>
        <v>TPSI2072-Q1</v>
      </c>
      <c r="B686" s="5" t="s">
        <v>6187</v>
      </c>
      <c r="C686" s="6" t="str">
        <f>HYPERLINK("https://www.ti.com/lit/gpn/TPSI2072-Q1", "PDF")</f>
        <v>PDF</v>
      </c>
      <c r="D686" s="5" t="s">
        <v>6188</v>
      </c>
      <c r="E686" s="5" t="s">
        <v>6189</v>
      </c>
      <c r="F686" s="5"/>
      <c r="G686" s="5" t="s">
        <v>6190</v>
      </c>
      <c r="H686" s="1" t="s">
        <v>6191</v>
      </c>
      <c r="I686" s="5" t="s">
        <v>6192</v>
      </c>
      <c r="J686" s="7">
        <v>11</v>
      </c>
      <c r="K686" s="7">
        <v>106.09</v>
      </c>
      <c r="L686" s="5" t="s">
        <v>6193</v>
      </c>
      <c r="M686" s="7">
        <v>2.65</v>
      </c>
      <c r="N686" s="7">
        <v>1.27</v>
      </c>
      <c r="O686" s="7">
        <v>2.2890000000000001</v>
      </c>
      <c r="P686" s="1" t="s">
        <v>6194</v>
      </c>
    </row>
    <row r="687" spans="1:16" ht="33.4" x14ac:dyDescent="0.3">
      <c r="A687" s="6" t="str">
        <f>HYPERLINK("https://www.ti.com/product/UCC14140-Q1", "UCC14140-Q1")</f>
        <v>UCC14140-Q1</v>
      </c>
      <c r="B687" s="5" t="s">
        <v>6195</v>
      </c>
      <c r="C687" s="6" t="str">
        <f>HYPERLINK("https://www.ti.com/lit/gpn/UCC14140-Q1", "PDF")</f>
        <v>PDF</v>
      </c>
      <c r="D687" s="5" t="s">
        <v>6196</v>
      </c>
      <c r="E687" s="5" t="s">
        <v>6197</v>
      </c>
      <c r="F687" s="5" t="s">
        <v>6198</v>
      </c>
      <c r="G687" s="5" t="s">
        <v>6199</v>
      </c>
      <c r="H687" s="1" t="s">
        <v>6200</v>
      </c>
      <c r="I687" s="5" t="s">
        <v>6201</v>
      </c>
      <c r="J687" s="7">
        <v>36</v>
      </c>
      <c r="K687" s="7">
        <v>131.84</v>
      </c>
      <c r="L687" s="5" t="s">
        <v>6202</v>
      </c>
      <c r="M687" s="7">
        <v>3.55</v>
      </c>
      <c r="N687" s="7">
        <v>0.65</v>
      </c>
      <c r="O687" s="7">
        <v>4.1630000000000003</v>
      </c>
      <c r="P687" s="1" t="s">
        <v>6203</v>
      </c>
    </row>
    <row r="688" spans="1:16" ht="33.4" x14ac:dyDescent="0.3">
      <c r="A688" s="6" t="str">
        <f>HYPERLINK("https://www.ti.com/product/UCC14141-Q1", "UCC14141-Q1")</f>
        <v>UCC14141-Q1</v>
      </c>
      <c r="B688" s="5" t="s">
        <v>6204</v>
      </c>
      <c r="C688" s="6" t="str">
        <f>HYPERLINK("https://www.ti.com/lit/gpn/UCC14141-Q1", "PDF")</f>
        <v>PDF</v>
      </c>
      <c r="D688" s="5" t="s">
        <v>6205</v>
      </c>
      <c r="E688" s="5" t="s">
        <v>6206</v>
      </c>
      <c r="F688" s="5" t="s">
        <v>6207</v>
      </c>
      <c r="G688" s="5" t="s">
        <v>6208</v>
      </c>
      <c r="H688" s="1" t="s">
        <v>6209</v>
      </c>
      <c r="I688" s="5" t="s">
        <v>6210</v>
      </c>
      <c r="J688" s="7">
        <v>36</v>
      </c>
      <c r="K688" s="7">
        <v>131.84</v>
      </c>
      <c r="L688" s="5" t="s">
        <v>6211</v>
      </c>
      <c r="M688" s="7">
        <v>3.55</v>
      </c>
      <c r="N688" s="7">
        <v>0.65</v>
      </c>
      <c r="O688" s="7">
        <v>4.5199999999999996</v>
      </c>
      <c r="P688" s="1" t="s">
        <v>6212</v>
      </c>
    </row>
    <row r="689" spans="1:16" ht="49.75" x14ac:dyDescent="0.3">
      <c r="A689" s="6" t="str">
        <f>HYPERLINK("https://www.ti.com/product/TPS62A06", "TPS62A06")</f>
        <v>TPS62A06</v>
      </c>
      <c r="B689" s="5" t="s">
        <v>6213</v>
      </c>
      <c r="C689" s="6" t="str">
        <f>HYPERLINK("https://www.ti.com/lit/gpn/TPS62A06", "PDF")</f>
        <v>PDF</v>
      </c>
      <c r="D689" s="5" t="s">
        <v>6214</v>
      </c>
      <c r="E689" s="5" t="s">
        <v>6215</v>
      </c>
      <c r="F689" s="5" t="s">
        <v>6216</v>
      </c>
      <c r="G689" s="5" t="s">
        <v>6217</v>
      </c>
      <c r="H689" s="1" t="s">
        <v>6218</v>
      </c>
      <c r="I689" s="5" t="s">
        <v>6219</v>
      </c>
      <c r="J689" s="7">
        <v>6</v>
      </c>
      <c r="K689" s="7">
        <v>2.56</v>
      </c>
      <c r="L689" s="5" t="s">
        <v>6220</v>
      </c>
      <c r="M689" s="7">
        <v>0.6</v>
      </c>
      <c r="N689" s="7">
        <v>0.5</v>
      </c>
      <c r="O689" s="7">
        <v>0.33400000000000002</v>
      </c>
      <c r="P689" s="1" t="s">
        <v>6221</v>
      </c>
    </row>
    <row r="690" spans="1:16" ht="17.05" x14ac:dyDescent="0.3">
      <c r="A690" s="6" t="str">
        <f>HYPERLINK("https://www.ti.com/product/TPSM82913E", "TPSM82913E")</f>
        <v>TPSM82913E</v>
      </c>
      <c r="B690" s="5" t="s">
        <v>6222</v>
      </c>
      <c r="C690" s="6" t="str">
        <f>HYPERLINK("https://www.ti.com/lit/gpn/TPSM82913E", "PDF")</f>
        <v>PDF</v>
      </c>
      <c r="D690" s="5" t="s">
        <v>6223</v>
      </c>
      <c r="E690" s="5" t="s">
        <v>6224</v>
      </c>
      <c r="F690" s="5" t="s">
        <v>6225</v>
      </c>
      <c r="G690" s="5" t="s">
        <v>6226</v>
      </c>
      <c r="H690" s="1" t="s">
        <v>6227</v>
      </c>
      <c r="I690" s="5" t="s">
        <v>6228</v>
      </c>
      <c r="J690" s="7">
        <v>28</v>
      </c>
      <c r="K690" s="7">
        <v>24.75</v>
      </c>
      <c r="L690" s="5" t="s">
        <v>6229</v>
      </c>
      <c r="M690" s="7">
        <v>1.9</v>
      </c>
      <c r="N690" s="7">
        <v>0.5</v>
      </c>
      <c r="O690" s="7">
        <v>5.1749999999999998</v>
      </c>
      <c r="P690" s="1" t="s">
        <v>6230</v>
      </c>
    </row>
    <row r="691" spans="1:16" ht="49.75" x14ac:dyDescent="0.3">
      <c r="A691" s="6" t="str">
        <f>HYPERLINK("https://www.ti.com/product/UCC21551-Q1", "UCC21551-Q1")</f>
        <v>UCC21551-Q1</v>
      </c>
      <c r="B691" s="5" t="s">
        <v>6231</v>
      </c>
      <c r="C691" s="6" t="str">
        <f>HYPERLINK("https://www.ti.com/lit/gpn/UCC21551-Q1", "PDF")</f>
        <v>PDF</v>
      </c>
      <c r="D691" s="5" t="s">
        <v>6232</v>
      </c>
      <c r="E691" s="5" t="s">
        <v>6233</v>
      </c>
      <c r="F691" s="5"/>
      <c r="G691" s="5" t="s">
        <v>6234</v>
      </c>
      <c r="H691" s="1" t="s">
        <v>6235</v>
      </c>
      <c r="I691" s="5" t="s">
        <v>6236</v>
      </c>
      <c r="J691" s="7" t="s">
        <v>6237</v>
      </c>
      <c r="K691" s="7" t="s">
        <v>6238</v>
      </c>
      <c r="L691" s="5" t="s">
        <v>6239</v>
      </c>
      <c r="M691" s="7" t="s">
        <v>6240</v>
      </c>
      <c r="N691" s="7" t="s">
        <v>6241</v>
      </c>
      <c r="O691" s="7">
        <v>1.5309999999999999</v>
      </c>
      <c r="P691" s="1" t="s">
        <v>6242</v>
      </c>
    </row>
    <row r="692" spans="1:16" ht="33.4" x14ac:dyDescent="0.3">
      <c r="A692" s="6" t="str">
        <f>HYPERLINK("https://www.ti.com/product/UCC21717-Q1", "UCC21717-Q1")</f>
        <v>UCC21717-Q1</v>
      </c>
      <c r="B692" s="5" t="s">
        <v>6243</v>
      </c>
      <c r="C692" s="6" t="str">
        <f>HYPERLINK("https://www.ti.com/lit/gpn/UCC21717-Q1", "PDF")</f>
        <v>PDF</v>
      </c>
      <c r="D692" s="5" t="s">
        <v>6244</v>
      </c>
      <c r="E692" s="5" t="s">
        <v>6245</v>
      </c>
      <c r="F692" s="5"/>
      <c r="G692" s="5" t="s">
        <v>6246</v>
      </c>
      <c r="H692" s="1" t="s">
        <v>6247</v>
      </c>
      <c r="I692" s="5" t="s">
        <v>6248</v>
      </c>
      <c r="J692" s="7">
        <v>16</v>
      </c>
      <c r="K692" s="7">
        <v>106.09</v>
      </c>
      <c r="L692" s="5" t="s">
        <v>6249</v>
      </c>
      <c r="M692" s="7">
        <v>2.65</v>
      </c>
      <c r="N692" s="7">
        <v>1.27</v>
      </c>
      <c r="O692" s="7">
        <v>1.7250000000000001</v>
      </c>
      <c r="P692" s="1" t="s">
        <v>6250</v>
      </c>
    </row>
    <row r="693" spans="1:16" ht="33.4" x14ac:dyDescent="0.3">
      <c r="A693" s="6" t="str">
        <f>HYPERLINK("https://www.ti.com/product/TPS62901-Q1", "TPS62901-Q1")</f>
        <v>TPS62901-Q1</v>
      </c>
      <c r="B693" s="5" t="s">
        <v>6251</v>
      </c>
      <c r="C693" s="6" t="str">
        <f>HYPERLINK("https://www.ti.com/lit/gpn/TPS62901-Q1", "PDF")</f>
        <v>PDF</v>
      </c>
      <c r="D693" s="5" t="s">
        <v>6252</v>
      </c>
      <c r="E693" s="5" t="s">
        <v>6253</v>
      </c>
      <c r="F693" s="5" t="s">
        <v>6254</v>
      </c>
      <c r="G693" s="5" t="s">
        <v>6255</v>
      </c>
      <c r="H693" s="1" t="s">
        <v>6256</v>
      </c>
      <c r="I693" s="5" t="s">
        <v>6257</v>
      </c>
      <c r="J693" s="7">
        <v>9</v>
      </c>
      <c r="K693" s="7">
        <v>4.4000000000000004</v>
      </c>
      <c r="L693" s="5" t="s">
        <v>6258</v>
      </c>
      <c r="M693" s="7">
        <v>0.9</v>
      </c>
      <c r="N693" s="7">
        <v>0.5</v>
      </c>
      <c r="O693" s="7">
        <v>0.56100000000000005</v>
      </c>
      <c r="P693" s="1" t="s">
        <v>6259</v>
      </c>
    </row>
    <row r="694" spans="1:16" ht="33.4" x14ac:dyDescent="0.3">
      <c r="A694" s="6" t="str">
        <f>HYPERLINK("https://www.ti.com/product/LM2105", "LM2105")</f>
        <v>LM2105</v>
      </c>
      <c r="B694" s="5" t="s">
        <v>6260</v>
      </c>
      <c r="C694" s="6" t="str">
        <f>HYPERLINK("https://www.ti.com/lit/gpn/LM2105", "PDF")</f>
        <v>PDF</v>
      </c>
      <c r="D694" s="5" t="s">
        <v>6261</v>
      </c>
      <c r="E694" s="5" t="s">
        <v>6262</v>
      </c>
      <c r="F694" s="5"/>
      <c r="G694" s="5" t="s">
        <v>6263</v>
      </c>
      <c r="H694" s="1" t="s">
        <v>6264</v>
      </c>
      <c r="I694" s="5" t="s">
        <v>6265</v>
      </c>
      <c r="J694" s="7">
        <v>8</v>
      </c>
      <c r="K694" s="7" t="s">
        <v>6266</v>
      </c>
      <c r="L694" s="5" t="s">
        <v>6267</v>
      </c>
      <c r="M694" s="7" t="s">
        <v>6268</v>
      </c>
      <c r="N694" s="7" t="s">
        <v>6269</v>
      </c>
      <c r="O694" s="7">
        <v>0.30299999999999999</v>
      </c>
      <c r="P694" s="1" t="s">
        <v>6270</v>
      </c>
    </row>
    <row r="695" spans="1:16" ht="33.4" x14ac:dyDescent="0.3">
      <c r="A695" s="6" t="str">
        <f>HYPERLINK("https://www.ti.com/product/TPSM83100", "TPSM83100")</f>
        <v>TPSM83100</v>
      </c>
      <c r="B695" s="5" t="s">
        <v>6271</v>
      </c>
      <c r="C695" s="6" t="str">
        <f>HYPERLINK("https://www.ti.com/lit/gpn/TPSM83100", "PDF")</f>
        <v>PDF</v>
      </c>
      <c r="D695" s="5" t="s">
        <v>6272</v>
      </c>
      <c r="E695" s="5" t="s">
        <v>6273</v>
      </c>
      <c r="F695" s="5" t="s">
        <v>6274</v>
      </c>
      <c r="G695" s="5" t="s">
        <v>6275</v>
      </c>
      <c r="H695" s="1" t="s">
        <v>6276</v>
      </c>
      <c r="I695" s="5" t="s">
        <v>6277</v>
      </c>
      <c r="J695" s="7">
        <v>8</v>
      </c>
      <c r="K695" s="7" t="s">
        <v>6278</v>
      </c>
      <c r="L695" s="5" t="s">
        <v>6279</v>
      </c>
      <c r="M695" s="7" t="s">
        <v>6280</v>
      </c>
      <c r="N695" s="7" t="s">
        <v>6281</v>
      </c>
      <c r="O695" s="7">
        <v>3.1030000000000002</v>
      </c>
      <c r="P695" s="1" t="s">
        <v>6282</v>
      </c>
    </row>
    <row r="696" spans="1:16" ht="33.4" x14ac:dyDescent="0.3">
      <c r="A696" s="6" t="str">
        <f>HYPERLINK("https://www.ti.com/product/LMQ66410", "LMQ66410")</f>
        <v>LMQ66410</v>
      </c>
      <c r="B696" s="5" t="s">
        <v>6283</v>
      </c>
      <c r="C696" s="6" t="str">
        <f>HYPERLINK("https://www.ti.com/lit/gpn/LMQ66410", "PDF")</f>
        <v>PDF</v>
      </c>
      <c r="D696" s="5" t="s">
        <v>6284</v>
      </c>
      <c r="E696" s="5" t="s">
        <v>6285</v>
      </c>
      <c r="F696" s="5" t="s">
        <v>6286</v>
      </c>
      <c r="G696" s="5" t="s">
        <v>6287</v>
      </c>
      <c r="H696" s="1" t="s">
        <v>6288</v>
      </c>
      <c r="I696" s="5" t="s">
        <v>6289</v>
      </c>
      <c r="J696" s="7">
        <v>14</v>
      </c>
      <c r="K696" s="7">
        <v>6.76</v>
      </c>
      <c r="L696" s="5" t="s">
        <v>6290</v>
      </c>
      <c r="M696" s="7">
        <v>1.05</v>
      </c>
      <c r="N696" s="7">
        <v>0.5</v>
      </c>
      <c r="O696" s="7">
        <v>1.139</v>
      </c>
      <c r="P696" s="1" t="s">
        <v>6291</v>
      </c>
    </row>
    <row r="697" spans="1:16" ht="33.4" x14ac:dyDescent="0.3">
      <c r="A697" s="6" t="str">
        <f>HYPERLINK("https://www.ti.com/product/LMQ66420", "LMQ66420")</f>
        <v>LMQ66420</v>
      </c>
      <c r="B697" s="5" t="s">
        <v>6292</v>
      </c>
      <c r="C697" s="6" t="str">
        <f>HYPERLINK("https://www.ti.com/lit/gpn/LMQ66420", "PDF")</f>
        <v>PDF</v>
      </c>
      <c r="D697" s="5" t="s">
        <v>6293</v>
      </c>
      <c r="E697" s="5" t="s">
        <v>6294</v>
      </c>
      <c r="F697" s="5" t="s">
        <v>6295</v>
      </c>
      <c r="G697" s="5" t="s">
        <v>6296</v>
      </c>
      <c r="H697" s="1" t="s">
        <v>6297</v>
      </c>
      <c r="I697" s="5" t="s">
        <v>6298</v>
      </c>
      <c r="J697" s="7">
        <v>14</v>
      </c>
      <c r="K697" s="7">
        <v>6.76</v>
      </c>
      <c r="L697" s="5" t="s">
        <v>6299</v>
      </c>
      <c r="M697" s="7">
        <v>1.05</v>
      </c>
      <c r="N697" s="7">
        <v>0.5</v>
      </c>
      <c r="O697" s="7">
        <v>1.3340000000000001</v>
      </c>
      <c r="P697" s="1" t="s">
        <v>6300</v>
      </c>
    </row>
    <row r="698" spans="1:16" ht="33.4" x14ac:dyDescent="0.3">
      <c r="A698" s="6" t="str">
        <f>HYPERLINK("https://www.ti.com/product/LM74910-Q1", "LM74910-Q1")</f>
        <v>LM74910-Q1</v>
      </c>
      <c r="B698" s="5" t="s">
        <v>6301</v>
      </c>
      <c r="C698" s="6" t="str">
        <f>HYPERLINK("https://www.ti.com/lit/gpn/LM74910-Q1", "PDF")</f>
        <v>PDF</v>
      </c>
      <c r="D698" s="5" t="s">
        <v>6302</v>
      </c>
      <c r="E698" s="5" t="s">
        <v>6303</v>
      </c>
      <c r="F698" s="5"/>
      <c r="G698" s="5" t="s">
        <v>6304</v>
      </c>
      <c r="H698" s="1" t="s">
        <v>6305</v>
      </c>
      <c r="I698" s="5" t="s">
        <v>6306</v>
      </c>
      <c r="J698" s="7">
        <v>24</v>
      </c>
      <c r="K698" s="7">
        <v>16</v>
      </c>
      <c r="L698" s="5" t="s">
        <v>6307</v>
      </c>
      <c r="M698" s="7">
        <v>1</v>
      </c>
      <c r="N698" s="7">
        <v>0.5</v>
      </c>
      <c r="O698" s="7">
        <v>1.754</v>
      </c>
      <c r="P698" s="1" t="s">
        <v>6308</v>
      </c>
    </row>
    <row r="699" spans="1:16" ht="33.4" x14ac:dyDescent="0.3">
      <c r="A699" s="6" t="str">
        <f>HYPERLINK("https://www.ti.com/product/TPS562242", "TPS562242")</f>
        <v>TPS562242</v>
      </c>
      <c r="B699" s="5" t="s">
        <v>6309</v>
      </c>
      <c r="C699" s="6" t="str">
        <f>HYPERLINK("https://www.ti.com/lit/gpn/TPS562242", "PDF")</f>
        <v>PDF</v>
      </c>
      <c r="D699" s="5" t="s">
        <v>6310</v>
      </c>
      <c r="E699" s="5" t="s">
        <v>6311</v>
      </c>
      <c r="F699" s="5" t="s">
        <v>6312</v>
      </c>
      <c r="G699" s="5" t="s">
        <v>6313</v>
      </c>
      <c r="H699" s="1" t="s">
        <v>6314</v>
      </c>
      <c r="I699" s="5" t="s">
        <v>6315</v>
      </c>
      <c r="J699" s="7">
        <v>6</v>
      </c>
      <c r="K699" s="7">
        <v>2.56</v>
      </c>
      <c r="L699" s="5" t="s">
        <v>6316</v>
      </c>
      <c r="M699" s="7">
        <v>0.6</v>
      </c>
      <c r="N699" s="7">
        <v>0.5</v>
      </c>
      <c r="O699" s="7">
        <v>0.15</v>
      </c>
      <c r="P699" s="1" t="s">
        <v>6317</v>
      </c>
    </row>
    <row r="700" spans="1:16" ht="33.4" x14ac:dyDescent="0.3">
      <c r="A700" s="6" t="str">
        <f>HYPERLINK("https://www.ti.com/product/TPSI2140-Q1", "TPSI2140-Q1")</f>
        <v>TPSI2140-Q1</v>
      </c>
      <c r="B700" s="5" t="s">
        <v>6318</v>
      </c>
      <c r="C700" s="6" t="str">
        <f>HYPERLINK("https://www.ti.com/lit/gpn/TPSI2140-Q1", "PDF")</f>
        <v>PDF</v>
      </c>
      <c r="D700" s="5" t="s">
        <v>6319</v>
      </c>
      <c r="E700" s="5" t="s">
        <v>6320</v>
      </c>
      <c r="F700" s="5"/>
      <c r="G700" s="5" t="s">
        <v>6321</v>
      </c>
      <c r="H700" s="1" t="s">
        <v>6322</v>
      </c>
      <c r="I700" s="5" t="s">
        <v>6323</v>
      </c>
      <c r="J700" s="7">
        <v>11</v>
      </c>
      <c r="K700" s="7">
        <v>106.09</v>
      </c>
      <c r="L700" s="5" t="s">
        <v>6324</v>
      </c>
      <c r="M700" s="7">
        <v>2.65</v>
      </c>
      <c r="N700" s="7">
        <v>1.27</v>
      </c>
      <c r="O700" s="7">
        <v>2.2890000000000001</v>
      </c>
      <c r="P700" s="1" t="s">
        <v>6325</v>
      </c>
    </row>
    <row r="701" spans="1:16" ht="17.05" x14ac:dyDescent="0.3">
      <c r="A701" s="6" t="str">
        <f>HYPERLINK("https://www.ti.com/product/TPSM863252", "TPSM863252")</f>
        <v>TPSM863252</v>
      </c>
      <c r="B701" s="5" t="s">
        <v>6326</v>
      </c>
      <c r="C701" s="6" t="str">
        <f>HYPERLINK("https://www.ti.com/lit/gpn/TPSM863252", "PDF")</f>
        <v>PDF</v>
      </c>
      <c r="D701" s="5" t="s">
        <v>6327</v>
      </c>
      <c r="E701" s="5" t="s">
        <v>6328</v>
      </c>
      <c r="F701" s="5" t="s">
        <v>6329</v>
      </c>
      <c r="G701" s="5" t="s">
        <v>6330</v>
      </c>
      <c r="H701" s="1" t="s">
        <v>6331</v>
      </c>
      <c r="I701" s="5" t="s">
        <v>6332</v>
      </c>
      <c r="J701" s="7">
        <v>7</v>
      </c>
      <c r="K701" s="7">
        <v>13.2</v>
      </c>
      <c r="L701" s="5" t="s">
        <v>6333</v>
      </c>
      <c r="M701" s="7">
        <v>2.1</v>
      </c>
      <c r="N701" s="7">
        <v>0.5</v>
      </c>
      <c r="O701" s="7">
        <v>1</v>
      </c>
      <c r="P701" s="1" t="s">
        <v>6334</v>
      </c>
    </row>
    <row r="702" spans="1:16" ht="17.05" x14ac:dyDescent="0.3">
      <c r="A702" s="6" t="str">
        <f>HYPERLINK("https://www.ti.com/product/TPSM863257", "TPSM863257")</f>
        <v>TPSM863257</v>
      </c>
      <c r="B702" s="5" t="s">
        <v>6335</v>
      </c>
      <c r="C702" s="6" t="str">
        <f>HYPERLINK("https://www.ti.com/lit/gpn/TPSM863257", "PDF")</f>
        <v>PDF</v>
      </c>
      <c r="D702" s="5" t="s">
        <v>6336</v>
      </c>
      <c r="E702" s="5" t="s">
        <v>6337</v>
      </c>
      <c r="F702" s="5" t="s">
        <v>6338</v>
      </c>
      <c r="G702" s="5" t="s">
        <v>6339</v>
      </c>
      <c r="H702" s="1" t="s">
        <v>6340</v>
      </c>
      <c r="I702" s="5" t="s">
        <v>6341</v>
      </c>
      <c r="J702" s="7">
        <v>7</v>
      </c>
      <c r="K702" s="7">
        <v>13.2</v>
      </c>
      <c r="L702" s="5" t="s">
        <v>6342</v>
      </c>
      <c r="M702" s="7">
        <v>2.1</v>
      </c>
      <c r="N702" s="7">
        <v>0.5</v>
      </c>
      <c r="O702" s="7">
        <v>1</v>
      </c>
      <c r="P702" s="1" t="s">
        <v>6343</v>
      </c>
    </row>
    <row r="703" spans="1:16" ht="33.4" x14ac:dyDescent="0.3">
      <c r="A703" s="6" t="str">
        <f>HYPERLINK("https://www.ti.com/product/TPS65219-Q1", "TPS65219-Q1")</f>
        <v>TPS65219-Q1</v>
      </c>
      <c r="B703" s="5" t="s">
        <v>6344</v>
      </c>
      <c r="C703" s="6" t="str">
        <f>HYPERLINK("https://www.ti.com/lit/gpn/TPS65219-Q1", "PDF")</f>
        <v>PDF</v>
      </c>
      <c r="D703" s="5" t="s">
        <v>6345</v>
      </c>
      <c r="E703" s="5" t="s">
        <v>6346</v>
      </c>
      <c r="F703" s="5"/>
      <c r="G703" s="5" t="s">
        <v>6347</v>
      </c>
      <c r="H703" s="1" t="s">
        <v>6348</v>
      </c>
      <c r="I703" s="5" t="s">
        <v>6349</v>
      </c>
      <c r="J703" s="7">
        <v>32</v>
      </c>
      <c r="K703" s="7">
        <v>25</v>
      </c>
      <c r="L703" s="5" t="s">
        <v>6350</v>
      </c>
      <c r="M703" s="7">
        <v>1</v>
      </c>
      <c r="N703" s="7">
        <v>0.5</v>
      </c>
      <c r="O703" s="7">
        <v>1.716</v>
      </c>
      <c r="P703" s="1" t="s">
        <v>6351</v>
      </c>
    </row>
    <row r="704" spans="1:16" ht="33.4" x14ac:dyDescent="0.3">
      <c r="A704" s="6" t="str">
        <f>HYPERLINK("https://www.ti.com/product/TLC69668-Q1", "TLC69668-Q1")</f>
        <v>TLC69668-Q1</v>
      </c>
      <c r="B704" s="5" t="s">
        <v>6352</v>
      </c>
      <c r="C704" s="6" t="str">
        <f>HYPERLINK("https://www.ti.com/lit/gpn/TLC69668-Q1", "PDF")</f>
        <v>PDF</v>
      </c>
      <c r="D704" s="5" t="s">
        <v>6353</v>
      </c>
      <c r="E704" s="5" t="s">
        <v>6354</v>
      </c>
      <c r="F704" s="5"/>
      <c r="G704" s="5" t="s">
        <v>6355</v>
      </c>
      <c r="H704" s="1" t="s">
        <v>6356</v>
      </c>
      <c r="I704" s="5" t="s">
        <v>6357</v>
      </c>
      <c r="J704" s="7" t="s">
        <v>6358</v>
      </c>
      <c r="K704" s="7" t="s">
        <v>6359</v>
      </c>
      <c r="L704" s="5" t="s">
        <v>6360</v>
      </c>
      <c r="M704" s="7" t="s">
        <v>6361</v>
      </c>
      <c r="N704" s="7" t="s">
        <v>6362</v>
      </c>
      <c r="O704" s="7">
        <v>4.1500000000000004</v>
      </c>
      <c r="P704" s="1" t="s">
        <v>6363</v>
      </c>
    </row>
    <row r="705" spans="1:16" ht="17.05" x14ac:dyDescent="0.3">
      <c r="A705" s="6" t="str">
        <f>HYPERLINK("https://www.ti.com/product/TPS25990", "TPS25990")</f>
        <v>TPS25990</v>
      </c>
      <c r="B705" s="5" t="s">
        <v>6364</v>
      </c>
      <c r="C705" s="6" t="str">
        <f>HYPERLINK("https://www.ti.com/lit/gpn/TPS25990", "PDF")</f>
        <v>PDF</v>
      </c>
      <c r="D705" s="5" t="s">
        <v>6365</v>
      </c>
      <c r="E705" s="5" t="s">
        <v>6366</v>
      </c>
      <c r="F705" s="5"/>
      <c r="G705" s="5" t="s">
        <v>6367</v>
      </c>
      <c r="H705" s="1" t="s">
        <v>6368</v>
      </c>
      <c r="I705" s="5" t="s">
        <v>6369</v>
      </c>
      <c r="J705" s="7">
        <v>26</v>
      </c>
      <c r="K705" s="7">
        <v>22.5</v>
      </c>
      <c r="L705" s="5" t="s">
        <v>6370</v>
      </c>
      <c r="M705" s="7">
        <v>1</v>
      </c>
      <c r="N705" s="7">
        <v>0.4</v>
      </c>
      <c r="O705" s="7">
        <v>3.1739999999999999</v>
      </c>
      <c r="P705" s="1" t="s">
        <v>6371</v>
      </c>
    </row>
    <row r="706" spans="1:16" ht="33.4" x14ac:dyDescent="0.3">
      <c r="A706" s="6" t="str">
        <f>HYPERLINK("https://www.ti.com/product/TPS62441", "TPS62441")</f>
        <v>TPS62441</v>
      </c>
      <c r="B706" s="5" t="s">
        <v>6372</v>
      </c>
      <c r="C706" s="6" t="str">
        <f>HYPERLINK("https://www.ti.com/lit/gpn/TPS62441", "PDF")</f>
        <v>PDF</v>
      </c>
      <c r="D706" s="5" t="s">
        <v>6373</v>
      </c>
      <c r="E706" s="5" t="s">
        <v>6374</v>
      </c>
      <c r="F706" s="5" t="s">
        <v>6375</v>
      </c>
      <c r="G706" s="5" t="s">
        <v>6376</v>
      </c>
      <c r="H706" s="1" t="s">
        <v>6377</v>
      </c>
      <c r="I706" s="5" t="s">
        <v>6378</v>
      </c>
      <c r="J706" s="7">
        <v>14</v>
      </c>
      <c r="K706" s="7">
        <v>6.21</v>
      </c>
      <c r="L706" s="5" t="s">
        <v>6379</v>
      </c>
      <c r="M706" s="7">
        <v>1</v>
      </c>
      <c r="N706" s="7">
        <v>0.5</v>
      </c>
      <c r="O706" s="7">
        <v>0.79400000000000004</v>
      </c>
      <c r="P706" s="1" t="s">
        <v>6380</v>
      </c>
    </row>
    <row r="707" spans="1:16" ht="33.4" x14ac:dyDescent="0.3">
      <c r="A707" s="6" t="str">
        <f>HYPERLINK("https://www.ti.com/product/TPS62442", "TPS62442")</f>
        <v>TPS62442</v>
      </c>
      <c r="B707" s="5" t="s">
        <v>6381</v>
      </c>
      <c r="C707" s="6" t="str">
        <f>HYPERLINK("https://www.ti.com/lit/gpn/TPS62442", "PDF")</f>
        <v>PDF</v>
      </c>
      <c r="D707" s="5" t="s">
        <v>6382</v>
      </c>
      <c r="E707" s="5" t="s">
        <v>6383</v>
      </c>
      <c r="F707" s="5" t="s">
        <v>6384</v>
      </c>
      <c r="G707" s="5" t="s">
        <v>6385</v>
      </c>
      <c r="H707" s="1" t="s">
        <v>6386</v>
      </c>
      <c r="I707" s="5" t="s">
        <v>6387</v>
      </c>
      <c r="J707" s="7">
        <v>14</v>
      </c>
      <c r="K707" s="7">
        <v>6.21</v>
      </c>
      <c r="L707" s="5" t="s">
        <v>6388</v>
      </c>
      <c r="M707" s="7">
        <v>1</v>
      </c>
      <c r="N707" s="7">
        <v>0.5</v>
      </c>
      <c r="O707" s="7">
        <v>0.92</v>
      </c>
      <c r="P707" s="1" t="s">
        <v>6389</v>
      </c>
    </row>
    <row r="708" spans="1:16" ht="49.75" x14ac:dyDescent="0.3">
      <c r="A708" s="6" t="str">
        <f>HYPERLINK("https://www.ti.com/product/TPS62843", "TPS62843")</f>
        <v>TPS62843</v>
      </c>
      <c r="B708" s="5" t="s">
        <v>6390</v>
      </c>
      <c r="C708" s="6" t="str">
        <f>HYPERLINK("https://www.ti.com/lit/gpn/TPS62843", "PDF")</f>
        <v>PDF</v>
      </c>
      <c r="D708" s="5" t="s">
        <v>6391</v>
      </c>
      <c r="E708" s="5" t="s">
        <v>6392</v>
      </c>
      <c r="F708" s="5" t="s">
        <v>6393</v>
      </c>
      <c r="G708" s="5" t="s">
        <v>6394</v>
      </c>
      <c r="H708" s="1" t="s">
        <v>6395</v>
      </c>
      <c r="I708" s="5" t="s">
        <v>6396</v>
      </c>
      <c r="J708" s="7">
        <v>6</v>
      </c>
      <c r="K708" s="7" t="s">
        <v>6397</v>
      </c>
      <c r="L708" s="5" t="s">
        <v>6398</v>
      </c>
      <c r="M708" s="7" t="s">
        <v>6399</v>
      </c>
      <c r="N708" s="7" t="s">
        <v>6400</v>
      </c>
      <c r="O708" s="7">
        <v>0.55000000000000004</v>
      </c>
      <c r="P708" s="1" t="s">
        <v>6401</v>
      </c>
    </row>
    <row r="709" spans="1:16" ht="33.4" x14ac:dyDescent="0.3">
      <c r="A709" s="6" t="str">
        <f>HYPERLINK("https://www.ti.com/product/UCC28731-Q1", "UCC28731-Q1")</f>
        <v>UCC28731-Q1</v>
      </c>
      <c r="B709" s="5" t="s">
        <v>6402</v>
      </c>
      <c r="C709" s="6" t="str">
        <f>HYPERLINK("https://www.ti.com/lit/gpn/UCC28731-Q1", "PDF")</f>
        <v>PDF</v>
      </c>
      <c r="D709" s="5" t="s">
        <v>6403</v>
      </c>
      <c r="E709" s="5" t="s">
        <v>6404</v>
      </c>
      <c r="F709" s="5" t="s">
        <v>6405</v>
      </c>
      <c r="G709" s="5" t="s">
        <v>6406</v>
      </c>
      <c r="H709" s="1" t="s">
        <v>6407</v>
      </c>
      <c r="I709" s="5" t="s">
        <v>6408</v>
      </c>
      <c r="J709" s="7">
        <v>7</v>
      </c>
      <c r="K709" s="7">
        <v>29.4</v>
      </c>
      <c r="L709" s="5" t="s">
        <v>6409</v>
      </c>
      <c r="M709" s="7">
        <v>1.75</v>
      </c>
      <c r="N709" s="7">
        <v>1.27</v>
      </c>
      <c r="O709" s="7">
        <v>0.60899999999999999</v>
      </c>
      <c r="P709" s="1" t="s">
        <v>6410</v>
      </c>
    </row>
    <row r="710" spans="1:16" ht="49.75" x14ac:dyDescent="0.3">
      <c r="A710" s="6" t="str">
        <f>HYPERLINK("https://www.ti.com/product/TPS7H1111-SP", "TPS7H1111-SP")</f>
        <v>TPS7H1111-SP</v>
      </c>
      <c r="B710" s="5" t="s">
        <v>6411</v>
      </c>
      <c r="C710" s="6" t="str">
        <f>HYPERLINK("https://www.ti.com/lit/gpn/TPS7H1111-SP", "PDF")</f>
        <v>PDF</v>
      </c>
      <c r="D710" s="5" t="s">
        <v>6412</v>
      </c>
      <c r="E710" s="5" t="s">
        <v>6413</v>
      </c>
      <c r="F710" s="5"/>
      <c r="G710" s="5" t="s">
        <v>6414</v>
      </c>
      <c r="H710" s="1" t="s">
        <v>6415</v>
      </c>
      <c r="I710" s="5" t="s">
        <v>6416</v>
      </c>
      <c r="J710" s="7" t="s">
        <v>6417</v>
      </c>
      <c r="K710" s="7" t="s">
        <v>6418</v>
      </c>
      <c r="L710" s="5" t="s">
        <v>6419</v>
      </c>
      <c r="M710" s="7" t="s">
        <v>6420</v>
      </c>
      <c r="N710" s="7" t="s">
        <v>6421</v>
      </c>
      <c r="O710" s="7">
        <v>3018.9459999999999</v>
      </c>
      <c r="P710" s="1" t="s">
        <v>6422</v>
      </c>
    </row>
    <row r="711" spans="1:16" ht="33.4" x14ac:dyDescent="0.3">
      <c r="A711" s="6" t="str">
        <f>HYPERLINK("https://www.ti.com/product/TPS543A22", "TPS543A22")</f>
        <v>TPS543A22</v>
      </c>
      <c r="B711" s="5" t="s">
        <v>6423</v>
      </c>
      <c r="C711" s="6" t="str">
        <f>HYPERLINK("https://www.ti.com/lit/gpn/TPS543A22", "PDF")</f>
        <v>PDF</v>
      </c>
      <c r="D711" s="5" t="s">
        <v>6424</v>
      </c>
      <c r="E711" s="5" t="s">
        <v>6425</v>
      </c>
      <c r="F711" s="5" t="s">
        <v>6426</v>
      </c>
      <c r="G711" s="5" t="s">
        <v>6427</v>
      </c>
      <c r="H711" s="1" t="s">
        <v>6428</v>
      </c>
      <c r="I711" s="5" t="s">
        <v>6429</v>
      </c>
      <c r="J711" s="7">
        <v>17</v>
      </c>
      <c r="K711" s="7">
        <v>11.25</v>
      </c>
      <c r="L711" s="5" t="s">
        <v>6430</v>
      </c>
      <c r="M711" s="7">
        <v>0.7</v>
      </c>
      <c r="N711" s="7">
        <v>0.5</v>
      </c>
      <c r="O711" s="7">
        <v>1.4650000000000001</v>
      </c>
      <c r="P711" s="1" t="s">
        <v>6431</v>
      </c>
    </row>
    <row r="712" spans="1:16" ht="33.4" x14ac:dyDescent="0.3">
      <c r="A712" s="6" t="str">
        <f>HYPERLINK("https://www.ti.com/product/TPS543B25", "TPS543B25")</f>
        <v>TPS543B25</v>
      </c>
      <c r="B712" s="5" t="s">
        <v>6432</v>
      </c>
      <c r="C712" s="6" t="str">
        <f>HYPERLINK("https://www.ti.com/lit/gpn/TPS543B25", "PDF")</f>
        <v>PDF</v>
      </c>
      <c r="D712" s="5" t="s">
        <v>6433</v>
      </c>
      <c r="E712" s="5" t="s">
        <v>6434</v>
      </c>
      <c r="F712" s="5" t="s">
        <v>6435</v>
      </c>
      <c r="G712" s="5" t="s">
        <v>6436</v>
      </c>
      <c r="H712" s="1" t="s">
        <v>6437</v>
      </c>
      <c r="I712" s="5" t="s">
        <v>6438</v>
      </c>
      <c r="J712" s="7">
        <v>17</v>
      </c>
      <c r="K712" s="7">
        <v>11.25</v>
      </c>
      <c r="L712" s="5" t="s">
        <v>6439</v>
      </c>
      <c r="M712" s="7">
        <v>0.7</v>
      </c>
      <c r="N712" s="7">
        <v>0.5</v>
      </c>
      <c r="O712" s="7">
        <v>2.1280000000000001</v>
      </c>
      <c r="P712" s="1" t="s">
        <v>6440</v>
      </c>
    </row>
    <row r="713" spans="1:16" ht="33.4" x14ac:dyDescent="0.3">
      <c r="A713" s="6" t="str">
        <f>HYPERLINK("https://www.ti.com/product/LM5177", "LM5177")</f>
        <v>LM5177</v>
      </c>
      <c r="B713" s="5" t="s">
        <v>6441</v>
      </c>
      <c r="C713" s="6" t="str">
        <f>HYPERLINK("https://www.ti.com/lit/gpn/LM5177", "PDF")</f>
        <v>PDF</v>
      </c>
      <c r="D713" s="5" t="s">
        <v>6442</v>
      </c>
      <c r="E713" s="5" t="s">
        <v>6443</v>
      </c>
      <c r="F713" s="5" t="s">
        <v>6444</v>
      </c>
      <c r="G713" s="5" t="s">
        <v>6445</v>
      </c>
      <c r="H713" s="1" t="s">
        <v>6446</v>
      </c>
      <c r="I713" s="5" t="s">
        <v>6447</v>
      </c>
      <c r="J713" s="7">
        <v>38</v>
      </c>
      <c r="K713" s="7">
        <v>62.08</v>
      </c>
      <c r="L713" s="5" t="s">
        <v>6448</v>
      </c>
      <c r="M713" s="7">
        <v>1.2</v>
      </c>
      <c r="N713" s="7">
        <v>0.5</v>
      </c>
      <c r="O713" s="7">
        <v>3.22</v>
      </c>
      <c r="P713" s="1" t="s">
        <v>6449</v>
      </c>
    </row>
    <row r="714" spans="1:16" ht="33.4" x14ac:dyDescent="0.3">
      <c r="A714" s="6" t="str">
        <f>HYPERLINK("https://www.ti.com/product/LMQ66410-Q1", "LMQ66410-Q1")</f>
        <v>LMQ66410-Q1</v>
      </c>
      <c r="B714" s="5" t="s">
        <v>6450</v>
      </c>
      <c r="C714" s="6" t="str">
        <f>HYPERLINK("https://www.ti.com/lit/gpn/LMQ66410-Q1", "PDF")</f>
        <v>PDF</v>
      </c>
      <c r="D714" s="5" t="s">
        <v>6451</v>
      </c>
      <c r="E714" s="5" t="s">
        <v>6452</v>
      </c>
      <c r="F714" s="5" t="s">
        <v>6453</v>
      </c>
      <c r="G714" s="5" t="s">
        <v>6454</v>
      </c>
      <c r="H714" s="1" t="s">
        <v>6455</v>
      </c>
      <c r="I714" s="5" t="s">
        <v>6456</v>
      </c>
      <c r="J714" s="7">
        <v>14</v>
      </c>
      <c r="K714" s="7">
        <v>6.76</v>
      </c>
      <c r="L714" s="5" t="s">
        <v>6457</v>
      </c>
      <c r="M714" s="7">
        <v>1.05</v>
      </c>
      <c r="N714" s="7">
        <v>0.5</v>
      </c>
      <c r="O714" s="7">
        <v>1.196</v>
      </c>
      <c r="P714" s="1" t="s">
        <v>6458</v>
      </c>
    </row>
    <row r="715" spans="1:16" ht="33.4" x14ac:dyDescent="0.3">
      <c r="A715" s="6" t="str">
        <f>HYPERLINK("https://www.ti.com/product/LMQ66420-Q1", "LMQ66420-Q1")</f>
        <v>LMQ66420-Q1</v>
      </c>
      <c r="B715" s="5" t="s">
        <v>6459</v>
      </c>
      <c r="C715" s="6" t="str">
        <f>HYPERLINK("https://www.ti.com/lit/gpn/LMQ66420-Q1", "PDF")</f>
        <v>PDF</v>
      </c>
      <c r="D715" s="5" t="s">
        <v>6460</v>
      </c>
      <c r="E715" s="5" t="s">
        <v>6461</v>
      </c>
      <c r="F715" s="5" t="s">
        <v>6462</v>
      </c>
      <c r="G715" s="5" t="s">
        <v>6463</v>
      </c>
      <c r="H715" s="1" t="s">
        <v>6464</v>
      </c>
      <c r="I715" s="5" t="s">
        <v>6465</v>
      </c>
      <c r="J715" s="7">
        <v>14</v>
      </c>
      <c r="K715" s="7">
        <v>6.76</v>
      </c>
      <c r="L715" s="5" t="s">
        <v>6466</v>
      </c>
      <c r="M715" s="7">
        <v>1.05</v>
      </c>
      <c r="N715" s="7">
        <v>0.5</v>
      </c>
      <c r="O715" s="7">
        <v>1.524</v>
      </c>
      <c r="P715" s="1" t="s">
        <v>6467</v>
      </c>
    </row>
    <row r="716" spans="1:16" ht="33.4" x14ac:dyDescent="0.3">
      <c r="A716" s="6" t="str">
        <f>HYPERLINK("https://www.ti.com/product/TPS389006", "TPS389006")</f>
        <v>TPS389006</v>
      </c>
      <c r="B716" s="5" t="s">
        <v>6468</v>
      </c>
      <c r="C716" s="6" t="str">
        <f>HYPERLINK("https://www.ti.com/lit/gpn/TPS389006", "PDF")</f>
        <v>PDF</v>
      </c>
      <c r="D716" s="5" t="s">
        <v>6469</v>
      </c>
      <c r="E716" s="5" t="s">
        <v>6470</v>
      </c>
      <c r="F716" s="5"/>
      <c r="G716" s="5" t="s">
        <v>6471</v>
      </c>
      <c r="H716" s="1" t="s">
        <v>6472</v>
      </c>
      <c r="I716" s="5" t="s">
        <v>6473</v>
      </c>
      <c r="J716" s="7">
        <v>16</v>
      </c>
      <c r="K716" s="7">
        <v>9</v>
      </c>
      <c r="L716" s="5" t="s">
        <v>6474</v>
      </c>
      <c r="M716" s="7">
        <v>0.8</v>
      </c>
      <c r="N716" s="7">
        <v>0.5</v>
      </c>
      <c r="O716" s="7">
        <v>2.415</v>
      </c>
      <c r="P716" s="1" t="s">
        <v>6475</v>
      </c>
    </row>
    <row r="717" spans="1:16" ht="33.4" x14ac:dyDescent="0.3">
      <c r="A717" s="6" t="str">
        <f>HYPERLINK("https://www.ti.com/product/TPS389006-Q1", "TPS389006-Q1")</f>
        <v>TPS389006-Q1</v>
      </c>
      <c r="B717" s="5" t="s">
        <v>6476</v>
      </c>
      <c r="C717" s="6" t="str">
        <f>HYPERLINK("https://www.ti.com/lit/gpn/TPS389006-Q1", "PDF")</f>
        <v>PDF</v>
      </c>
      <c r="D717" s="5" t="s">
        <v>6477</v>
      </c>
      <c r="E717" s="5" t="s">
        <v>6478</v>
      </c>
      <c r="F717" s="5"/>
      <c r="G717" s="5" t="s">
        <v>6479</v>
      </c>
      <c r="H717" s="1" t="s">
        <v>6480</v>
      </c>
      <c r="I717" s="5" t="s">
        <v>6481</v>
      </c>
      <c r="J717" s="7">
        <v>16</v>
      </c>
      <c r="K717" s="7">
        <v>9</v>
      </c>
      <c r="L717" s="5" t="s">
        <v>6482</v>
      </c>
      <c r="M717" s="7">
        <v>0.8</v>
      </c>
      <c r="N717" s="7">
        <v>0.5</v>
      </c>
      <c r="O717" s="7">
        <v>2.7730000000000001</v>
      </c>
      <c r="P717" s="1" t="s">
        <v>6483</v>
      </c>
    </row>
    <row r="718" spans="1:16" ht="33.4" x14ac:dyDescent="0.3">
      <c r="A718" s="6" t="str">
        <f>HYPERLINK("https://www.ti.com/product/TPS7H3302-SEP", "TPS7H3302-SEP")</f>
        <v>TPS7H3302-SEP</v>
      </c>
      <c r="B718" s="5" t="s">
        <v>6484</v>
      </c>
      <c r="C718" s="6" t="str">
        <f>HYPERLINK("https://www.ti.com/lit/gpn/TPS7H3302-SEP", "PDF")</f>
        <v>PDF</v>
      </c>
      <c r="D718" s="5" t="s">
        <v>6485</v>
      </c>
      <c r="E718" s="5" t="s">
        <v>6486</v>
      </c>
      <c r="F718" s="5"/>
      <c r="G718" s="5" t="s">
        <v>6487</v>
      </c>
      <c r="H718" s="1" t="s">
        <v>6488</v>
      </c>
      <c r="I718" s="5" t="s">
        <v>6489</v>
      </c>
      <c r="J718" s="7">
        <v>32</v>
      </c>
      <c r="K718" s="7">
        <v>89.1</v>
      </c>
      <c r="L718" s="5" t="s">
        <v>6490</v>
      </c>
      <c r="M718" s="7">
        <v>1.2</v>
      </c>
      <c r="N718" s="7">
        <v>0.65</v>
      </c>
      <c r="O718" s="7">
        <v>1653.413</v>
      </c>
      <c r="P718" s="1" t="s">
        <v>6491</v>
      </c>
    </row>
    <row r="719" spans="1:16" ht="33.4" x14ac:dyDescent="0.3">
      <c r="A719" s="6" t="str">
        <f>HYPERLINK("https://www.ti.com/product/LMR36501", "LMR36501")</f>
        <v>LMR36501</v>
      </c>
      <c r="B719" s="5" t="s">
        <v>6492</v>
      </c>
      <c r="C719" s="6" t="str">
        <f>HYPERLINK("https://www.ti.com/lit/gpn/LMR36501", "PDF")</f>
        <v>PDF</v>
      </c>
      <c r="D719" s="5" t="s">
        <v>6493</v>
      </c>
      <c r="E719" s="5" t="s">
        <v>6494</v>
      </c>
      <c r="F719" s="5" t="s">
        <v>6495</v>
      </c>
      <c r="G719" s="5" t="s">
        <v>6496</v>
      </c>
      <c r="H719" s="1" t="s">
        <v>6497</v>
      </c>
      <c r="I719" s="5" t="s">
        <v>6498</v>
      </c>
      <c r="J719" s="7">
        <v>9</v>
      </c>
      <c r="K719" s="7">
        <v>4</v>
      </c>
      <c r="L719" s="5" t="s">
        <v>6499</v>
      </c>
      <c r="M719" s="7">
        <v>1</v>
      </c>
      <c r="N719" s="7">
        <v>0.5</v>
      </c>
      <c r="O719" s="7">
        <v>1.284</v>
      </c>
      <c r="P719" s="1" t="s">
        <v>6500</v>
      </c>
    </row>
    <row r="720" spans="1:16" ht="33.4" x14ac:dyDescent="0.3">
      <c r="A720" s="6" t="str">
        <f>HYPERLINK("https://www.ti.com/product/TPS748A-Q1", "TPS748A-Q1")</f>
        <v>TPS748A-Q1</v>
      </c>
      <c r="B720" s="5" t="s">
        <v>6501</v>
      </c>
      <c r="C720" s="6" t="str">
        <f>HYPERLINK("https://www.ti.com/lit/gpn/TPS748A-Q1", "PDF")</f>
        <v>PDF</v>
      </c>
      <c r="D720" s="5" t="s">
        <v>6502</v>
      </c>
      <c r="E720" s="5" t="s">
        <v>6503</v>
      </c>
      <c r="F720" s="5"/>
      <c r="G720" s="5" t="s">
        <v>6504</v>
      </c>
      <c r="H720" s="1" t="s">
        <v>6505</v>
      </c>
      <c r="I720" s="5" t="s">
        <v>6506</v>
      </c>
      <c r="J720" s="7">
        <v>10</v>
      </c>
      <c r="K720" s="7">
        <v>9</v>
      </c>
      <c r="L720" s="5" t="s">
        <v>6507</v>
      </c>
      <c r="M720" s="7">
        <v>1</v>
      </c>
      <c r="N720" s="7">
        <v>0.5</v>
      </c>
      <c r="O720" s="7">
        <v>0.78200000000000003</v>
      </c>
      <c r="P720" s="1" t="s">
        <v>6508</v>
      </c>
    </row>
    <row r="721" spans="1:16" ht="33.4" x14ac:dyDescent="0.3">
      <c r="A721" s="6" t="str">
        <f>HYPERLINK("https://www.ti.com/product/LMG3526R030", "LMG3526R030")</f>
        <v>LMG3526R030</v>
      </c>
      <c r="B721" s="5" t="s">
        <v>6509</v>
      </c>
      <c r="C721" s="6" t="str">
        <f>HYPERLINK("https://www.ti.com/lit/gpn/LMG3526R030", "PDF")</f>
        <v>PDF</v>
      </c>
      <c r="D721" s="5" t="s">
        <v>6510</v>
      </c>
      <c r="E721" s="5" t="s">
        <v>6511</v>
      </c>
      <c r="F721" s="5"/>
      <c r="G721" s="5" t="s">
        <v>6512</v>
      </c>
      <c r="H721" s="1" t="s">
        <v>6513</v>
      </c>
      <c r="I721" s="5" t="s">
        <v>6514</v>
      </c>
      <c r="J721" s="7">
        <v>52</v>
      </c>
      <c r="K721" s="7">
        <v>144</v>
      </c>
      <c r="L721" s="5" t="s">
        <v>6515</v>
      </c>
      <c r="M721" s="7">
        <v>1</v>
      </c>
      <c r="N721" s="7">
        <v>0.65</v>
      </c>
      <c r="O721" s="7">
        <v>9.8000000000000007</v>
      </c>
      <c r="P721" s="1" t="s">
        <v>6516</v>
      </c>
    </row>
    <row r="722" spans="1:16" ht="33.4" x14ac:dyDescent="0.3">
      <c r="A722" s="6" t="str">
        <f>HYPERLINK("https://www.ti.com/product/TPS650350-Q1", "TPS650350-Q1")</f>
        <v>TPS650350-Q1</v>
      </c>
      <c r="B722" s="5" t="s">
        <v>6517</v>
      </c>
      <c r="C722" s="6" t="str">
        <f>HYPERLINK("https://www.ti.com/lit/gpn/TPS650350-Q1", "PDF")</f>
        <v>PDF</v>
      </c>
      <c r="D722" s="5" t="s">
        <v>6518</v>
      </c>
      <c r="E722" s="5" t="s">
        <v>6519</v>
      </c>
      <c r="F722" s="5"/>
      <c r="G722" s="5" t="s">
        <v>6520</v>
      </c>
      <c r="H722" s="1" t="s">
        <v>6521</v>
      </c>
      <c r="I722" s="5" t="s">
        <v>6522</v>
      </c>
      <c r="J722" s="7">
        <v>22</v>
      </c>
      <c r="K722" s="7">
        <v>10.5</v>
      </c>
      <c r="L722" s="5" t="s">
        <v>6523</v>
      </c>
      <c r="M722" s="7">
        <v>0.7</v>
      </c>
      <c r="N722" s="7">
        <v>0.5</v>
      </c>
      <c r="O722" s="7">
        <v>1.1990000000000001</v>
      </c>
      <c r="P722" s="1" t="s">
        <v>6524</v>
      </c>
    </row>
    <row r="723" spans="1:16" ht="33.4" x14ac:dyDescent="0.3">
      <c r="A723" s="6" t="str">
        <f>HYPERLINK("https://www.ti.com/product/LMR43610", "LMR43610")</f>
        <v>LMR43610</v>
      </c>
      <c r="B723" s="5" t="s">
        <v>6525</v>
      </c>
      <c r="C723" s="6" t="str">
        <f>HYPERLINK("https://www.ti.com/lit/gpn/LMR43610", "PDF")</f>
        <v>PDF</v>
      </c>
      <c r="D723" s="5" t="s">
        <v>6526</v>
      </c>
      <c r="E723" s="5" t="s">
        <v>6527</v>
      </c>
      <c r="F723" s="5" t="s">
        <v>6528</v>
      </c>
      <c r="G723" s="5" t="s">
        <v>6529</v>
      </c>
      <c r="H723" s="1" t="s">
        <v>6530</v>
      </c>
      <c r="I723" s="5" t="s">
        <v>6531</v>
      </c>
      <c r="J723" s="7">
        <v>9</v>
      </c>
      <c r="K723" s="7">
        <v>4</v>
      </c>
      <c r="L723" s="5" t="s">
        <v>6532</v>
      </c>
      <c r="M723" s="7">
        <v>1</v>
      </c>
      <c r="N723" s="7">
        <v>0.5</v>
      </c>
      <c r="O723" s="7">
        <v>0.85</v>
      </c>
      <c r="P723" s="1" t="s">
        <v>6533</v>
      </c>
    </row>
    <row r="724" spans="1:16" ht="33.4" x14ac:dyDescent="0.3">
      <c r="A724" s="6" t="str">
        <f>HYPERLINK("https://www.ti.com/product/LMR43620", "LMR43620")</f>
        <v>LMR43620</v>
      </c>
      <c r="B724" s="5" t="s">
        <v>6534</v>
      </c>
      <c r="C724" s="6" t="str">
        <f>HYPERLINK("https://www.ti.com/lit/gpn/LMR43620", "PDF")</f>
        <v>PDF</v>
      </c>
      <c r="D724" s="5" t="s">
        <v>6535</v>
      </c>
      <c r="E724" s="5" t="s">
        <v>6536</v>
      </c>
      <c r="F724" s="5" t="s">
        <v>6537</v>
      </c>
      <c r="G724" s="5" t="s">
        <v>6538</v>
      </c>
      <c r="H724" s="1" t="s">
        <v>6539</v>
      </c>
      <c r="I724" s="5" t="s">
        <v>6540</v>
      </c>
      <c r="J724" s="7">
        <v>9</v>
      </c>
      <c r="K724" s="7">
        <v>4</v>
      </c>
      <c r="L724" s="5" t="s">
        <v>6541</v>
      </c>
      <c r="M724" s="7">
        <v>1</v>
      </c>
      <c r="N724" s="7">
        <v>0.5</v>
      </c>
      <c r="O724" s="7">
        <v>0.92500000000000004</v>
      </c>
      <c r="P724" s="1" t="s">
        <v>6542</v>
      </c>
    </row>
    <row r="725" spans="1:16" ht="33.4" x14ac:dyDescent="0.3">
      <c r="A725" s="6" t="str">
        <f>HYPERLINK("https://www.ti.com/product/TPSF12C1", "TPSF12C1")</f>
        <v>TPSF12C1</v>
      </c>
      <c r="B725" s="5" t="s">
        <v>6543</v>
      </c>
      <c r="C725" s="6" t="str">
        <f>HYPERLINK("https://www.ti.com/lit/gpn/TPSF12C1", "PDF")</f>
        <v>PDF</v>
      </c>
      <c r="D725" s="5" t="s">
        <v>6544</v>
      </c>
      <c r="E725" s="5" t="s">
        <v>6545</v>
      </c>
      <c r="F725" s="5"/>
      <c r="G725" s="5" t="s">
        <v>6546</v>
      </c>
      <c r="H725" s="1" t="s">
        <v>6547</v>
      </c>
      <c r="I725" s="5" t="s">
        <v>6548</v>
      </c>
      <c r="J725" s="7">
        <v>14</v>
      </c>
      <c r="K725" s="7">
        <v>13.692</v>
      </c>
      <c r="L725" s="5" t="s">
        <v>6549</v>
      </c>
      <c r="M725" s="7">
        <v>1.1000000000000001</v>
      </c>
      <c r="N725" s="7">
        <v>0.5</v>
      </c>
      <c r="O725" s="7">
        <v>0.89600000000000002</v>
      </c>
      <c r="P725" s="1" t="s">
        <v>6550</v>
      </c>
    </row>
    <row r="726" spans="1:16" ht="33.4" x14ac:dyDescent="0.3">
      <c r="A726" s="6" t="str">
        <f>HYPERLINK("https://www.ti.com/product/TPSF12C3", "TPSF12C3")</f>
        <v>TPSF12C3</v>
      </c>
      <c r="B726" s="5" t="s">
        <v>6551</v>
      </c>
      <c r="C726" s="6" t="str">
        <f>HYPERLINK("https://www.ti.com/lit/gpn/TPSF12C3", "PDF")</f>
        <v>PDF</v>
      </c>
      <c r="D726" s="5" t="s">
        <v>6552</v>
      </c>
      <c r="E726" s="5" t="s">
        <v>6553</v>
      </c>
      <c r="F726" s="5"/>
      <c r="G726" s="5" t="s">
        <v>6554</v>
      </c>
      <c r="H726" s="1" t="s">
        <v>6555</v>
      </c>
      <c r="I726" s="5" t="s">
        <v>6556</v>
      </c>
      <c r="J726" s="7">
        <v>14</v>
      </c>
      <c r="K726" s="7">
        <v>13.692</v>
      </c>
      <c r="L726" s="5" t="s">
        <v>6557</v>
      </c>
      <c r="M726" s="7">
        <v>1.1000000000000001</v>
      </c>
      <c r="N726" s="7">
        <v>0.5</v>
      </c>
      <c r="O726" s="7">
        <v>1.0760000000000001</v>
      </c>
      <c r="P726" s="1" t="s">
        <v>6558</v>
      </c>
    </row>
    <row r="727" spans="1:16" ht="33.4" x14ac:dyDescent="0.3">
      <c r="A727" s="6" t="str">
        <f>HYPERLINK("https://www.ti.com/product/TPS564252", "TPS564252")</f>
        <v>TPS564252</v>
      </c>
      <c r="B727" s="5" t="s">
        <v>6559</v>
      </c>
      <c r="C727" s="6" t="str">
        <f>HYPERLINK("https://www.ti.com/lit/gpn/TPS564252", "PDF")</f>
        <v>PDF</v>
      </c>
      <c r="D727" s="5" t="s">
        <v>6560</v>
      </c>
      <c r="E727" s="5" t="s">
        <v>6561</v>
      </c>
      <c r="F727" s="5" t="s">
        <v>6562</v>
      </c>
      <c r="G727" s="5" t="s">
        <v>6563</v>
      </c>
      <c r="H727" s="1" t="s">
        <v>6564</v>
      </c>
      <c r="I727" s="5" t="s">
        <v>6565</v>
      </c>
      <c r="J727" s="7">
        <v>6</v>
      </c>
      <c r="K727" s="7">
        <v>2.56</v>
      </c>
      <c r="L727" s="5" t="s">
        <v>6566</v>
      </c>
      <c r="M727" s="7">
        <v>0.6</v>
      </c>
      <c r="N727" s="7">
        <v>0.5</v>
      </c>
      <c r="O727" s="7">
        <v>0.161</v>
      </c>
      <c r="P727" s="1" t="s">
        <v>6567</v>
      </c>
    </row>
    <row r="728" spans="1:16" ht="33.4" x14ac:dyDescent="0.3">
      <c r="A728" s="6" t="str">
        <f>HYPERLINK("https://www.ti.com/product/TPS564255", "TPS564255")</f>
        <v>TPS564255</v>
      </c>
      <c r="B728" s="5" t="s">
        <v>6568</v>
      </c>
      <c r="C728" s="6" t="str">
        <f>HYPERLINK("https://www.ti.com/lit/gpn/TPS564255", "PDF")</f>
        <v>PDF</v>
      </c>
      <c r="D728" s="5" t="s">
        <v>6569</v>
      </c>
      <c r="E728" s="5" t="s">
        <v>6570</v>
      </c>
      <c r="F728" s="5" t="s">
        <v>6571</v>
      </c>
      <c r="G728" s="5" t="s">
        <v>6572</v>
      </c>
      <c r="H728" s="1" t="s">
        <v>6573</v>
      </c>
      <c r="I728" s="5" t="s">
        <v>6574</v>
      </c>
      <c r="J728" s="7">
        <v>6</v>
      </c>
      <c r="K728" s="7">
        <v>2.56</v>
      </c>
      <c r="L728" s="5" t="s">
        <v>6575</v>
      </c>
      <c r="M728" s="7">
        <v>0.6</v>
      </c>
      <c r="N728" s="7">
        <v>0.5</v>
      </c>
      <c r="O728" s="7">
        <v>0.161</v>
      </c>
      <c r="P728" s="1" t="s">
        <v>6576</v>
      </c>
    </row>
    <row r="729" spans="1:16" ht="33.4" x14ac:dyDescent="0.3">
      <c r="A729" s="6" t="str">
        <f>HYPERLINK("https://www.ti.com/product/TPS564257", "TPS564257")</f>
        <v>TPS564257</v>
      </c>
      <c r="B729" s="5" t="s">
        <v>6577</v>
      </c>
      <c r="C729" s="6" t="str">
        <f>HYPERLINK("https://www.ti.com/lit/gpn/TPS564257", "PDF")</f>
        <v>PDF</v>
      </c>
      <c r="D729" s="5" t="s">
        <v>6578</v>
      </c>
      <c r="E729" s="5" t="s">
        <v>6579</v>
      </c>
      <c r="F729" s="5" t="s">
        <v>6580</v>
      </c>
      <c r="G729" s="5" t="s">
        <v>6581</v>
      </c>
      <c r="H729" s="1" t="s">
        <v>6582</v>
      </c>
      <c r="I729" s="5" t="s">
        <v>6583</v>
      </c>
      <c r="J729" s="7">
        <v>6</v>
      </c>
      <c r="K729" s="7">
        <v>2.56</v>
      </c>
      <c r="L729" s="5" t="s">
        <v>6584</v>
      </c>
      <c r="M729" s="7">
        <v>0.6</v>
      </c>
      <c r="N729" s="7">
        <v>0.5</v>
      </c>
      <c r="O729" s="7">
        <v>0.161</v>
      </c>
      <c r="P729" s="1" t="s">
        <v>6585</v>
      </c>
    </row>
    <row r="730" spans="1:16" ht="33.4" x14ac:dyDescent="0.3">
      <c r="A730" s="6" t="str">
        <f>HYPERLINK("https://www.ti.com/product/TPS563252", "TPS563252")</f>
        <v>TPS563252</v>
      </c>
      <c r="B730" s="5" t="s">
        <v>6586</v>
      </c>
      <c r="C730" s="6" t="str">
        <f>HYPERLINK("https://www.ti.com/lit/gpn/TPS563252", "PDF")</f>
        <v>PDF</v>
      </c>
      <c r="D730" s="5" t="s">
        <v>6587</v>
      </c>
      <c r="E730" s="5" t="s">
        <v>6588</v>
      </c>
      <c r="F730" s="5" t="s">
        <v>6589</v>
      </c>
      <c r="G730" s="5" t="s">
        <v>6590</v>
      </c>
      <c r="H730" s="1" t="s">
        <v>6591</v>
      </c>
      <c r="I730" s="5" t="s">
        <v>6592</v>
      </c>
      <c r="J730" s="7">
        <v>6</v>
      </c>
      <c r="K730" s="7">
        <v>2.56</v>
      </c>
      <c r="L730" s="5" t="s">
        <v>6593</v>
      </c>
      <c r="M730" s="7">
        <v>0.6</v>
      </c>
      <c r="N730" s="7">
        <v>0.5</v>
      </c>
      <c r="O730" s="7">
        <v>0.15</v>
      </c>
      <c r="P730" s="1" t="s">
        <v>6594</v>
      </c>
    </row>
    <row r="731" spans="1:16" ht="33.4" x14ac:dyDescent="0.3">
      <c r="A731" s="6" t="str">
        <f>HYPERLINK("https://www.ti.com/product/TPS563257", "TPS563257")</f>
        <v>TPS563257</v>
      </c>
      <c r="B731" s="5" t="s">
        <v>6595</v>
      </c>
      <c r="C731" s="6" t="str">
        <f>HYPERLINK("https://www.ti.com/lit/gpn/TPS563257", "PDF")</f>
        <v>PDF</v>
      </c>
      <c r="D731" s="5" t="s">
        <v>6596</v>
      </c>
      <c r="E731" s="5" t="s">
        <v>6597</v>
      </c>
      <c r="F731" s="5" t="s">
        <v>6598</v>
      </c>
      <c r="G731" s="5" t="s">
        <v>6599</v>
      </c>
      <c r="H731" s="1" t="s">
        <v>6600</v>
      </c>
      <c r="I731" s="5" t="s">
        <v>6601</v>
      </c>
      <c r="J731" s="7">
        <v>6</v>
      </c>
      <c r="K731" s="7">
        <v>2.56</v>
      </c>
      <c r="L731" s="5" t="s">
        <v>6602</v>
      </c>
      <c r="M731" s="7">
        <v>0.6</v>
      </c>
      <c r="N731" s="7">
        <v>0.5</v>
      </c>
      <c r="O731" s="7">
        <v>0.13800000000000001</v>
      </c>
      <c r="P731" s="1" t="s">
        <v>6603</v>
      </c>
    </row>
    <row r="732" spans="1:16" ht="33.4" x14ac:dyDescent="0.3">
      <c r="A732" s="6" t="str">
        <f>HYPERLINK("https://www.ti.com/product/LMR38010-Q1", "LMR38010-Q1")</f>
        <v>LMR38010-Q1</v>
      </c>
      <c r="B732" s="5" t="s">
        <v>6604</v>
      </c>
      <c r="C732" s="6" t="str">
        <f>HYPERLINK("https://www.ti.com/lit/gpn/LMR38010-Q1", "PDF")</f>
        <v>PDF</v>
      </c>
      <c r="D732" s="5" t="s">
        <v>6605</v>
      </c>
      <c r="E732" s="5" t="s">
        <v>6606</v>
      </c>
      <c r="F732" s="5" t="s">
        <v>6607</v>
      </c>
      <c r="G732" s="5" t="s">
        <v>6608</v>
      </c>
      <c r="H732" s="1" t="s">
        <v>6609</v>
      </c>
      <c r="I732" s="5" t="s">
        <v>6610</v>
      </c>
      <c r="J732" s="7">
        <v>8</v>
      </c>
      <c r="K732" s="7">
        <v>29.4</v>
      </c>
      <c r="L732" s="5" t="s">
        <v>6611</v>
      </c>
      <c r="M732" s="7">
        <v>1.7</v>
      </c>
      <c r="N732" s="7">
        <v>1.27</v>
      </c>
      <c r="O732" s="7">
        <v>1.381</v>
      </c>
      <c r="P732" s="1" t="s">
        <v>6612</v>
      </c>
    </row>
    <row r="733" spans="1:16" ht="33.4" x14ac:dyDescent="0.3">
      <c r="A733" s="6" t="str">
        <f>HYPERLINK("https://www.ti.com/product/LMR38020-Q1", "LMR38020-Q1")</f>
        <v>LMR38020-Q1</v>
      </c>
      <c r="B733" s="5" t="s">
        <v>6613</v>
      </c>
      <c r="C733" s="6" t="str">
        <f>HYPERLINK("https://www.ti.com/lit/gpn/LMR38020-Q1", "PDF")</f>
        <v>PDF</v>
      </c>
      <c r="D733" s="5" t="s">
        <v>6614</v>
      </c>
      <c r="E733" s="5" t="s">
        <v>6615</v>
      </c>
      <c r="F733" s="5" t="s">
        <v>6616</v>
      </c>
      <c r="G733" s="5" t="s">
        <v>6617</v>
      </c>
      <c r="H733" s="1" t="s">
        <v>6618</v>
      </c>
      <c r="I733" s="5" t="s">
        <v>6619</v>
      </c>
      <c r="J733" s="7">
        <v>8</v>
      </c>
      <c r="K733" s="7">
        <v>29.4</v>
      </c>
      <c r="L733" s="5" t="s">
        <v>6620</v>
      </c>
      <c r="M733" s="7">
        <v>1.7</v>
      </c>
      <c r="N733" s="7">
        <v>1.27</v>
      </c>
      <c r="O733" s="7">
        <v>1.6259999999999999</v>
      </c>
      <c r="P733" s="1" t="s">
        <v>6621</v>
      </c>
    </row>
    <row r="734" spans="1:16" ht="33.4" x14ac:dyDescent="0.3">
      <c r="A734" s="6" t="str">
        <f>HYPERLINK("https://www.ti.com/product/TPS92629-Q1", "TPS92629-Q1")</f>
        <v>TPS92629-Q1</v>
      </c>
      <c r="B734" s="5" t="s">
        <v>6622</v>
      </c>
      <c r="C734" s="6" t="str">
        <f>HYPERLINK("https://www.ti.com/lit/gpn/TPS92629-Q1", "PDF")</f>
        <v>PDF</v>
      </c>
      <c r="D734" s="5" t="s">
        <v>6623</v>
      </c>
      <c r="E734" s="5" t="s">
        <v>6624</v>
      </c>
      <c r="F734" s="5" t="s">
        <v>6625</v>
      </c>
      <c r="G734" s="5" t="s">
        <v>6626</v>
      </c>
      <c r="H734" s="1" t="s">
        <v>6627</v>
      </c>
      <c r="I734" s="5" t="s">
        <v>6628</v>
      </c>
      <c r="J734" s="7">
        <v>8</v>
      </c>
      <c r="K734" s="7">
        <v>14.7</v>
      </c>
      <c r="L734" s="5" t="s">
        <v>6629</v>
      </c>
      <c r="M734" s="7">
        <v>1.1000000000000001</v>
      </c>
      <c r="N734" s="7">
        <v>0.65</v>
      </c>
      <c r="O734" s="7">
        <v>0.86799999999999999</v>
      </c>
      <c r="P734" s="1" t="s">
        <v>6630</v>
      </c>
    </row>
    <row r="735" spans="1:16" ht="33.4" x14ac:dyDescent="0.3">
      <c r="A735" s="6" t="str">
        <f>HYPERLINK("https://www.ti.com/product/TLC69600", "TLC69600")</f>
        <v>TLC69600</v>
      </c>
      <c r="B735" s="5" t="s">
        <v>6631</v>
      </c>
      <c r="C735" s="6" t="str">
        <f>HYPERLINK("https://www.ti.com/lit/gpn/TLC69600", "PDF")</f>
        <v>PDF</v>
      </c>
      <c r="D735" s="5" t="s">
        <v>6632</v>
      </c>
      <c r="E735" s="5" t="s">
        <v>6633</v>
      </c>
      <c r="F735" s="5"/>
      <c r="G735" s="5" t="s">
        <v>6634</v>
      </c>
      <c r="H735" s="1" t="s">
        <v>6635</v>
      </c>
      <c r="I735" s="5" t="s">
        <v>6636</v>
      </c>
      <c r="J735" s="7">
        <v>24</v>
      </c>
      <c r="K735" s="7" t="s">
        <v>6637</v>
      </c>
      <c r="L735" s="5" t="s">
        <v>6638</v>
      </c>
      <c r="M735" s="7" t="s">
        <v>6639</v>
      </c>
      <c r="N735" s="7" t="s">
        <v>6640</v>
      </c>
      <c r="O735" s="7">
        <v>0.83299999999999996</v>
      </c>
      <c r="P735" s="1" t="s">
        <v>6641</v>
      </c>
    </row>
    <row r="736" spans="1:16" ht="33.4" x14ac:dyDescent="0.3">
      <c r="A736" s="6" t="str">
        <f>HYPERLINK("https://www.ti.com/product/TLC69601", "TLC69601")</f>
        <v>TLC69601</v>
      </c>
      <c r="B736" s="5" t="s">
        <v>6642</v>
      </c>
      <c r="C736" s="6" t="str">
        <f>HYPERLINK("https://www.ti.com/lit/gpn/TLC69601", "PDF")</f>
        <v>PDF</v>
      </c>
      <c r="D736" s="5" t="s">
        <v>6643</v>
      </c>
      <c r="E736" s="5" t="s">
        <v>6644</v>
      </c>
      <c r="F736" s="5"/>
      <c r="G736" s="5" t="s">
        <v>6645</v>
      </c>
      <c r="H736" s="1" t="s">
        <v>6646</v>
      </c>
      <c r="I736" s="5" t="s">
        <v>6647</v>
      </c>
      <c r="J736" s="7">
        <v>24</v>
      </c>
      <c r="K736" s="7" t="s">
        <v>6648</v>
      </c>
      <c r="L736" s="5" t="s">
        <v>6649</v>
      </c>
      <c r="M736" s="7" t="s">
        <v>6650</v>
      </c>
      <c r="N736" s="7" t="s">
        <v>6651</v>
      </c>
      <c r="O736" s="7">
        <v>0.83299999999999996</v>
      </c>
      <c r="P736" s="1" t="s">
        <v>6652</v>
      </c>
    </row>
    <row r="737" spans="1:16" ht="33.4" x14ac:dyDescent="0.3">
      <c r="A737" s="6" t="str">
        <f>HYPERLINK("https://www.ti.com/product/TLC69602", "TLC69602")</f>
        <v>TLC69602</v>
      </c>
      <c r="B737" s="5" t="s">
        <v>6653</v>
      </c>
      <c r="C737" s="6" t="str">
        <f>HYPERLINK("https://www.ti.com/lit/gpn/TLC69602", "PDF")</f>
        <v>PDF</v>
      </c>
      <c r="D737" s="5" t="s">
        <v>6654</v>
      </c>
      <c r="E737" s="5" t="s">
        <v>6655</v>
      </c>
      <c r="F737" s="5"/>
      <c r="G737" s="5" t="s">
        <v>6656</v>
      </c>
      <c r="H737" s="1" t="s">
        <v>6657</v>
      </c>
      <c r="I737" s="5" t="s">
        <v>6658</v>
      </c>
      <c r="J737" s="7">
        <v>24</v>
      </c>
      <c r="K737" s="7" t="s">
        <v>6659</v>
      </c>
      <c r="L737" s="5" t="s">
        <v>6660</v>
      </c>
      <c r="M737" s="7" t="s">
        <v>6661</v>
      </c>
      <c r="N737" s="7" t="s">
        <v>6662</v>
      </c>
      <c r="O737" s="7">
        <v>1.0860000000000001</v>
      </c>
      <c r="P737" s="1" t="s">
        <v>6663</v>
      </c>
    </row>
    <row r="738" spans="1:16" ht="33.4" x14ac:dyDescent="0.3">
      <c r="A738" s="6" t="str">
        <f>HYPERLINK("https://www.ti.com/product/TLC69604", "TLC69604")</f>
        <v>TLC69604</v>
      </c>
      <c r="B738" s="5" t="s">
        <v>6664</v>
      </c>
      <c r="C738" s="6" t="str">
        <f>HYPERLINK("https://www.ti.com/lit/gpn/TLC69604", "PDF")</f>
        <v>PDF</v>
      </c>
      <c r="D738" s="5" t="s">
        <v>6665</v>
      </c>
      <c r="E738" s="5" t="s">
        <v>6666</v>
      </c>
      <c r="F738" s="5"/>
      <c r="G738" s="5" t="s">
        <v>6667</v>
      </c>
      <c r="H738" s="1" t="s">
        <v>6668</v>
      </c>
      <c r="I738" s="5" t="s">
        <v>6669</v>
      </c>
      <c r="J738" s="7">
        <v>24</v>
      </c>
      <c r="K738" s="7" t="s">
        <v>6670</v>
      </c>
      <c r="L738" s="5" t="s">
        <v>6671</v>
      </c>
      <c r="M738" s="7" t="s">
        <v>6672</v>
      </c>
      <c r="N738" s="7" t="s">
        <v>6673</v>
      </c>
      <c r="O738" s="7">
        <v>1.8720000000000001</v>
      </c>
      <c r="P738" s="1" t="s">
        <v>6674</v>
      </c>
    </row>
    <row r="739" spans="1:16" ht="33.4" x14ac:dyDescent="0.3">
      <c r="A739" s="6" t="str">
        <f>HYPERLINK("https://www.ti.com/product/TLC69608", "TLC69608")</f>
        <v>TLC69608</v>
      </c>
      <c r="B739" s="5" t="s">
        <v>6675</v>
      </c>
      <c r="C739" s="6" t="str">
        <f>HYPERLINK("https://www.ti.com/lit/gpn/TLC69608", "PDF")</f>
        <v>PDF</v>
      </c>
      <c r="D739" s="5" t="s">
        <v>6676</v>
      </c>
      <c r="E739" s="5" t="s">
        <v>6677</v>
      </c>
      <c r="F739" s="5"/>
      <c r="G739" s="5" t="s">
        <v>6678</v>
      </c>
      <c r="H739" s="1" t="s">
        <v>6679</v>
      </c>
      <c r="I739" s="5" t="s">
        <v>6680</v>
      </c>
      <c r="J739" s="7">
        <v>24</v>
      </c>
      <c r="K739" s="7" t="s">
        <v>6681</v>
      </c>
      <c r="L739" s="5" t="s">
        <v>6682</v>
      </c>
      <c r="M739" s="7" t="s">
        <v>6683</v>
      </c>
      <c r="N739" s="7" t="s">
        <v>6684</v>
      </c>
      <c r="O739" s="7">
        <v>2.8090000000000002</v>
      </c>
      <c r="P739" s="1" t="s">
        <v>6685</v>
      </c>
    </row>
    <row r="740" spans="1:16" ht="33.4" x14ac:dyDescent="0.3">
      <c r="A740" s="6" t="str">
        <f>HYPERLINK("https://www.ti.com/product/TLC69610", "TLC69610")</f>
        <v>TLC69610</v>
      </c>
      <c r="B740" s="5" t="s">
        <v>6686</v>
      </c>
      <c r="C740" s="6" t="str">
        <f>HYPERLINK("https://www.ti.com/lit/gpn/TLC69610", "PDF")</f>
        <v>PDF</v>
      </c>
      <c r="D740" s="5" t="s">
        <v>6687</v>
      </c>
      <c r="E740" s="5" t="s">
        <v>6688</v>
      </c>
      <c r="F740" s="5"/>
      <c r="G740" s="5" t="s">
        <v>6689</v>
      </c>
      <c r="H740" s="1" t="s">
        <v>6690</v>
      </c>
      <c r="I740" s="5" t="s">
        <v>6691</v>
      </c>
      <c r="J740" s="7">
        <v>24</v>
      </c>
      <c r="K740" s="7" t="s">
        <v>6692</v>
      </c>
      <c r="L740" s="5" t="s">
        <v>6693</v>
      </c>
      <c r="M740" s="7" t="s">
        <v>6694</v>
      </c>
      <c r="N740" s="7" t="s">
        <v>6695</v>
      </c>
      <c r="O740" s="7">
        <v>0.999</v>
      </c>
      <c r="P740" s="1" t="s">
        <v>6696</v>
      </c>
    </row>
    <row r="741" spans="1:16" ht="33.4" x14ac:dyDescent="0.3">
      <c r="A741" s="6" t="str">
        <f>HYPERLINK("https://www.ti.com/product/TLC69611", "TLC69611")</f>
        <v>TLC69611</v>
      </c>
      <c r="B741" s="5" t="s">
        <v>6697</v>
      </c>
      <c r="C741" s="6" t="str">
        <f>HYPERLINK("https://www.ti.com/lit/gpn/TLC69611", "PDF")</f>
        <v>PDF</v>
      </c>
      <c r="D741" s="5" t="s">
        <v>6698</v>
      </c>
      <c r="E741" s="5" t="s">
        <v>6699</v>
      </c>
      <c r="F741" s="5"/>
      <c r="G741" s="5" t="s">
        <v>6700</v>
      </c>
      <c r="H741" s="1" t="s">
        <v>6701</v>
      </c>
      <c r="I741" s="5" t="s">
        <v>6702</v>
      </c>
      <c r="J741" s="7">
        <v>24</v>
      </c>
      <c r="K741" s="7" t="s">
        <v>6703</v>
      </c>
      <c r="L741" s="5" t="s">
        <v>6704</v>
      </c>
      <c r="M741" s="7" t="s">
        <v>6705</v>
      </c>
      <c r="N741" s="7" t="s">
        <v>6706</v>
      </c>
      <c r="O741" s="7">
        <v>0.999</v>
      </c>
      <c r="P741" s="1" t="s">
        <v>6707</v>
      </c>
    </row>
    <row r="742" spans="1:16" ht="33.4" x14ac:dyDescent="0.3">
      <c r="A742" s="6" t="str">
        <f>HYPERLINK("https://www.ti.com/product/TLC69612", "TLC69612")</f>
        <v>TLC69612</v>
      </c>
      <c r="B742" s="5" t="s">
        <v>6708</v>
      </c>
      <c r="C742" s="6" t="str">
        <f>HYPERLINK("https://www.ti.com/lit/gpn/TLC69612", "PDF")</f>
        <v>PDF</v>
      </c>
      <c r="D742" s="5" t="s">
        <v>6709</v>
      </c>
      <c r="E742" s="5" t="s">
        <v>6710</v>
      </c>
      <c r="F742" s="5"/>
      <c r="G742" s="5" t="s">
        <v>6711</v>
      </c>
      <c r="H742" s="1" t="s">
        <v>6712</v>
      </c>
      <c r="I742" s="5" t="s">
        <v>6713</v>
      </c>
      <c r="J742" s="7">
        <v>24</v>
      </c>
      <c r="K742" s="7" t="s">
        <v>6714</v>
      </c>
      <c r="L742" s="5" t="s">
        <v>6715</v>
      </c>
      <c r="M742" s="7" t="s">
        <v>6716</v>
      </c>
      <c r="N742" s="7" t="s">
        <v>6717</v>
      </c>
      <c r="O742" s="7">
        <v>1.3029999999999999</v>
      </c>
      <c r="P742" s="1" t="s">
        <v>6718</v>
      </c>
    </row>
    <row r="743" spans="1:16" ht="33.4" x14ac:dyDescent="0.3">
      <c r="A743" s="6" t="str">
        <f>HYPERLINK("https://www.ti.com/product/TLC69614", "TLC69614")</f>
        <v>TLC69614</v>
      </c>
      <c r="B743" s="5" t="s">
        <v>6719</v>
      </c>
      <c r="C743" s="6" t="str">
        <f>HYPERLINK("https://www.ti.com/lit/gpn/TLC69614", "PDF")</f>
        <v>PDF</v>
      </c>
      <c r="D743" s="5" t="s">
        <v>6720</v>
      </c>
      <c r="E743" s="5" t="s">
        <v>6721</v>
      </c>
      <c r="F743" s="5"/>
      <c r="G743" s="5" t="s">
        <v>6722</v>
      </c>
      <c r="H743" s="1" t="s">
        <v>6723</v>
      </c>
      <c r="I743" s="5" t="s">
        <v>6724</v>
      </c>
      <c r="J743" s="7">
        <v>24</v>
      </c>
      <c r="K743" s="7" t="s">
        <v>6725</v>
      </c>
      <c r="L743" s="5" t="s">
        <v>6726</v>
      </c>
      <c r="M743" s="7" t="s">
        <v>6727</v>
      </c>
      <c r="N743" s="7" t="s">
        <v>6728</v>
      </c>
      <c r="O743" s="7">
        <v>2.2469999999999999</v>
      </c>
      <c r="P743" s="1" t="s">
        <v>6729</v>
      </c>
    </row>
    <row r="744" spans="1:16" ht="33.4" x14ac:dyDescent="0.3">
      <c r="A744" s="6" t="str">
        <f>HYPERLINK("https://www.ti.com/product/TLC69618", "TLC69618")</f>
        <v>TLC69618</v>
      </c>
      <c r="B744" s="5" t="s">
        <v>6730</v>
      </c>
      <c r="C744" s="6" t="str">
        <f>HYPERLINK("https://www.ti.com/lit/gpn/TLC69618", "PDF")</f>
        <v>PDF</v>
      </c>
      <c r="D744" s="5" t="s">
        <v>6731</v>
      </c>
      <c r="E744" s="5" t="s">
        <v>6732</v>
      </c>
      <c r="F744" s="5"/>
      <c r="G744" s="5" t="s">
        <v>6733</v>
      </c>
      <c r="H744" s="1" t="s">
        <v>6734</v>
      </c>
      <c r="I744" s="5" t="s">
        <v>6735</v>
      </c>
      <c r="J744" s="7">
        <v>24</v>
      </c>
      <c r="K744" s="7" t="s">
        <v>6736</v>
      </c>
      <c r="L744" s="5" t="s">
        <v>6737</v>
      </c>
      <c r="M744" s="7" t="s">
        <v>6738</v>
      </c>
      <c r="N744" s="7" t="s">
        <v>6739</v>
      </c>
      <c r="O744" s="7">
        <v>2.9319999999999999</v>
      </c>
      <c r="P744" s="1" t="s">
        <v>6740</v>
      </c>
    </row>
    <row r="745" spans="1:16" ht="33.4" x14ac:dyDescent="0.3">
      <c r="A745" s="6" t="str">
        <f>HYPERLINK("https://www.ti.com/product/TLC69650", "TLC69650")</f>
        <v>TLC69650</v>
      </c>
      <c r="B745" s="5" t="s">
        <v>6741</v>
      </c>
      <c r="C745" s="6" t="str">
        <f>HYPERLINK("https://www.ti.com/lit/gpn/TLC69650", "PDF")</f>
        <v>PDF</v>
      </c>
      <c r="D745" s="5" t="s">
        <v>6742</v>
      </c>
      <c r="E745" s="5" t="s">
        <v>6743</v>
      </c>
      <c r="F745" s="5"/>
      <c r="G745" s="5" t="s">
        <v>6744</v>
      </c>
      <c r="H745" s="1" t="s">
        <v>6745</v>
      </c>
      <c r="I745" s="5" t="s">
        <v>6746</v>
      </c>
      <c r="J745" s="7">
        <v>24</v>
      </c>
      <c r="K745" s="7" t="s">
        <v>6747</v>
      </c>
      <c r="L745" s="5" t="s">
        <v>6748</v>
      </c>
      <c r="M745" s="7" t="s">
        <v>6749</v>
      </c>
      <c r="N745" s="7" t="s">
        <v>6750</v>
      </c>
      <c r="O745" s="7">
        <v>0.86899999999999999</v>
      </c>
      <c r="P745" s="1" t="s">
        <v>6751</v>
      </c>
    </row>
    <row r="746" spans="1:16" ht="33.4" x14ac:dyDescent="0.3">
      <c r="A746" s="6" t="str">
        <f>HYPERLINK("https://www.ti.com/product/TLC69651", "TLC69651")</f>
        <v>TLC69651</v>
      </c>
      <c r="B746" s="5" t="s">
        <v>6752</v>
      </c>
      <c r="C746" s="6" t="str">
        <f>HYPERLINK("https://www.ti.com/lit/gpn/TLC69651", "PDF")</f>
        <v>PDF</v>
      </c>
      <c r="D746" s="5" t="s">
        <v>6753</v>
      </c>
      <c r="E746" s="5" t="s">
        <v>6754</v>
      </c>
      <c r="F746" s="5"/>
      <c r="G746" s="5" t="s">
        <v>6755</v>
      </c>
      <c r="H746" s="1" t="s">
        <v>6756</v>
      </c>
      <c r="I746" s="5" t="s">
        <v>6757</v>
      </c>
      <c r="J746" s="7">
        <v>24</v>
      </c>
      <c r="K746" s="7" t="s">
        <v>6758</v>
      </c>
      <c r="L746" s="5" t="s">
        <v>6759</v>
      </c>
      <c r="M746" s="7" t="s">
        <v>6760</v>
      </c>
      <c r="N746" s="7" t="s">
        <v>6761</v>
      </c>
      <c r="O746" s="7">
        <v>0.999</v>
      </c>
      <c r="P746" s="1" t="s">
        <v>6762</v>
      </c>
    </row>
    <row r="747" spans="1:16" ht="33.4" x14ac:dyDescent="0.3">
      <c r="A747" s="6" t="str">
        <f>HYPERLINK("https://www.ti.com/product/TLC69652", "TLC69652")</f>
        <v>TLC69652</v>
      </c>
      <c r="B747" s="5" t="s">
        <v>6763</v>
      </c>
      <c r="C747" s="6" t="str">
        <f>HYPERLINK("https://www.ti.com/lit/gpn/TLC69652", "PDF")</f>
        <v>PDF</v>
      </c>
      <c r="D747" s="5" t="s">
        <v>6764</v>
      </c>
      <c r="E747" s="5" t="s">
        <v>6765</v>
      </c>
      <c r="F747" s="5"/>
      <c r="G747" s="5" t="s">
        <v>6766</v>
      </c>
      <c r="H747" s="1" t="s">
        <v>6767</v>
      </c>
      <c r="I747" s="5" t="s">
        <v>6768</v>
      </c>
      <c r="J747" s="7">
        <v>24</v>
      </c>
      <c r="K747" s="7" t="s">
        <v>6769</v>
      </c>
      <c r="L747" s="5" t="s">
        <v>6770</v>
      </c>
      <c r="M747" s="7" t="s">
        <v>6771</v>
      </c>
      <c r="N747" s="7" t="s">
        <v>6772</v>
      </c>
      <c r="O747" s="7">
        <v>1.3029999999999999</v>
      </c>
      <c r="P747" s="1" t="s">
        <v>6773</v>
      </c>
    </row>
    <row r="748" spans="1:16" ht="33.4" x14ac:dyDescent="0.3">
      <c r="A748" s="6" t="str">
        <f>HYPERLINK("https://www.ti.com/product/TLC69654", "TLC69654")</f>
        <v>TLC69654</v>
      </c>
      <c r="B748" s="5" t="s">
        <v>6774</v>
      </c>
      <c r="C748" s="6" t="str">
        <f>HYPERLINK("https://www.ti.com/lit/gpn/TLC69654", "PDF")</f>
        <v>PDF</v>
      </c>
      <c r="D748" s="5" t="s">
        <v>6775</v>
      </c>
      <c r="E748" s="5" t="s">
        <v>6776</v>
      </c>
      <c r="F748" s="5"/>
      <c r="G748" s="5" t="s">
        <v>6777</v>
      </c>
      <c r="H748" s="1" t="s">
        <v>6778</v>
      </c>
      <c r="I748" s="5" t="s">
        <v>6779</v>
      </c>
      <c r="J748" s="7">
        <v>24</v>
      </c>
      <c r="K748" s="7" t="s">
        <v>6780</v>
      </c>
      <c r="L748" s="5" t="s">
        <v>6781</v>
      </c>
      <c r="M748" s="7" t="s">
        <v>6782</v>
      </c>
      <c r="N748" s="7" t="s">
        <v>6783</v>
      </c>
      <c r="O748" s="7">
        <v>1.954</v>
      </c>
      <c r="P748" s="1" t="s">
        <v>6784</v>
      </c>
    </row>
    <row r="749" spans="1:16" ht="33.4" x14ac:dyDescent="0.3">
      <c r="A749" s="6" t="str">
        <f>HYPERLINK("https://www.ti.com/product/TLC69658", "TLC69658")</f>
        <v>TLC69658</v>
      </c>
      <c r="B749" s="5" t="s">
        <v>6785</v>
      </c>
      <c r="C749" s="6" t="str">
        <f>HYPERLINK("https://www.ti.com/lit/gpn/TLC69658", "PDF")</f>
        <v>PDF</v>
      </c>
      <c r="D749" s="5" t="s">
        <v>6786</v>
      </c>
      <c r="E749" s="5" t="s">
        <v>6787</v>
      </c>
      <c r="F749" s="5"/>
      <c r="G749" s="5" t="s">
        <v>6788</v>
      </c>
      <c r="H749" s="1" t="s">
        <v>6789</v>
      </c>
      <c r="I749" s="5" t="s">
        <v>6790</v>
      </c>
      <c r="J749" s="7">
        <v>24</v>
      </c>
      <c r="K749" s="7" t="s">
        <v>6791</v>
      </c>
      <c r="L749" s="5" t="s">
        <v>6792</v>
      </c>
      <c r="M749" s="7" t="s">
        <v>6793</v>
      </c>
      <c r="N749" s="7" t="s">
        <v>6794</v>
      </c>
      <c r="O749" s="7">
        <v>2.9319999999999999</v>
      </c>
      <c r="P749" s="1" t="s">
        <v>6795</v>
      </c>
    </row>
    <row r="750" spans="1:16" ht="33.4" x14ac:dyDescent="0.3">
      <c r="A750" s="6" t="str">
        <f>HYPERLINK("https://www.ti.com/product/TLC69660", "TLC69660")</f>
        <v>TLC69660</v>
      </c>
      <c r="B750" s="5" t="s">
        <v>6796</v>
      </c>
      <c r="C750" s="6" t="str">
        <f>HYPERLINK("https://www.ti.com/lit/gpn/TLC69660", "PDF")</f>
        <v>PDF</v>
      </c>
      <c r="D750" s="5" t="s">
        <v>6797</v>
      </c>
      <c r="E750" s="5" t="s">
        <v>6798</v>
      </c>
      <c r="F750" s="5"/>
      <c r="G750" s="5" t="s">
        <v>6799</v>
      </c>
      <c r="H750" s="1" t="s">
        <v>6800</v>
      </c>
      <c r="I750" s="5" t="s">
        <v>6801</v>
      </c>
      <c r="J750" s="7">
        <v>24</v>
      </c>
      <c r="K750" s="7" t="s">
        <v>6802</v>
      </c>
      <c r="L750" s="5" t="s">
        <v>6803</v>
      </c>
      <c r="M750" s="7" t="s">
        <v>6804</v>
      </c>
      <c r="N750" s="7" t="s">
        <v>6805</v>
      </c>
      <c r="O750" s="7">
        <v>1.0820000000000001</v>
      </c>
      <c r="P750" s="1" t="s">
        <v>6806</v>
      </c>
    </row>
    <row r="751" spans="1:16" ht="33.4" x14ac:dyDescent="0.3">
      <c r="A751" s="6" t="str">
        <f>HYPERLINK("https://www.ti.com/product/TLC69661", "TLC69661")</f>
        <v>TLC69661</v>
      </c>
      <c r="B751" s="5" t="s">
        <v>6807</v>
      </c>
      <c r="C751" s="6" t="str">
        <f>HYPERLINK("https://www.ti.com/lit/gpn/TLC69661", "PDF")</f>
        <v>PDF</v>
      </c>
      <c r="D751" s="5" t="s">
        <v>6808</v>
      </c>
      <c r="E751" s="5" t="s">
        <v>6809</v>
      </c>
      <c r="F751" s="5"/>
      <c r="G751" s="5" t="s">
        <v>6810</v>
      </c>
      <c r="H751" s="1" t="s">
        <v>6811</v>
      </c>
      <c r="I751" s="5" t="s">
        <v>6812</v>
      </c>
      <c r="J751" s="7">
        <v>24</v>
      </c>
      <c r="K751" s="7" t="s">
        <v>6813</v>
      </c>
      <c r="L751" s="5" t="s">
        <v>6814</v>
      </c>
      <c r="M751" s="7" t="s">
        <v>6815</v>
      </c>
      <c r="N751" s="7" t="s">
        <v>6816</v>
      </c>
      <c r="O751" s="7">
        <v>1.0820000000000001</v>
      </c>
      <c r="P751" s="1" t="s">
        <v>6817</v>
      </c>
    </row>
    <row r="752" spans="1:16" ht="33.4" x14ac:dyDescent="0.3">
      <c r="A752" s="6" t="str">
        <f>HYPERLINK("https://www.ti.com/product/TLC69662", "TLC69662")</f>
        <v>TLC69662</v>
      </c>
      <c r="B752" s="5" t="s">
        <v>6818</v>
      </c>
      <c r="C752" s="6" t="str">
        <f>HYPERLINK("https://www.ti.com/lit/gpn/TLC69662", "PDF")</f>
        <v>PDF</v>
      </c>
      <c r="D752" s="5" t="s">
        <v>6819</v>
      </c>
      <c r="E752" s="5" t="s">
        <v>6820</v>
      </c>
      <c r="F752" s="5"/>
      <c r="G752" s="5" t="s">
        <v>6821</v>
      </c>
      <c r="H752" s="1" t="s">
        <v>6822</v>
      </c>
      <c r="I752" s="5" t="s">
        <v>6823</v>
      </c>
      <c r="J752" s="7">
        <v>24</v>
      </c>
      <c r="K752" s="7" t="s">
        <v>6824</v>
      </c>
      <c r="L752" s="5" t="s">
        <v>6825</v>
      </c>
      <c r="M752" s="7" t="s">
        <v>6826</v>
      </c>
      <c r="N752" s="7" t="s">
        <v>6827</v>
      </c>
      <c r="O752" s="7">
        <v>1.6240000000000001</v>
      </c>
      <c r="P752" s="1" t="s">
        <v>6828</v>
      </c>
    </row>
    <row r="753" spans="1:16" ht="33.4" x14ac:dyDescent="0.3">
      <c r="A753" s="6" t="str">
        <f>HYPERLINK("https://www.ti.com/product/TLC69664", "TLC69664")</f>
        <v>TLC69664</v>
      </c>
      <c r="B753" s="5" t="s">
        <v>6829</v>
      </c>
      <c r="C753" s="6" t="str">
        <f>HYPERLINK("https://www.ti.com/lit/gpn/TLC69664", "PDF")</f>
        <v>PDF</v>
      </c>
      <c r="D753" s="5" t="s">
        <v>6830</v>
      </c>
      <c r="E753" s="5" t="s">
        <v>6831</v>
      </c>
      <c r="F753" s="5"/>
      <c r="G753" s="5" t="s">
        <v>6832</v>
      </c>
      <c r="H753" s="1" t="s">
        <v>6833</v>
      </c>
      <c r="I753" s="5" t="s">
        <v>6834</v>
      </c>
      <c r="J753" s="7">
        <v>24</v>
      </c>
      <c r="K753" s="7" t="s">
        <v>6835</v>
      </c>
      <c r="L753" s="5" t="s">
        <v>6836</v>
      </c>
      <c r="M753" s="7" t="s">
        <v>6837</v>
      </c>
      <c r="N753" s="7" t="s">
        <v>6838</v>
      </c>
      <c r="O753" s="7">
        <v>2.1160000000000001</v>
      </c>
      <c r="P753" s="1" t="s">
        <v>6839</v>
      </c>
    </row>
    <row r="754" spans="1:16" ht="33.4" x14ac:dyDescent="0.3">
      <c r="A754" s="6" t="str">
        <f>HYPERLINK("https://www.ti.com/product/TLC69668", "TLC69668")</f>
        <v>TLC69668</v>
      </c>
      <c r="B754" s="5" t="s">
        <v>6840</v>
      </c>
      <c r="C754" s="6" t="str">
        <f>HYPERLINK("https://www.ti.com/lit/gpn/TLC69668", "PDF")</f>
        <v>PDF</v>
      </c>
      <c r="D754" s="5" t="s">
        <v>6841</v>
      </c>
      <c r="E754" s="5" t="s">
        <v>6842</v>
      </c>
      <c r="F754" s="5"/>
      <c r="G754" s="5" t="s">
        <v>6843</v>
      </c>
      <c r="H754" s="1" t="s">
        <v>6844</v>
      </c>
      <c r="I754" s="5" t="s">
        <v>6845</v>
      </c>
      <c r="J754" s="7">
        <v>24</v>
      </c>
      <c r="K754" s="7" t="s">
        <v>6846</v>
      </c>
      <c r="L754" s="5" t="s">
        <v>6847</v>
      </c>
      <c r="M754" s="7" t="s">
        <v>6848</v>
      </c>
      <c r="N754" s="7" t="s">
        <v>6849</v>
      </c>
      <c r="O754" s="7">
        <v>3.1760000000000002</v>
      </c>
      <c r="P754" s="1" t="s">
        <v>6850</v>
      </c>
    </row>
    <row r="755" spans="1:16" ht="66.150000000000006" x14ac:dyDescent="0.3">
      <c r="A755" s="6" t="str">
        <f>HYPERLINK("https://www.ti.com/product/TLV709", "TLV709")</f>
        <v>TLV709</v>
      </c>
      <c r="B755" s="5" t="s">
        <v>6851</v>
      </c>
      <c r="C755" s="6" t="str">
        <f>HYPERLINK("https://www.ti.com/lit/gpn/TLV709", "PDF")</f>
        <v>PDF</v>
      </c>
      <c r="D755" s="5" t="s">
        <v>6852</v>
      </c>
      <c r="E755" s="5" t="s">
        <v>6853</v>
      </c>
      <c r="F755" s="5"/>
      <c r="G755" s="5" t="s">
        <v>6854</v>
      </c>
      <c r="H755" s="1" t="s">
        <v>6855</v>
      </c>
      <c r="I755" s="5" t="s">
        <v>6856</v>
      </c>
      <c r="J755" s="7" t="s">
        <v>6857</v>
      </c>
      <c r="K755" s="7" t="s">
        <v>6858</v>
      </c>
      <c r="L755" s="5" t="s">
        <v>6859</v>
      </c>
      <c r="M755" s="7" t="s">
        <v>6860</v>
      </c>
      <c r="N755" s="7" t="s">
        <v>6861</v>
      </c>
      <c r="O755" s="7">
        <v>0.09</v>
      </c>
      <c r="P755" s="1" t="s">
        <v>6862</v>
      </c>
    </row>
    <row r="756" spans="1:16" ht="33.4" x14ac:dyDescent="0.3">
      <c r="A756" s="6" t="str">
        <f>HYPERLINK("https://www.ti.com/product/TPS36-Q1", "TPS36-Q1")</f>
        <v>TPS36-Q1</v>
      </c>
      <c r="B756" s="5" t="s">
        <v>6863</v>
      </c>
      <c r="C756" s="6" t="str">
        <f>HYPERLINK("https://www.ti.com/lit/gpn/TPS36-Q1", "PDF")</f>
        <v>PDF</v>
      </c>
      <c r="D756" s="5" t="s">
        <v>6864</v>
      </c>
      <c r="E756" s="5" t="s">
        <v>6865</v>
      </c>
      <c r="F756" s="5"/>
      <c r="G756" s="5" t="s">
        <v>6866</v>
      </c>
      <c r="H756" s="1" t="s">
        <v>6867</v>
      </c>
      <c r="I756" s="5" t="s">
        <v>6868</v>
      </c>
      <c r="J756" s="7">
        <v>8</v>
      </c>
      <c r="K756" s="7">
        <v>8.1199999999999992</v>
      </c>
      <c r="L756" s="5" t="s">
        <v>6869</v>
      </c>
      <c r="M756" s="7">
        <v>1.1000000000000001</v>
      </c>
      <c r="N756" s="7">
        <v>0.65</v>
      </c>
      <c r="O756" s="7">
        <v>1.4530000000000001</v>
      </c>
      <c r="P756" s="1" t="s">
        <v>6870</v>
      </c>
    </row>
    <row r="757" spans="1:16" ht="33.4" x14ac:dyDescent="0.3">
      <c r="A757" s="6" t="str">
        <f>HYPERLINK("https://www.ti.com/product/TPS552892", "TPS552892")</f>
        <v>TPS552892</v>
      </c>
      <c r="B757" s="5" t="s">
        <v>6871</v>
      </c>
      <c r="C757" s="6" t="str">
        <f>HYPERLINK("https://www.ti.com/lit/gpn/TPS552892", "PDF")</f>
        <v>PDF</v>
      </c>
      <c r="D757" s="5" t="s">
        <v>6872</v>
      </c>
      <c r="E757" s="5" t="s">
        <v>6873</v>
      </c>
      <c r="F757" s="5" t="s">
        <v>6874</v>
      </c>
      <c r="G757" s="5" t="s">
        <v>6875</v>
      </c>
      <c r="H757" s="1" t="s">
        <v>6876</v>
      </c>
      <c r="I757" s="5" t="s">
        <v>6877</v>
      </c>
      <c r="J757" s="7">
        <v>21</v>
      </c>
      <c r="K757" s="7">
        <v>15</v>
      </c>
      <c r="L757" s="5" t="s">
        <v>6878</v>
      </c>
      <c r="M757" s="7">
        <v>1</v>
      </c>
      <c r="N757" s="7">
        <v>0.5</v>
      </c>
      <c r="O757" s="7">
        <v>2.7029999999999998</v>
      </c>
      <c r="P757" s="1" t="s">
        <v>6879</v>
      </c>
    </row>
    <row r="758" spans="1:16" ht="33.4" x14ac:dyDescent="0.3">
      <c r="A758" s="6" t="str">
        <f>HYPERLINK("https://www.ti.com/product/TPS552892-Q1", "TPS552892-Q1")</f>
        <v>TPS552892-Q1</v>
      </c>
      <c r="B758" s="5" t="s">
        <v>6880</v>
      </c>
      <c r="C758" s="6" t="str">
        <f>HYPERLINK("https://www.ti.com/lit/gpn/TPS552892-Q1", "PDF")</f>
        <v>PDF</v>
      </c>
      <c r="D758" s="5" t="s">
        <v>6881</v>
      </c>
      <c r="E758" s="5" t="s">
        <v>6882</v>
      </c>
      <c r="F758" s="5" t="s">
        <v>6883</v>
      </c>
      <c r="G758" s="5" t="s">
        <v>6884</v>
      </c>
      <c r="H758" s="1" t="s">
        <v>6885</v>
      </c>
      <c r="I758" s="5" t="s">
        <v>6886</v>
      </c>
      <c r="J758" s="7">
        <v>21</v>
      </c>
      <c r="K758" s="7">
        <v>15</v>
      </c>
      <c r="L758" s="5" t="s">
        <v>6887</v>
      </c>
      <c r="M758" s="7">
        <v>1</v>
      </c>
      <c r="N758" s="7">
        <v>0.5</v>
      </c>
      <c r="O758" s="7">
        <v>3.19</v>
      </c>
      <c r="P758" s="1" t="s">
        <v>6888</v>
      </c>
    </row>
    <row r="759" spans="1:16" ht="33.4" x14ac:dyDescent="0.3">
      <c r="A759" s="6" t="str">
        <f>HYPERLINK("https://www.ti.com/product/TPSF12C1-Q1", "TPSF12C1-Q1")</f>
        <v>TPSF12C1-Q1</v>
      </c>
      <c r="B759" s="5" t="s">
        <v>6889</v>
      </c>
      <c r="C759" s="6" t="str">
        <f>HYPERLINK("https://www.ti.com/lit/gpn/TPSF12C1-Q1", "PDF")</f>
        <v>PDF</v>
      </c>
      <c r="D759" s="5" t="s">
        <v>6890</v>
      </c>
      <c r="E759" s="5" t="s">
        <v>6891</v>
      </c>
      <c r="F759" s="5"/>
      <c r="G759" s="5" t="s">
        <v>6892</v>
      </c>
      <c r="H759" s="1" t="s">
        <v>6893</v>
      </c>
      <c r="I759" s="5" t="s">
        <v>6894</v>
      </c>
      <c r="J759" s="7">
        <v>14</v>
      </c>
      <c r="K759" s="7">
        <v>13.692</v>
      </c>
      <c r="L759" s="5" t="s">
        <v>6895</v>
      </c>
      <c r="M759" s="7">
        <v>1.1000000000000001</v>
      </c>
      <c r="N759" s="7">
        <v>0.5</v>
      </c>
      <c r="O759" s="7">
        <v>1.0580000000000001</v>
      </c>
      <c r="P759" s="1" t="s">
        <v>6896</v>
      </c>
    </row>
    <row r="760" spans="1:16" ht="33.4" x14ac:dyDescent="0.3">
      <c r="A760" s="6" t="str">
        <f>HYPERLINK("https://www.ti.com/product/TPSF12C3-Q1", "TPSF12C3-Q1")</f>
        <v>TPSF12C3-Q1</v>
      </c>
      <c r="B760" s="5" t="s">
        <v>6897</v>
      </c>
      <c r="C760" s="6" t="str">
        <f>HYPERLINK("https://www.ti.com/lit/gpn/TPSF12C3-Q1", "PDF")</f>
        <v>PDF</v>
      </c>
      <c r="D760" s="5" t="s">
        <v>6898</v>
      </c>
      <c r="E760" s="5" t="s">
        <v>6899</v>
      </c>
      <c r="F760" s="5"/>
      <c r="G760" s="5" t="s">
        <v>6900</v>
      </c>
      <c r="H760" s="1" t="s">
        <v>6901</v>
      </c>
      <c r="I760" s="5" t="s">
        <v>6902</v>
      </c>
      <c r="J760" s="7">
        <v>14</v>
      </c>
      <c r="K760" s="7">
        <v>13.692</v>
      </c>
      <c r="L760" s="5" t="s">
        <v>6903</v>
      </c>
      <c r="M760" s="7">
        <v>1.1000000000000001</v>
      </c>
      <c r="N760" s="7">
        <v>0.5</v>
      </c>
      <c r="O760" s="7">
        <v>1.27</v>
      </c>
      <c r="P760" s="1" t="s">
        <v>6904</v>
      </c>
    </row>
    <row r="761" spans="1:16" ht="33.4" x14ac:dyDescent="0.3">
      <c r="A761" s="6" t="str">
        <f>HYPERLINK("https://www.ti.com/product/TPS62902-Q1", "TPS62902-Q1")</f>
        <v>TPS62902-Q1</v>
      </c>
      <c r="B761" s="5" t="s">
        <v>6905</v>
      </c>
      <c r="C761" s="6" t="str">
        <f>HYPERLINK("https://www.ti.com/lit/gpn/TPS62902-Q1", "PDF")</f>
        <v>PDF</v>
      </c>
      <c r="D761" s="5" t="s">
        <v>6906</v>
      </c>
      <c r="E761" s="5" t="s">
        <v>6907</v>
      </c>
      <c r="F761" s="5" t="s">
        <v>6908</v>
      </c>
      <c r="G761" s="5" t="s">
        <v>6909</v>
      </c>
      <c r="H761" s="1" t="s">
        <v>6910</v>
      </c>
      <c r="I761" s="5" t="s">
        <v>6911</v>
      </c>
      <c r="J761" s="7">
        <v>9</v>
      </c>
      <c r="K761" s="7">
        <v>4.4000000000000004</v>
      </c>
      <c r="L761" s="5" t="s">
        <v>6912</v>
      </c>
      <c r="M761" s="7">
        <v>0.9</v>
      </c>
      <c r="N761" s="7">
        <v>0.5</v>
      </c>
      <c r="O761" s="7">
        <v>0.57799999999999996</v>
      </c>
      <c r="P761" s="1" t="s">
        <v>6913</v>
      </c>
    </row>
    <row r="762" spans="1:16" ht="66.150000000000006" x14ac:dyDescent="0.3">
      <c r="A762" s="6" t="str">
        <f>HYPERLINK("https://www.ti.com/product/TPS62872", "TPS62872")</f>
        <v>TPS62872</v>
      </c>
      <c r="B762" s="5" t="s">
        <v>6914</v>
      </c>
      <c r="C762" s="6" t="str">
        <f>HYPERLINK("https://www.ti.com/lit/gpn/TPS62872", "PDF")</f>
        <v>PDF</v>
      </c>
      <c r="D762" s="5" t="s">
        <v>6915</v>
      </c>
      <c r="E762" s="5" t="s">
        <v>6916</v>
      </c>
      <c r="F762" s="5" t="s">
        <v>6917</v>
      </c>
      <c r="G762" s="5" t="s">
        <v>6918</v>
      </c>
      <c r="H762" s="1" t="s">
        <v>6919</v>
      </c>
      <c r="I762" s="5" t="s">
        <v>6920</v>
      </c>
      <c r="J762" s="7">
        <v>16</v>
      </c>
      <c r="K762" s="7">
        <v>9.0525000000000002</v>
      </c>
      <c r="L762" s="5" t="s">
        <v>6921</v>
      </c>
      <c r="M762" s="7">
        <v>1.05</v>
      </c>
      <c r="N762" s="7">
        <v>0.5</v>
      </c>
      <c r="O762" s="7">
        <v>1.7270000000000001</v>
      </c>
      <c r="P762" s="1" t="s">
        <v>6922</v>
      </c>
    </row>
    <row r="763" spans="1:16" ht="33.4" x14ac:dyDescent="0.3">
      <c r="A763" s="6" t="str">
        <f>HYPERLINK("https://www.ti.com/product/UCC21756-Q1", "UCC21756-Q1")</f>
        <v>UCC21756-Q1</v>
      </c>
      <c r="B763" s="5" t="s">
        <v>6923</v>
      </c>
      <c r="C763" s="6" t="str">
        <f>HYPERLINK("https://www.ti.com/lit/gpn/UCC21756-Q1", "PDF")</f>
        <v>PDF</v>
      </c>
      <c r="D763" s="5" t="s">
        <v>6924</v>
      </c>
      <c r="E763" s="5" t="s">
        <v>6925</v>
      </c>
      <c r="F763" s="5"/>
      <c r="G763" s="5" t="s">
        <v>6926</v>
      </c>
      <c r="H763" s="1" t="s">
        <v>6927</v>
      </c>
      <c r="I763" s="5" t="s">
        <v>6928</v>
      </c>
      <c r="J763" s="7">
        <v>16</v>
      </c>
      <c r="K763" s="7">
        <v>106.09</v>
      </c>
      <c r="L763" s="5" t="s">
        <v>6929</v>
      </c>
      <c r="M763" s="7">
        <v>2.65</v>
      </c>
      <c r="N763" s="7">
        <v>1.27</v>
      </c>
      <c r="O763" s="7">
        <v>3.2890000000000001</v>
      </c>
      <c r="P763" s="1" t="s">
        <v>6930</v>
      </c>
    </row>
    <row r="764" spans="1:16" ht="33.4" x14ac:dyDescent="0.3">
      <c r="A764" s="6" t="str">
        <f>HYPERLINK("https://www.ti.com/product/TPS929160-Q1", "TPS929160-Q1")</f>
        <v>TPS929160-Q1</v>
      </c>
      <c r="B764" s="5" t="s">
        <v>6931</v>
      </c>
      <c r="C764" s="6" t="str">
        <f>HYPERLINK("https://www.ti.com/lit/gpn/TPS929160-Q1", "PDF")</f>
        <v>PDF</v>
      </c>
      <c r="D764" s="5" t="s">
        <v>6932</v>
      </c>
      <c r="E764" s="5" t="s">
        <v>6933</v>
      </c>
      <c r="F764" s="5" t="s">
        <v>6934</v>
      </c>
      <c r="G764" s="5" t="s">
        <v>6935</v>
      </c>
      <c r="H764" s="1" t="s">
        <v>6936</v>
      </c>
      <c r="I764" s="5" t="s">
        <v>6937</v>
      </c>
      <c r="J764" s="7">
        <v>38</v>
      </c>
      <c r="K764" s="7">
        <v>62.08</v>
      </c>
      <c r="L764" s="5" t="s">
        <v>6938</v>
      </c>
      <c r="M764" s="7">
        <v>1.2</v>
      </c>
      <c r="N764" s="7">
        <v>0.5</v>
      </c>
      <c r="O764" s="7">
        <v>2.242</v>
      </c>
      <c r="P764" s="1" t="s">
        <v>6939</v>
      </c>
    </row>
    <row r="765" spans="1:16" ht="33.4" x14ac:dyDescent="0.3">
      <c r="A765" s="6" t="str">
        <f>HYPERLINK("https://www.ti.com/product/TPS929240-Q1", "TPS929240-Q1")</f>
        <v>TPS929240-Q1</v>
      </c>
      <c r="B765" s="5" t="s">
        <v>6940</v>
      </c>
      <c r="C765" s="6" t="str">
        <f>HYPERLINK("https://www.ti.com/lit/gpn/TPS929240-Q1", "PDF")</f>
        <v>PDF</v>
      </c>
      <c r="D765" s="5" t="s">
        <v>6941</v>
      </c>
      <c r="E765" s="5" t="s">
        <v>6942</v>
      </c>
      <c r="F765" s="5" t="s">
        <v>6943</v>
      </c>
      <c r="G765" s="5" t="s">
        <v>6944</v>
      </c>
      <c r="H765" s="1" t="s">
        <v>6945</v>
      </c>
      <c r="I765" s="5" t="s">
        <v>6946</v>
      </c>
      <c r="J765" s="7">
        <v>38</v>
      </c>
      <c r="K765" s="7">
        <v>62.08</v>
      </c>
      <c r="L765" s="5" t="s">
        <v>6947</v>
      </c>
      <c r="M765" s="7">
        <v>1.2</v>
      </c>
      <c r="N765" s="7">
        <v>0.5</v>
      </c>
      <c r="O765" s="7">
        <v>3.7719999999999998</v>
      </c>
      <c r="P765" s="1" t="s">
        <v>6948</v>
      </c>
    </row>
    <row r="766" spans="1:16" ht="33.4" x14ac:dyDescent="0.3">
      <c r="A766" s="6" t="str">
        <f>HYPERLINK("https://www.ti.com/product/TPSI3052", "TPSI3052")</f>
        <v>TPSI3052</v>
      </c>
      <c r="B766" s="5" t="s">
        <v>6949</v>
      </c>
      <c r="C766" s="6" t="str">
        <f>HYPERLINK("https://www.ti.com/lit/gpn/TPSI3052", "PDF")</f>
        <v>PDF</v>
      </c>
      <c r="D766" s="5" t="s">
        <v>6950</v>
      </c>
      <c r="E766" s="5" t="s">
        <v>6951</v>
      </c>
      <c r="F766" s="5"/>
      <c r="G766" s="5" t="s">
        <v>6952</v>
      </c>
      <c r="H766" s="1" t="s">
        <v>6953</v>
      </c>
      <c r="I766" s="5" t="s">
        <v>6954</v>
      </c>
      <c r="J766" s="7">
        <v>8</v>
      </c>
      <c r="K766" s="7">
        <v>67.275000000000006</v>
      </c>
      <c r="L766" s="5" t="s">
        <v>6955</v>
      </c>
      <c r="M766" s="7">
        <v>2.8</v>
      </c>
      <c r="N766" s="7">
        <v>1.27</v>
      </c>
      <c r="O766" s="7">
        <v>1.8979999999999999</v>
      </c>
      <c r="P766" s="1" t="s">
        <v>6956</v>
      </c>
    </row>
    <row r="767" spans="1:16" ht="33.4" x14ac:dyDescent="0.3">
      <c r="A767" s="6" t="str">
        <f>HYPERLINK("https://www.ti.com/product/TPS62903-Q1", "TPS62903-Q1")</f>
        <v>TPS62903-Q1</v>
      </c>
      <c r="B767" s="5" t="s">
        <v>6957</v>
      </c>
      <c r="C767" s="6" t="str">
        <f>HYPERLINK("https://www.ti.com/lit/gpn/TPS62903-Q1", "PDF")</f>
        <v>PDF</v>
      </c>
      <c r="D767" s="5" t="s">
        <v>6958</v>
      </c>
      <c r="E767" s="5" t="s">
        <v>6959</v>
      </c>
      <c r="F767" s="5" t="s">
        <v>6960</v>
      </c>
      <c r="G767" s="5" t="s">
        <v>6961</v>
      </c>
      <c r="H767" s="1" t="s">
        <v>6962</v>
      </c>
      <c r="I767" s="5" t="s">
        <v>6963</v>
      </c>
      <c r="J767" s="7">
        <v>9</v>
      </c>
      <c r="K767" s="7">
        <v>4.4000000000000004</v>
      </c>
      <c r="L767" s="5" t="s">
        <v>6964</v>
      </c>
      <c r="M767" s="7">
        <v>0.9</v>
      </c>
      <c r="N767" s="7">
        <v>0.5</v>
      </c>
      <c r="O767" s="7">
        <v>0.63800000000000001</v>
      </c>
      <c r="P767" s="1" t="s">
        <v>6965</v>
      </c>
    </row>
    <row r="768" spans="1:16" ht="33.4" x14ac:dyDescent="0.3">
      <c r="A768" s="6" t="str">
        <f>HYPERLINK("https://www.ti.com/product/LMR36502", "LMR36502")</f>
        <v>LMR36502</v>
      </c>
      <c r="B768" s="5" t="s">
        <v>6966</v>
      </c>
      <c r="C768" s="6" t="str">
        <f>HYPERLINK("https://www.ti.com/lit/gpn/LMR36502", "PDF")</f>
        <v>PDF</v>
      </c>
      <c r="D768" s="5" t="s">
        <v>6967</v>
      </c>
      <c r="E768" s="5" t="s">
        <v>6968</v>
      </c>
      <c r="F768" s="5" t="s">
        <v>6969</v>
      </c>
      <c r="G768" s="5" t="s">
        <v>6970</v>
      </c>
      <c r="H768" s="1" t="s">
        <v>6971</v>
      </c>
      <c r="I768" s="5" t="s">
        <v>6972</v>
      </c>
      <c r="J768" s="7">
        <v>9</v>
      </c>
      <c r="K768" s="7">
        <v>4</v>
      </c>
      <c r="L768" s="5" t="s">
        <v>6973</v>
      </c>
      <c r="M768" s="7">
        <v>1</v>
      </c>
      <c r="N768" s="7">
        <v>0.5</v>
      </c>
      <c r="O768" s="7">
        <v>1.4379999999999999</v>
      </c>
      <c r="P768" s="1" t="s">
        <v>6974</v>
      </c>
    </row>
    <row r="769" spans="1:16" ht="33.4" x14ac:dyDescent="0.3">
      <c r="A769" s="6" t="str">
        <f>HYPERLINK("https://www.ti.com/product/TPS65219", "TPS65219")</f>
        <v>TPS65219</v>
      </c>
      <c r="B769" s="5" t="s">
        <v>6975</v>
      </c>
      <c r="C769" s="6" t="str">
        <f>HYPERLINK("https://www.ti.com/lit/gpn/TPS65219", "PDF")</f>
        <v>PDF</v>
      </c>
      <c r="D769" s="5" t="s">
        <v>6976</v>
      </c>
      <c r="E769" s="5" t="s">
        <v>6977</v>
      </c>
      <c r="F769" s="5"/>
      <c r="G769" s="5" t="s">
        <v>6978</v>
      </c>
      <c r="H769" s="1" t="s">
        <v>6979</v>
      </c>
      <c r="I769" s="5" t="s">
        <v>6980</v>
      </c>
      <c r="J769" s="7">
        <v>32</v>
      </c>
      <c r="K769" s="7" t="s">
        <v>6981</v>
      </c>
      <c r="L769" s="5" t="s">
        <v>6982</v>
      </c>
      <c r="M769" s="7">
        <v>1</v>
      </c>
      <c r="N769" s="7" t="s">
        <v>6983</v>
      </c>
      <c r="O769" s="7">
        <v>1.242</v>
      </c>
      <c r="P769" s="1" t="s">
        <v>6984</v>
      </c>
    </row>
    <row r="770" spans="1:16" ht="33.4" x14ac:dyDescent="0.3">
      <c r="A770" s="6" t="str">
        <f>HYPERLINK("https://www.ti.com/product/TPS546D24S", "TPS546D24S")</f>
        <v>TPS546D24S</v>
      </c>
      <c r="B770" s="5" t="s">
        <v>6985</v>
      </c>
      <c r="C770" s="6" t="str">
        <f>HYPERLINK("https://www.ti.com/lit/gpn/TPS546D24S", "PDF")</f>
        <v>PDF</v>
      </c>
      <c r="D770" s="5" t="s">
        <v>6986</v>
      </c>
      <c r="E770" s="5" t="s">
        <v>6987</v>
      </c>
      <c r="F770" s="5" t="s">
        <v>6988</v>
      </c>
      <c r="G770" s="5" t="s">
        <v>6989</v>
      </c>
      <c r="H770" s="1" t="s">
        <v>6990</v>
      </c>
      <c r="I770" s="5" t="s">
        <v>6991</v>
      </c>
      <c r="J770" s="7">
        <v>40</v>
      </c>
      <c r="K770" s="7">
        <v>35</v>
      </c>
      <c r="L770" s="5" t="s">
        <v>6992</v>
      </c>
      <c r="M770" s="7">
        <v>1.52</v>
      </c>
      <c r="N770" s="7">
        <v>0.5</v>
      </c>
      <c r="O770" s="7">
        <v>5.14</v>
      </c>
      <c r="P770" s="1" t="s">
        <v>6993</v>
      </c>
    </row>
    <row r="771" spans="1:16" ht="33.4" x14ac:dyDescent="0.3">
      <c r="A771" s="6" t="str">
        <f>HYPERLINK("https://www.ti.com/product/TPS61033", "TPS61033")</f>
        <v>TPS61033</v>
      </c>
      <c r="B771" s="5" t="s">
        <v>6994</v>
      </c>
      <c r="C771" s="6" t="str">
        <f>HYPERLINK("https://www.ti.com/lit/gpn/TPS61033", "PDF")</f>
        <v>PDF</v>
      </c>
      <c r="D771" s="5" t="s">
        <v>6995</v>
      </c>
      <c r="E771" s="5" t="s">
        <v>6996</v>
      </c>
      <c r="F771" s="5" t="s">
        <v>6997</v>
      </c>
      <c r="G771" s="5" t="s">
        <v>6998</v>
      </c>
      <c r="H771" s="1" t="s">
        <v>6999</v>
      </c>
      <c r="I771" s="5" t="s">
        <v>7000</v>
      </c>
      <c r="J771" s="7">
        <v>8</v>
      </c>
      <c r="K771" s="7">
        <v>3.36</v>
      </c>
      <c r="L771" s="5" t="s">
        <v>7001</v>
      </c>
      <c r="M771" s="7">
        <v>0.6</v>
      </c>
      <c r="N771" s="7">
        <v>0.5</v>
      </c>
      <c r="O771" s="7">
        <v>0.56299999999999994</v>
      </c>
      <c r="P771" s="1" t="s">
        <v>7002</v>
      </c>
    </row>
    <row r="772" spans="1:16" ht="33.4" x14ac:dyDescent="0.3">
      <c r="A772" s="6" t="str">
        <f>HYPERLINK("https://www.ti.com/product/UCC38C55", "UCC38C55")</f>
        <v>UCC38C55</v>
      </c>
      <c r="B772" s="5" t="s">
        <v>7003</v>
      </c>
      <c r="C772" s="6" t="str">
        <f>HYPERLINK("https://www.ti.com/lit/gpn/UCC38C55", "PDF")</f>
        <v>PDF</v>
      </c>
      <c r="D772" s="5" t="s">
        <v>7004</v>
      </c>
      <c r="E772" s="5" t="s">
        <v>7005</v>
      </c>
      <c r="F772" s="5" t="s">
        <v>7006</v>
      </c>
      <c r="G772" s="5" t="s">
        <v>7007</v>
      </c>
      <c r="H772" s="1" t="s">
        <v>7008</v>
      </c>
      <c r="I772" s="5" t="s">
        <v>7009</v>
      </c>
      <c r="J772" s="7">
        <v>8</v>
      </c>
      <c r="K772" s="7">
        <v>29.4</v>
      </c>
      <c r="L772" s="5" t="s">
        <v>7010</v>
      </c>
      <c r="M772" s="7">
        <v>1.75</v>
      </c>
      <c r="N772" s="7">
        <v>1.27</v>
      </c>
      <c r="O772" s="7">
        <v>0.375</v>
      </c>
      <c r="P772" s="1" t="s">
        <v>7011</v>
      </c>
    </row>
    <row r="773" spans="1:16" ht="33.4" x14ac:dyDescent="0.3">
      <c r="A773" s="6" t="str">
        <f>HYPERLINK("https://www.ti.com/product/UCC28C50-Q1", "UCC28C50-Q1")</f>
        <v>UCC28C50-Q1</v>
      </c>
      <c r="B773" s="5" t="s">
        <v>7012</v>
      </c>
      <c r="C773" s="6" t="str">
        <f>HYPERLINK("https://www.ti.com/lit/gpn/UCC28C50-Q1", "PDF")</f>
        <v>PDF</v>
      </c>
      <c r="D773" s="5" t="s">
        <v>7013</v>
      </c>
      <c r="E773" s="5" t="s">
        <v>7014</v>
      </c>
      <c r="F773" s="5" t="s">
        <v>7015</v>
      </c>
      <c r="G773" s="5" t="s">
        <v>7016</v>
      </c>
      <c r="H773" s="1" t="s">
        <v>7017</v>
      </c>
      <c r="I773" s="5" t="s">
        <v>7018</v>
      </c>
      <c r="J773" s="7">
        <v>8</v>
      </c>
      <c r="K773" s="7">
        <v>29.4</v>
      </c>
      <c r="L773" s="5" t="s">
        <v>7019</v>
      </c>
      <c r="M773" s="7">
        <v>1.75</v>
      </c>
      <c r="N773" s="7">
        <v>1.27</v>
      </c>
      <c r="O773" s="7">
        <v>0.78200000000000003</v>
      </c>
      <c r="P773" s="1" t="s">
        <v>7020</v>
      </c>
    </row>
    <row r="774" spans="1:16" ht="33.4" x14ac:dyDescent="0.3">
      <c r="A774" s="6" t="str">
        <f>HYPERLINK("https://www.ti.com/product/UCC28C56H-Q1", "UCC28C56H-Q1")</f>
        <v>UCC28C56H-Q1</v>
      </c>
      <c r="B774" s="5" t="s">
        <v>7021</v>
      </c>
      <c r="C774" s="6" t="str">
        <f>HYPERLINK("https://www.ti.com/lit/gpn/UCC28C56H-Q1", "PDF")</f>
        <v>PDF</v>
      </c>
      <c r="D774" s="5" t="s">
        <v>7022</v>
      </c>
      <c r="E774" s="5" t="s">
        <v>7023</v>
      </c>
      <c r="F774" s="5" t="s">
        <v>7024</v>
      </c>
      <c r="G774" s="5" t="s">
        <v>7025</v>
      </c>
      <c r="H774" s="1" t="s">
        <v>7026</v>
      </c>
      <c r="I774" s="5" t="s">
        <v>7027</v>
      </c>
      <c r="J774" s="7">
        <v>8</v>
      </c>
      <c r="K774" s="7">
        <v>29.4</v>
      </c>
      <c r="L774" s="5" t="s">
        <v>7028</v>
      </c>
      <c r="M774" s="7">
        <v>1.75</v>
      </c>
      <c r="N774" s="7">
        <v>1.27</v>
      </c>
      <c r="O774" s="7">
        <v>0.78900000000000003</v>
      </c>
      <c r="P774" s="1" t="s">
        <v>7029</v>
      </c>
    </row>
    <row r="775" spans="1:16" ht="33.4" x14ac:dyDescent="0.3">
      <c r="A775" s="6" t="str">
        <f>HYPERLINK("https://www.ti.com/product/UCC28C58-Q1", "UCC28C58-Q1")</f>
        <v>UCC28C58-Q1</v>
      </c>
      <c r="B775" s="5" t="s">
        <v>7030</v>
      </c>
      <c r="C775" s="6" t="str">
        <f>HYPERLINK("https://www.ti.com/lit/gpn/UCC28C58-Q1", "PDF")</f>
        <v>PDF</v>
      </c>
      <c r="D775" s="5" t="s">
        <v>7031</v>
      </c>
      <c r="E775" s="5" t="s">
        <v>7032</v>
      </c>
      <c r="F775" s="5" t="s">
        <v>7033</v>
      </c>
      <c r="G775" s="5" t="s">
        <v>7034</v>
      </c>
      <c r="H775" s="1" t="s">
        <v>7035</v>
      </c>
      <c r="I775" s="5" t="s">
        <v>7036</v>
      </c>
      <c r="J775" s="7">
        <v>8</v>
      </c>
      <c r="K775" s="7">
        <v>29.4</v>
      </c>
      <c r="L775" s="5" t="s">
        <v>7037</v>
      </c>
      <c r="M775" s="7">
        <v>1.75</v>
      </c>
      <c r="N775" s="7">
        <v>1.27</v>
      </c>
      <c r="O775" s="7">
        <v>0.78900000000000003</v>
      </c>
      <c r="P775" s="1" t="s">
        <v>7038</v>
      </c>
    </row>
    <row r="776" spans="1:16" ht="33.4" x14ac:dyDescent="0.3">
      <c r="A776" s="6" t="str">
        <f>HYPERLINK("https://www.ti.com/product/TLVM13610", "TLVM13610")</f>
        <v>TLVM13610</v>
      </c>
      <c r="B776" s="5" t="s">
        <v>7039</v>
      </c>
      <c r="C776" s="6" t="str">
        <f>HYPERLINK("https://www.ti.com/lit/gpn/TLVM13610", "PDF")</f>
        <v>PDF</v>
      </c>
      <c r="D776" s="5" t="s">
        <v>7040</v>
      </c>
      <c r="E776" s="5" t="s">
        <v>7041</v>
      </c>
      <c r="F776" s="5" t="s">
        <v>7042</v>
      </c>
      <c r="G776" s="5" t="s">
        <v>7043</v>
      </c>
      <c r="H776" s="1" t="s">
        <v>7044</v>
      </c>
      <c r="I776" s="5" t="s">
        <v>7045</v>
      </c>
      <c r="J776" s="7">
        <v>22</v>
      </c>
      <c r="K776" s="7">
        <v>48.75</v>
      </c>
      <c r="L776" s="5" t="s">
        <v>7046</v>
      </c>
      <c r="M776" s="7">
        <v>4.0999999999999996</v>
      </c>
      <c r="N776" s="7">
        <v>0.65</v>
      </c>
      <c r="O776" s="7">
        <v>3.6880000000000002</v>
      </c>
      <c r="P776" s="1" t="s">
        <v>7047</v>
      </c>
    </row>
    <row r="777" spans="1:16" ht="33.4" x14ac:dyDescent="0.3">
      <c r="A777" s="6" t="str">
        <f>HYPERLINK("https://www.ti.com/product/TLVM23615", "TLVM23615")</f>
        <v>TLVM23615</v>
      </c>
      <c r="B777" s="5" t="s">
        <v>7048</v>
      </c>
      <c r="C777" s="6" t="str">
        <f>HYPERLINK("https://www.ti.com/lit/gpn/TLVM23615", "PDF")</f>
        <v>PDF</v>
      </c>
      <c r="D777" s="5" t="s">
        <v>7049</v>
      </c>
      <c r="E777" s="5" t="s">
        <v>7050</v>
      </c>
      <c r="F777" s="5" t="s">
        <v>7051</v>
      </c>
      <c r="G777" s="5" t="s">
        <v>7052</v>
      </c>
      <c r="H777" s="1" t="s">
        <v>7053</v>
      </c>
      <c r="I777" s="5" t="s">
        <v>7054</v>
      </c>
      <c r="J777" s="7">
        <v>11</v>
      </c>
      <c r="K777" s="7">
        <v>15.75</v>
      </c>
      <c r="L777" s="5" t="s">
        <v>7055</v>
      </c>
      <c r="M777" s="7">
        <v>2.1</v>
      </c>
      <c r="N777" s="7">
        <v>0.5</v>
      </c>
      <c r="O777" s="7">
        <v>0.97799999999999998</v>
      </c>
      <c r="P777" s="1" t="s">
        <v>7056</v>
      </c>
    </row>
    <row r="778" spans="1:16" ht="33.4" x14ac:dyDescent="0.3">
      <c r="A778" s="6" t="str">
        <f>HYPERLINK("https://www.ti.com/product/TPSM33615", "TPSM33615")</f>
        <v>TPSM33615</v>
      </c>
      <c r="B778" s="5" t="s">
        <v>7057</v>
      </c>
      <c r="C778" s="6" t="str">
        <f>HYPERLINK("https://www.ti.com/lit/gpn/TPSM33615", "PDF")</f>
        <v>PDF</v>
      </c>
      <c r="D778" s="5" t="s">
        <v>7058</v>
      </c>
      <c r="E778" s="5" t="s">
        <v>7059</v>
      </c>
      <c r="F778" s="5" t="s">
        <v>7060</v>
      </c>
      <c r="G778" s="5" t="s">
        <v>7061</v>
      </c>
      <c r="H778" s="1" t="s">
        <v>7062</v>
      </c>
      <c r="I778" s="5" t="s">
        <v>7063</v>
      </c>
      <c r="J778" s="7">
        <v>11</v>
      </c>
      <c r="K778" s="7">
        <v>15.75</v>
      </c>
      <c r="L778" s="5" t="s">
        <v>7064</v>
      </c>
      <c r="M778" s="7">
        <v>2.1</v>
      </c>
      <c r="N778" s="7">
        <v>0.5</v>
      </c>
      <c r="O778" s="7">
        <v>1.4950000000000001</v>
      </c>
      <c r="P778" s="1" t="s">
        <v>7065</v>
      </c>
    </row>
    <row r="779" spans="1:16" ht="33.4" x14ac:dyDescent="0.3">
      <c r="A779" s="6" t="str">
        <f>HYPERLINK("https://www.ti.com/product/TPSM365R3", "TPSM365R3")</f>
        <v>TPSM365R3</v>
      </c>
      <c r="B779" s="5" t="s">
        <v>7066</v>
      </c>
      <c r="C779" s="6" t="str">
        <f>HYPERLINK("https://www.ti.com/lit/gpn/TPSM365R3", "PDF")</f>
        <v>PDF</v>
      </c>
      <c r="D779" s="5" t="s">
        <v>7067</v>
      </c>
      <c r="E779" s="5" t="s">
        <v>7068</v>
      </c>
      <c r="F779" s="5" t="s">
        <v>7069</v>
      </c>
      <c r="G779" s="5" t="s">
        <v>7070</v>
      </c>
      <c r="H779" s="1" t="s">
        <v>7071</v>
      </c>
      <c r="I779" s="5" t="s">
        <v>7072</v>
      </c>
      <c r="J779" s="7">
        <v>11</v>
      </c>
      <c r="K779" s="7">
        <v>15.75</v>
      </c>
      <c r="L779" s="5" t="s">
        <v>7073</v>
      </c>
      <c r="M779" s="7">
        <v>2.1</v>
      </c>
      <c r="N779" s="7">
        <v>0.5</v>
      </c>
      <c r="O779" s="7">
        <v>1.61</v>
      </c>
      <c r="P779" s="1" t="s">
        <v>7074</v>
      </c>
    </row>
    <row r="780" spans="1:16" ht="33.4" x14ac:dyDescent="0.3">
      <c r="A780" s="6" t="str">
        <f>HYPERLINK("https://www.ti.com/product/TPSM63608", "TPSM63608")</f>
        <v>TPSM63608</v>
      </c>
      <c r="B780" s="5" t="s">
        <v>7075</v>
      </c>
      <c r="C780" s="6" t="str">
        <f>HYPERLINK("https://www.ti.com/lit/gpn/TPSM63608", "PDF")</f>
        <v>PDF</v>
      </c>
      <c r="D780" s="5" t="s">
        <v>7076</v>
      </c>
      <c r="E780" s="5" t="s">
        <v>7077</v>
      </c>
      <c r="F780" s="5" t="s">
        <v>7078</v>
      </c>
      <c r="G780" s="5" t="s">
        <v>7079</v>
      </c>
      <c r="H780" s="1" t="s">
        <v>7080</v>
      </c>
      <c r="I780" s="5" t="s">
        <v>7081</v>
      </c>
      <c r="J780" s="7">
        <v>22</v>
      </c>
      <c r="K780" s="7">
        <v>48.75</v>
      </c>
      <c r="L780" s="5" t="s">
        <v>7082</v>
      </c>
      <c r="M780" s="7">
        <v>4.0999999999999996</v>
      </c>
      <c r="N780" s="7">
        <v>0.65</v>
      </c>
      <c r="O780" s="7">
        <v>8.2859999999999996</v>
      </c>
      <c r="P780" s="1" t="s">
        <v>7083</v>
      </c>
    </row>
    <row r="781" spans="1:16" ht="33.4" x14ac:dyDescent="0.3">
      <c r="A781" s="6" t="str">
        <f>HYPERLINK("https://www.ti.com/product/TPSM63610E", "TPSM63610E")</f>
        <v>TPSM63610E</v>
      </c>
      <c r="B781" s="5" t="s">
        <v>7084</v>
      </c>
      <c r="C781" s="6" t="str">
        <f>HYPERLINK("https://www.ti.com/lit/gpn/TPSM63610E", "PDF")</f>
        <v>PDF</v>
      </c>
      <c r="D781" s="5" t="s">
        <v>7085</v>
      </c>
      <c r="E781" s="5" t="s">
        <v>7086</v>
      </c>
      <c r="F781" s="5" t="s">
        <v>7087</v>
      </c>
      <c r="G781" s="5" t="s">
        <v>7088</v>
      </c>
      <c r="H781" s="1" t="s">
        <v>7089</v>
      </c>
      <c r="I781" s="5" t="s">
        <v>7090</v>
      </c>
      <c r="J781" s="7">
        <v>22</v>
      </c>
      <c r="K781" s="7">
        <v>48.75</v>
      </c>
      <c r="L781" s="5" t="s">
        <v>7091</v>
      </c>
      <c r="M781" s="7">
        <v>4.0999999999999996</v>
      </c>
      <c r="N781" s="7">
        <v>0.65</v>
      </c>
      <c r="O781" s="7">
        <v>37.662999999999997</v>
      </c>
      <c r="P781" s="1" t="s">
        <v>7092</v>
      </c>
    </row>
    <row r="782" spans="1:16" ht="33.4" x14ac:dyDescent="0.3">
      <c r="A782" s="6" t="str">
        <f>HYPERLINK("https://www.ti.com/product/TPS7A53A-Q1", "TPS7A53A-Q1")</f>
        <v>TPS7A53A-Q1</v>
      </c>
      <c r="B782" s="5" t="s">
        <v>7093</v>
      </c>
      <c r="C782" s="6" t="str">
        <f>HYPERLINK("https://www.ti.com/lit/gpn/TPS7A53A-Q1", "PDF")</f>
        <v>PDF</v>
      </c>
      <c r="D782" s="5" t="s">
        <v>7094</v>
      </c>
      <c r="E782" s="5" t="s">
        <v>7095</v>
      </c>
      <c r="F782" s="5"/>
      <c r="G782" s="5" t="s">
        <v>7096</v>
      </c>
      <c r="H782" s="1" t="s">
        <v>7097</v>
      </c>
      <c r="I782" s="5" t="s">
        <v>7098</v>
      </c>
      <c r="J782" s="7">
        <v>20</v>
      </c>
      <c r="K782" s="7">
        <v>16</v>
      </c>
      <c r="L782" s="5" t="s">
        <v>7099</v>
      </c>
      <c r="M782" s="7">
        <v>0.8</v>
      </c>
      <c r="N782" s="7">
        <v>0.5</v>
      </c>
      <c r="O782" s="7">
        <v>1.575</v>
      </c>
      <c r="P782" s="1" t="s">
        <v>7100</v>
      </c>
    </row>
    <row r="783" spans="1:16" ht="33.4" x14ac:dyDescent="0.3">
      <c r="A783" s="6" t="str">
        <f>HYPERLINK("https://www.ti.com/product/TPS548C26", "TPS548C26")</f>
        <v>TPS548C26</v>
      </c>
      <c r="B783" s="5" t="s">
        <v>7101</v>
      </c>
      <c r="C783" s="6" t="str">
        <f>HYPERLINK("https://www.ti.com/lit/gpn/TPS548C26", "PDF")</f>
        <v>PDF</v>
      </c>
      <c r="D783" s="5" t="s">
        <v>7102</v>
      </c>
      <c r="E783" s="5" t="s">
        <v>7103</v>
      </c>
      <c r="F783" s="5" t="s">
        <v>7104</v>
      </c>
      <c r="G783" s="5" t="s">
        <v>7105</v>
      </c>
      <c r="H783" s="1" t="s">
        <v>7106</v>
      </c>
      <c r="I783" s="5" t="s">
        <v>7107</v>
      </c>
      <c r="J783" s="7">
        <v>37</v>
      </c>
      <c r="K783" s="7">
        <v>30</v>
      </c>
      <c r="L783" s="5" t="s">
        <v>7108</v>
      </c>
      <c r="M783" s="7">
        <v>0.7</v>
      </c>
      <c r="N783" s="7">
        <v>0.5</v>
      </c>
      <c r="O783" s="7">
        <v>2.0640000000000001</v>
      </c>
      <c r="P783" s="1" t="s">
        <v>7109</v>
      </c>
    </row>
    <row r="784" spans="1:16" ht="66.150000000000006" x14ac:dyDescent="0.3">
      <c r="A784" s="6" t="str">
        <f>HYPERLINK("https://www.ti.com/product/TPS7H5002-SP", "TPS7H5002-SP")</f>
        <v>TPS7H5002-SP</v>
      </c>
      <c r="B784" s="5" t="s">
        <v>7110</v>
      </c>
      <c r="C784" s="6" t="str">
        <f>HYPERLINK("https://www.ti.com/lit/gpn/TPS7H5002-SP", "PDF")</f>
        <v>PDF</v>
      </c>
      <c r="D784" s="5" t="s">
        <v>7111</v>
      </c>
      <c r="E784" s="5" t="s">
        <v>7112</v>
      </c>
      <c r="F784" s="5" t="s">
        <v>7113</v>
      </c>
      <c r="G784" s="5" t="s">
        <v>7114</v>
      </c>
      <c r="H784" s="1" t="s">
        <v>7115</v>
      </c>
      <c r="I784" s="5" t="s">
        <v>7116</v>
      </c>
      <c r="J784" s="7" t="s">
        <v>7117</v>
      </c>
      <c r="K784" s="7" t="s">
        <v>7118</v>
      </c>
      <c r="L784" s="5" t="s">
        <v>7119</v>
      </c>
      <c r="M784" s="7" t="s">
        <v>7120</v>
      </c>
      <c r="N784" s="7" t="s">
        <v>7121</v>
      </c>
      <c r="O784" s="7">
        <v>1659.98</v>
      </c>
      <c r="P784" s="1" t="s">
        <v>7122</v>
      </c>
    </row>
    <row r="785" spans="1:16" ht="66.150000000000006" x14ac:dyDescent="0.3">
      <c r="A785" s="6" t="str">
        <f>HYPERLINK("https://www.ti.com/product/TPS7H5003-SP", "TPS7H5003-SP")</f>
        <v>TPS7H5003-SP</v>
      </c>
      <c r="B785" s="5" t="s">
        <v>7123</v>
      </c>
      <c r="C785" s="6" t="str">
        <f>HYPERLINK("https://www.ti.com/lit/gpn/TPS7H5003-SP", "PDF")</f>
        <v>PDF</v>
      </c>
      <c r="D785" s="5" t="s">
        <v>7124</v>
      </c>
      <c r="E785" s="5" t="s">
        <v>7125</v>
      </c>
      <c r="F785" s="5" t="s">
        <v>7126</v>
      </c>
      <c r="G785" s="5" t="s">
        <v>7127</v>
      </c>
      <c r="H785" s="1" t="s">
        <v>7128</v>
      </c>
      <c r="I785" s="5" t="s">
        <v>7129</v>
      </c>
      <c r="J785" s="7" t="s">
        <v>7130</v>
      </c>
      <c r="K785" s="7" t="s">
        <v>7131</v>
      </c>
      <c r="L785" s="5" t="s">
        <v>7132</v>
      </c>
      <c r="M785" s="7" t="s">
        <v>7133</v>
      </c>
      <c r="N785" s="7" t="s">
        <v>7134</v>
      </c>
      <c r="O785" s="7">
        <v>1381.7090000000001</v>
      </c>
      <c r="P785" s="1" t="s">
        <v>7135</v>
      </c>
    </row>
    <row r="786" spans="1:16" ht="66.150000000000006" x14ac:dyDescent="0.3">
      <c r="A786" s="6" t="str">
        <f>HYPERLINK("https://www.ti.com/product/TPS7H5004-SP", "TPS7H5004-SP")</f>
        <v>TPS7H5004-SP</v>
      </c>
      <c r="B786" s="5" t="s">
        <v>7136</v>
      </c>
      <c r="C786" s="6" t="str">
        <f>HYPERLINK("https://www.ti.com/lit/gpn/TPS7H5004-SP", "PDF")</f>
        <v>PDF</v>
      </c>
      <c r="D786" s="5" t="s">
        <v>7137</v>
      </c>
      <c r="E786" s="5" t="s">
        <v>7138</v>
      </c>
      <c r="F786" s="5" t="s">
        <v>7139</v>
      </c>
      <c r="G786" s="5" t="s">
        <v>7140</v>
      </c>
      <c r="H786" s="1" t="s">
        <v>7141</v>
      </c>
      <c r="I786" s="5" t="s">
        <v>7142</v>
      </c>
      <c r="J786" s="7" t="s">
        <v>7143</v>
      </c>
      <c r="K786" s="7" t="s">
        <v>7144</v>
      </c>
      <c r="L786" s="5" t="s">
        <v>7145</v>
      </c>
      <c r="M786" s="7" t="s">
        <v>7146</v>
      </c>
      <c r="N786" s="7" t="s">
        <v>7147</v>
      </c>
      <c r="O786" s="7">
        <v>1105.08</v>
      </c>
      <c r="P786" s="1" t="s">
        <v>7148</v>
      </c>
    </row>
    <row r="787" spans="1:16" ht="33.4" x14ac:dyDescent="0.3">
      <c r="A787" s="6" t="str">
        <f>HYPERLINK("https://www.ti.com/product/UCC28C56L", "UCC28C56L")</f>
        <v>UCC28C56L</v>
      </c>
      <c r="B787" s="5" t="s">
        <v>7149</v>
      </c>
      <c r="C787" s="6" t="str">
        <f>HYPERLINK("https://www.ti.com/lit/gpn/UCC28C56L", "PDF")</f>
        <v>PDF</v>
      </c>
      <c r="D787" s="5" t="s">
        <v>7150</v>
      </c>
      <c r="E787" s="5" t="s">
        <v>7151</v>
      </c>
      <c r="F787" s="5" t="s">
        <v>7152</v>
      </c>
      <c r="G787" s="5" t="s">
        <v>7153</v>
      </c>
      <c r="H787" s="1" t="s">
        <v>7154</v>
      </c>
      <c r="I787" s="5" t="s">
        <v>7155</v>
      </c>
      <c r="J787" s="7">
        <v>8</v>
      </c>
      <c r="K787" s="7">
        <v>29.4</v>
      </c>
      <c r="L787" s="5" t="s">
        <v>7156</v>
      </c>
      <c r="M787" s="7">
        <v>1.75</v>
      </c>
      <c r="N787" s="7">
        <v>1.27</v>
      </c>
      <c r="O787" s="7">
        <v>0.42499999999999999</v>
      </c>
      <c r="P787" s="1" t="s">
        <v>7157</v>
      </c>
    </row>
    <row r="788" spans="1:16" ht="33.4" x14ac:dyDescent="0.3">
      <c r="A788" s="6" t="str">
        <f>HYPERLINK("https://www.ti.com/product/UCC38C53", "UCC38C53")</f>
        <v>UCC38C53</v>
      </c>
      <c r="B788" s="5" t="s">
        <v>7158</v>
      </c>
      <c r="C788" s="6" t="str">
        <f>HYPERLINK("https://www.ti.com/lit/gpn/UCC38C53", "PDF")</f>
        <v>PDF</v>
      </c>
      <c r="D788" s="5" t="s">
        <v>7159</v>
      </c>
      <c r="E788" s="5" t="s">
        <v>7160</v>
      </c>
      <c r="F788" s="5" t="s">
        <v>7161</v>
      </c>
      <c r="G788" s="5" t="s">
        <v>7162</v>
      </c>
      <c r="H788" s="1" t="s">
        <v>7163</v>
      </c>
      <c r="I788" s="5" t="s">
        <v>7164</v>
      </c>
      <c r="J788" s="7">
        <v>8</v>
      </c>
      <c r="K788" s="7" t="s">
        <v>7165</v>
      </c>
      <c r="L788" s="5" t="s">
        <v>7166</v>
      </c>
      <c r="M788" s="7" t="s">
        <v>7167</v>
      </c>
      <c r="N788" s="7" t="s">
        <v>7168</v>
      </c>
      <c r="O788" s="7">
        <v>0.3</v>
      </c>
      <c r="P788" s="1" t="s">
        <v>7169</v>
      </c>
    </row>
    <row r="789" spans="1:16" ht="33.4" x14ac:dyDescent="0.3">
      <c r="A789" s="6" t="str">
        <f>HYPERLINK("https://www.ti.com/product/LM5148", "LM5148")</f>
        <v>LM5148</v>
      </c>
      <c r="B789" s="5" t="s">
        <v>7170</v>
      </c>
      <c r="C789" s="6" t="str">
        <f>HYPERLINK("https://www.ti.com/lit/gpn/LM5148", "PDF")</f>
        <v>PDF</v>
      </c>
      <c r="D789" s="5" t="s">
        <v>7171</v>
      </c>
      <c r="E789" s="5" t="s">
        <v>7172</v>
      </c>
      <c r="F789" s="5" t="s">
        <v>7173</v>
      </c>
      <c r="G789" s="5" t="s">
        <v>7174</v>
      </c>
      <c r="H789" s="1" t="s">
        <v>7175</v>
      </c>
      <c r="I789" s="5" t="s">
        <v>7176</v>
      </c>
      <c r="J789" s="7">
        <v>24</v>
      </c>
      <c r="K789" s="7">
        <v>19.25</v>
      </c>
      <c r="L789" s="5" t="s">
        <v>7177</v>
      </c>
      <c r="M789" s="7">
        <v>1</v>
      </c>
      <c r="N789" s="7">
        <v>0.5</v>
      </c>
      <c r="O789" s="7">
        <v>0.75600000000000001</v>
      </c>
      <c r="P789" s="1" t="s">
        <v>7178</v>
      </c>
    </row>
    <row r="790" spans="1:16" ht="66.150000000000006" x14ac:dyDescent="0.3">
      <c r="A790" s="6" t="str">
        <f>HYPERLINK("https://www.ti.com/product/TPS62873", "TPS62873")</f>
        <v>TPS62873</v>
      </c>
      <c r="B790" s="5" t="s">
        <v>7179</v>
      </c>
      <c r="C790" s="6" t="str">
        <f>HYPERLINK("https://www.ti.com/lit/gpn/TPS62873", "PDF")</f>
        <v>PDF</v>
      </c>
      <c r="D790" s="5" t="s">
        <v>7180</v>
      </c>
      <c r="E790" s="5" t="s">
        <v>7181</v>
      </c>
      <c r="F790" s="5" t="s">
        <v>7182</v>
      </c>
      <c r="G790" s="5" t="s">
        <v>7183</v>
      </c>
      <c r="H790" s="1" t="s">
        <v>7184</v>
      </c>
      <c r="I790" s="5" t="s">
        <v>7185</v>
      </c>
      <c r="J790" s="7">
        <v>16</v>
      </c>
      <c r="K790" s="7">
        <v>9.0525000000000002</v>
      </c>
      <c r="L790" s="5" t="s">
        <v>7186</v>
      </c>
      <c r="M790" s="7">
        <v>1.05</v>
      </c>
      <c r="N790" s="7">
        <v>0.5</v>
      </c>
      <c r="O790" s="7">
        <v>1.8069999999999999</v>
      </c>
      <c r="P790" s="1" t="s">
        <v>7187</v>
      </c>
    </row>
    <row r="791" spans="1:16" ht="33.4" x14ac:dyDescent="0.3">
      <c r="A791" s="6" t="str">
        <f>HYPERLINK("https://www.ti.com/product/DRV8143-Q1", "DRV8143-Q1")</f>
        <v>DRV8143-Q1</v>
      </c>
      <c r="B791" s="5" t="s">
        <v>7188</v>
      </c>
      <c r="C791" s="6" t="str">
        <f>HYPERLINK("https://www.ti.com/lit/gpn/DRV8143-Q1", "PDF")</f>
        <v>PDF</v>
      </c>
      <c r="D791" s="5" t="s">
        <v>7189</v>
      </c>
      <c r="E791" s="5" t="s">
        <v>7190</v>
      </c>
      <c r="F791" s="5" t="s">
        <v>7191</v>
      </c>
      <c r="G791" s="5" t="s">
        <v>7192</v>
      </c>
      <c r="H791" s="1" t="s">
        <v>7193</v>
      </c>
      <c r="I791" s="5" t="s">
        <v>7194</v>
      </c>
      <c r="J791" s="7" t="s">
        <v>7195</v>
      </c>
      <c r="K791" s="7" t="s">
        <v>7196</v>
      </c>
      <c r="L791" s="5" t="s">
        <v>7197</v>
      </c>
      <c r="M791" s="7" t="s">
        <v>7198</v>
      </c>
      <c r="N791" s="7">
        <v>0.5</v>
      </c>
      <c r="O791" s="7">
        <v>1.762</v>
      </c>
      <c r="P791" s="1" t="s">
        <v>7199</v>
      </c>
    </row>
    <row r="792" spans="1:16" ht="33.4" x14ac:dyDescent="0.3">
      <c r="A792" s="6" t="str">
        <f>HYPERLINK("https://www.ti.com/product/LM25148-Q1", "LM25148-Q1")</f>
        <v>LM25148-Q1</v>
      </c>
      <c r="B792" s="5" t="s">
        <v>7200</v>
      </c>
      <c r="C792" s="6" t="str">
        <f>HYPERLINK("https://www.ti.com/lit/gpn/LM25148-Q1", "PDF")</f>
        <v>PDF</v>
      </c>
      <c r="D792" s="5" t="s">
        <v>7201</v>
      </c>
      <c r="E792" s="5" t="s">
        <v>7202</v>
      </c>
      <c r="F792" s="5" t="s">
        <v>7203</v>
      </c>
      <c r="G792" s="5" t="s">
        <v>7204</v>
      </c>
      <c r="H792" s="1" t="s">
        <v>7205</v>
      </c>
      <c r="I792" s="5" t="s">
        <v>7206</v>
      </c>
      <c r="J792" s="7">
        <v>24</v>
      </c>
      <c r="K792" s="7">
        <v>19.25</v>
      </c>
      <c r="L792" s="5" t="s">
        <v>7207</v>
      </c>
      <c r="M792" s="7">
        <v>1</v>
      </c>
      <c r="N792" s="7">
        <v>0.5</v>
      </c>
      <c r="O792" s="7">
        <v>1.423</v>
      </c>
      <c r="P792" s="1" t="s">
        <v>7208</v>
      </c>
    </row>
    <row r="793" spans="1:16" ht="49.75" x14ac:dyDescent="0.3">
      <c r="A793" s="6" t="str">
        <f>HYPERLINK("https://www.ti.com/product/LM5148-Q1", "LM5148-Q1")</f>
        <v>LM5148-Q1</v>
      </c>
      <c r="B793" s="5" t="s">
        <v>7209</v>
      </c>
      <c r="C793" s="6" t="str">
        <f>HYPERLINK("https://www.ti.com/lit/gpn/LM5148-Q1", "PDF")</f>
        <v>PDF</v>
      </c>
      <c r="D793" s="5" t="s">
        <v>7210</v>
      </c>
      <c r="E793" s="5" t="s">
        <v>7211</v>
      </c>
      <c r="F793" s="5" t="s">
        <v>7212</v>
      </c>
      <c r="G793" s="5" t="s">
        <v>7213</v>
      </c>
      <c r="H793" s="1" t="s">
        <v>7214</v>
      </c>
      <c r="I793" s="5" t="s">
        <v>7215</v>
      </c>
      <c r="J793" s="7" t="s">
        <v>7216</v>
      </c>
      <c r="K793" s="7" t="s">
        <v>7217</v>
      </c>
      <c r="L793" s="5" t="s">
        <v>7218</v>
      </c>
      <c r="M793" s="7">
        <v>1</v>
      </c>
      <c r="N793" s="7">
        <v>0.5</v>
      </c>
      <c r="O793" s="7">
        <v>1.8660000000000001</v>
      </c>
      <c r="P793" s="1" t="s">
        <v>7219</v>
      </c>
    </row>
    <row r="794" spans="1:16" ht="33.4" x14ac:dyDescent="0.3">
      <c r="A794" s="6" t="str">
        <f>HYPERLINK("https://www.ti.com/product/UCC28C50", "UCC28C50")</f>
        <v>UCC28C50</v>
      </c>
      <c r="B794" s="5" t="s">
        <v>7220</v>
      </c>
      <c r="C794" s="6" t="str">
        <f>HYPERLINK("https://www.ti.com/lit/gpn/UCC28C50", "PDF")</f>
        <v>PDF</v>
      </c>
      <c r="D794" s="5" t="s">
        <v>7221</v>
      </c>
      <c r="E794" s="5" t="s">
        <v>7222</v>
      </c>
      <c r="F794" s="5" t="s">
        <v>7223</v>
      </c>
      <c r="G794" s="5" t="s">
        <v>7224</v>
      </c>
      <c r="H794" s="1" t="s">
        <v>7225</v>
      </c>
      <c r="I794" s="5" t="s">
        <v>7226</v>
      </c>
      <c r="J794" s="7">
        <v>8</v>
      </c>
      <c r="K794" s="7" t="s">
        <v>7227</v>
      </c>
      <c r="L794" s="5" t="s">
        <v>7228</v>
      </c>
      <c r="M794" s="7" t="s">
        <v>7229</v>
      </c>
      <c r="N794" s="7" t="s">
        <v>7230</v>
      </c>
      <c r="O794" s="7">
        <v>0.32200000000000001</v>
      </c>
      <c r="P794" s="1" t="s">
        <v>7231</v>
      </c>
    </row>
    <row r="795" spans="1:16" ht="33.4" x14ac:dyDescent="0.3">
      <c r="A795" s="6" t="str">
        <f>HYPERLINK("https://www.ti.com/product/UCC28C51", "UCC28C51")</f>
        <v>UCC28C51</v>
      </c>
      <c r="B795" s="5" t="s">
        <v>7232</v>
      </c>
      <c r="C795" s="6" t="str">
        <f>HYPERLINK("https://www.ti.com/lit/gpn/UCC28C51", "PDF")</f>
        <v>PDF</v>
      </c>
      <c r="D795" s="5" t="s">
        <v>7233</v>
      </c>
      <c r="E795" s="5" t="s">
        <v>7234</v>
      </c>
      <c r="F795" s="5"/>
      <c r="G795" s="5" t="s">
        <v>7235</v>
      </c>
      <c r="H795" s="1" t="s">
        <v>7236</v>
      </c>
      <c r="I795" s="5" t="s">
        <v>7237</v>
      </c>
      <c r="J795" s="7">
        <v>8</v>
      </c>
      <c r="K795" s="7" t="s">
        <v>7238</v>
      </c>
      <c r="L795" s="5" t="s">
        <v>7239</v>
      </c>
      <c r="M795" s="7" t="s">
        <v>7240</v>
      </c>
      <c r="N795" s="7" t="s">
        <v>7241</v>
      </c>
      <c r="O795" s="7">
        <v>0.32200000000000001</v>
      </c>
      <c r="P795" s="1" t="s">
        <v>7242</v>
      </c>
    </row>
    <row r="796" spans="1:16" ht="33.4" x14ac:dyDescent="0.3">
      <c r="A796" s="6" t="str">
        <f>HYPERLINK("https://www.ti.com/product/UCC28C52", "UCC28C52")</f>
        <v>UCC28C52</v>
      </c>
      <c r="B796" s="5" t="s">
        <v>7243</v>
      </c>
      <c r="C796" s="6" t="str">
        <f>HYPERLINK("https://www.ti.com/lit/gpn/UCC28C52", "PDF")</f>
        <v>PDF</v>
      </c>
      <c r="D796" s="5" t="s">
        <v>7244</v>
      </c>
      <c r="E796" s="5" t="s">
        <v>7245</v>
      </c>
      <c r="F796" s="5" t="s">
        <v>7246</v>
      </c>
      <c r="G796" s="5" t="s">
        <v>7247</v>
      </c>
      <c r="H796" s="1" t="s">
        <v>7248</v>
      </c>
      <c r="I796" s="5" t="s">
        <v>7249</v>
      </c>
      <c r="J796" s="7">
        <v>8</v>
      </c>
      <c r="K796" s="7" t="s">
        <v>7250</v>
      </c>
      <c r="L796" s="5" t="s">
        <v>7251</v>
      </c>
      <c r="M796" s="7" t="s">
        <v>7252</v>
      </c>
      <c r="N796" s="7" t="s">
        <v>7253</v>
      </c>
      <c r="O796" s="7">
        <v>0.32200000000000001</v>
      </c>
      <c r="P796" s="1" t="s">
        <v>7254</v>
      </c>
    </row>
    <row r="797" spans="1:16" ht="33.4" x14ac:dyDescent="0.3">
      <c r="A797" s="6" t="str">
        <f>HYPERLINK("https://www.ti.com/product/UCC28C53", "UCC28C53")</f>
        <v>UCC28C53</v>
      </c>
      <c r="B797" s="5" t="s">
        <v>7255</v>
      </c>
      <c r="C797" s="6" t="str">
        <f>HYPERLINK("https://www.ti.com/lit/gpn/UCC28C53", "PDF")</f>
        <v>PDF</v>
      </c>
      <c r="D797" s="5" t="s">
        <v>7256</v>
      </c>
      <c r="E797" s="5" t="s">
        <v>7257</v>
      </c>
      <c r="F797" s="5" t="s">
        <v>7258</v>
      </c>
      <c r="G797" s="5" t="s">
        <v>7259</v>
      </c>
      <c r="H797" s="1" t="s">
        <v>7260</v>
      </c>
      <c r="I797" s="5" t="s">
        <v>7261</v>
      </c>
      <c r="J797" s="7">
        <v>8</v>
      </c>
      <c r="K797" s="7" t="s">
        <v>7262</v>
      </c>
      <c r="L797" s="5" t="s">
        <v>7263</v>
      </c>
      <c r="M797" s="7" t="s">
        <v>7264</v>
      </c>
      <c r="N797" s="7" t="s">
        <v>7265</v>
      </c>
      <c r="O797" s="7">
        <v>0.32200000000000001</v>
      </c>
      <c r="P797" s="1" t="s">
        <v>7266</v>
      </c>
    </row>
    <row r="798" spans="1:16" ht="33.4" x14ac:dyDescent="0.3">
      <c r="A798" s="6" t="str">
        <f>HYPERLINK("https://www.ti.com/product/UCC28C54", "UCC28C54")</f>
        <v>UCC28C54</v>
      </c>
      <c r="B798" s="5" t="s">
        <v>7267</v>
      </c>
      <c r="C798" s="6" t="str">
        <f>HYPERLINK("https://www.ti.com/lit/gpn/UCC28C54", "PDF")</f>
        <v>PDF</v>
      </c>
      <c r="D798" s="5" t="s">
        <v>7268</v>
      </c>
      <c r="E798" s="5" t="s">
        <v>7269</v>
      </c>
      <c r="F798" s="5" t="s">
        <v>7270</v>
      </c>
      <c r="G798" s="5" t="s">
        <v>7271</v>
      </c>
      <c r="H798" s="1" t="s">
        <v>7272</v>
      </c>
      <c r="I798" s="5" t="s">
        <v>7273</v>
      </c>
      <c r="J798" s="7">
        <v>8</v>
      </c>
      <c r="K798" s="7" t="s">
        <v>7274</v>
      </c>
      <c r="L798" s="5" t="s">
        <v>7275</v>
      </c>
      <c r="M798" s="7" t="s">
        <v>7276</v>
      </c>
      <c r="N798" s="7" t="s">
        <v>7277</v>
      </c>
      <c r="O798" s="7">
        <v>0.32200000000000001</v>
      </c>
      <c r="P798" s="1" t="s">
        <v>7278</v>
      </c>
    </row>
    <row r="799" spans="1:16" ht="33.4" x14ac:dyDescent="0.3">
      <c r="A799" s="6" t="str">
        <f>HYPERLINK("https://www.ti.com/product/UCC28C55", "UCC28C55")</f>
        <v>UCC28C55</v>
      </c>
      <c r="B799" s="5" t="s">
        <v>7279</v>
      </c>
      <c r="C799" s="6" t="str">
        <f>HYPERLINK("https://www.ti.com/lit/gpn/UCC28C55", "PDF")</f>
        <v>PDF</v>
      </c>
      <c r="D799" s="5" t="s">
        <v>7280</v>
      </c>
      <c r="E799" s="5" t="s">
        <v>7281</v>
      </c>
      <c r="F799" s="5" t="s">
        <v>7282</v>
      </c>
      <c r="G799" s="5" t="s">
        <v>7283</v>
      </c>
      <c r="H799" s="1" t="s">
        <v>7284</v>
      </c>
      <c r="I799" s="5" t="s">
        <v>7285</v>
      </c>
      <c r="J799" s="7">
        <v>8</v>
      </c>
      <c r="K799" s="7" t="s">
        <v>7286</v>
      </c>
      <c r="L799" s="5" t="s">
        <v>7287</v>
      </c>
      <c r="M799" s="7" t="s">
        <v>7288</v>
      </c>
      <c r="N799" s="7" t="s">
        <v>7289</v>
      </c>
      <c r="O799" s="7">
        <v>0.32200000000000001</v>
      </c>
      <c r="P799" s="1" t="s">
        <v>7290</v>
      </c>
    </row>
    <row r="800" spans="1:16" ht="33.4" x14ac:dyDescent="0.3">
      <c r="A800" s="6" t="str">
        <f>HYPERLINK("https://www.ti.com/product/UCC28C57H", "UCC28C57H")</f>
        <v>UCC28C57H</v>
      </c>
      <c r="B800" s="5" t="s">
        <v>7291</v>
      </c>
      <c r="C800" s="6" t="str">
        <f>HYPERLINK("https://www.ti.com/lit/gpn/UCC28C57H", "PDF")</f>
        <v>PDF</v>
      </c>
      <c r="D800" s="5" t="s">
        <v>7292</v>
      </c>
      <c r="E800" s="5" t="s">
        <v>7293</v>
      </c>
      <c r="F800" s="5" t="s">
        <v>7294</v>
      </c>
      <c r="G800" s="5" t="s">
        <v>7295</v>
      </c>
      <c r="H800" s="1" t="s">
        <v>7296</v>
      </c>
      <c r="I800" s="5" t="s">
        <v>7297</v>
      </c>
      <c r="J800" s="7">
        <v>8</v>
      </c>
      <c r="K800" s="7">
        <v>29.4</v>
      </c>
      <c r="L800" s="5" t="s">
        <v>7298</v>
      </c>
      <c r="M800" s="7">
        <v>1.75</v>
      </c>
      <c r="N800" s="7">
        <v>1.27</v>
      </c>
      <c r="O800" s="7">
        <v>0.42499999999999999</v>
      </c>
      <c r="P800" s="1" t="s">
        <v>7299</v>
      </c>
    </row>
    <row r="801" spans="1:16" ht="33.4" x14ac:dyDescent="0.3">
      <c r="A801" s="6" t="str">
        <f>HYPERLINK("https://www.ti.com/product/UCC28C57L", "UCC28C57L")</f>
        <v>UCC28C57L</v>
      </c>
      <c r="B801" s="5" t="s">
        <v>7300</v>
      </c>
      <c r="C801" s="6" t="str">
        <f>HYPERLINK("https://www.ti.com/lit/gpn/UCC28C57L", "PDF")</f>
        <v>PDF</v>
      </c>
      <c r="D801" s="5" t="s">
        <v>7301</v>
      </c>
      <c r="E801" s="5" t="s">
        <v>7302</v>
      </c>
      <c r="F801" s="5" t="s">
        <v>7303</v>
      </c>
      <c r="G801" s="5" t="s">
        <v>7304</v>
      </c>
      <c r="H801" s="1" t="s">
        <v>7305</v>
      </c>
      <c r="I801" s="5" t="s">
        <v>7306</v>
      </c>
      <c r="J801" s="7">
        <v>8</v>
      </c>
      <c r="K801" s="7">
        <v>29.4</v>
      </c>
      <c r="L801" s="5" t="s">
        <v>7307</v>
      </c>
      <c r="M801" s="7">
        <v>1.75</v>
      </c>
      <c r="N801" s="7">
        <v>1.27</v>
      </c>
      <c r="O801" s="7">
        <v>0.42499999999999999</v>
      </c>
      <c r="P801" s="1" t="s">
        <v>7308</v>
      </c>
    </row>
    <row r="802" spans="1:16" ht="33.4" x14ac:dyDescent="0.3">
      <c r="A802" s="6" t="str">
        <f>HYPERLINK("https://www.ti.com/product/UCC38C50", "UCC38C50")</f>
        <v>UCC38C50</v>
      </c>
      <c r="B802" s="5" t="s">
        <v>7309</v>
      </c>
      <c r="C802" s="6" t="str">
        <f>HYPERLINK("https://www.ti.com/lit/gpn/UCC38C50", "PDF")</f>
        <v>PDF</v>
      </c>
      <c r="D802" s="5" t="s">
        <v>7310</v>
      </c>
      <c r="E802" s="5" t="s">
        <v>7311</v>
      </c>
      <c r="F802" s="5" t="s">
        <v>7312</v>
      </c>
      <c r="G802" s="5" t="s">
        <v>7313</v>
      </c>
      <c r="H802" s="1" t="s">
        <v>7314</v>
      </c>
      <c r="I802" s="5" t="s">
        <v>7315</v>
      </c>
      <c r="J802" s="7">
        <v>8</v>
      </c>
      <c r="K802" s="7">
        <v>29.4</v>
      </c>
      <c r="L802" s="5" t="s">
        <v>7316</v>
      </c>
      <c r="M802" s="7">
        <v>1.75</v>
      </c>
      <c r="N802" s="7">
        <v>1.27</v>
      </c>
      <c r="O802" s="7">
        <v>0.375</v>
      </c>
      <c r="P802" s="1" t="s">
        <v>7317</v>
      </c>
    </row>
    <row r="803" spans="1:16" ht="33.4" x14ac:dyDescent="0.3">
      <c r="A803" s="6" t="str">
        <f>HYPERLINK("https://www.ti.com/product/UCC38C51", "UCC38C51")</f>
        <v>UCC38C51</v>
      </c>
      <c r="B803" s="5" t="s">
        <v>7318</v>
      </c>
      <c r="C803" s="6" t="str">
        <f>HYPERLINK("https://www.ti.com/lit/gpn/UCC38C51", "PDF")</f>
        <v>PDF</v>
      </c>
      <c r="D803" s="5" t="s">
        <v>7319</v>
      </c>
      <c r="E803" s="5" t="s">
        <v>7320</v>
      </c>
      <c r="F803" s="5" t="s">
        <v>7321</v>
      </c>
      <c r="G803" s="5" t="s">
        <v>7322</v>
      </c>
      <c r="H803" s="1" t="s">
        <v>7323</v>
      </c>
      <c r="I803" s="5" t="s">
        <v>7324</v>
      </c>
      <c r="J803" s="7">
        <v>8</v>
      </c>
      <c r="K803" s="7">
        <v>29.4</v>
      </c>
      <c r="L803" s="5" t="s">
        <v>7325</v>
      </c>
      <c r="M803" s="7">
        <v>1.75</v>
      </c>
      <c r="N803" s="7">
        <v>1.27</v>
      </c>
      <c r="O803" s="7">
        <v>0.375</v>
      </c>
      <c r="P803" s="1" t="s">
        <v>7326</v>
      </c>
    </row>
    <row r="804" spans="1:16" ht="33.4" x14ac:dyDescent="0.3">
      <c r="A804" s="6" t="str">
        <f>HYPERLINK("https://www.ti.com/product/UCC38C52", "UCC38C52")</f>
        <v>UCC38C52</v>
      </c>
      <c r="B804" s="5" t="s">
        <v>7327</v>
      </c>
      <c r="C804" s="6" t="str">
        <f>HYPERLINK("https://www.ti.com/lit/gpn/UCC38C52", "PDF")</f>
        <v>PDF</v>
      </c>
      <c r="D804" s="5" t="s">
        <v>7328</v>
      </c>
      <c r="E804" s="5" t="s">
        <v>7329</v>
      </c>
      <c r="F804" s="5" t="s">
        <v>7330</v>
      </c>
      <c r="G804" s="5" t="s">
        <v>7331</v>
      </c>
      <c r="H804" s="1" t="s">
        <v>7332</v>
      </c>
      <c r="I804" s="5" t="s">
        <v>7333</v>
      </c>
      <c r="J804" s="7">
        <v>8</v>
      </c>
      <c r="K804" s="7">
        <v>29.4</v>
      </c>
      <c r="L804" s="5" t="s">
        <v>7334</v>
      </c>
      <c r="M804" s="7">
        <v>1.75</v>
      </c>
      <c r="N804" s="7">
        <v>1.27</v>
      </c>
      <c r="O804" s="7">
        <v>0.375</v>
      </c>
      <c r="P804" s="1" t="s">
        <v>7335</v>
      </c>
    </row>
    <row r="805" spans="1:16" ht="33.4" x14ac:dyDescent="0.3">
      <c r="A805" s="6" t="str">
        <f>HYPERLINK("https://www.ti.com/product/UCC38C54", "UCC38C54")</f>
        <v>UCC38C54</v>
      </c>
      <c r="B805" s="5" t="s">
        <v>7336</v>
      </c>
      <c r="C805" s="6" t="str">
        <f>HYPERLINK("https://www.ti.com/lit/gpn/UCC38C54", "PDF")</f>
        <v>PDF</v>
      </c>
      <c r="D805" s="5" t="s">
        <v>7337</v>
      </c>
      <c r="E805" s="5" t="s">
        <v>7338</v>
      </c>
      <c r="F805" s="5" t="s">
        <v>7339</v>
      </c>
      <c r="G805" s="5" t="s">
        <v>7340</v>
      </c>
      <c r="H805" s="1" t="s">
        <v>7341</v>
      </c>
      <c r="I805" s="5" t="s">
        <v>7342</v>
      </c>
      <c r="J805" s="7">
        <v>8</v>
      </c>
      <c r="K805" s="7">
        <v>29.4</v>
      </c>
      <c r="L805" s="5" t="s">
        <v>7343</v>
      </c>
      <c r="M805" s="7">
        <v>1.75</v>
      </c>
      <c r="N805" s="7">
        <v>1.27</v>
      </c>
      <c r="O805" s="7">
        <v>0.375</v>
      </c>
      <c r="P805" s="1" t="s">
        <v>7344</v>
      </c>
    </row>
    <row r="806" spans="1:16" ht="33.4" x14ac:dyDescent="0.3">
      <c r="A806" s="6" t="str">
        <f>HYPERLINK("https://www.ti.com/product/LM5149", "LM5149")</f>
        <v>LM5149</v>
      </c>
      <c r="B806" s="5" t="s">
        <v>7345</v>
      </c>
      <c r="C806" s="6" t="str">
        <f>HYPERLINK("https://www.ti.com/lit/gpn/LM5149", "PDF")</f>
        <v>PDF</v>
      </c>
      <c r="D806" s="5" t="s">
        <v>7346</v>
      </c>
      <c r="E806" s="5" t="s">
        <v>7347</v>
      </c>
      <c r="F806" s="5" t="s">
        <v>7348</v>
      </c>
      <c r="G806" s="5" t="s">
        <v>7349</v>
      </c>
      <c r="H806" s="1" t="s">
        <v>7350</v>
      </c>
      <c r="I806" s="5" t="s">
        <v>7351</v>
      </c>
      <c r="J806" s="7">
        <v>24</v>
      </c>
      <c r="K806" s="7">
        <v>19.25</v>
      </c>
      <c r="L806" s="5" t="s">
        <v>7352</v>
      </c>
      <c r="M806" s="7">
        <v>1</v>
      </c>
      <c r="N806" s="7">
        <v>0.5</v>
      </c>
      <c r="O806" s="7">
        <v>1.8979999999999999</v>
      </c>
      <c r="P806" s="1" t="s">
        <v>7353</v>
      </c>
    </row>
    <row r="807" spans="1:16" ht="33.4" x14ac:dyDescent="0.3">
      <c r="A807" s="6" t="str">
        <f>HYPERLINK("https://www.ti.com/product/UCC28C51-Q1", "UCC28C51-Q1")</f>
        <v>UCC28C51-Q1</v>
      </c>
      <c r="B807" s="5" t="s">
        <v>7354</v>
      </c>
      <c r="C807" s="6" t="str">
        <f>HYPERLINK("https://www.ti.com/lit/gpn/UCC28C51-Q1", "PDF")</f>
        <v>PDF</v>
      </c>
      <c r="D807" s="5" t="s">
        <v>7355</v>
      </c>
      <c r="E807" s="5" t="s">
        <v>7356</v>
      </c>
      <c r="F807" s="5" t="s">
        <v>7357</v>
      </c>
      <c r="G807" s="5" t="s">
        <v>7358</v>
      </c>
      <c r="H807" s="1" t="s">
        <v>7359</v>
      </c>
      <c r="I807" s="5" t="s">
        <v>7360</v>
      </c>
      <c r="J807" s="7">
        <v>8</v>
      </c>
      <c r="K807" s="7">
        <v>29.4</v>
      </c>
      <c r="L807" s="5" t="s">
        <v>7361</v>
      </c>
      <c r="M807" s="7">
        <v>1.75</v>
      </c>
      <c r="N807" s="7">
        <v>1.27</v>
      </c>
      <c r="O807" s="7">
        <v>0.78200000000000003</v>
      </c>
      <c r="P807" s="1" t="s">
        <v>7362</v>
      </c>
    </row>
    <row r="808" spans="1:16" ht="33.4" x14ac:dyDescent="0.3">
      <c r="A808" s="6" t="str">
        <f>HYPERLINK("https://www.ti.com/product/UCC28C52-Q1", "UCC28C52-Q1")</f>
        <v>UCC28C52-Q1</v>
      </c>
      <c r="B808" s="5" t="s">
        <v>7363</v>
      </c>
      <c r="C808" s="6" t="str">
        <f>HYPERLINK("https://www.ti.com/lit/gpn/UCC28C52-Q1", "PDF")</f>
        <v>PDF</v>
      </c>
      <c r="D808" s="5" t="s">
        <v>7364</v>
      </c>
      <c r="E808" s="5" t="s">
        <v>7365</v>
      </c>
      <c r="F808" s="5" t="s">
        <v>7366</v>
      </c>
      <c r="G808" s="5" t="s">
        <v>7367</v>
      </c>
      <c r="H808" s="1" t="s">
        <v>7368</v>
      </c>
      <c r="I808" s="5" t="s">
        <v>7369</v>
      </c>
      <c r="J808" s="7">
        <v>8</v>
      </c>
      <c r="K808" s="7">
        <v>29.4</v>
      </c>
      <c r="L808" s="5" t="s">
        <v>7370</v>
      </c>
      <c r="M808" s="7">
        <v>1.75</v>
      </c>
      <c r="N808" s="7">
        <v>1.27</v>
      </c>
      <c r="O808" s="7">
        <v>0.78200000000000003</v>
      </c>
      <c r="P808" s="1" t="s">
        <v>7371</v>
      </c>
    </row>
    <row r="809" spans="1:16" ht="33.4" x14ac:dyDescent="0.3">
      <c r="A809" s="6" t="str">
        <f>HYPERLINK("https://www.ti.com/product/UCC28C53-Q1", "UCC28C53-Q1")</f>
        <v>UCC28C53-Q1</v>
      </c>
      <c r="B809" s="5" t="s">
        <v>7372</v>
      </c>
      <c r="C809" s="6" t="str">
        <f>HYPERLINK("https://www.ti.com/lit/gpn/UCC28C53-Q1", "PDF")</f>
        <v>PDF</v>
      </c>
      <c r="D809" s="5" t="s">
        <v>7373</v>
      </c>
      <c r="E809" s="5" t="s">
        <v>7374</v>
      </c>
      <c r="F809" s="5" t="s">
        <v>7375</v>
      </c>
      <c r="G809" s="5" t="s">
        <v>7376</v>
      </c>
      <c r="H809" s="1" t="s">
        <v>7377</v>
      </c>
      <c r="I809" s="5" t="s">
        <v>7378</v>
      </c>
      <c r="J809" s="7">
        <v>8</v>
      </c>
      <c r="K809" s="7">
        <v>29.4</v>
      </c>
      <c r="L809" s="5" t="s">
        <v>7379</v>
      </c>
      <c r="M809" s="7">
        <v>1.75</v>
      </c>
      <c r="N809" s="7">
        <v>1.27</v>
      </c>
      <c r="O809" s="7">
        <v>0.78200000000000003</v>
      </c>
      <c r="P809" s="1" t="s">
        <v>7380</v>
      </c>
    </row>
    <row r="810" spans="1:16" ht="33.4" x14ac:dyDescent="0.3">
      <c r="A810" s="6" t="str">
        <f>HYPERLINK("https://www.ti.com/product/UCC28C54-Q1", "UCC28C54-Q1")</f>
        <v>UCC28C54-Q1</v>
      </c>
      <c r="B810" s="5" t="s">
        <v>7381</v>
      </c>
      <c r="C810" s="6" t="str">
        <f>HYPERLINK("https://www.ti.com/lit/gpn/UCC28C54-Q1", "PDF")</f>
        <v>PDF</v>
      </c>
      <c r="D810" s="5" t="s">
        <v>7382</v>
      </c>
      <c r="E810" s="5" t="s">
        <v>7383</v>
      </c>
      <c r="F810" s="5" t="s">
        <v>7384</v>
      </c>
      <c r="G810" s="5" t="s">
        <v>7385</v>
      </c>
      <c r="H810" s="1" t="s">
        <v>7386</v>
      </c>
      <c r="I810" s="5" t="s">
        <v>7387</v>
      </c>
      <c r="J810" s="7">
        <v>8</v>
      </c>
      <c r="K810" s="7">
        <v>29.4</v>
      </c>
      <c r="L810" s="5" t="s">
        <v>7388</v>
      </c>
      <c r="M810" s="7">
        <v>1.75</v>
      </c>
      <c r="N810" s="7">
        <v>1.27</v>
      </c>
      <c r="O810" s="7">
        <v>0.78200000000000003</v>
      </c>
      <c r="P810" s="1" t="s">
        <v>7389</v>
      </c>
    </row>
    <row r="811" spans="1:16" ht="33.4" x14ac:dyDescent="0.3">
      <c r="A811" s="6" t="str">
        <f>HYPERLINK("https://www.ti.com/product/UCC28C55-Q1", "UCC28C55-Q1")</f>
        <v>UCC28C55-Q1</v>
      </c>
      <c r="B811" s="5" t="s">
        <v>7390</v>
      </c>
      <c r="C811" s="6" t="str">
        <f>HYPERLINK("https://www.ti.com/lit/gpn/UCC28C55-Q1", "PDF")</f>
        <v>PDF</v>
      </c>
      <c r="D811" s="5" t="s">
        <v>7391</v>
      </c>
      <c r="E811" s="5" t="s">
        <v>7392</v>
      </c>
      <c r="F811" s="5" t="s">
        <v>7393</v>
      </c>
      <c r="G811" s="5" t="s">
        <v>7394</v>
      </c>
      <c r="H811" s="1" t="s">
        <v>7395</v>
      </c>
      <c r="I811" s="5" t="s">
        <v>7396</v>
      </c>
      <c r="J811" s="7">
        <v>8</v>
      </c>
      <c r="K811" s="7">
        <v>29.4</v>
      </c>
      <c r="L811" s="5" t="s">
        <v>7397</v>
      </c>
      <c r="M811" s="7">
        <v>1.75</v>
      </c>
      <c r="N811" s="7">
        <v>1.27</v>
      </c>
      <c r="O811" s="7">
        <v>0.78200000000000003</v>
      </c>
      <c r="P811" s="1" t="s">
        <v>7398</v>
      </c>
    </row>
    <row r="812" spans="1:16" ht="33.4" x14ac:dyDescent="0.3">
      <c r="A812" s="6" t="str">
        <f>HYPERLINK("https://www.ti.com/product/UCC28C56L-Q1", "UCC28C56L-Q1")</f>
        <v>UCC28C56L-Q1</v>
      </c>
      <c r="B812" s="5" t="s">
        <v>7399</v>
      </c>
      <c r="C812" s="6" t="str">
        <f>HYPERLINK("https://www.ti.com/lit/gpn/UCC28C56L-Q1", "PDF")</f>
        <v>PDF</v>
      </c>
      <c r="D812" s="5" t="s">
        <v>7400</v>
      </c>
      <c r="E812" s="5" t="s">
        <v>7401</v>
      </c>
      <c r="F812" s="5" t="s">
        <v>7402</v>
      </c>
      <c r="G812" s="5" t="s">
        <v>7403</v>
      </c>
      <c r="H812" s="1" t="s">
        <v>7404</v>
      </c>
      <c r="I812" s="5" t="s">
        <v>7405</v>
      </c>
      <c r="J812" s="7">
        <v>8</v>
      </c>
      <c r="K812" s="7">
        <v>29.4</v>
      </c>
      <c r="L812" s="5" t="s">
        <v>7406</v>
      </c>
      <c r="M812" s="7">
        <v>1.75</v>
      </c>
      <c r="N812" s="7">
        <v>1.27</v>
      </c>
      <c r="O812" s="7">
        <v>0.78900000000000003</v>
      </c>
      <c r="P812" s="1" t="s">
        <v>7407</v>
      </c>
    </row>
    <row r="813" spans="1:16" ht="33.4" x14ac:dyDescent="0.3">
      <c r="A813" s="6" t="str">
        <f>HYPERLINK("https://www.ti.com/product/UCC28C57H-Q1", "UCC28C57H-Q1")</f>
        <v>UCC28C57H-Q1</v>
      </c>
      <c r="B813" s="5" t="s">
        <v>7408</v>
      </c>
      <c r="C813" s="6" t="str">
        <f>HYPERLINK("https://www.ti.com/lit/gpn/UCC28C57H-Q1", "PDF")</f>
        <v>PDF</v>
      </c>
      <c r="D813" s="5" t="s">
        <v>7409</v>
      </c>
      <c r="E813" s="5" t="s">
        <v>7410</v>
      </c>
      <c r="F813" s="5" t="s">
        <v>7411</v>
      </c>
      <c r="G813" s="5" t="s">
        <v>7412</v>
      </c>
      <c r="H813" s="1" t="s">
        <v>7413</v>
      </c>
      <c r="I813" s="5" t="s">
        <v>7414</v>
      </c>
      <c r="J813" s="7">
        <v>8</v>
      </c>
      <c r="K813" s="7">
        <v>29.4</v>
      </c>
      <c r="L813" s="5" t="s">
        <v>7415</v>
      </c>
      <c r="M813" s="7">
        <v>1.75</v>
      </c>
      <c r="N813" s="7">
        <v>1.27</v>
      </c>
      <c r="O813" s="7">
        <v>0.78900000000000003</v>
      </c>
      <c r="P813" s="1" t="s">
        <v>7416</v>
      </c>
    </row>
    <row r="814" spans="1:16" ht="33.4" x14ac:dyDescent="0.3">
      <c r="A814" s="6" t="str">
        <f>HYPERLINK("https://www.ti.com/product/UCC28C57L-Q1", "UCC28C57L-Q1")</f>
        <v>UCC28C57L-Q1</v>
      </c>
      <c r="B814" s="5" t="s">
        <v>7417</v>
      </c>
      <c r="C814" s="6" t="str">
        <f>HYPERLINK("https://www.ti.com/lit/gpn/UCC28C57L-Q1", "PDF")</f>
        <v>PDF</v>
      </c>
      <c r="D814" s="5" t="s">
        <v>7418</v>
      </c>
      <c r="E814" s="5" t="s">
        <v>7419</v>
      </c>
      <c r="F814" s="5" t="s">
        <v>7420</v>
      </c>
      <c r="G814" s="5" t="s">
        <v>7421</v>
      </c>
      <c r="H814" s="1" t="s">
        <v>7422</v>
      </c>
      <c r="I814" s="5" t="s">
        <v>7423</v>
      </c>
      <c r="J814" s="7">
        <v>8</v>
      </c>
      <c r="K814" s="7">
        <v>29.4</v>
      </c>
      <c r="L814" s="5" t="s">
        <v>7424</v>
      </c>
      <c r="M814" s="7">
        <v>1.75</v>
      </c>
      <c r="N814" s="7">
        <v>1.27</v>
      </c>
      <c r="O814" s="7">
        <v>0.78900000000000003</v>
      </c>
      <c r="P814" s="1" t="s">
        <v>7425</v>
      </c>
    </row>
    <row r="815" spans="1:16" ht="33.4" x14ac:dyDescent="0.3">
      <c r="A815" s="6" t="str">
        <f>HYPERLINK("https://www.ti.com/product/LM25149-Q1", "LM25149-Q1")</f>
        <v>LM25149-Q1</v>
      </c>
      <c r="B815" s="5" t="s">
        <v>7426</v>
      </c>
      <c r="C815" s="6" t="str">
        <f>HYPERLINK("https://www.ti.com/lit/gpn/LM25149-Q1", "PDF")</f>
        <v>PDF</v>
      </c>
      <c r="D815" s="5" t="s">
        <v>7427</v>
      </c>
      <c r="E815" s="5" t="s">
        <v>7428</v>
      </c>
      <c r="F815" s="5" t="s">
        <v>7429</v>
      </c>
      <c r="G815" s="5" t="s">
        <v>7430</v>
      </c>
      <c r="H815" s="1" t="s">
        <v>7431</v>
      </c>
      <c r="I815" s="5" t="s">
        <v>7432</v>
      </c>
      <c r="J815" s="7">
        <v>24</v>
      </c>
      <c r="K815" s="7">
        <v>19.25</v>
      </c>
      <c r="L815" s="5" t="s">
        <v>7433</v>
      </c>
      <c r="M815" s="7">
        <v>1</v>
      </c>
      <c r="N815" s="7">
        <v>0.5</v>
      </c>
      <c r="O815" s="7">
        <v>1.6339999999999999</v>
      </c>
      <c r="P815" s="1" t="s">
        <v>7434</v>
      </c>
    </row>
    <row r="816" spans="1:16" ht="33.4" x14ac:dyDescent="0.3">
      <c r="A816" s="6" t="str">
        <f>HYPERLINK("https://www.ti.com/product/TLVM23625", "TLVM23625")</f>
        <v>TLVM23625</v>
      </c>
      <c r="B816" s="5" t="s">
        <v>7435</v>
      </c>
      <c r="C816" s="6" t="str">
        <f>HYPERLINK("https://www.ti.com/lit/gpn/TLVM23625", "PDF")</f>
        <v>PDF</v>
      </c>
      <c r="D816" s="5" t="s">
        <v>7436</v>
      </c>
      <c r="E816" s="5" t="s">
        <v>7437</v>
      </c>
      <c r="F816" s="5" t="s">
        <v>7438</v>
      </c>
      <c r="G816" s="5" t="s">
        <v>7439</v>
      </c>
      <c r="H816" s="1" t="s">
        <v>7440</v>
      </c>
      <c r="I816" s="5" t="s">
        <v>7441</v>
      </c>
      <c r="J816" s="7">
        <v>11</v>
      </c>
      <c r="K816" s="7">
        <v>15.75</v>
      </c>
      <c r="L816" s="5" t="s">
        <v>7442</v>
      </c>
      <c r="M816" s="7">
        <v>2.1</v>
      </c>
      <c r="N816" s="7">
        <v>0.5</v>
      </c>
      <c r="O816" s="7">
        <v>1.0349999999999999</v>
      </c>
      <c r="P816" s="1" t="s">
        <v>7443</v>
      </c>
    </row>
    <row r="817" spans="1:16" ht="33.4" x14ac:dyDescent="0.3">
      <c r="A817" s="6" t="str">
        <f>HYPERLINK("https://www.ti.com/product/TLV761", "TLV761")</f>
        <v>TLV761</v>
      </c>
      <c r="B817" s="5" t="s">
        <v>7444</v>
      </c>
      <c r="C817" s="6" t="str">
        <f>HYPERLINK("https://www.ti.com/lit/gpn/TLV761", "PDF")</f>
        <v>PDF</v>
      </c>
      <c r="D817" s="5" t="s">
        <v>7445</v>
      </c>
      <c r="E817" s="5" t="s">
        <v>7446</v>
      </c>
      <c r="F817" s="5"/>
      <c r="G817" s="5" t="s">
        <v>7447</v>
      </c>
      <c r="H817" s="1" t="s">
        <v>7448</v>
      </c>
      <c r="I817" s="5" t="s">
        <v>7449</v>
      </c>
      <c r="J817" s="7" t="s">
        <v>7450</v>
      </c>
      <c r="K817" s="7" t="s">
        <v>7451</v>
      </c>
      <c r="L817" s="5" t="s">
        <v>7452</v>
      </c>
      <c r="M817" s="7" t="s">
        <v>7453</v>
      </c>
      <c r="N817" s="7" t="s">
        <v>7454</v>
      </c>
      <c r="O817" s="7">
        <v>0.14399999999999999</v>
      </c>
      <c r="P817" s="1" t="s">
        <v>7455</v>
      </c>
    </row>
    <row r="818" spans="1:16" ht="33.4" x14ac:dyDescent="0.3">
      <c r="A818" s="6" t="str">
        <f>HYPERLINK("https://www.ti.com/product/TPS38700-Q1", "TPS38700-Q1")</f>
        <v>TPS38700-Q1</v>
      </c>
      <c r="B818" s="5" t="s">
        <v>7456</v>
      </c>
      <c r="C818" s="6" t="str">
        <f>HYPERLINK("https://www.ti.com/lit/gpn/TPS38700-Q1", "PDF")</f>
        <v>PDF</v>
      </c>
      <c r="D818" s="5" t="s">
        <v>7457</v>
      </c>
      <c r="E818" s="5" t="s">
        <v>7458</v>
      </c>
      <c r="F818" s="5"/>
      <c r="G818" s="5" t="s">
        <v>7459</v>
      </c>
      <c r="H818" s="1" t="s">
        <v>7460</v>
      </c>
      <c r="I818" s="5" t="s">
        <v>7461</v>
      </c>
      <c r="J818" s="7">
        <v>24</v>
      </c>
      <c r="K818" s="7">
        <v>16</v>
      </c>
      <c r="L818" s="5" t="s">
        <v>7462</v>
      </c>
      <c r="M818" s="7">
        <v>1</v>
      </c>
      <c r="N818" s="7">
        <v>0.5</v>
      </c>
      <c r="O818" s="7">
        <v>1.8979999999999999</v>
      </c>
      <c r="P818" s="1" t="s">
        <v>7463</v>
      </c>
    </row>
    <row r="819" spans="1:16" ht="33.4" x14ac:dyDescent="0.3">
      <c r="A819" s="6" t="str">
        <f>HYPERLINK("https://www.ti.com/product/DRV8144-Q1", "DRV8144-Q1")</f>
        <v>DRV8144-Q1</v>
      </c>
      <c r="B819" s="5" t="s">
        <v>7464</v>
      </c>
      <c r="C819" s="6" t="str">
        <f>HYPERLINK("https://www.ti.com/lit/gpn/DRV8144-Q1", "PDF")</f>
        <v>PDF</v>
      </c>
      <c r="D819" s="5" t="s">
        <v>7465</v>
      </c>
      <c r="E819" s="5" t="s">
        <v>7466</v>
      </c>
      <c r="F819" s="5" t="s">
        <v>7467</v>
      </c>
      <c r="G819" s="5" t="s">
        <v>7468</v>
      </c>
      <c r="H819" s="1" t="s">
        <v>7469</v>
      </c>
      <c r="I819" s="5" t="s">
        <v>7470</v>
      </c>
      <c r="J819" s="7">
        <v>16</v>
      </c>
      <c r="K819" s="7">
        <v>18</v>
      </c>
      <c r="L819" s="5" t="s">
        <v>7471</v>
      </c>
      <c r="M819" s="7">
        <v>1</v>
      </c>
      <c r="N819" s="7">
        <v>0.5</v>
      </c>
      <c r="O819" s="7">
        <v>2.2440000000000002</v>
      </c>
      <c r="P819" s="1" t="s">
        <v>7472</v>
      </c>
    </row>
    <row r="820" spans="1:16" ht="49.75" x14ac:dyDescent="0.3">
      <c r="A820" s="6" t="str">
        <f>HYPERLINK("https://www.ti.com/product/DRV8145-Q1", "DRV8145-Q1")</f>
        <v>DRV8145-Q1</v>
      </c>
      <c r="B820" s="5" t="s">
        <v>7473</v>
      </c>
      <c r="C820" s="6" t="str">
        <f>HYPERLINK("https://www.ti.com/lit/gpn/DRV8145-Q1", "PDF")</f>
        <v>PDF</v>
      </c>
      <c r="D820" s="5" t="s">
        <v>7474</v>
      </c>
      <c r="E820" s="5" t="s">
        <v>7475</v>
      </c>
      <c r="F820" s="5" t="s">
        <v>7476</v>
      </c>
      <c r="G820" s="5" t="s">
        <v>7477</v>
      </c>
      <c r="H820" s="1" t="s">
        <v>7478</v>
      </c>
      <c r="I820" s="5" t="s">
        <v>7479</v>
      </c>
      <c r="J820" s="7" t="s">
        <v>7480</v>
      </c>
      <c r="K820" s="7" t="s">
        <v>7481</v>
      </c>
      <c r="L820" s="5" t="s">
        <v>7482</v>
      </c>
      <c r="M820" s="7" t="s">
        <v>7483</v>
      </c>
      <c r="N820" s="7" t="s">
        <v>7484</v>
      </c>
      <c r="O820" s="7">
        <v>2.7770000000000001</v>
      </c>
      <c r="P820" s="1" t="s">
        <v>7485</v>
      </c>
    </row>
    <row r="821" spans="1:16" ht="17.05" x14ac:dyDescent="0.3">
      <c r="A821" s="6" t="str">
        <f>HYPERLINK("https://www.ti.com/product/TPS281C30", "TPS281C30")</f>
        <v>TPS281C30</v>
      </c>
      <c r="B821" s="5" t="s">
        <v>7486</v>
      </c>
      <c r="C821" s="6" t="str">
        <f>HYPERLINK("https://www.ti.com/lit/gpn/TPS281C30", "PDF")</f>
        <v>PDF</v>
      </c>
      <c r="D821" s="5" t="s">
        <v>7487</v>
      </c>
      <c r="E821" s="5" t="s">
        <v>7488</v>
      </c>
      <c r="F821" s="5"/>
      <c r="G821" s="5" t="s">
        <v>7489</v>
      </c>
      <c r="H821" s="1" t="s">
        <v>7490</v>
      </c>
      <c r="I821" s="5" t="s">
        <v>7491</v>
      </c>
      <c r="J821" s="7">
        <v>20</v>
      </c>
      <c r="K821" s="7">
        <v>25</v>
      </c>
      <c r="L821" s="5" t="s">
        <v>7492</v>
      </c>
      <c r="M821" s="7">
        <v>1</v>
      </c>
      <c r="N821" s="7">
        <v>0.65</v>
      </c>
      <c r="O821" s="7">
        <v>2.1379999999999999</v>
      </c>
      <c r="P821" s="1" t="s">
        <v>7493</v>
      </c>
    </row>
    <row r="822" spans="1:16" ht="33.4" x14ac:dyDescent="0.3">
      <c r="A822" s="6" t="str">
        <f>HYPERLINK("https://www.ti.com/product/TPS543A26", "TPS543A26")</f>
        <v>TPS543A26</v>
      </c>
      <c r="B822" s="5" t="s">
        <v>7494</v>
      </c>
      <c r="C822" s="6" t="str">
        <f>HYPERLINK("https://www.ti.com/lit/gpn/TPS543A26", "PDF")</f>
        <v>PDF</v>
      </c>
      <c r="D822" s="5" t="s">
        <v>7495</v>
      </c>
      <c r="E822" s="5" t="s">
        <v>7496</v>
      </c>
      <c r="F822" s="5" t="s">
        <v>7497</v>
      </c>
      <c r="G822" s="5" t="s">
        <v>7498</v>
      </c>
      <c r="H822" s="1" t="s">
        <v>7499</v>
      </c>
      <c r="I822" s="5" t="s">
        <v>7500</v>
      </c>
      <c r="J822" s="7">
        <v>17</v>
      </c>
      <c r="K822" s="7">
        <v>11.25</v>
      </c>
      <c r="L822" s="5" t="s">
        <v>7501</v>
      </c>
      <c r="M822" s="7">
        <v>0.7</v>
      </c>
      <c r="N822" s="7">
        <v>0.5</v>
      </c>
      <c r="O822" s="7">
        <v>1.645</v>
      </c>
      <c r="P822" s="1" t="s">
        <v>7502</v>
      </c>
    </row>
    <row r="823" spans="1:16" ht="33.4" x14ac:dyDescent="0.3">
      <c r="A823" s="6" t="str">
        <f>HYPERLINK("https://www.ti.com/product/TPS543B22", "TPS543B22")</f>
        <v>TPS543B22</v>
      </c>
      <c r="B823" s="5" t="s">
        <v>7503</v>
      </c>
      <c r="C823" s="6" t="str">
        <f>HYPERLINK("https://www.ti.com/lit/gpn/TPS543B22", "PDF")</f>
        <v>PDF</v>
      </c>
      <c r="D823" s="5" t="s">
        <v>7504</v>
      </c>
      <c r="E823" s="5" t="s">
        <v>7505</v>
      </c>
      <c r="F823" s="5" t="s">
        <v>7506</v>
      </c>
      <c r="G823" s="5" t="s">
        <v>7507</v>
      </c>
      <c r="H823" s="1" t="s">
        <v>7508</v>
      </c>
      <c r="I823" s="5" t="s">
        <v>7509</v>
      </c>
      <c r="J823" s="7">
        <v>17</v>
      </c>
      <c r="K823" s="7">
        <v>11.25</v>
      </c>
      <c r="L823" s="5" t="s">
        <v>7510</v>
      </c>
      <c r="M823" s="7">
        <v>0.7</v>
      </c>
      <c r="N823" s="7">
        <v>0.5</v>
      </c>
      <c r="O823" s="7">
        <v>1.9550000000000001</v>
      </c>
      <c r="P823" s="1" t="s">
        <v>7511</v>
      </c>
    </row>
    <row r="824" spans="1:16" ht="33.4" x14ac:dyDescent="0.3">
      <c r="A824" s="6" t="str">
        <f>HYPERLINK("https://www.ti.com/product/TPS1211-Q1", "TPS1211-Q1")</f>
        <v>TPS1211-Q1</v>
      </c>
      <c r="B824" s="5" t="s">
        <v>7512</v>
      </c>
      <c r="C824" s="6" t="str">
        <f>HYPERLINK("https://www.ti.com/lit/gpn/TPS1211-Q1", "PDF")</f>
        <v>PDF</v>
      </c>
      <c r="D824" s="5" t="s">
        <v>7513</v>
      </c>
      <c r="E824" s="5" t="s">
        <v>7514</v>
      </c>
      <c r="F824" s="5"/>
      <c r="G824" s="5" t="s">
        <v>7515</v>
      </c>
      <c r="H824" s="1" t="s">
        <v>7516</v>
      </c>
      <c r="I824" s="5" t="s">
        <v>7517</v>
      </c>
      <c r="J824" s="7">
        <v>19</v>
      </c>
      <c r="K824" s="7">
        <v>15.3</v>
      </c>
      <c r="L824" s="5" t="s">
        <v>7518</v>
      </c>
      <c r="M824" s="7">
        <v>0.95</v>
      </c>
      <c r="N824" s="7">
        <v>0.5</v>
      </c>
      <c r="O824" s="7">
        <v>1.4490000000000001</v>
      </c>
      <c r="P824" s="1" t="s">
        <v>7519</v>
      </c>
    </row>
    <row r="825" spans="1:16" ht="17.05" x14ac:dyDescent="0.3">
      <c r="A825" s="6" t="str">
        <f>HYPERLINK("https://www.ti.com/product/TPS22997", "TPS22997")</f>
        <v>TPS22997</v>
      </c>
      <c r="B825" s="5" t="s">
        <v>7520</v>
      </c>
      <c r="C825" s="6" t="str">
        <f>HYPERLINK("https://www.ti.com/lit/gpn/TPS22997", "PDF")</f>
        <v>PDF</v>
      </c>
      <c r="D825" s="5" t="s">
        <v>7521</v>
      </c>
      <c r="E825" s="5" t="s">
        <v>7522</v>
      </c>
      <c r="F825" s="5"/>
      <c r="G825" s="5" t="s">
        <v>7523</v>
      </c>
      <c r="H825" s="1" t="s">
        <v>7524</v>
      </c>
      <c r="I825" s="5" t="s">
        <v>7525</v>
      </c>
      <c r="J825" s="7">
        <v>10</v>
      </c>
      <c r="K825" s="7">
        <v>3</v>
      </c>
      <c r="L825" s="5" t="s">
        <v>7526</v>
      </c>
      <c r="M825" s="7">
        <v>0.8</v>
      </c>
      <c r="N825" s="7">
        <v>0.5</v>
      </c>
      <c r="O825" s="7">
        <v>0.25</v>
      </c>
      <c r="P825" s="1" t="s">
        <v>7527</v>
      </c>
    </row>
    <row r="826" spans="1:16" ht="33.4" x14ac:dyDescent="0.3">
      <c r="A826" s="6" t="str">
        <f>HYPERLINK("https://www.ti.com/product/TPS4811-Q1", "TPS4811-Q1")</f>
        <v>TPS4811-Q1</v>
      </c>
      <c r="B826" s="5" t="s">
        <v>7528</v>
      </c>
      <c r="C826" s="6" t="str">
        <f>HYPERLINK("https://www.ti.com/lit/gpn/TPS4811-Q1", "PDF")</f>
        <v>PDF</v>
      </c>
      <c r="D826" s="5" t="s">
        <v>7529</v>
      </c>
      <c r="E826" s="5" t="s">
        <v>7530</v>
      </c>
      <c r="F826" s="5"/>
      <c r="G826" s="5" t="s">
        <v>7531</v>
      </c>
      <c r="H826" s="1" t="s">
        <v>7532</v>
      </c>
      <c r="I826" s="5" t="s">
        <v>7533</v>
      </c>
      <c r="J826" s="7">
        <v>19</v>
      </c>
      <c r="K826" s="7">
        <v>15.3</v>
      </c>
      <c r="L826" s="5" t="s">
        <v>7534</v>
      </c>
      <c r="M826" s="7">
        <v>0.95</v>
      </c>
      <c r="N826" s="7">
        <v>0.5</v>
      </c>
      <c r="O826" s="7">
        <v>1.7809999999999999</v>
      </c>
      <c r="P826" s="1" t="s">
        <v>7535</v>
      </c>
    </row>
    <row r="827" spans="1:16" ht="33.4" x14ac:dyDescent="0.3">
      <c r="A827" s="6" t="str">
        <f>HYPERLINK("https://www.ti.com/product/LM5149-Q1", "LM5149-Q1")</f>
        <v>LM5149-Q1</v>
      </c>
      <c r="B827" s="5" t="s">
        <v>7536</v>
      </c>
      <c r="C827" s="6" t="str">
        <f>HYPERLINK("https://www.ti.com/lit/gpn/LM5149-Q1", "PDF")</f>
        <v>PDF</v>
      </c>
      <c r="D827" s="5" t="s">
        <v>7537</v>
      </c>
      <c r="E827" s="5" t="s">
        <v>7538</v>
      </c>
      <c r="F827" s="5" t="s">
        <v>7539</v>
      </c>
      <c r="G827" s="5" t="s">
        <v>7540</v>
      </c>
      <c r="H827" s="1" t="s">
        <v>7541</v>
      </c>
      <c r="I827" s="5" t="s">
        <v>7542</v>
      </c>
      <c r="J827" s="7">
        <v>24</v>
      </c>
      <c r="K827" s="7">
        <v>19.25</v>
      </c>
      <c r="L827" s="5" t="s">
        <v>7543</v>
      </c>
      <c r="M827" s="7">
        <v>1</v>
      </c>
      <c r="N827" s="7">
        <v>0.5</v>
      </c>
      <c r="O827" s="7">
        <v>2.2389999999999999</v>
      </c>
      <c r="P827" s="1" t="s">
        <v>7544</v>
      </c>
    </row>
    <row r="828" spans="1:16" ht="33.4" x14ac:dyDescent="0.3">
      <c r="A828" s="6" t="str">
        <f>HYPERLINK("https://www.ti.com/product/LMQ66430", "LMQ66430")</f>
        <v>LMQ66430</v>
      </c>
      <c r="B828" s="5" t="s">
        <v>7545</v>
      </c>
      <c r="C828" s="6" t="str">
        <f>HYPERLINK("https://www.ti.com/lit/gpn/LMQ66430", "PDF")</f>
        <v>PDF</v>
      </c>
      <c r="D828" s="5" t="s">
        <v>7546</v>
      </c>
      <c r="E828" s="5" t="s">
        <v>7547</v>
      </c>
      <c r="F828" s="5" t="s">
        <v>7548</v>
      </c>
      <c r="G828" s="5" t="s">
        <v>7549</v>
      </c>
      <c r="H828" s="1" t="s">
        <v>7550</v>
      </c>
      <c r="I828" s="5" t="s">
        <v>7551</v>
      </c>
      <c r="J828" s="7">
        <v>14</v>
      </c>
      <c r="K828" s="7">
        <v>6.76</v>
      </c>
      <c r="L828" s="5" t="s">
        <v>7552</v>
      </c>
      <c r="M828" s="7">
        <v>1.05</v>
      </c>
      <c r="N828" s="7">
        <v>0.5</v>
      </c>
      <c r="O828" s="7">
        <v>1.29</v>
      </c>
      <c r="P828" s="1" t="s">
        <v>7553</v>
      </c>
    </row>
    <row r="829" spans="1:16" ht="33.4" x14ac:dyDescent="0.3">
      <c r="A829" s="6" t="str">
        <f>HYPERLINK("https://www.ti.com/product/LMQ66430-Q1", "LMQ66430-Q1")</f>
        <v>LMQ66430-Q1</v>
      </c>
      <c r="B829" s="5" t="s">
        <v>7554</v>
      </c>
      <c r="C829" s="6" t="str">
        <f>HYPERLINK("https://www.ti.com/lit/gpn/LMQ66430-Q1", "PDF")</f>
        <v>PDF</v>
      </c>
      <c r="D829" s="5" t="s">
        <v>7555</v>
      </c>
      <c r="E829" s="5" t="s">
        <v>7556</v>
      </c>
      <c r="F829" s="5" t="s">
        <v>7557</v>
      </c>
      <c r="G829" s="5" t="s">
        <v>7558</v>
      </c>
      <c r="H829" s="1" t="s">
        <v>7559</v>
      </c>
      <c r="I829" s="5" t="s">
        <v>7560</v>
      </c>
      <c r="J829" s="7">
        <v>14</v>
      </c>
      <c r="K829" s="7">
        <v>6.76</v>
      </c>
      <c r="L829" s="5" t="s">
        <v>7561</v>
      </c>
      <c r="M829" s="7">
        <v>1.05</v>
      </c>
      <c r="N829" s="7">
        <v>0.5</v>
      </c>
      <c r="O829" s="7">
        <v>1.6279999999999999</v>
      </c>
      <c r="P829" s="1" t="s">
        <v>7562</v>
      </c>
    </row>
    <row r="830" spans="1:16" ht="49.75" x14ac:dyDescent="0.3">
      <c r="A830" s="6" t="str">
        <f>HYPERLINK("https://www.ti.com/product/TPS3435", "TPS3435")</f>
        <v>TPS3435</v>
      </c>
      <c r="B830" s="5" t="s">
        <v>7563</v>
      </c>
      <c r="C830" s="6" t="str">
        <f>HYPERLINK("https://www.ti.com/lit/gpn/TPS3435", "PDF")</f>
        <v>PDF</v>
      </c>
      <c r="D830" s="5" t="s">
        <v>7564</v>
      </c>
      <c r="E830" s="5" t="s">
        <v>7565</v>
      </c>
      <c r="F830" s="5"/>
      <c r="G830" s="5" t="s">
        <v>7566</v>
      </c>
      <c r="H830" s="1" t="s">
        <v>7567</v>
      </c>
      <c r="I830" s="5" t="s">
        <v>7568</v>
      </c>
      <c r="J830" s="7" t="s">
        <v>7569</v>
      </c>
      <c r="K830" s="7" t="s">
        <v>7570</v>
      </c>
      <c r="L830" s="5" t="s">
        <v>7571</v>
      </c>
      <c r="M830" s="7" t="s">
        <v>7572</v>
      </c>
      <c r="N830" s="7" t="s">
        <v>7573</v>
      </c>
      <c r="O830" s="7">
        <v>0.79900000000000004</v>
      </c>
      <c r="P830" s="1" t="s">
        <v>7574</v>
      </c>
    </row>
    <row r="831" spans="1:16" ht="33.4" x14ac:dyDescent="0.3">
      <c r="A831" s="6" t="str">
        <f>HYPERLINK("https://www.ti.com/product/TPS748A", "TPS748A")</f>
        <v>TPS748A</v>
      </c>
      <c r="B831" s="5" t="s">
        <v>7575</v>
      </c>
      <c r="C831" s="6" t="str">
        <f>HYPERLINK("https://www.ti.com/lit/gpn/TPS748A", "PDF")</f>
        <v>PDF</v>
      </c>
      <c r="D831" s="5" t="s">
        <v>7576</v>
      </c>
      <c r="E831" s="5" t="s">
        <v>7577</v>
      </c>
      <c r="F831" s="5"/>
      <c r="G831" s="5" t="s">
        <v>7578</v>
      </c>
      <c r="H831" s="1" t="s">
        <v>7579</v>
      </c>
      <c r="I831" s="5" t="s">
        <v>7580</v>
      </c>
      <c r="J831" s="7">
        <v>10</v>
      </c>
      <c r="K831" s="7">
        <v>9</v>
      </c>
      <c r="L831" s="5" t="s">
        <v>7581</v>
      </c>
      <c r="M831" s="7">
        <v>1</v>
      </c>
      <c r="N831" s="7">
        <v>0.5</v>
      </c>
      <c r="O831" s="7">
        <v>0.66300000000000003</v>
      </c>
      <c r="P831" s="1" t="s">
        <v>7582</v>
      </c>
    </row>
    <row r="832" spans="1:16" ht="33.4" x14ac:dyDescent="0.3">
      <c r="A832" s="6" t="str">
        <f>HYPERLINK("https://www.ti.com/product/TPS1HC30-Q1", "TPS1HC30-Q1")</f>
        <v>TPS1HC30-Q1</v>
      </c>
      <c r="B832" s="5" t="s">
        <v>7583</v>
      </c>
      <c r="C832" s="6" t="str">
        <f>HYPERLINK("https://www.ti.com/lit/gpn/TPS1HC30-Q1", "PDF")</f>
        <v>PDF</v>
      </c>
      <c r="D832" s="5" t="s">
        <v>7584</v>
      </c>
      <c r="E832" s="5" t="s">
        <v>7585</v>
      </c>
      <c r="F832" s="5"/>
      <c r="G832" s="5" t="s">
        <v>7586</v>
      </c>
      <c r="H832" s="1" t="s">
        <v>7587</v>
      </c>
      <c r="I832" s="5" t="s">
        <v>7588</v>
      </c>
      <c r="J832" s="7">
        <v>14</v>
      </c>
      <c r="K832" s="7">
        <v>32</v>
      </c>
      <c r="L832" s="5" t="s">
        <v>7589</v>
      </c>
      <c r="M832" s="7">
        <v>1.2</v>
      </c>
      <c r="N832" s="7">
        <v>0.65</v>
      </c>
      <c r="O832" s="7">
        <v>0.62</v>
      </c>
      <c r="P832" s="1" t="s">
        <v>7590</v>
      </c>
    </row>
    <row r="833" spans="1:16" ht="33.4" x14ac:dyDescent="0.3">
      <c r="A833" s="6" t="str">
        <f>HYPERLINK("https://www.ti.com/product/TPSM82816", "TPSM82816")</f>
        <v>TPSM82816</v>
      </c>
      <c r="B833" s="5" t="s">
        <v>7591</v>
      </c>
      <c r="C833" s="6" t="str">
        <f>HYPERLINK("https://www.ti.com/lit/gpn/TPSM82816", "PDF")</f>
        <v>PDF</v>
      </c>
      <c r="D833" s="5" t="s">
        <v>7592</v>
      </c>
      <c r="E833" s="5" t="s">
        <v>7593</v>
      </c>
      <c r="F833" s="5" t="s">
        <v>7594</v>
      </c>
      <c r="G833" s="5" t="s">
        <v>7595</v>
      </c>
      <c r="H833" s="1" t="s">
        <v>7596</v>
      </c>
      <c r="I833" s="5" t="s">
        <v>7597</v>
      </c>
      <c r="J833" s="7" t="s">
        <v>7598</v>
      </c>
      <c r="K833" s="7" t="s">
        <v>7599</v>
      </c>
      <c r="L833" s="5" t="s">
        <v>7600</v>
      </c>
      <c r="M833" s="7" t="s">
        <v>7601</v>
      </c>
      <c r="N833" s="7" t="s">
        <v>7602</v>
      </c>
      <c r="O833" s="7">
        <v>2.3580000000000001</v>
      </c>
      <c r="P833" s="1" t="s">
        <v>7603</v>
      </c>
    </row>
    <row r="834" spans="1:16" ht="33.4" x14ac:dyDescent="0.3">
      <c r="A834" s="6" t="str">
        <f>HYPERLINK("https://www.ti.com/product/TPSM82913", "TPSM82913")</f>
        <v>TPSM82913</v>
      </c>
      <c r="B834" s="5" t="s">
        <v>7604</v>
      </c>
      <c r="C834" s="6" t="str">
        <f>HYPERLINK("https://www.ti.com/lit/gpn/TPSM82913", "PDF")</f>
        <v>PDF</v>
      </c>
      <c r="D834" s="5" t="s">
        <v>7605</v>
      </c>
      <c r="E834" s="5" t="s">
        <v>7606</v>
      </c>
      <c r="F834" s="5" t="s">
        <v>7607</v>
      </c>
      <c r="G834" s="5" t="s">
        <v>7608</v>
      </c>
      <c r="H834" s="1" t="s">
        <v>7609</v>
      </c>
      <c r="I834" s="5" t="s">
        <v>7610</v>
      </c>
      <c r="J834" s="7">
        <v>28</v>
      </c>
      <c r="K834" s="7">
        <v>24.75</v>
      </c>
      <c r="L834" s="5" t="s">
        <v>7611</v>
      </c>
      <c r="M834" s="7">
        <v>1.9</v>
      </c>
      <c r="N834" s="7">
        <v>0.5</v>
      </c>
      <c r="O834" s="7">
        <v>2.2999999999999998</v>
      </c>
      <c r="P834" s="1" t="s">
        <v>7612</v>
      </c>
    </row>
    <row r="835" spans="1:16" ht="17.05" x14ac:dyDescent="0.3">
      <c r="A835" s="6" t="str">
        <f>HYPERLINK("https://www.ti.com/product/LM7480", "LM7480")</f>
        <v>LM7480</v>
      </c>
      <c r="B835" s="5" t="s">
        <v>7613</v>
      </c>
      <c r="C835" s="6" t="str">
        <f>HYPERLINK("https://www.ti.com/lit/gpn/LM7480", "PDF")</f>
        <v>PDF</v>
      </c>
      <c r="D835" s="5" t="s">
        <v>7614</v>
      </c>
      <c r="E835" s="5" t="s">
        <v>7615</v>
      </c>
      <c r="F835" s="5"/>
      <c r="G835" s="5" t="s">
        <v>7616</v>
      </c>
      <c r="H835" s="1" t="s">
        <v>7617</v>
      </c>
      <c r="I835" s="5" t="s">
        <v>7618</v>
      </c>
      <c r="J835" s="7">
        <v>12</v>
      </c>
      <c r="K835" s="7">
        <v>9</v>
      </c>
      <c r="L835" s="5" t="s">
        <v>7619</v>
      </c>
      <c r="M835" s="7">
        <v>0.8</v>
      </c>
      <c r="N835" s="7">
        <v>0.5</v>
      </c>
      <c r="O835" s="7">
        <v>1.6559999999999999</v>
      </c>
      <c r="P835" s="1" t="s">
        <v>7620</v>
      </c>
    </row>
    <row r="836" spans="1:16" ht="33.4" x14ac:dyDescent="0.3">
      <c r="A836" s="6" t="str">
        <f>HYPERLINK("https://www.ti.com/product/LM7481", "LM7481")</f>
        <v>LM7481</v>
      </c>
      <c r="B836" s="5" t="s">
        <v>7621</v>
      </c>
      <c r="C836" s="6" t="str">
        <f>HYPERLINK("https://www.ti.com/lit/gpn/LM7481", "PDF")</f>
        <v>PDF</v>
      </c>
      <c r="D836" s="5" t="s">
        <v>7622</v>
      </c>
      <c r="E836" s="5" t="s">
        <v>7623</v>
      </c>
      <c r="F836" s="5"/>
      <c r="G836" s="5" t="s">
        <v>7624</v>
      </c>
      <c r="H836" s="1" t="s">
        <v>7625</v>
      </c>
      <c r="I836" s="5" t="s">
        <v>7626</v>
      </c>
      <c r="J836" s="7">
        <v>12</v>
      </c>
      <c r="K836" s="7">
        <v>9</v>
      </c>
      <c r="L836" s="5" t="s">
        <v>7627</v>
      </c>
      <c r="M836" s="7">
        <v>0.8</v>
      </c>
      <c r="N836" s="7">
        <v>0.5</v>
      </c>
      <c r="O836" s="7">
        <v>1.8220000000000001</v>
      </c>
      <c r="P836" s="1" t="s">
        <v>7628</v>
      </c>
    </row>
    <row r="837" spans="1:16" ht="33.4" x14ac:dyDescent="0.3">
      <c r="A837" s="6" t="str">
        <f>HYPERLINK("https://www.ti.com/product/LP5891-Q1", "LP5891-Q1")</f>
        <v>LP5891-Q1</v>
      </c>
      <c r="B837" s="5" t="s">
        <v>7629</v>
      </c>
      <c r="C837" s="6" t="str">
        <f>HYPERLINK("https://www.ti.com/lit/gpn/LP5891-Q1", "PDF")</f>
        <v>PDF</v>
      </c>
      <c r="D837" s="5" t="s">
        <v>7630</v>
      </c>
      <c r="E837" s="5" t="s">
        <v>7631</v>
      </c>
      <c r="F837" s="5" t="s">
        <v>7632</v>
      </c>
      <c r="G837" s="5" t="s">
        <v>7633</v>
      </c>
      <c r="H837" s="1" t="s">
        <v>7634</v>
      </c>
      <c r="I837" s="5" t="s">
        <v>7635</v>
      </c>
      <c r="J837" s="7">
        <v>76</v>
      </c>
      <c r="K837" s="7">
        <v>81</v>
      </c>
      <c r="L837" s="5" t="s">
        <v>7636</v>
      </c>
      <c r="M837" s="7">
        <v>1</v>
      </c>
      <c r="N837" s="7">
        <v>0.4</v>
      </c>
      <c r="O837" s="7">
        <v>5.2249999999999996</v>
      </c>
      <c r="P837" s="1" t="s">
        <v>7637</v>
      </c>
    </row>
    <row r="838" spans="1:16" ht="33.4" x14ac:dyDescent="0.3">
      <c r="A838" s="6" t="str">
        <f>HYPERLINK("https://www.ti.com/product/TPS7B4255", "TPS7B4255")</f>
        <v>TPS7B4255</v>
      </c>
      <c r="B838" s="5" t="s">
        <v>7638</v>
      </c>
      <c r="C838" s="6" t="str">
        <f>HYPERLINK("https://www.ti.com/lit/gpn/TPS7B4255", "PDF")</f>
        <v>PDF</v>
      </c>
      <c r="D838" s="5" t="s">
        <v>7639</v>
      </c>
      <c r="E838" s="5" t="s">
        <v>7640</v>
      </c>
      <c r="F838" s="5"/>
      <c r="G838" s="5" t="s">
        <v>7641</v>
      </c>
      <c r="H838" s="1" t="s">
        <v>7642</v>
      </c>
      <c r="I838" s="5" t="s">
        <v>7643</v>
      </c>
      <c r="J838" s="7">
        <v>5</v>
      </c>
      <c r="K838" s="7">
        <v>8.1199999999999992</v>
      </c>
      <c r="L838" s="5" t="s">
        <v>7644</v>
      </c>
      <c r="M838" s="7">
        <v>1.45</v>
      </c>
      <c r="N838" s="7">
        <v>0.95</v>
      </c>
      <c r="O838" s="7">
        <v>0.437</v>
      </c>
      <c r="P838" s="1" t="s">
        <v>7645</v>
      </c>
    </row>
    <row r="839" spans="1:16" ht="33.4" x14ac:dyDescent="0.3">
      <c r="A839" s="6" t="str">
        <f>HYPERLINK("https://www.ti.com/product/TPSI3052-Q1", "TPSI3052-Q1")</f>
        <v>TPSI3052-Q1</v>
      </c>
      <c r="B839" s="5" t="s">
        <v>7646</v>
      </c>
      <c r="C839" s="6" t="str">
        <f>HYPERLINK("https://www.ti.com/lit/gpn/TPSI3052-Q1", "PDF")</f>
        <v>PDF</v>
      </c>
      <c r="D839" s="5" t="s">
        <v>7647</v>
      </c>
      <c r="E839" s="5" t="s">
        <v>7648</v>
      </c>
      <c r="F839" s="5"/>
      <c r="G839" s="5" t="s">
        <v>7649</v>
      </c>
      <c r="H839" s="1" t="s">
        <v>7650</v>
      </c>
      <c r="I839" s="5" t="s">
        <v>7651</v>
      </c>
      <c r="J839" s="7">
        <v>8</v>
      </c>
      <c r="K839" s="7">
        <v>67.275000000000006</v>
      </c>
      <c r="L839" s="5" t="s">
        <v>7652</v>
      </c>
      <c r="M839" s="7">
        <v>2.8</v>
      </c>
      <c r="N839" s="7">
        <v>1.27</v>
      </c>
      <c r="O839" s="7">
        <v>1.99</v>
      </c>
      <c r="P839" s="1" t="s">
        <v>7653</v>
      </c>
    </row>
    <row r="840" spans="1:16" ht="33.4" x14ac:dyDescent="0.3">
      <c r="A840" s="6" t="str">
        <f>HYPERLINK("https://www.ti.com/product/TPS631010", "TPS631010")</f>
        <v>TPS631010</v>
      </c>
      <c r="B840" s="5" t="s">
        <v>7654</v>
      </c>
      <c r="C840" s="6" t="str">
        <f>HYPERLINK("https://www.ti.com/lit/gpn/TPS631010", "PDF")</f>
        <v>PDF</v>
      </c>
      <c r="D840" s="5" t="s">
        <v>7655</v>
      </c>
      <c r="E840" s="5" t="s">
        <v>7656</v>
      </c>
      <c r="F840" s="5" t="s">
        <v>7657</v>
      </c>
      <c r="G840" s="5" t="s">
        <v>7658</v>
      </c>
      <c r="H840" s="1" t="s">
        <v>7659</v>
      </c>
      <c r="I840" s="5" t="s">
        <v>7660</v>
      </c>
      <c r="J840" s="7">
        <v>8</v>
      </c>
      <c r="K840" s="7">
        <v>1.7526889999999999</v>
      </c>
      <c r="L840" s="5" t="s">
        <v>7661</v>
      </c>
      <c r="M840" s="7">
        <v>0.5</v>
      </c>
      <c r="N840" s="7">
        <v>0.4</v>
      </c>
      <c r="O840" s="7">
        <v>0.51800000000000002</v>
      </c>
      <c r="P840" s="1" t="s">
        <v>7662</v>
      </c>
    </row>
    <row r="841" spans="1:16" ht="33.4" x14ac:dyDescent="0.3">
      <c r="A841" s="6" t="str">
        <f>HYPERLINK("https://www.ti.com/product/BQ25758", "BQ25758")</f>
        <v>BQ25758</v>
      </c>
      <c r="B841" s="5" t="s">
        <v>7663</v>
      </c>
      <c r="C841" s="6" t="str">
        <f>HYPERLINK("https://www.ti.com/lit/gpn/BQ25758", "PDF")</f>
        <v>PDF</v>
      </c>
      <c r="D841" s="5" t="s">
        <v>7664</v>
      </c>
      <c r="E841" s="5" t="s">
        <v>7665</v>
      </c>
      <c r="F841" s="5"/>
      <c r="G841" s="5" t="s">
        <v>7666</v>
      </c>
      <c r="H841" s="1" t="s">
        <v>7667</v>
      </c>
      <c r="I841" s="5" t="s">
        <v>7668</v>
      </c>
      <c r="J841" s="7">
        <v>36</v>
      </c>
      <c r="K841" s="7">
        <v>30</v>
      </c>
      <c r="L841" s="5" t="s">
        <v>7669</v>
      </c>
      <c r="M841" s="7">
        <v>1</v>
      </c>
      <c r="N841" s="7">
        <v>0.5</v>
      </c>
      <c r="O841" s="7">
        <v>2.1</v>
      </c>
      <c r="P841" s="1" t="s">
        <v>7670</v>
      </c>
    </row>
    <row r="842" spans="1:16" ht="33.4" x14ac:dyDescent="0.3">
      <c r="A842" s="6" t="str">
        <f>HYPERLINK("https://www.ti.com/product/LP8769-Q1", "LP8769-Q1")</f>
        <v>LP8769-Q1</v>
      </c>
      <c r="B842" s="5" t="s">
        <v>7671</v>
      </c>
      <c r="C842" s="6" t="str">
        <f>HYPERLINK("https://www.ti.com/lit/gpn/LP8769-Q1", "PDF")</f>
        <v>PDF</v>
      </c>
      <c r="D842" s="5" t="s">
        <v>7672</v>
      </c>
      <c r="E842" s="5" t="s">
        <v>7673</v>
      </c>
      <c r="F842" s="5"/>
      <c r="G842" s="5" t="s">
        <v>7674</v>
      </c>
      <c r="H842" s="1" t="s">
        <v>7675</v>
      </c>
      <c r="I842" s="5" t="s">
        <v>7676</v>
      </c>
      <c r="J842" s="7">
        <v>32</v>
      </c>
      <c r="K842" s="7">
        <v>27.5</v>
      </c>
      <c r="L842" s="5" t="s">
        <v>7677</v>
      </c>
      <c r="M842" s="7">
        <v>1</v>
      </c>
      <c r="N842" s="7">
        <v>0.5</v>
      </c>
      <c r="O842" s="7">
        <v>3.6230000000000002</v>
      </c>
      <c r="P842" s="1" t="s">
        <v>7678</v>
      </c>
    </row>
    <row r="843" spans="1:16" ht="17.05" x14ac:dyDescent="0.3">
      <c r="A843" s="6" t="str">
        <f>HYPERLINK("https://www.ti.com/product/TPS1641", "TPS1641")</f>
        <v>TPS1641</v>
      </c>
      <c r="B843" s="5" t="s">
        <v>7679</v>
      </c>
      <c r="C843" s="6" t="str">
        <f>HYPERLINK("https://www.ti.com/lit/gpn/TPS1641", "PDF")</f>
        <v>PDF</v>
      </c>
      <c r="D843" s="5" t="s">
        <v>7680</v>
      </c>
      <c r="E843" s="5" t="s">
        <v>7681</v>
      </c>
      <c r="F843" s="5"/>
      <c r="G843" s="5" t="s">
        <v>7682</v>
      </c>
      <c r="H843" s="1" t="s">
        <v>7683</v>
      </c>
      <c r="I843" s="5" t="s">
        <v>7684</v>
      </c>
      <c r="J843" s="7">
        <v>10</v>
      </c>
      <c r="K843" s="7">
        <v>9</v>
      </c>
      <c r="L843" s="5" t="s">
        <v>7685</v>
      </c>
      <c r="M843" s="7">
        <v>1</v>
      </c>
      <c r="N843" s="7">
        <v>0.5</v>
      </c>
      <c r="O843" s="7">
        <v>0.754</v>
      </c>
      <c r="P843" s="1" t="s">
        <v>7686</v>
      </c>
    </row>
    <row r="844" spans="1:16" ht="49.75" x14ac:dyDescent="0.3">
      <c r="A844" s="6" t="str">
        <f>HYPERLINK("https://www.ti.com/product/TPS22995", "TPS22995")</f>
        <v>TPS22995</v>
      </c>
      <c r="B844" s="5" t="s">
        <v>7687</v>
      </c>
      <c r="C844" s="6" t="str">
        <f>HYPERLINK("https://www.ti.com/lit/gpn/TPS22995", "PDF")</f>
        <v>PDF</v>
      </c>
      <c r="D844" s="5" t="s">
        <v>7688</v>
      </c>
      <c r="E844" s="5" t="s">
        <v>7689</v>
      </c>
      <c r="F844" s="5"/>
      <c r="G844" s="5" t="s">
        <v>7690</v>
      </c>
      <c r="H844" s="1" t="s">
        <v>7691</v>
      </c>
      <c r="I844" s="5" t="s">
        <v>7692</v>
      </c>
      <c r="J844" s="7">
        <v>6</v>
      </c>
      <c r="K844" s="7" t="s">
        <v>7693</v>
      </c>
      <c r="L844" s="5" t="s">
        <v>7694</v>
      </c>
      <c r="M844" s="7">
        <v>0.8</v>
      </c>
      <c r="N844" s="7" t="s">
        <v>7695</v>
      </c>
      <c r="O844" s="7">
        <v>0.121</v>
      </c>
      <c r="P844" s="1" t="s">
        <v>7696</v>
      </c>
    </row>
    <row r="845" spans="1:16" ht="17.05" x14ac:dyDescent="0.3">
      <c r="A845" s="6" t="str">
        <f>HYPERLINK("https://www.ti.com/product/TPS22995H-Q1", "TPS22995H-Q1")</f>
        <v>TPS22995H-Q1</v>
      </c>
      <c r="B845" s="5" t="s">
        <v>7697</v>
      </c>
      <c r="C845" s="6" t="str">
        <f>HYPERLINK("https://www.ti.com/lit/gpn/TPS22995H-Q1", "PDF")</f>
        <v>PDF</v>
      </c>
      <c r="D845" s="5" t="s">
        <v>7698</v>
      </c>
      <c r="E845" s="5" t="s">
        <v>7699</v>
      </c>
      <c r="F845" s="5"/>
      <c r="G845" s="5" t="s">
        <v>7700</v>
      </c>
      <c r="H845" s="1" t="s">
        <v>7701</v>
      </c>
      <c r="I845" s="5" t="s">
        <v>7702</v>
      </c>
      <c r="J845" s="7">
        <v>6</v>
      </c>
      <c r="K845" s="7">
        <v>8.1199999999999992</v>
      </c>
      <c r="L845" s="5" t="s">
        <v>7703</v>
      </c>
      <c r="M845" s="7">
        <v>1.1000000000000001</v>
      </c>
      <c r="N845" s="7">
        <v>0.95</v>
      </c>
      <c r="O845" s="7">
        <v>0.13600000000000001</v>
      </c>
      <c r="P845" s="1" t="s">
        <v>7704</v>
      </c>
    </row>
    <row r="846" spans="1:16" ht="33.4" x14ac:dyDescent="0.3">
      <c r="A846" s="6" t="str">
        <f>HYPERLINK("https://www.ti.com/product/LMG2610", "LMG2610")</f>
        <v>LMG2610</v>
      </c>
      <c r="B846" s="5" t="s">
        <v>7705</v>
      </c>
      <c r="C846" s="6" t="str">
        <f>HYPERLINK("https://www.ti.com/lit/gpn/LMG2610", "PDF")</f>
        <v>PDF</v>
      </c>
      <c r="D846" s="5" t="s">
        <v>7706</v>
      </c>
      <c r="E846" s="5" t="s">
        <v>7707</v>
      </c>
      <c r="F846" s="5"/>
      <c r="G846" s="5" t="s">
        <v>7708</v>
      </c>
      <c r="H846" s="1" t="s">
        <v>7709</v>
      </c>
      <c r="I846" s="5" t="s">
        <v>7710</v>
      </c>
      <c r="J846" s="7">
        <v>40</v>
      </c>
      <c r="K846" s="7">
        <v>63</v>
      </c>
      <c r="L846" s="5" t="s">
        <v>7711</v>
      </c>
      <c r="M846" s="7">
        <v>1</v>
      </c>
      <c r="N846" s="7">
        <v>0.5</v>
      </c>
      <c r="O846" s="7">
        <v>5</v>
      </c>
      <c r="P846" s="1" t="s">
        <v>7712</v>
      </c>
    </row>
    <row r="847" spans="1:16" ht="33.4" x14ac:dyDescent="0.3">
      <c r="A847" s="6" t="str">
        <f>HYPERLINK("https://www.ti.com/product/TPS22950-Q1", "TPS22950-Q1")</f>
        <v>TPS22950-Q1</v>
      </c>
      <c r="B847" s="5" t="s">
        <v>7713</v>
      </c>
      <c r="C847" s="6" t="str">
        <f>HYPERLINK("https://www.ti.com/lit/gpn/TPS22950-Q1", "PDF")</f>
        <v>PDF</v>
      </c>
      <c r="D847" s="5" t="s">
        <v>7714</v>
      </c>
      <c r="E847" s="5" t="s">
        <v>7715</v>
      </c>
      <c r="F847" s="5"/>
      <c r="G847" s="5" t="s">
        <v>7716</v>
      </c>
      <c r="H847" s="1" t="s">
        <v>7717</v>
      </c>
      <c r="I847" s="5" t="s">
        <v>7718</v>
      </c>
      <c r="J847" s="7">
        <v>6</v>
      </c>
      <c r="K847" s="7">
        <v>8.1199999999999992</v>
      </c>
      <c r="L847" s="5" t="s">
        <v>7719</v>
      </c>
      <c r="M847" s="7">
        <v>1.1000000000000001</v>
      </c>
      <c r="N847" s="7">
        <v>0.95</v>
      </c>
      <c r="O847" s="7">
        <v>0.27100000000000002</v>
      </c>
      <c r="P847" s="1" t="s">
        <v>7720</v>
      </c>
    </row>
    <row r="848" spans="1:16" ht="33.4" x14ac:dyDescent="0.3">
      <c r="A848" s="6" t="str">
        <f>HYPERLINK("https://www.ti.com/product/TPS53685", "TPS53685")</f>
        <v>TPS53685</v>
      </c>
      <c r="B848" s="5" t="s">
        <v>7721</v>
      </c>
      <c r="C848" s="6" t="str">
        <f>HYPERLINK("https://www.ti.com/lit/gpn/TPS53685", "PDF")</f>
        <v>PDF</v>
      </c>
      <c r="D848" s="5" t="s">
        <v>7722</v>
      </c>
      <c r="E848" s="5" t="s">
        <v>7723</v>
      </c>
      <c r="F848" s="5" t="s">
        <v>7724</v>
      </c>
      <c r="G848" s="5" t="s">
        <v>7725</v>
      </c>
      <c r="H848" s="1" t="s">
        <v>7726</v>
      </c>
      <c r="I848" s="5" t="s">
        <v>7727</v>
      </c>
      <c r="J848" s="7">
        <v>40</v>
      </c>
      <c r="K848" s="7">
        <v>25</v>
      </c>
      <c r="L848" s="5" t="s">
        <v>7728</v>
      </c>
      <c r="M848" s="7">
        <v>0.8</v>
      </c>
      <c r="N848" s="7">
        <v>0.4</v>
      </c>
      <c r="O848" s="7">
        <v>2.76</v>
      </c>
      <c r="P848" s="1" t="s">
        <v>7729</v>
      </c>
    </row>
    <row r="849" spans="1:16" ht="33.4" x14ac:dyDescent="0.3">
      <c r="A849" s="6" t="str">
        <f>HYPERLINK("https://www.ti.com/product/TPS536C5", "TPS536C5")</f>
        <v>TPS536C5</v>
      </c>
      <c r="B849" s="5" t="s">
        <v>7730</v>
      </c>
      <c r="C849" s="6" t="str">
        <f>HYPERLINK("https://www.ti.com/lit/gpn/TPS536C5", "PDF")</f>
        <v>PDF</v>
      </c>
      <c r="D849" s="5" t="s">
        <v>7731</v>
      </c>
      <c r="E849" s="5" t="s">
        <v>7732</v>
      </c>
      <c r="F849" s="5" t="s">
        <v>7733</v>
      </c>
      <c r="G849" s="5" t="s">
        <v>7734</v>
      </c>
      <c r="H849" s="1" t="s">
        <v>7735</v>
      </c>
      <c r="I849" s="5" t="s">
        <v>7736</v>
      </c>
      <c r="J849" s="7">
        <v>48</v>
      </c>
      <c r="K849" s="7">
        <v>36</v>
      </c>
      <c r="L849" s="5" t="s">
        <v>7737</v>
      </c>
      <c r="M849" s="7">
        <v>1</v>
      </c>
      <c r="N849" s="7">
        <v>0.4</v>
      </c>
      <c r="O849" s="7">
        <v>3.45</v>
      </c>
      <c r="P849" s="1" t="s">
        <v>7738</v>
      </c>
    </row>
    <row r="850" spans="1:16" ht="33.4" x14ac:dyDescent="0.3">
      <c r="A850" s="6" t="str">
        <f>HYPERLINK("https://www.ti.com/product/TPS25961", "TPS25961")</f>
        <v>TPS25961</v>
      </c>
      <c r="B850" s="5" t="s">
        <v>7739</v>
      </c>
      <c r="C850" s="6" t="str">
        <f>HYPERLINK("https://www.ti.com/lit/gpn/TPS25961", "PDF")</f>
        <v>PDF</v>
      </c>
      <c r="D850" s="5" t="s">
        <v>7740</v>
      </c>
      <c r="E850" s="5" t="s">
        <v>7741</v>
      </c>
      <c r="F850" s="5"/>
      <c r="G850" s="5" t="s">
        <v>7742</v>
      </c>
      <c r="H850" s="1" t="s">
        <v>7743</v>
      </c>
      <c r="I850" s="5" t="s">
        <v>7744</v>
      </c>
      <c r="J850" s="7">
        <v>6</v>
      </c>
      <c r="K850" s="7">
        <v>4</v>
      </c>
      <c r="L850" s="5" t="s">
        <v>7745</v>
      </c>
      <c r="M850" s="7">
        <v>0.8</v>
      </c>
      <c r="N850" s="7">
        <v>0.65</v>
      </c>
      <c r="O850" s="7">
        <v>0.23</v>
      </c>
      <c r="P850" s="1" t="s">
        <v>7746</v>
      </c>
    </row>
    <row r="851" spans="1:16" ht="33.4" x14ac:dyDescent="0.3">
      <c r="A851" s="6" t="str">
        <f>HYPERLINK("https://www.ti.com/product/TPSM365R6", "TPSM365R6")</f>
        <v>TPSM365R6</v>
      </c>
      <c r="B851" s="5" t="s">
        <v>7747</v>
      </c>
      <c r="C851" s="6" t="str">
        <f>HYPERLINK("https://www.ti.com/lit/gpn/TPSM365R6", "PDF")</f>
        <v>PDF</v>
      </c>
      <c r="D851" s="5" t="s">
        <v>7748</v>
      </c>
      <c r="E851" s="5" t="s">
        <v>7749</v>
      </c>
      <c r="F851" s="5" t="s">
        <v>7750</v>
      </c>
      <c r="G851" s="5" t="s">
        <v>7751</v>
      </c>
      <c r="H851" s="1" t="s">
        <v>7752</v>
      </c>
      <c r="I851" s="5" t="s">
        <v>7753</v>
      </c>
      <c r="J851" s="7">
        <v>11</v>
      </c>
      <c r="K851" s="7">
        <v>15.75</v>
      </c>
      <c r="L851" s="5" t="s">
        <v>7754</v>
      </c>
      <c r="M851" s="7">
        <v>2.1</v>
      </c>
      <c r="N851" s="7">
        <v>0.5</v>
      </c>
      <c r="O851" s="7">
        <v>1.7250000000000001</v>
      </c>
      <c r="P851" s="1" t="s">
        <v>7755</v>
      </c>
    </row>
    <row r="852" spans="1:16" ht="33.4" x14ac:dyDescent="0.3">
      <c r="A852" s="6" t="str">
        <f>HYPERLINK("https://www.ti.com/product/UCC14240-Q1", "UCC14240-Q1")</f>
        <v>UCC14240-Q1</v>
      </c>
      <c r="B852" s="5" t="s">
        <v>7756</v>
      </c>
      <c r="C852" s="6" t="str">
        <f>HYPERLINK("https://www.ti.com/lit/gpn/UCC14240-Q1", "PDF")</f>
        <v>PDF</v>
      </c>
      <c r="D852" s="5" t="s">
        <v>7757</v>
      </c>
      <c r="E852" s="5" t="s">
        <v>7758</v>
      </c>
      <c r="F852" s="5" t="s">
        <v>7759</v>
      </c>
      <c r="G852" s="5" t="s">
        <v>7760</v>
      </c>
      <c r="H852" s="1" t="s">
        <v>7761</v>
      </c>
      <c r="I852" s="5" t="s">
        <v>7762</v>
      </c>
      <c r="J852" s="7">
        <v>36</v>
      </c>
      <c r="K852" s="7">
        <v>131.84</v>
      </c>
      <c r="L852" s="5" t="s">
        <v>7763</v>
      </c>
      <c r="M852" s="7">
        <v>3.55</v>
      </c>
      <c r="N852" s="7">
        <v>0.65</v>
      </c>
      <c r="O852" s="7">
        <v>4.83</v>
      </c>
      <c r="P852" s="1" t="s">
        <v>7764</v>
      </c>
    </row>
    <row r="853" spans="1:16" ht="33.4" x14ac:dyDescent="0.3">
      <c r="A853" s="6" t="str">
        <f>HYPERLINK("https://www.ti.com/product/TPSM33625", "TPSM33625")</f>
        <v>TPSM33625</v>
      </c>
      <c r="B853" s="5" t="s">
        <v>7765</v>
      </c>
      <c r="C853" s="6" t="str">
        <f>HYPERLINK("https://www.ti.com/lit/gpn/TPSM33625", "PDF")</f>
        <v>PDF</v>
      </c>
      <c r="D853" s="5" t="s">
        <v>7766</v>
      </c>
      <c r="E853" s="5" t="s">
        <v>7767</v>
      </c>
      <c r="F853" s="5" t="s">
        <v>7768</v>
      </c>
      <c r="G853" s="5" t="s">
        <v>7769</v>
      </c>
      <c r="H853" s="1" t="s">
        <v>7770</v>
      </c>
      <c r="I853" s="5" t="s">
        <v>7771</v>
      </c>
      <c r="J853" s="7">
        <v>11</v>
      </c>
      <c r="K853" s="7">
        <v>15.75</v>
      </c>
      <c r="L853" s="5" t="s">
        <v>7772</v>
      </c>
      <c r="M853" s="7">
        <v>2.1</v>
      </c>
      <c r="N853" s="7">
        <v>0.5</v>
      </c>
      <c r="O853" s="7">
        <v>1.61</v>
      </c>
      <c r="P853" s="1" t="s">
        <v>7773</v>
      </c>
    </row>
    <row r="854" spans="1:16" ht="33.4" x14ac:dyDescent="0.3">
      <c r="A854" s="6" t="str">
        <f>HYPERLINK("https://www.ti.com/product/LMR51440", "LMR51440")</f>
        <v>LMR51440</v>
      </c>
      <c r="B854" s="5" t="s">
        <v>7774</v>
      </c>
      <c r="C854" s="6" t="str">
        <f>HYPERLINK("https://www.ti.com/lit/gpn/LMR51440", "PDF")</f>
        <v>PDF</v>
      </c>
      <c r="D854" s="5" t="s">
        <v>7775</v>
      </c>
      <c r="E854" s="5" t="s">
        <v>7776</v>
      </c>
      <c r="F854" s="5" t="s">
        <v>7777</v>
      </c>
      <c r="G854" s="5" t="s">
        <v>7778</v>
      </c>
      <c r="H854" s="1" t="s">
        <v>7779</v>
      </c>
      <c r="I854" s="5" t="s">
        <v>7780</v>
      </c>
      <c r="J854" s="7">
        <v>12</v>
      </c>
      <c r="K854" s="7">
        <v>9</v>
      </c>
      <c r="L854" s="5" t="s">
        <v>7781</v>
      </c>
      <c r="M854" s="7">
        <v>0.8</v>
      </c>
      <c r="N854" s="7">
        <v>0.5</v>
      </c>
      <c r="O854" s="7">
        <v>0.69</v>
      </c>
      <c r="P854" s="1" t="s">
        <v>7782</v>
      </c>
    </row>
    <row r="855" spans="1:16" ht="33.4" x14ac:dyDescent="0.3">
      <c r="A855" s="6" t="str">
        <f>HYPERLINK("https://www.ti.com/product/LMR51450", "LMR51450")</f>
        <v>LMR51450</v>
      </c>
      <c r="B855" s="5" t="s">
        <v>7783</v>
      </c>
      <c r="C855" s="6" t="str">
        <f>HYPERLINK("https://www.ti.com/lit/gpn/LMR51450", "PDF")</f>
        <v>PDF</v>
      </c>
      <c r="D855" s="5" t="s">
        <v>7784</v>
      </c>
      <c r="E855" s="5" t="s">
        <v>7785</v>
      </c>
      <c r="F855" s="5" t="s">
        <v>7786</v>
      </c>
      <c r="G855" s="5" t="s">
        <v>7787</v>
      </c>
      <c r="H855" s="1" t="s">
        <v>7788</v>
      </c>
      <c r="I855" s="5" t="s">
        <v>7789</v>
      </c>
      <c r="J855" s="7">
        <v>12</v>
      </c>
      <c r="K855" s="7">
        <v>9</v>
      </c>
      <c r="L855" s="5" t="s">
        <v>7790</v>
      </c>
      <c r="M855" s="7">
        <v>0.8</v>
      </c>
      <c r="N855" s="7">
        <v>0.5</v>
      </c>
      <c r="O855" s="7">
        <v>0.748</v>
      </c>
      <c r="P855" s="1" t="s">
        <v>7791</v>
      </c>
    </row>
    <row r="856" spans="1:16" ht="33.4" x14ac:dyDescent="0.3">
      <c r="A856" s="6" t="str">
        <f>HYPERLINK("https://www.ti.com/product/TPS62871-Q1", "TPS62871-Q1")</f>
        <v>TPS62871-Q1</v>
      </c>
      <c r="B856" s="5" t="s">
        <v>7792</v>
      </c>
      <c r="C856" s="6" t="str">
        <f>HYPERLINK("https://www.ti.com/lit/gpn/TPS62871-Q1", "PDF")</f>
        <v>PDF</v>
      </c>
      <c r="D856" s="5" t="s">
        <v>7793</v>
      </c>
      <c r="E856" s="5" t="s">
        <v>7794</v>
      </c>
      <c r="F856" s="5" t="s">
        <v>7795</v>
      </c>
      <c r="G856" s="5" t="s">
        <v>7796</v>
      </c>
      <c r="H856" s="1" t="s">
        <v>7797</v>
      </c>
      <c r="I856" s="5" t="s">
        <v>7798</v>
      </c>
      <c r="J856" s="7">
        <v>16</v>
      </c>
      <c r="K856" s="7">
        <v>9.0525000000000002</v>
      </c>
      <c r="L856" s="5" t="s">
        <v>7799</v>
      </c>
      <c r="M856" s="7">
        <v>1.05</v>
      </c>
      <c r="N856" s="7">
        <v>0.5</v>
      </c>
      <c r="O856" s="7">
        <v>1.492</v>
      </c>
      <c r="P856" s="1" t="s">
        <v>7800</v>
      </c>
    </row>
    <row r="857" spans="1:16" ht="33.4" x14ac:dyDescent="0.3">
      <c r="A857" s="6" t="str">
        <f>HYPERLINK("https://www.ti.com/product/UCC5871-Q1", "UCC5871-Q1")</f>
        <v>UCC5871-Q1</v>
      </c>
      <c r="B857" s="5" t="s">
        <v>7801</v>
      </c>
      <c r="C857" s="6" t="str">
        <f>HYPERLINK("https://www.ti.com/lit/gpn/UCC5871-Q1", "PDF")</f>
        <v>PDF</v>
      </c>
      <c r="D857" s="5" t="s">
        <v>7802</v>
      </c>
      <c r="E857" s="5" t="s">
        <v>7803</v>
      </c>
      <c r="F857" s="5"/>
      <c r="G857" s="5" t="s">
        <v>7804</v>
      </c>
      <c r="H857" s="1" t="s">
        <v>7805</v>
      </c>
      <c r="I857" s="5" t="s">
        <v>7806</v>
      </c>
      <c r="J857" s="7">
        <v>36</v>
      </c>
      <c r="K857" s="7">
        <v>131.84</v>
      </c>
      <c r="L857" s="5" t="s">
        <v>7807</v>
      </c>
      <c r="M857" s="7">
        <v>3.55</v>
      </c>
      <c r="N857" s="7">
        <v>0.65</v>
      </c>
      <c r="O857" s="7">
        <v>7.59</v>
      </c>
      <c r="P857" s="1" t="s">
        <v>7808</v>
      </c>
    </row>
    <row r="858" spans="1:16" ht="33.4" x14ac:dyDescent="0.3">
      <c r="A858" s="6" t="str">
        <f>HYPERLINK("https://www.ti.com/product/TPS92667-Q1", "TPS92667-Q1")</f>
        <v>TPS92667-Q1</v>
      </c>
      <c r="B858" s="5" t="s">
        <v>7809</v>
      </c>
      <c r="C858" s="6" t="str">
        <f>HYPERLINK("https://www.ti.com/lit/gpn/TPS92667-Q1", "PDF")</f>
        <v>PDF</v>
      </c>
      <c r="D858" s="5" t="s">
        <v>7810</v>
      </c>
      <c r="E858" s="5" t="s">
        <v>7811</v>
      </c>
      <c r="F858" s="5" t="s">
        <v>7812</v>
      </c>
      <c r="G858" s="5" t="s">
        <v>7813</v>
      </c>
      <c r="H858" s="1" t="s">
        <v>7814</v>
      </c>
      <c r="I858" s="5" t="s">
        <v>7815</v>
      </c>
      <c r="J858" s="7">
        <v>48</v>
      </c>
      <c r="K858" s="7">
        <v>81</v>
      </c>
      <c r="L858" s="5" t="s">
        <v>7816</v>
      </c>
      <c r="M858" s="7">
        <v>1.2</v>
      </c>
      <c r="N858" s="7">
        <v>0.5</v>
      </c>
      <c r="O858" s="7">
        <v>3.45</v>
      </c>
      <c r="P858" s="1" t="s">
        <v>7817</v>
      </c>
    </row>
    <row r="859" spans="1:16" ht="33.4" x14ac:dyDescent="0.3">
      <c r="A859" s="6" t="str">
        <f>HYPERLINK("https://www.ti.com/product/TPSM82901", "TPSM82901")</f>
        <v>TPSM82901</v>
      </c>
      <c r="B859" s="5" t="s">
        <v>7818</v>
      </c>
      <c r="C859" s="6" t="str">
        <f>HYPERLINK("https://www.ti.com/lit/gpn/TPSM82901", "PDF")</f>
        <v>PDF</v>
      </c>
      <c r="D859" s="5" t="s">
        <v>7819</v>
      </c>
      <c r="E859" s="5" t="s">
        <v>7820</v>
      </c>
      <c r="F859" s="5" t="s">
        <v>7821</v>
      </c>
      <c r="G859" s="5" t="s">
        <v>7822</v>
      </c>
      <c r="H859" s="1" t="s">
        <v>7823</v>
      </c>
      <c r="I859" s="5" t="s">
        <v>7824</v>
      </c>
      <c r="J859" s="7">
        <v>11</v>
      </c>
      <c r="K859" s="7">
        <v>8.4</v>
      </c>
      <c r="L859" s="5" t="s">
        <v>7825</v>
      </c>
      <c r="M859" s="7">
        <v>1.6</v>
      </c>
      <c r="N859" s="7">
        <v>0.5</v>
      </c>
      <c r="O859" s="7">
        <v>1.6910000000000001</v>
      </c>
      <c r="P859" s="1" t="s">
        <v>7826</v>
      </c>
    </row>
    <row r="860" spans="1:16" ht="33.4" x14ac:dyDescent="0.3">
      <c r="A860" s="6" t="str">
        <f>HYPERLINK("https://www.ti.com/product/TPSM82902", "TPSM82902")</f>
        <v>TPSM82902</v>
      </c>
      <c r="B860" s="5" t="s">
        <v>7827</v>
      </c>
      <c r="C860" s="6" t="str">
        <f>HYPERLINK("https://www.ti.com/lit/gpn/TPSM82902", "PDF")</f>
        <v>PDF</v>
      </c>
      <c r="D860" s="5" t="s">
        <v>7828</v>
      </c>
      <c r="E860" s="5" t="s">
        <v>7829</v>
      </c>
      <c r="F860" s="5" t="s">
        <v>7830</v>
      </c>
      <c r="G860" s="5" t="s">
        <v>7831</v>
      </c>
      <c r="H860" s="1" t="s">
        <v>7832</v>
      </c>
      <c r="I860" s="5" t="s">
        <v>7833</v>
      </c>
      <c r="J860" s="7">
        <v>11</v>
      </c>
      <c r="K860" s="7">
        <v>8.4</v>
      </c>
      <c r="L860" s="5" t="s">
        <v>7834</v>
      </c>
      <c r="M860" s="7">
        <v>1.6</v>
      </c>
      <c r="N860" s="7">
        <v>0.5</v>
      </c>
      <c r="O860" s="7">
        <v>1.76</v>
      </c>
      <c r="P860" s="1" t="s">
        <v>7835</v>
      </c>
    </row>
    <row r="861" spans="1:16" ht="33.4" x14ac:dyDescent="0.3">
      <c r="A861" s="6" t="str">
        <f>HYPERLINK("https://www.ti.com/product/LP87745-Q1", "LP87745-Q1")</f>
        <v>LP87745-Q1</v>
      </c>
      <c r="B861" s="5" t="s">
        <v>7836</v>
      </c>
      <c r="C861" s="6" t="str">
        <f>HYPERLINK("https://www.ti.com/lit/gpn/LP87745-Q1", "PDF")</f>
        <v>PDF</v>
      </c>
      <c r="D861" s="5" t="s">
        <v>7837</v>
      </c>
      <c r="E861" s="5" t="s">
        <v>7838</v>
      </c>
      <c r="F861" s="5"/>
      <c r="G861" s="5" t="s">
        <v>7839</v>
      </c>
      <c r="H861" s="1" t="s">
        <v>7840</v>
      </c>
      <c r="I861" s="5" t="s">
        <v>7841</v>
      </c>
      <c r="J861" s="7">
        <v>28</v>
      </c>
      <c r="K861" s="7">
        <v>22.5</v>
      </c>
      <c r="L861" s="5" t="s">
        <v>7842</v>
      </c>
      <c r="M861" s="7">
        <v>1</v>
      </c>
      <c r="N861" s="7">
        <v>0.5</v>
      </c>
      <c r="O861" s="7">
        <v>2.2890000000000001</v>
      </c>
      <c r="P861" s="1" t="s">
        <v>7843</v>
      </c>
    </row>
    <row r="862" spans="1:16" ht="33.4" x14ac:dyDescent="0.3">
      <c r="A862" s="6" t="str">
        <f>HYPERLINK("https://www.ti.com/product/TPSI3050", "TPSI3050")</f>
        <v>TPSI3050</v>
      </c>
      <c r="B862" s="5" t="s">
        <v>7844</v>
      </c>
      <c r="C862" s="6" t="str">
        <f>HYPERLINK("https://www.ti.com/lit/gpn/TPSI3050", "PDF")</f>
        <v>PDF</v>
      </c>
      <c r="D862" s="5" t="s">
        <v>7845</v>
      </c>
      <c r="E862" s="5" t="s">
        <v>7846</v>
      </c>
      <c r="F862" s="5"/>
      <c r="G862" s="5" t="s">
        <v>7847</v>
      </c>
      <c r="H862" s="1" t="s">
        <v>7848</v>
      </c>
      <c r="I862" s="5" t="s">
        <v>7849</v>
      </c>
      <c r="J862" s="7">
        <v>8</v>
      </c>
      <c r="K862" s="7">
        <v>67.275000000000006</v>
      </c>
      <c r="L862" s="5" t="s">
        <v>7850</v>
      </c>
      <c r="M862" s="7">
        <v>2.8</v>
      </c>
      <c r="N862" s="7">
        <v>1.27</v>
      </c>
      <c r="O862" s="7">
        <v>1.7250000000000001</v>
      </c>
      <c r="P862" s="1" t="s">
        <v>7851</v>
      </c>
    </row>
    <row r="863" spans="1:16" ht="33.4" x14ac:dyDescent="0.3">
      <c r="A863" s="6" t="str">
        <f>HYPERLINK("https://www.ti.com/product/UCC27624-Q1", "UCC27624-Q1")</f>
        <v>UCC27624-Q1</v>
      </c>
      <c r="B863" s="5" t="s">
        <v>7852</v>
      </c>
      <c r="C863" s="6" t="str">
        <f>HYPERLINK("https://www.ti.com/lit/gpn/UCC27624-Q1", "PDF")</f>
        <v>PDF</v>
      </c>
      <c r="D863" s="5" t="s">
        <v>7853</v>
      </c>
      <c r="E863" s="5" t="s">
        <v>7854</v>
      </c>
      <c r="F863" s="5"/>
      <c r="G863" s="5" t="s">
        <v>7855</v>
      </c>
      <c r="H863" s="1" t="s">
        <v>7856</v>
      </c>
      <c r="I863" s="5" t="s">
        <v>7857</v>
      </c>
      <c r="J863" s="7">
        <v>8</v>
      </c>
      <c r="K863" s="7" t="s">
        <v>7858</v>
      </c>
      <c r="L863" s="5" t="s">
        <v>7859</v>
      </c>
      <c r="M863" s="7" t="s">
        <v>7860</v>
      </c>
      <c r="N863" s="7" t="s">
        <v>7861</v>
      </c>
      <c r="O863" s="7">
        <v>0.60899999999999999</v>
      </c>
      <c r="P863" s="1" t="s">
        <v>7862</v>
      </c>
    </row>
    <row r="864" spans="1:16" ht="33.4" x14ac:dyDescent="0.3">
      <c r="A864" s="6" t="str">
        <f>HYPERLINK("https://www.ti.com/product/LMG3522R030", "LMG3522R030")</f>
        <v>LMG3522R030</v>
      </c>
      <c r="B864" s="5" t="s">
        <v>7863</v>
      </c>
      <c r="C864" s="6" t="str">
        <f>HYPERLINK("https://www.ti.com/lit/gpn/LMG3522R030", "PDF")</f>
        <v>PDF</v>
      </c>
      <c r="D864" s="5" t="s">
        <v>7864</v>
      </c>
      <c r="E864" s="5" t="s">
        <v>7865</v>
      </c>
      <c r="F864" s="5"/>
      <c r="G864" s="5" t="s">
        <v>7866</v>
      </c>
      <c r="H864" s="1" t="s">
        <v>7867</v>
      </c>
      <c r="I864" s="5" t="s">
        <v>7868</v>
      </c>
      <c r="J864" s="7">
        <v>52</v>
      </c>
      <c r="K864" s="7">
        <v>144</v>
      </c>
      <c r="L864" s="5" t="s">
        <v>7869</v>
      </c>
      <c r="M864" s="7">
        <v>1</v>
      </c>
      <c r="N864" s="7">
        <v>0.65</v>
      </c>
      <c r="O864" s="7">
        <v>9.8000000000000007</v>
      </c>
      <c r="P864" s="1" t="s">
        <v>7870</v>
      </c>
    </row>
    <row r="865" spans="1:16" ht="33.4" x14ac:dyDescent="0.3">
      <c r="A865" s="6" t="str">
        <f>HYPERLINK("https://www.ti.com/product/TPS92620-Q1", "TPS92620-Q1")</f>
        <v>TPS92620-Q1</v>
      </c>
      <c r="B865" s="5" t="s">
        <v>7871</v>
      </c>
      <c r="C865" s="6" t="str">
        <f>HYPERLINK("https://www.ti.com/lit/gpn/TPS92620-Q1", "PDF")</f>
        <v>PDF</v>
      </c>
      <c r="D865" s="5" t="s">
        <v>7872</v>
      </c>
      <c r="E865" s="5" t="s">
        <v>7873</v>
      </c>
      <c r="F865" s="5" t="s">
        <v>7874</v>
      </c>
      <c r="G865" s="5" t="s">
        <v>7875</v>
      </c>
      <c r="H865" s="1" t="s">
        <v>7876</v>
      </c>
      <c r="I865" s="5" t="s">
        <v>7877</v>
      </c>
      <c r="J865" s="7">
        <v>12</v>
      </c>
      <c r="K865" s="7" t="s">
        <v>7878</v>
      </c>
      <c r="L865" s="5" t="s">
        <v>7879</v>
      </c>
      <c r="M865" s="7" t="s">
        <v>7880</v>
      </c>
      <c r="N865" s="7" t="s">
        <v>7881</v>
      </c>
      <c r="O865" s="7">
        <v>0.73599999999999999</v>
      </c>
      <c r="P865" s="1" t="s">
        <v>7882</v>
      </c>
    </row>
    <row r="866" spans="1:16" ht="33.4" x14ac:dyDescent="0.3">
      <c r="A866" s="6" t="str">
        <f>HYPERLINK("https://www.ti.com/product/TPS92622-Q1", "TPS92622-Q1")</f>
        <v>TPS92622-Q1</v>
      </c>
      <c r="B866" s="5" t="s">
        <v>7883</v>
      </c>
      <c r="C866" s="6" t="str">
        <f>HYPERLINK("https://www.ti.com/lit/gpn/TPS92622-Q1", "PDF")</f>
        <v>PDF</v>
      </c>
      <c r="D866" s="5" t="s">
        <v>7884</v>
      </c>
      <c r="E866" s="5" t="s">
        <v>7885</v>
      </c>
      <c r="F866" s="5" t="s">
        <v>7886</v>
      </c>
      <c r="G866" s="5" t="s">
        <v>7887</v>
      </c>
      <c r="H866" s="1" t="s">
        <v>7888</v>
      </c>
      <c r="I866" s="5" t="s">
        <v>7889</v>
      </c>
      <c r="J866" s="7">
        <v>12</v>
      </c>
      <c r="K866" s="7" t="s">
        <v>7890</v>
      </c>
      <c r="L866" s="5" t="s">
        <v>7891</v>
      </c>
      <c r="M866" s="7" t="s">
        <v>7892</v>
      </c>
      <c r="N866" s="7" t="s">
        <v>7893</v>
      </c>
      <c r="O866" s="7">
        <v>0.69599999999999995</v>
      </c>
      <c r="P866" s="1" t="s">
        <v>7894</v>
      </c>
    </row>
    <row r="867" spans="1:16" ht="33.4" x14ac:dyDescent="0.3">
      <c r="A867" s="6" t="str">
        <f>HYPERLINK("https://www.ti.com/product/TPS53830A", "TPS53830A")</f>
        <v>TPS53830A</v>
      </c>
      <c r="B867" s="5" t="s">
        <v>7895</v>
      </c>
      <c r="C867" s="6" t="str">
        <f>HYPERLINK("https://www.ti.com/lit/gpn/TPS53830A", "PDF")</f>
        <v>PDF</v>
      </c>
      <c r="D867" s="5" t="s">
        <v>7896</v>
      </c>
      <c r="E867" s="5" t="s">
        <v>7897</v>
      </c>
      <c r="F867" s="5"/>
      <c r="G867" s="5" t="s">
        <v>7898</v>
      </c>
      <c r="H867" s="1" t="s">
        <v>7899</v>
      </c>
      <c r="I867" s="5" t="s">
        <v>7900</v>
      </c>
      <c r="J867" s="7">
        <v>35</v>
      </c>
      <c r="K867" s="7">
        <v>25</v>
      </c>
      <c r="L867" s="5" t="s">
        <v>7901</v>
      </c>
      <c r="M867" s="7">
        <v>1</v>
      </c>
      <c r="N867" s="7">
        <v>0.4</v>
      </c>
      <c r="O867" s="7">
        <v>4.5999999999999996</v>
      </c>
      <c r="P867" s="1" t="s">
        <v>7902</v>
      </c>
    </row>
    <row r="868" spans="1:16" ht="33.4" x14ac:dyDescent="0.3">
      <c r="A868" s="6" t="str">
        <f>HYPERLINK("https://www.ti.com/product/TPS53832A", "TPS53832A")</f>
        <v>TPS53832A</v>
      </c>
      <c r="B868" s="5" t="s">
        <v>7903</v>
      </c>
      <c r="C868" s="6" t="str">
        <f>HYPERLINK("https://www.ti.com/lit/gpn/TPS53832A", "PDF")</f>
        <v>PDF</v>
      </c>
      <c r="D868" s="5" t="s">
        <v>7904</v>
      </c>
      <c r="E868" s="5" t="s">
        <v>7905</v>
      </c>
      <c r="F868" s="5"/>
      <c r="G868" s="5" t="s">
        <v>7906</v>
      </c>
      <c r="H868" s="1" t="s">
        <v>7907</v>
      </c>
      <c r="I868" s="5" t="s">
        <v>7908</v>
      </c>
      <c r="J868" s="7">
        <v>35</v>
      </c>
      <c r="K868" s="7">
        <v>25</v>
      </c>
      <c r="L868" s="5" t="s">
        <v>7909</v>
      </c>
      <c r="M868" s="7">
        <v>1</v>
      </c>
      <c r="N868" s="7">
        <v>0.4</v>
      </c>
      <c r="O868" s="7">
        <v>4.1399999999999997</v>
      </c>
      <c r="P868" s="1" t="s">
        <v>7910</v>
      </c>
    </row>
    <row r="869" spans="1:16" ht="33.4" x14ac:dyDescent="0.3">
      <c r="A869" s="6" t="str">
        <f>HYPERLINK("https://www.ti.com/product/TPSM82903", "TPSM82903")</f>
        <v>TPSM82903</v>
      </c>
      <c r="B869" s="5" t="s">
        <v>7911</v>
      </c>
      <c r="C869" s="6" t="str">
        <f>HYPERLINK("https://www.ti.com/lit/gpn/TPSM82903", "PDF")</f>
        <v>PDF</v>
      </c>
      <c r="D869" s="5" t="s">
        <v>7912</v>
      </c>
      <c r="E869" s="5" t="s">
        <v>7913</v>
      </c>
      <c r="F869" s="5" t="s">
        <v>7914</v>
      </c>
      <c r="G869" s="5" t="s">
        <v>7915</v>
      </c>
      <c r="H869" s="1" t="s">
        <v>7916</v>
      </c>
      <c r="I869" s="5" t="s">
        <v>7917</v>
      </c>
      <c r="J869" s="7">
        <v>11</v>
      </c>
      <c r="K869" s="7">
        <v>8.4</v>
      </c>
      <c r="L869" s="5" t="s">
        <v>7918</v>
      </c>
      <c r="M869" s="7">
        <v>1.6</v>
      </c>
      <c r="N869" s="7">
        <v>0.5</v>
      </c>
      <c r="O869" s="7">
        <v>1.84</v>
      </c>
      <c r="P869" s="1" t="s">
        <v>7919</v>
      </c>
    </row>
    <row r="870" spans="1:16" ht="33.4" x14ac:dyDescent="0.3">
      <c r="A870" s="6" t="str">
        <f>HYPERLINK("https://www.ti.com/product/TPSM63610", "TPSM63610")</f>
        <v>TPSM63610</v>
      </c>
      <c r="B870" s="5" t="s">
        <v>7920</v>
      </c>
      <c r="C870" s="6" t="str">
        <f>HYPERLINK("https://www.ti.com/lit/gpn/TPSM63610", "PDF")</f>
        <v>PDF</v>
      </c>
      <c r="D870" s="5" t="s">
        <v>7921</v>
      </c>
      <c r="E870" s="5" t="s">
        <v>7922</v>
      </c>
      <c r="F870" s="5" t="s">
        <v>7923</v>
      </c>
      <c r="G870" s="5" t="s">
        <v>7924</v>
      </c>
      <c r="H870" s="1" t="s">
        <v>7925</v>
      </c>
      <c r="I870" s="5" t="s">
        <v>7926</v>
      </c>
      <c r="J870" s="7">
        <v>22</v>
      </c>
      <c r="K870" s="7">
        <v>48.75</v>
      </c>
      <c r="L870" s="5" t="s">
        <v>7927</v>
      </c>
      <c r="M870" s="7">
        <v>4.0999999999999996</v>
      </c>
      <c r="N870" s="7">
        <v>0.65</v>
      </c>
      <c r="O870" s="7">
        <v>7.5</v>
      </c>
      <c r="P870" s="1" t="s">
        <v>7928</v>
      </c>
    </row>
    <row r="871" spans="1:16" ht="33.4" x14ac:dyDescent="0.3">
      <c r="A871" s="6" t="str">
        <f>HYPERLINK("https://www.ti.com/product/LM51231-Q1", "LM51231-Q1")</f>
        <v>LM51231-Q1</v>
      </c>
      <c r="B871" s="5" t="s">
        <v>7929</v>
      </c>
      <c r="C871" s="6" t="str">
        <f>HYPERLINK("https://www.ti.com/lit/gpn/LM51231-Q1", "PDF")</f>
        <v>PDF</v>
      </c>
      <c r="D871" s="5" t="s">
        <v>7930</v>
      </c>
      <c r="E871" s="5" t="s">
        <v>7931</v>
      </c>
      <c r="F871" s="5" t="s">
        <v>7932</v>
      </c>
      <c r="G871" s="5" t="s">
        <v>7933</v>
      </c>
      <c r="H871" s="1" t="s">
        <v>7934</v>
      </c>
      <c r="I871" s="5" t="s">
        <v>7935</v>
      </c>
      <c r="J871" s="7">
        <v>20</v>
      </c>
      <c r="K871" s="7">
        <v>12.25</v>
      </c>
      <c r="L871" s="5" t="s">
        <v>7936</v>
      </c>
      <c r="M871" s="7">
        <v>1</v>
      </c>
      <c r="N871" s="7">
        <v>0.5</v>
      </c>
      <c r="O871" s="7">
        <v>1.925</v>
      </c>
      <c r="P871" s="1" t="s">
        <v>7937</v>
      </c>
    </row>
    <row r="872" spans="1:16" ht="33.4" x14ac:dyDescent="0.3">
      <c r="A872" s="6" t="str">
        <f>HYPERLINK("https://www.ti.com/product/TPS38700", "TPS38700")</f>
        <v>TPS38700</v>
      </c>
      <c r="B872" s="5" t="s">
        <v>7938</v>
      </c>
      <c r="C872" s="6" t="str">
        <f>HYPERLINK("https://www.ti.com/lit/gpn/TPS38700", "PDF")</f>
        <v>PDF</v>
      </c>
      <c r="D872" s="5" t="s">
        <v>7939</v>
      </c>
      <c r="E872" s="5" t="s">
        <v>7940</v>
      </c>
      <c r="F872" s="5"/>
      <c r="G872" s="5" t="s">
        <v>7941</v>
      </c>
      <c r="H872" s="1" t="s">
        <v>7942</v>
      </c>
      <c r="I872" s="5" t="s">
        <v>7943</v>
      </c>
      <c r="J872" s="7">
        <v>24</v>
      </c>
      <c r="K872" s="7">
        <v>16</v>
      </c>
      <c r="L872" s="5" t="s">
        <v>7944</v>
      </c>
      <c r="M872" s="7">
        <v>1</v>
      </c>
      <c r="N872" s="7">
        <v>0.5</v>
      </c>
      <c r="O872" s="7">
        <v>1.8979999999999999</v>
      </c>
      <c r="P872" s="1" t="s">
        <v>7945</v>
      </c>
    </row>
    <row r="873" spans="1:16" ht="33.4" x14ac:dyDescent="0.3">
      <c r="A873" s="6" t="str">
        <f>HYPERLINK("https://www.ti.com/product/UCC28C56H", "UCC28C56H")</f>
        <v>UCC28C56H</v>
      </c>
      <c r="B873" s="5" t="s">
        <v>7946</v>
      </c>
      <c r="C873" s="6" t="str">
        <f>HYPERLINK("https://www.ti.com/lit/gpn/UCC28C56H", "PDF")</f>
        <v>PDF</v>
      </c>
      <c r="D873" s="5" t="s">
        <v>7947</v>
      </c>
      <c r="E873" s="5" t="s">
        <v>7948</v>
      </c>
      <c r="F873" s="5" t="s">
        <v>7949</v>
      </c>
      <c r="G873" s="5" t="s">
        <v>7950</v>
      </c>
      <c r="H873" s="1" t="s">
        <v>7951</v>
      </c>
      <c r="I873" s="5" t="s">
        <v>7952</v>
      </c>
      <c r="J873" s="7">
        <v>8</v>
      </c>
      <c r="K873" s="7">
        <v>29.4</v>
      </c>
      <c r="L873" s="5" t="s">
        <v>7953</v>
      </c>
      <c r="M873" s="7">
        <v>1.75</v>
      </c>
      <c r="N873" s="7">
        <v>1.27</v>
      </c>
      <c r="O873" s="7">
        <v>0.42499999999999999</v>
      </c>
      <c r="P873" s="1" t="s">
        <v>7954</v>
      </c>
    </row>
    <row r="874" spans="1:16" ht="33.4" x14ac:dyDescent="0.3">
      <c r="A874" s="6" t="str">
        <f>HYPERLINK("https://www.ti.com/product/UCC28C58", "UCC28C58")</f>
        <v>UCC28C58</v>
      </c>
      <c r="B874" s="5" t="s">
        <v>7955</v>
      </c>
      <c r="C874" s="6" t="str">
        <f>HYPERLINK("https://www.ti.com/lit/gpn/UCC28C58", "PDF")</f>
        <v>PDF</v>
      </c>
      <c r="D874" s="5" t="s">
        <v>7956</v>
      </c>
      <c r="E874" s="5" t="s">
        <v>7957</v>
      </c>
      <c r="F874" s="5" t="s">
        <v>7958</v>
      </c>
      <c r="G874" s="5" t="s">
        <v>7959</v>
      </c>
      <c r="H874" s="1" t="s">
        <v>7960</v>
      </c>
      <c r="I874" s="5" t="s">
        <v>7961</v>
      </c>
      <c r="J874" s="7">
        <v>8</v>
      </c>
      <c r="K874" s="7">
        <v>29.4</v>
      </c>
      <c r="L874" s="5" t="s">
        <v>7962</v>
      </c>
      <c r="M874" s="7">
        <v>1.75</v>
      </c>
      <c r="N874" s="7">
        <v>1.27</v>
      </c>
      <c r="O874" s="7">
        <v>0.42499999999999999</v>
      </c>
      <c r="P874" s="1" t="s">
        <v>7963</v>
      </c>
    </row>
    <row r="875" spans="1:16" ht="33.4" x14ac:dyDescent="0.3">
      <c r="A875" s="6" t="str">
        <f>HYPERLINK("https://www.ti.com/product/UCC28C59", "UCC28C59")</f>
        <v>UCC28C59</v>
      </c>
      <c r="B875" s="5" t="s">
        <v>7964</v>
      </c>
      <c r="C875" s="6" t="str">
        <f>HYPERLINK("https://www.ti.com/lit/gpn/UCC28C59", "PDF")</f>
        <v>PDF</v>
      </c>
      <c r="D875" s="5" t="s">
        <v>7965</v>
      </c>
      <c r="E875" s="5" t="s">
        <v>7966</v>
      </c>
      <c r="F875" s="5" t="s">
        <v>7967</v>
      </c>
      <c r="G875" s="5" t="s">
        <v>7968</v>
      </c>
      <c r="H875" s="1" t="s">
        <v>7969</v>
      </c>
      <c r="I875" s="5" t="s">
        <v>7970</v>
      </c>
      <c r="J875" s="7">
        <v>8</v>
      </c>
      <c r="K875" s="7">
        <v>29.4</v>
      </c>
      <c r="L875" s="5" t="s">
        <v>7971</v>
      </c>
      <c r="M875" s="7">
        <v>1.75</v>
      </c>
      <c r="N875" s="7">
        <v>1.27</v>
      </c>
      <c r="O875" s="7">
        <v>0.42499999999999999</v>
      </c>
      <c r="P875" s="1" t="s">
        <v>7972</v>
      </c>
    </row>
    <row r="876" spans="1:16" ht="33.4" x14ac:dyDescent="0.3">
      <c r="A876" s="6" t="str">
        <f>HYPERLINK("https://www.ti.com/product/UCC28C59-Q1", "UCC28C59-Q1")</f>
        <v>UCC28C59-Q1</v>
      </c>
      <c r="B876" s="5" t="s">
        <v>7973</v>
      </c>
      <c r="C876" s="6" t="str">
        <f>HYPERLINK("https://www.ti.com/lit/gpn/UCC28C59-Q1", "PDF")</f>
        <v>PDF</v>
      </c>
      <c r="D876" s="5" t="s">
        <v>7974</v>
      </c>
      <c r="E876" s="5" t="s">
        <v>7975</v>
      </c>
      <c r="F876" s="5" t="s">
        <v>7976</v>
      </c>
      <c r="G876" s="5" t="s">
        <v>7977</v>
      </c>
      <c r="H876" s="1" t="s">
        <v>7978</v>
      </c>
      <c r="I876" s="5" t="s">
        <v>7979</v>
      </c>
      <c r="J876" s="7">
        <v>8</v>
      </c>
      <c r="K876" s="7">
        <v>29.4</v>
      </c>
      <c r="L876" s="5" t="s">
        <v>7980</v>
      </c>
      <c r="M876" s="7">
        <v>1.75</v>
      </c>
      <c r="N876" s="7">
        <v>1.27</v>
      </c>
      <c r="O876" s="7">
        <v>0.78900000000000003</v>
      </c>
      <c r="P876" s="1" t="s">
        <v>7981</v>
      </c>
    </row>
    <row r="877" spans="1:16" ht="33.4" x14ac:dyDescent="0.3">
      <c r="A877" s="6" t="str">
        <f>HYPERLINK("https://www.ti.com/product/TPS568231", "TPS568231")</f>
        <v>TPS568231</v>
      </c>
      <c r="B877" s="5" t="s">
        <v>7982</v>
      </c>
      <c r="C877" s="6" t="str">
        <f>HYPERLINK("https://www.ti.com/lit/gpn/TPS568231", "PDF")</f>
        <v>PDF</v>
      </c>
      <c r="D877" s="5" t="s">
        <v>7983</v>
      </c>
      <c r="E877" s="5" t="s">
        <v>7984</v>
      </c>
      <c r="F877" s="5" t="s">
        <v>7985</v>
      </c>
      <c r="G877" s="5" t="s">
        <v>7986</v>
      </c>
      <c r="H877" s="1" t="s">
        <v>7987</v>
      </c>
      <c r="I877" s="5" t="s">
        <v>7988</v>
      </c>
      <c r="J877" s="7">
        <v>18</v>
      </c>
      <c r="K877" s="7">
        <v>12.25</v>
      </c>
      <c r="L877" s="5" t="s">
        <v>7989</v>
      </c>
      <c r="M877" s="7">
        <v>1</v>
      </c>
      <c r="N877" s="7">
        <v>0.5</v>
      </c>
      <c r="O877" s="7">
        <v>1.093</v>
      </c>
      <c r="P877" s="1" t="s">
        <v>7990</v>
      </c>
    </row>
    <row r="878" spans="1:16" ht="17.05" x14ac:dyDescent="0.3">
      <c r="A878" s="6" t="str">
        <f>HYPERLINK("https://www.ti.com/product/TPS7H2221-SEP", "TPS7H2221-SEP")</f>
        <v>TPS7H2221-SEP</v>
      </c>
      <c r="B878" s="5" t="s">
        <v>7991</v>
      </c>
      <c r="C878" s="6" t="str">
        <f>HYPERLINK("https://www.ti.com/lit/gpn/TPS7H2221-SEP", "PDF")</f>
        <v>PDF</v>
      </c>
      <c r="D878" s="5" t="s">
        <v>7992</v>
      </c>
      <c r="E878" s="5" t="s">
        <v>7993</v>
      </c>
      <c r="F878" s="5"/>
      <c r="G878" s="5" t="s">
        <v>7994</v>
      </c>
      <c r="H878" s="1" t="s">
        <v>7995</v>
      </c>
      <c r="I878" s="5" t="s">
        <v>7996</v>
      </c>
      <c r="J878" s="7">
        <v>6</v>
      </c>
      <c r="K878" s="7">
        <v>4.2</v>
      </c>
      <c r="L878" s="5" t="s">
        <v>7997</v>
      </c>
      <c r="M878" s="7">
        <v>1.1000000000000001</v>
      </c>
      <c r="N878" s="7">
        <v>0.65</v>
      </c>
      <c r="O878" s="7">
        <v>218.88399999999999</v>
      </c>
      <c r="P878" s="1" t="s">
        <v>7998</v>
      </c>
    </row>
    <row r="879" spans="1:16" ht="33.4" x14ac:dyDescent="0.3">
      <c r="A879" s="6" t="str">
        <f>HYPERLINK("https://www.ti.com/product/TPS62992-Q1", "TPS62992-Q1")</f>
        <v>TPS62992-Q1</v>
      </c>
      <c r="B879" s="5" t="s">
        <v>7999</v>
      </c>
      <c r="C879" s="6" t="str">
        <f>HYPERLINK("https://www.ti.com/lit/gpn/TPS62992-Q1", "PDF")</f>
        <v>PDF</v>
      </c>
      <c r="D879" s="5" t="s">
        <v>8000</v>
      </c>
      <c r="E879" s="5" t="s">
        <v>8001</v>
      </c>
      <c r="F879" s="5" t="s">
        <v>8002</v>
      </c>
      <c r="G879" s="5" t="s">
        <v>8003</v>
      </c>
      <c r="H879" s="1" t="s">
        <v>8004</v>
      </c>
      <c r="I879" s="5" t="s">
        <v>8005</v>
      </c>
      <c r="J879" s="7">
        <v>9</v>
      </c>
      <c r="K879" s="7">
        <v>4.4000000000000004</v>
      </c>
      <c r="L879" s="5" t="s">
        <v>8006</v>
      </c>
      <c r="M879" s="7">
        <v>0.9</v>
      </c>
      <c r="N879" s="7">
        <v>0.5</v>
      </c>
      <c r="O879" s="7">
        <v>0.55200000000000005</v>
      </c>
      <c r="P879" s="1" t="s">
        <v>8007</v>
      </c>
    </row>
    <row r="880" spans="1:16" ht="33.4" x14ac:dyDescent="0.3">
      <c r="A880" s="6" t="str">
        <f>HYPERLINK("https://www.ti.com/product/TPS62993-Q1", "TPS62993-Q1")</f>
        <v>TPS62993-Q1</v>
      </c>
      <c r="B880" s="5" t="s">
        <v>8008</v>
      </c>
      <c r="C880" s="6" t="str">
        <f>HYPERLINK("https://www.ti.com/lit/gpn/TPS62993-Q1", "PDF")</f>
        <v>PDF</v>
      </c>
      <c r="D880" s="5" t="s">
        <v>8009</v>
      </c>
      <c r="E880" s="5" t="s">
        <v>8010</v>
      </c>
      <c r="F880" s="5" t="s">
        <v>8011</v>
      </c>
      <c r="G880" s="5" t="s">
        <v>8012</v>
      </c>
      <c r="H880" s="1" t="s">
        <v>8013</v>
      </c>
      <c r="I880" s="5" t="s">
        <v>8014</v>
      </c>
      <c r="J880" s="7">
        <v>9</v>
      </c>
      <c r="K880" s="7">
        <v>4.4000000000000004</v>
      </c>
      <c r="L880" s="5" t="s">
        <v>8015</v>
      </c>
      <c r="M880" s="7">
        <v>0.9</v>
      </c>
      <c r="N880" s="7">
        <v>0.5</v>
      </c>
      <c r="O880" s="7">
        <v>0.56899999999999995</v>
      </c>
      <c r="P880" s="1" t="s">
        <v>8016</v>
      </c>
    </row>
    <row r="881" spans="1:16" ht="33.4" x14ac:dyDescent="0.3">
      <c r="A881" s="6" t="str">
        <f>HYPERLINK("https://www.ti.com/product/LM5012", "LM5012")</f>
        <v>LM5012</v>
      </c>
      <c r="B881" s="5" t="s">
        <v>8017</v>
      </c>
      <c r="C881" s="6" t="str">
        <f>HYPERLINK("https://www.ti.com/lit/gpn/LM5012", "PDF")</f>
        <v>PDF</v>
      </c>
      <c r="D881" s="5" t="s">
        <v>8018</v>
      </c>
      <c r="E881" s="5" t="s">
        <v>8019</v>
      </c>
      <c r="F881" s="5" t="s">
        <v>8020</v>
      </c>
      <c r="G881" s="5" t="s">
        <v>8021</v>
      </c>
      <c r="H881" s="1" t="s">
        <v>8022</v>
      </c>
      <c r="I881" s="5" t="s">
        <v>8023</v>
      </c>
      <c r="J881" s="7">
        <v>8</v>
      </c>
      <c r="K881" s="7">
        <v>29.4</v>
      </c>
      <c r="L881" s="5" t="s">
        <v>8024</v>
      </c>
      <c r="M881" s="7">
        <v>1.7</v>
      </c>
      <c r="N881" s="7">
        <v>1.27</v>
      </c>
      <c r="O881" s="7">
        <v>1.35</v>
      </c>
      <c r="P881" s="1" t="s">
        <v>8025</v>
      </c>
    </row>
    <row r="882" spans="1:16" ht="33.4" x14ac:dyDescent="0.3">
      <c r="A882" s="6" t="str">
        <f>HYPERLINK("https://www.ti.com/product/LM5012-Q1", "LM5012-Q1")</f>
        <v>LM5012-Q1</v>
      </c>
      <c r="B882" s="5" t="s">
        <v>8026</v>
      </c>
      <c r="C882" s="6" t="str">
        <f>HYPERLINK("https://www.ti.com/lit/gpn/LM5012-Q1", "PDF")</f>
        <v>PDF</v>
      </c>
      <c r="D882" s="5" t="s">
        <v>8027</v>
      </c>
      <c r="E882" s="5" t="s">
        <v>8028</v>
      </c>
      <c r="F882" s="5" t="s">
        <v>8029</v>
      </c>
      <c r="G882" s="5" t="s">
        <v>8030</v>
      </c>
      <c r="H882" s="1" t="s">
        <v>8031</v>
      </c>
      <c r="I882" s="5" t="s">
        <v>8032</v>
      </c>
      <c r="J882" s="7">
        <v>8</v>
      </c>
      <c r="K882" s="7">
        <v>29.4</v>
      </c>
      <c r="L882" s="5" t="s">
        <v>8033</v>
      </c>
      <c r="M882" s="7">
        <v>1.7</v>
      </c>
      <c r="N882" s="7">
        <v>1.27</v>
      </c>
      <c r="O882" s="7">
        <v>1.7250000000000001</v>
      </c>
      <c r="P882" s="1" t="s">
        <v>8034</v>
      </c>
    </row>
    <row r="883" spans="1:16" ht="33.4" x14ac:dyDescent="0.3">
      <c r="A883" s="6" t="str">
        <f>HYPERLINK("https://www.ti.com/product/LM5013", "LM5013")</f>
        <v>LM5013</v>
      </c>
      <c r="B883" s="5" t="s">
        <v>8035</v>
      </c>
      <c r="C883" s="6" t="str">
        <f>HYPERLINK("https://www.ti.com/lit/gpn/LM5013", "PDF")</f>
        <v>PDF</v>
      </c>
      <c r="D883" s="5" t="s">
        <v>8036</v>
      </c>
      <c r="E883" s="5" t="s">
        <v>8037</v>
      </c>
      <c r="F883" s="5" t="s">
        <v>8038</v>
      </c>
      <c r="G883" s="5" t="s">
        <v>8039</v>
      </c>
      <c r="H883" s="1" t="s">
        <v>8040</v>
      </c>
      <c r="I883" s="5" t="s">
        <v>8041</v>
      </c>
      <c r="J883" s="7">
        <v>8</v>
      </c>
      <c r="K883" s="7">
        <v>29.4</v>
      </c>
      <c r="L883" s="5" t="s">
        <v>8042</v>
      </c>
      <c r="M883" s="7">
        <v>1.7</v>
      </c>
      <c r="N883" s="7">
        <v>1.27</v>
      </c>
      <c r="O883" s="7">
        <v>1.5429999999999999</v>
      </c>
      <c r="P883" s="1" t="s">
        <v>8043</v>
      </c>
    </row>
    <row r="884" spans="1:16" ht="33.4" x14ac:dyDescent="0.3">
      <c r="A884" s="6" t="str">
        <f>HYPERLINK("https://www.ti.com/product/LM5169", "LM5169")</f>
        <v>LM5169</v>
      </c>
      <c r="B884" s="5" t="s">
        <v>8044</v>
      </c>
      <c r="C884" s="6" t="str">
        <f>HYPERLINK("https://www.ti.com/lit/gpn/LM5169", "PDF")</f>
        <v>PDF</v>
      </c>
      <c r="D884" s="5" t="s">
        <v>8045</v>
      </c>
      <c r="E884" s="5" t="s">
        <v>8046</v>
      </c>
      <c r="F884" s="5" t="s">
        <v>8047</v>
      </c>
      <c r="G884" s="5" t="s">
        <v>8048</v>
      </c>
      <c r="H884" s="1" t="s">
        <v>8049</v>
      </c>
      <c r="I884" s="5" t="s">
        <v>8050</v>
      </c>
      <c r="J884" s="7">
        <v>8</v>
      </c>
      <c r="K884" s="7" t="s">
        <v>8051</v>
      </c>
      <c r="L884" s="5" t="s">
        <v>8052</v>
      </c>
      <c r="M884" s="7" t="s">
        <v>8053</v>
      </c>
      <c r="N884" s="7" t="s">
        <v>8054</v>
      </c>
      <c r="O884" s="7">
        <v>0.96199999999999997</v>
      </c>
      <c r="P884" s="1" t="s">
        <v>8055</v>
      </c>
    </row>
    <row r="885" spans="1:16" ht="33.4" x14ac:dyDescent="0.3">
      <c r="A885" s="6" t="str">
        <f>HYPERLINK("https://www.ti.com/product/TPS51383", "TPS51383")</f>
        <v>TPS51383</v>
      </c>
      <c r="B885" s="5" t="s">
        <v>8056</v>
      </c>
      <c r="C885" s="6" t="str">
        <f>HYPERLINK("https://www.ti.com/lit/gpn/TPS51383", "PDF")</f>
        <v>PDF</v>
      </c>
      <c r="D885" s="5" t="s">
        <v>8057</v>
      </c>
      <c r="E885" s="5" t="s">
        <v>8058</v>
      </c>
      <c r="F885" s="5" t="s">
        <v>8059</v>
      </c>
      <c r="G885" s="5" t="s">
        <v>8060</v>
      </c>
      <c r="H885" s="1" t="s">
        <v>8061</v>
      </c>
      <c r="I885" s="5" t="s">
        <v>8062</v>
      </c>
      <c r="J885" s="7">
        <v>12</v>
      </c>
      <c r="K885" s="7">
        <v>6</v>
      </c>
      <c r="L885" s="5" t="s">
        <v>8063</v>
      </c>
      <c r="M885" s="7">
        <v>1</v>
      </c>
      <c r="N885" s="7">
        <v>0.5</v>
      </c>
      <c r="O885" s="7">
        <v>0.36199999999999999</v>
      </c>
      <c r="P885" s="1" t="s">
        <v>8064</v>
      </c>
    </row>
    <row r="886" spans="1:16" ht="33.4" x14ac:dyDescent="0.3">
      <c r="A886" s="6" t="str">
        <f>HYPERLINK("https://www.ti.com/product/TPS61376", "TPS61376")</f>
        <v>TPS61376</v>
      </c>
      <c r="B886" s="5" t="s">
        <v>8065</v>
      </c>
      <c r="C886" s="6" t="str">
        <f>HYPERLINK("https://www.ti.com/lit/gpn/TPS61376", "PDF")</f>
        <v>PDF</v>
      </c>
      <c r="D886" s="5" t="s">
        <v>8066</v>
      </c>
      <c r="E886" s="5" t="s">
        <v>8067</v>
      </c>
      <c r="F886" s="5" t="s">
        <v>8068</v>
      </c>
      <c r="G886" s="5" t="s">
        <v>8069</v>
      </c>
      <c r="H886" s="1" t="s">
        <v>8070</v>
      </c>
      <c r="I886" s="5" t="s">
        <v>8071</v>
      </c>
      <c r="J886" s="7">
        <v>13</v>
      </c>
      <c r="K886" s="7">
        <v>5</v>
      </c>
      <c r="L886" s="5" t="s">
        <v>8072</v>
      </c>
      <c r="M886" s="7">
        <v>1</v>
      </c>
      <c r="N886" s="7">
        <v>0.5</v>
      </c>
      <c r="O886" s="7">
        <v>1.38</v>
      </c>
      <c r="P886" s="1" t="s">
        <v>8073</v>
      </c>
    </row>
    <row r="887" spans="1:16" ht="33.4" x14ac:dyDescent="0.3">
      <c r="A887" s="6" t="str">
        <f>HYPERLINK("https://www.ti.com/product/LP876242-Q1", "LP876242-Q1")</f>
        <v>LP876242-Q1</v>
      </c>
      <c r="B887" s="5" t="s">
        <v>8074</v>
      </c>
      <c r="C887" s="6" t="str">
        <f>HYPERLINK("https://www.ti.com/lit/gpn/LP876242-Q1", "PDF")</f>
        <v>PDF</v>
      </c>
      <c r="D887" s="5" t="s">
        <v>8075</v>
      </c>
      <c r="E887" s="5" t="s">
        <v>8076</v>
      </c>
      <c r="F887" s="5"/>
      <c r="G887" s="5" t="s">
        <v>8077</v>
      </c>
      <c r="H887" s="1" t="s">
        <v>8078</v>
      </c>
      <c r="I887" s="5" t="s">
        <v>8079</v>
      </c>
      <c r="J887" s="7">
        <v>32</v>
      </c>
      <c r="K887" s="7">
        <v>27.5</v>
      </c>
      <c r="L887" s="5" t="s">
        <v>8080</v>
      </c>
      <c r="M887" s="7">
        <v>1</v>
      </c>
      <c r="N887" s="7">
        <v>0.5</v>
      </c>
      <c r="O887" s="7">
        <v>3.4390000000000001</v>
      </c>
      <c r="P887" s="1" t="s">
        <v>8081</v>
      </c>
    </row>
    <row r="888" spans="1:16" ht="33.4" x14ac:dyDescent="0.3">
      <c r="A888" s="6" t="str">
        <f>HYPERLINK("https://www.ti.com/product/TPS25985", "TPS25985")</f>
        <v>TPS25985</v>
      </c>
      <c r="B888" s="5" t="s">
        <v>8082</v>
      </c>
      <c r="C888" s="6" t="str">
        <f>HYPERLINK("https://www.ti.com/lit/gpn/TPS25985", "PDF")</f>
        <v>PDF</v>
      </c>
      <c r="D888" s="5" t="s">
        <v>8083</v>
      </c>
      <c r="E888" s="5" t="s">
        <v>8084</v>
      </c>
      <c r="F888" s="5"/>
      <c r="G888" s="5" t="s">
        <v>8085</v>
      </c>
      <c r="H888" s="1" t="s">
        <v>8086</v>
      </c>
      <c r="I888" s="5" t="s">
        <v>8087</v>
      </c>
      <c r="J888" s="7">
        <v>26</v>
      </c>
      <c r="K888" s="7">
        <v>22.5</v>
      </c>
      <c r="L888" s="5" t="s">
        <v>8088</v>
      </c>
      <c r="M888" s="7">
        <v>1</v>
      </c>
      <c r="N888" s="7">
        <v>0.4</v>
      </c>
      <c r="O888" s="7">
        <v>2.97</v>
      </c>
      <c r="P888" s="1" t="s">
        <v>8089</v>
      </c>
    </row>
    <row r="889" spans="1:16" ht="33.4" x14ac:dyDescent="0.3">
      <c r="A889" s="6" t="str">
        <f>HYPERLINK("https://www.ti.com/product/TPSI3050-Q1", "TPSI3050-Q1")</f>
        <v>TPSI3050-Q1</v>
      </c>
      <c r="B889" s="5" t="s">
        <v>8090</v>
      </c>
      <c r="C889" s="6" t="str">
        <f>HYPERLINK("https://www.ti.com/lit/gpn/TPSI3050-Q1", "PDF")</f>
        <v>PDF</v>
      </c>
      <c r="D889" s="5" t="s">
        <v>8091</v>
      </c>
      <c r="E889" s="5" t="s">
        <v>8092</v>
      </c>
      <c r="F889" s="5"/>
      <c r="G889" s="5" t="s">
        <v>8093</v>
      </c>
      <c r="H889" s="1" t="s">
        <v>8094</v>
      </c>
      <c r="I889" s="5" t="s">
        <v>8095</v>
      </c>
      <c r="J889" s="7">
        <v>8</v>
      </c>
      <c r="K889" s="7">
        <v>67.275000000000006</v>
      </c>
      <c r="L889" s="5" t="s">
        <v>8096</v>
      </c>
      <c r="M889" s="7">
        <v>2.8</v>
      </c>
      <c r="N889" s="7">
        <v>1.27</v>
      </c>
      <c r="O889" s="7">
        <v>1.8169999999999999</v>
      </c>
      <c r="P889" s="1" t="s">
        <v>8097</v>
      </c>
    </row>
    <row r="890" spans="1:16" ht="33.4" x14ac:dyDescent="0.3">
      <c r="A890" s="6" t="str">
        <f>HYPERLINK("https://www.ti.com/product/UCC21755-Q1", "UCC21755-Q1")</f>
        <v>UCC21755-Q1</v>
      </c>
      <c r="B890" s="5" t="s">
        <v>8098</v>
      </c>
      <c r="C890" s="6" t="str">
        <f>HYPERLINK("https://www.ti.com/lit/gpn/UCC21755-Q1", "PDF")</f>
        <v>PDF</v>
      </c>
      <c r="D890" s="5" t="s">
        <v>8099</v>
      </c>
      <c r="E890" s="5" t="s">
        <v>8100</v>
      </c>
      <c r="F890" s="5"/>
      <c r="G890" s="5" t="s">
        <v>8101</v>
      </c>
      <c r="H890" s="1" t="s">
        <v>8102</v>
      </c>
      <c r="I890" s="5" t="s">
        <v>8103</v>
      </c>
      <c r="J890" s="7">
        <v>16</v>
      </c>
      <c r="K890" s="7">
        <v>106.09</v>
      </c>
      <c r="L890" s="5" t="s">
        <v>8104</v>
      </c>
      <c r="M890" s="7">
        <v>2.65</v>
      </c>
      <c r="N890" s="7">
        <v>1.27</v>
      </c>
      <c r="O890" s="7">
        <v>3.2890000000000001</v>
      </c>
      <c r="P890" s="1" t="s">
        <v>8105</v>
      </c>
    </row>
    <row r="891" spans="1:16" ht="33.4" x14ac:dyDescent="0.3">
      <c r="A891" s="6" t="str">
        <f>HYPERLINK("https://www.ti.com/product/TPS7A43", "TPS7A43")</f>
        <v>TPS7A43</v>
      </c>
      <c r="B891" s="5" t="s">
        <v>8106</v>
      </c>
      <c r="C891" s="6" t="str">
        <f>HYPERLINK("https://www.ti.com/lit/gpn/TPS7A43", "PDF")</f>
        <v>PDF</v>
      </c>
      <c r="D891" s="5" t="s">
        <v>8107</v>
      </c>
      <c r="E891" s="5" t="s">
        <v>8108</v>
      </c>
      <c r="F891" s="5"/>
      <c r="G891" s="5" t="s">
        <v>8109</v>
      </c>
      <c r="H891" s="1" t="s">
        <v>8110</v>
      </c>
      <c r="I891" s="5" t="s">
        <v>8111</v>
      </c>
      <c r="J891" s="7">
        <v>10</v>
      </c>
      <c r="K891" s="7">
        <v>14.7</v>
      </c>
      <c r="L891" s="5" t="s">
        <v>8112</v>
      </c>
      <c r="M891" s="7">
        <v>1.1000000000000001</v>
      </c>
      <c r="N891" s="7">
        <v>0.5</v>
      </c>
      <c r="O891" s="7">
        <v>1.5249999999999999</v>
      </c>
      <c r="P891" s="1" t="s">
        <v>8113</v>
      </c>
    </row>
    <row r="892" spans="1:16" ht="33.4" x14ac:dyDescent="0.3">
      <c r="A892" s="6" t="str">
        <f>HYPERLINK("https://www.ti.com/product/TLV61070A", "TLV61070A")</f>
        <v>TLV61070A</v>
      </c>
      <c r="B892" s="5" t="s">
        <v>8114</v>
      </c>
      <c r="C892" s="6" t="str">
        <f>HYPERLINK("https://www.ti.com/lit/gpn/TLV61070A", "PDF")</f>
        <v>PDF</v>
      </c>
      <c r="D892" s="5" t="s">
        <v>8115</v>
      </c>
      <c r="E892" s="5" t="s">
        <v>8116</v>
      </c>
      <c r="F892" s="5" t="s">
        <v>8117</v>
      </c>
      <c r="G892" s="5" t="s">
        <v>8118</v>
      </c>
      <c r="H892" s="1" t="s">
        <v>8119</v>
      </c>
      <c r="I892" s="5" t="s">
        <v>8120</v>
      </c>
      <c r="J892" s="7">
        <v>6</v>
      </c>
      <c r="K892" s="7">
        <v>8.1199999999999992</v>
      </c>
      <c r="L892" s="5" t="s">
        <v>8121</v>
      </c>
      <c r="M892" s="7">
        <v>1.45</v>
      </c>
      <c r="N892" s="7">
        <v>0.95</v>
      </c>
      <c r="O892" s="7">
        <v>0.16500000000000001</v>
      </c>
      <c r="P892" s="1" t="s">
        <v>8122</v>
      </c>
    </row>
    <row r="893" spans="1:16" ht="66.150000000000006" x14ac:dyDescent="0.3">
      <c r="A893" s="6" t="str">
        <f>HYPERLINK("https://www.ti.com/product/TPS62873-Q1", "TPS62873-Q1")</f>
        <v>TPS62873-Q1</v>
      </c>
      <c r="B893" s="5" t="s">
        <v>8123</v>
      </c>
      <c r="C893" s="6" t="str">
        <f>HYPERLINK("https://www.ti.com/lit/gpn/TPS62873-Q1", "PDF")</f>
        <v>PDF</v>
      </c>
      <c r="D893" s="5" t="s">
        <v>8124</v>
      </c>
      <c r="E893" s="5" t="s">
        <v>8125</v>
      </c>
      <c r="F893" s="5" t="s">
        <v>8126</v>
      </c>
      <c r="G893" s="5" t="s">
        <v>8127</v>
      </c>
      <c r="H893" s="1" t="s">
        <v>8128</v>
      </c>
      <c r="I893" s="5" t="s">
        <v>8129</v>
      </c>
      <c r="J893" s="7">
        <v>16</v>
      </c>
      <c r="K893" s="7">
        <v>9.0525000000000002</v>
      </c>
      <c r="L893" s="5" t="s">
        <v>8130</v>
      </c>
      <c r="M893" s="7">
        <v>1.05</v>
      </c>
      <c r="N893" s="7">
        <v>0.5</v>
      </c>
      <c r="O893" s="7">
        <v>2.0499999999999998</v>
      </c>
      <c r="P893" s="1" t="s">
        <v>8131</v>
      </c>
    </row>
    <row r="894" spans="1:16" ht="33.4" x14ac:dyDescent="0.3">
      <c r="A894" s="6" t="str">
        <f>HYPERLINK("https://www.ti.com/product/TPS544C26", "TPS544C26")</f>
        <v>TPS544C26</v>
      </c>
      <c r="B894" s="5" t="s">
        <v>8132</v>
      </c>
      <c r="C894" s="6" t="str">
        <f>HYPERLINK("https://www.ti.com/lit/gpn/TPS544C26", "PDF")</f>
        <v>PDF</v>
      </c>
      <c r="D894" s="5" t="s">
        <v>8133</v>
      </c>
      <c r="E894" s="5" t="s">
        <v>8134</v>
      </c>
      <c r="F894" s="5" t="s">
        <v>8135</v>
      </c>
      <c r="G894" s="5" t="s">
        <v>8136</v>
      </c>
      <c r="H894" s="1" t="s">
        <v>8137</v>
      </c>
      <c r="I894" s="5" t="s">
        <v>8138</v>
      </c>
      <c r="J894" s="7">
        <v>37</v>
      </c>
      <c r="K894" s="7">
        <v>30</v>
      </c>
      <c r="L894" s="5" t="s">
        <v>8139</v>
      </c>
      <c r="M894" s="7">
        <v>0.7</v>
      </c>
      <c r="N894" s="7">
        <v>0.5</v>
      </c>
      <c r="O894" s="7">
        <v>2.5880000000000001</v>
      </c>
      <c r="P894" s="1" t="s">
        <v>8140</v>
      </c>
    </row>
    <row r="895" spans="1:16" ht="33.4" x14ac:dyDescent="0.3">
      <c r="A895" s="6" t="str">
        <f>HYPERLINK("https://www.ti.com/product/TPS92665-Q1", "TPS92665-Q1")</f>
        <v>TPS92665-Q1</v>
      </c>
      <c r="B895" s="5" t="s">
        <v>8141</v>
      </c>
      <c r="C895" s="6" t="str">
        <f>HYPERLINK("https://www.ti.com/lit/gpn/TPS92665-Q1", "PDF")</f>
        <v>PDF</v>
      </c>
      <c r="D895" s="5" t="s">
        <v>8142</v>
      </c>
      <c r="E895" s="5" t="s">
        <v>8143</v>
      </c>
      <c r="F895" s="5" t="s">
        <v>8144</v>
      </c>
      <c r="G895" s="5" t="s">
        <v>8145</v>
      </c>
      <c r="H895" s="1" t="s">
        <v>8146</v>
      </c>
      <c r="I895" s="5" t="s">
        <v>8147</v>
      </c>
      <c r="J895" s="7">
        <v>48</v>
      </c>
      <c r="K895" s="7">
        <v>81</v>
      </c>
      <c r="L895" s="5" t="s">
        <v>8148</v>
      </c>
      <c r="M895" s="7">
        <v>1.2</v>
      </c>
      <c r="N895" s="7">
        <v>0.5</v>
      </c>
      <c r="O895" s="7">
        <v>3.5880000000000001</v>
      </c>
      <c r="P895" s="1" t="s">
        <v>8149</v>
      </c>
    </row>
    <row r="896" spans="1:16" ht="49.75" x14ac:dyDescent="0.3">
      <c r="A896" s="6" t="str">
        <f>HYPERLINK("https://www.ti.com/product/LP5912-EP", "LP5912-EP")</f>
        <v>LP5912-EP</v>
      </c>
      <c r="B896" s="5" t="s">
        <v>8150</v>
      </c>
      <c r="C896" s="6" t="str">
        <f>HYPERLINK("https://www.ti.com/lit/gpn/LP5912-EP", "PDF")</f>
        <v>PDF</v>
      </c>
      <c r="D896" s="5" t="s">
        <v>8151</v>
      </c>
      <c r="E896" s="5" t="s">
        <v>8152</v>
      </c>
      <c r="F896" s="5"/>
      <c r="G896" s="5" t="s">
        <v>8153</v>
      </c>
      <c r="H896" s="1" t="s">
        <v>8154</v>
      </c>
      <c r="I896" s="5" t="s">
        <v>8155</v>
      </c>
      <c r="J896" s="7">
        <v>6</v>
      </c>
      <c r="K896" s="7">
        <v>4</v>
      </c>
      <c r="L896" s="5" t="s">
        <v>8156</v>
      </c>
      <c r="M896" s="7">
        <v>0.8</v>
      </c>
      <c r="N896" s="7">
        <v>0.65</v>
      </c>
      <c r="O896" s="7">
        <v>4.0339999999999998</v>
      </c>
      <c r="P896" s="1" t="s">
        <v>8157</v>
      </c>
    </row>
    <row r="897" spans="1:16" ht="33.4" x14ac:dyDescent="0.3">
      <c r="A897" s="6" t="str">
        <f>HYPERLINK("https://www.ti.com/product/TPS55289", "TPS55289")</f>
        <v>TPS55289</v>
      </c>
      <c r="B897" s="5" t="s">
        <v>8158</v>
      </c>
      <c r="C897" s="6" t="str">
        <f>HYPERLINK("https://www.ti.com/lit/gpn/TPS55289", "PDF")</f>
        <v>PDF</v>
      </c>
      <c r="D897" s="5" t="s">
        <v>8159</v>
      </c>
      <c r="E897" s="5" t="s">
        <v>8160</v>
      </c>
      <c r="F897" s="5" t="s">
        <v>8161</v>
      </c>
      <c r="G897" s="5" t="s">
        <v>8162</v>
      </c>
      <c r="H897" s="1" t="s">
        <v>8163</v>
      </c>
      <c r="I897" s="5" t="s">
        <v>8164</v>
      </c>
      <c r="J897" s="7">
        <v>21</v>
      </c>
      <c r="K897" s="7">
        <v>15</v>
      </c>
      <c r="L897" s="5" t="s">
        <v>8165</v>
      </c>
      <c r="M897" s="7">
        <v>1</v>
      </c>
      <c r="N897" s="7">
        <v>0.5</v>
      </c>
      <c r="O897" s="7">
        <v>2.7029999999999998</v>
      </c>
      <c r="P897" s="1" t="s">
        <v>8166</v>
      </c>
    </row>
    <row r="898" spans="1:16" ht="33.4" x14ac:dyDescent="0.3">
      <c r="A898" s="6" t="str">
        <f>HYPERLINK("https://www.ti.com/product/LM5168-Q1", "LM5168-Q1")</f>
        <v>LM5168-Q1</v>
      </c>
      <c r="B898" s="5" t="s">
        <v>8167</v>
      </c>
      <c r="C898" s="6" t="str">
        <f>HYPERLINK("https://www.ti.com/lit/gpn/LM5168-Q1", "PDF")</f>
        <v>PDF</v>
      </c>
      <c r="D898" s="5" t="s">
        <v>8168</v>
      </c>
      <c r="E898" s="5" t="s">
        <v>8169</v>
      </c>
      <c r="F898" s="5" t="s">
        <v>8170</v>
      </c>
      <c r="G898" s="5" t="s">
        <v>8171</v>
      </c>
      <c r="H898" s="1" t="s">
        <v>8172</v>
      </c>
      <c r="I898" s="5" t="s">
        <v>8173</v>
      </c>
      <c r="J898" s="7">
        <v>8</v>
      </c>
      <c r="K898" s="7">
        <v>29.4</v>
      </c>
      <c r="L898" s="5" t="s">
        <v>8174</v>
      </c>
      <c r="M898" s="7">
        <v>1.7</v>
      </c>
      <c r="N898" s="7">
        <v>1.27</v>
      </c>
      <c r="O898" s="7">
        <v>1.5629999999999999</v>
      </c>
      <c r="P898" s="1" t="s">
        <v>8175</v>
      </c>
    </row>
    <row r="899" spans="1:16" ht="33.4" x14ac:dyDescent="0.3">
      <c r="A899" s="6" t="str">
        <f>HYPERLINK("https://www.ti.com/product/LM5169-Q1", "LM5169-Q1")</f>
        <v>LM5169-Q1</v>
      </c>
      <c r="B899" s="5" t="s">
        <v>8176</v>
      </c>
      <c r="C899" s="6" t="str">
        <f>HYPERLINK("https://www.ti.com/lit/gpn/LM5169-Q1", "PDF")</f>
        <v>PDF</v>
      </c>
      <c r="D899" s="5" t="s">
        <v>8177</v>
      </c>
      <c r="E899" s="5" t="s">
        <v>8178</v>
      </c>
      <c r="F899" s="5" t="s">
        <v>8179</v>
      </c>
      <c r="G899" s="5" t="s">
        <v>8180</v>
      </c>
      <c r="H899" s="1" t="s">
        <v>8181</v>
      </c>
      <c r="I899" s="5" t="s">
        <v>8182</v>
      </c>
      <c r="J899" s="7">
        <v>8</v>
      </c>
      <c r="K899" s="7">
        <v>29.4</v>
      </c>
      <c r="L899" s="5" t="s">
        <v>8183</v>
      </c>
      <c r="M899" s="7">
        <v>1.7</v>
      </c>
      <c r="N899" s="7">
        <v>1.27</v>
      </c>
      <c r="O899" s="7">
        <v>2.0289999999999999</v>
      </c>
      <c r="P899" s="1" t="s">
        <v>8184</v>
      </c>
    </row>
    <row r="900" spans="1:16" ht="66.150000000000006" x14ac:dyDescent="0.3">
      <c r="A900" s="6" t="str">
        <f>HYPERLINK("https://www.ti.com/product/TPS7H5005-SEP", "TPS7H5005-SEP")</f>
        <v>TPS7H5005-SEP</v>
      </c>
      <c r="B900" s="5" t="s">
        <v>8185</v>
      </c>
      <c r="C900" s="6" t="str">
        <f>HYPERLINK("https://www.ti.com/lit/gpn/TPS7H5005-SEP", "PDF")</f>
        <v>PDF</v>
      </c>
      <c r="D900" s="5" t="s">
        <v>8186</v>
      </c>
      <c r="E900" s="5" t="s">
        <v>8187</v>
      </c>
      <c r="F900" s="5" t="s">
        <v>8188</v>
      </c>
      <c r="G900" s="5" t="s">
        <v>8189</v>
      </c>
      <c r="H900" s="1" t="s">
        <v>8190</v>
      </c>
      <c r="I900" s="5" t="s">
        <v>8191</v>
      </c>
      <c r="J900" s="7">
        <v>24</v>
      </c>
      <c r="K900" s="7">
        <v>49.92</v>
      </c>
      <c r="L900" s="5" t="s">
        <v>8192</v>
      </c>
      <c r="M900" s="7">
        <v>1.2</v>
      </c>
      <c r="N900" s="7">
        <v>0.65</v>
      </c>
      <c r="O900" s="7">
        <v>1022.44</v>
      </c>
      <c r="P900" s="1" t="s">
        <v>8193</v>
      </c>
    </row>
    <row r="901" spans="1:16" ht="49.75" x14ac:dyDescent="0.3">
      <c r="A901" s="6" t="str">
        <f>HYPERLINK("https://www.ti.com/product/TPS7H5006-SEP", "TPS7H5006-SEP")</f>
        <v>TPS7H5006-SEP</v>
      </c>
      <c r="B901" s="5" t="s">
        <v>8194</v>
      </c>
      <c r="C901" s="6" t="str">
        <f>HYPERLINK("https://www.ti.com/lit/gpn/TPS7H5006-SEP", "PDF")</f>
        <v>PDF</v>
      </c>
      <c r="D901" s="5" t="s">
        <v>8195</v>
      </c>
      <c r="E901" s="5" t="s">
        <v>8196</v>
      </c>
      <c r="F901" s="5" t="s">
        <v>8197</v>
      </c>
      <c r="G901" s="5" t="s">
        <v>8198</v>
      </c>
      <c r="H901" s="1" t="s">
        <v>8199</v>
      </c>
      <c r="I901" s="5" t="s">
        <v>8200</v>
      </c>
      <c r="J901" s="7">
        <v>24</v>
      </c>
      <c r="K901" s="7">
        <v>49.92</v>
      </c>
      <c r="L901" s="5" t="s">
        <v>8201</v>
      </c>
      <c r="M901" s="7">
        <v>1.2</v>
      </c>
      <c r="N901" s="7">
        <v>0.65</v>
      </c>
      <c r="O901" s="7">
        <v>766.74800000000005</v>
      </c>
      <c r="P901" s="1" t="s">
        <v>8202</v>
      </c>
    </row>
    <row r="902" spans="1:16" ht="49.75" x14ac:dyDescent="0.3">
      <c r="A902" s="6" t="str">
        <f>HYPERLINK("https://www.ti.com/product/TPS7H5007-SEP", "TPS7H5007-SEP")</f>
        <v>TPS7H5007-SEP</v>
      </c>
      <c r="B902" s="5" t="s">
        <v>8203</v>
      </c>
      <c r="C902" s="6" t="str">
        <f>HYPERLINK("https://www.ti.com/lit/gpn/TPS7H5007-SEP", "PDF")</f>
        <v>PDF</v>
      </c>
      <c r="D902" s="5" t="s">
        <v>8204</v>
      </c>
      <c r="E902" s="5" t="s">
        <v>8205</v>
      </c>
      <c r="F902" s="5" t="s">
        <v>8206</v>
      </c>
      <c r="G902" s="5" t="s">
        <v>8207</v>
      </c>
      <c r="H902" s="1" t="s">
        <v>8208</v>
      </c>
      <c r="I902" s="5" t="s">
        <v>8209</v>
      </c>
      <c r="J902" s="7">
        <v>24</v>
      </c>
      <c r="K902" s="7">
        <v>49.92</v>
      </c>
      <c r="L902" s="5" t="s">
        <v>8210</v>
      </c>
      <c r="M902" s="7">
        <v>1.2</v>
      </c>
      <c r="N902" s="7">
        <v>0.65</v>
      </c>
      <c r="O902" s="7">
        <v>555.495</v>
      </c>
      <c r="P902" s="1" t="s">
        <v>8211</v>
      </c>
    </row>
    <row r="903" spans="1:16" ht="33.4" x14ac:dyDescent="0.3">
      <c r="A903" s="6" t="str">
        <f>HYPERLINK("https://www.ti.com/product/TPS7H5008-SEP", "TPS7H5008-SEP")</f>
        <v>TPS7H5008-SEP</v>
      </c>
      <c r="B903" s="5" t="s">
        <v>8212</v>
      </c>
      <c r="C903" s="6" t="str">
        <f>HYPERLINK("https://www.ti.com/lit/gpn/TPS7H5008-SEP", "PDF")</f>
        <v>PDF</v>
      </c>
      <c r="D903" s="5" t="s">
        <v>8213</v>
      </c>
      <c r="E903" s="5" t="s">
        <v>8214</v>
      </c>
      <c r="F903" s="5" t="s">
        <v>8215</v>
      </c>
      <c r="G903" s="5" t="s">
        <v>8216</v>
      </c>
      <c r="H903" s="1" t="s">
        <v>8217</v>
      </c>
      <c r="I903" s="5" t="s">
        <v>8218</v>
      </c>
      <c r="J903" s="7">
        <v>24</v>
      </c>
      <c r="K903" s="7">
        <v>49.92</v>
      </c>
      <c r="L903" s="5" t="s">
        <v>8219</v>
      </c>
      <c r="M903" s="7">
        <v>1.2</v>
      </c>
      <c r="N903" s="7">
        <v>0.65</v>
      </c>
      <c r="O903" s="7">
        <v>528.84400000000005</v>
      </c>
      <c r="P903" s="1" t="s">
        <v>8220</v>
      </c>
    </row>
    <row r="904" spans="1:16" ht="17.05" x14ac:dyDescent="0.3">
      <c r="A904" s="6" t="str">
        <f>HYPERLINK("https://www.ti.com/product/TPSM8D6B24", "TPSM8D6B24")</f>
        <v>TPSM8D6B24</v>
      </c>
      <c r="B904" s="5" t="s">
        <v>8221</v>
      </c>
      <c r="C904" s="6" t="str">
        <f>HYPERLINK("https://www.ti.com/lit/gpn/TPSM8D6B24", "PDF")</f>
        <v>PDF</v>
      </c>
      <c r="D904" s="5" t="s">
        <v>8222</v>
      </c>
      <c r="E904" s="5" t="s">
        <v>8223</v>
      </c>
      <c r="F904" s="5" t="s">
        <v>8224</v>
      </c>
      <c r="G904" s="5" t="s">
        <v>8225</v>
      </c>
      <c r="H904" s="1" t="s">
        <v>8226</v>
      </c>
      <c r="I904" s="5" t="s">
        <v>8227</v>
      </c>
      <c r="J904" s="7">
        <v>59</v>
      </c>
      <c r="K904" s="7">
        <v>320</v>
      </c>
      <c r="L904" s="5" t="s">
        <v>8228</v>
      </c>
      <c r="M904" s="7">
        <v>4.4000000000000004</v>
      </c>
      <c r="N904" s="7">
        <v>0.8</v>
      </c>
      <c r="O904" s="7">
        <v>24</v>
      </c>
      <c r="P904" s="1" t="s">
        <v>8229</v>
      </c>
    </row>
    <row r="905" spans="1:16" ht="33.4" x14ac:dyDescent="0.3">
      <c r="A905" s="6" t="str">
        <f>HYPERLINK("https://www.ti.com/product/TPS56C231", "TPS56C231")</f>
        <v>TPS56C231</v>
      </c>
      <c r="B905" s="5" t="s">
        <v>8230</v>
      </c>
      <c r="C905" s="6" t="str">
        <f>HYPERLINK("https://www.ti.com/lit/gpn/TPS56C231", "PDF")</f>
        <v>PDF</v>
      </c>
      <c r="D905" s="5" t="s">
        <v>8231</v>
      </c>
      <c r="E905" s="5" t="s">
        <v>8232</v>
      </c>
      <c r="F905" s="5" t="s">
        <v>8233</v>
      </c>
      <c r="G905" s="5" t="s">
        <v>8234</v>
      </c>
      <c r="H905" s="1" t="s">
        <v>8235</v>
      </c>
      <c r="I905" s="5" t="s">
        <v>8236</v>
      </c>
      <c r="J905" s="7">
        <v>18</v>
      </c>
      <c r="K905" s="7">
        <v>12.25</v>
      </c>
      <c r="L905" s="5" t="s">
        <v>8237</v>
      </c>
      <c r="M905" s="7">
        <v>1</v>
      </c>
      <c r="N905" s="7">
        <v>0.5</v>
      </c>
      <c r="O905" s="7">
        <v>1.1499999999999999</v>
      </c>
      <c r="P905" s="1" t="s">
        <v>8238</v>
      </c>
    </row>
    <row r="906" spans="1:16" ht="33.4" x14ac:dyDescent="0.3">
      <c r="A906" s="6" t="str">
        <f>HYPERLINK("https://www.ti.com/product/LM74722-Q1", "LM74722-Q1")</f>
        <v>LM74722-Q1</v>
      </c>
      <c r="B906" s="5" t="s">
        <v>8239</v>
      </c>
      <c r="C906" s="6" t="str">
        <f>HYPERLINK("https://www.ti.com/lit/gpn/LM74722-Q1", "PDF")</f>
        <v>PDF</v>
      </c>
      <c r="D906" s="5" t="s">
        <v>8240</v>
      </c>
      <c r="E906" s="5" t="s">
        <v>8241</v>
      </c>
      <c r="F906" s="5"/>
      <c r="G906" s="5" t="s">
        <v>8242</v>
      </c>
      <c r="H906" s="1" t="s">
        <v>8243</v>
      </c>
      <c r="I906" s="5" t="s">
        <v>8244</v>
      </c>
      <c r="J906" s="7">
        <v>12</v>
      </c>
      <c r="K906" s="7">
        <v>9</v>
      </c>
      <c r="L906" s="5" t="s">
        <v>8245</v>
      </c>
      <c r="M906" s="7">
        <v>0.8</v>
      </c>
      <c r="N906" s="7">
        <v>0.5</v>
      </c>
      <c r="O906" s="7">
        <v>1.0029999999999999</v>
      </c>
      <c r="P906" s="1" t="s">
        <v>8246</v>
      </c>
    </row>
    <row r="907" spans="1:16" ht="66.150000000000006" x14ac:dyDescent="0.3">
      <c r="A907" s="6" t="str">
        <f>HYPERLINK("https://www.ti.com/product/TPS62872-Q1", "TPS62872-Q1")</f>
        <v>TPS62872-Q1</v>
      </c>
      <c r="B907" s="5" t="s">
        <v>8247</v>
      </c>
      <c r="C907" s="6" t="str">
        <f>HYPERLINK("https://www.ti.com/lit/gpn/TPS62872-Q1", "PDF")</f>
        <v>PDF</v>
      </c>
      <c r="D907" s="5" t="s">
        <v>8248</v>
      </c>
      <c r="E907" s="5" t="s">
        <v>8249</v>
      </c>
      <c r="F907" s="5" t="s">
        <v>8250</v>
      </c>
      <c r="G907" s="5" t="s">
        <v>8251</v>
      </c>
      <c r="H907" s="1" t="s">
        <v>8252</v>
      </c>
      <c r="I907" s="5" t="s">
        <v>8253</v>
      </c>
      <c r="J907" s="7">
        <v>16</v>
      </c>
      <c r="K907" s="7">
        <v>9.0525000000000002</v>
      </c>
      <c r="L907" s="5" t="s">
        <v>8254</v>
      </c>
      <c r="M907" s="7">
        <v>1.05</v>
      </c>
      <c r="N907" s="7">
        <v>0.5</v>
      </c>
      <c r="O907" s="7">
        <v>1.9550000000000001</v>
      </c>
      <c r="P907" s="1" t="s">
        <v>8255</v>
      </c>
    </row>
    <row r="908" spans="1:16" ht="33.4" x14ac:dyDescent="0.3">
      <c r="A908" s="6" t="str">
        <f>HYPERLINK("https://www.ti.com/product/TPS62933O", "TPS62933O")</f>
        <v>TPS62933O</v>
      </c>
      <c r="B908" s="5" t="s">
        <v>8256</v>
      </c>
      <c r="C908" s="6" t="str">
        <f>HYPERLINK("https://www.ti.com/lit/gpn/TPS62933O", "PDF")</f>
        <v>PDF</v>
      </c>
      <c r="D908" s="5" t="s">
        <v>8257</v>
      </c>
      <c r="E908" s="5" t="s">
        <v>8258</v>
      </c>
      <c r="F908" s="5" t="s">
        <v>8259</v>
      </c>
      <c r="G908" s="5" t="s">
        <v>8260</v>
      </c>
      <c r="H908" s="1" t="s">
        <v>8261</v>
      </c>
      <c r="I908" s="5" t="s">
        <v>8262</v>
      </c>
      <c r="J908" s="7">
        <v>8</v>
      </c>
      <c r="K908" s="7">
        <v>3.36</v>
      </c>
      <c r="L908" s="5" t="s">
        <v>8263</v>
      </c>
      <c r="M908" s="7">
        <v>0.6</v>
      </c>
      <c r="N908" s="7">
        <v>0.5</v>
      </c>
      <c r="O908" s="7">
        <v>0.438</v>
      </c>
      <c r="P908" s="1" t="s">
        <v>8264</v>
      </c>
    </row>
    <row r="909" spans="1:16" ht="49.75" x14ac:dyDescent="0.3">
      <c r="A909" s="6" t="str">
        <f>HYPERLINK("https://www.ti.com/product/TPS62A02A", "TPS62A02A")</f>
        <v>TPS62A02A</v>
      </c>
      <c r="B909" s="5" t="s">
        <v>8265</v>
      </c>
      <c r="C909" s="6" t="str">
        <f>HYPERLINK("https://www.ti.com/lit/gpn/TPS62A02A", "PDF")</f>
        <v>PDF</v>
      </c>
      <c r="D909" s="5" t="s">
        <v>8266</v>
      </c>
      <c r="E909" s="5" t="s">
        <v>8267</v>
      </c>
      <c r="F909" s="5" t="s">
        <v>8268</v>
      </c>
      <c r="G909" s="5" t="s">
        <v>8269</v>
      </c>
      <c r="H909" s="1" t="s">
        <v>8270</v>
      </c>
      <c r="I909" s="5" t="s">
        <v>8271</v>
      </c>
      <c r="J909" s="7">
        <v>6</v>
      </c>
      <c r="K909" s="7" t="s">
        <v>8272</v>
      </c>
      <c r="L909" s="5" t="s">
        <v>8273</v>
      </c>
      <c r="M909" s="7" t="s">
        <v>8274</v>
      </c>
      <c r="N909" s="7" t="s">
        <v>8275</v>
      </c>
      <c r="O909" s="7">
        <v>5.8000000000000003E-2</v>
      </c>
      <c r="P909" s="1" t="s">
        <v>8276</v>
      </c>
    </row>
    <row r="910" spans="1:16" ht="33.4" x14ac:dyDescent="0.3">
      <c r="A910" s="6" t="str">
        <f>HYPERLINK("https://www.ti.com/product/TPS7A74", "TPS7A74")</f>
        <v>TPS7A74</v>
      </c>
      <c r="B910" s="5" t="s">
        <v>8277</v>
      </c>
      <c r="C910" s="6" t="str">
        <f>HYPERLINK("https://www.ti.com/lit/gpn/TPS7A74", "PDF")</f>
        <v>PDF</v>
      </c>
      <c r="D910" s="5" t="s">
        <v>8278</v>
      </c>
      <c r="E910" s="5" t="s">
        <v>8279</v>
      </c>
      <c r="F910" s="5"/>
      <c r="G910" s="5" t="s">
        <v>8280</v>
      </c>
      <c r="H910" s="1" t="s">
        <v>8281</v>
      </c>
      <c r="I910" s="5" t="s">
        <v>8282</v>
      </c>
      <c r="J910" s="7">
        <v>8</v>
      </c>
      <c r="K910" s="7">
        <v>9</v>
      </c>
      <c r="L910" s="5" t="s">
        <v>8283</v>
      </c>
      <c r="M910" s="7">
        <v>0.8</v>
      </c>
      <c r="N910" s="7">
        <v>0.65</v>
      </c>
      <c r="O910" s="7">
        <v>0.59199999999999997</v>
      </c>
      <c r="P910" s="1" t="s">
        <v>8284</v>
      </c>
    </row>
    <row r="911" spans="1:16" ht="33.4" x14ac:dyDescent="0.3">
      <c r="A911" s="6" t="str">
        <f>HYPERLINK("https://www.ti.com/product/UCC21737-Q1", "UCC21737-Q1")</f>
        <v>UCC21737-Q1</v>
      </c>
      <c r="B911" s="5" t="s">
        <v>8285</v>
      </c>
      <c r="C911" s="6" t="str">
        <f>HYPERLINK("https://www.ti.com/lit/gpn/UCC21737-Q1", "PDF")</f>
        <v>PDF</v>
      </c>
      <c r="D911" s="5" t="s">
        <v>8286</v>
      </c>
      <c r="E911" s="5" t="s">
        <v>8287</v>
      </c>
      <c r="F911" s="5"/>
      <c r="G911" s="5" t="s">
        <v>8288</v>
      </c>
      <c r="H911" s="1" t="s">
        <v>8289</v>
      </c>
      <c r="I911" s="5" t="s">
        <v>8290</v>
      </c>
      <c r="J911" s="7">
        <v>16</v>
      </c>
      <c r="K911" s="7">
        <v>106.09</v>
      </c>
      <c r="L911" s="5" t="s">
        <v>8291</v>
      </c>
      <c r="M911" s="7">
        <v>2.65</v>
      </c>
      <c r="N911" s="7">
        <v>1.27</v>
      </c>
      <c r="O911" s="7">
        <v>2.4430000000000001</v>
      </c>
      <c r="P911" s="1" t="s">
        <v>8292</v>
      </c>
    </row>
    <row r="912" spans="1:16" ht="49.75" x14ac:dyDescent="0.3">
      <c r="A912" s="6" t="str">
        <f>HYPERLINK("https://www.ti.com/product/REF35", "REF35")</f>
        <v>REF35</v>
      </c>
      <c r="B912" s="5" t="s">
        <v>8293</v>
      </c>
      <c r="C912" s="6" t="str">
        <f>HYPERLINK("https://www.ti.com/lit/gpn/REF35", "PDF")</f>
        <v>PDF</v>
      </c>
      <c r="D912" s="5" t="s">
        <v>8294</v>
      </c>
      <c r="E912" s="5" t="s">
        <v>8295</v>
      </c>
      <c r="F912" s="5"/>
      <c r="G912" s="5" t="s">
        <v>8296</v>
      </c>
      <c r="H912" s="1" t="s">
        <v>8297</v>
      </c>
      <c r="I912" s="5" t="s">
        <v>8298</v>
      </c>
      <c r="J912" s="7" t="s">
        <v>8299</v>
      </c>
      <c r="K912" s="7" t="s">
        <v>8300</v>
      </c>
      <c r="L912" s="5" t="s">
        <v>8301</v>
      </c>
      <c r="M912" s="7" t="s">
        <v>8302</v>
      </c>
      <c r="N912" s="7" t="s">
        <v>8303</v>
      </c>
      <c r="O912" s="7">
        <v>0.80300000000000005</v>
      </c>
      <c r="P912" s="1" t="s">
        <v>8304</v>
      </c>
    </row>
    <row r="913" spans="1:16" ht="33.4" x14ac:dyDescent="0.3">
      <c r="A913" s="6" t="str">
        <f>HYPERLINK("https://www.ti.com/product/TPS628513", "TPS628513")</f>
        <v>TPS628513</v>
      </c>
      <c r="B913" s="5" t="s">
        <v>8305</v>
      </c>
      <c r="C913" s="6" t="str">
        <f>HYPERLINK("https://www.ti.com/lit/gpn/TPS628513", "PDF")</f>
        <v>PDF</v>
      </c>
      <c r="D913" s="5" t="s">
        <v>8306</v>
      </c>
      <c r="E913" s="5" t="s">
        <v>8307</v>
      </c>
      <c r="F913" s="5" t="s">
        <v>8308</v>
      </c>
      <c r="G913" s="5" t="s">
        <v>8309</v>
      </c>
      <c r="H913" s="1" t="s">
        <v>8310</v>
      </c>
      <c r="I913" s="5" t="s">
        <v>8311</v>
      </c>
      <c r="J913" s="7">
        <v>8</v>
      </c>
      <c r="K913" s="7">
        <v>3.36</v>
      </c>
      <c r="L913" s="5" t="s">
        <v>8312</v>
      </c>
      <c r="M913" s="7">
        <v>0.6</v>
      </c>
      <c r="N913" s="7">
        <v>0.5</v>
      </c>
      <c r="O913" s="7">
        <v>0.61599999999999999</v>
      </c>
      <c r="P913" s="1" t="s">
        <v>8313</v>
      </c>
    </row>
    <row r="914" spans="1:16" ht="17.05" x14ac:dyDescent="0.3">
      <c r="A914" s="6" t="str">
        <f>HYPERLINK("https://www.ti.com/product/ULN2803C", "ULN2803C")</f>
        <v>ULN2803C</v>
      </c>
      <c r="B914" s="5" t="s">
        <v>8314</v>
      </c>
      <c r="C914" s="6" t="str">
        <f>HYPERLINK("https://www.ti.com/lit/gpn/ULN2803C", "PDF")</f>
        <v>PDF</v>
      </c>
      <c r="D914" s="5" t="s">
        <v>8315</v>
      </c>
      <c r="E914" s="5" t="s">
        <v>8316</v>
      </c>
      <c r="F914" s="5"/>
      <c r="G914" s="5" t="s">
        <v>8317</v>
      </c>
      <c r="H914" s="1" t="s">
        <v>8318</v>
      </c>
      <c r="I914" s="5" t="s">
        <v>8319</v>
      </c>
      <c r="J914" s="7">
        <v>20</v>
      </c>
      <c r="K914" s="7">
        <v>131.84</v>
      </c>
      <c r="L914" s="5" t="s">
        <v>8320</v>
      </c>
      <c r="M914" s="7">
        <v>2.65</v>
      </c>
      <c r="N914" s="7">
        <v>1.27</v>
      </c>
      <c r="O914" s="7">
        <v>0.46300000000000002</v>
      </c>
      <c r="P914" s="1" t="s">
        <v>8321</v>
      </c>
    </row>
    <row r="915" spans="1:16" ht="33.4" x14ac:dyDescent="0.3">
      <c r="A915" s="6" t="str">
        <f>HYPERLINK("https://www.ti.com/product/LMR51420", "LMR51420")</f>
        <v>LMR51420</v>
      </c>
      <c r="B915" s="5" t="s">
        <v>8322</v>
      </c>
      <c r="C915" s="6" t="str">
        <f>HYPERLINK("https://www.ti.com/lit/gpn/LMR51420", "PDF")</f>
        <v>PDF</v>
      </c>
      <c r="D915" s="5" t="s">
        <v>8323</v>
      </c>
      <c r="E915" s="5" t="s">
        <v>8324</v>
      </c>
      <c r="F915" s="5" t="s">
        <v>8325</v>
      </c>
      <c r="G915" s="5" t="s">
        <v>8326</v>
      </c>
      <c r="H915" s="1" t="s">
        <v>8327</v>
      </c>
      <c r="I915" s="5" t="s">
        <v>8328</v>
      </c>
      <c r="J915" s="7">
        <v>6</v>
      </c>
      <c r="K915" s="7">
        <v>8.1199999999999992</v>
      </c>
      <c r="L915" s="5" t="s">
        <v>8329</v>
      </c>
      <c r="M915" s="7">
        <v>1.1000000000000001</v>
      </c>
      <c r="N915" s="7">
        <v>0.95</v>
      </c>
      <c r="O915" s="7">
        <v>0.44400000000000001</v>
      </c>
      <c r="P915" s="1" t="s">
        <v>8330</v>
      </c>
    </row>
    <row r="916" spans="1:16" ht="33.4" x14ac:dyDescent="0.3">
      <c r="A916" s="6" t="str">
        <f>HYPERLINK("https://www.ti.com/product/TPS7A16A", "TPS7A16A")</f>
        <v>TPS7A16A</v>
      </c>
      <c r="B916" s="5" t="s">
        <v>8331</v>
      </c>
      <c r="C916" s="6" t="str">
        <f>HYPERLINK("https://www.ti.com/lit/gpn/TPS7A16A", "PDF")</f>
        <v>PDF</v>
      </c>
      <c r="D916" s="5" t="s">
        <v>8332</v>
      </c>
      <c r="E916" s="5" t="s">
        <v>8333</v>
      </c>
      <c r="F916" s="5"/>
      <c r="G916" s="5" t="s">
        <v>8334</v>
      </c>
      <c r="H916" s="1" t="s">
        <v>8335</v>
      </c>
      <c r="I916" s="5" t="s">
        <v>8336</v>
      </c>
      <c r="J916" s="7">
        <v>8</v>
      </c>
      <c r="K916" s="7">
        <v>14.7</v>
      </c>
      <c r="L916" s="5" t="s">
        <v>8337</v>
      </c>
      <c r="M916" s="7">
        <v>1.1000000000000001</v>
      </c>
      <c r="N916" s="7">
        <v>0.65</v>
      </c>
      <c r="O916" s="7">
        <v>1.139</v>
      </c>
      <c r="P916" s="1" t="s">
        <v>8338</v>
      </c>
    </row>
    <row r="917" spans="1:16" ht="49.75" x14ac:dyDescent="0.3">
      <c r="A917" s="6" t="str">
        <f>HYPERLINK("https://www.ti.com/product/TPS62A02", "TPS62A02")</f>
        <v>TPS62A02</v>
      </c>
      <c r="B917" s="5" t="s">
        <v>8339</v>
      </c>
      <c r="C917" s="6" t="str">
        <f>HYPERLINK("https://www.ti.com/lit/gpn/TPS62A02", "PDF")</f>
        <v>PDF</v>
      </c>
      <c r="D917" s="5" t="s">
        <v>8340</v>
      </c>
      <c r="E917" s="5" t="s">
        <v>8341</v>
      </c>
      <c r="F917" s="5" t="s">
        <v>8342</v>
      </c>
      <c r="G917" s="5" t="s">
        <v>8343</v>
      </c>
      <c r="H917" s="1" t="s">
        <v>8344</v>
      </c>
      <c r="I917" s="5" t="s">
        <v>8345</v>
      </c>
      <c r="J917" s="7">
        <v>6</v>
      </c>
      <c r="K917" s="7" t="s">
        <v>8346</v>
      </c>
      <c r="L917" s="5" t="s">
        <v>8347</v>
      </c>
      <c r="M917" s="7" t="s">
        <v>8348</v>
      </c>
      <c r="N917" s="7" t="s">
        <v>8349</v>
      </c>
      <c r="O917" s="7">
        <v>5.8000000000000003E-2</v>
      </c>
      <c r="P917" s="1" t="s">
        <v>8350</v>
      </c>
    </row>
    <row r="918" spans="1:16" ht="33.4" x14ac:dyDescent="0.3">
      <c r="A918" s="6" t="str">
        <f>HYPERLINK("https://www.ti.com/product/TPS22811", "TPS22811")</f>
        <v>TPS22811</v>
      </c>
      <c r="B918" s="5" t="s">
        <v>8351</v>
      </c>
      <c r="C918" s="6" t="str">
        <f>HYPERLINK("https://www.ti.com/lit/gpn/TPS22811", "PDF")</f>
        <v>PDF</v>
      </c>
      <c r="D918" s="5" t="s">
        <v>8352</v>
      </c>
      <c r="E918" s="5" t="s">
        <v>8353</v>
      </c>
      <c r="F918" s="5"/>
      <c r="G918" s="5" t="s">
        <v>8354</v>
      </c>
      <c r="H918" s="1" t="s">
        <v>8355</v>
      </c>
      <c r="I918" s="5" t="s">
        <v>8356</v>
      </c>
      <c r="J918" s="7">
        <v>10</v>
      </c>
      <c r="K918" s="7">
        <v>4</v>
      </c>
      <c r="L918" s="5" t="s">
        <v>8357</v>
      </c>
      <c r="M918" s="7">
        <v>1</v>
      </c>
      <c r="N918" s="7">
        <v>0.45</v>
      </c>
      <c r="O918" s="7">
        <v>0.375</v>
      </c>
      <c r="P918" s="1" t="s">
        <v>8358</v>
      </c>
    </row>
    <row r="919" spans="1:16" ht="33.4" x14ac:dyDescent="0.3">
      <c r="A919" s="6" t="str">
        <f>HYPERLINK("https://www.ti.com/product/TPS22953-Q1", "TPS22953-Q1")</f>
        <v>TPS22953-Q1</v>
      </c>
      <c r="B919" s="5" t="s">
        <v>8359</v>
      </c>
      <c r="C919" s="6" t="str">
        <f>HYPERLINK("https://www.ti.com/lit/gpn/TPS22953-Q1", "PDF")</f>
        <v>PDF</v>
      </c>
      <c r="D919" s="5" t="s">
        <v>8360</v>
      </c>
      <c r="E919" s="5" t="s">
        <v>8361</v>
      </c>
      <c r="F919" s="5"/>
      <c r="G919" s="5" t="s">
        <v>8362</v>
      </c>
      <c r="H919" s="1" t="s">
        <v>8363</v>
      </c>
      <c r="I919" s="5" t="s">
        <v>8364</v>
      </c>
      <c r="J919" s="7">
        <v>10</v>
      </c>
      <c r="K919" s="7">
        <v>6</v>
      </c>
      <c r="L919" s="5" t="s">
        <v>8365</v>
      </c>
      <c r="M919" s="7">
        <v>0.8</v>
      </c>
      <c r="N919" s="7">
        <v>0.5</v>
      </c>
      <c r="O919" s="7">
        <v>0.27100000000000002</v>
      </c>
      <c r="P919" s="1" t="s">
        <v>8366</v>
      </c>
    </row>
    <row r="920" spans="1:16" ht="33.4" x14ac:dyDescent="0.3">
      <c r="A920" s="6" t="str">
        <f>HYPERLINK("https://www.ti.com/product/TPS22954-Q1", "TPS22954-Q1")</f>
        <v>TPS22954-Q1</v>
      </c>
      <c r="B920" s="5" t="s">
        <v>8367</v>
      </c>
      <c r="C920" s="6" t="str">
        <f>HYPERLINK("https://www.ti.com/lit/gpn/TPS22954-Q1", "PDF")</f>
        <v>PDF</v>
      </c>
      <c r="D920" s="5" t="s">
        <v>8368</v>
      </c>
      <c r="E920" s="5" t="s">
        <v>8369</v>
      </c>
      <c r="F920" s="5"/>
      <c r="G920" s="5" t="s">
        <v>8370</v>
      </c>
      <c r="H920" s="1" t="s">
        <v>8371</v>
      </c>
      <c r="I920" s="5" t="s">
        <v>8372</v>
      </c>
      <c r="J920" s="7">
        <v>10</v>
      </c>
      <c r="K920" s="7">
        <v>6</v>
      </c>
      <c r="L920" s="5" t="s">
        <v>8373</v>
      </c>
      <c r="M920" s="7">
        <v>0.8</v>
      </c>
      <c r="N920" s="7">
        <v>0.5</v>
      </c>
      <c r="O920" s="7">
        <v>0.29499999999999998</v>
      </c>
      <c r="P920" s="1" t="s">
        <v>8374</v>
      </c>
    </row>
    <row r="921" spans="1:16" ht="33.4" x14ac:dyDescent="0.3">
      <c r="A921" s="6" t="str">
        <f>HYPERLINK("https://www.ti.com/product/TPS62870-Q1", "TPS62870-Q1")</f>
        <v>TPS62870-Q1</v>
      </c>
      <c r="B921" s="5" t="s">
        <v>8375</v>
      </c>
      <c r="C921" s="6" t="str">
        <f>HYPERLINK("https://www.ti.com/lit/gpn/TPS62870-Q1", "PDF")</f>
        <v>PDF</v>
      </c>
      <c r="D921" s="5" t="s">
        <v>8376</v>
      </c>
      <c r="E921" s="5" t="s">
        <v>8377</v>
      </c>
      <c r="F921" s="5" t="s">
        <v>8378</v>
      </c>
      <c r="G921" s="5" t="s">
        <v>8379</v>
      </c>
      <c r="H921" s="1" t="s">
        <v>8380</v>
      </c>
      <c r="I921" s="5" t="s">
        <v>8381</v>
      </c>
      <c r="J921" s="7">
        <v>16</v>
      </c>
      <c r="K921" s="7">
        <v>9.0525000000000002</v>
      </c>
      <c r="L921" s="5" t="s">
        <v>8382</v>
      </c>
      <c r="M921" s="7">
        <v>1.05</v>
      </c>
      <c r="N921" s="7">
        <v>0.5</v>
      </c>
      <c r="O921" s="7">
        <v>1.742</v>
      </c>
      <c r="P921" s="1" t="s">
        <v>8383</v>
      </c>
    </row>
    <row r="922" spans="1:16" ht="33.4" x14ac:dyDescent="0.3">
      <c r="A922" s="6" t="str">
        <f>HYPERLINK("https://www.ti.com/product/TPS92664-Q1", "TPS92664-Q1")</f>
        <v>TPS92664-Q1</v>
      </c>
      <c r="B922" s="5" t="s">
        <v>8384</v>
      </c>
      <c r="C922" s="6" t="str">
        <f>HYPERLINK("https://www.ti.com/lit/gpn/TPS92664-Q1", "PDF")</f>
        <v>PDF</v>
      </c>
      <c r="D922" s="5" t="s">
        <v>8385</v>
      </c>
      <c r="E922" s="5" t="s">
        <v>8386</v>
      </c>
      <c r="F922" s="5" t="s">
        <v>8387</v>
      </c>
      <c r="G922" s="5" t="s">
        <v>8388</v>
      </c>
      <c r="H922" s="1" t="s">
        <v>8389</v>
      </c>
      <c r="I922" s="5" t="s">
        <v>8390</v>
      </c>
      <c r="J922" s="7">
        <v>48</v>
      </c>
      <c r="K922" s="7">
        <v>81</v>
      </c>
      <c r="L922" s="5" t="s">
        <v>8391</v>
      </c>
      <c r="M922" s="7">
        <v>1.2</v>
      </c>
      <c r="N922" s="7">
        <v>0.5</v>
      </c>
      <c r="O922" s="7">
        <v>3.738</v>
      </c>
      <c r="P922" s="1" t="s">
        <v>8392</v>
      </c>
    </row>
    <row r="923" spans="1:16" ht="33.4" x14ac:dyDescent="0.3">
      <c r="A923" s="6" t="str">
        <f>HYPERLINK("https://www.ti.com/product/TPS563300", "TPS563300")</f>
        <v>TPS563300</v>
      </c>
      <c r="B923" s="5" t="s">
        <v>8393</v>
      </c>
      <c r="C923" s="6" t="str">
        <f>HYPERLINK("https://www.ti.com/lit/gpn/TPS563300", "PDF")</f>
        <v>PDF</v>
      </c>
      <c r="D923" s="5" t="s">
        <v>8394</v>
      </c>
      <c r="E923" s="5" t="s">
        <v>8395</v>
      </c>
      <c r="F923" s="5" t="s">
        <v>8396</v>
      </c>
      <c r="G923" s="5" t="s">
        <v>8397</v>
      </c>
      <c r="H923" s="1" t="s">
        <v>8398</v>
      </c>
      <c r="I923" s="5" t="s">
        <v>8399</v>
      </c>
      <c r="J923" s="7">
        <v>8</v>
      </c>
      <c r="K923" s="7">
        <v>3.36</v>
      </c>
      <c r="L923" s="5" t="s">
        <v>8400</v>
      </c>
      <c r="M923" s="7">
        <v>0.6</v>
      </c>
      <c r="N923" s="7">
        <v>0.5</v>
      </c>
      <c r="O923" s="7">
        <v>0.375</v>
      </c>
      <c r="P923" s="1" t="s">
        <v>8401</v>
      </c>
    </row>
    <row r="924" spans="1:16" ht="33.4" x14ac:dyDescent="0.3">
      <c r="A924" s="6" t="str">
        <f>HYPERLINK("https://www.ti.com/product/TPS62933F", "TPS62933F")</f>
        <v>TPS62933F</v>
      </c>
      <c r="B924" s="5" t="s">
        <v>8402</v>
      </c>
      <c r="C924" s="6" t="str">
        <f>HYPERLINK("https://www.ti.com/lit/gpn/TPS62933F", "PDF")</f>
        <v>PDF</v>
      </c>
      <c r="D924" s="5" t="s">
        <v>8403</v>
      </c>
      <c r="E924" s="5" t="s">
        <v>8404</v>
      </c>
      <c r="F924" s="5" t="s">
        <v>8405</v>
      </c>
      <c r="G924" s="5" t="s">
        <v>8406</v>
      </c>
      <c r="H924" s="1" t="s">
        <v>8407</v>
      </c>
      <c r="I924" s="5" t="s">
        <v>8408</v>
      </c>
      <c r="J924" s="7">
        <v>8</v>
      </c>
      <c r="K924" s="7">
        <v>3.36</v>
      </c>
      <c r="L924" s="5" t="s">
        <v>8409</v>
      </c>
      <c r="M924" s="7">
        <v>0.6</v>
      </c>
      <c r="N924" s="7">
        <v>0.5</v>
      </c>
      <c r="O924" s="7">
        <v>0.438</v>
      </c>
      <c r="P924" s="1" t="s">
        <v>8410</v>
      </c>
    </row>
    <row r="925" spans="1:16" ht="33.4" x14ac:dyDescent="0.3">
      <c r="A925" s="6" t="str">
        <f>HYPERLINK("https://www.ti.com/product/TPS62933P", "TPS62933P")</f>
        <v>TPS62933P</v>
      </c>
      <c r="B925" s="5" t="s">
        <v>8411</v>
      </c>
      <c r="C925" s="6" t="str">
        <f>HYPERLINK("https://www.ti.com/lit/gpn/TPS62933P", "PDF")</f>
        <v>PDF</v>
      </c>
      <c r="D925" s="5" t="s">
        <v>8412</v>
      </c>
      <c r="E925" s="5" t="s">
        <v>8413</v>
      </c>
      <c r="F925" s="5" t="s">
        <v>8414</v>
      </c>
      <c r="G925" s="5" t="s">
        <v>8415</v>
      </c>
      <c r="H925" s="1" t="s">
        <v>8416</v>
      </c>
      <c r="I925" s="5" t="s">
        <v>8417</v>
      </c>
      <c r="J925" s="7">
        <v>8</v>
      </c>
      <c r="K925" s="7">
        <v>3.36</v>
      </c>
      <c r="L925" s="5" t="s">
        <v>8418</v>
      </c>
      <c r="M925" s="7">
        <v>0.6</v>
      </c>
      <c r="N925" s="7">
        <v>0.5</v>
      </c>
      <c r="O925" s="7">
        <v>0.438</v>
      </c>
      <c r="P925" s="1" t="s">
        <v>8419</v>
      </c>
    </row>
    <row r="926" spans="1:16" ht="33.4" x14ac:dyDescent="0.3">
      <c r="A926" s="6" t="str">
        <f>HYPERLINK("https://www.ti.com/product/TPS7A57", "TPS7A57")</f>
        <v>TPS7A57</v>
      </c>
      <c r="B926" s="5" t="s">
        <v>8420</v>
      </c>
      <c r="C926" s="6" t="str">
        <f>HYPERLINK("https://www.ti.com/lit/gpn/TPS7A57", "PDF")</f>
        <v>PDF</v>
      </c>
      <c r="D926" s="5" t="s">
        <v>8421</v>
      </c>
      <c r="E926" s="5" t="s">
        <v>8422</v>
      </c>
      <c r="F926" s="5"/>
      <c r="G926" s="5" t="s">
        <v>8423</v>
      </c>
      <c r="H926" s="1" t="s">
        <v>8424</v>
      </c>
      <c r="I926" s="5" t="s">
        <v>8425</v>
      </c>
      <c r="J926" s="7">
        <v>16</v>
      </c>
      <c r="K926" s="7">
        <v>9</v>
      </c>
      <c r="L926" s="5" t="s">
        <v>8426</v>
      </c>
      <c r="M926" s="7">
        <v>0.8</v>
      </c>
      <c r="N926" s="7">
        <v>0.5</v>
      </c>
      <c r="O926" s="7">
        <v>6.0380000000000003</v>
      </c>
      <c r="P926" s="1" t="s">
        <v>8427</v>
      </c>
    </row>
    <row r="927" spans="1:16" ht="33.4" x14ac:dyDescent="0.3">
      <c r="A927" s="6" t="str">
        <f>HYPERLINK("https://www.ti.com/product/LM74721-Q1", "LM74721-Q1")</f>
        <v>LM74721-Q1</v>
      </c>
      <c r="B927" s="5" t="s">
        <v>8428</v>
      </c>
      <c r="C927" s="6" t="str">
        <f>HYPERLINK("https://www.ti.com/lit/gpn/LM74721-Q1", "PDF")</f>
        <v>PDF</v>
      </c>
      <c r="D927" s="5" t="s">
        <v>8429</v>
      </c>
      <c r="E927" s="5" t="s">
        <v>8430</v>
      </c>
      <c r="F927" s="5"/>
      <c r="G927" s="5" t="s">
        <v>8431</v>
      </c>
      <c r="H927" s="1" t="s">
        <v>8432</v>
      </c>
      <c r="I927" s="5" t="s">
        <v>8433</v>
      </c>
      <c r="J927" s="7">
        <v>12</v>
      </c>
      <c r="K927" s="7">
        <v>9</v>
      </c>
      <c r="L927" s="5" t="s">
        <v>8434</v>
      </c>
      <c r="M927" s="7">
        <v>0.8</v>
      </c>
      <c r="N927" s="7">
        <v>0.5</v>
      </c>
      <c r="O927" s="7">
        <v>0.94</v>
      </c>
      <c r="P927" s="1" t="s">
        <v>8435</v>
      </c>
    </row>
    <row r="928" spans="1:16" ht="33.4" x14ac:dyDescent="0.3">
      <c r="A928" s="6" t="str">
        <f>HYPERLINK("https://www.ti.com/product/TPS25981", "TPS25981")</f>
        <v>TPS25981</v>
      </c>
      <c r="B928" s="5" t="s">
        <v>8436</v>
      </c>
      <c r="C928" s="6" t="str">
        <f>HYPERLINK("https://www.ti.com/lit/gpn/TPS25981", "PDF")</f>
        <v>PDF</v>
      </c>
      <c r="D928" s="5" t="s">
        <v>8437</v>
      </c>
      <c r="E928" s="5" t="s">
        <v>8438</v>
      </c>
      <c r="F928" s="5"/>
      <c r="G928" s="5" t="s">
        <v>8439</v>
      </c>
      <c r="H928" s="1" t="s">
        <v>8440</v>
      </c>
      <c r="I928" s="5" t="s">
        <v>8441</v>
      </c>
      <c r="J928" s="7">
        <v>10</v>
      </c>
      <c r="K928" s="7">
        <v>4</v>
      </c>
      <c r="L928" s="5" t="s">
        <v>8442</v>
      </c>
      <c r="M928" s="7">
        <v>1</v>
      </c>
      <c r="N928" s="7">
        <v>0.45</v>
      </c>
      <c r="O928" s="7">
        <v>0.75</v>
      </c>
      <c r="P928" s="1" t="s">
        <v>8443</v>
      </c>
    </row>
    <row r="929" spans="1:16" ht="33.4" x14ac:dyDescent="0.3">
      <c r="A929" s="6" t="str">
        <f>HYPERLINK("https://www.ti.com/product/TPS7A15", "TPS7A15")</f>
        <v>TPS7A15</v>
      </c>
      <c r="B929" s="5" t="s">
        <v>8444</v>
      </c>
      <c r="C929" s="6" t="str">
        <f>HYPERLINK("https://www.ti.com/lit/gpn/TPS7A15", "PDF")</f>
        <v>PDF</v>
      </c>
      <c r="D929" s="5" t="s">
        <v>8445</v>
      </c>
      <c r="E929" s="5" t="s">
        <v>8446</v>
      </c>
      <c r="F929" s="5"/>
      <c r="G929" s="5" t="s">
        <v>8447</v>
      </c>
      <c r="H929" s="1" t="s">
        <v>8448</v>
      </c>
      <c r="I929" s="5" t="s">
        <v>8449</v>
      </c>
      <c r="J929" s="7">
        <v>6</v>
      </c>
      <c r="K929" s="7" t="s">
        <v>8450</v>
      </c>
      <c r="L929" s="5" t="s">
        <v>8451</v>
      </c>
      <c r="M929" s="7" t="s">
        <v>8452</v>
      </c>
      <c r="N929" s="7" t="s">
        <v>8453</v>
      </c>
      <c r="O929" s="7">
        <v>0.23</v>
      </c>
      <c r="P929" s="1" t="s">
        <v>8454</v>
      </c>
    </row>
    <row r="930" spans="1:16" ht="17.05" x14ac:dyDescent="0.3">
      <c r="A930" s="6" t="str">
        <f>HYPERLINK("https://www.ti.com/product/TPS92623-Q1", "TPS92623-Q1")</f>
        <v>TPS92623-Q1</v>
      </c>
      <c r="B930" s="5" t="s">
        <v>8455</v>
      </c>
      <c r="C930" s="6" t="str">
        <f>HYPERLINK("https://www.ti.com/lit/gpn/TPS92623-Q1", "PDF")</f>
        <v>PDF</v>
      </c>
      <c r="D930" s="5" t="s">
        <v>8456</v>
      </c>
      <c r="E930" s="5" t="s">
        <v>8457</v>
      </c>
      <c r="F930" s="5" t="s">
        <v>8458</v>
      </c>
      <c r="G930" s="5" t="s">
        <v>8459</v>
      </c>
      <c r="H930" s="1" t="s">
        <v>8460</v>
      </c>
      <c r="I930" s="5" t="s">
        <v>8461</v>
      </c>
      <c r="J930" s="7">
        <v>16</v>
      </c>
      <c r="K930" s="7">
        <v>32</v>
      </c>
      <c r="L930" s="5" t="s">
        <v>8462</v>
      </c>
      <c r="M930" s="7">
        <v>1.2</v>
      </c>
      <c r="N930" s="7">
        <v>0.65</v>
      </c>
      <c r="O930" s="7">
        <v>0.80300000000000005</v>
      </c>
      <c r="P930" s="1" t="s">
        <v>8463</v>
      </c>
    </row>
    <row r="931" spans="1:16" ht="33.4" x14ac:dyDescent="0.3">
      <c r="A931" s="6" t="str">
        <f>HYPERLINK("https://www.ti.com/product/TPS63901", "TPS63901")</f>
        <v>TPS63901</v>
      </c>
      <c r="B931" s="5" t="s">
        <v>8464</v>
      </c>
      <c r="C931" s="6" t="str">
        <f>HYPERLINK("https://www.ti.com/lit/gpn/TPS63901", "PDF")</f>
        <v>PDF</v>
      </c>
      <c r="D931" s="5" t="s">
        <v>8465</v>
      </c>
      <c r="E931" s="5" t="s">
        <v>8466</v>
      </c>
      <c r="F931" s="5" t="s">
        <v>8467</v>
      </c>
      <c r="G931" s="5" t="s">
        <v>8468</v>
      </c>
      <c r="H931" s="1" t="s">
        <v>8469</v>
      </c>
      <c r="I931" s="5" t="s">
        <v>8470</v>
      </c>
      <c r="J931" s="7">
        <v>12</v>
      </c>
      <c r="K931" s="7">
        <v>1.471168</v>
      </c>
      <c r="L931" s="5" t="s">
        <v>8471</v>
      </c>
      <c r="M931" s="7">
        <v>0.35</v>
      </c>
      <c r="N931" s="7">
        <v>0.35</v>
      </c>
      <c r="O931" s="7">
        <v>0.92</v>
      </c>
      <c r="P931" s="1" t="s">
        <v>8472</v>
      </c>
    </row>
    <row r="932" spans="1:16" ht="33.4" x14ac:dyDescent="0.3">
      <c r="A932" s="6" t="str">
        <f>HYPERLINK("https://www.ti.com/product/LP8762-Q1", "LP8762-Q1")</f>
        <v>LP8762-Q1</v>
      </c>
      <c r="B932" s="5" t="s">
        <v>8473</v>
      </c>
      <c r="C932" s="6" t="str">
        <f>HYPERLINK("https://www.ti.com/lit/gpn/LP8762-Q1", "PDF")</f>
        <v>PDF</v>
      </c>
      <c r="D932" s="5" t="s">
        <v>8474</v>
      </c>
      <c r="E932" s="5" t="s">
        <v>8475</v>
      </c>
      <c r="F932" s="5"/>
      <c r="G932" s="5" t="s">
        <v>8476</v>
      </c>
      <c r="H932" s="1" t="s">
        <v>8477</v>
      </c>
      <c r="I932" s="5" t="s">
        <v>8478</v>
      </c>
      <c r="J932" s="7">
        <v>32</v>
      </c>
      <c r="K932" s="7">
        <v>27.5</v>
      </c>
      <c r="L932" s="5" t="s">
        <v>8479</v>
      </c>
      <c r="M932" s="7">
        <v>1</v>
      </c>
      <c r="N932" s="7">
        <v>0.5</v>
      </c>
      <c r="O932" s="7">
        <v>3.278</v>
      </c>
      <c r="P932" s="1" t="s">
        <v>8480</v>
      </c>
    </row>
    <row r="933" spans="1:16" ht="33.4" x14ac:dyDescent="0.3">
      <c r="A933" s="6" t="str">
        <f>HYPERLINK("https://www.ti.com/product/TPS62441-Q1", "TPS62441-Q1")</f>
        <v>TPS62441-Q1</v>
      </c>
      <c r="B933" s="5" t="s">
        <v>8481</v>
      </c>
      <c r="C933" s="6" t="str">
        <f>HYPERLINK("https://www.ti.com/lit/gpn/TPS62441-Q1", "PDF")</f>
        <v>PDF</v>
      </c>
      <c r="D933" s="5" t="s">
        <v>8482</v>
      </c>
      <c r="E933" s="5" t="s">
        <v>8483</v>
      </c>
      <c r="F933" s="5" t="s">
        <v>8484</v>
      </c>
      <c r="G933" s="5" t="s">
        <v>8485</v>
      </c>
      <c r="H933" s="1" t="s">
        <v>8486</v>
      </c>
      <c r="I933" s="5" t="s">
        <v>8487</v>
      </c>
      <c r="J933" s="7">
        <v>14</v>
      </c>
      <c r="K933" s="7">
        <v>6.21</v>
      </c>
      <c r="L933" s="5" t="s">
        <v>8488</v>
      </c>
      <c r="M933" s="7">
        <v>1</v>
      </c>
      <c r="N933" s="7">
        <v>0.5</v>
      </c>
      <c r="O933" s="7">
        <v>1.151</v>
      </c>
      <c r="P933" s="1" t="s">
        <v>8489</v>
      </c>
    </row>
    <row r="934" spans="1:16" ht="33.4" x14ac:dyDescent="0.3">
      <c r="A934" s="6" t="str">
        <f>HYPERLINK("https://www.ti.com/product/TPS62442-Q1", "TPS62442-Q1")</f>
        <v>TPS62442-Q1</v>
      </c>
      <c r="B934" s="5" t="s">
        <v>8490</v>
      </c>
      <c r="C934" s="6" t="str">
        <f>HYPERLINK("https://www.ti.com/lit/gpn/TPS62442-Q1", "PDF")</f>
        <v>PDF</v>
      </c>
      <c r="D934" s="5" t="s">
        <v>8491</v>
      </c>
      <c r="E934" s="5" t="s">
        <v>8492</v>
      </c>
      <c r="F934" s="5" t="s">
        <v>8493</v>
      </c>
      <c r="G934" s="5" t="s">
        <v>8494</v>
      </c>
      <c r="H934" s="1" t="s">
        <v>8495</v>
      </c>
      <c r="I934" s="5" t="s">
        <v>8496</v>
      </c>
      <c r="J934" s="7">
        <v>14</v>
      </c>
      <c r="K934" s="7">
        <v>6.21</v>
      </c>
      <c r="L934" s="5" t="s">
        <v>8497</v>
      </c>
      <c r="M934" s="7">
        <v>1</v>
      </c>
      <c r="N934" s="7">
        <v>0.5</v>
      </c>
      <c r="O934" s="7">
        <v>1.254</v>
      </c>
      <c r="P934" s="1" t="s">
        <v>8498</v>
      </c>
    </row>
    <row r="935" spans="1:16" ht="33.4" x14ac:dyDescent="0.3">
      <c r="A935" s="6" t="str">
        <f>HYPERLINK("https://www.ti.com/product/LMR51430", "LMR51430")</f>
        <v>LMR51430</v>
      </c>
      <c r="B935" s="5" t="s">
        <v>8499</v>
      </c>
      <c r="C935" s="6" t="str">
        <f>HYPERLINK("https://www.ti.com/lit/gpn/LMR51430", "PDF")</f>
        <v>PDF</v>
      </c>
      <c r="D935" s="5" t="s">
        <v>8500</v>
      </c>
      <c r="E935" s="5" t="s">
        <v>8501</v>
      </c>
      <c r="F935" s="5" t="s">
        <v>8502</v>
      </c>
      <c r="G935" s="5" t="s">
        <v>8503</v>
      </c>
      <c r="H935" s="1" t="s">
        <v>8504</v>
      </c>
      <c r="I935" s="5" t="s">
        <v>8505</v>
      </c>
      <c r="J935" s="7">
        <v>6</v>
      </c>
      <c r="K935" s="7">
        <v>8.1199999999999992</v>
      </c>
      <c r="L935" s="5" t="s">
        <v>8506</v>
      </c>
      <c r="M935" s="7">
        <v>1.1000000000000001</v>
      </c>
      <c r="N935" s="7">
        <v>0.95</v>
      </c>
      <c r="O935" s="7">
        <v>0.56299999999999994</v>
      </c>
      <c r="P935" s="1" t="s">
        <v>8507</v>
      </c>
    </row>
    <row r="936" spans="1:16" ht="33.4" x14ac:dyDescent="0.3">
      <c r="A936" s="6" t="str">
        <f>HYPERLINK("https://www.ti.com/product/TPS650331-Q1", "TPS650331-Q1")</f>
        <v>TPS650331-Q1</v>
      </c>
      <c r="B936" s="5" t="s">
        <v>8508</v>
      </c>
      <c r="C936" s="6" t="str">
        <f>HYPERLINK("https://www.ti.com/lit/gpn/TPS650331-Q1", "PDF")</f>
        <v>PDF</v>
      </c>
      <c r="D936" s="5" t="s">
        <v>8509</v>
      </c>
      <c r="E936" s="5" t="s">
        <v>8510</v>
      </c>
      <c r="F936" s="5"/>
      <c r="G936" s="5" t="s">
        <v>8511</v>
      </c>
      <c r="H936" s="1" t="s">
        <v>8512</v>
      </c>
      <c r="I936" s="5" t="s">
        <v>8513</v>
      </c>
      <c r="J936" s="7">
        <v>24</v>
      </c>
      <c r="K936" s="7">
        <v>16</v>
      </c>
      <c r="L936" s="5" t="s">
        <v>8514</v>
      </c>
      <c r="M936" s="7">
        <v>1</v>
      </c>
      <c r="N936" s="7">
        <v>0.5</v>
      </c>
      <c r="O936" s="7">
        <v>1.3959999999999999</v>
      </c>
      <c r="P936" s="1" t="s">
        <v>8515</v>
      </c>
    </row>
    <row r="937" spans="1:16" ht="33.4" x14ac:dyDescent="0.3">
      <c r="A937" s="6" t="str">
        <f>HYPERLINK("https://www.ti.com/product/TPS7A94", "TPS7A94")</f>
        <v>TPS7A94</v>
      </c>
      <c r="B937" s="5" t="s">
        <v>8516</v>
      </c>
      <c r="C937" s="6" t="str">
        <f>HYPERLINK("https://www.ti.com/lit/gpn/TPS7A94", "PDF")</f>
        <v>PDF</v>
      </c>
      <c r="D937" s="5" t="s">
        <v>8517</v>
      </c>
      <c r="E937" s="5" t="s">
        <v>8518</v>
      </c>
      <c r="F937" s="5"/>
      <c r="G937" s="5" t="s">
        <v>8519</v>
      </c>
      <c r="H937" s="1" t="s">
        <v>8520</v>
      </c>
      <c r="I937" s="5" t="s">
        <v>8521</v>
      </c>
      <c r="J937" s="7">
        <v>10</v>
      </c>
      <c r="K937" s="7">
        <v>9</v>
      </c>
      <c r="L937" s="5" t="s">
        <v>8522</v>
      </c>
      <c r="M937" s="7">
        <v>0.8</v>
      </c>
      <c r="N937" s="7">
        <v>0.5</v>
      </c>
      <c r="O937" s="7">
        <v>3.3420000000000001</v>
      </c>
      <c r="P937" s="1" t="s">
        <v>8523</v>
      </c>
    </row>
    <row r="938" spans="1:16" ht="33.4" x14ac:dyDescent="0.3">
      <c r="A938" s="6" t="str">
        <f>HYPERLINK("https://www.ti.com/product/TPS628503", "TPS628503")</f>
        <v>TPS628503</v>
      </c>
      <c r="B938" s="5" t="s">
        <v>8524</v>
      </c>
      <c r="C938" s="6" t="str">
        <f>HYPERLINK("https://www.ti.com/lit/gpn/TPS628503", "PDF")</f>
        <v>PDF</v>
      </c>
      <c r="D938" s="5" t="s">
        <v>8525</v>
      </c>
      <c r="E938" s="5" t="s">
        <v>8526</v>
      </c>
      <c r="F938" s="5" t="s">
        <v>8527</v>
      </c>
      <c r="G938" s="5" t="s">
        <v>8528</v>
      </c>
      <c r="H938" s="1" t="s">
        <v>8529</v>
      </c>
      <c r="I938" s="5" t="s">
        <v>8530</v>
      </c>
      <c r="J938" s="7">
        <v>8</v>
      </c>
      <c r="K938" s="7">
        <v>3.36</v>
      </c>
      <c r="L938" s="5" t="s">
        <v>8531</v>
      </c>
      <c r="M938" s="7">
        <v>0.6</v>
      </c>
      <c r="N938" s="7">
        <v>0.5</v>
      </c>
      <c r="O938" s="7">
        <v>0.61599999999999999</v>
      </c>
      <c r="P938" s="1" t="s">
        <v>8532</v>
      </c>
    </row>
    <row r="939" spans="1:16" ht="17.05" x14ac:dyDescent="0.3">
      <c r="A939" s="6" t="str">
        <f>HYPERLINK("https://www.ti.com/product/TPS92643-Q1", "TPS92643-Q1")</f>
        <v>TPS92643-Q1</v>
      </c>
      <c r="B939" s="5" t="s">
        <v>8533</v>
      </c>
      <c r="C939" s="6" t="str">
        <f>HYPERLINK("https://www.ti.com/lit/gpn/TPS92643-Q1", "PDF")</f>
        <v>PDF</v>
      </c>
      <c r="D939" s="5" t="s">
        <v>8534</v>
      </c>
      <c r="E939" s="5" t="s">
        <v>8535</v>
      </c>
      <c r="F939" s="5" t="s">
        <v>8536</v>
      </c>
      <c r="G939" s="5" t="s">
        <v>8537</v>
      </c>
      <c r="H939" s="1" t="s">
        <v>8538</v>
      </c>
      <c r="I939" s="5" t="s">
        <v>8539</v>
      </c>
      <c r="J939" s="7">
        <v>16</v>
      </c>
      <c r="K939" s="7">
        <v>32</v>
      </c>
      <c r="L939" s="5" t="s">
        <v>8540</v>
      </c>
      <c r="M939" s="7">
        <v>1.2</v>
      </c>
      <c r="N939" s="7">
        <v>0.65</v>
      </c>
      <c r="O939" s="7">
        <v>1.0640000000000001</v>
      </c>
      <c r="P939" s="1" t="s">
        <v>8541</v>
      </c>
    </row>
    <row r="940" spans="1:16" ht="33.4" x14ac:dyDescent="0.3">
      <c r="A940" s="6" t="str">
        <f>HYPERLINK("https://www.ti.com/product/LM25143-Q1", "LM25143-Q1")</f>
        <v>LM25143-Q1</v>
      </c>
      <c r="B940" s="5" t="s">
        <v>8542</v>
      </c>
      <c r="C940" s="6" t="str">
        <f>HYPERLINK("https://www.ti.com/lit/gpn/LM25143-Q1", "PDF")</f>
        <v>PDF</v>
      </c>
      <c r="D940" s="5" t="s">
        <v>8543</v>
      </c>
      <c r="E940" s="5" t="s">
        <v>8544</v>
      </c>
      <c r="F940" s="5" t="s">
        <v>8545</v>
      </c>
      <c r="G940" s="5" t="s">
        <v>8546</v>
      </c>
      <c r="H940" s="1" t="s">
        <v>8547</v>
      </c>
      <c r="I940" s="5" t="s">
        <v>8548</v>
      </c>
      <c r="J940" s="7">
        <v>40</v>
      </c>
      <c r="K940" s="7">
        <v>36</v>
      </c>
      <c r="L940" s="5" t="s">
        <v>8549</v>
      </c>
      <c r="M940" s="7">
        <v>1</v>
      </c>
      <c r="N940" s="7">
        <v>0.5</v>
      </c>
      <c r="O940" s="7">
        <v>1.796</v>
      </c>
      <c r="P940" s="1" t="s">
        <v>8550</v>
      </c>
    </row>
    <row r="941" spans="1:16" ht="33.4" x14ac:dyDescent="0.3">
      <c r="A941" s="6" t="str">
        <f>HYPERLINK("https://www.ti.com/product/LM5143A-Q1", "LM5143A-Q1")</f>
        <v>LM5143A-Q1</v>
      </c>
      <c r="B941" s="5" t="s">
        <v>8551</v>
      </c>
      <c r="C941" s="6" t="str">
        <f>HYPERLINK("https://www.ti.com/lit/gpn/LM5143A-Q1", "PDF")</f>
        <v>PDF</v>
      </c>
      <c r="D941" s="5" t="s">
        <v>8552</v>
      </c>
      <c r="E941" s="5" t="s">
        <v>8553</v>
      </c>
      <c r="F941" s="5" t="s">
        <v>8554</v>
      </c>
      <c r="G941" s="5" t="s">
        <v>8555</v>
      </c>
      <c r="H941" s="1" t="s">
        <v>8556</v>
      </c>
      <c r="I941" s="5" t="s">
        <v>8557</v>
      </c>
      <c r="J941" s="7">
        <v>40</v>
      </c>
      <c r="K941" s="7">
        <v>36</v>
      </c>
      <c r="L941" s="5" t="s">
        <v>8558</v>
      </c>
      <c r="M941" s="7">
        <v>1</v>
      </c>
      <c r="N941" s="7">
        <v>0.5</v>
      </c>
      <c r="O941" s="7">
        <v>2.246</v>
      </c>
      <c r="P941" s="1" t="s">
        <v>8559</v>
      </c>
    </row>
    <row r="942" spans="1:16" ht="33.4" x14ac:dyDescent="0.3">
      <c r="A942" s="6" t="str">
        <f>HYPERLINK("https://www.ti.com/product/TLVM13620", "TLVM13620")</f>
        <v>TLVM13620</v>
      </c>
      <c r="B942" s="5" t="s">
        <v>8560</v>
      </c>
      <c r="C942" s="6" t="str">
        <f>HYPERLINK("https://www.ti.com/lit/gpn/TLVM13620", "PDF")</f>
        <v>PDF</v>
      </c>
      <c r="D942" s="5" t="s">
        <v>8561</v>
      </c>
      <c r="E942" s="5" t="s">
        <v>8562</v>
      </c>
      <c r="F942" s="5" t="s">
        <v>8563</v>
      </c>
      <c r="G942" s="5" t="s">
        <v>8564</v>
      </c>
      <c r="H942" s="1" t="s">
        <v>8565</v>
      </c>
      <c r="I942" s="5" t="s">
        <v>8566</v>
      </c>
      <c r="J942" s="7">
        <v>30</v>
      </c>
      <c r="K942" s="7">
        <v>24</v>
      </c>
      <c r="L942" s="5" t="s">
        <v>8567</v>
      </c>
      <c r="M942" s="7">
        <v>1.9</v>
      </c>
      <c r="N942" s="7">
        <v>0.5</v>
      </c>
      <c r="O942" s="7">
        <v>1.4379999999999999</v>
      </c>
      <c r="P942" s="1" t="s">
        <v>8568</v>
      </c>
    </row>
    <row r="943" spans="1:16" ht="33.4" x14ac:dyDescent="0.3">
      <c r="A943" s="6" t="str">
        <f>HYPERLINK("https://www.ti.com/product/TPSM63602", "TPSM63602")</f>
        <v>TPSM63602</v>
      </c>
      <c r="B943" s="5" t="s">
        <v>8569</v>
      </c>
      <c r="C943" s="6" t="str">
        <f>HYPERLINK("https://www.ti.com/lit/gpn/TPSM63602", "PDF")</f>
        <v>PDF</v>
      </c>
      <c r="D943" s="5" t="s">
        <v>8570</v>
      </c>
      <c r="E943" s="5" t="s">
        <v>8571</v>
      </c>
      <c r="F943" s="5" t="s">
        <v>8572</v>
      </c>
      <c r="G943" s="5" t="s">
        <v>8573</v>
      </c>
      <c r="H943" s="1" t="s">
        <v>8574</v>
      </c>
      <c r="I943" s="5" t="s">
        <v>8575</v>
      </c>
      <c r="J943" s="7">
        <v>30</v>
      </c>
      <c r="K943" s="7">
        <v>24</v>
      </c>
      <c r="L943" s="5" t="s">
        <v>8576</v>
      </c>
      <c r="M943" s="7">
        <v>1.9</v>
      </c>
      <c r="N943" s="7">
        <v>0.5</v>
      </c>
      <c r="O943" s="7">
        <v>4.0999999999999996</v>
      </c>
      <c r="P943" s="1" t="s">
        <v>8577</v>
      </c>
    </row>
    <row r="944" spans="1:16" ht="33.4" x14ac:dyDescent="0.3">
      <c r="A944" s="6" t="str">
        <f>HYPERLINK("https://www.ti.com/product/TPSM63603E", "TPSM63603E")</f>
        <v>TPSM63603E</v>
      </c>
      <c r="B944" s="5" t="s">
        <v>8578</v>
      </c>
      <c r="C944" s="6" t="str">
        <f>HYPERLINK("https://www.ti.com/lit/gpn/TPSM63603E", "PDF")</f>
        <v>PDF</v>
      </c>
      <c r="D944" s="5" t="s">
        <v>8579</v>
      </c>
      <c r="E944" s="5" t="s">
        <v>8580</v>
      </c>
      <c r="F944" s="5" t="s">
        <v>8581</v>
      </c>
      <c r="G944" s="5" t="s">
        <v>8582</v>
      </c>
      <c r="H944" s="1" t="s">
        <v>8583</v>
      </c>
      <c r="I944" s="5" t="s">
        <v>8584</v>
      </c>
      <c r="J944" s="7">
        <v>30</v>
      </c>
      <c r="K944" s="7">
        <v>24</v>
      </c>
      <c r="L944" s="5" t="s">
        <v>8585</v>
      </c>
      <c r="M944" s="7">
        <v>1.9</v>
      </c>
      <c r="N944" s="7">
        <v>0.5</v>
      </c>
      <c r="O944" s="7">
        <v>11.881</v>
      </c>
      <c r="P944" s="1" t="s">
        <v>8586</v>
      </c>
    </row>
    <row r="945" spans="1:16" ht="33.4" x14ac:dyDescent="0.3">
      <c r="A945" s="6" t="str">
        <f>HYPERLINK("https://www.ti.com/product/TPS3704-Q1", "TPS3704-Q1")</f>
        <v>TPS3704-Q1</v>
      </c>
      <c r="B945" s="5" t="s">
        <v>8587</v>
      </c>
      <c r="C945" s="6" t="str">
        <f>HYPERLINK("https://www.ti.com/lit/gpn/TPS3704-Q1", "PDF")</f>
        <v>PDF</v>
      </c>
      <c r="D945" s="5" t="s">
        <v>8588</v>
      </c>
      <c r="E945" s="5" t="s">
        <v>8589</v>
      </c>
      <c r="F945" s="5"/>
      <c r="G945" s="5" t="s">
        <v>8590</v>
      </c>
      <c r="H945" s="1" t="s">
        <v>8591</v>
      </c>
      <c r="I945" s="5" t="s">
        <v>8592</v>
      </c>
      <c r="J945" s="7">
        <v>8</v>
      </c>
      <c r="K945" s="7">
        <v>8.1199999999999992</v>
      </c>
      <c r="L945" s="5" t="s">
        <v>8593</v>
      </c>
      <c r="M945" s="7">
        <v>1.1000000000000001</v>
      </c>
      <c r="N945" s="7">
        <v>0.65</v>
      </c>
      <c r="O945" s="7">
        <v>0.95199999999999996</v>
      </c>
      <c r="P945" s="1" t="s">
        <v>8594</v>
      </c>
    </row>
    <row r="946" spans="1:16" ht="49.75" x14ac:dyDescent="0.3">
      <c r="A946" s="6" t="str">
        <f>HYPERLINK("https://www.ti.com/product/TPS62A01A", "TPS62A01A")</f>
        <v>TPS62A01A</v>
      </c>
      <c r="B946" s="5" t="s">
        <v>8595</v>
      </c>
      <c r="C946" s="6" t="str">
        <f>HYPERLINK("https://www.ti.com/lit/gpn/TPS62A01A", "PDF")</f>
        <v>PDF</v>
      </c>
      <c r="D946" s="5" t="s">
        <v>8596</v>
      </c>
      <c r="E946" s="5" t="s">
        <v>8597</v>
      </c>
      <c r="F946" s="5" t="s">
        <v>8598</v>
      </c>
      <c r="G946" s="5" t="s">
        <v>8599</v>
      </c>
      <c r="H946" s="1" t="s">
        <v>8600</v>
      </c>
      <c r="I946" s="5" t="s">
        <v>8601</v>
      </c>
      <c r="J946" s="7">
        <v>6</v>
      </c>
      <c r="K946" s="7" t="s">
        <v>8602</v>
      </c>
      <c r="L946" s="5" t="s">
        <v>8603</v>
      </c>
      <c r="M946" s="7" t="s">
        <v>8604</v>
      </c>
      <c r="N946" s="7" t="s">
        <v>8605</v>
      </c>
      <c r="O946" s="7">
        <v>0.05</v>
      </c>
      <c r="P946" s="1" t="s">
        <v>8606</v>
      </c>
    </row>
    <row r="947" spans="1:16" ht="33.4" x14ac:dyDescent="0.3">
      <c r="A947" s="6" t="str">
        <f>HYPERLINK("https://www.ti.com/product/LMG3422R050", "LMG3422R050")</f>
        <v>LMG3422R050</v>
      </c>
      <c r="B947" s="5" t="s">
        <v>8607</v>
      </c>
      <c r="C947" s="6" t="str">
        <f>HYPERLINK("https://www.ti.com/lit/gpn/LMG3422R050", "PDF")</f>
        <v>PDF</v>
      </c>
      <c r="D947" s="5" t="s">
        <v>8608</v>
      </c>
      <c r="E947" s="5" t="s">
        <v>8609</v>
      </c>
      <c r="F947" s="5"/>
      <c r="G947" s="5" t="s">
        <v>8610</v>
      </c>
      <c r="H947" s="1" t="s">
        <v>8611</v>
      </c>
      <c r="I947" s="5" t="s">
        <v>8612</v>
      </c>
      <c r="J947" s="7">
        <v>54</v>
      </c>
      <c r="K947" s="7">
        <v>144</v>
      </c>
      <c r="L947" s="5" t="s">
        <v>8613</v>
      </c>
      <c r="M947" s="7">
        <v>1</v>
      </c>
      <c r="N947" s="7">
        <v>0.65</v>
      </c>
      <c r="O947" s="7">
        <v>6.75</v>
      </c>
      <c r="P947" s="1" t="s">
        <v>8614</v>
      </c>
    </row>
    <row r="948" spans="1:16" ht="33.4" x14ac:dyDescent="0.3">
      <c r="A948" s="6" t="str">
        <f>HYPERLINK("https://www.ti.com/product/LMG3425R050", "LMG3425R050")</f>
        <v>LMG3425R050</v>
      </c>
      <c r="B948" s="5" t="s">
        <v>8615</v>
      </c>
      <c r="C948" s="6" t="str">
        <f>HYPERLINK("https://www.ti.com/lit/gpn/LMG3425R050", "PDF")</f>
        <v>PDF</v>
      </c>
      <c r="D948" s="5" t="s">
        <v>8616</v>
      </c>
      <c r="E948" s="5" t="s">
        <v>8617</v>
      </c>
      <c r="F948" s="5"/>
      <c r="G948" s="5" t="s">
        <v>8618</v>
      </c>
      <c r="H948" s="1" t="s">
        <v>8619</v>
      </c>
      <c r="I948" s="5" t="s">
        <v>8620</v>
      </c>
      <c r="J948" s="7">
        <v>54</v>
      </c>
      <c r="K948" s="7">
        <v>144</v>
      </c>
      <c r="L948" s="5" t="s">
        <v>8621</v>
      </c>
      <c r="M948" s="7">
        <v>1</v>
      </c>
      <c r="N948" s="7">
        <v>0.65</v>
      </c>
      <c r="O948" s="7">
        <v>9.73</v>
      </c>
      <c r="P948" s="1" t="s">
        <v>8622</v>
      </c>
    </row>
    <row r="949" spans="1:16" ht="33.4" x14ac:dyDescent="0.3">
      <c r="A949" s="6" t="str">
        <f>HYPERLINK("https://www.ti.com/product/TPS564242", "TPS564242")</f>
        <v>TPS564242</v>
      </c>
      <c r="B949" s="5" t="s">
        <v>8623</v>
      </c>
      <c r="C949" s="6" t="str">
        <f>HYPERLINK("https://www.ti.com/lit/gpn/TPS564242", "PDF")</f>
        <v>PDF</v>
      </c>
      <c r="D949" s="5" t="s">
        <v>8624</v>
      </c>
      <c r="E949" s="5" t="s">
        <v>8625</v>
      </c>
      <c r="F949" s="5" t="s">
        <v>8626</v>
      </c>
      <c r="G949" s="5" t="s">
        <v>8627</v>
      </c>
      <c r="H949" s="1" t="s">
        <v>8628</v>
      </c>
      <c r="I949" s="5" t="s">
        <v>8629</v>
      </c>
      <c r="J949" s="7">
        <v>6</v>
      </c>
      <c r="K949" s="7">
        <v>2.56</v>
      </c>
      <c r="L949" s="5" t="s">
        <v>8630</v>
      </c>
      <c r="M949" s="7">
        <v>0.6</v>
      </c>
      <c r="N949" s="7">
        <v>0.5</v>
      </c>
      <c r="O949" s="7">
        <v>0.17299999999999999</v>
      </c>
      <c r="P949" s="1" t="s">
        <v>8631</v>
      </c>
    </row>
    <row r="950" spans="1:16" ht="33.4" x14ac:dyDescent="0.3">
      <c r="A950" s="6" t="str">
        <f>HYPERLINK("https://www.ti.com/product/TPS564247", "TPS564247")</f>
        <v>TPS564247</v>
      </c>
      <c r="B950" s="5" t="s">
        <v>8632</v>
      </c>
      <c r="C950" s="6" t="str">
        <f>HYPERLINK("https://www.ti.com/lit/gpn/TPS564247", "PDF")</f>
        <v>PDF</v>
      </c>
      <c r="D950" s="5" t="s">
        <v>8633</v>
      </c>
      <c r="E950" s="5" t="s">
        <v>8634</v>
      </c>
      <c r="F950" s="5" t="s">
        <v>8635</v>
      </c>
      <c r="G950" s="5" t="s">
        <v>8636</v>
      </c>
      <c r="H950" s="1" t="s">
        <v>8637</v>
      </c>
      <c r="I950" s="5" t="s">
        <v>8638</v>
      </c>
      <c r="J950" s="7">
        <v>6</v>
      </c>
      <c r="K950" s="7">
        <v>2.56</v>
      </c>
      <c r="L950" s="5" t="s">
        <v>8639</v>
      </c>
      <c r="M950" s="7">
        <v>0.6</v>
      </c>
      <c r="N950" s="7">
        <v>0.5</v>
      </c>
      <c r="O950" s="7">
        <v>0.17299999999999999</v>
      </c>
      <c r="P950" s="1" t="s">
        <v>8640</v>
      </c>
    </row>
    <row r="951" spans="1:16" ht="33.4" x14ac:dyDescent="0.3">
      <c r="A951" s="6" t="str">
        <f>HYPERLINK("https://www.ti.com/product/TPS565242", "TPS565242")</f>
        <v>TPS565242</v>
      </c>
      <c r="B951" s="5" t="s">
        <v>8641</v>
      </c>
      <c r="C951" s="6" t="str">
        <f>HYPERLINK("https://www.ti.com/lit/gpn/TPS565242", "PDF")</f>
        <v>PDF</v>
      </c>
      <c r="D951" s="5" t="s">
        <v>8642</v>
      </c>
      <c r="E951" s="5" t="s">
        <v>8643</v>
      </c>
      <c r="F951" s="5" t="s">
        <v>8644</v>
      </c>
      <c r="G951" s="5" t="s">
        <v>8645</v>
      </c>
      <c r="H951" s="1" t="s">
        <v>8646</v>
      </c>
      <c r="I951" s="5" t="s">
        <v>8647</v>
      </c>
      <c r="J951" s="7">
        <v>6</v>
      </c>
      <c r="K951" s="7">
        <v>2.56</v>
      </c>
      <c r="L951" s="5" t="s">
        <v>8648</v>
      </c>
      <c r="M951" s="7">
        <v>0.6</v>
      </c>
      <c r="N951" s="7">
        <v>0.5</v>
      </c>
      <c r="O951" s="7">
        <v>0.20699999999999999</v>
      </c>
      <c r="P951" s="1" t="s">
        <v>8649</v>
      </c>
    </row>
    <row r="952" spans="1:16" ht="33.4" x14ac:dyDescent="0.3">
      <c r="A952" s="6" t="str">
        <f>HYPERLINK("https://www.ti.com/product/TPS565247", "TPS565247")</f>
        <v>TPS565247</v>
      </c>
      <c r="B952" s="5" t="s">
        <v>8650</v>
      </c>
      <c r="C952" s="6" t="str">
        <f>HYPERLINK("https://www.ti.com/lit/gpn/TPS565247", "PDF")</f>
        <v>PDF</v>
      </c>
      <c r="D952" s="5" t="s">
        <v>8651</v>
      </c>
      <c r="E952" s="5" t="s">
        <v>8652</v>
      </c>
      <c r="F952" s="5" t="s">
        <v>8653</v>
      </c>
      <c r="G952" s="5" t="s">
        <v>8654</v>
      </c>
      <c r="H952" s="1" t="s">
        <v>8655</v>
      </c>
      <c r="I952" s="5" t="s">
        <v>8656</v>
      </c>
      <c r="J952" s="7">
        <v>6</v>
      </c>
      <c r="K952" s="7">
        <v>2.56</v>
      </c>
      <c r="L952" s="5" t="s">
        <v>8657</v>
      </c>
      <c r="M952" s="7">
        <v>0.6</v>
      </c>
      <c r="N952" s="7">
        <v>0.5</v>
      </c>
      <c r="O952" s="7">
        <v>0.20699999999999999</v>
      </c>
      <c r="P952" s="1" t="s">
        <v>8658</v>
      </c>
    </row>
    <row r="953" spans="1:16" ht="33.4" x14ac:dyDescent="0.3">
      <c r="A953" s="6" t="str">
        <f>HYPERLINK("https://www.ti.com/product/LM74502-Q1", "LM74502-Q1")</f>
        <v>LM74502-Q1</v>
      </c>
      <c r="B953" s="5" t="s">
        <v>8659</v>
      </c>
      <c r="C953" s="6" t="str">
        <f>HYPERLINK("https://www.ti.com/lit/gpn/LM74502-Q1", "PDF")</f>
        <v>PDF</v>
      </c>
      <c r="D953" s="5" t="s">
        <v>8660</v>
      </c>
      <c r="E953" s="5" t="s">
        <v>8661</v>
      </c>
      <c r="F953" s="5"/>
      <c r="G953" s="5" t="s">
        <v>8662</v>
      </c>
      <c r="H953" s="1" t="s">
        <v>8663</v>
      </c>
      <c r="I953" s="5" t="s">
        <v>8664</v>
      </c>
      <c r="J953" s="7">
        <v>8</v>
      </c>
      <c r="K953" s="7">
        <v>8.1199999999999992</v>
      </c>
      <c r="L953" s="5" t="s">
        <v>8665</v>
      </c>
      <c r="M953" s="7">
        <v>1.1000000000000001</v>
      </c>
      <c r="N953" s="7">
        <v>0.65</v>
      </c>
      <c r="O953" s="7">
        <v>0.75</v>
      </c>
      <c r="P953" s="1" t="s">
        <v>8666</v>
      </c>
    </row>
    <row r="954" spans="1:16" ht="33.4" x14ac:dyDescent="0.3">
      <c r="A954" s="6" t="str">
        <f>HYPERLINK("https://www.ti.com/product/LM74502H", "LM74502H")</f>
        <v>LM74502H</v>
      </c>
      <c r="B954" s="5" t="s">
        <v>8667</v>
      </c>
      <c r="C954" s="6" t="str">
        <f>HYPERLINK("https://www.ti.com/lit/gpn/LM74502H", "PDF")</f>
        <v>PDF</v>
      </c>
      <c r="D954" s="5" t="s">
        <v>8668</v>
      </c>
      <c r="E954" s="5" t="s">
        <v>8669</v>
      </c>
      <c r="F954" s="5"/>
      <c r="G954" s="5" t="s">
        <v>8670</v>
      </c>
      <c r="H954" s="1" t="s">
        <v>8671</v>
      </c>
      <c r="I954" s="5" t="s">
        <v>8672</v>
      </c>
      <c r="J954" s="7">
        <v>8</v>
      </c>
      <c r="K954" s="7">
        <v>8.1199999999999992</v>
      </c>
      <c r="L954" s="5" t="s">
        <v>8673</v>
      </c>
      <c r="M954" s="7">
        <v>1.1000000000000001</v>
      </c>
      <c r="N954" s="7">
        <v>0.65</v>
      </c>
      <c r="O954" s="7">
        <v>0.71</v>
      </c>
      <c r="P954" s="1" t="s">
        <v>8674</v>
      </c>
    </row>
    <row r="955" spans="1:16" ht="33.4" x14ac:dyDescent="0.3">
      <c r="A955" s="6" t="str">
        <f>HYPERLINK("https://www.ti.com/product/LM74502H-Q1", "LM74502H-Q1")</f>
        <v>LM74502H-Q1</v>
      </c>
      <c r="B955" s="5" t="s">
        <v>8675</v>
      </c>
      <c r="C955" s="6" t="str">
        <f>HYPERLINK("https://www.ti.com/lit/gpn/LM74502H-Q1", "PDF")</f>
        <v>PDF</v>
      </c>
      <c r="D955" s="5" t="s">
        <v>8676</v>
      </c>
      <c r="E955" s="5" t="s">
        <v>8677</v>
      </c>
      <c r="F955" s="5"/>
      <c r="G955" s="5" t="s">
        <v>8678</v>
      </c>
      <c r="H955" s="1" t="s">
        <v>8679</v>
      </c>
      <c r="I955" s="5" t="s">
        <v>8680</v>
      </c>
      <c r="J955" s="7">
        <v>8</v>
      </c>
      <c r="K955" s="7">
        <v>8.1199999999999992</v>
      </c>
      <c r="L955" s="5" t="s">
        <v>8681</v>
      </c>
      <c r="M955" s="7">
        <v>1.1000000000000001</v>
      </c>
      <c r="N955" s="7">
        <v>0.65</v>
      </c>
      <c r="O955" s="7">
        <v>0.80100000000000005</v>
      </c>
      <c r="P955" s="1" t="s">
        <v>8682</v>
      </c>
    </row>
    <row r="956" spans="1:16" ht="33.4" x14ac:dyDescent="0.3">
      <c r="A956" s="6" t="str">
        <f>HYPERLINK("https://www.ti.com/product/TPS566242", "TPS566242")</f>
        <v>TPS566242</v>
      </c>
      <c r="B956" s="5" t="s">
        <v>8683</v>
      </c>
      <c r="C956" s="6" t="str">
        <f>HYPERLINK("https://www.ti.com/lit/gpn/TPS566242", "PDF")</f>
        <v>PDF</v>
      </c>
      <c r="D956" s="5" t="s">
        <v>8684</v>
      </c>
      <c r="E956" s="5" t="s">
        <v>8685</v>
      </c>
      <c r="F956" s="5" t="s">
        <v>8686</v>
      </c>
      <c r="G956" s="5" t="s">
        <v>8687</v>
      </c>
      <c r="H956" s="1" t="s">
        <v>8688</v>
      </c>
      <c r="I956" s="5" t="s">
        <v>8689</v>
      </c>
      <c r="J956" s="7">
        <v>6</v>
      </c>
      <c r="K956" s="7">
        <v>2.56</v>
      </c>
      <c r="L956" s="5" t="s">
        <v>8690</v>
      </c>
      <c r="M956" s="7">
        <v>0.6</v>
      </c>
      <c r="N956" s="7">
        <v>0.5</v>
      </c>
      <c r="O956" s="7">
        <v>0.25</v>
      </c>
      <c r="P956" s="1" t="s">
        <v>8691</v>
      </c>
    </row>
    <row r="957" spans="1:16" ht="33.4" x14ac:dyDescent="0.3">
      <c r="A957" s="6" t="str">
        <f>HYPERLINK("https://www.ti.com/product/TPS566247", "TPS566247")</f>
        <v>TPS566247</v>
      </c>
      <c r="B957" s="5" t="s">
        <v>8692</v>
      </c>
      <c r="C957" s="6" t="str">
        <f>HYPERLINK("https://www.ti.com/lit/gpn/TPS566247", "PDF")</f>
        <v>PDF</v>
      </c>
      <c r="D957" s="5" t="s">
        <v>8693</v>
      </c>
      <c r="E957" s="5" t="s">
        <v>8694</v>
      </c>
      <c r="F957" s="5" t="s">
        <v>8695</v>
      </c>
      <c r="G957" s="5" t="s">
        <v>8696</v>
      </c>
      <c r="H957" s="1" t="s">
        <v>8697</v>
      </c>
      <c r="I957" s="5" t="s">
        <v>8698</v>
      </c>
      <c r="J957" s="7">
        <v>6</v>
      </c>
      <c r="K957" s="7">
        <v>2.56</v>
      </c>
      <c r="L957" s="5" t="s">
        <v>8699</v>
      </c>
      <c r="M957" s="7">
        <v>0.6</v>
      </c>
      <c r="N957" s="7">
        <v>0.5</v>
      </c>
      <c r="O957" s="7">
        <v>0.25</v>
      </c>
      <c r="P957" s="1" t="s">
        <v>8700</v>
      </c>
    </row>
    <row r="958" spans="1:16" ht="33.4" x14ac:dyDescent="0.3">
      <c r="A958" s="6" t="str">
        <f>HYPERLINK("https://www.ti.com/product/TLVM13640", "TLVM13640")</f>
        <v>TLVM13640</v>
      </c>
      <c r="B958" s="5" t="s">
        <v>8701</v>
      </c>
      <c r="C958" s="6" t="str">
        <f>HYPERLINK("https://www.ti.com/lit/gpn/TLVM13640", "PDF")</f>
        <v>PDF</v>
      </c>
      <c r="D958" s="5" t="s">
        <v>8702</v>
      </c>
      <c r="E958" s="5" t="s">
        <v>8703</v>
      </c>
      <c r="F958" s="5" t="s">
        <v>8704</v>
      </c>
      <c r="G958" s="5" t="s">
        <v>8705</v>
      </c>
      <c r="H958" s="1" t="s">
        <v>8706</v>
      </c>
      <c r="I958" s="5" t="s">
        <v>8707</v>
      </c>
      <c r="J958" s="7">
        <v>20</v>
      </c>
      <c r="K958" s="7">
        <v>27.5</v>
      </c>
      <c r="L958" s="5" t="s">
        <v>8708</v>
      </c>
      <c r="M958" s="7">
        <v>4.0999999999999996</v>
      </c>
      <c r="N958" s="7">
        <v>0.5</v>
      </c>
      <c r="O958" s="7">
        <v>2.1280000000000001</v>
      </c>
      <c r="P958" s="1" t="s">
        <v>8709</v>
      </c>
    </row>
    <row r="959" spans="1:16" ht="33.4" x14ac:dyDescent="0.3">
      <c r="A959" s="6" t="str">
        <f>HYPERLINK("https://www.ti.com/product/TLVM13660", "TLVM13660")</f>
        <v>TLVM13660</v>
      </c>
      <c r="B959" s="5" t="s">
        <v>8710</v>
      </c>
      <c r="C959" s="6" t="str">
        <f>HYPERLINK("https://www.ti.com/lit/gpn/TLVM13660", "PDF")</f>
        <v>PDF</v>
      </c>
      <c r="D959" s="5" t="s">
        <v>8711</v>
      </c>
      <c r="E959" s="5" t="s">
        <v>8712</v>
      </c>
      <c r="F959" s="5" t="s">
        <v>8713</v>
      </c>
      <c r="G959" s="5" t="s">
        <v>8714</v>
      </c>
      <c r="H959" s="1" t="s">
        <v>8715</v>
      </c>
      <c r="I959" s="5" t="s">
        <v>8716</v>
      </c>
      <c r="J959" s="7">
        <v>20</v>
      </c>
      <c r="K959" s="7">
        <v>27.5</v>
      </c>
      <c r="L959" s="5" t="s">
        <v>8717</v>
      </c>
      <c r="M959" s="7">
        <v>4.0999999999999996</v>
      </c>
      <c r="N959" s="7">
        <v>0.5</v>
      </c>
      <c r="O959" s="7">
        <v>2.2429999999999999</v>
      </c>
      <c r="P959" s="1" t="s">
        <v>8718</v>
      </c>
    </row>
    <row r="960" spans="1:16" ht="33.4" x14ac:dyDescent="0.3">
      <c r="A960" s="6" t="str">
        <f>HYPERLINK("https://www.ti.com/product/TPSM63604", "TPSM63604")</f>
        <v>TPSM63604</v>
      </c>
      <c r="B960" s="5" t="s">
        <v>8719</v>
      </c>
      <c r="C960" s="6" t="str">
        <f>HYPERLINK("https://www.ti.com/lit/gpn/TPSM63604", "PDF")</f>
        <v>PDF</v>
      </c>
      <c r="D960" s="5" t="s">
        <v>8720</v>
      </c>
      <c r="E960" s="5" t="s">
        <v>8721</v>
      </c>
      <c r="F960" s="5" t="s">
        <v>8722</v>
      </c>
      <c r="G960" s="5" t="s">
        <v>8723</v>
      </c>
      <c r="H960" s="1" t="s">
        <v>8724</v>
      </c>
      <c r="I960" s="5" t="s">
        <v>8725</v>
      </c>
      <c r="J960" s="7">
        <v>20</v>
      </c>
      <c r="K960" s="7">
        <v>27.5</v>
      </c>
      <c r="L960" s="5" t="s">
        <v>8726</v>
      </c>
      <c r="M960" s="7">
        <v>4.0999999999999996</v>
      </c>
      <c r="N960" s="7">
        <v>0.5</v>
      </c>
      <c r="O960" s="7">
        <v>6.383</v>
      </c>
      <c r="P960" s="1" t="s">
        <v>8727</v>
      </c>
    </row>
    <row r="961" spans="1:16" ht="33.4" x14ac:dyDescent="0.3">
      <c r="A961" s="6" t="str">
        <f>HYPERLINK("https://www.ti.com/product/TPSM63606E", "TPSM63606E")</f>
        <v>TPSM63606E</v>
      </c>
      <c r="B961" s="5" t="s">
        <v>8728</v>
      </c>
      <c r="C961" s="6" t="str">
        <f>HYPERLINK("https://www.ti.com/lit/gpn/TPSM63606E", "PDF")</f>
        <v>PDF</v>
      </c>
      <c r="D961" s="5" t="s">
        <v>8729</v>
      </c>
      <c r="E961" s="5" t="s">
        <v>8730</v>
      </c>
      <c r="F961" s="5" t="s">
        <v>8731</v>
      </c>
      <c r="G961" s="5" t="s">
        <v>8732</v>
      </c>
      <c r="H961" s="1" t="s">
        <v>8733</v>
      </c>
      <c r="I961" s="5" t="s">
        <v>8734</v>
      </c>
      <c r="J961" s="7">
        <v>20</v>
      </c>
      <c r="K961" s="7">
        <v>27.5</v>
      </c>
      <c r="L961" s="5" t="s">
        <v>8735</v>
      </c>
      <c r="M961" s="7">
        <v>4.0999999999999996</v>
      </c>
      <c r="N961" s="7">
        <v>0.5</v>
      </c>
      <c r="O961" s="7">
        <v>30.763000000000002</v>
      </c>
      <c r="P961" s="1" t="s">
        <v>8736</v>
      </c>
    </row>
    <row r="962" spans="1:16" ht="33.4" x14ac:dyDescent="0.3">
      <c r="A962" s="6" t="str">
        <f>HYPERLINK("https://www.ti.com/product/TPS3760-Q1", "TPS3760-Q1")</f>
        <v>TPS3760-Q1</v>
      </c>
      <c r="B962" s="5" t="s">
        <v>8737</v>
      </c>
      <c r="C962" s="6" t="str">
        <f>HYPERLINK("https://www.ti.com/lit/gpn/TPS3760-Q1", "PDF")</f>
        <v>PDF</v>
      </c>
      <c r="D962" s="5" t="s">
        <v>8738</v>
      </c>
      <c r="E962" s="5" t="s">
        <v>8739</v>
      </c>
      <c r="F962" s="5"/>
      <c r="G962" s="5" t="s">
        <v>8740</v>
      </c>
      <c r="H962" s="1" t="s">
        <v>8741</v>
      </c>
      <c r="I962" s="5" t="s">
        <v>8742</v>
      </c>
      <c r="J962" s="7">
        <v>14</v>
      </c>
      <c r="K962" s="7">
        <v>13.692</v>
      </c>
      <c r="L962" s="5" t="s">
        <v>8743</v>
      </c>
      <c r="M962" s="7">
        <v>1.1000000000000001</v>
      </c>
      <c r="N962" s="7">
        <v>0.5</v>
      </c>
      <c r="O962" s="7">
        <v>0.88500000000000001</v>
      </c>
      <c r="P962" s="1" t="s">
        <v>8744</v>
      </c>
    </row>
    <row r="963" spans="1:16" ht="33.4" x14ac:dyDescent="0.3">
      <c r="A963" s="6" t="str">
        <f>HYPERLINK("https://www.ti.com/product/LM5152-Q1", "LM5152-Q1")</f>
        <v>LM5152-Q1</v>
      </c>
      <c r="B963" s="5" t="s">
        <v>8745</v>
      </c>
      <c r="C963" s="6" t="str">
        <f>HYPERLINK("https://www.ti.com/lit/gpn/LM5152-Q1", "PDF")</f>
        <v>PDF</v>
      </c>
      <c r="D963" s="5" t="s">
        <v>8746</v>
      </c>
      <c r="E963" s="5" t="s">
        <v>8747</v>
      </c>
      <c r="F963" s="5" t="s">
        <v>8748</v>
      </c>
      <c r="G963" s="5" t="s">
        <v>8749</v>
      </c>
      <c r="H963" s="1" t="s">
        <v>8750</v>
      </c>
      <c r="I963" s="5" t="s">
        <v>8751</v>
      </c>
      <c r="J963" s="7">
        <v>20</v>
      </c>
      <c r="K963" s="7">
        <v>12.25</v>
      </c>
      <c r="L963" s="5" t="s">
        <v>8752</v>
      </c>
      <c r="M963" s="7">
        <v>1</v>
      </c>
      <c r="N963" s="7">
        <v>0.5</v>
      </c>
      <c r="O963" s="7">
        <v>1.546</v>
      </c>
      <c r="P963" s="1" t="s">
        <v>8753</v>
      </c>
    </row>
    <row r="964" spans="1:16" ht="33.4" x14ac:dyDescent="0.3">
      <c r="A964" s="6" t="str">
        <f>HYPERLINK("https://www.ti.com/product/LM51521-Q1", "LM51521-Q1")</f>
        <v>LM51521-Q1</v>
      </c>
      <c r="B964" s="5" t="s">
        <v>8754</v>
      </c>
      <c r="C964" s="6" t="str">
        <f>HYPERLINK("https://www.ti.com/lit/gpn/LM51521-Q1", "PDF")</f>
        <v>PDF</v>
      </c>
      <c r="D964" s="5" t="s">
        <v>8755</v>
      </c>
      <c r="E964" s="5" t="s">
        <v>8756</v>
      </c>
      <c r="F964" s="5" t="s">
        <v>8757</v>
      </c>
      <c r="G964" s="5" t="s">
        <v>8758</v>
      </c>
      <c r="H964" s="1" t="s">
        <v>8759</v>
      </c>
      <c r="I964" s="5" t="s">
        <v>8760</v>
      </c>
      <c r="J964" s="7">
        <v>20</v>
      </c>
      <c r="K964" s="7">
        <v>12.25</v>
      </c>
      <c r="L964" s="5" t="s">
        <v>8761</v>
      </c>
      <c r="M964" s="7">
        <v>1</v>
      </c>
      <c r="N964" s="7">
        <v>0.5</v>
      </c>
      <c r="O964" s="7">
        <v>1.425</v>
      </c>
      <c r="P964" s="1" t="s">
        <v>8762</v>
      </c>
    </row>
    <row r="965" spans="1:16" ht="33.4" x14ac:dyDescent="0.3">
      <c r="A965" s="6" t="str">
        <f>HYPERLINK("https://www.ti.com/product/TPS38", "TPS38")</f>
        <v>TPS38</v>
      </c>
      <c r="B965" s="5" t="s">
        <v>8763</v>
      </c>
      <c r="C965" s="6" t="str">
        <f>HYPERLINK("https://www.ti.com/lit/gpn/TPS38", "PDF")</f>
        <v>PDF</v>
      </c>
      <c r="D965" s="5" t="s">
        <v>8764</v>
      </c>
      <c r="E965" s="5" t="s">
        <v>8765</v>
      </c>
      <c r="F965" s="5"/>
      <c r="G965" s="5" t="s">
        <v>8766</v>
      </c>
      <c r="H965" s="1" t="s">
        <v>8767</v>
      </c>
      <c r="I965" s="5" t="s">
        <v>8768</v>
      </c>
      <c r="J965" s="7">
        <v>10</v>
      </c>
      <c r="K965" s="7">
        <v>6.25</v>
      </c>
      <c r="L965" s="5" t="s">
        <v>8769</v>
      </c>
      <c r="M965" s="7">
        <v>0.8</v>
      </c>
      <c r="N965" s="7">
        <v>0.5</v>
      </c>
      <c r="O965" s="7">
        <v>1.117</v>
      </c>
      <c r="P965" s="1" t="s">
        <v>8770</v>
      </c>
    </row>
    <row r="966" spans="1:16" ht="17.05" x14ac:dyDescent="0.3">
      <c r="A966" s="6" t="str">
        <f>HYPERLINK("https://www.ti.com/product/TPS92624-Q1", "TPS92624-Q1")</f>
        <v>TPS92624-Q1</v>
      </c>
      <c r="B966" s="5" t="s">
        <v>8771</v>
      </c>
      <c r="C966" s="6" t="str">
        <f>HYPERLINK("https://www.ti.com/lit/gpn/TPS92624-Q1", "PDF")</f>
        <v>PDF</v>
      </c>
      <c r="D966" s="5" t="s">
        <v>8772</v>
      </c>
      <c r="E966" s="5" t="s">
        <v>8773</v>
      </c>
      <c r="F966" s="5" t="s">
        <v>8774</v>
      </c>
      <c r="G966" s="5" t="s">
        <v>8775</v>
      </c>
      <c r="H966" s="1" t="s">
        <v>8776</v>
      </c>
      <c r="I966" s="5" t="s">
        <v>8777</v>
      </c>
      <c r="J966" s="7">
        <v>20</v>
      </c>
      <c r="K966" s="7">
        <v>41.6</v>
      </c>
      <c r="L966" s="5" t="s">
        <v>8778</v>
      </c>
      <c r="M966" s="7">
        <v>1.2</v>
      </c>
      <c r="N966" s="7">
        <v>0.65</v>
      </c>
      <c r="O966" s="7">
        <v>0.92900000000000005</v>
      </c>
      <c r="P966" s="1" t="s">
        <v>8779</v>
      </c>
    </row>
    <row r="967" spans="1:16" ht="33.4" x14ac:dyDescent="0.3">
      <c r="A967" s="6" t="str">
        <f>HYPERLINK("https://www.ti.com/product/LP5891", "LP5891")</f>
        <v>LP5891</v>
      </c>
      <c r="B967" s="5" t="s">
        <v>8780</v>
      </c>
      <c r="C967" s="6" t="str">
        <f>HYPERLINK("https://www.ti.com/lit/gpn/LP5891", "PDF")</f>
        <v>PDF</v>
      </c>
      <c r="D967" s="5" t="s">
        <v>8781</v>
      </c>
      <c r="E967" s="5" t="s">
        <v>8782</v>
      </c>
      <c r="F967" s="5" t="s">
        <v>8783</v>
      </c>
      <c r="G967" s="5" t="s">
        <v>8784</v>
      </c>
      <c r="H967" s="1" t="s">
        <v>8785</v>
      </c>
      <c r="I967" s="5" t="s">
        <v>8786</v>
      </c>
      <c r="J967" s="7" t="s">
        <v>8787</v>
      </c>
      <c r="K967" s="7" t="s">
        <v>8788</v>
      </c>
      <c r="L967" s="5" t="s">
        <v>8789</v>
      </c>
      <c r="M967" s="7" t="s">
        <v>8790</v>
      </c>
      <c r="N967" s="7" t="s">
        <v>8791</v>
      </c>
      <c r="O967" s="7">
        <v>4.3470000000000004</v>
      </c>
      <c r="P967" s="1" t="s">
        <v>8792</v>
      </c>
    </row>
    <row r="968" spans="1:16" ht="33.4" x14ac:dyDescent="0.3">
      <c r="A968" s="6" t="str">
        <f>HYPERLINK("https://www.ti.com/product/TLC6984", "TLC6984")</f>
        <v>TLC6984</v>
      </c>
      <c r="B968" s="5" t="s">
        <v>8793</v>
      </c>
      <c r="C968" s="6" t="str">
        <f>HYPERLINK("https://www.ti.com/lit/gpn/TLC6984", "PDF")</f>
        <v>PDF</v>
      </c>
      <c r="D968" s="5" t="s">
        <v>8794</v>
      </c>
      <c r="E968" s="5" t="s">
        <v>8795</v>
      </c>
      <c r="F968" s="5"/>
      <c r="G968" s="5" t="s">
        <v>8796</v>
      </c>
      <c r="H968" s="1" t="s">
        <v>8797</v>
      </c>
      <c r="I968" s="5" t="s">
        <v>8798</v>
      </c>
      <c r="J968" s="7" t="s">
        <v>8799</v>
      </c>
      <c r="K968" s="7" t="s">
        <v>8800</v>
      </c>
      <c r="L968" s="5" t="s">
        <v>8801</v>
      </c>
      <c r="M968" s="7" t="s">
        <v>8802</v>
      </c>
      <c r="N968" s="7" t="s">
        <v>8803</v>
      </c>
      <c r="O968" s="7">
        <v>4.6779999999999999</v>
      </c>
      <c r="P968" s="1" t="s">
        <v>8804</v>
      </c>
    </row>
    <row r="969" spans="1:16" ht="33.4" x14ac:dyDescent="0.3">
      <c r="A969" s="6" t="str">
        <f>HYPERLINK("https://www.ti.com/product/TPS629203-Q1", "TPS629203-Q1")</f>
        <v>TPS629203-Q1</v>
      </c>
      <c r="B969" s="5" t="s">
        <v>8805</v>
      </c>
      <c r="C969" s="6" t="str">
        <f>HYPERLINK("https://www.ti.com/lit/gpn/TPS629203-Q1", "PDF")</f>
        <v>PDF</v>
      </c>
      <c r="D969" s="5" t="s">
        <v>8806</v>
      </c>
      <c r="E969" s="5" t="s">
        <v>8807</v>
      </c>
      <c r="F969" s="5" t="s">
        <v>8808</v>
      </c>
      <c r="G969" s="5" t="s">
        <v>8809</v>
      </c>
      <c r="H969" s="1" t="s">
        <v>8810</v>
      </c>
      <c r="I969" s="5" t="s">
        <v>8811</v>
      </c>
      <c r="J969" s="7">
        <v>8</v>
      </c>
      <c r="K969" s="7">
        <v>3.36</v>
      </c>
      <c r="L969" s="5" t="s">
        <v>8812</v>
      </c>
      <c r="M969" s="7">
        <v>0.6</v>
      </c>
      <c r="N969" s="7">
        <v>0.5</v>
      </c>
      <c r="O969" s="7">
        <v>0.40899999999999997</v>
      </c>
      <c r="P969" s="1" t="s">
        <v>8813</v>
      </c>
    </row>
    <row r="970" spans="1:16" ht="33.4" x14ac:dyDescent="0.3">
      <c r="A970" s="6" t="str">
        <f>HYPERLINK("https://www.ti.com/product/LM5013-Q1", "LM5013-Q1")</f>
        <v>LM5013-Q1</v>
      </c>
      <c r="B970" s="5" t="s">
        <v>8814</v>
      </c>
      <c r="C970" s="6" t="str">
        <f>HYPERLINK("https://www.ti.com/lit/gpn/LM5013-Q1", "PDF")</f>
        <v>PDF</v>
      </c>
      <c r="D970" s="5" t="s">
        <v>8815</v>
      </c>
      <c r="E970" s="5" t="s">
        <v>8816</v>
      </c>
      <c r="F970" s="5" t="s">
        <v>8817</v>
      </c>
      <c r="G970" s="5" t="s">
        <v>8818</v>
      </c>
      <c r="H970" s="1" t="s">
        <v>8819</v>
      </c>
      <c r="I970" s="5" t="s">
        <v>8820</v>
      </c>
      <c r="J970" s="7">
        <v>8</v>
      </c>
      <c r="K970" s="7">
        <v>29.4</v>
      </c>
      <c r="L970" s="5" t="s">
        <v>8821</v>
      </c>
      <c r="M970" s="7">
        <v>1.7</v>
      </c>
      <c r="N970" s="7">
        <v>1.27</v>
      </c>
      <c r="O970" s="7">
        <v>2.4630000000000001</v>
      </c>
      <c r="P970" s="1" t="s">
        <v>8822</v>
      </c>
    </row>
    <row r="971" spans="1:16" ht="33.4" x14ac:dyDescent="0.3">
      <c r="A971" s="6" t="str">
        <f>HYPERLINK("https://www.ti.com/product/LM74720-Q1", "LM74720-Q1")</f>
        <v>LM74720-Q1</v>
      </c>
      <c r="B971" s="5" t="s">
        <v>8823</v>
      </c>
      <c r="C971" s="6" t="str">
        <f>HYPERLINK("https://www.ti.com/lit/gpn/LM74720-Q1", "PDF")</f>
        <v>PDF</v>
      </c>
      <c r="D971" s="5" t="s">
        <v>8824</v>
      </c>
      <c r="E971" s="5" t="s">
        <v>8825</v>
      </c>
      <c r="F971" s="5"/>
      <c r="G971" s="5" t="s">
        <v>8826</v>
      </c>
      <c r="H971" s="1" t="s">
        <v>8827</v>
      </c>
      <c r="I971" s="5" t="s">
        <v>8828</v>
      </c>
      <c r="J971" s="7">
        <v>12</v>
      </c>
      <c r="K971" s="7">
        <v>9</v>
      </c>
      <c r="L971" s="5" t="s">
        <v>8829</v>
      </c>
      <c r="M971" s="7">
        <v>0.8</v>
      </c>
      <c r="N971" s="7">
        <v>0.5</v>
      </c>
      <c r="O971" s="7">
        <v>0.876</v>
      </c>
      <c r="P971" s="1" t="s">
        <v>8830</v>
      </c>
    </row>
    <row r="972" spans="1:16" ht="33.4" x14ac:dyDescent="0.3">
      <c r="A972" s="6" t="str">
        <f>HYPERLINK("https://www.ti.com/product/LMG3425R030", "LMG3425R030")</f>
        <v>LMG3425R030</v>
      </c>
      <c r="B972" s="5" t="s">
        <v>8831</v>
      </c>
      <c r="C972" s="6" t="str">
        <f>HYPERLINK("https://www.ti.com/lit/gpn/LMG3425R030", "PDF")</f>
        <v>PDF</v>
      </c>
      <c r="D972" s="5" t="s">
        <v>8832</v>
      </c>
      <c r="E972" s="5" t="s">
        <v>8833</v>
      </c>
      <c r="F972" s="5"/>
      <c r="G972" s="5" t="s">
        <v>8834</v>
      </c>
      <c r="H972" s="1" t="s">
        <v>8835</v>
      </c>
      <c r="I972" s="5" t="s">
        <v>8836</v>
      </c>
      <c r="J972" s="7">
        <v>54</v>
      </c>
      <c r="K972" s="7">
        <v>144</v>
      </c>
      <c r="L972" s="5" t="s">
        <v>8837</v>
      </c>
      <c r="M972" s="7">
        <v>1</v>
      </c>
      <c r="N972" s="7">
        <v>0.65</v>
      </c>
      <c r="O972" s="7">
        <v>10.87</v>
      </c>
      <c r="P972" s="1" t="s">
        <v>8838</v>
      </c>
    </row>
    <row r="973" spans="1:16" ht="33.4" x14ac:dyDescent="0.3">
      <c r="A973" s="6" t="str">
        <f>HYPERLINK("https://www.ti.com/product/LMR43610-Q1", "LMR43610-Q1")</f>
        <v>LMR43610-Q1</v>
      </c>
      <c r="B973" s="5" t="s">
        <v>8839</v>
      </c>
      <c r="C973" s="6" t="str">
        <f>HYPERLINK("https://www.ti.com/lit/gpn/LMR43610-Q1", "PDF")</f>
        <v>PDF</v>
      </c>
      <c r="D973" s="5" t="s">
        <v>8840</v>
      </c>
      <c r="E973" s="5" t="s">
        <v>8841</v>
      </c>
      <c r="F973" s="5" t="s">
        <v>8842</v>
      </c>
      <c r="G973" s="5" t="s">
        <v>8843</v>
      </c>
      <c r="H973" s="1" t="s">
        <v>8844</v>
      </c>
      <c r="I973" s="5" t="s">
        <v>8845</v>
      </c>
      <c r="J973" s="7">
        <v>9</v>
      </c>
      <c r="K973" s="7">
        <v>4</v>
      </c>
      <c r="L973" s="5" t="s">
        <v>8846</v>
      </c>
      <c r="M973" s="7">
        <v>1</v>
      </c>
      <c r="N973" s="7">
        <v>0.5</v>
      </c>
      <c r="O973" s="7">
        <v>1.4630000000000001</v>
      </c>
      <c r="P973" s="1" t="s">
        <v>8847</v>
      </c>
    </row>
    <row r="974" spans="1:16" ht="49.75" x14ac:dyDescent="0.3">
      <c r="A974" s="6" t="str">
        <f>HYPERLINK("https://www.ti.com/product/TPS62A01", "TPS62A01")</f>
        <v>TPS62A01</v>
      </c>
      <c r="B974" s="5" t="s">
        <v>8848</v>
      </c>
      <c r="C974" s="6" t="str">
        <f>HYPERLINK("https://www.ti.com/lit/gpn/TPS62A01", "PDF")</f>
        <v>PDF</v>
      </c>
      <c r="D974" s="5" t="s">
        <v>8849</v>
      </c>
      <c r="E974" s="5" t="s">
        <v>8850</v>
      </c>
      <c r="F974" s="5" t="s">
        <v>8851</v>
      </c>
      <c r="G974" s="5" t="s">
        <v>8852</v>
      </c>
      <c r="H974" s="1" t="s">
        <v>8853</v>
      </c>
      <c r="I974" s="5" t="s">
        <v>8854</v>
      </c>
      <c r="J974" s="7">
        <v>6</v>
      </c>
      <c r="K974" s="7" t="s">
        <v>8855</v>
      </c>
      <c r="L974" s="5" t="s">
        <v>8856</v>
      </c>
      <c r="M974" s="7" t="s">
        <v>8857</v>
      </c>
      <c r="N974" s="7" t="s">
        <v>8858</v>
      </c>
      <c r="O974" s="7">
        <v>0.05</v>
      </c>
      <c r="P974" s="1" t="s">
        <v>8859</v>
      </c>
    </row>
    <row r="975" spans="1:16" ht="33.4" x14ac:dyDescent="0.3">
      <c r="A975" s="6" t="str">
        <f>HYPERLINK("https://www.ti.com/product/TPS629203", "TPS629203")</f>
        <v>TPS629203</v>
      </c>
      <c r="B975" s="5" t="s">
        <v>8860</v>
      </c>
      <c r="C975" s="6" t="str">
        <f>HYPERLINK("https://www.ti.com/lit/gpn/TPS629203", "PDF")</f>
        <v>PDF</v>
      </c>
      <c r="D975" s="5" t="s">
        <v>8861</v>
      </c>
      <c r="E975" s="5" t="s">
        <v>8862</v>
      </c>
      <c r="F975" s="5" t="s">
        <v>8863</v>
      </c>
      <c r="G975" s="5" t="s">
        <v>8864</v>
      </c>
      <c r="H975" s="1" t="s">
        <v>8865</v>
      </c>
      <c r="I975" s="5" t="s">
        <v>8866</v>
      </c>
      <c r="J975" s="7">
        <v>8</v>
      </c>
      <c r="K975" s="7">
        <v>3.36</v>
      </c>
      <c r="L975" s="5" t="s">
        <v>8867</v>
      </c>
      <c r="M975" s="7">
        <v>0.6</v>
      </c>
      <c r="N975" s="7">
        <v>0.5</v>
      </c>
      <c r="O975" s="7">
        <v>0.32200000000000001</v>
      </c>
      <c r="P975" s="1" t="s">
        <v>8868</v>
      </c>
    </row>
    <row r="976" spans="1:16" ht="33.4" x14ac:dyDescent="0.3">
      <c r="A976" s="6" t="str">
        <f>HYPERLINK("https://www.ti.com/product/TPS629206", "TPS629206")</f>
        <v>TPS629206</v>
      </c>
      <c r="B976" s="5" t="s">
        <v>8869</v>
      </c>
      <c r="C976" s="6" t="str">
        <f>HYPERLINK("https://www.ti.com/lit/gpn/TPS629206", "PDF")</f>
        <v>PDF</v>
      </c>
      <c r="D976" s="5" t="s">
        <v>8870</v>
      </c>
      <c r="E976" s="5" t="s">
        <v>8871</v>
      </c>
      <c r="F976" s="5" t="s">
        <v>8872</v>
      </c>
      <c r="G976" s="5" t="s">
        <v>8873</v>
      </c>
      <c r="H976" s="1" t="s">
        <v>8874</v>
      </c>
      <c r="I976" s="5" t="s">
        <v>8875</v>
      </c>
      <c r="J976" s="7">
        <v>8</v>
      </c>
      <c r="K976" s="7">
        <v>3.36</v>
      </c>
      <c r="L976" s="5" t="s">
        <v>8876</v>
      </c>
      <c r="M976" s="7">
        <v>0.6</v>
      </c>
      <c r="N976" s="7">
        <v>0.5</v>
      </c>
      <c r="O976" s="7">
        <v>0.36799999999999999</v>
      </c>
      <c r="P976" s="1" t="s">
        <v>8877</v>
      </c>
    </row>
    <row r="977" spans="1:16" ht="33.4" x14ac:dyDescent="0.3">
      <c r="A977" s="6" t="str">
        <f>HYPERLINK("https://www.ti.com/product/TPS629206-Q1", "TPS629206-Q1")</f>
        <v>TPS629206-Q1</v>
      </c>
      <c r="B977" s="5" t="s">
        <v>8878</v>
      </c>
      <c r="C977" s="6" t="str">
        <f>HYPERLINK("https://www.ti.com/lit/gpn/TPS629206-Q1", "PDF")</f>
        <v>PDF</v>
      </c>
      <c r="D977" s="5" t="s">
        <v>8879</v>
      </c>
      <c r="E977" s="5" t="s">
        <v>8880</v>
      </c>
      <c r="F977" s="5" t="s">
        <v>8881</v>
      </c>
      <c r="G977" s="5" t="s">
        <v>8882</v>
      </c>
      <c r="H977" s="1" t="s">
        <v>8883</v>
      </c>
      <c r="I977" s="5" t="s">
        <v>8884</v>
      </c>
      <c r="J977" s="7">
        <v>8</v>
      </c>
      <c r="K977" s="7">
        <v>3.36</v>
      </c>
      <c r="L977" s="5" t="s">
        <v>8885</v>
      </c>
      <c r="M977" s="7">
        <v>0.6</v>
      </c>
      <c r="N977" s="7">
        <v>0.5</v>
      </c>
      <c r="O977" s="7">
        <v>0.438</v>
      </c>
      <c r="P977" s="1" t="s">
        <v>8886</v>
      </c>
    </row>
    <row r="978" spans="1:16" ht="33.4" x14ac:dyDescent="0.3">
      <c r="A978" s="6" t="str">
        <f>HYPERLINK("https://www.ti.com/product/TPS629210E", "TPS629210E")</f>
        <v>TPS629210E</v>
      </c>
      <c r="B978" s="5" t="s">
        <v>8887</v>
      </c>
      <c r="C978" s="6" t="str">
        <f>HYPERLINK("https://www.ti.com/lit/gpn/TPS629210E", "PDF")</f>
        <v>PDF</v>
      </c>
      <c r="D978" s="5" t="s">
        <v>8888</v>
      </c>
      <c r="E978" s="5" t="s">
        <v>8889</v>
      </c>
      <c r="F978" s="5" t="s">
        <v>8890</v>
      </c>
      <c r="G978" s="5" t="s">
        <v>8891</v>
      </c>
      <c r="H978" s="1" t="s">
        <v>8892</v>
      </c>
      <c r="I978" s="5" t="s">
        <v>8893</v>
      </c>
      <c r="J978" s="7">
        <v>8</v>
      </c>
      <c r="K978" s="7">
        <v>3.36</v>
      </c>
      <c r="L978" s="5" t="s">
        <v>8894</v>
      </c>
      <c r="M978" s="7">
        <v>0.6</v>
      </c>
      <c r="N978" s="7">
        <v>0.5</v>
      </c>
      <c r="O978" s="7">
        <v>0.748</v>
      </c>
      <c r="P978" s="1" t="s">
        <v>8895</v>
      </c>
    </row>
    <row r="979" spans="1:16" ht="49.75" x14ac:dyDescent="0.3">
      <c r="A979" s="6" t="str">
        <f>HYPERLINK("https://www.ti.com/product/TPS629211-Q1", "TPS629211-Q1")</f>
        <v>TPS629211-Q1</v>
      </c>
      <c r="B979" s="5" t="s">
        <v>8896</v>
      </c>
      <c r="C979" s="6" t="str">
        <f>HYPERLINK("https://www.ti.com/lit/gpn/TPS629211-Q1", "PDF")</f>
        <v>PDF</v>
      </c>
      <c r="D979" s="5" t="s">
        <v>8897</v>
      </c>
      <c r="E979" s="5" t="s">
        <v>8898</v>
      </c>
      <c r="F979" s="5" t="s">
        <v>8899</v>
      </c>
      <c r="G979" s="5" t="s">
        <v>8900</v>
      </c>
      <c r="H979" s="1" t="s">
        <v>8901</v>
      </c>
      <c r="I979" s="5" t="s">
        <v>8902</v>
      </c>
      <c r="J979" s="7">
        <v>8</v>
      </c>
      <c r="K979" s="7" t="s">
        <v>8903</v>
      </c>
      <c r="L979" s="5" t="s">
        <v>8904</v>
      </c>
      <c r="M979" s="7">
        <v>0.6</v>
      </c>
      <c r="N979" s="7">
        <v>0.5</v>
      </c>
      <c r="O979" s="7">
        <v>0.495</v>
      </c>
      <c r="P979" s="1" t="s">
        <v>8905</v>
      </c>
    </row>
    <row r="980" spans="1:16" ht="33.4" x14ac:dyDescent="0.3">
      <c r="A980" s="6" t="str">
        <f>HYPERLINK("https://www.ti.com/product/TPS3760", "TPS3760")</f>
        <v>TPS3760</v>
      </c>
      <c r="B980" s="5" t="s">
        <v>8906</v>
      </c>
      <c r="C980" s="6" t="str">
        <f>HYPERLINK("https://www.ti.com/lit/gpn/TPS3760", "PDF")</f>
        <v>PDF</v>
      </c>
      <c r="D980" s="5" t="s">
        <v>8907</v>
      </c>
      <c r="E980" s="5" t="s">
        <v>8908</v>
      </c>
      <c r="F980" s="5"/>
      <c r="G980" s="5" t="s">
        <v>8909</v>
      </c>
      <c r="H980" s="1" t="s">
        <v>8910</v>
      </c>
      <c r="I980" s="5" t="s">
        <v>8911</v>
      </c>
      <c r="J980" s="7">
        <v>14</v>
      </c>
      <c r="K980" s="7">
        <v>13.692</v>
      </c>
      <c r="L980" s="5" t="s">
        <v>8912</v>
      </c>
      <c r="M980" s="7">
        <v>1.1000000000000001</v>
      </c>
      <c r="N980" s="7">
        <v>0.5</v>
      </c>
      <c r="O980" s="7">
        <v>0.75</v>
      </c>
      <c r="P980" s="1" t="s">
        <v>8913</v>
      </c>
    </row>
    <row r="981" spans="1:16" ht="33.4" x14ac:dyDescent="0.3">
      <c r="A981" s="6" t="str">
        <f>HYPERLINK("https://www.ti.com/product/LM25143", "LM25143")</f>
        <v>LM25143</v>
      </c>
      <c r="B981" s="5" t="s">
        <v>8914</v>
      </c>
      <c r="C981" s="6" t="str">
        <f>HYPERLINK("https://www.ti.com/lit/gpn/LM25143", "PDF")</f>
        <v>PDF</v>
      </c>
      <c r="D981" s="5" t="s">
        <v>8915</v>
      </c>
      <c r="E981" s="5" t="s">
        <v>8916</v>
      </c>
      <c r="F981" s="5" t="s">
        <v>8917</v>
      </c>
      <c r="G981" s="5" t="s">
        <v>8918</v>
      </c>
      <c r="H981" s="1" t="s">
        <v>8919</v>
      </c>
      <c r="I981" s="5" t="s">
        <v>8920</v>
      </c>
      <c r="J981" s="7">
        <v>40</v>
      </c>
      <c r="K981" s="7">
        <v>36</v>
      </c>
      <c r="L981" s="5" t="s">
        <v>8921</v>
      </c>
      <c r="M981" s="7">
        <v>1</v>
      </c>
      <c r="N981" s="7">
        <v>0.5</v>
      </c>
      <c r="O981" s="7">
        <v>1.5229999999999999</v>
      </c>
      <c r="P981" s="1" t="s">
        <v>8922</v>
      </c>
    </row>
    <row r="982" spans="1:16" ht="33.4" x14ac:dyDescent="0.3">
      <c r="A982" s="6" t="str">
        <f>HYPERLINK("https://www.ti.com/product/LM5143", "LM5143")</f>
        <v>LM5143</v>
      </c>
      <c r="B982" s="5" t="s">
        <v>8923</v>
      </c>
      <c r="C982" s="6" t="str">
        <f>HYPERLINK("https://www.ti.com/lit/gpn/LM5143", "PDF")</f>
        <v>PDF</v>
      </c>
      <c r="D982" s="5" t="s">
        <v>8924</v>
      </c>
      <c r="E982" s="5" t="s">
        <v>8925</v>
      </c>
      <c r="F982" s="5" t="s">
        <v>8926</v>
      </c>
      <c r="G982" s="5" t="s">
        <v>8927</v>
      </c>
      <c r="H982" s="1" t="s">
        <v>8928</v>
      </c>
      <c r="I982" s="5" t="s">
        <v>8929</v>
      </c>
      <c r="J982" s="7">
        <v>40</v>
      </c>
      <c r="K982" s="7">
        <v>36</v>
      </c>
      <c r="L982" s="5" t="s">
        <v>8930</v>
      </c>
      <c r="M982" s="7">
        <v>1</v>
      </c>
      <c r="N982" s="7">
        <v>0.5</v>
      </c>
      <c r="O982" s="7">
        <v>1.903</v>
      </c>
      <c r="P982" s="1" t="s">
        <v>8931</v>
      </c>
    </row>
    <row r="983" spans="1:16" ht="33.4" x14ac:dyDescent="0.3">
      <c r="A983" s="6" t="str">
        <f>HYPERLINK("https://www.ti.com/product/LM66100-Q1", "LM66100-Q1")</f>
        <v>LM66100-Q1</v>
      </c>
      <c r="B983" s="5" t="s">
        <v>8932</v>
      </c>
      <c r="C983" s="6" t="str">
        <f>HYPERLINK("https://www.ti.com/lit/gpn/LM66100-Q1", "PDF")</f>
        <v>PDF</v>
      </c>
      <c r="D983" s="5" t="s">
        <v>8933</v>
      </c>
      <c r="E983" s="5" t="s">
        <v>8934</v>
      </c>
      <c r="F983" s="5"/>
      <c r="G983" s="5" t="s">
        <v>8935</v>
      </c>
      <c r="H983" s="1" t="s">
        <v>8936</v>
      </c>
      <c r="I983" s="5" t="s">
        <v>8937</v>
      </c>
      <c r="J983" s="7">
        <v>6</v>
      </c>
      <c r="K983" s="7">
        <v>4.2</v>
      </c>
      <c r="L983" s="5" t="s">
        <v>8938</v>
      </c>
      <c r="M983" s="7">
        <v>1.1000000000000001</v>
      </c>
      <c r="N983" s="7">
        <v>0.65</v>
      </c>
      <c r="O983" s="7">
        <v>9.6000000000000002E-2</v>
      </c>
      <c r="P983" s="1" t="s">
        <v>8939</v>
      </c>
    </row>
    <row r="984" spans="1:16" ht="33.4" x14ac:dyDescent="0.3">
      <c r="A984" s="6" t="str">
        <f>HYPERLINK("https://www.ti.com/product/LP8764-Q1", "LP8764-Q1")</f>
        <v>LP8764-Q1</v>
      </c>
      <c r="B984" s="5" t="s">
        <v>8940</v>
      </c>
      <c r="C984" s="6" t="str">
        <f>HYPERLINK("https://www.ti.com/lit/gpn/LP8764-Q1", "PDF")</f>
        <v>PDF</v>
      </c>
      <c r="D984" s="5" t="s">
        <v>8941</v>
      </c>
      <c r="E984" s="5" t="s">
        <v>8942</v>
      </c>
      <c r="F984" s="5"/>
      <c r="G984" s="5" t="s">
        <v>8943</v>
      </c>
      <c r="H984" s="1" t="s">
        <v>8944</v>
      </c>
      <c r="I984" s="5" t="s">
        <v>8945</v>
      </c>
      <c r="J984" s="7">
        <v>32</v>
      </c>
      <c r="K984" s="7">
        <v>27.5</v>
      </c>
      <c r="L984" s="5" t="s">
        <v>8946</v>
      </c>
      <c r="M984" s="7">
        <v>1</v>
      </c>
      <c r="N984" s="7">
        <v>0.5</v>
      </c>
      <c r="O984" s="7">
        <v>3.4390000000000001</v>
      </c>
      <c r="P984" s="1" t="s">
        <v>8947</v>
      </c>
    </row>
    <row r="985" spans="1:16" ht="33.4" x14ac:dyDescent="0.3">
      <c r="A985" s="6" t="str">
        <f>HYPERLINK("https://www.ti.com/product/LM74501-Q1", "LM74501-Q1")</f>
        <v>LM74501-Q1</v>
      </c>
      <c r="B985" s="5" t="s">
        <v>8948</v>
      </c>
      <c r="C985" s="6" t="str">
        <f>HYPERLINK("https://www.ti.com/lit/gpn/LM74501-Q1", "PDF")</f>
        <v>PDF</v>
      </c>
      <c r="D985" s="5" t="s">
        <v>8949</v>
      </c>
      <c r="E985" s="5" t="s">
        <v>8950</v>
      </c>
      <c r="F985" s="5"/>
      <c r="G985" s="5" t="s">
        <v>8951</v>
      </c>
      <c r="H985" s="1" t="s">
        <v>8952</v>
      </c>
      <c r="I985" s="5" t="s">
        <v>8953</v>
      </c>
      <c r="J985" s="7">
        <v>8</v>
      </c>
      <c r="K985" s="7">
        <v>8.1199999999999992</v>
      </c>
      <c r="L985" s="5" t="s">
        <v>8954</v>
      </c>
      <c r="M985" s="7">
        <v>1.1000000000000001</v>
      </c>
      <c r="N985" s="7">
        <v>0.65</v>
      </c>
      <c r="O985" s="7">
        <v>0.64900000000000002</v>
      </c>
      <c r="P985" s="1" t="s">
        <v>8955</v>
      </c>
    </row>
    <row r="986" spans="1:16" ht="33.4" x14ac:dyDescent="0.3">
      <c r="A986" s="6" t="str">
        <f>HYPERLINK("https://www.ti.com/product/TPS62932", "TPS62932")</f>
        <v>TPS62932</v>
      </c>
      <c r="B986" s="5" t="s">
        <v>8956</v>
      </c>
      <c r="C986" s="6" t="str">
        <f>HYPERLINK("https://www.ti.com/lit/gpn/TPS62932", "PDF")</f>
        <v>PDF</v>
      </c>
      <c r="D986" s="5" t="s">
        <v>8957</v>
      </c>
      <c r="E986" s="5" t="s">
        <v>8958</v>
      </c>
      <c r="F986" s="5" t="s">
        <v>8959</v>
      </c>
      <c r="G986" s="5" t="s">
        <v>8960</v>
      </c>
      <c r="H986" s="1" t="s">
        <v>8961</v>
      </c>
      <c r="I986" s="5" t="s">
        <v>8962</v>
      </c>
      <c r="J986" s="7">
        <v>8</v>
      </c>
      <c r="K986" s="7">
        <v>3.36</v>
      </c>
      <c r="L986" s="5" t="s">
        <v>8963</v>
      </c>
      <c r="M986" s="7">
        <v>0.6</v>
      </c>
      <c r="N986" s="7">
        <v>0.5</v>
      </c>
      <c r="O986" s="7">
        <v>0.41299999999999998</v>
      </c>
      <c r="P986" s="1" t="s">
        <v>8964</v>
      </c>
    </row>
    <row r="987" spans="1:16" ht="33.4" x14ac:dyDescent="0.3">
      <c r="A987" s="6" t="str">
        <f>HYPERLINK("https://www.ti.com/product/TPS62824", "TPS62824")</f>
        <v>TPS62824</v>
      </c>
      <c r="B987" s="5" t="s">
        <v>8965</v>
      </c>
      <c r="C987" s="6" t="str">
        <f>HYPERLINK("https://www.ti.com/lit/gpn/TPS62824", "PDF")</f>
        <v>PDF</v>
      </c>
      <c r="D987" s="5" t="s">
        <v>8966</v>
      </c>
      <c r="E987" s="5" t="s">
        <v>8967</v>
      </c>
      <c r="F987" s="5" t="s">
        <v>8968</v>
      </c>
      <c r="G987" s="5" t="s">
        <v>8969</v>
      </c>
      <c r="H987" s="1" t="s">
        <v>8970</v>
      </c>
      <c r="I987" s="5" t="s">
        <v>8971</v>
      </c>
      <c r="J987" s="7">
        <v>6</v>
      </c>
      <c r="K987" s="7">
        <v>2.25</v>
      </c>
      <c r="L987" s="5" t="s">
        <v>8972</v>
      </c>
      <c r="M987" s="7">
        <v>1</v>
      </c>
      <c r="N987" s="7">
        <v>0.5</v>
      </c>
      <c r="O987" s="7">
        <v>0.375</v>
      </c>
      <c r="P987" s="1" t="s">
        <v>8973</v>
      </c>
    </row>
    <row r="988" spans="1:16" ht="66.150000000000006" x14ac:dyDescent="0.3">
      <c r="A988" s="6" t="str">
        <f>HYPERLINK("https://www.ti.com/product/TPS7H5001-SP", "TPS7H5001-SP")</f>
        <v>TPS7H5001-SP</v>
      </c>
      <c r="B988" s="5" t="s">
        <v>8974</v>
      </c>
      <c r="C988" s="6" t="str">
        <f>HYPERLINK("https://www.ti.com/lit/gpn/TPS7H5001-SP", "PDF")</f>
        <v>PDF</v>
      </c>
      <c r="D988" s="5" t="s">
        <v>8975</v>
      </c>
      <c r="E988" s="5" t="s">
        <v>8976</v>
      </c>
      <c r="F988" s="5" t="s">
        <v>8977</v>
      </c>
      <c r="G988" s="5" t="s">
        <v>8978</v>
      </c>
      <c r="H988" s="1" t="s">
        <v>8979</v>
      </c>
      <c r="I988" s="5" t="s">
        <v>8980</v>
      </c>
      <c r="J988" s="7" t="s">
        <v>8981</v>
      </c>
      <c r="K988" s="7" t="s">
        <v>8982</v>
      </c>
      <c r="L988" s="5" t="s">
        <v>8983</v>
      </c>
      <c r="M988" s="7" t="s">
        <v>8984</v>
      </c>
      <c r="N988" s="7" t="s">
        <v>8985</v>
      </c>
      <c r="O988" s="7">
        <v>2550.268</v>
      </c>
      <c r="P988" s="1" t="s">
        <v>8986</v>
      </c>
    </row>
    <row r="989" spans="1:16" ht="33.4" x14ac:dyDescent="0.3">
      <c r="A989" s="6" t="str">
        <f>HYPERLINK("https://www.ti.com/product/TLVM13630", "TLVM13630")</f>
        <v>TLVM13630</v>
      </c>
      <c r="B989" s="5" t="s">
        <v>8987</v>
      </c>
      <c r="C989" s="6" t="str">
        <f>HYPERLINK("https://www.ti.com/lit/gpn/TLVM13630", "PDF")</f>
        <v>PDF</v>
      </c>
      <c r="D989" s="5" t="s">
        <v>8988</v>
      </c>
      <c r="E989" s="5" t="s">
        <v>8989</v>
      </c>
      <c r="F989" s="5" t="s">
        <v>8990</v>
      </c>
      <c r="G989" s="5" t="s">
        <v>8991</v>
      </c>
      <c r="H989" s="1" t="s">
        <v>8992</v>
      </c>
      <c r="I989" s="5" t="s">
        <v>8993</v>
      </c>
      <c r="J989" s="7">
        <v>30</v>
      </c>
      <c r="K989" s="7">
        <v>24</v>
      </c>
      <c r="L989" s="5" t="s">
        <v>8994</v>
      </c>
      <c r="M989" s="7">
        <v>1.9</v>
      </c>
      <c r="N989" s="7">
        <v>0.5</v>
      </c>
      <c r="O989" s="7">
        <v>1.5529999999999999</v>
      </c>
      <c r="P989" s="1" t="s">
        <v>8995</v>
      </c>
    </row>
    <row r="990" spans="1:16" ht="33.4" x14ac:dyDescent="0.3">
      <c r="A990" s="6" t="str">
        <f>HYPERLINK("https://www.ti.com/product/TPS7H4003-SEP", "TPS7H4003-SEP")</f>
        <v>TPS7H4003-SEP</v>
      </c>
      <c r="B990" s="5" t="s">
        <v>8996</v>
      </c>
      <c r="C990" s="6" t="str">
        <f>HYPERLINK("https://www.ti.com/lit/gpn/TPS7H4003-SEP", "PDF")</f>
        <v>PDF</v>
      </c>
      <c r="D990" s="5" t="s">
        <v>8997</v>
      </c>
      <c r="E990" s="5" t="s">
        <v>8998</v>
      </c>
      <c r="F990" s="5" t="s">
        <v>8999</v>
      </c>
      <c r="G990" s="5" t="s">
        <v>9000</v>
      </c>
      <c r="H990" s="1" t="s">
        <v>9001</v>
      </c>
      <c r="I990" s="5" t="s">
        <v>9002</v>
      </c>
      <c r="J990" s="7">
        <v>44</v>
      </c>
      <c r="K990" s="7">
        <v>113.4</v>
      </c>
      <c r="L990" s="5" t="s">
        <v>9003</v>
      </c>
      <c r="M990" s="7">
        <v>1.2</v>
      </c>
      <c r="N990" s="7">
        <v>0.63500000000000001</v>
      </c>
      <c r="O990" s="7">
        <v>1845.5250000000001</v>
      </c>
      <c r="P990" s="1" t="s">
        <v>9004</v>
      </c>
    </row>
    <row r="991" spans="1:16" ht="33.4" x14ac:dyDescent="0.3">
      <c r="A991" s="6" t="str">
        <f>HYPERLINK("https://www.ti.com/product/LMR38010", "LMR38010")</f>
        <v>LMR38010</v>
      </c>
      <c r="B991" s="5" t="s">
        <v>9005</v>
      </c>
      <c r="C991" s="6" t="str">
        <f>HYPERLINK("https://www.ti.com/lit/gpn/LMR38010", "PDF")</f>
        <v>PDF</v>
      </c>
      <c r="D991" s="5" t="s">
        <v>9006</v>
      </c>
      <c r="E991" s="5" t="s">
        <v>9007</v>
      </c>
      <c r="F991" s="5" t="s">
        <v>9008</v>
      </c>
      <c r="G991" s="5" t="s">
        <v>9009</v>
      </c>
      <c r="H991" s="1" t="s">
        <v>9010</v>
      </c>
      <c r="I991" s="5" t="s">
        <v>9011</v>
      </c>
      <c r="J991" s="7">
        <v>8</v>
      </c>
      <c r="K991" s="7">
        <v>29.4</v>
      </c>
      <c r="L991" s="5" t="s">
        <v>9012</v>
      </c>
      <c r="M991" s="7">
        <v>1.7</v>
      </c>
      <c r="N991" s="7">
        <v>1.27</v>
      </c>
      <c r="O991" s="7">
        <v>1.109</v>
      </c>
      <c r="P991" s="1" t="s">
        <v>9013</v>
      </c>
    </row>
    <row r="992" spans="1:16" ht="33.4" x14ac:dyDescent="0.3">
      <c r="A992" s="6" t="str">
        <f>HYPERLINK("https://www.ti.com/product/UCC27284", "UCC27284")</f>
        <v>UCC27284</v>
      </c>
      <c r="B992" s="5" t="s">
        <v>9014</v>
      </c>
      <c r="C992" s="6" t="str">
        <f>HYPERLINK("https://www.ti.com/lit/gpn/UCC27284", "PDF")</f>
        <v>PDF</v>
      </c>
      <c r="D992" s="5" t="s">
        <v>9015</v>
      </c>
      <c r="E992" s="5" t="s">
        <v>9016</v>
      </c>
      <c r="F992" s="5"/>
      <c r="G992" s="5" t="s">
        <v>9017</v>
      </c>
      <c r="H992" s="1" t="s">
        <v>9018</v>
      </c>
      <c r="I992" s="5" t="s">
        <v>9019</v>
      </c>
      <c r="J992" s="7" t="s">
        <v>9020</v>
      </c>
      <c r="K992" s="7" t="s">
        <v>9021</v>
      </c>
      <c r="L992" s="5" t="s">
        <v>9022</v>
      </c>
      <c r="M992" s="7">
        <v>1</v>
      </c>
      <c r="N992" s="7" t="s">
        <v>9023</v>
      </c>
      <c r="O992" s="7">
        <v>0.61099999999999999</v>
      </c>
      <c r="P992" s="1" t="s">
        <v>9024</v>
      </c>
    </row>
    <row r="993" spans="1:16" ht="33.4" x14ac:dyDescent="0.3">
      <c r="A993" s="6" t="str">
        <f>HYPERLINK("https://www.ti.com/product/TPS629210", "TPS629210")</f>
        <v>TPS629210</v>
      </c>
      <c r="B993" s="5" t="s">
        <v>9025</v>
      </c>
      <c r="C993" s="6" t="str">
        <f>HYPERLINK("https://www.ti.com/lit/gpn/TPS629210", "PDF")</f>
        <v>PDF</v>
      </c>
      <c r="D993" s="5" t="s">
        <v>9026</v>
      </c>
      <c r="E993" s="5" t="s">
        <v>9027</v>
      </c>
      <c r="F993" s="5" t="s">
        <v>9028</v>
      </c>
      <c r="G993" s="5" t="s">
        <v>9029</v>
      </c>
      <c r="H993" s="1" t="s">
        <v>9030</v>
      </c>
      <c r="I993" s="5" t="s">
        <v>9031</v>
      </c>
      <c r="J993" s="7">
        <v>8</v>
      </c>
      <c r="K993" s="7">
        <v>3.36</v>
      </c>
      <c r="L993" s="5" t="s">
        <v>9032</v>
      </c>
      <c r="M993" s="7">
        <v>0.6</v>
      </c>
      <c r="N993" s="7">
        <v>0.5</v>
      </c>
      <c r="O993" s="7">
        <v>0.45</v>
      </c>
      <c r="P993" s="1" t="s">
        <v>9033</v>
      </c>
    </row>
    <row r="994" spans="1:16" ht="33.4" x14ac:dyDescent="0.3">
      <c r="A994" s="6" t="str">
        <f>HYPERLINK("https://www.ti.com/product/TPSM5D1806E", "TPSM5D1806E")</f>
        <v>TPSM5D1806E</v>
      </c>
      <c r="B994" s="5" t="s">
        <v>9034</v>
      </c>
      <c r="C994" s="6" t="str">
        <f>HYPERLINK("https://www.ti.com/lit/gpn/TPSM5D1806E", "PDF")</f>
        <v>PDF</v>
      </c>
      <c r="D994" s="5" t="s">
        <v>9035</v>
      </c>
      <c r="E994" s="5" t="s">
        <v>9036</v>
      </c>
      <c r="F994" s="5" t="s">
        <v>9037</v>
      </c>
      <c r="G994" s="5" t="s">
        <v>9038</v>
      </c>
      <c r="H994" s="1" t="s">
        <v>9039</v>
      </c>
      <c r="I994" s="5" t="s">
        <v>9040</v>
      </c>
      <c r="J994" s="7">
        <v>51</v>
      </c>
      <c r="K994" s="7">
        <v>44</v>
      </c>
      <c r="L994" s="5" t="s">
        <v>9041</v>
      </c>
      <c r="M994" s="7">
        <v>1.9</v>
      </c>
      <c r="N994" s="7">
        <v>0.5</v>
      </c>
      <c r="O994" s="7">
        <v>25</v>
      </c>
      <c r="P994" s="1" t="s">
        <v>9042</v>
      </c>
    </row>
    <row r="995" spans="1:16" ht="33.4" x14ac:dyDescent="0.3">
      <c r="A995" s="6" t="str">
        <f>HYPERLINK("https://www.ti.com/product/LP5861", "LP5861")</f>
        <v>LP5861</v>
      </c>
      <c r="B995" s="5" t="s">
        <v>9043</v>
      </c>
      <c r="C995" s="6" t="str">
        <f>HYPERLINK("https://www.ti.com/lit/gpn/LP5861", "PDF")</f>
        <v>PDF</v>
      </c>
      <c r="D995" s="5" t="s">
        <v>9044</v>
      </c>
      <c r="E995" s="5" t="s">
        <v>9045</v>
      </c>
      <c r="F995" s="5" t="s">
        <v>9046</v>
      </c>
      <c r="G995" s="5" t="s">
        <v>9047</v>
      </c>
      <c r="H995" s="1" t="s">
        <v>9048</v>
      </c>
      <c r="I995" s="5" t="s">
        <v>9049</v>
      </c>
      <c r="J995" s="7">
        <v>32</v>
      </c>
      <c r="K995" s="7">
        <v>16</v>
      </c>
      <c r="L995" s="5" t="s">
        <v>9050</v>
      </c>
      <c r="M995" s="7">
        <v>1</v>
      </c>
      <c r="N995" s="7">
        <v>0.4</v>
      </c>
      <c r="O995" s="7">
        <v>0.79200000000000004</v>
      </c>
      <c r="P995" s="1" t="s">
        <v>9051</v>
      </c>
    </row>
    <row r="996" spans="1:16" ht="33.4" x14ac:dyDescent="0.3">
      <c r="A996" s="6" t="str">
        <f>HYPERLINK("https://www.ti.com/product/LP5862", "LP5862")</f>
        <v>LP5862</v>
      </c>
      <c r="B996" s="5" t="s">
        <v>9052</v>
      </c>
      <c r="C996" s="6" t="str">
        <f>HYPERLINK("https://www.ti.com/lit/gpn/LP5862", "PDF")</f>
        <v>PDF</v>
      </c>
      <c r="D996" s="5" t="s">
        <v>9053</v>
      </c>
      <c r="E996" s="5" t="s">
        <v>9054</v>
      </c>
      <c r="F996" s="5" t="s">
        <v>9055</v>
      </c>
      <c r="G996" s="5" t="s">
        <v>9056</v>
      </c>
      <c r="H996" s="1" t="s">
        <v>9057</v>
      </c>
      <c r="I996" s="5" t="s">
        <v>9058</v>
      </c>
      <c r="J996" s="7" t="s">
        <v>9059</v>
      </c>
      <c r="K996" s="7" t="s">
        <v>9060</v>
      </c>
      <c r="L996" s="5" t="s">
        <v>9061</v>
      </c>
      <c r="M996" s="7" t="s">
        <v>9062</v>
      </c>
      <c r="N996" s="7" t="s">
        <v>9063</v>
      </c>
      <c r="O996" s="7">
        <v>0.81599999999999995</v>
      </c>
      <c r="P996" s="1" t="s">
        <v>9064</v>
      </c>
    </row>
    <row r="997" spans="1:16" ht="17.05" x14ac:dyDescent="0.3">
      <c r="A997" s="6" t="str">
        <f>HYPERLINK("https://www.ti.com/product/LP5864", "LP5864")</f>
        <v>LP5864</v>
      </c>
      <c r="B997" s="5" t="s">
        <v>9065</v>
      </c>
      <c r="C997" s="6" t="str">
        <f>HYPERLINK("https://www.ti.com/lit/gpn/LP5864", "PDF")</f>
        <v>PDF</v>
      </c>
      <c r="D997" s="5" t="s">
        <v>9066</v>
      </c>
      <c r="E997" s="5" t="s">
        <v>9067</v>
      </c>
      <c r="F997" s="5" t="s">
        <v>9068</v>
      </c>
      <c r="G997" s="5" t="s">
        <v>9069</v>
      </c>
      <c r="H997" s="1" t="s">
        <v>9070</v>
      </c>
      <c r="I997" s="5" t="s">
        <v>9071</v>
      </c>
      <c r="J997" s="7">
        <v>32</v>
      </c>
      <c r="K997" s="7">
        <v>16</v>
      </c>
      <c r="L997" s="5" t="s">
        <v>9072</v>
      </c>
      <c r="M997" s="7">
        <v>1</v>
      </c>
      <c r="N997" s="7">
        <v>0.4</v>
      </c>
      <c r="O997" s="7">
        <v>0.84699999999999998</v>
      </c>
      <c r="P997" s="1" t="s">
        <v>9073</v>
      </c>
    </row>
    <row r="998" spans="1:16" ht="33.4" x14ac:dyDescent="0.3">
      <c r="A998" s="6" t="str">
        <f>HYPERLINK("https://www.ti.com/product/TPS631000", "TPS631000")</f>
        <v>TPS631000</v>
      </c>
      <c r="B998" s="5" t="s">
        <v>9074</v>
      </c>
      <c r="C998" s="6" t="str">
        <f>HYPERLINK("https://www.ti.com/lit/gpn/TPS631000", "PDF")</f>
        <v>PDF</v>
      </c>
      <c r="D998" s="5" t="s">
        <v>9075</v>
      </c>
      <c r="E998" s="5" t="s">
        <v>9076</v>
      </c>
      <c r="F998" s="5" t="s">
        <v>9077</v>
      </c>
      <c r="G998" s="5" t="s">
        <v>9078</v>
      </c>
      <c r="H998" s="1" t="s">
        <v>9079</v>
      </c>
      <c r="I998" s="5" t="s">
        <v>9080</v>
      </c>
      <c r="J998" s="7">
        <v>8</v>
      </c>
      <c r="K998" s="7">
        <v>3.36</v>
      </c>
      <c r="L998" s="5" t="s">
        <v>9081</v>
      </c>
      <c r="M998" s="7">
        <v>0.6</v>
      </c>
      <c r="N998" s="7">
        <v>0.5</v>
      </c>
      <c r="O998" s="7">
        <v>0.625</v>
      </c>
      <c r="P998" s="1" t="s">
        <v>9082</v>
      </c>
    </row>
    <row r="999" spans="1:16" ht="33.4" x14ac:dyDescent="0.3">
      <c r="A999" s="6" t="str">
        <f>HYPERLINK("https://www.ti.com/product/LMR54406", "LMR54406")</f>
        <v>LMR54406</v>
      </c>
      <c r="B999" s="5" t="s">
        <v>9083</v>
      </c>
      <c r="C999" s="6" t="str">
        <f>HYPERLINK("https://www.ti.com/lit/gpn/LMR54406", "PDF")</f>
        <v>PDF</v>
      </c>
      <c r="D999" s="5" t="s">
        <v>9084</v>
      </c>
      <c r="E999" s="5" t="s">
        <v>9085</v>
      </c>
      <c r="F999" s="5" t="s">
        <v>9086</v>
      </c>
      <c r="G999" s="5" t="s">
        <v>9087</v>
      </c>
      <c r="H999" s="1" t="s">
        <v>9088</v>
      </c>
      <c r="I999" s="5" t="s">
        <v>9089</v>
      </c>
      <c r="J999" s="7">
        <v>6</v>
      </c>
      <c r="K999" s="7">
        <v>8.1199999999999992</v>
      </c>
      <c r="L999" s="5" t="s">
        <v>9090</v>
      </c>
      <c r="M999" s="7">
        <v>1.45</v>
      </c>
      <c r="N999" s="7">
        <v>0.95</v>
      </c>
      <c r="O999" s="7">
        <v>0.40799999999999997</v>
      </c>
      <c r="P999" s="1" t="s">
        <v>9091</v>
      </c>
    </row>
    <row r="1000" spans="1:16" ht="33.4" x14ac:dyDescent="0.3">
      <c r="A1000" s="6" t="str">
        <f>HYPERLINK("https://www.ti.com/product/REF20-Q1", "REF20-Q1")</f>
        <v>REF20-Q1</v>
      </c>
      <c r="B1000" s="5" t="s">
        <v>9092</v>
      </c>
      <c r="C1000" s="6" t="str">
        <f>HYPERLINK("https://www.ti.com/lit/gpn/REF20-Q1", "PDF")</f>
        <v>PDF</v>
      </c>
      <c r="D1000" s="5" t="s">
        <v>9093</v>
      </c>
      <c r="E1000" s="5" t="s">
        <v>9094</v>
      </c>
      <c r="F1000" s="5"/>
      <c r="G1000" s="5" t="s">
        <v>9095</v>
      </c>
      <c r="H1000" s="1" t="s">
        <v>9096</v>
      </c>
      <c r="I1000" s="5" t="s">
        <v>9097</v>
      </c>
      <c r="J1000" s="7">
        <v>5</v>
      </c>
      <c r="K1000" s="7">
        <v>8.1199999999999992</v>
      </c>
      <c r="L1000" s="5" t="s">
        <v>9098</v>
      </c>
      <c r="M1000" s="7">
        <v>1.1000000000000001</v>
      </c>
      <c r="N1000" s="7">
        <v>0.95</v>
      </c>
      <c r="O1000" s="7">
        <v>1.474</v>
      </c>
      <c r="P1000" s="1" t="s">
        <v>9099</v>
      </c>
    </row>
    <row r="1001" spans="1:16" ht="33.4" x14ac:dyDescent="0.3">
      <c r="A1001" s="6" t="str">
        <f>HYPERLINK("https://www.ti.com/product/TPS7A21", "TPS7A21")</f>
        <v>TPS7A21</v>
      </c>
      <c r="B1001" s="5" t="s">
        <v>9100</v>
      </c>
      <c r="C1001" s="6" t="str">
        <f>HYPERLINK("https://www.ti.com/lit/gpn/TPS7A21", "PDF")</f>
        <v>PDF</v>
      </c>
      <c r="D1001" s="5" t="s">
        <v>9101</v>
      </c>
      <c r="E1001" s="5" t="s">
        <v>9102</v>
      </c>
      <c r="F1001" s="5"/>
      <c r="G1001" s="5" t="s">
        <v>9103</v>
      </c>
      <c r="H1001" s="1" t="s">
        <v>9104</v>
      </c>
      <c r="I1001" s="5" t="s">
        <v>9105</v>
      </c>
      <c r="J1001" s="7">
        <v>4</v>
      </c>
      <c r="K1001" s="7" t="s">
        <v>9106</v>
      </c>
      <c r="L1001" s="5" t="s">
        <v>9107</v>
      </c>
      <c r="M1001" s="7" t="s">
        <v>9108</v>
      </c>
      <c r="N1001" s="7" t="s">
        <v>9109</v>
      </c>
      <c r="O1001" s="7">
        <v>0.23899999999999999</v>
      </c>
      <c r="P1001" s="1" t="s">
        <v>9110</v>
      </c>
    </row>
    <row r="1002" spans="1:16" ht="49.75" x14ac:dyDescent="0.3">
      <c r="A1002" s="6" t="str">
        <f>HYPERLINK("https://www.ti.com/product/TPS22992", "TPS22992")</f>
        <v>TPS22992</v>
      </c>
      <c r="B1002" s="5" t="s">
        <v>9111</v>
      </c>
      <c r="C1002" s="6" t="str">
        <f>HYPERLINK("https://www.ti.com/lit/gpn/TPS22992", "PDF")</f>
        <v>PDF</v>
      </c>
      <c r="D1002" s="5" t="s">
        <v>9112</v>
      </c>
      <c r="E1002" s="5" t="s">
        <v>9113</v>
      </c>
      <c r="F1002" s="5"/>
      <c r="G1002" s="5" t="s">
        <v>9114</v>
      </c>
      <c r="H1002" s="1" t="s">
        <v>9115</v>
      </c>
      <c r="I1002" s="5" t="s">
        <v>9116</v>
      </c>
      <c r="J1002" s="7">
        <v>8</v>
      </c>
      <c r="K1002" s="7" t="s">
        <v>9117</v>
      </c>
      <c r="L1002" s="5" t="s">
        <v>9118</v>
      </c>
      <c r="M1002" s="7">
        <v>0.8</v>
      </c>
      <c r="N1002" s="7" t="s">
        <v>9119</v>
      </c>
      <c r="O1002" s="7">
        <v>0.156</v>
      </c>
      <c r="P1002" s="1" t="s">
        <v>9120</v>
      </c>
    </row>
    <row r="1003" spans="1:16" ht="17.05" x14ac:dyDescent="0.3">
      <c r="A1003" s="6" t="str">
        <f>HYPERLINK("https://www.ti.com/product/LM74502", "LM74502")</f>
        <v>LM74502</v>
      </c>
      <c r="B1003" s="5" t="s">
        <v>9121</v>
      </c>
      <c r="C1003" s="6" t="str">
        <f>HYPERLINK("https://www.ti.com/lit/gpn/LM74502", "PDF")</f>
        <v>PDF</v>
      </c>
      <c r="D1003" s="5" t="s">
        <v>9122</v>
      </c>
      <c r="E1003" s="5" t="s">
        <v>9123</v>
      </c>
      <c r="F1003" s="5"/>
      <c r="G1003" s="5" t="s">
        <v>9124</v>
      </c>
      <c r="H1003" s="1" t="s">
        <v>9125</v>
      </c>
      <c r="I1003" s="5" t="s">
        <v>9126</v>
      </c>
      <c r="J1003" s="7">
        <v>8</v>
      </c>
      <c r="K1003" s="7">
        <v>8.1199999999999992</v>
      </c>
      <c r="L1003" s="5" t="s">
        <v>9127</v>
      </c>
      <c r="M1003" s="7">
        <v>1.1000000000000001</v>
      </c>
      <c r="N1003" s="7">
        <v>0.65</v>
      </c>
      <c r="O1003" s="7">
        <v>0.65900000000000003</v>
      </c>
      <c r="P1003" s="1" t="s">
        <v>9128</v>
      </c>
    </row>
    <row r="1004" spans="1:16" ht="33.4" x14ac:dyDescent="0.3">
      <c r="A1004" s="6" t="str">
        <f>HYPERLINK("https://www.ti.com/product/TPS2597", "TPS2597")</f>
        <v>TPS2597</v>
      </c>
      <c r="B1004" s="5" t="s">
        <v>9129</v>
      </c>
      <c r="C1004" s="6" t="str">
        <f>HYPERLINK("https://www.ti.com/lit/gpn/TPS2597", "PDF")</f>
        <v>PDF</v>
      </c>
      <c r="D1004" s="5" t="s">
        <v>9130</v>
      </c>
      <c r="E1004" s="5" t="s">
        <v>9131</v>
      </c>
      <c r="F1004" s="5"/>
      <c r="G1004" s="5" t="s">
        <v>9132</v>
      </c>
      <c r="H1004" s="1" t="s">
        <v>9133</v>
      </c>
      <c r="I1004" s="5" t="s">
        <v>9134</v>
      </c>
      <c r="J1004" s="7">
        <v>10</v>
      </c>
      <c r="K1004" s="7">
        <v>4</v>
      </c>
      <c r="L1004" s="5" t="s">
        <v>9135</v>
      </c>
      <c r="M1004" s="7">
        <v>1</v>
      </c>
      <c r="N1004" s="7">
        <v>0.45</v>
      </c>
      <c r="O1004" s="7">
        <v>0.46</v>
      </c>
      <c r="P1004" s="1" t="s">
        <v>9136</v>
      </c>
    </row>
    <row r="1005" spans="1:16" ht="49.75" x14ac:dyDescent="0.3">
      <c r="A1005" s="6" t="str">
        <f>HYPERLINK("https://www.ti.com/product/TPS62810M", "TPS62810M")</f>
        <v>TPS62810M</v>
      </c>
      <c r="B1005" s="5" t="s">
        <v>9137</v>
      </c>
      <c r="C1005" s="6" t="str">
        <f>HYPERLINK("https://www.ti.com/lit/gpn/TPS62810M", "PDF")</f>
        <v>PDF</v>
      </c>
      <c r="D1005" s="5" t="s">
        <v>9138</v>
      </c>
      <c r="E1005" s="5" t="s">
        <v>9139</v>
      </c>
      <c r="F1005" s="5" t="s">
        <v>9140</v>
      </c>
      <c r="G1005" s="5" t="s">
        <v>9141</v>
      </c>
      <c r="H1005" s="1" t="s">
        <v>9142</v>
      </c>
      <c r="I1005" s="5" t="s">
        <v>9143</v>
      </c>
      <c r="J1005" s="7">
        <v>9</v>
      </c>
      <c r="K1005" s="7">
        <v>6</v>
      </c>
      <c r="L1005" s="5" t="s">
        <v>9144</v>
      </c>
      <c r="M1005" s="7">
        <v>1</v>
      </c>
      <c r="N1005" s="7">
        <v>0.5</v>
      </c>
      <c r="O1005" s="7">
        <v>2.0760000000000001</v>
      </c>
      <c r="P1005" s="1" t="s">
        <v>9145</v>
      </c>
    </row>
    <row r="1006" spans="1:16" ht="33.4" x14ac:dyDescent="0.3">
      <c r="A1006" s="6" t="str">
        <f>HYPERLINK("https://www.ti.com/product/TPS62812M", "TPS62812M")</f>
        <v>TPS62812M</v>
      </c>
      <c r="B1006" s="5" t="s">
        <v>9146</v>
      </c>
      <c r="C1006" s="6" t="str">
        <f>HYPERLINK("https://www.ti.com/lit/gpn/TPS62812M", "PDF")</f>
        <v>PDF</v>
      </c>
      <c r="D1006" s="5" t="s">
        <v>9147</v>
      </c>
      <c r="E1006" s="5" t="s">
        <v>9148</v>
      </c>
      <c r="F1006" s="5" t="s">
        <v>9149</v>
      </c>
      <c r="G1006" s="5" t="s">
        <v>9150</v>
      </c>
      <c r="H1006" s="1" t="s">
        <v>9151</v>
      </c>
      <c r="I1006" s="5" t="s">
        <v>9152</v>
      </c>
      <c r="J1006" s="7">
        <v>9</v>
      </c>
      <c r="K1006" s="7">
        <v>6</v>
      </c>
      <c r="L1006" s="5" t="s">
        <v>9153</v>
      </c>
      <c r="M1006" s="7">
        <v>1</v>
      </c>
      <c r="N1006" s="7">
        <v>0.5</v>
      </c>
      <c r="O1006" s="7">
        <v>1.974</v>
      </c>
      <c r="P1006" s="1" t="s">
        <v>9154</v>
      </c>
    </row>
    <row r="1007" spans="1:16" ht="17.05" x14ac:dyDescent="0.3">
      <c r="A1007" s="6" t="str">
        <f>HYPERLINK("https://www.ti.com/product/TPSM8D6C24", "TPSM8D6C24")</f>
        <v>TPSM8D6C24</v>
      </c>
      <c r="B1007" s="5" t="s">
        <v>9155</v>
      </c>
      <c r="C1007" s="6" t="str">
        <f>HYPERLINK("https://www.ti.com/lit/gpn/TPSM8D6C24", "PDF")</f>
        <v>PDF</v>
      </c>
      <c r="D1007" s="5" t="s">
        <v>9156</v>
      </c>
      <c r="E1007" s="5" t="s">
        <v>9157</v>
      </c>
      <c r="F1007" s="5" t="s">
        <v>9158</v>
      </c>
      <c r="G1007" s="5" t="s">
        <v>9159</v>
      </c>
      <c r="H1007" s="1" t="s">
        <v>9160</v>
      </c>
      <c r="I1007" s="5" t="s">
        <v>9161</v>
      </c>
      <c r="J1007" s="7">
        <v>59</v>
      </c>
      <c r="K1007" s="7">
        <v>320</v>
      </c>
      <c r="L1007" s="5" t="s">
        <v>9162</v>
      </c>
      <c r="M1007" s="7">
        <v>4.4000000000000004</v>
      </c>
      <c r="N1007" s="7">
        <v>0.8</v>
      </c>
      <c r="O1007" s="7">
        <v>31.74</v>
      </c>
      <c r="P1007" s="1" t="s">
        <v>9163</v>
      </c>
    </row>
    <row r="1008" spans="1:16" ht="17.05" x14ac:dyDescent="0.3">
      <c r="A1008" s="6" t="str">
        <f>HYPERLINK("https://www.ti.com/product/TPS22998", "TPS22998")</f>
        <v>TPS22998</v>
      </c>
      <c r="B1008" s="5" t="s">
        <v>9164</v>
      </c>
      <c r="C1008" s="6" t="str">
        <f>HYPERLINK("https://www.ti.com/lit/gpn/TPS22998", "PDF")</f>
        <v>PDF</v>
      </c>
      <c r="D1008" s="5" t="s">
        <v>9165</v>
      </c>
      <c r="E1008" s="5" t="s">
        <v>9166</v>
      </c>
      <c r="F1008" s="5"/>
      <c r="G1008" s="5" t="s">
        <v>9167</v>
      </c>
      <c r="H1008" s="1" t="s">
        <v>9168</v>
      </c>
      <c r="I1008" s="5" t="s">
        <v>9169</v>
      </c>
      <c r="J1008" s="7">
        <v>10</v>
      </c>
      <c r="K1008" s="7">
        <v>3</v>
      </c>
      <c r="L1008" s="5" t="s">
        <v>9170</v>
      </c>
      <c r="M1008" s="7">
        <v>0.8</v>
      </c>
      <c r="N1008" s="7">
        <v>0.5</v>
      </c>
      <c r="O1008" s="7">
        <v>0.219</v>
      </c>
      <c r="P1008" s="1" t="s">
        <v>9171</v>
      </c>
    </row>
    <row r="1009" spans="1:16" ht="33.4" x14ac:dyDescent="0.3">
      <c r="A1009" s="6" t="str">
        <f>HYPERLINK("https://www.ti.com/product/TPS37", "TPS37")</f>
        <v>TPS37</v>
      </c>
      <c r="B1009" s="5" t="s">
        <v>9172</v>
      </c>
      <c r="C1009" s="6" t="str">
        <f>HYPERLINK("https://www.ti.com/lit/gpn/TPS37", "PDF")</f>
        <v>PDF</v>
      </c>
      <c r="D1009" s="5" t="s">
        <v>9173</v>
      </c>
      <c r="E1009" s="5" t="s">
        <v>9174</v>
      </c>
      <c r="F1009" s="5"/>
      <c r="G1009" s="5" t="s">
        <v>9175</v>
      </c>
      <c r="H1009" s="1" t="s">
        <v>9176</v>
      </c>
      <c r="I1009" s="5" t="s">
        <v>9177</v>
      </c>
      <c r="J1009" s="7">
        <v>10</v>
      </c>
      <c r="K1009" s="7">
        <v>6.25</v>
      </c>
      <c r="L1009" s="5" t="s">
        <v>9178</v>
      </c>
      <c r="M1009" s="7">
        <v>0.8</v>
      </c>
      <c r="N1009" s="7">
        <v>0.5</v>
      </c>
      <c r="O1009" s="7">
        <v>1.117</v>
      </c>
      <c r="P1009" s="1" t="s">
        <v>9179</v>
      </c>
    </row>
    <row r="1010" spans="1:16" ht="49.75" x14ac:dyDescent="0.3">
      <c r="A1010" s="6" t="str">
        <f>HYPERLINK("https://www.ti.com/product/TPS37-Q1", "TPS37-Q1")</f>
        <v>TPS37-Q1</v>
      </c>
      <c r="B1010" s="5" t="s">
        <v>9180</v>
      </c>
      <c r="C1010" s="6" t="str">
        <f>HYPERLINK("https://www.ti.com/lit/gpn/TPS37-Q1", "PDF")</f>
        <v>PDF</v>
      </c>
      <c r="D1010" s="5" t="s">
        <v>9181</v>
      </c>
      <c r="E1010" s="5" t="s">
        <v>9182</v>
      </c>
      <c r="F1010" s="5"/>
      <c r="G1010" s="5" t="s">
        <v>9183</v>
      </c>
      <c r="H1010" s="1" t="s">
        <v>9184</v>
      </c>
      <c r="I1010" s="5" t="s">
        <v>9185</v>
      </c>
      <c r="J1010" s="7" t="s">
        <v>9186</v>
      </c>
      <c r="K1010" s="7" t="s">
        <v>9187</v>
      </c>
      <c r="L1010" s="5" t="s">
        <v>9188</v>
      </c>
      <c r="M1010" s="7" t="s">
        <v>9189</v>
      </c>
      <c r="N1010" s="7">
        <v>0.5</v>
      </c>
      <c r="O1010" s="7">
        <v>1.1839999999999999</v>
      </c>
      <c r="P1010" s="1" t="s">
        <v>9190</v>
      </c>
    </row>
    <row r="1011" spans="1:16" ht="33.4" x14ac:dyDescent="0.3">
      <c r="A1011" s="6" t="str">
        <f>HYPERLINK("https://www.ti.com/product/TPS62816-Q1", "TPS62816-Q1")</f>
        <v>TPS62816-Q1</v>
      </c>
      <c r="B1011" s="5" t="s">
        <v>9191</v>
      </c>
      <c r="C1011" s="6" t="str">
        <f>HYPERLINK("https://www.ti.com/lit/gpn/TPS62816-Q1", "PDF")</f>
        <v>PDF</v>
      </c>
      <c r="D1011" s="5" t="s">
        <v>9192</v>
      </c>
      <c r="E1011" s="5" t="s">
        <v>9193</v>
      </c>
      <c r="F1011" s="5" t="s">
        <v>9194</v>
      </c>
      <c r="G1011" s="5" t="s">
        <v>9195</v>
      </c>
      <c r="H1011" s="1" t="s">
        <v>9196</v>
      </c>
      <c r="I1011" s="5" t="s">
        <v>9197</v>
      </c>
      <c r="J1011" s="7">
        <v>9</v>
      </c>
      <c r="K1011" s="7">
        <v>6</v>
      </c>
      <c r="L1011" s="5" t="s">
        <v>9198</v>
      </c>
      <c r="M1011" s="7">
        <v>1</v>
      </c>
      <c r="N1011" s="7">
        <v>0.5</v>
      </c>
      <c r="O1011" s="7">
        <v>1.357</v>
      </c>
      <c r="P1011" s="1" t="s">
        <v>9199</v>
      </c>
    </row>
    <row r="1012" spans="1:16" ht="33.4" x14ac:dyDescent="0.3">
      <c r="A1012" s="6" t="str">
        <f>HYPERLINK("https://www.ti.com/product/LM5123-Q1", "LM5123-Q1")</f>
        <v>LM5123-Q1</v>
      </c>
      <c r="B1012" s="5" t="s">
        <v>9200</v>
      </c>
      <c r="C1012" s="6" t="str">
        <f>HYPERLINK("https://www.ti.com/lit/gpn/LM5123-Q1", "PDF")</f>
        <v>PDF</v>
      </c>
      <c r="D1012" s="5" t="s">
        <v>9201</v>
      </c>
      <c r="E1012" s="5" t="s">
        <v>9202</v>
      </c>
      <c r="F1012" s="5" t="s">
        <v>9203</v>
      </c>
      <c r="G1012" s="5" t="s">
        <v>9204</v>
      </c>
      <c r="H1012" s="1" t="s">
        <v>9205</v>
      </c>
      <c r="I1012" s="5" t="s">
        <v>9206</v>
      </c>
      <c r="J1012" s="7">
        <v>20</v>
      </c>
      <c r="K1012" s="7">
        <v>12.25</v>
      </c>
      <c r="L1012" s="5" t="s">
        <v>9207</v>
      </c>
      <c r="M1012" s="7">
        <v>1</v>
      </c>
      <c r="N1012" s="7">
        <v>0.5</v>
      </c>
      <c r="O1012" s="7">
        <v>1.925</v>
      </c>
      <c r="P1012" s="1" t="s">
        <v>9208</v>
      </c>
    </row>
    <row r="1013" spans="1:16" ht="33.4" x14ac:dyDescent="0.3">
      <c r="A1013" s="6" t="str">
        <f>HYPERLINK("https://www.ti.com/product/TPS272C45", "TPS272C45")</f>
        <v>TPS272C45</v>
      </c>
      <c r="B1013" s="5" t="s">
        <v>9209</v>
      </c>
      <c r="C1013" s="6" t="str">
        <f>HYPERLINK("https://www.ti.com/lit/gpn/TPS272C45", "PDF")</f>
        <v>PDF</v>
      </c>
      <c r="D1013" s="5" t="s">
        <v>9210</v>
      </c>
      <c r="E1013" s="5" t="s">
        <v>9211</v>
      </c>
      <c r="F1013" s="5"/>
      <c r="G1013" s="5" t="s">
        <v>9212</v>
      </c>
      <c r="H1013" s="1" t="s">
        <v>9213</v>
      </c>
      <c r="I1013" s="5" t="s">
        <v>9214</v>
      </c>
      <c r="J1013" s="7">
        <v>24</v>
      </c>
      <c r="K1013" s="7">
        <v>20</v>
      </c>
      <c r="L1013" s="5" t="s">
        <v>9215</v>
      </c>
      <c r="M1013" s="7">
        <v>1</v>
      </c>
      <c r="N1013" s="7">
        <v>0.5</v>
      </c>
      <c r="O1013" s="7">
        <v>2.4</v>
      </c>
      <c r="P1013" s="1" t="s">
        <v>9216</v>
      </c>
    </row>
    <row r="1014" spans="1:16" ht="33.4" x14ac:dyDescent="0.3">
      <c r="A1014" s="6" t="str">
        <f>HYPERLINK("https://www.ti.com/product/TPS7A13", "TPS7A13")</f>
        <v>TPS7A13</v>
      </c>
      <c r="B1014" s="5" t="s">
        <v>9217</v>
      </c>
      <c r="C1014" s="6" t="str">
        <f>HYPERLINK("https://www.ti.com/lit/gpn/TPS7A13", "PDF")</f>
        <v>PDF</v>
      </c>
      <c r="D1014" s="5" t="s">
        <v>9218</v>
      </c>
      <c r="E1014" s="5" t="s">
        <v>9219</v>
      </c>
      <c r="F1014" s="5"/>
      <c r="G1014" s="5" t="s">
        <v>9220</v>
      </c>
      <c r="H1014" s="1" t="s">
        <v>9221</v>
      </c>
      <c r="I1014" s="5" t="s">
        <v>9222</v>
      </c>
      <c r="J1014" s="7">
        <v>6</v>
      </c>
      <c r="K1014" s="7">
        <v>0.71</v>
      </c>
      <c r="L1014" s="5" t="s">
        <v>9223</v>
      </c>
      <c r="M1014" s="7">
        <v>0.33</v>
      </c>
      <c r="N1014" s="7">
        <v>0.35</v>
      </c>
      <c r="O1014" s="7">
        <v>0.21299999999999999</v>
      </c>
      <c r="P1014" s="1" t="s">
        <v>9224</v>
      </c>
    </row>
    <row r="1015" spans="1:16" ht="49.75" x14ac:dyDescent="0.3">
      <c r="A1015" s="6" t="str">
        <f>HYPERLINK("https://www.ti.com/product/TPSM82864A", "TPSM82864A")</f>
        <v>TPSM82864A</v>
      </c>
      <c r="B1015" s="5" t="s">
        <v>9225</v>
      </c>
      <c r="C1015" s="6" t="str">
        <f>HYPERLINK("https://www.ti.com/lit/gpn/TPSM82864A", "PDF")</f>
        <v>PDF</v>
      </c>
      <c r="D1015" s="5" t="s">
        <v>9226</v>
      </c>
      <c r="E1015" s="5" t="s">
        <v>9227</v>
      </c>
      <c r="F1015" s="5" t="s">
        <v>9228</v>
      </c>
      <c r="G1015" s="5" t="s">
        <v>9229</v>
      </c>
      <c r="H1015" s="1" t="s">
        <v>9230</v>
      </c>
      <c r="I1015" s="5" t="s">
        <v>9231</v>
      </c>
      <c r="J1015" s="7">
        <v>23</v>
      </c>
      <c r="K1015" s="7">
        <v>14</v>
      </c>
      <c r="L1015" s="5" t="s">
        <v>9232</v>
      </c>
      <c r="M1015" s="7" t="s">
        <v>9233</v>
      </c>
      <c r="N1015" s="7">
        <v>0.5</v>
      </c>
      <c r="O1015" s="7">
        <v>2.1379999999999999</v>
      </c>
      <c r="P1015" s="1" t="s">
        <v>9234</v>
      </c>
    </row>
    <row r="1016" spans="1:16" ht="49.75" x14ac:dyDescent="0.3">
      <c r="A1016" s="6" t="str">
        <f>HYPERLINK("https://www.ti.com/product/TPSM82866A", "TPSM82866A")</f>
        <v>TPSM82866A</v>
      </c>
      <c r="B1016" s="5" t="s">
        <v>9235</v>
      </c>
      <c r="C1016" s="6" t="str">
        <f>HYPERLINK("https://www.ti.com/lit/gpn/TPSM82866A", "PDF")</f>
        <v>PDF</v>
      </c>
      <c r="D1016" s="5" t="s">
        <v>9236</v>
      </c>
      <c r="E1016" s="5" t="s">
        <v>9237</v>
      </c>
      <c r="F1016" s="5" t="s">
        <v>9238</v>
      </c>
      <c r="G1016" s="5" t="s">
        <v>9239</v>
      </c>
      <c r="H1016" s="1" t="s">
        <v>9240</v>
      </c>
      <c r="I1016" s="5" t="s">
        <v>9241</v>
      </c>
      <c r="J1016" s="7" t="s">
        <v>9242</v>
      </c>
      <c r="K1016" s="7" t="s">
        <v>9243</v>
      </c>
      <c r="L1016" s="5" t="s">
        <v>9244</v>
      </c>
      <c r="M1016" s="7" t="s">
        <v>9245</v>
      </c>
      <c r="N1016" s="7">
        <v>0.5</v>
      </c>
      <c r="O1016" s="7">
        <v>2.6379999999999999</v>
      </c>
      <c r="P1016" s="1" t="s">
        <v>9246</v>
      </c>
    </row>
    <row r="1017" spans="1:16" ht="33.4" x14ac:dyDescent="0.3">
      <c r="A1017" s="6" t="str">
        <f>HYPERLINK("https://www.ti.com/product/LM74701-Q1", "LM74701-Q1")</f>
        <v>LM74701-Q1</v>
      </c>
      <c r="B1017" s="5" t="s">
        <v>9247</v>
      </c>
      <c r="C1017" s="6" t="str">
        <f>HYPERLINK("https://www.ti.com/lit/gpn/LM74701-Q1", "PDF")</f>
        <v>PDF</v>
      </c>
      <c r="D1017" s="5" t="s">
        <v>9248</v>
      </c>
      <c r="E1017" s="5" t="s">
        <v>9249</v>
      </c>
      <c r="F1017" s="5"/>
      <c r="G1017" s="5" t="s">
        <v>9250</v>
      </c>
      <c r="H1017" s="1" t="s">
        <v>9251</v>
      </c>
      <c r="I1017" s="5" t="s">
        <v>9252</v>
      </c>
      <c r="J1017" s="7">
        <v>8</v>
      </c>
      <c r="K1017" s="7">
        <v>8.1199999999999992</v>
      </c>
      <c r="L1017" s="5" t="s">
        <v>9253</v>
      </c>
      <c r="M1017" s="7">
        <v>1.1000000000000001</v>
      </c>
      <c r="N1017" s="7">
        <v>0.65</v>
      </c>
      <c r="O1017" s="7">
        <v>0.748</v>
      </c>
      <c r="P1017" s="1" t="s">
        <v>9254</v>
      </c>
    </row>
    <row r="1018" spans="1:16" ht="33.4" x14ac:dyDescent="0.3">
      <c r="A1018" s="6" t="str">
        <f>HYPERLINK("https://www.ti.com/product/TPS536C9", "TPS536C9")</f>
        <v>TPS536C9</v>
      </c>
      <c r="B1018" s="5" t="s">
        <v>9255</v>
      </c>
      <c r="C1018" s="6" t="str">
        <f>HYPERLINK("https://www.ti.com/lit/gpn/TPS536C9", "PDF")</f>
        <v>PDF</v>
      </c>
      <c r="D1018" s="5" t="s">
        <v>9256</v>
      </c>
      <c r="E1018" s="5" t="s">
        <v>9257</v>
      </c>
      <c r="F1018" s="5" t="s">
        <v>9258</v>
      </c>
      <c r="G1018" s="5" t="s">
        <v>9259</v>
      </c>
      <c r="H1018" s="1" t="s">
        <v>9260</v>
      </c>
      <c r="I1018" s="5" t="s">
        <v>9261</v>
      </c>
      <c r="J1018" s="7">
        <v>48</v>
      </c>
      <c r="K1018" s="7">
        <v>36</v>
      </c>
      <c r="L1018" s="5" t="s">
        <v>9262</v>
      </c>
      <c r="M1018" s="7">
        <v>1</v>
      </c>
      <c r="N1018" s="7">
        <v>0.4</v>
      </c>
      <c r="O1018" s="7">
        <v>3.45</v>
      </c>
      <c r="P1018" s="1" t="s">
        <v>9263</v>
      </c>
    </row>
    <row r="1019" spans="1:16" ht="33.4" x14ac:dyDescent="0.3">
      <c r="A1019" s="6" t="str">
        <f>HYPERLINK("https://www.ti.com/product/TPS7A14", "TPS7A14")</f>
        <v>TPS7A14</v>
      </c>
      <c r="B1019" s="5" t="s">
        <v>9264</v>
      </c>
      <c r="C1019" s="6" t="str">
        <f>HYPERLINK("https://www.ti.com/lit/gpn/TPS7A14", "PDF")</f>
        <v>PDF</v>
      </c>
      <c r="D1019" s="5" t="s">
        <v>9265</v>
      </c>
      <c r="E1019" s="5" t="s">
        <v>9266</v>
      </c>
      <c r="F1019" s="5"/>
      <c r="G1019" s="5" t="s">
        <v>9267</v>
      </c>
      <c r="H1019" s="1" t="s">
        <v>9268</v>
      </c>
      <c r="I1019" s="5" t="s">
        <v>9269</v>
      </c>
      <c r="J1019" s="7">
        <v>6</v>
      </c>
      <c r="K1019" s="7" t="s">
        <v>9270</v>
      </c>
      <c r="L1019" s="5" t="s">
        <v>9271</v>
      </c>
      <c r="M1019" s="7" t="s">
        <v>9272</v>
      </c>
      <c r="N1019" s="7" t="s">
        <v>9273</v>
      </c>
      <c r="O1019" s="7">
        <v>0.315</v>
      </c>
      <c r="P1019" s="1" t="s">
        <v>9274</v>
      </c>
    </row>
    <row r="1020" spans="1:16" ht="33.4" x14ac:dyDescent="0.3">
      <c r="A1020" s="6" t="str">
        <f>HYPERLINK("https://www.ti.com/product/TPS1HC100-Q1", "TPS1HC100-Q1")</f>
        <v>TPS1HC100-Q1</v>
      </c>
      <c r="B1020" s="5" t="s">
        <v>9275</v>
      </c>
      <c r="C1020" s="6" t="str">
        <f>HYPERLINK("https://www.ti.com/lit/gpn/TPS1HC100-Q1", "PDF")</f>
        <v>PDF</v>
      </c>
      <c r="D1020" s="5" t="s">
        <v>9276</v>
      </c>
      <c r="E1020" s="5" t="s">
        <v>9277</v>
      </c>
      <c r="F1020" s="5"/>
      <c r="G1020" s="5" t="s">
        <v>9278</v>
      </c>
      <c r="H1020" s="1" t="s">
        <v>9279</v>
      </c>
      <c r="I1020" s="5" t="s">
        <v>9280</v>
      </c>
      <c r="J1020" s="7">
        <v>14</v>
      </c>
      <c r="K1020" s="7">
        <v>32</v>
      </c>
      <c r="L1020" s="5" t="s">
        <v>9281</v>
      </c>
      <c r="M1020" s="7">
        <v>1.2</v>
      </c>
      <c r="N1020" s="7">
        <v>0.65</v>
      </c>
      <c r="O1020" s="7">
        <v>0.52800000000000002</v>
      </c>
      <c r="P1020" s="1" t="s">
        <v>9282</v>
      </c>
    </row>
    <row r="1021" spans="1:16" ht="49.75" x14ac:dyDescent="0.3">
      <c r="A1021" s="6" t="str">
        <f>HYPERLINK("https://www.ti.com/product/TPS38-Q1", "TPS38-Q1")</f>
        <v>TPS38-Q1</v>
      </c>
      <c r="B1021" s="5" t="s">
        <v>9283</v>
      </c>
      <c r="C1021" s="6" t="str">
        <f>HYPERLINK("https://www.ti.com/lit/gpn/TPS38-Q1", "PDF")</f>
        <v>PDF</v>
      </c>
      <c r="D1021" s="5" t="s">
        <v>9284</v>
      </c>
      <c r="E1021" s="5" t="s">
        <v>9285</v>
      </c>
      <c r="F1021" s="5"/>
      <c r="G1021" s="5" t="s">
        <v>9286</v>
      </c>
      <c r="H1021" s="1" t="s">
        <v>9287</v>
      </c>
      <c r="I1021" s="5" t="s">
        <v>9288</v>
      </c>
      <c r="J1021" s="7" t="s">
        <v>9289</v>
      </c>
      <c r="K1021" s="7" t="s">
        <v>9290</v>
      </c>
      <c r="L1021" s="5" t="s">
        <v>9291</v>
      </c>
      <c r="M1021" s="7" t="s">
        <v>9292</v>
      </c>
      <c r="N1021" s="7">
        <v>0.5</v>
      </c>
      <c r="O1021" s="7">
        <v>1.1839999999999999</v>
      </c>
      <c r="P1021" s="1" t="s">
        <v>9293</v>
      </c>
    </row>
    <row r="1022" spans="1:16" ht="33.4" x14ac:dyDescent="0.3">
      <c r="A1022" s="6" t="str">
        <f>HYPERLINK("https://www.ti.com/product/LM25148", "LM25148")</f>
        <v>LM25148</v>
      </c>
      <c r="B1022" s="5" t="s">
        <v>9294</v>
      </c>
      <c r="C1022" s="6" t="str">
        <f>HYPERLINK("https://www.ti.com/lit/gpn/LM25148", "PDF")</f>
        <v>PDF</v>
      </c>
      <c r="D1022" s="5" t="s">
        <v>9295</v>
      </c>
      <c r="E1022" s="5" t="s">
        <v>9296</v>
      </c>
      <c r="F1022" s="5" t="s">
        <v>9297</v>
      </c>
      <c r="G1022" s="5" t="s">
        <v>9298</v>
      </c>
      <c r="H1022" s="1" t="s">
        <v>9299</v>
      </c>
      <c r="I1022" s="5" t="s">
        <v>9300</v>
      </c>
      <c r="J1022" s="7">
        <v>24</v>
      </c>
      <c r="K1022" s="7">
        <v>19.25</v>
      </c>
      <c r="L1022" s="5" t="s">
        <v>9301</v>
      </c>
      <c r="M1022" s="7">
        <v>1</v>
      </c>
      <c r="N1022" s="7">
        <v>0.5</v>
      </c>
      <c r="O1022" s="7">
        <v>1.123</v>
      </c>
      <c r="P1022" s="1" t="s">
        <v>9302</v>
      </c>
    </row>
    <row r="1023" spans="1:16" ht="33.4" x14ac:dyDescent="0.3">
      <c r="A1023" s="6" t="str">
        <f>HYPERLINK("https://www.ti.com/product/LM25149", "LM25149")</f>
        <v>LM25149</v>
      </c>
      <c r="B1023" s="5" t="s">
        <v>9303</v>
      </c>
      <c r="C1023" s="6" t="str">
        <f>HYPERLINK("https://www.ti.com/lit/gpn/LM25149", "PDF")</f>
        <v>PDF</v>
      </c>
      <c r="D1023" s="5" t="s">
        <v>9304</v>
      </c>
      <c r="E1023" s="5" t="s">
        <v>9305</v>
      </c>
      <c r="F1023" s="5" t="s">
        <v>9306</v>
      </c>
      <c r="G1023" s="5" t="s">
        <v>9307</v>
      </c>
      <c r="H1023" s="1" t="s">
        <v>9308</v>
      </c>
      <c r="I1023" s="5" t="s">
        <v>9309</v>
      </c>
      <c r="J1023" s="7">
        <v>24</v>
      </c>
      <c r="K1023" s="7">
        <v>19.25</v>
      </c>
      <c r="L1023" s="5" t="s">
        <v>9310</v>
      </c>
      <c r="M1023" s="7">
        <v>1</v>
      </c>
      <c r="N1023" s="7">
        <v>0.5</v>
      </c>
      <c r="O1023" s="7">
        <v>1.385</v>
      </c>
      <c r="P1023" s="1" t="s">
        <v>9311</v>
      </c>
    </row>
    <row r="1024" spans="1:16" ht="33.4" x14ac:dyDescent="0.3">
      <c r="A1024" s="6" t="str">
        <f>HYPERLINK("https://www.ti.com/product/LP5860", "LP5860")</f>
        <v>LP5860</v>
      </c>
      <c r="B1024" s="5" t="s">
        <v>9312</v>
      </c>
      <c r="C1024" s="6" t="str">
        <f>HYPERLINK("https://www.ti.com/lit/gpn/LP5860", "PDF")</f>
        <v>PDF</v>
      </c>
      <c r="D1024" s="5" t="s">
        <v>9313</v>
      </c>
      <c r="E1024" s="5" t="s">
        <v>9314</v>
      </c>
      <c r="F1024" s="5" t="s">
        <v>9315</v>
      </c>
      <c r="G1024" s="5" t="s">
        <v>9316</v>
      </c>
      <c r="H1024" s="1" t="s">
        <v>9317</v>
      </c>
      <c r="I1024" s="5" t="s">
        <v>9318</v>
      </c>
      <c r="J1024" s="7">
        <v>40</v>
      </c>
      <c r="K1024" s="7">
        <v>25</v>
      </c>
      <c r="L1024" s="5" t="s">
        <v>9319</v>
      </c>
      <c r="M1024" s="7">
        <v>1</v>
      </c>
      <c r="N1024" s="7">
        <v>0.4</v>
      </c>
      <c r="O1024" s="7">
        <v>0.93500000000000005</v>
      </c>
      <c r="P1024" s="1" t="s">
        <v>9320</v>
      </c>
    </row>
    <row r="1025" spans="1:16" ht="33.4" x14ac:dyDescent="0.3">
      <c r="A1025" s="6" t="str">
        <f>HYPERLINK("https://www.ti.com/product/LP5866", "LP5866")</f>
        <v>LP5866</v>
      </c>
      <c r="B1025" s="5" t="s">
        <v>9321</v>
      </c>
      <c r="C1025" s="6" t="str">
        <f>HYPERLINK("https://www.ti.com/lit/gpn/LP5866", "PDF")</f>
        <v>PDF</v>
      </c>
      <c r="D1025" s="5" t="s">
        <v>9322</v>
      </c>
      <c r="E1025" s="5" t="s">
        <v>9323</v>
      </c>
      <c r="F1025" s="5" t="s">
        <v>9324</v>
      </c>
      <c r="G1025" s="5" t="s">
        <v>9325</v>
      </c>
      <c r="H1025" s="1" t="s">
        <v>9326</v>
      </c>
      <c r="I1025" s="5" t="s">
        <v>9327</v>
      </c>
      <c r="J1025" s="7" t="s">
        <v>9328</v>
      </c>
      <c r="K1025" s="7" t="s">
        <v>9329</v>
      </c>
      <c r="L1025" s="5" t="s">
        <v>9330</v>
      </c>
      <c r="M1025" s="7" t="s">
        <v>9331</v>
      </c>
      <c r="N1025" s="7" t="s">
        <v>9332</v>
      </c>
      <c r="O1025" s="7">
        <v>0.879</v>
      </c>
      <c r="P1025" s="1" t="s">
        <v>9333</v>
      </c>
    </row>
    <row r="1026" spans="1:16" ht="17.05" x14ac:dyDescent="0.3">
      <c r="A1026" s="6" t="str">
        <f>HYPERLINK("https://www.ti.com/product/LP5868", "LP5868")</f>
        <v>LP5868</v>
      </c>
      <c r="B1026" s="5" t="s">
        <v>9334</v>
      </c>
      <c r="C1026" s="6" t="str">
        <f>HYPERLINK("https://www.ti.com/lit/gpn/LP5868", "PDF")</f>
        <v>PDF</v>
      </c>
      <c r="D1026" s="5" t="s">
        <v>9335</v>
      </c>
      <c r="E1026" s="5" t="s">
        <v>9336</v>
      </c>
      <c r="F1026" s="5" t="s">
        <v>9337</v>
      </c>
      <c r="G1026" s="5" t="s">
        <v>9338</v>
      </c>
      <c r="H1026" s="1" t="s">
        <v>9339</v>
      </c>
      <c r="I1026" s="5" t="s">
        <v>9340</v>
      </c>
      <c r="J1026" s="7">
        <v>40</v>
      </c>
      <c r="K1026" s="7">
        <v>25</v>
      </c>
      <c r="L1026" s="5" t="s">
        <v>9341</v>
      </c>
      <c r="M1026" s="7">
        <v>1</v>
      </c>
      <c r="N1026" s="7">
        <v>0.4</v>
      </c>
      <c r="O1026" s="7">
        <v>0.91100000000000003</v>
      </c>
      <c r="P1026" s="1" t="s">
        <v>9342</v>
      </c>
    </row>
    <row r="1027" spans="1:16" ht="33.4" x14ac:dyDescent="0.3">
      <c r="A1027" s="6" t="str">
        <f>HYPERLINK("https://www.ti.com/product/CSD95411", "CSD95411")</f>
        <v>CSD95411</v>
      </c>
      <c r="B1027" s="5" t="s">
        <v>9343</v>
      </c>
      <c r="C1027" s="6" t="str">
        <f>HYPERLINK("https://www.ti.com/lit/gpn/CSD95411", "PDF")</f>
        <v>PDF</v>
      </c>
      <c r="D1027" s="5" t="s">
        <v>9344</v>
      </c>
      <c r="E1027" s="5" t="s">
        <v>9345</v>
      </c>
      <c r="F1027" s="5" t="s">
        <v>9346</v>
      </c>
      <c r="G1027" s="5" t="s">
        <v>9347</v>
      </c>
      <c r="H1027" s="1" t="s">
        <v>9348</v>
      </c>
      <c r="I1027" s="5" t="s">
        <v>9349</v>
      </c>
      <c r="J1027" s="7">
        <v>41</v>
      </c>
      <c r="K1027" s="7">
        <v>30</v>
      </c>
      <c r="L1027" s="5" t="s">
        <v>9350</v>
      </c>
      <c r="M1027" s="7">
        <v>1.05</v>
      </c>
      <c r="N1027" s="7">
        <v>0.45</v>
      </c>
      <c r="O1027" s="7">
        <v>2.1379999999999999</v>
      </c>
      <c r="P1027" s="1" t="s">
        <v>9351</v>
      </c>
    </row>
    <row r="1028" spans="1:16" ht="33.4" x14ac:dyDescent="0.3">
      <c r="A1028" s="6" t="str">
        <f>HYPERLINK("https://www.ti.com/product/LMR43620-Q1", "LMR43620-Q1")</f>
        <v>LMR43620-Q1</v>
      </c>
      <c r="B1028" s="5" t="s">
        <v>9352</v>
      </c>
      <c r="C1028" s="6" t="str">
        <f>HYPERLINK("https://www.ti.com/lit/gpn/LMR43620-Q1", "PDF")</f>
        <v>PDF</v>
      </c>
      <c r="D1028" s="5" t="s">
        <v>9353</v>
      </c>
      <c r="E1028" s="5" t="s">
        <v>9354</v>
      </c>
      <c r="F1028" s="5" t="s">
        <v>9355</v>
      </c>
      <c r="G1028" s="5" t="s">
        <v>9356</v>
      </c>
      <c r="H1028" s="1" t="s">
        <v>9357</v>
      </c>
      <c r="I1028" s="5" t="s">
        <v>9358</v>
      </c>
      <c r="J1028" s="7">
        <v>9</v>
      </c>
      <c r="K1028" s="7">
        <v>4</v>
      </c>
      <c r="L1028" s="5" t="s">
        <v>9359</v>
      </c>
      <c r="M1028" s="7">
        <v>1</v>
      </c>
      <c r="N1028" s="7">
        <v>0.5</v>
      </c>
      <c r="O1028" s="7">
        <v>1.2809999999999999</v>
      </c>
      <c r="P1028" s="1" t="s">
        <v>9360</v>
      </c>
    </row>
    <row r="1029" spans="1:16" ht="33.4" x14ac:dyDescent="0.3">
      <c r="A1029" s="6" t="str">
        <f>HYPERLINK("https://www.ti.com/product/TPSM63606", "TPSM63606")</f>
        <v>TPSM63606</v>
      </c>
      <c r="B1029" s="5" t="s">
        <v>9361</v>
      </c>
      <c r="C1029" s="6" t="str">
        <f>HYPERLINK("https://www.ti.com/lit/gpn/TPSM63606", "PDF")</f>
        <v>PDF</v>
      </c>
      <c r="D1029" s="5" t="s">
        <v>9362</v>
      </c>
      <c r="E1029" s="5" t="s">
        <v>9363</v>
      </c>
      <c r="F1029" s="5" t="s">
        <v>9364</v>
      </c>
      <c r="G1029" s="5" t="s">
        <v>9365</v>
      </c>
      <c r="H1029" s="1" t="s">
        <v>9366</v>
      </c>
      <c r="I1029" s="5" t="s">
        <v>9367</v>
      </c>
      <c r="J1029" s="7">
        <v>20</v>
      </c>
      <c r="K1029" s="7">
        <v>27.5</v>
      </c>
      <c r="L1029" s="5" t="s">
        <v>9368</v>
      </c>
      <c r="M1029" s="7">
        <v>4.0999999999999996</v>
      </c>
      <c r="N1029" s="7">
        <v>0.5</v>
      </c>
      <c r="O1029" s="7">
        <v>7.5330000000000004</v>
      </c>
      <c r="P1029" s="1" t="s">
        <v>9369</v>
      </c>
    </row>
    <row r="1030" spans="1:16" ht="33.4" x14ac:dyDescent="0.3">
      <c r="A1030" s="6" t="str">
        <f>HYPERLINK("https://www.ti.com/product/TPSM8A28", "TPSM8A28")</f>
        <v>TPSM8A28</v>
      </c>
      <c r="B1030" s="5" t="s">
        <v>9370</v>
      </c>
      <c r="C1030" s="6" t="str">
        <f>HYPERLINK("https://www.ti.com/lit/gpn/TPSM8A28", "PDF")</f>
        <v>PDF</v>
      </c>
      <c r="D1030" s="5" t="s">
        <v>9371</v>
      </c>
      <c r="E1030" s="5" t="s">
        <v>9372</v>
      </c>
      <c r="F1030" s="5" t="s">
        <v>9373</v>
      </c>
      <c r="G1030" s="5" t="s">
        <v>9374</v>
      </c>
      <c r="H1030" s="1" t="s">
        <v>9375</v>
      </c>
      <c r="I1030" s="5" t="s">
        <v>9376</v>
      </c>
      <c r="J1030" s="7">
        <v>25</v>
      </c>
      <c r="K1030" s="7">
        <v>48.75</v>
      </c>
      <c r="L1030" s="5" t="s">
        <v>9377</v>
      </c>
      <c r="M1030" s="7">
        <v>4.0999999999999996</v>
      </c>
      <c r="N1030" s="7">
        <v>0.65</v>
      </c>
      <c r="O1030" s="7">
        <v>8.0500000000000007</v>
      </c>
      <c r="P1030" s="1" t="s">
        <v>9378</v>
      </c>
    </row>
    <row r="1031" spans="1:16" ht="33.4" x14ac:dyDescent="0.3">
      <c r="A1031" s="6" t="str">
        <f>HYPERLINK("https://www.ti.com/product/TPSM8A29", "TPSM8A29")</f>
        <v>TPSM8A29</v>
      </c>
      <c r="B1031" s="5" t="s">
        <v>9379</v>
      </c>
      <c r="C1031" s="6" t="str">
        <f>HYPERLINK("https://www.ti.com/lit/gpn/TPSM8A29", "PDF")</f>
        <v>PDF</v>
      </c>
      <c r="D1031" s="5" t="s">
        <v>9380</v>
      </c>
      <c r="E1031" s="5" t="s">
        <v>9381</v>
      </c>
      <c r="F1031" s="5" t="s">
        <v>9382</v>
      </c>
      <c r="G1031" s="5" t="s">
        <v>9383</v>
      </c>
      <c r="H1031" s="1" t="s">
        <v>9384</v>
      </c>
      <c r="I1031" s="5" t="s">
        <v>9385</v>
      </c>
      <c r="J1031" s="7">
        <v>25</v>
      </c>
      <c r="K1031" s="7">
        <v>48.75</v>
      </c>
      <c r="L1031" s="5" t="s">
        <v>9386</v>
      </c>
      <c r="M1031" s="7">
        <v>4.0999999999999996</v>
      </c>
      <c r="N1031" s="7">
        <v>0.65</v>
      </c>
      <c r="O1031" s="7">
        <v>11.154999999999999</v>
      </c>
      <c r="P1031" s="1" t="s">
        <v>9387</v>
      </c>
    </row>
    <row r="1032" spans="1:16" ht="33.4" x14ac:dyDescent="0.3">
      <c r="A1032" s="6" t="str">
        <f>HYPERLINK("https://www.ti.com/product/TPS62933", "TPS62933")</f>
        <v>TPS62933</v>
      </c>
      <c r="B1032" s="5" t="s">
        <v>9388</v>
      </c>
      <c r="C1032" s="6" t="str">
        <f>HYPERLINK("https://www.ti.com/lit/gpn/TPS62933", "PDF")</f>
        <v>PDF</v>
      </c>
      <c r="D1032" s="5" t="s">
        <v>9389</v>
      </c>
      <c r="E1032" s="5" t="s">
        <v>9390</v>
      </c>
      <c r="F1032" s="5" t="s">
        <v>9391</v>
      </c>
      <c r="G1032" s="5" t="s">
        <v>9392</v>
      </c>
      <c r="H1032" s="1" t="s">
        <v>9393</v>
      </c>
      <c r="I1032" s="5" t="s">
        <v>9394</v>
      </c>
      <c r="J1032" s="7">
        <v>8</v>
      </c>
      <c r="K1032" s="7">
        <v>3.36</v>
      </c>
      <c r="L1032" s="5" t="s">
        <v>9395</v>
      </c>
      <c r="M1032" s="7">
        <v>0.6</v>
      </c>
      <c r="N1032" s="7">
        <v>0.5</v>
      </c>
      <c r="O1032" s="7">
        <v>0.438</v>
      </c>
      <c r="P1032" s="1" t="s">
        <v>9396</v>
      </c>
    </row>
    <row r="1033" spans="1:16" ht="33.4" x14ac:dyDescent="0.3">
      <c r="A1033" s="6" t="str">
        <f>HYPERLINK("https://www.ti.com/product/TPS7H1210-SEP", "TPS7H1210-SEP")</f>
        <v>TPS7H1210-SEP</v>
      </c>
      <c r="B1033" s="5" t="s">
        <v>9397</v>
      </c>
      <c r="C1033" s="6" t="str">
        <f>HYPERLINK("https://www.ti.com/lit/gpn/TPS7H1210-SEP", "PDF")</f>
        <v>PDF</v>
      </c>
      <c r="D1033" s="5" t="s">
        <v>9398</v>
      </c>
      <c r="E1033" s="5" t="s">
        <v>9399</v>
      </c>
      <c r="F1033" s="5"/>
      <c r="G1033" s="5" t="s">
        <v>9400</v>
      </c>
      <c r="H1033" s="1" t="s">
        <v>9401</v>
      </c>
      <c r="I1033" s="5" t="s">
        <v>9402</v>
      </c>
      <c r="J1033" s="7">
        <v>20</v>
      </c>
      <c r="K1033" s="7">
        <v>25</v>
      </c>
      <c r="L1033" s="5" t="s">
        <v>9403</v>
      </c>
      <c r="M1033" s="7">
        <v>1</v>
      </c>
      <c r="N1033" s="7">
        <v>0.65</v>
      </c>
      <c r="O1033" s="7">
        <v>323.30900000000003</v>
      </c>
      <c r="P1033" s="1" t="s">
        <v>9404</v>
      </c>
    </row>
    <row r="1034" spans="1:16" ht="17.05" x14ac:dyDescent="0.3">
      <c r="A1034" s="6" t="str">
        <f>HYPERLINK("https://www.ti.com/product/TPS92519-Q1", "TPS92519-Q1")</f>
        <v>TPS92519-Q1</v>
      </c>
      <c r="B1034" s="5" t="s">
        <v>9405</v>
      </c>
      <c r="C1034" s="6" t="str">
        <f>HYPERLINK("https://www.ti.com/lit/gpn/TPS92519-Q1", "PDF")</f>
        <v>PDF</v>
      </c>
      <c r="D1034" s="5" t="s">
        <v>9406</v>
      </c>
      <c r="E1034" s="5" t="s">
        <v>9407</v>
      </c>
      <c r="F1034" s="5" t="s">
        <v>9408</v>
      </c>
      <c r="G1034" s="5" t="s">
        <v>9409</v>
      </c>
      <c r="H1034" s="1" t="s">
        <v>9410</v>
      </c>
      <c r="I1034" s="5" t="s">
        <v>9411</v>
      </c>
      <c r="J1034" s="7">
        <v>32</v>
      </c>
      <c r="K1034" s="7">
        <v>89.1</v>
      </c>
      <c r="L1034" s="5" t="s">
        <v>9412</v>
      </c>
      <c r="M1034" s="7">
        <v>1.2</v>
      </c>
      <c r="N1034" s="7">
        <v>0.65</v>
      </c>
      <c r="O1034" s="7">
        <v>1.615</v>
      </c>
      <c r="P1034" s="1" t="s">
        <v>9413</v>
      </c>
    </row>
    <row r="1035" spans="1:16" ht="33.4" x14ac:dyDescent="0.3">
      <c r="A1035" s="6" t="str">
        <f>HYPERLINK("https://www.ti.com/product/UCC27624", "UCC27624")</f>
        <v>UCC27624</v>
      </c>
      <c r="B1035" s="5" t="s">
        <v>9414</v>
      </c>
      <c r="C1035" s="6" t="str">
        <f>HYPERLINK("https://www.ti.com/lit/gpn/UCC27624", "PDF")</f>
        <v>PDF</v>
      </c>
      <c r="D1035" s="5" t="s">
        <v>9415</v>
      </c>
      <c r="E1035" s="5" t="s">
        <v>9416</v>
      </c>
      <c r="F1035" s="5"/>
      <c r="G1035" s="5" t="s">
        <v>9417</v>
      </c>
      <c r="H1035" s="1" t="s">
        <v>9418</v>
      </c>
      <c r="I1035" s="5" t="s">
        <v>9419</v>
      </c>
      <c r="J1035" s="7">
        <v>8</v>
      </c>
      <c r="K1035" s="7" t="s">
        <v>9420</v>
      </c>
      <c r="L1035" s="5" t="s">
        <v>9421</v>
      </c>
      <c r="M1035" s="7" t="s">
        <v>9422</v>
      </c>
      <c r="N1035" s="7" t="s">
        <v>9423</v>
      </c>
      <c r="O1035" s="7">
        <v>0.435</v>
      </c>
      <c r="P1035" s="1" t="s">
        <v>9424</v>
      </c>
    </row>
    <row r="1036" spans="1:16" ht="33.4" x14ac:dyDescent="0.3">
      <c r="A1036" s="6" t="str">
        <f>HYPERLINK("https://www.ti.com/product/UCC28781", "UCC28781")</f>
        <v>UCC28781</v>
      </c>
      <c r="B1036" s="5" t="s">
        <v>9425</v>
      </c>
      <c r="C1036" s="6" t="str">
        <f>HYPERLINK("https://www.ti.com/lit/gpn/UCC28781", "PDF")</f>
        <v>PDF</v>
      </c>
      <c r="D1036" s="5" t="s">
        <v>9426</v>
      </c>
      <c r="E1036" s="5" t="s">
        <v>9427</v>
      </c>
      <c r="F1036" s="5" t="s">
        <v>9428</v>
      </c>
      <c r="G1036" s="5" t="s">
        <v>9429</v>
      </c>
      <c r="H1036" s="1" t="s">
        <v>9430</v>
      </c>
      <c r="I1036" s="5" t="s">
        <v>9431</v>
      </c>
      <c r="J1036" s="7">
        <v>24</v>
      </c>
      <c r="K1036" s="7">
        <v>16</v>
      </c>
      <c r="L1036" s="5" t="s">
        <v>9432</v>
      </c>
      <c r="M1036" s="7">
        <v>0.8</v>
      </c>
      <c r="N1036" s="7">
        <v>0.5</v>
      </c>
      <c r="O1036" s="7">
        <v>0.65</v>
      </c>
      <c r="P1036" s="1" t="s">
        <v>9433</v>
      </c>
    </row>
    <row r="1037" spans="1:16" ht="33.4" x14ac:dyDescent="0.3">
      <c r="A1037" s="6" t="str">
        <f>HYPERLINK("https://www.ti.com/product/LM5168", "LM5168")</f>
        <v>LM5168</v>
      </c>
      <c r="B1037" s="5" t="s">
        <v>9434</v>
      </c>
      <c r="C1037" s="6" t="str">
        <f>HYPERLINK("https://www.ti.com/lit/gpn/LM5168", "PDF")</f>
        <v>PDF</v>
      </c>
      <c r="D1037" s="5" t="s">
        <v>9435</v>
      </c>
      <c r="E1037" s="5" t="s">
        <v>9436</v>
      </c>
      <c r="F1037" s="5" t="s">
        <v>9437</v>
      </c>
      <c r="G1037" s="5" t="s">
        <v>9438</v>
      </c>
      <c r="H1037" s="1" t="s">
        <v>9439</v>
      </c>
      <c r="I1037" s="5" t="s">
        <v>9440</v>
      </c>
      <c r="J1037" s="7">
        <v>8</v>
      </c>
      <c r="K1037" s="7" t="s">
        <v>9441</v>
      </c>
      <c r="L1037" s="5" t="s">
        <v>9442</v>
      </c>
      <c r="M1037" s="7" t="s">
        <v>9443</v>
      </c>
      <c r="N1037" s="7" t="s">
        <v>9444</v>
      </c>
      <c r="O1037" s="7">
        <v>0.77100000000000002</v>
      </c>
      <c r="P1037" s="1" t="s">
        <v>9445</v>
      </c>
    </row>
    <row r="1038" spans="1:16" ht="33.4" x14ac:dyDescent="0.3">
      <c r="A1038" s="6" t="str">
        <f>HYPERLINK("https://www.ti.com/product/LMG3422R030", "LMG3422R030")</f>
        <v>LMG3422R030</v>
      </c>
      <c r="B1038" s="5" t="s">
        <v>9446</v>
      </c>
      <c r="C1038" s="6" t="str">
        <f>HYPERLINK("https://www.ti.com/lit/gpn/LMG3422R030", "PDF")</f>
        <v>PDF</v>
      </c>
      <c r="D1038" s="5" t="s">
        <v>9447</v>
      </c>
      <c r="E1038" s="5" t="s">
        <v>9448</v>
      </c>
      <c r="F1038" s="5"/>
      <c r="G1038" s="5" t="s">
        <v>9449</v>
      </c>
      <c r="H1038" s="1" t="s">
        <v>9450</v>
      </c>
      <c r="I1038" s="5" t="s">
        <v>9451</v>
      </c>
      <c r="J1038" s="7">
        <v>54</v>
      </c>
      <c r="K1038" s="7">
        <v>144</v>
      </c>
      <c r="L1038" s="5" t="s">
        <v>9452</v>
      </c>
      <c r="M1038" s="7">
        <v>1</v>
      </c>
      <c r="N1038" s="7">
        <v>0.65</v>
      </c>
      <c r="O1038" s="7">
        <v>8.9700000000000006</v>
      </c>
      <c r="P1038" s="1" t="s">
        <v>9453</v>
      </c>
    </row>
    <row r="1039" spans="1:16" ht="33.4" x14ac:dyDescent="0.3">
      <c r="A1039" s="6" t="str">
        <f>HYPERLINK("https://www.ti.com/product/TPS7A44", "TPS7A44")</f>
        <v>TPS7A44</v>
      </c>
      <c r="B1039" s="5" t="s">
        <v>9454</v>
      </c>
      <c r="C1039" s="6" t="str">
        <f>HYPERLINK("https://www.ti.com/lit/gpn/TPS7A44", "PDF")</f>
        <v>PDF</v>
      </c>
      <c r="D1039" s="5" t="s">
        <v>9455</v>
      </c>
      <c r="E1039" s="5" t="s">
        <v>9456</v>
      </c>
      <c r="F1039" s="5"/>
      <c r="G1039" s="5" t="s">
        <v>9457</v>
      </c>
      <c r="H1039" s="1" t="s">
        <v>9458</v>
      </c>
      <c r="I1039" s="5" t="s">
        <v>9459</v>
      </c>
      <c r="J1039" s="7">
        <v>10</v>
      </c>
      <c r="K1039" s="7">
        <v>14.7</v>
      </c>
      <c r="L1039" s="5" t="s">
        <v>9460</v>
      </c>
      <c r="M1039" s="7">
        <v>1.1000000000000001</v>
      </c>
      <c r="N1039" s="7">
        <v>0.5</v>
      </c>
      <c r="O1039" s="7">
        <v>1.4319999999999999</v>
      </c>
      <c r="P1039" s="1" t="s">
        <v>9461</v>
      </c>
    </row>
    <row r="1040" spans="1:16" ht="33.4" x14ac:dyDescent="0.3">
      <c r="A1040" s="6" t="str">
        <f>HYPERLINK("https://www.ti.com/product/TPS650333-Q1", "TPS650333-Q1")</f>
        <v>TPS650333-Q1</v>
      </c>
      <c r="B1040" s="5" t="s">
        <v>9462</v>
      </c>
      <c r="C1040" s="6" t="str">
        <f>HYPERLINK("https://www.ti.com/lit/gpn/TPS650333-Q1", "PDF")</f>
        <v>PDF</v>
      </c>
      <c r="D1040" s="5" t="s">
        <v>9463</v>
      </c>
      <c r="E1040" s="5" t="s">
        <v>9464</v>
      </c>
      <c r="F1040" s="5"/>
      <c r="G1040" s="5" t="s">
        <v>9465</v>
      </c>
      <c r="H1040" s="1" t="s">
        <v>9466</v>
      </c>
      <c r="I1040" s="5" t="s">
        <v>9467</v>
      </c>
      <c r="J1040" s="7">
        <v>24</v>
      </c>
      <c r="K1040" s="7">
        <v>16</v>
      </c>
      <c r="L1040" s="5" t="s">
        <v>9468</v>
      </c>
      <c r="M1040" s="7">
        <v>1</v>
      </c>
      <c r="N1040" s="7">
        <v>0.5</v>
      </c>
      <c r="O1040" s="7">
        <v>1.5049999999999999</v>
      </c>
      <c r="P1040" s="1" t="s">
        <v>9469</v>
      </c>
    </row>
    <row r="1041" spans="1:16" ht="33.4" x14ac:dyDescent="0.3">
      <c r="A1041" s="6" t="str">
        <f>HYPERLINK("https://www.ti.com/product/TPS3704", "TPS3704")</f>
        <v>TPS3704</v>
      </c>
      <c r="B1041" s="5" t="s">
        <v>9470</v>
      </c>
      <c r="C1041" s="6" t="str">
        <f>HYPERLINK("https://www.ti.com/lit/gpn/TPS3704", "PDF")</f>
        <v>PDF</v>
      </c>
      <c r="D1041" s="5" t="s">
        <v>9471</v>
      </c>
      <c r="E1041" s="5" t="s">
        <v>9472</v>
      </c>
      <c r="F1041" s="5"/>
      <c r="G1041" s="5" t="s">
        <v>9473</v>
      </c>
      <c r="H1041" s="1" t="s">
        <v>9474</v>
      </c>
      <c r="I1041" s="5" t="s">
        <v>9475</v>
      </c>
      <c r="J1041" s="7">
        <v>8</v>
      </c>
      <c r="K1041" s="7">
        <v>8.1199999999999992</v>
      </c>
      <c r="L1041" s="5" t="s">
        <v>9476</v>
      </c>
      <c r="M1041" s="7">
        <v>1.1000000000000001</v>
      </c>
      <c r="N1041" s="7">
        <v>0.65</v>
      </c>
      <c r="O1041" s="7">
        <v>0.95199999999999996</v>
      </c>
      <c r="P1041" s="1" t="s">
        <v>9477</v>
      </c>
    </row>
    <row r="1042" spans="1:16" ht="33.4" x14ac:dyDescent="0.3">
      <c r="A1042" s="6" t="str">
        <f>HYPERLINK("https://www.ti.com/product/LM61480", "LM61480")</f>
        <v>LM61480</v>
      </c>
      <c r="B1042" s="5" t="s">
        <v>9478</v>
      </c>
      <c r="C1042" s="6" t="str">
        <f>HYPERLINK("https://www.ti.com/lit/gpn/LM61480", "PDF")</f>
        <v>PDF</v>
      </c>
      <c r="D1042" s="5" t="s">
        <v>9479</v>
      </c>
      <c r="E1042" s="5" t="s">
        <v>9480</v>
      </c>
      <c r="F1042" s="5" t="s">
        <v>9481</v>
      </c>
      <c r="G1042" s="5" t="s">
        <v>9482</v>
      </c>
      <c r="H1042" s="1" t="s">
        <v>9483</v>
      </c>
      <c r="I1042" s="5" t="s">
        <v>9484</v>
      </c>
      <c r="J1042" s="7">
        <v>16</v>
      </c>
      <c r="K1042" s="7">
        <v>15.75</v>
      </c>
      <c r="L1042" s="5" t="s">
        <v>9485</v>
      </c>
      <c r="M1042" s="7">
        <v>1</v>
      </c>
      <c r="N1042" s="7">
        <v>0.5</v>
      </c>
      <c r="O1042" s="7">
        <v>2.0819999999999999</v>
      </c>
      <c r="P1042" s="1" t="s">
        <v>9486</v>
      </c>
    </row>
    <row r="1043" spans="1:16" ht="33.4" x14ac:dyDescent="0.3">
      <c r="A1043" s="6" t="str">
        <f>HYPERLINK("https://www.ti.com/product/LM61495", "LM61495")</f>
        <v>LM61495</v>
      </c>
      <c r="B1043" s="5" t="s">
        <v>9487</v>
      </c>
      <c r="C1043" s="6" t="str">
        <f>HYPERLINK("https://www.ti.com/lit/gpn/LM61495", "PDF")</f>
        <v>PDF</v>
      </c>
      <c r="D1043" s="5" t="s">
        <v>9488</v>
      </c>
      <c r="E1043" s="5" t="s">
        <v>9489</v>
      </c>
      <c r="F1043" s="5" t="s">
        <v>9490</v>
      </c>
      <c r="G1043" s="5" t="s">
        <v>9491</v>
      </c>
      <c r="H1043" s="1" t="s">
        <v>9492</v>
      </c>
      <c r="I1043" s="5" t="s">
        <v>9493</v>
      </c>
      <c r="J1043" s="7">
        <v>16</v>
      </c>
      <c r="K1043" s="7">
        <v>15.75</v>
      </c>
      <c r="L1043" s="5" t="s">
        <v>9494</v>
      </c>
      <c r="M1043" s="7">
        <v>1</v>
      </c>
      <c r="N1043" s="7">
        <v>0.5</v>
      </c>
      <c r="O1043" s="7">
        <v>2.427</v>
      </c>
      <c r="P1043" s="1" t="s">
        <v>9495</v>
      </c>
    </row>
    <row r="1044" spans="1:16" ht="33.4" x14ac:dyDescent="0.3">
      <c r="A1044" s="6" t="str">
        <f>HYPERLINK("https://www.ti.com/product/LM62460", "LM62460")</f>
        <v>LM62460</v>
      </c>
      <c r="B1044" s="5" t="s">
        <v>9496</v>
      </c>
      <c r="C1044" s="6" t="str">
        <f>HYPERLINK("https://www.ti.com/lit/gpn/LM62460", "PDF")</f>
        <v>PDF</v>
      </c>
      <c r="D1044" s="5" t="s">
        <v>9497</v>
      </c>
      <c r="E1044" s="5" t="s">
        <v>9498</v>
      </c>
      <c r="F1044" s="5" t="s">
        <v>9499</v>
      </c>
      <c r="G1044" s="5" t="s">
        <v>9500</v>
      </c>
      <c r="H1044" s="1" t="s">
        <v>9501</v>
      </c>
      <c r="I1044" s="5" t="s">
        <v>9502</v>
      </c>
      <c r="J1044" s="7">
        <v>16</v>
      </c>
      <c r="K1044" s="7">
        <v>15.75</v>
      </c>
      <c r="L1044" s="5" t="s">
        <v>9503</v>
      </c>
      <c r="M1044" s="7">
        <v>1</v>
      </c>
      <c r="N1044" s="7">
        <v>0.5</v>
      </c>
      <c r="O1044" s="7">
        <v>1.9610000000000001</v>
      </c>
      <c r="P1044" s="1" t="s">
        <v>9504</v>
      </c>
    </row>
    <row r="1045" spans="1:16" ht="49.75" x14ac:dyDescent="0.3">
      <c r="A1045" s="6" t="str">
        <f>HYPERLINK("https://www.ti.com/product/TPS62089A", "TPS62089A")</f>
        <v>TPS62089A</v>
      </c>
      <c r="B1045" s="5" t="s">
        <v>9505</v>
      </c>
      <c r="C1045" s="6" t="str">
        <f>HYPERLINK("https://www.ti.com/lit/gpn/TPS62089A", "PDF")</f>
        <v>PDF</v>
      </c>
      <c r="D1045" s="5" t="s">
        <v>9506</v>
      </c>
      <c r="E1045" s="5" t="s">
        <v>9507</v>
      </c>
      <c r="F1045" s="5" t="s">
        <v>9508</v>
      </c>
      <c r="G1045" s="5" t="s">
        <v>9509</v>
      </c>
      <c r="H1045" s="1" t="s">
        <v>9510</v>
      </c>
      <c r="I1045" s="5" t="s">
        <v>9511</v>
      </c>
      <c r="J1045" s="7">
        <v>6</v>
      </c>
      <c r="K1045" s="7">
        <v>1.4000000000000001</v>
      </c>
      <c r="L1045" s="5" t="s">
        <v>9512</v>
      </c>
      <c r="M1045" s="7">
        <v>0.5</v>
      </c>
      <c r="N1045" s="7">
        <v>0.4</v>
      </c>
      <c r="O1045" s="7">
        <v>0.52900000000000003</v>
      </c>
      <c r="P1045" s="1" t="s">
        <v>9513</v>
      </c>
    </row>
    <row r="1046" spans="1:16" ht="49.75" x14ac:dyDescent="0.3">
      <c r="A1046" s="6" t="str">
        <f>HYPERLINK("https://www.ti.com/product/TPS629210-Q1", "TPS629210-Q1")</f>
        <v>TPS629210-Q1</v>
      </c>
      <c r="B1046" s="5" t="s">
        <v>9514</v>
      </c>
      <c r="C1046" s="6" t="str">
        <f>HYPERLINK("https://www.ti.com/lit/gpn/TPS629210-Q1", "PDF")</f>
        <v>PDF</v>
      </c>
      <c r="D1046" s="5" t="s">
        <v>9515</v>
      </c>
      <c r="E1046" s="5" t="s">
        <v>9516</v>
      </c>
      <c r="F1046" s="5" t="s">
        <v>9517</v>
      </c>
      <c r="G1046" s="5" t="s">
        <v>9518</v>
      </c>
      <c r="H1046" s="1" t="s">
        <v>9519</v>
      </c>
      <c r="I1046" s="5" t="s">
        <v>9520</v>
      </c>
      <c r="J1046" s="7">
        <v>8</v>
      </c>
      <c r="K1046" s="7" t="s">
        <v>9521</v>
      </c>
      <c r="L1046" s="5" t="s">
        <v>9522</v>
      </c>
      <c r="M1046" s="7">
        <v>0.6</v>
      </c>
      <c r="N1046" s="7">
        <v>0.5</v>
      </c>
      <c r="O1046" s="7">
        <v>0.503</v>
      </c>
      <c r="P1046" s="1" t="s">
        <v>9523</v>
      </c>
    </row>
    <row r="1047" spans="1:16" ht="33.4" x14ac:dyDescent="0.3">
      <c r="A1047" s="6" t="str">
        <f>HYPERLINK("https://www.ti.com/product/TPSM63603", "TPSM63603")</f>
        <v>TPSM63603</v>
      </c>
      <c r="B1047" s="5" t="s">
        <v>9524</v>
      </c>
      <c r="C1047" s="6" t="str">
        <f>HYPERLINK("https://www.ti.com/lit/gpn/TPSM63603", "PDF")</f>
        <v>PDF</v>
      </c>
      <c r="D1047" s="5" t="s">
        <v>9525</v>
      </c>
      <c r="E1047" s="5" t="s">
        <v>9526</v>
      </c>
      <c r="F1047" s="5" t="s">
        <v>9527</v>
      </c>
      <c r="G1047" s="5" t="s">
        <v>9528</v>
      </c>
      <c r="H1047" s="1" t="s">
        <v>9529</v>
      </c>
      <c r="I1047" s="5" t="s">
        <v>9530</v>
      </c>
      <c r="J1047" s="7">
        <v>30</v>
      </c>
      <c r="K1047" s="7">
        <v>24</v>
      </c>
      <c r="L1047" s="5" t="s">
        <v>9531</v>
      </c>
      <c r="M1047" s="7">
        <v>1.9</v>
      </c>
      <c r="N1047" s="7">
        <v>0.5</v>
      </c>
      <c r="O1047" s="7">
        <v>4.5629999999999997</v>
      </c>
      <c r="P1047" s="1" t="s">
        <v>9532</v>
      </c>
    </row>
    <row r="1048" spans="1:16" ht="33.4" x14ac:dyDescent="0.3">
      <c r="A1048" s="6" t="str">
        <f>HYPERLINK("https://www.ti.com/product/LMR54410", "LMR54410")</f>
        <v>LMR54410</v>
      </c>
      <c r="B1048" s="5" t="s">
        <v>9533</v>
      </c>
      <c r="C1048" s="6" t="str">
        <f>HYPERLINK("https://www.ti.com/lit/gpn/LMR54410", "PDF")</f>
        <v>PDF</v>
      </c>
      <c r="D1048" s="5" t="s">
        <v>9534</v>
      </c>
      <c r="E1048" s="5" t="s">
        <v>9535</v>
      </c>
      <c r="F1048" s="5" t="s">
        <v>9536</v>
      </c>
      <c r="G1048" s="5" t="s">
        <v>9537</v>
      </c>
      <c r="H1048" s="1" t="s">
        <v>9538</v>
      </c>
      <c r="I1048" s="5" t="s">
        <v>9539</v>
      </c>
      <c r="J1048" s="7">
        <v>6</v>
      </c>
      <c r="K1048" s="7">
        <v>8.1199999999999992</v>
      </c>
      <c r="L1048" s="5" t="s">
        <v>9540</v>
      </c>
      <c r="M1048" s="7">
        <v>1.45</v>
      </c>
      <c r="N1048" s="7">
        <v>0.95</v>
      </c>
      <c r="O1048" s="7">
        <v>0.35899999999999999</v>
      </c>
      <c r="P1048" s="1" t="s">
        <v>9541</v>
      </c>
    </row>
    <row r="1049" spans="1:16" ht="49.75" x14ac:dyDescent="0.3">
      <c r="A1049" s="6" t="str">
        <f>HYPERLINK("https://www.ti.com/product/TPSM82821A", "TPSM82821A")</f>
        <v>TPSM82821A</v>
      </c>
      <c r="B1049" s="5" t="s">
        <v>9542</v>
      </c>
      <c r="C1049" s="6" t="str">
        <f>HYPERLINK("https://www.ti.com/lit/gpn/TPSM82821A", "PDF")</f>
        <v>PDF</v>
      </c>
      <c r="D1049" s="5" t="s">
        <v>9543</v>
      </c>
      <c r="E1049" s="5" t="s">
        <v>9544</v>
      </c>
      <c r="F1049" s="5" t="s">
        <v>9545</v>
      </c>
      <c r="G1049" s="5" t="s">
        <v>9546</v>
      </c>
      <c r="H1049" s="1" t="s">
        <v>9547</v>
      </c>
      <c r="I1049" s="5" t="s">
        <v>9548</v>
      </c>
      <c r="J1049" s="7">
        <v>10</v>
      </c>
      <c r="K1049" s="7" t="s">
        <v>9549</v>
      </c>
      <c r="L1049" s="5" t="s">
        <v>9550</v>
      </c>
      <c r="M1049" s="7" t="s">
        <v>9551</v>
      </c>
      <c r="N1049" s="7" t="s">
        <v>9552</v>
      </c>
      <c r="O1049" s="7">
        <v>1.0349999999999999</v>
      </c>
      <c r="P1049" s="1" t="s">
        <v>9553</v>
      </c>
    </row>
    <row r="1050" spans="1:16" ht="49.75" x14ac:dyDescent="0.3">
      <c r="A1050" s="6" t="str">
        <f>HYPERLINK("https://www.ti.com/product/TPSM82822A", "TPSM82822A")</f>
        <v>TPSM82822A</v>
      </c>
      <c r="B1050" s="5" t="s">
        <v>9554</v>
      </c>
      <c r="C1050" s="6" t="str">
        <f>HYPERLINK("https://www.ti.com/lit/gpn/TPSM82822A", "PDF")</f>
        <v>PDF</v>
      </c>
      <c r="D1050" s="5" t="s">
        <v>9555</v>
      </c>
      <c r="E1050" s="5" t="s">
        <v>9556</v>
      </c>
      <c r="F1050" s="5" t="s">
        <v>9557</v>
      </c>
      <c r="G1050" s="5" t="s">
        <v>9558</v>
      </c>
      <c r="H1050" s="1" t="s">
        <v>9559</v>
      </c>
      <c r="I1050" s="5" t="s">
        <v>9560</v>
      </c>
      <c r="J1050" s="7">
        <v>10</v>
      </c>
      <c r="K1050" s="7" t="s">
        <v>9561</v>
      </c>
      <c r="L1050" s="5" t="s">
        <v>9562</v>
      </c>
      <c r="M1050" s="7" t="s">
        <v>9563</v>
      </c>
      <c r="N1050" s="7" t="s">
        <v>9564</v>
      </c>
      <c r="O1050" s="7">
        <v>1.1499999999999999</v>
      </c>
      <c r="P1050" s="1" t="s">
        <v>9565</v>
      </c>
    </row>
    <row r="1051" spans="1:16" ht="49.75" x14ac:dyDescent="0.3">
      <c r="A1051" s="6" t="str">
        <f>HYPERLINK("https://www.ti.com/product/TPSM82823A", "TPSM82823A")</f>
        <v>TPSM82823A</v>
      </c>
      <c r="B1051" s="5" t="s">
        <v>9566</v>
      </c>
      <c r="C1051" s="6" t="str">
        <f>HYPERLINK("https://www.ti.com/lit/gpn/TPSM82823A", "PDF")</f>
        <v>PDF</v>
      </c>
      <c r="D1051" s="5" t="s">
        <v>9567</v>
      </c>
      <c r="E1051" s="5" t="s">
        <v>9568</v>
      </c>
      <c r="F1051" s="5" t="s">
        <v>9569</v>
      </c>
      <c r="G1051" s="5" t="s">
        <v>9570</v>
      </c>
      <c r="H1051" s="1" t="s">
        <v>9571</v>
      </c>
      <c r="I1051" s="5" t="s">
        <v>9572</v>
      </c>
      <c r="J1051" s="7">
        <v>10</v>
      </c>
      <c r="K1051" s="7" t="s">
        <v>9573</v>
      </c>
      <c r="L1051" s="5" t="s">
        <v>9574</v>
      </c>
      <c r="M1051" s="7" t="s">
        <v>9575</v>
      </c>
      <c r="N1051" s="7" t="s">
        <v>9576</v>
      </c>
      <c r="O1051" s="7">
        <v>1.3109999999999999</v>
      </c>
      <c r="P1051" s="1" t="s">
        <v>9577</v>
      </c>
    </row>
    <row r="1052" spans="1:16" ht="33.4" x14ac:dyDescent="0.3">
      <c r="A1052" s="6" t="str">
        <f>HYPERLINK("https://www.ti.com/product/CSD95430", "CSD95430")</f>
        <v>CSD95430</v>
      </c>
      <c r="B1052" s="5" t="s">
        <v>9578</v>
      </c>
      <c r="C1052" s="6" t="str">
        <f>HYPERLINK("https://www.ti.com/lit/gpn/CSD95430", "PDF")</f>
        <v>PDF</v>
      </c>
      <c r="D1052" s="5" t="s">
        <v>9579</v>
      </c>
      <c r="E1052" s="5" t="s">
        <v>9580</v>
      </c>
      <c r="F1052" s="5"/>
      <c r="G1052" s="5" t="s">
        <v>9581</v>
      </c>
      <c r="H1052" s="1" t="s">
        <v>9582</v>
      </c>
      <c r="I1052" s="5" t="s">
        <v>9583</v>
      </c>
      <c r="J1052" s="7">
        <v>41</v>
      </c>
      <c r="K1052" s="7">
        <v>30</v>
      </c>
      <c r="L1052" s="5" t="s">
        <v>9584</v>
      </c>
      <c r="M1052" s="7">
        <v>1.05</v>
      </c>
      <c r="N1052" s="7">
        <v>0.45</v>
      </c>
      <c r="O1052" s="7">
        <v>2.6219999999999999</v>
      </c>
      <c r="P1052" s="1" t="s">
        <v>9585</v>
      </c>
    </row>
    <row r="1053" spans="1:16" ht="33.4" x14ac:dyDescent="0.3">
      <c r="A1053" s="6" t="str">
        <f>HYPERLINK("https://www.ti.com/product/UCC28781-Q1", "UCC28781-Q1")</f>
        <v>UCC28781-Q1</v>
      </c>
      <c r="B1053" s="5" t="s">
        <v>9586</v>
      </c>
      <c r="C1053" s="6" t="str">
        <f>HYPERLINK("https://www.ti.com/lit/gpn/UCC28781-Q1", "PDF")</f>
        <v>PDF</v>
      </c>
      <c r="D1053" s="5" t="s">
        <v>9587</v>
      </c>
      <c r="E1053" s="5" t="s">
        <v>9588</v>
      </c>
      <c r="F1053" s="5" t="s">
        <v>9589</v>
      </c>
      <c r="G1053" s="5" t="s">
        <v>9590</v>
      </c>
      <c r="H1053" s="1" t="s">
        <v>9591</v>
      </c>
      <c r="I1053" s="5" t="s">
        <v>9592</v>
      </c>
      <c r="J1053" s="7">
        <v>24</v>
      </c>
      <c r="K1053" s="7">
        <v>16</v>
      </c>
      <c r="L1053" s="5" t="s">
        <v>9593</v>
      </c>
      <c r="M1053" s="7">
        <v>0.8</v>
      </c>
      <c r="N1053" s="7">
        <v>0.5</v>
      </c>
      <c r="O1053" s="7">
        <v>1.0349999999999999</v>
      </c>
      <c r="P1053" s="1" t="s">
        <v>9594</v>
      </c>
    </row>
    <row r="1054" spans="1:16" ht="33.4" x14ac:dyDescent="0.3">
      <c r="A1054" s="6" t="str">
        <f>HYPERLINK("https://www.ti.com/product/LMR38020", "LMR38020")</f>
        <v>LMR38020</v>
      </c>
      <c r="B1054" s="5" t="s">
        <v>9595</v>
      </c>
      <c r="C1054" s="6" t="str">
        <f>HYPERLINK("https://www.ti.com/lit/gpn/LMR38020", "PDF")</f>
        <v>PDF</v>
      </c>
      <c r="D1054" s="5" t="s">
        <v>9596</v>
      </c>
      <c r="E1054" s="5" t="s">
        <v>9597</v>
      </c>
      <c r="F1054" s="5" t="s">
        <v>9598</v>
      </c>
      <c r="G1054" s="5" t="s">
        <v>9599</v>
      </c>
      <c r="H1054" s="1" t="s">
        <v>9600</v>
      </c>
      <c r="I1054" s="5" t="s">
        <v>9601</v>
      </c>
      <c r="J1054" s="7">
        <v>8</v>
      </c>
      <c r="K1054" s="7">
        <v>29.4</v>
      </c>
      <c r="L1054" s="5" t="s">
        <v>9602</v>
      </c>
      <c r="M1054" s="7">
        <v>1.7</v>
      </c>
      <c r="N1054" s="7">
        <v>1.27</v>
      </c>
      <c r="O1054" s="7">
        <v>1.3220000000000001</v>
      </c>
      <c r="P1054" s="1" t="s">
        <v>9603</v>
      </c>
    </row>
    <row r="1055" spans="1:16" ht="49.75" x14ac:dyDescent="0.3">
      <c r="A1055" s="6" t="str">
        <f>HYPERLINK("https://www.ti.com/product/TPS62088A", "TPS62088A")</f>
        <v>TPS62088A</v>
      </c>
      <c r="B1055" s="5" t="s">
        <v>9604</v>
      </c>
      <c r="C1055" s="6" t="str">
        <f>HYPERLINK("https://www.ti.com/lit/gpn/TPS62088A", "PDF")</f>
        <v>PDF</v>
      </c>
      <c r="D1055" s="5" t="s">
        <v>9605</v>
      </c>
      <c r="E1055" s="5" t="s">
        <v>9606</v>
      </c>
      <c r="F1055" s="5" t="s">
        <v>9607</v>
      </c>
      <c r="G1055" s="5" t="s">
        <v>9608</v>
      </c>
      <c r="H1055" s="1" t="s">
        <v>9609</v>
      </c>
      <c r="I1055" s="5" t="s">
        <v>9610</v>
      </c>
      <c r="J1055" s="7">
        <v>6</v>
      </c>
      <c r="K1055" s="7">
        <v>1.4000000000000001</v>
      </c>
      <c r="L1055" s="5" t="s">
        <v>9611</v>
      </c>
      <c r="M1055" s="7">
        <v>0.5</v>
      </c>
      <c r="N1055" s="7">
        <v>0.4</v>
      </c>
      <c r="O1055" s="7">
        <v>0.64500000000000002</v>
      </c>
      <c r="P1055" s="1" t="s">
        <v>9612</v>
      </c>
    </row>
    <row r="1056" spans="1:16" ht="33.4" x14ac:dyDescent="0.3">
      <c r="A1056" s="6" t="str">
        <f>HYPERLINK("https://www.ti.com/product/TLC6A598", "TLC6A598")</f>
        <v>TLC6A598</v>
      </c>
      <c r="B1056" s="5" t="s">
        <v>9613</v>
      </c>
      <c r="C1056" s="6" t="str">
        <f>HYPERLINK("https://www.ti.com/lit/gpn/TLC6A598", "PDF")</f>
        <v>PDF</v>
      </c>
      <c r="D1056" s="5" t="s">
        <v>9614</v>
      </c>
      <c r="E1056" s="5" t="s">
        <v>9615</v>
      </c>
      <c r="F1056" s="5"/>
      <c r="G1056" s="5" t="s">
        <v>9616</v>
      </c>
      <c r="H1056" s="1" t="s">
        <v>9617</v>
      </c>
      <c r="I1056" s="5" t="s">
        <v>9618</v>
      </c>
      <c r="J1056" s="7">
        <v>24</v>
      </c>
      <c r="K1056" s="7">
        <v>159.65</v>
      </c>
      <c r="L1056" s="5" t="s">
        <v>9619</v>
      </c>
      <c r="M1056" s="7">
        <v>2.65</v>
      </c>
      <c r="N1056" s="7">
        <v>1.27</v>
      </c>
      <c r="O1056" s="7">
        <v>11.398999999999999</v>
      </c>
      <c r="P1056" s="1" t="s">
        <v>9620</v>
      </c>
    </row>
    <row r="1057" spans="1:16" ht="33.4" x14ac:dyDescent="0.3">
      <c r="A1057" s="6" t="str">
        <f>HYPERLINK("https://www.ti.com/product/UCC27614", "UCC27614")</f>
        <v>UCC27614</v>
      </c>
      <c r="B1057" s="5" t="s">
        <v>9621</v>
      </c>
      <c r="C1057" s="6" t="str">
        <f>HYPERLINK("https://www.ti.com/lit/gpn/UCC27614", "PDF")</f>
        <v>PDF</v>
      </c>
      <c r="D1057" s="5" t="s">
        <v>9622</v>
      </c>
      <c r="E1057" s="5" t="s">
        <v>9623</v>
      </c>
      <c r="F1057" s="5"/>
      <c r="G1057" s="5" t="s">
        <v>9624</v>
      </c>
      <c r="H1057" s="1" t="s">
        <v>9625</v>
      </c>
      <c r="I1057" s="5" t="s">
        <v>9626</v>
      </c>
      <c r="J1057" s="7">
        <v>8</v>
      </c>
      <c r="K1057" s="7" t="s">
        <v>9627</v>
      </c>
      <c r="L1057" s="5" t="s">
        <v>9628</v>
      </c>
      <c r="M1057" s="7" t="s">
        <v>9629</v>
      </c>
      <c r="N1057" s="7" t="s">
        <v>9630</v>
      </c>
      <c r="O1057" s="7">
        <v>0.5</v>
      </c>
      <c r="P1057" s="1" t="s">
        <v>9631</v>
      </c>
    </row>
    <row r="1058" spans="1:16" ht="33.4" x14ac:dyDescent="0.3">
      <c r="A1058" s="6" t="str">
        <f>HYPERLINK("https://www.ti.com/product/LM61430-Q1", "LM61430-Q1")</f>
        <v>LM61430-Q1</v>
      </c>
      <c r="B1058" s="5" t="s">
        <v>9632</v>
      </c>
      <c r="C1058" s="6" t="str">
        <f>HYPERLINK("https://www.ti.com/lit/gpn/LM61430-Q1", "PDF")</f>
        <v>PDF</v>
      </c>
      <c r="D1058" s="5" t="s">
        <v>9633</v>
      </c>
      <c r="E1058" s="5" t="s">
        <v>9634</v>
      </c>
      <c r="F1058" s="5" t="s">
        <v>9635</v>
      </c>
      <c r="G1058" s="5" t="s">
        <v>9636</v>
      </c>
      <c r="H1058" s="1" t="s">
        <v>9637</v>
      </c>
      <c r="I1058" s="5" t="s">
        <v>9638</v>
      </c>
      <c r="J1058" s="7">
        <v>14</v>
      </c>
      <c r="K1058" s="7">
        <v>14</v>
      </c>
      <c r="L1058" s="5" t="s">
        <v>9639</v>
      </c>
      <c r="M1058" s="7">
        <v>1</v>
      </c>
      <c r="N1058" s="7">
        <v>0.5</v>
      </c>
      <c r="O1058" s="7">
        <v>1.6830000000000001</v>
      </c>
      <c r="P1058" s="1" t="s">
        <v>9640</v>
      </c>
    </row>
    <row r="1059" spans="1:16" ht="33.4" x14ac:dyDescent="0.3">
      <c r="A1059" s="6" t="str">
        <f>HYPERLINK("https://www.ti.com/product/UCC25800-Q1", "UCC25800-Q1")</f>
        <v>UCC25800-Q1</v>
      </c>
      <c r="B1059" s="5" t="s">
        <v>9641</v>
      </c>
      <c r="C1059" s="6" t="str">
        <f>HYPERLINK("https://www.ti.com/lit/gpn/UCC25800-Q1", "PDF")</f>
        <v>PDF</v>
      </c>
      <c r="D1059" s="5" t="s">
        <v>9642</v>
      </c>
      <c r="E1059" s="5" t="s">
        <v>9643</v>
      </c>
      <c r="F1059" s="5" t="s">
        <v>9644</v>
      </c>
      <c r="G1059" s="5" t="s">
        <v>9645</v>
      </c>
      <c r="H1059" s="1" t="s">
        <v>9646</v>
      </c>
      <c r="I1059" s="5" t="s">
        <v>9647</v>
      </c>
      <c r="J1059" s="7">
        <v>8</v>
      </c>
      <c r="K1059" s="7">
        <v>14.7</v>
      </c>
      <c r="L1059" s="5" t="s">
        <v>9648</v>
      </c>
      <c r="M1059" s="7">
        <v>1.1000000000000001</v>
      </c>
      <c r="N1059" s="7">
        <v>0.65</v>
      </c>
      <c r="O1059" s="7">
        <v>1.127</v>
      </c>
      <c r="P1059" s="1" t="s">
        <v>9649</v>
      </c>
    </row>
    <row r="1060" spans="1:16" ht="17.05" x14ac:dyDescent="0.3">
      <c r="A1060" s="6" t="str">
        <f>HYPERLINK("https://www.ti.com/product/LM66200", "LM66200")</f>
        <v>LM66200</v>
      </c>
      <c r="B1060" s="5" t="s">
        <v>9650</v>
      </c>
      <c r="C1060" s="6" t="str">
        <f>HYPERLINK("https://www.ti.com/lit/gpn/LM66200", "PDF")</f>
        <v>PDF</v>
      </c>
      <c r="D1060" s="5" t="s">
        <v>9651</v>
      </c>
      <c r="E1060" s="5" t="s">
        <v>9652</v>
      </c>
      <c r="F1060" s="5"/>
      <c r="G1060" s="5" t="s">
        <v>9653</v>
      </c>
      <c r="H1060" s="1" t="s">
        <v>9654</v>
      </c>
      <c r="I1060" s="5" t="s">
        <v>9655</v>
      </c>
      <c r="J1060" s="7">
        <v>8</v>
      </c>
      <c r="K1060" s="7">
        <v>3.36</v>
      </c>
      <c r="L1060" s="5" t="s">
        <v>9656</v>
      </c>
      <c r="M1060" s="7">
        <v>0.6</v>
      </c>
      <c r="N1060" s="7">
        <v>0.5</v>
      </c>
      <c r="O1060" s="7">
        <v>0.16200000000000001</v>
      </c>
      <c r="P1060" s="1" t="s">
        <v>9657</v>
      </c>
    </row>
    <row r="1061" spans="1:16" ht="33.4" x14ac:dyDescent="0.3">
      <c r="A1061" s="6" t="str">
        <f>HYPERLINK("https://www.ti.com/product/TPS562212", "TPS562212")</f>
        <v>TPS562212</v>
      </c>
      <c r="B1061" s="5" t="s">
        <v>9658</v>
      </c>
      <c r="C1061" s="6" t="str">
        <f>HYPERLINK("https://www.ti.com/lit/gpn/TPS562212", "PDF")</f>
        <v>PDF</v>
      </c>
      <c r="D1061" s="5" t="s">
        <v>9659</v>
      </c>
      <c r="E1061" s="5" t="s">
        <v>9660</v>
      </c>
      <c r="F1061" s="5" t="s">
        <v>9661</v>
      </c>
      <c r="G1061" s="5" t="s">
        <v>9662</v>
      </c>
      <c r="H1061" s="1" t="s">
        <v>9663</v>
      </c>
      <c r="I1061" s="5" t="s">
        <v>9664</v>
      </c>
      <c r="J1061" s="7">
        <v>8</v>
      </c>
      <c r="K1061" s="7">
        <v>3.36</v>
      </c>
      <c r="L1061" s="5" t="s">
        <v>9665</v>
      </c>
      <c r="M1061" s="7">
        <v>0.6</v>
      </c>
      <c r="N1061" s="7">
        <v>0.5</v>
      </c>
      <c r="O1061" s="7">
        <v>0.21</v>
      </c>
      <c r="P1061" s="1" t="s">
        <v>9666</v>
      </c>
    </row>
    <row r="1062" spans="1:16" ht="33.4" x14ac:dyDescent="0.3">
      <c r="A1062" s="6" t="str">
        <f>HYPERLINK("https://www.ti.com/product/TPS61094", "TPS61094")</f>
        <v>TPS61094</v>
      </c>
      <c r="B1062" s="5" t="s">
        <v>9667</v>
      </c>
      <c r="C1062" s="6" t="str">
        <f>HYPERLINK("https://www.ti.com/lit/gpn/TPS61094", "PDF")</f>
        <v>PDF</v>
      </c>
      <c r="D1062" s="5" t="s">
        <v>9668</v>
      </c>
      <c r="E1062" s="5" t="s">
        <v>9669</v>
      </c>
      <c r="F1062" s="5" t="s">
        <v>9670</v>
      </c>
      <c r="G1062" s="5" t="s">
        <v>9671</v>
      </c>
      <c r="H1062" s="1" t="s">
        <v>9672</v>
      </c>
      <c r="I1062" s="5" t="s">
        <v>9673</v>
      </c>
      <c r="J1062" s="7">
        <v>12</v>
      </c>
      <c r="K1062" s="7">
        <v>6</v>
      </c>
      <c r="L1062" s="5" t="s">
        <v>9674</v>
      </c>
      <c r="M1062" s="7">
        <v>0.8</v>
      </c>
      <c r="N1062" s="7">
        <v>0.5</v>
      </c>
      <c r="O1062" s="7">
        <v>1.38</v>
      </c>
      <c r="P1062" s="1" t="s">
        <v>9675</v>
      </c>
    </row>
    <row r="1063" spans="1:16" ht="33.4" x14ac:dyDescent="0.3">
      <c r="A1063" s="6" t="str">
        <f>HYPERLINK("https://www.ti.com/product/TPS563212", "TPS563212")</f>
        <v>TPS563212</v>
      </c>
      <c r="B1063" s="5" t="s">
        <v>9676</v>
      </c>
      <c r="C1063" s="6" t="str">
        <f>HYPERLINK("https://www.ti.com/lit/gpn/TPS563212", "PDF")</f>
        <v>PDF</v>
      </c>
      <c r="D1063" s="5" t="s">
        <v>9677</v>
      </c>
      <c r="E1063" s="5" t="s">
        <v>9678</v>
      </c>
      <c r="F1063" s="5" t="s">
        <v>9679</v>
      </c>
      <c r="G1063" s="5" t="s">
        <v>9680</v>
      </c>
      <c r="H1063" s="1" t="s">
        <v>9681</v>
      </c>
      <c r="I1063" s="5" t="s">
        <v>9682</v>
      </c>
      <c r="J1063" s="7">
        <v>8</v>
      </c>
      <c r="K1063" s="7">
        <v>3.36</v>
      </c>
      <c r="L1063" s="5" t="s">
        <v>9683</v>
      </c>
      <c r="M1063" s="7">
        <v>0.6</v>
      </c>
      <c r="N1063" s="7">
        <v>0.5</v>
      </c>
      <c r="O1063" s="7">
        <v>0.24</v>
      </c>
      <c r="P1063" s="1" t="s">
        <v>9684</v>
      </c>
    </row>
    <row r="1064" spans="1:16" ht="33.4" x14ac:dyDescent="0.3">
      <c r="A1064" s="6" t="str">
        <f>HYPERLINK("https://www.ti.com/product/LM5158", "LM5158")</f>
        <v>LM5158</v>
      </c>
      <c r="B1064" s="5" t="s">
        <v>9685</v>
      </c>
      <c r="C1064" s="6" t="str">
        <f>HYPERLINK("https://www.ti.com/lit/gpn/LM5158", "PDF")</f>
        <v>PDF</v>
      </c>
      <c r="D1064" s="5" t="s">
        <v>9686</v>
      </c>
      <c r="E1064" s="5" t="s">
        <v>9687</v>
      </c>
      <c r="F1064" s="5" t="s">
        <v>9688</v>
      </c>
      <c r="G1064" s="5" t="s">
        <v>9689</v>
      </c>
      <c r="H1064" s="1" t="s">
        <v>9690</v>
      </c>
      <c r="I1064" s="5" t="s">
        <v>9691</v>
      </c>
      <c r="J1064" s="7">
        <v>16</v>
      </c>
      <c r="K1064" s="7">
        <v>9</v>
      </c>
      <c r="L1064" s="5" t="s">
        <v>9692</v>
      </c>
      <c r="M1064" s="7">
        <v>0.8</v>
      </c>
      <c r="N1064" s="7">
        <v>0.5</v>
      </c>
      <c r="O1064" s="7">
        <v>1.835</v>
      </c>
      <c r="P1064" s="1" t="s">
        <v>9693</v>
      </c>
    </row>
    <row r="1065" spans="1:16" ht="33.4" x14ac:dyDescent="0.3">
      <c r="A1065" s="6" t="str">
        <f>HYPERLINK("https://www.ti.com/product/LM5158-Q1", "LM5158-Q1")</f>
        <v>LM5158-Q1</v>
      </c>
      <c r="B1065" s="5" t="s">
        <v>9694</v>
      </c>
      <c r="C1065" s="6" t="str">
        <f>HYPERLINK("https://www.ti.com/lit/gpn/LM5158-Q1", "PDF")</f>
        <v>PDF</v>
      </c>
      <c r="D1065" s="5" t="s">
        <v>9695</v>
      </c>
      <c r="E1065" s="5" t="s">
        <v>9696</v>
      </c>
      <c r="F1065" s="5" t="s">
        <v>9697</v>
      </c>
      <c r="G1065" s="5" t="s">
        <v>9698</v>
      </c>
      <c r="H1065" s="1" t="s">
        <v>9699</v>
      </c>
      <c r="I1065" s="5" t="s">
        <v>9700</v>
      </c>
      <c r="J1065" s="7">
        <v>16</v>
      </c>
      <c r="K1065" s="7">
        <v>9</v>
      </c>
      <c r="L1065" s="5" t="s">
        <v>9701</v>
      </c>
      <c r="M1065" s="7">
        <v>0.8</v>
      </c>
      <c r="N1065" s="7">
        <v>0.5</v>
      </c>
      <c r="O1065" s="7">
        <v>2.1349999999999998</v>
      </c>
      <c r="P1065" s="1" t="s">
        <v>9702</v>
      </c>
    </row>
    <row r="1066" spans="1:16" ht="33.4" x14ac:dyDescent="0.3">
      <c r="A1066" s="6" t="str">
        <f>HYPERLINK("https://www.ti.com/product/LM51581", "LM51581")</f>
        <v>LM51581</v>
      </c>
      <c r="B1066" s="5" t="s">
        <v>9703</v>
      </c>
      <c r="C1066" s="6" t="str">
        <f>HYPERLINK("https://www.ti.com/lit/gpn/LM51581", "PDF")</f>
        <v>PDF</v>
      </c>
      <c r="D1066" s="5" t="s">
        <v>9704</v>
      </c>
      <c r="E1066" s="5" t="s">
        <v>9705</v>
      </c>
      <c r="F1066" s="5" t="s">
        <v>9706</v>
      </c>
      <c r="G1066" s="5" t="s">
        <v>9707</v>
      </c>
      <c r="H1066" s="1" t="s">
        <v>9708</v>
      </c>
      <c r="I1066" s="5" t="s">
        <v>9709</v>
      </c>
      <c r="J1066" s="7">
        <v>16</v>
      </c>
      <c r="K1066" s="7">
        <v>9</v>
      </c>
      <c r="L1066" s="5" t="s">
        <v>9710</v>
      </c>
      <c r="M1066" s="7">
        <v>0.8</v>
      </c>
      <c r="N1066" s="7">
        <v>0.5</v>
      </c>
      <c r="O1066" s="7">
        <v>1.835</v>
      </c>
      <c r="P1066" s="1" t="s">
        <v>9711</v>
      </c>
    </row>
    <row r="1067" spans="1:16" ht="33.4" x14ac:dyDescent="0.3">
      <c r="A1067" s="6" t="str">
        <f>HYPERLINK("https://www.ti.com/product/LM51581-Q1", "LM51581-Q1")</f>
        <v>LM51581-Q1</v>
      </c>
      <c r="B1067" s="5" t="s">
        <v>9712</v>
      </c>
      <c r="C1067" s="6" t="str">
        <f>HYPERLINK("https://www.ti.com/lit/gpn/LM51581-Q1", "PDF")</f>
        <v>PDF</v>
      </c>
      <c r="D1067" s="5" t="s">
        <v>9713</v>
      </c>
      <c r="E1067" s="5" t="s">
        <v>9714</v>
      </c>
      <c r="F1067" s="5" t="s">
        <v>9715</v>
      </c>
      <c r="G1067" s="5" t="s">
        <v>9716</v>
      </c>
      <c r="H1067" s="1" t="s">
        <v>9717</v>
      </c>
      <c r="I1067" s="5" t="s">
        <v>9718</v>
      </c>
      <c r="J1067" s="7">
        <v>16</v>
      </c>
      <c r="K1067" s="7">
        <v>9</v>
      </c>
      <c r="L1067" s="5" t="s">
        <v>9719</v>
      </c>
      <c r="M1067" s="7">
        <v>0.8</v>
      </c>
      <c r="N1067" s="7">
        <v>0.5</v>
      </c>
      <c r="O1067" s="7">
        <v>1.968</v>
      </c>
      <c r="P1067" s="1" t="s">
        <v>9720</v>
      </c>
    </row>
    <row r="1068" spans="1:16" ht="49.75" x14ac:dyDescent="0.3">
      <c r="A1068" s="6" t="str">
        <f>HYPERLINK("https://www.ti.com/product/TPS63807", "TPS63807")</f>
        <v>TPS63807</v>
      </c>
      <c r="B1068" s="5" t="s">
        <v>9721</v>
      </c>
      <c r="C1068" s="6" t="str">
        <f>HYPERLINK("https://www.ti.com/lit/gpn/TPS63807", "PDF")</f>
        <v>PDF</v>
      </c>
      <c r="D1068" s="5" t="s">
        <v>9722</v>
      </c>
      <c r="E1068" s="5" t="s">
        <v>9723</v>
      </c>
      <c r="F1068" s="5" t="s">
        <v>9724</v>
      </c>
      <c r="G1068" s="5" t="s">
        <v>9725</v>
      </c>
      <c r="H1068" s="1" t="s">
        <v>9726</v>
      </c>
      <c r="I1068" s="5" t="s">
        <v>9727</v>
      </c>
      <c r="J1068" s="7">
        <v>15</v>
      </c>
      <c r="K1068" s="7">
        <v>3.08</v>
      </c>
      <c r="L1068" s="5" t="s">
        <v>9728</v>
      </c>
      <c r="M1068" s="7">
        <v>0.625</v>
      </c>
      <c r="N1068" s="7">
        <v>0.4</v>
      </c>
      <c r="O1068" s="7">
        <v>1.0349999999999999</v>
      </c>
      <c r="P1068" s="1" t="s">
        <v>9729</v>
      </c>
    </row>
    <row r="1069" spans="1:16" ht="33.4" x14ac:dyDescent="0.3">
      <c r="A1069" s="6" t="str">
        <f>HYPERLINK("https://www.ti.com/product/TPS25851-Q1", "TPS25851-Q1")</f>
        <v>TPS25851-Q1</v>
      </c>
      <c r="B1069" s="5" t="s">
        <v>9730</v>
      </c>
      <c r="C1069" s="6" t="str">
        <f>HYPERLINK("https://www.ti.com/lit/gpn/TPS25851-Q1", "PDF")</f>
        <v>PDF</v>
      </c>
      <c r="D1069" s="5" t="s">
        <v>9731</v>
      </c>
      <c r="E1069" s="5" t="s">
        <v>9732</v>
      </c>
      <c r="F1069" s="5"/>
      <c r="G1069" s="5" t="s">
        <v>9733</v>
      </c>
      <c r="H1069" s="1" t="s">
        <v>9734</v>
      </c>
      <c r="I1069" s="5" t="s">
        <v>9735</v>
      </c>
      <c r="J1069" s="7">
        <v>25</v>
      </c>
      <c r="K1069" s="7">
        <v>15.75</v>
      </c>
      <c r="L1069" s="5" t="s">
        <v>9736</v>
      </c>
      <c r="M1069" s="7">
        <v>1</v>
      </c>
      <c r="N1069" s="7">
        <v>0.5</v>
      </c>
      <c r="O1069" s="7">
        <v>2.2480000000000002</v>
      </c>
      <c r="P1069" s="1" t="s">
        <v>9737</v>
      </c>
    </row>
    <row r="1070" spans="1:16" ht="33.4" x14ac:dyDescent="0.3">
      <c r="A1070" s="6" t="str">
        <f>HYPERLINK("https://www.ti.com/product/TPS25852-Q1", "TPS25852-Q1")</f>
        <v>TPS25852-Q1</v>
      </c>
      <c r="B1070" s="5" t="s">
        <v>9738</v>
      </c>
      <c r="C1070" s="6" t="str">
        <f>HYPERLINK("https://www.ti.com/lit/gpn/TPS25852-Q1", "PDF")</f>
        <v>PDF</v>
      </c>
      <c r="D1070" s="5" t="s">
        <v>9739</v>
      </c>
      <c r="E1070" s="5" t="s">
        <v>9740</v>
      </c>
      <c r="F1070" s="5"/>
      <c r="G1070" s="5" t="s">
        <v>9741</v>
      </c>
      <c r="H1070" s="1" t="s">
        <v>9742</v>
      </c>
      <c r="I1070" s="5" t="s">
        <v>9743</v>
      </c>
      <c r="J1070" s="7">
        <v>25</v>
      </c>
      <c r="K1070" s="7">
        <v>15.75</v>
      </c>
      <c r="L1070" s="5" t="s">
        <v>9744</v>
      </c>
      <c r="M1070" s="7">
        <v>1</v>
      </c>
      <c r="N1070" s="7">
        <v>0.5</v>
      </c>
      <c r="O1070" s="7">
        <v>2.2480000000000002</v>
      </c>
      <c r="P1070" s="1" t="s">
        <v>9745</v>
      </c>
    </row>
    <row r="1071" spans="1:16" ht="33.4" x14ac:dyDescent="0.3">
      <c r="A1071" s="6" t="str">
        <f>HYPERLINK("https://www.ti.com/product/TPS25854-Q1", "TPS25854-Q1")</f>
        <v>TPS25854-Q1</v>
      </c>
      <c r="B1071" s="5" t="s">
        <v>9746</v>
      </c>
      <c r="C1071" s="6" t="str">
        <f>HYPERLINK("https://www.ti.com/lit/gpn/TPS25854-Q1", "PDF")</f>
        <v>PDF</v>
      </c>
      <c r="D1071" s="5" t="s">
        <v>9747</v>
      </c>
      <c r="E1071" s="5" t="s">
        <v>9748</v>
      </c>
      <c r="F1071" s="5"/>
      <c r="G1071" s="5" t="s">
        <v>9749</v>
      </c>
      <c r="H1071" s="1" t="s">
        <v>9750</v>
      </c>
      <c r="I1071" s="5" t="s">
        <v>9751</v>
      </c>
      <c r="J1071" s="7">
        <v>25</v>
      </c>
      <c r="K1071" s="7">
        <v>15.75</v>
      </c>
      <c r="L1071" s="5" t="s">
        <v>9752</v>
      </c>
      <c r="M1071" s="7">
        <v>1</v>
      </c>
      <c r="N1071" s="7">
        <v>0.5</v>
      </c>
      <c r="O1071" s="7">
        <v>1.9970000000000001</v>
      </c>
      <c r="P1071" s="1" t="s">
        <v>9753</v>
      </c>
    </row>
    <row r="1072" spans="1:16" ht="33.4" x14ac:dyDescent="0.3">
      <c r="A1072" s="6" t="str">
        <f>HYPERLINK("https://www.ti.com/product/TPS25855-Q1", "TPS25855-Q1")</f>
        <v>TPS25855-Q1</v>
      </c>
      <c r="B1072" s="5" t="s">
        <v>9754</v>
      </c>
      <c r="C1072" s="6" t="str">
        <f>HYPERLINK("https://www.ti.com/lit/gpn/TPS25855-Q1", "PDF")</f>
        <v>PDF</v>
      </c>
      <c r="D1072" s="5" t="s">
        <v>9755</v>
      </c>
      <c r="E1072" s="5" t="s">
        <v>9756</v>
      </c>
      <c r="F1072" s="5"/>
      <c r="G1072" s="5" t="s">
        <v>9757</v>
      </c>
      <c r="H1072" s="1" t="s">
        <v>9758</v>
      </c>
      <c r="I1072" s="5" t="s">
        <v>9759</v>
      </c>
      <c r="J1072" s="7">
        <v>25</v>
      </c>
      <c r="K1072" s="7">
        <v>15.75</v>
      </c>
      <c r="L1072" s="5" t="s">
        <v>9760</v>
      </c>
      <c r="M1072" s="7">
        <v>1</v>
      </c>
      <c r="N1072" s="7">
        <v>0.5</v>
      </c>
      <c r="O1072" s="7">
        <v>2.1709999999999998</v>
      </c>
      <c r="P1072" s="1" t="s">
        <v>9761</v>
      </c>
    </row>
    <row r="1073" spans="1:16" ht="33.4" x14ac:dyDescent="0.3">
      <c r="A1073" s="6" t="str">
        <f>HYPERLINK("https://www.ti.com/product/TPS25859-Q1", "TPS25859-Q1")</f>
        <v>TPS25859-Q1</v>
      </c>
      <c r="B1073" s="5" t="s">
        <v>9762</v>
      </c>
      <c r="C1073" s="6" t="str">
        <f>HYPERLINK("https://www.ti.com/lit/gpn/TPS25859-Q1", "PDF")</f>
        <v>PDF</v>
      </c>
      <c r="D1073" s="5" t="s">
        <v>9763</v>
      </c>
      <c r="E1073" s="5" t="s">
        <v>9764</v>
      </c>
      <c r="F1073" s="5"/>
      <c r="G1073" s="5" t="s">
        <v>9765</v>
      </c>
      <c r="H1073" s="1" t="s">
        <v>9766</v>
      </c>
      <c r="I1073" s="5" t="s">
        <v>9767</v>
      </c>
      <c r="J1073" s="7">
        <v>25</v>
      </c>
      <c r="K1073" s="7">
        <v>15.75</v>
      </c>
      <c r="L1073" s="5" t="s">
        <v>9768</v>
      </c>
      <c r="M1073" s="7">
        <v>1</v>
      </c>
      <c r="N1073" s="7">
        <v>0.5</v>
      </c>
      <c r="O1073" s="7">
        <v>2.4569999999999999</v>
      </c>
      <c r="P1073" s="1" t="s">
        <v>9769</v>
      </c>
    </row>
    <row r="1074" spans="1:16" ht="33.4" x14ac:dyDescent="0.3">
      <c r="A1074" s="6" t="str">
        <f>HYPERLINK("https://www.ti.com/product/TPS25860-Q1", "TPS25860-Q1")</f>
        <v>TPS25860-Q1</v>
      </c>
      <c r="B1074" s="5" t="s">
        <v>9770</v>
      </c>
      <c r="C1074" s="6" t="str">
        <f>HYPERLINK("https://www.ti.com/lit/gpn/TPS25860-Q1", "PDF")</f>
        <v>PDF</v>
      </c>
      <c r="D1074" s="5" t="s">
        <v>9771</v>
      </c>
      <c r="E1074" s="5" t="s">
        <v>9772</v>
      </c>
      <c r="F1074" s="5"/>
      <c r="G1074" s="5" t="s">
        <v>9773</v>
      </c>
      <c r="H1074" s="1" t="s">
        <v>9774</v>
      </c>
      <c r="I1074" s="5" t="s">
        <v>9775</v>
      </c>
      <c r="J1074" s="7">
        <v>25</v>
      </c>
      <c r="K1074" s="7">
        <v>15.75</v>
      </c>
      <c r="L1074" s="5" t="s">
        <v>9776</v>
      </c>
      <c r="M1074" s="7">
        <v>1</v>
      </c>
      <c r="N1074" s="7">
        <v>0.5</v>
      </c>
      <c r="O1074" s="7">
        <v>2.5249999999999999</v>
      </c>
      <c r="P1074" s="1" t="s">
        <v>9777</v>
      </c>
    </row>
    <row r="1075" spans="1:16" ht="33.4" x14ac:dyDescent="0.3">
      <c r="A1075" s="6" t="str">
        <f>HYPERLINK("https://www.ti.com/product/TPS25862-Q1", "TPS25862-Q1")</f>
        <v>TPS25862-Q1</v>
      </c>
      <c r="B1075" s="5" t="s">
        <v>9778</v>
      </c>
      <c r="C1075" s="6" t="str">
        <f>HYPERLINK("https://www.ti.com/lit/gpn/TPS25862-Q1", "PDF")</f>
        <v>PDF</v>
      </c>
      <c r="D1075" s="5" t="s">
        <v>9779</v>
      </c>
      <c r="E1075" s="5" t="s">
        <v>9780</v>
      </c>
      <c r="F1075" s="5"/>
      <c r="G1075" s="5" t="s">
        <v>9781</v>
      </c>
      <c r="H1075" s="1" t="s">
        <v>9782</v>
      </c>
      <c r="I1075" s="5" t="s">
        <v>9783</v>
      </c>
      <c r="J1075" s="7">
        <v>25</v>
      </c>
      <c r="K1075" s="7">
        <v>15.75</v>
      </c>
      <c r="L1075" s="5" t="s">
        <v>9784</v>
      </c>
      <c r="M1075" s="7">
        <v>1</v>
      </c>
      <c r="N1075" s="7">
        <v>0.5</v>
      </c>
      <c r="O1075" s="7">
        <v>2.323</v>
      </c>
      <c r="P1075" s="1" t="s">
        <v>9785</v>
      </c>
    </row>
    <row r="1076" spans="1:16" ht="33.4" x14ac:dyDescent="0.3">
      <c r="A1076" s="6" t="str">
        <f>HYPERLINK("https://www.ti.com/product/TPS25864-Q1", "TPS25864-Q1")</f>
        <v>TPS25864-Q1</v>
      </c>
      <c r="B1076" s="5" t="s">
        <v>9786</v>
      </c>
      <c r="C1076" s="6" t="str">
        <f>HYPERLINK("https://www.ti.com/lit/gpn/TPS25864-Q1", "PDF")</f>
        <v>PDF</v>
      </c>
      <c r="D1076" s="5" t="s">
        <v>9787</v>
      </c>
      <c r="E1076" s="5" t="s">
        <v>9788</v>
      </c>
      <c r="F1076" s="5"/>
      <c r="G1076" s="5" t="s">
        <v>9789</v>
      </c>
      <c r="H1076" s="1" t="s">
        <v>9790</v>
      </c>
      <c r="I1076" s="5" t="s">
        <v>9791</v>
      </c>
      <c r="J1076" s="7">
        <v>25</v>
      </c>
      <c r="K1076" s="7">
        <v>15.75</v>
      </c>
      <c r="L1076" s="5" t="s">
        <v>9792</v>
      </c>
      <c r="M1076" s="7">
        <v>1</v>
      </c>
      <c r="N1076" s="7">
        <v>0.5</v>
      </c>
      <c r="O1076" s="7">
        <v>1.895</v>
      </c>
      <c r="P1076" s="1" t="s">
        <v>9793</v>
      </c>
    </row>
    <row r="1077" spans="1:16" ht="33.4" x14ac:dyDescent="0.3">
      <c r="A1077" s="6" t="str">
        <f>HYPERLINK("https://www.ti.com/product/TPS25868-Q1", "TPS25868-Q1")</f>
        <v>TPS25868-Q1</v>
      </c>
      <c r="B1077" s="5" t="s">
        <v>9794</v>
      </c>
      <c r="C1077" s="6" t="str">
        <f>HYPERLINK("https://www.ti.com/lit/gpn/TPS25868-Q1", "PDF")</f>
        <v>PDF</v>
      </c>
      <c r="D1077" s="5" t="s">
        <v>9795</v>
      </c>
      <c r="E1077" s="5" t="s">
        <v>9796</v>
      </c>
      <c r="F1077" s="5"/>
      <c r="G1077" s="5" t="s">
        <v>9797</v>
      </c>
      <c r="H1077" s="1" t="s">
        <v>9798</v>
      </c>
      <c r="I1077" s="5" t="s">
        <v>9799</v>
      </c>
      <c r="J1077" s="7">
        <v>25</v>
      </c>
      <c r="K1077" s="7">
        <v>15.75</v>
      </c>
      <c r="L1077" s="5" t="s">
        <v>9800</v>
      </c>
      <c r="M1077" s="7">
        <v>1</v>
      </c>
      <c r="N1077" s="7">
        <v>0.5</v>
      </c>
      <c r="O1077" s="7">
        <v>2.2069999999999999</v>
      </c>
      <c r="P1077" s="1" t="s">
        <v>9801</v>
      </c>
    </row>
    <row r="1078" spans="1:16" ht="33.4" x14ac:dyDescent="0.3">
      <c r="A1078" s="6" t="str">
        <f>HYPERLINK("https://www.ti.com/product/TPS25869-Q1", "TPS25869-Q1")</f>
        <v>TPS25869-Q1</v>
      </c>
      <c r="B1078" s="5" t="s">
        <v>9802</v>
      </c>
      <c r="C1078" s="6" t="str">
        <f>HYPERLINK("https://www.ti.com/lit/gpn/TPS25869-Q1", "PDF")</f>
        <v>PDF</v>
      </c>
      <c r="D1078" s="5" t="s">
        <v>9803</v>
      </c>
      <c r="E1078" s="5" t="s">
        <v>9804</v>
      </c>
      <c r="F1078" s="5"/>
      <c r="G1078" s="5" t="s">
        <v>9805</v>
      </c>
      <c r="H1078" s="1" t="s">
        <v>9806</v>
      </c>
      <c r="I1078" s="5" t="s">
        <v>9807</v>
      </c>
      <c r="J1078" s="7">
        <v>25</v>
      </c>
      <c r="K1078" s="7">
        <v>15.75</v>
      </c>
      <c r="L1078" s="5" t="s">
        <v>9808</v>
      </c>
      <c r="M1078" s="7">
        <v>1</v>
      </c>
      <c r="N1078" s="7">
        <v>0.5</v>
      </c>
      <c r="O1078" s="7">
        <v>2.2069999999999999</v>
      </c>
      <c r="P1078" s="1" t="s">
        <v>9809</v>
      </c>
    </row>
    <row r="1079" spans="1:16" ht="33.4" x14ac:dyDescent="0.3">
      <c r="A1079" s="6" t="str">
        <f>HYPERLINK("https://www.ti.com/product/TPS628503-Q1", "TPS628503-Q1")</f>
        <v>TPS628503-Q1</v>
      </c>
      <c r="B1079" s="5" t="s">
        <v>9810</v>
      </c>
      <c r="C1079" s="6" t="str">
        <f>HYPERLINK("https://www.ti.com/lit/gpn/TPS628503-Q1", "PDF")</f>
        <v>PDF</v>
      </c>
      <c r="D1079" s="5" t="s">
        <v>9811</v>
      </c>
      <c r="E1079" s="5" t="s">
        <v>9812</v>
      </c>
      <c r="F1079" s="5" t="s">
        <v>9813</v>
      </c>
      <c r="G1079" s="5" t="s">
        <v>9814</v>
      </c>
      <c r="H1079" s="1" t="s">
        <v>9815</v>
      </c>
      <c r="I1079" s="5" t="s">
        <v>9816</v>
      </c>
      <c r="J1079" s="7">
        <v>8</v>
      </c>
      <c r="K1079" s="7">
        <v>3.36</v>
      </c>
      <c r="L1079" s="5" t="s">
        <v>9817</v>
      </c>
      <c r="M1079" s="7">
        <v>0.6</v>
      </c>
      <c r="N1079" s="7">
        <v>0.5</v>
      </c>
      <c r="O1079" s="7">
        <v>0.80100000000000005</v>
      </c>
      <c r="P1079" s="1" t="s">
        <v>9818</v>
      </c>
    </row>
    <row r="1080" spans="1:16" ht="33.4" x14ac:dyDescent="0.3">
      <c r="A1080" s="6" t="str">
        <f>HYPERLINK("https://www.ti.com/product/TPS53689", "TPS53689")</f>
        <v>TPS53689</v>
      </c>
      <c r="B1080" s="5" t="s">
        <v>9819</v>
      </c>
      <c r="C1080" s="6" t="str">
        <f>HYPERLINK("https://www.ti.com/lit/gpn/TPS53689", "PDF")</f>
        <v>PDF</v>
      </c>
      <c r="D1080" s="5" t="s">
        <v>9820</v>
      </c>
      <c r="E1080" s="5" t="s">
        <v>9821</v>
      </c>
      <c r="F1080" s="5" t="s">
        <v>9822</v>
      </c>
      <c r="G1080" s="5" t="s">
        <v>9823</v>
      </c>
      <c r="H1080" s="1" t="s">
        <v>9824</v>
      </c>
      <c r="I1080" s="5" t="s">
        <v>9825</v>
      </c>
      <c r="J1080" s="7">
        <v>40</v>
      </c>
      <c r="K1080" s="7">
        <v>25</v>
      </c>
      <c r="L1080" s="5" t="s">
        <v>9826</v>
      </c>
      <c r="M1080" s="7">
        <v>0.8</v>
      </c>
      <c r="N1080" s="7">
        <v>0.4</v>
      </c>
      <c r="O1080" s="7">
        <v>1.996</v>
      </c>
      <c r="P1080" s="1" t="s">
        <v>9827</v>
      </c>
    </row>
    <row r="1081" spans="1:16" ht="33.4" x14ac:dyDescent="0.3">
      <c r="A1081" s="6" t="str">
        <f>HYPERLINK("https://www.ti.com/product/TPSM5601R5", "TPSM5601R5")</f>
        <v>TPSM5601R5</v>
      </c>
      <c r="B1081" s="5" t="s">
        <v>9828</v>
      </c>
      <c r="C1081" s="6" t="str">
        <f>HYPERLINK("https://www.ti.com/lit/gpn/TPSM5601R5", "PDF")</f>
        <v>PDF</v>
      </c>
      <c r="D1081" s="5" t="s">
        <v>9829</v>
      </c>
      <c r="E1081" s="5" t="s">
        <v>9830</v>
      </c>
      <c r="F1081" s="5" t="s">
        <v>9831</v>
      </c>
      <c r="G1081" s="5" t="s">
        <v>9832</v>
      </c>
      <c r="H1081" s="1" t="s">
        <v>9833</v>
      </c>
      <c r="I1081" s="5" t="s">
        <v>9834</v>
      </c>
      <c r="J1081" s="7">
        <v>15</v>
      </c>
      <c r="K1081" s="7">
        <v>27.5</v>
      </c>
      <c r="L1081" s="5" t="s">
        <v>9835</v>
      </c>
      <c r="M1081" s="7">
        <v>4.0999999999999996</v>
      </c>
      <c r="N1081" s="7">
        <v>0</v>
      </c>
      <c r="O1081" s="7">
        <v>3.68</v>
      </c>
      <c r="P1081" s="1" t="s">
        <v>9836</v>
      </c>
    </row>
    <row r="1082" spans="1:16" ht="33.4" x14ac:dyDescent="0.3">
      <c r="A1082" s="6" t="str">
        <f>HYPERLINK("https://www.ti.com/product/TPSM560R6", "TPSM560R6")</f>
        <v>TPSM560R6</v>
      </c>
      <c r="B1082" s="5" t="s">
        <v>9837</v>
      </c>
      <c r="C1082" s="6" t="str">
        <f>HYPERLINK("https://www.ti.com/lit/gpn/TPSM560R6", "PDF")</f>
        <v>PDF</v>
      </c>
      <c r="D1082" s="5" t="s">
        <v>9838</v>
      </c>
      <c r="E1082" s="5" t="s">
        <v>9839</v>
      </c>
      <c r="F1082" s="5" t="s">
        <v>9840</v>
      </c>
      <c r="G1082" s="5" t="s">
        <v>9841</v>
      </c>
      <c r="H1082" s="1" t="s">
        <v>9842</v>
      </c>
      <c r="I1082" s="5" t="s">
        <v>9843</v>
      </c>
      <c r="J1082" s="7">
        <v>15</v>
      </c>
      <c r="K1082" s="7">
        <v>27.5</v>
      </c>
      <c r="L1082" s="5" t="s">
        <v>9844</v>
      </c>
      <c r="M1082" s="7">
        <v>4.0999999999999996</v>
      </c>
      <c r="N1082" s="7">
        <v>0</v>
      </c>
      <c r="O1082" s="7">
        <v>3.5</v>
      </c>
      <c r="P1082" s="1" t="s">
        <v>9845</v>
      </c>
    </row>
    <row r="1083" spans="1:16" ht="33.4" x14ac:dyDescent="0.3">
      <c r="A1083" s="6" t="str">
        <f>HYPERLINK("https://www.ti.com/product/TPSM560R6H", "TPSM560R6H")</f>
        <v>TPSM560R6H</v>
      </c>
      <c r="B1083" s="5" t="s">
        <v>9846</v>
      </c>
      <c r="C1083" s="6" t="str">
        <f>HYPERLINK("https://www.ti.com/lit/gpn/TPSM560R6H", "PDF")</f>
        <v>PDF</v>
      </c>
      <c r="D1083" s="5" t="s">
        <v>9847</v>
      </c>
      <c r="E1083" s="5" t="s">
        <v>9848</v>
      </c>
      <c r="F1083" s="5" t="s">
        <v>9849</v>
      </c>
      <c r="G1083" s="5" t="s">
        <v>9850</v>
      </c>
      <c r="H1083" s="1" t="s">
        <v>9851</v>
      </c>
      <c r="I1083" s="5" t="s">
        <v>9852</v>
      </c>
      <c r="J1083" s="7">
        <v>15</v>
      </c>
      <c r="K1083" s="7">
        <v>27.5</v>
      </c>
      <c r="L1083" s="5" t="s">
        <v>9853</v>
      </c>
      <c r="M1083" s="7">
        <v>4.0999999999999996</v>
      </c>
      <c r="N1083" s="7">
        <v>0</v>
      </c>
      <c r="O1083" s="7">
        <v>3.5</v>
      </c>
      <c r="P1083" s="1" t="s">
        <v>9854</v>
      </c>
    </row>
    <row r="1084" spans="1:16" ht="33.4" x14ac:dyDescent="0.3">
      <c r="A1084" s="6" t="str">
        <f>HYPERLINK("https://www.ti.com/product/TPS53830", "TPS53830")</f>
        <v>TPS53830</v>
      </c>
      <c r="B1084" s="5" t="s">
        <v>9855</v>
      </c>
      <c r="C1084" s="6" t="str">
        <f>HYPERLINK("https://www.ti.com/lit/gpn/TPS53830", "PDF")</f>
        <v>PDF</v>
      </c>
      <c r="D1084" s="5" t="s">
        <v>9856</v>
      </c>
      <c r="E1084" s="5" t="s">
        <v>9857</v>
      </c>
      <c r="F1084" s="5"/>
      <c r="G1084" s="5" t="s">
        <v>9858</v>
      </c>
      <c r="H1084" s="1" t="s">
        <v>9859</v>
      </c>
      <c r="I1084" s="5" t="s">
        <v>9860</v>
      </c>
      <c r="J1084" s="7">
        <v>35</v>
      </c>
      <c r="K1084" s="7">
        <v>25</v>
      </c>
      <c r="L1084" s="5" t="s">
        <v>9861</v>
      </c>
      <c r="M1084" s="7">
        <v>1</v>
      </c>
      <c r="N1084" s="7">
        <v>0.4</v>
      </c>
      <c r="O1084" s="7">
        <v>4.5999999999999996</v>
      </c>
      <c r="P1084" s="1" t="s">
        <v>9862</v>
      </c>
    </row>
    <row r="1085" spans="1:16" ht="33.4" x14ac:dyDescent="0.3">
      <c r="A1085" s="6" t="str">
        <f>HYPERLINK("https://www.ti.com/product/TPS53832", "TPS53832")</f>
        <v>TPS53832</v>
      </c>
      <c r="B1085" s="5" t="s">
        <v>9863</v>
      </c>
      <c r="C1085" s="6" t="str">
        <f>HYPERLINK("https://www.ti.com/lit/gpn/TPS53832", "PDF")</f>
        <v>PDF</v>
      </c>
      <c r="D1085" s="5" t="s">
        <v>9864</v>
      </c>
      <c r="E1085" s="5" t="s">
        <v>9865</v>
      </c>
      <c r="F1085" s="5"/>
      <c r="G1085" s="5" t="s">
        <v>9866</v>
      </c>
      <c r="H1085" s="1" t="s">
        <v>9867</v>
      </c>
      <c r="I1085" s="5" t="s">
        <v>9868</v>
      </c>
      <c r="J1085" s="7">
        <v>35</v>
      </c>
      <c r="K1085" s="7">
        <v>25</v>
      </c>
      <c r="L1085" s="5" t="s">
        <v>9869</v>
      </c>
      <c r="M1085" s="7">
        <v>1</v>
      </c>
      <c r="N1085" s="7">
        <v>0.4</v>
      </c>
      <c r="O1085" s="7">
        <v>4.1399999999999997</v>
      </c>
      <c r="P1085" s="1" t="s">
        <v>9870</v>
      </c>
    </row>
    <row r="1086" spans="1:16" ht="33.4" x14ac:dyDescent="0.3">
      <c r="A1086" s="6" t="str">
        <f>HYPERLINK("https://www.ti.com/product/TPS62811M", "TPS62811M")</f>
        <v>TPS62811M</v>
      </c>
      <c r="B1086" s="5" t="s">
        <v>9871</v>
      </c>
      <c r="C1086" s="6" t="str">
        <f>HYPERLINK("https://www.ti.com/lit/gpn/TPS62811M", "PDF")</f>
        <v>PDF</v>
      </c>
      <c r="D1086" s="5" t="s">
        <v>9872</v>
      </c>
      <c r="E1086" s="5" t="s">
        <v>9873</v>
      </c>
      <c r="F1086" s="5" t="s">
        <v>9874</v>
      </c>
      <c r="G1086" s="5" t="s">
        <v>9875</v>
      </c>
      <c r="H1086" s="1" t="s">
        <v>9876</v>
      </c>
      <c r="I1086" s="5" t="s">
        <v>9877</v>
      </c>
      <c r="J1086" s="7">
        <v>9</v>
      </c>
      <c r="K1086" s="7">
        <v>6</v>
      </c>
      <c r="L1086" s="5" t="s">
        <v>9878</v>
      </c>
      <c r="M1086" s="7">
        <v>1</v>
      </c>
      <c r="N1086" s="7">
        <v>0.5</v>
      </c>
      <c r="O1086" s="7">
        <v>1.3839999999999999</v>
      </c>
      <c r="P1086" s="1" t="s">
        <v>9879</v>
      </c>
    </row>
    <row r="1087" spans="1:16" ht="33.4" x14ac:dyDescent="0.3">
      <c r="A1087" s="6" t="str">
        <f>HYPERLINK("https://www.ti.com/product/TPS62813M", "TPS62813M")</f>
        <v>TPS62813M</v>
      </c>
      <c r="B1087" s="5" t="s">
        <v>9880</v>
      </c>
      <c r="C1087" s="6" t="str">
        <f>HYPERLINK("https://www.ti.com/lit/gpn/TPS62813M", "PDF")</f>
        <v>PDF</v>
      </c>
      <c r="D1087" s="5" t="s">
        <v>9881</v>
      </c>
      <c r="E1087" s="5" t="s">
        <v>9882</v>
      </c>
      <c r="F1087" s="5" t="s">
        <v>9883</v>
      </c>
      <c r="G1087" s="5" t="s">
        <v>9884</v>
      </c>
      <c r="H1087" s="1" t="s">
        <v>9885</v>
      </c>
      <c r="I1087" s="5" t="s">
        <v>9886</v>
      </c>
      <c r="J1087" s="7">
        <v>9</v>
      </c>
      <c r="K1087" s="7">
        <v>6</v>
      </c>
      <c r="L1087" s="5" t="s">
        <v>9887</v>
      </c>
      <c r="M1087" s="7">
        <v>1</v>
      </c>
      <c r="N1087" s="7">
        <v>0.5</v>
      </c>
      <c r="O1087" s="7">
        <v>1.87</v>
      </c>
      <c r="P1087" s="1" t="s">
        <v>9888</v>
      </c>
    </row>
    <row r="1088" spans="1:16" ht="33.4" x14ac:dyDescent="0.3">
      <c r="A1088" s="6" t="str">
        <f>HYPERLINK("https://www.ti.com/product/TPS3899-Q1", "TPS3899-Q1")</f>
        <v>TPS3899-Q1</v>
      </c>
      <c r="B1088" s="5" t="s">
        <v>9889</v>
      </c>
      <c r="C1088" s="6" t="str">
        <f>HYPERLINK("https://www.ti.com/lit/gpn/TPS3899-Q1", "PDF")</f>
        <v>PDF</v>
      </c>
      <c r="D1088" s="5" t="s">
        <v>9890</v>
      </c>
      <c r="E1088" s="5" t="s">
        <v>9891</v>
      </c>
      <c r="F1088" s="5"/>
      <c r="G1088" s="5" t="s">
        <v>9892</v>
      </c>
      <c r="H1088" s="1" t="s">
        <v>9893</v>
      </c>
      <c r="I1088" s="5" t="s">
        <v>9894</v>
      </c>
      <c r="J1088" s="7">
        <v>6</v>
      </c>
      <c r="K1088" s="7">
        <v>2.25</v>
      </c>
      <c r="L1088" s="5" t="s">
        <v>9895</v>
      </c>
      <c r="M1088" s="7">
        <v>0.8</v>
      </c>
      <c r="N1088" s="7">
        <v>0.5</v>
      </c>
      <c r="O1088" s="7">
        <v>0.54</v>
      </c>
      <c r="P1088" s="1" t="s">
        <v>9896</v>
      </c>
    </row>
    <row r="1089" spans="1:16" ht="33.4" x14ac:dyDescent="0.3">
      <c r="A1089" s="6" t="str">
        <f>HYPERLINK("https://www.ti.com/product/TPS562211", "TPS562211")</f>
        <v>TPS562211</v>
      </c>
      <c r="B1089" s="5" t="s">
        <v>9897</v>
      </c>
      <c r="C1089" s="6" t="str">
        <f>HYPERLINK("https://www.ti.com/lit/gpn/TPS562211", "PDF")</f>
        <v>PDF</v>
      </c>
      <c r="D1089" s="5" t="s">
        <v>9898</v>
      </c>
      <c r="E1089" s="5" t="s">
        <v>9899</v>
      </c>
      <c r="F1089" s="5" t="s">
        <v>9900</v>
      </c>
      <c r="G1089" s="5" t="s">
        <v>9901</v>
      </c>
      <c r="H1089" s="1" t="s">
        <v>9902</v>
      </c>
      <c r="I1089" s="5" t="s">
        <v>9903</v>
      </c>
      <c r="J1089" s="7">
        <v>8</v>
      </c>
      <c r="K1089" s="7">
        <v>3.36</v>
      </c>
      <c r="L1089" s="5" t="s">
        <v>9904</v>
      </c>
      <c r="M1089" s="7">
        <v>0.6</v>
      </c>
      <c r="N1089" s="7">
        <v>0.5</v>
      </c>
      <c r="O1089" s="7">
        <v>0.127</v>
      </c>
      <c r="P1089" s="1" t="s">
        <v>9905</v>
      </c>
    </row>
    <row r="1090" spans="1:16" ht="33.4" x14ac:dyDescent="0.3">
      <c r="A1090" s="6" t="str">
        <f>HYPERLINK("https://www.ti.com/product/TPS563211", "TPS563211")</f>
        <v>TPS563211</v>
      </c>
      <c r="B1090" s="5" t="s">
        <v>9906</v>
      </c>
      <c r="C1090" s="6" t="str">
        <f>HYPERLINK("https://www.ti.com/lit/gpn/TPS563211", "PDF")</f>
        <v>PDF</v>
      </c>
      <c r="D1090" s="5" t="s">
        <v>9907</v>
      </c>
      <c r="E1090" s="5" t="s">
        <v>9908</v>
      </c>
      <c r="F1090" s="5" t="s">
        <v>9909</v>
      </c>
      <c r="G1090" s="5" t="s">
        <v>9910</v>
      </c>
      <c r="H1090" s="1" t="s">
        <v>9911</v>
      </c>
      <c r="I1090" s="5" t="s">
        <v>9912</v>
      </c>
      <c r="J1090" s="7">
        <v>8</v>
      </c>
      <c r="K1090" s="7">
        <v>3.36</v>
      </c>
      <c r="L1090" s="5" t="s">
        <v>9913</v>
      </c>
      <c r="M1090" s="7">
        <v>0.6</v>
      </c>
      <c r="N1090" s="7">
        <v>0.5</v>
      </c>
      <c r="O1090" s="7">
        <v>0.21</v>
      </c>
      <c r="P1090" s="1" t="s">
        <v>9914</v>
      </c>
    </row>
    <row r="1091" spans="1:16" ht="49.75" x14ac:dyDescent="0.3">
      <c r="A1091" s="6" t="str">
        <f>HYPERLINK("https://www.ti.com/product/LM74700-EP", "LM74700-EP")</f>
        <v>LM74700-EP</v>
      </c>
      <c r="B1091" s="5" t="s">
        <v>9915</v>
      </c>
      <c r="C1091" s="6" t="str">
        <f>HYPERLINK("https://www.ti.com/lit/gpn/LM74700-EP", "PDF")</f>
        <v>PDF</v>
      </c>
      <c r="D1091" s="5" t="s">
        <v>9916</v>
      </c>
      <c r="E1091" s="5" t="s">
        <v>9917</v>
      </c>
      <c r="F1091" s="5"/>
      <c r="G1091" s="5" t="s">
        <v>9918</v>
      </c>
      <c r="H1091" s="1" t="s">
        <v>9919</v>
      </c>
      <c r="I1091" s="5" t="s">
        <v>9920</v>
      </c>
      <c r="J1091" s="7">
        <v>8</v>
      </c>
      <c r="K1091" s="7">
        <v>8.1199999999999992</v>
      </c>
      <c r="L1091" s="5" t="s">
        <v>9921</v>
      </c>
      <c r="M1091" s="7">
        <v>1.1000000000000001</v>
      </c>
      <c r="N1091" s="7">
        <v>0.65</v>
      </c>
      <c r="O1091" s="7">
        <v>2.2189999999999999</v>
      </c>
      <c r="P1091" s="1" t="s">
        <v>9922</v>
      </c>
    </row>
    <row r="1092" spans="1:16" ht="66.150000000000006" x14ac:dyDescent="0.3">
      <c r="A1092" s="6" t="str">
        <f>HYPERLINK("https://www.ti.com/product/TPS7H2211-SP", "TPS7H2211-SP")</f>
        <v>TPS7H2211-SP</v>
      </c>
      <c r="B1092" s="5" t="s">
        <v>9923</v>
      </c>
      <c r="C1092" s="6" t="str">
        <f>HYPERLINK("https://www.ti.com/lit/gpn/TPS7H2211-SP", "PDF")</f>
        <v>PDF</v>
      </c>
      <c r="D1092" s="5" t="s">
        <v>9924</v>
      </c>
      <c r="E1092" s="5" t="s">
        <v>9925</v>
      </c>
      <c r="F1092" s="5"/>
      <c r="G1092" s="5" t="s">
        <v>9926</v>
      </c>
      <c r="H1092" s="1" t="s">
        <v>9927</v>
      </c>
      <c r="I1092" s="5" t="s">
        <v>9928</v>
      </c>
      <c r="J1092" s="7" t="s">
        <v>9929</v>
      </c>
      <c r="K1092" s="7" t="s">
        <v>9930</v>
      </c>
      <c r="L1092" s="5" t="s">
        <v>9931</v>
      </c>
      <c r="M1092" s="7" t="s">
        <v>9932</v>
      </c>
      <c r="N1092" s="7" t="s">
        <v>9933</v>
      </c>
      <c r="O1092" s="7">
        <v>1374.58</v>
      </c>
      <c r="P1092" s="1" t="s">
        <v>9934</v>
      </c>
    </row>
    <row r="1093" spans="1:16" ht="49.75" x14ac:dyDescent="0.3">
      <c r="A1093" s="6" t="str">
        <f>HYPERLINK("https://www.ti.com/product/TPS7H4002-SP", "TPS7H4002-SP")</f>
        <v>TPS7H4002-SP</v>
      </c>
      <c r="B1093" s="5" t="s">
        <v>9935</v>
      </c>
      <c r="C1093" s="6" t="str">
        <f>HYPERLINK("https://www.ti.com/lit/gpn/TPS7H4002-SP", "PDF")</f>
        <v>PDF</v>
      </c>
      <c r="D1093" s="5" t="s">
        <v>9936</v>
      </c>
      <c r="E1093" s="5" t="s">
        <v>9937</v>
      </c>
      <c r="F1093" s="5" t="s">
        <v>9938</v>
      </c>
      <c r="G1093" s="5" t="s">
        <v>9939</v>
      </c>
      <c r="H1093" s="1" t="s">
        <v>9940</v>
      </c>
      <c r="I1093" s="5" t="s">
        <v>9941</v>
      </c>
      <c r="J1093" s="7" t="s">
        <v>9942</v>
      </c>
      <c r="K1093" s="7" t="s">
        <v>9943</v>
      </c>
      <c r="L1093" s="5" t="s">
        <v>9944</v>
      </c>
      <c r="M1093" s="7" t="s">
        <v>9945</v>
      </c>
      <c r="N1093" s="7" t="s">
        <v>9946</v>
      </c>
      <c r="O1093" s="7">
        <v>2023.529</v>
      </c>
      <c r="P1093" s="1" t="s">
        <v>9947</v>
      </c>
    </row>
    <row r="1094" spans="1:16" ht="33.4" x14ac:dyDescent="0.3">
      <c r="A1094" s="6" t="str">
        <f>HYPERLINK("https://www.ti.com/product/CSD96416", "CSD96416")</f>
        <v>CSD96416</v>
      </c>
      <c r="B1094" s="5" t="s">
        <v>9948</v>
      </c>
      <c r="C1094" s="6" t="str">
        <f>HYPERLINK("https://www.ti.com/lit/gpn/CSD96416", "PDF")</f>
        <v>PDF</v>
      </c>
      <c r="D1094" s="5" t="s">
        <v>9949</v>
      </c>
      <c r="E1094" s="5" t="s">
        <v>9950</v>
      </c>
      <c r="F1094" s="5"/>
      <c r="G1094" s="5" t="s">
        <v>9951</v>
      </c>
      <c r="H1094" s="1" t="s">
        <v>9952</v>
      </c>
      <c r="I1094" s="5" t="s">
        <v>9953</v>
      </c>
      <c r="J1094" s="7">
        <v>41</v>
      </c>
      <c r="K1094" s="7">
        <v>30</v>
      </c>
      <c r="L1094" s="5" t="s">
        <v>9954</v>
      </c>
      <c r="M1094" s="7">
        <v>1.05</v>
      </c>
      <c r="N1094" s="7">
        <v>0.45</v>
      </c>
      <c r="O1094" s="7">
        <v>2.024</v>
      </c>
      <c r="P1094" s="1" t="s">
        <v>9955</v>
      </c>
    </row>
    <row r="1095" spans="1:16" ht="33.4" x14ac:dyDescent="0.3">
      <c r="A1095" s="6" t="str">
        <f>HYPERLINK("https://www.ti.com/product/TPS628510", "TPS628510")</f>
        <v>TPS628510</v>
      </c>
      <c r="B1095" s="5" t="s">
        <v>9956</v>
      </c>
      <c r="C1095" s="6" t="str">
        <f>HYPERLINK("https://www.ti.com/lit/gpn/TPS628510", "PDF")</f>
        <v>PDF</v>
      </c>
      <c r="D1095" s="5" t="s">
        <v>9957</v>
      </c>
      <c r="E1095" s="5" t="s">
        <v>9958</v>
      </c>
      <c r="F1095" s="5" t="s">
        <v>9959</v>
      </c>
      <c r="G1095" s="5" t="s">
        <v>9960</v>
      </c>
      <c r="H1095" s="1" t="s">
        <v>9961</v>
      </c>
      <c r="I1095" s="5" t="s">
        <v>9962</v>
      </c>
      <c r="J1095" s="7">
        <v>8</v>
      </c>
      <c r="K1095" s="7">
        <v>3.36</v>
      </c>
      <c r="L1095" s="5" t="s">
        <v>9963</v>
      </c>
      <c r="M1095" s="7">
        <v>0.6</v>
      </c>
      <c r="N1095" s="7">
        <v>0.5</v>
      </c>
      <c r="O1095" s="7">
        <v>0.45</v>
      </c>
      <c r="P1095" s="1" t="s">
        <v>9964</v>
      </c>
    </row>
    <row r="1096" spans="1:16" ht="33.4" x14ac:dyDescent="0.3">
      <c r="A1096" s="6" t="str">
        <f>HYPERLINK("https://www.ti.com/product/TPS628511", "TPS628511")</f>
        <v>TPS628511</v>
      </c>
      <c r="B1096" s="5" t="s">
        <v>9965</v>
      </c>
      <c r="C1096" s="6" t="str">
        <f>HYPERLINK("https://www.ti.com/lit/gpn/TPS628511", "PDF")</f>
        <v>PDF</v>
      </c>
      <c r="D1096" s="5" t="s">
        <v>9966</v>
      </c>
      <c r="E1096" s="5" t="s">
        <v>9967</v>
      </c>
      <c r="F1096" s="5" t="s">
        <v>9968</v>
      </c>
      <c r="G1096" s="5" t="s">
        <v>9969</v>
      </c>
      <c r="H1096" s="1" t="s">
        <v>9970</v>
      </c>
      <c r="I1096" s="5" t="s">
        <v>9971</v>
      </c>
      <c r="J1096" s="7">
        <v>8</v>
      </c>
      <c r="K1096" s="7">
        <v>3.36</v>
      </c>
      <c r="L1096" s="5" t="s">
        <v>9972</v>
      </c>
      <c r="M1096" s="7">
        <v>0.6</v>
      </c>
      <c r="N1096" s="7">
        <v>0.5</v>
      </c>
      <c r="O1096" s="7">
        <v>0.45900000000000002</v>
      </c>
      <c r="P1096" s="1" t="s">
        <v>9973</v>
      </c>
    </row>
    <row r="1097" spans="1:16" ht="33.4" x14ac:dyDescent="0.3">
      <c r="A1097" s="6" t="str">
        <f>HYPERLINK("https://www.ti.com/product/TPS628512", "TPS628512")</f>
        <v>TPS628512</v>
      </c>
      <c r="B1097" s="5" t="s">
        <v>9974</v>
      </c>
      <c r="C1097" s="6" t="str">
        <f>HYPERLINK("https://www.ti.com/lit/gpn/TPS628512", "PDF")</f>
        <v>PDF</v>
      </c>
      <c r="D1097" s="5" t="s">
        <v>9975</v>
      </c>
      <c r="E1097" s="5" t="s">
        <v>9976</v>
      </c>
      <c r="F1097" s="5" t="s">
        <v>9977</v>
      </c>
      <c r="G1097" s="5" t="s">
        <v>9978</v>
      </c>
      <c r="H1097" s="1" t="s">
        <v>9979</v>
      </c>
      <c r="I1097" s="5" t="s">
        <v>9980</v>
      </c>
      <c r="J1097" s="7">
        <v>8</v>
      </c>
      <c r="K1097" s="7">
        <v>3.36</v>
      </c>
      <c r="L1097" s="5" t="s">
        <v>9981</v>
      </c>
      <c r="M1097" s="7">
        <v>0.6</v>
      </c>
      <c r="N1097" s="7">
        <v>0.5</v>
      </c>
      <c r="O1097" s="7">
        <v>0.53900000000000003</v>
      </c>
      <c r="P1097" s="1" t="s">
        <v>9982</v>
      </c>
    </row>
    <row r="1098" spans="1:16" ht="33.4" x14ac:dyDescent="0.3">
      <c r="A1098" s="6" t="str">
        <f>HYPERLINK("https://www.ti.com/product/TPS6593-Q1", "TPS6593-Q1")</f>
        <v>TPS6593-Q1</v>
      </c>
      <c r="B1098" s="5" t="s">
        <v>9983</v>
      </c>
      <c r="C1098" s="6" t="str">
        <f>HYPERLINK("https://www.ti.com/lit/gpn/TPS6593-Q1", "PDF")</f>
        <v>PDF</v>
      </c>
      <c r="D1098" s="5" t="s">
        <v>9984</v>
      </c>
      <c r="E1098" s="5" t="s">
        <v>9985</v>
      </c>
      <c r="F1098" s="5"/>
      <c r="G1098" s="5" t="s">
        <v>9986</v>
      </c>
      <c r="H1098" s="1" t="s">
        <v>9987</v>
      </c>
      <c r="I1098" s="5" t="s">
        <v>9988</v>
      </c>
      <c r="J1098" s="7">
        <v>56</v>
      </c>
      <c r="K1098" s="7">
        <v>64</v>
      </c>
      <c r="L1098" s="5" t="s">
        <v>9989</v>
      </c>
      <c r="M1098" s="7">
        <v>0.9</v>
      </c>
      <c r="N1098" s="7">
        <v>0.5</v>
      </c>
      <c r="O1098" s="7">
        <v>4.2460000000000004</v>
      </c>
      <c r="P1098" s="1" t="s">
        <v>9990</v>
      </c>
    </row>
    <row r="1099" spans="1:16" ht="33.4" x14ac:dyDescent="0.3">
      <c r="A1099" s="6" t="str">
        <f>HYPERLINK("https://www.ti.com/product/LM61480-Q1", "LM61480-Q1")</f>
        <v>LM61480-Q1</v>
      </c>
      <c r="B1099" s="5" t="s">
        <v>9991</v>
      </c>
      <c r="C1099" s="6" t="str">
        <f>HYPERLINK("https://www.ti.com/lit/gpn/LM61480-Q1", "PDF")</f>
        <v>PDF</v>
      </c>
      <c r="D1099" s="5" t="s">
        <v>9992</v>
      </c>
      <c r="E1099" s="5" t="s">
        <v>9993</v>
      </c>
      <c r="F1099" s="5" t="s">
        <v>9994</v>
      </c>
      <c r="G1099" s="5" t="s">
        <v>9995</v>
      </c>
      <c r="H1099" s="1" t="s">
        <v>9996</v>
      </c>
      <c r="I1099" s="5" t="s">
        <v>9997</v>
      </c>
      <c r="J1099" s="7">
        <v>16</v>
      </c>
      <c r="K1099" s="7">
        <v>15.75</v>
      </c>
      <c r="L1099" s="5" t="s">
        <v>9998</v>
      </c>
      <c r="M1099" s="7">
        <v>1</v>
      </c>
      <c r="N1099" s="7">
        <v>0.5</v>
      </c>
      <c r="O1099" s="7">
        <v>2.637</v>
      </c>
      <c r="P1099" s="1" t="s">
        <v>9999</v>
      </c>
    </row>
    <row r="1100" spans="1:16" ht="33.4" x14ac:dyDescent="0.3">
      <c r="A1100" s="6" t="str">
        <f>HYPERLINK("https://www.ti.com/product/TPS1653", "TPS1653")</f>
        <v>TPS1653</v>
      </c>
      <c r="B1100" s="5" t="s">
        <v>10000</v>
      </c>
      <c r="C1100" s="6" t="str">
        <f>HYPERLINK("https://www.ti.com/lit/gpn/TPS1653", "PDF")</f>
        <v>PDF</v>
      </c>
      <c r="D1100" s="5" t="s">
        <v>10001</v>
      </c>
      <c r="E1100" s="5" t="s">
        <v>10002</v>
      </c>
      <c r="F1100" s="5"/>
      <c r="G1100" s="5" t="s">
        <v>10003</v>
      </c>
      <c r="H1100" s="1" t="s">
        <v>10004</v>
      </c>
      <c r="I1100" s="5" t="s">
        <v>10005</v>
      </c>
      <c r="J1100" s="7" t="s">
        <v>10006</v>
      </c>
      <c r="K1100" s="7" t="s">
        <v>10007</v>
      </c>
      <c r="L1100" s="5" t="s">
        <v>10008</v>
      </c>
      <c r="M1100" s="7" t="s">
        <v>10009</v>
      </c>
      <c r="N1100" s="7" t="s">
        <v>10010</v>
      </c>
      <c r="O1100" s="7">
        <v>1.2649999999999999</v>
      </c>
      <c r="P1100" s="1" t="s">
        <v>10011</v>
      </c>
    </row>
    <row r="1101" spans="1:16" ht="33.4" x14ac:dyDescent="0.3">
      <c r="A1101" s="6" t="str">
        <f>HYPERLINK("https://www.ti.com/product/TPS25762-Q1", "TPS25762-Q1")</f>
        <v>TPS25762-Q1</v>
      </c>
      <c r="B1101" s="5" t="s">
        <v>10012</v>
      </c>
      <c r="C1101" s="6" t="str">
        <f>HYPERLINK("https://www.ti.com/lit/gpn/TPS25762-Q1", "PDF")</f>
        <v>PDF</v>
      </c>
      <c r="D1101" s="5" t="s">
        <v>10013</v>
      </c>
      <c r="E1101" s="5" t="s">
        <v>10014</v>
      </c>
      <c r="F1101" s="5"/>
      <c r="G1101" s="5" t="s">
        <v>10015</v>
      </c>
      <c r="H1101" s="1" t="s">
        <v>10016</v>
      </c>
      <c r="I1101" s="5" t="s">
        <v>10017</v>
      </c>
      <c r="J1101" s="7">
        <v>29</v>
      </c>
      <c r="K1101" s="7">
        <v>30</v>
      </c>
      <c r="L1101" s="5" t="s">
        <v>10018</v>
      </c>
      <c r="M1101" s="7">
        <v>1</v>
      </c>
      <c r="N1101" s="7">
        <v>0.5</v>
      </c>
      <c r="O1101" s="7">
        <v>2.5379999999999998</v>
      </c>
      <c r="P1101" s="1" t="s">
        <v>10019</v>
      </c>
    </row>
    <row r="1102" spans="1:16" ht="33.4" x14ac:dyDescent="0.3">
      <c r="A1102" s="6" t="str">
        <f>HYPERLINK("https://www.ti.com/product/TPS628501", "TPS628501")</f>
        <v>TPS628501</v>
      </c>
      <c r="B1102" s="5" t="s">
        <v>10020</v>
      </c>
      <c r="C1102" s="6" t="str">
        <f>HYPERLINK("https://www.ti.com/lit/gpn/TPS628501", "PDF")</f>
        <v>PDF</v>
      </c>
      <c r="D1102" s="5" t="s">
        <v>10021</v>
      </c>
      <c r="E1102" s="5" t="s">
        <v>10022</v>
      </c>
      <c r="F1102" s="5" t="s">
        <v>10023</v>
      </c>
      <c r="G1102" s="5" t="s">
        <v>10024</v>
      </c>
      <c r="H1102" s="1" t="s">
        <v>10025</v>
      </c>
      <c r="I1102" s="5" t="s">
        <v>10026</v>
      </c>
      <c r="J1102" s="7">
        <v>8</v>
      </c>
      <c r="K1102" s="7">
        <v>3.36</v>
      </c>
      <c r="L1102" s="5" t="s">
        <v>10027</v>
      </c>
      <c r="M1102" s="7">
        <v>0.6</v>
      </c>
      <c r="N1102" s="7">
        <v>0.5</v>
      </c>
      <c r="O1102" s="7">
        <v>0.45900000000000002</v>
      </c>
      <c r="P1102" s="1" t="s">
        <v>10028</v>
      </c>
    </row>
    <row r="1103" spans="1:16" ht="33.4" x14ac:dyDescent="0.3">
      <c r="A1103" s="6" t="str">
        <f>HYPERLINK("https://www.ti.com/product/TPS628502", "TPS628502")</f>
        <v>TPS628502</v>
      </c>
      <c r="B1103" s="5" t="s">
        <v>10029</v>
      </c>
      <c r="C1103" s="6" t="str">
        <f>HYPERLINK("https://www.ti.com/lit/gpn/TPS628502", "PDF")</f>
        <v>PDF</v>
      </c>
      <c r="D1103" s="5" t="s">
        <v>10030</v>
      </c>
      <c r="E1103" s="5" t="s">
        <v>10031</v>
      </c>
      <c r="F1103" s="5" t="s">
        <v>10032</v>
      </c>
      <c r="G1103" s="5" t="s">
        <v>10033</v>
      </c>
      <c r="H1103" s="1" t="s">
        <v>10034</v>
      </c>
      <c r="I1103" s="5" t="s">
        <v>10035</v>
      </c>
      <c r="J1103" s="7">
        <v>8</v>
      </c>
      <c r="K1103" s="7">
        <v>3.36</v>
      </c>
      <c r="L1103" s="5" t="s">
        <v>10036</v>
      </c>
      <c r="M1103" s="7">
        <v>0.6</v>
      </c>
      <c r="N1103" s="7">
        <v>0.5</v>
      </c>
      <c r="O1103" s="7">
        <v>0.53900000000000003</v>
      </c>
      <c r="P1103" s="1" t="s">
        <v>10037</v>
      </c>
    </row>
    <row r="1104" spans="1:16" ht="33.4" x14ac:dyDescent="0.3">
      <c r="A1104" s="6" t="str">
        <f>HYPERLINK("https://www.ti.com/product/TPS25772-Q1", "TPS25772-Q1")</f>
        <v>TPS25772-Q1</v>
      </c>
      <c r="B1104" s="5" t="s">
        <v>10038</v>
      </c>
      <c r="C1104" s="6" t="str">
        <f>HYPERLINK("https://www.ti.com/lit/gpn/TPS25772-Q1", "PDF")</f>
        <v>PDF</v>
      </c>
      <c r="D1104" s="5" t="s">
        <v>10039</v>
      </c>
      <c r="E1104" s="5" t="s">
        <v>10040</v>
      </c>
      <c r="F1104" s="5"/>
      <c r="G1104" s="5" t="s">
        <v>10041</v>
      </c>
      <c r="H1104" s="1" t="s">
        <v>10042</v>
      </c>
      <c r="I1104" s="5" t="s">
        <v>10043</v>
      </c>
      <c r="J1104" s="7">
        <v>29</v>
      </c>
      <c r="K1104" s="7">
        <v>30</v>
      </c>
      <c r="L1104" s="5" t="s">
        <v>10044</v>
      </c>
      <c r="M1104" s="7">
        <v>1</v>
      </c>
      <c r="N1104" s="7">
        <v>0.5</v>
      </c>
      <c r="O1104" s="7">
        <v>3.3149999999999999</v>
      </c>
      <c r="P1104" s="1" t="s">
        <v>10045</v>
      </c>
    </row>
    <row r="1105" spans="1:16" ht="33.4" x14ac:dyDescent="0.3">
      <c r="A1105" s="6" t="str">
        <f>HYPERLINK("https://www.ti.com/product/TLV841", "TLV841")</f>
        <v>TLV841</v>
      </c>
      <c r="B1105" s="5" t="s">
        <v>10046</v>
      </c>
      <c r="C1105" s="6" t="str">
        <f>HYPERLINK("https://www.ti.com/lit/gpn/TLV841", "PDF")</f>
        <v>PDF</v>
      </c>
      <c r="D1105" s="5" t="s">
        <v>10047</v>
      </c>
      <c r="E1105" s="5" t="s">
        <v>10048</v>
      </c>
      <c r="F1105" s="5"/>
      <c r="G1105" s="5" t="s">
        <v>10049</v>
      </c>
      <c r="H1105" s="1" t="s">
        <v>10050</v>
      </c>
      <c r="I1105" s="5" t="s">
        <v>10051</v>
      </c>
      <c r="J1105" s="7">
        <v>4</v>
      </c>
      <c r="K1105" s="7">
        <v>0.64</v>
      </c>
      <c r="L1105" s="5" t="s">
        <v>10052</v>
      </c>
      <c r="M1105" s="7">
        <v>0.4</v>
      </c>
      <c r="N1105" s="7">
        <v>0.4</v>
      </c>
      <c r="O1105" s="7">
        <v>0.28499999999999998</v>
      </c>
      <c r="P1105" s="1" t="s">
        <v>10053</v>
      </c>
    </row>
    <row r="1106" spans="1:16" ht="33.4" x14ac:dyDescent="0.3">
      <c r="A1106" s="6" t="str">
        <f>HYPERLINK("https://www.ti.com/product/LP5890", "LP5890")</f>
        <v>LP5890</v>
      </c>
      <c r="B1106" s="5" t="s">
        <v>10054</v>
      </c>
      <c r="C1106" s="6" t="str">
        <f>HYPERLINK("https://www.ti.com/lit/gpn/LP5890", "PDF")</f>
        <v>PDF</v>
      </c>
      <c r="D1106" s="5" t="s">
        <v>10055</v>
      </c>
      <c r="E1106" s="5" t="s">
        <v>10056</v>
      </c>
      <c r="F1106" s="5" t="s">
        <v>10057</v>
      </c>
      <c r="G1106" s="5" t="s">
        <v>10058</v>
      </c>
      <c r="H1106" s="1" t="s">
        <v>10059</v>
      </c>
      <c r="I1106" s="5" t="s">
        <v>10060</v>
      </c>
      <c r="J1106" s="7" t="s">
        <v>10061</v>
      </c>
      <c r="K1106" s="7" t="s">
        <v>10062</v>
      </c>
      <c r="L1106" s="5" t="s">
        <v>10063</v>
      </c>
      <c r="M1106" s="7" t="s">
        <v>10064</v>
      </c>
      <c r="N1106" s="7" t="s">
        <v>10065</v>
      </c>
      <c r="O1106" s="7">
        <v>3.6230000000000002</v>
      </c>
      <c r="P1106" s="1" t="s">
        <v>10066</v>
      </c>
    </row>
    <row r="1107" spans="1:16" ht="33.4" x14ac:dyDescent="0.3">
      <c r="A1107" s="6" t="str">
        <f>HYPERLINK("https://www.ti.com/product/TPSM831D31", "TPSM831D31")</f>
        <v>TPSM831D31</v>
      </c>
      <c r="B1107" s="5" t="s">
        <v>10067</v>
      </c>
      <c r="C1107" s="6" t="str">
        <f>HYPERLINK("https://www.ti.com/lit/gpn/TPSM831D31", "PDF")</f>
        <v>PDF</v>
      </c>
      <c r="D1107" s="5" t="s">
        <v>10068</v>
      </c>
      <c r="E1107" s="5" t="s">
        <v>10069</v>
      </c>
      <c r="F1107" s="5" t="s">
        <v>10070</v>
      </c>
      <c r="G1107" s="5" t="s">
        <v>10071</v>
      </c>
      <c r="H1107" s="1" t="s">
        <v>10072</v>
      </c>
      <c r="I1107" s="5" t="s">
        <v>10073</v>
      </c>
      <c r="J1107" s="7">
        <v>28</v>
      </c>
      <c r="K1107" s="7">
        <v>720</v>
      </c>
      <c r="L1107" s="5" t="s">
        <v>10074</v>
      </c>
      <c r="M1107" s="7">
        <v>12</v>
      </c>
      <c r="N1107" s="7">
        <v>1.25</v>
      </c>
      <c r="O1107" s="7">
        <v>101.2</v>
      </c>
      <c r="P1107" s="1" t="s">
        <v>10075</v>
      </c>
    </row>
    <row r="1108" spans="1:16" ht="33.4" x14ac:dyDescent="0.3">
      <c r="A1108" s="6" t="str">
        <f>HYPERLINK("https://www.ti.com/product/TPS548B27", "TPS548B27")</f>
        <v>TPS548B27</v>
      </c>
      <c r="B1108" s="5" t="s">
        <v>10076</v>
      </c>
      <c r="C1108" s="6" t="str">
        <f>HYPERLINK("https://www.ti.com/lit/gpn/TPS548B27", "PDF")</f>
        <v>PDF</v>
      </c>
      <c r="D1108" s="5" t="s">
        <v>10077</v>
      </c>
      <c r="E1108" s="5" t="s">
        <v>10078</v>
      </c>
      <c r="F1108" s="5" t="s">
        <v>10079</v>
      </c>
      <c r="G1108" s="5" t="s">
        <v>10080</v>
      </c>
      <c r="H1108" s="1" t="s">
        <v>10081</v>
      </c>
      <c r="I1108" s="5" t="s">
        <v>10082</v>
      </c>
      <c r="J1108" s="7">
        <v>19</v>
      </c>
      <c r="K1108" s="7">
        <v>12</v>
      </c>
      <c r="L1108" s="5" t="s">
        <v>10083</v>
      </c>
      <c r="M1108" s="7">
        <v>1.05</v>
      </c>
      <c r="N1108" s="7">
        <v>0.5</v>
      </c>
      <c r="O1108" s="7">
        <v>2.99</v>
      </c>
      <c r="P1108" s="1" t="s">
        <v>10084</v>
      </c>
    </row>
    <row r="1109" spans="1:16" ht="17.05" x14ac:dyDescent="0.3">
      <c r="A1109" s="6" t="str">
        <f>HYPERLINK("https://www.ti.com/product/TPS2116", "TPS2116")</f>
        <v>TPS2116</v>
      </c>
      <c r="B1109" s="5" t="s">
        <v>10085</v>
      </c>
      <c r="C1109" s="6" t="str">
        <f>HYPERLINK("https://www.ti.com/lit/gpn/TPS2116", "PDF")</f>
        <v>PDF</v>
      </c>
      <c r="D1109" s="5" t="s">
        <v>10086</v>
      </c>
      <c r="E1109" s="5" t="s">
        <v>10087</v>
      </c>
      <c r="F1109" s="5"/>
      <c r="G1109" s="5" t="s">
        <v>10088</v>
      </c>
      <c r="H1109" s="1" t="s">
        <v>10089</v>
      </c>
      <c r="I1109" s="5" t="s">
        <v>10090</v>
      </c>
      <c r="J1109" s="7">
        <v>8</v>
      </c>
      <c r="K1109" s="7">
        <v>3.36</v>
      </c>
      <c r="L1109" s="5" t="s">
        <v>10091</v>
      </c>
      <c r="M1109" s="7">
        <v>0.6</v>
      </c>
      <c r="N1109" s="7">
        <v>0.5</v>
      </c>
      <c r="O1109" s="7">
        <v>0.29899999999999999</v>
      </c>
      <c r="P1109" s="1" t="s">
        <v>10092</v>
      </c>
    </row>
    <row r="1110" spans="1:16" ht="33.4" x14ac:dyDescent="0.3">
      <c r="A1110" s="6" t="str">
        <f>HYPERLINK("https://www.ti.com/product/TPS650332-Q1", "TPS650332-Q1")</f>
        <v>TPS650332-Q1</v>
      </c>
      <c r="B1110" s="5" t="s">
        <v>10093</v>
      </c>
      <c r="C1110" s="6" t="str">
        <f>HYPERLINK("https://www.ti.com/lit/gpn/TPS650332-Q1", "PDF")</f>
        <v>PDF</v>
      </c>
      <c r="D1110" s="5" t="s">
        <v>10094</v>
      </c>
      <c r="E1110" s="5" t="s">
        <v>10095</v>
      </c>
      <c r="F1110" s="5"/>
      <c r="G1110" s="5" t="s">
        <v>10096</v>
      </c>
      <c r="H1110" s="1" t="s">
        <v>10097</v>
      </c>
      <c r="I1110" s="5" t="s">
        <v>10098</v>
      </c>
      <c r="J1110" s="7">
        <v>24</v>
      </c>
      <c r="K1110" s="7">
        <v>16</v>
      </c>
      <c r="L1110" s="5" t="s">
        <v>10099</v>
      </c>
      <c r="M1110" s="7">
        <v>1</v>
      </c>
      <c r="N1110" s="7">
        <v>0.5</v>
      </c>
      <c r="O1110" s="7">
        <v>1.45</v>
      </c>
      <c r="P1110" s="1" t="s">
        <v>10100</v>
      </c>
    </row>
    <row r="1111" spans="1:16" ht="33.4" x14ac:dyDescent="0.3">
      <c r="A1111" s="6" t="str">
        <f>HYPERLINK("https://www.ti.com/product/LM5157", "LM5157")</f>
        <v>LM5157</v>
      </c>
      <c r="B1111" s="5" t="s">
        <v>10101</v>
      </c>
      <c r="C1111" s="6" t="str">
        <f>HYPERLINK("https://www.ti.com/lit/gpn/LM5157", "PDF")</f>
        <v>PDF</v>
      </c>
      <c r="D1111" s="5" t="s">
        <v>10102</v>
      </c>
      <c r="E1111" s="5" t="s">
        <v>10103</v>
      </c>
      <c r="F1111" s="5" t="s">
        <v>10104</v>
      </c>
      <c r="G1111" s="5" t="s">
        <v>10105</v>
      </c>
      <c r="H1111" s="1" t="s">
        <v>10106</v>
      </c>
      <c r="I1111" s="5" t="s">
        <v>10107</v>
      </c>
      <c r="J1111" s="7">
        <v>16</v>
      </c>
      <c r="K1111" s="7">
        <v>9</v>
      </c>
      <c r="L1111" s="5" t="s">
        <v>10108</v>
      </c>
      <c r="M1111" s="7">
        <v>0.8</v>
      </c>
      <c r="N1111" s="7">
        <v>0.5</v>
      </c>
      <c r="O1111" s="7">
        <v>1.4950000000000001</v>
      </c>
      <c r="P1111" s="1" t="s">
        <v>10109</v>
      </c>
    </row>
    <row r="1112" spans="1:16" ht="33.4" x14ac:dyDescent="0.3">
      <c r="A1112" s="6" t="str">
        <f>HYPERLINK("https://www.ti.com/product/LMR33620AP-Q1", "LMR33620AP-Q1")</f>
        <v>LMR33620AP-Q1</v>
      </c>
      <c r="B1112" s="5" t="s">
        <v>10110</v>
      </c>
      <c r="C1112" s="6" t="str">
        <f>HYPERLINK("https://www.ti.com/lit/gpn/LMR33620AP-Q1", "PDF")</f>
        <v>PDF</v>
      </c>
      <c r="D1112" s="5" t="s">
        <v>10111</v>
      </c>
      <c r="E1112" s="5" t="s">
        <v>10112</v>
      </c>
      <c r="F1112" s="5" t="s">
        <v>10113</v>
      </c>
      <c r="G1112" s="5" t="s">
        <v>10114</v>
      </c>
      <c r="H1112" s="1" t="s">
        <v>10115</v>
      </c>
      <c r="I1112" s="5" t="s">
        <v>10116</v>
      </c>
      <c r="J1112" s="7">
        <v>12</v>
      </c>
      <c r="K1112" s="7">
        <v>6</v>
      </c>
      <c r="L1112" s="5" t="s">
        <v>10117</v>
      </c>
      <c r="M1112" s="7">
        <v>0.9</v>
      </c>
      <c r="N1112" s="7">
        <v>0.5</v>
      </c>
      <c r="O1112" s="7">
        <v>1.0009999999999999</v>
      </c>
      <c r="P1112" s="1" t="s">
        <v>10118</v>
      </c>
    </row>
    <row r="1113" spans="1:16" ht="33.4" x14ac:dyDescent="0.3">
      <c r="A1113" s="6" t="str">
        <f>HYPERLINK("https://www.ti.com/product/LMR33630AP-Q1", "LMR33630AP-Q1")</f>
        <v>LMR33630AP-Q1</v>
      </c>
      <c r="B1113" s="5" t="s">
        <v>10119</v>
      </c>
      <c r="C1113" s="6" t="str">
        <f>HYPERLINK("https://www.ti.com/lit/gpn/LMR33630AP-Q1", "PDF")</f>
        <v>PDF</v>
      </c>
      <c r="D1113" s="5" t="s">
        <v>10120</v>
      </c>
      <c r="E1113" s="5" t="s">
        <v>10121</v>
      </c>
      <c r="F1113" s="5" t="s">
        <v>10122</v>
      </c>
      <c r="G1113" s="5" t="s">
        <v>10123</v>
      </c>
      <c r="H1113" s="1" t="s">
        <v>10124</v>
      </c>
      <c r="I1113" s="5" t="s">
        <v>10125</v>
      </c>
      <c r="J1113" s="7">
        <v>12</v>
      </c>
      <c r="K1113" s="7">
        <v>6</v>
      </c>
      <c r="L1113" s="5" t="s">
        <v>10126</v>
      </c>
      <c r="M1113" s="7">
        <v>0.9</v>
      </c>
      <c r="N1113" s="7">
        <v>0.5</v>
      </c>
      <c r="O1113" s="7">
        <v>1.1559999999999999</v>
      </c>
      <c r="P1113" s="1" t="s">
        <v>10127</v>
      </c>
    </row>
    <row r="1114" spans="1:16" ht="33.4" x14ac:dyDescent="0.3">
      <c r="A1114" s="6" t="str">
        <f>HYPERLINK("https://www.ti.com/product/TPS650320-Q1", "TPS650320-Q1")</f>
        <v>TPS650320-Q1</v>
      </c>
      <c r="B1114" s="5" t="s">
        <v>10128</v>
      </c>
      <c r="C1114" s="6" t="str">
        <f>HYPERLINK("https://www.ti.com/lit/gpn/TPS650320-Q1", "PDF")</f>
        <v>PDF</v>
      </c>
      <c r="D1114" s="5" t="s">
        <v>10129</v>
      </c>
      <c r="E1114" s="5" t="s">
        <v>10130</v>
      </c>
      <c r="F1114" s="5"/>
      <c r="G1114" s="5" t="s">
        <v>10131</v>
      </c>
      <c r="H1114" s="1" t="s">
        <v>10132</v>
      </c>
      <c r="I1114" s="5" t="s">
        <v>10133</v>
      </c>
      <c r="J1114" s="7">
        <v>24</v>
      </c>
      <c r="K1114" s="7">
        <v>16</v>
      </c>
      <c r="L1114" s="5" t="s">
        <v>10134</v>
      </c>
      <c r="M1114" s="7">
        <v>1</v>
      </c>
      <c r="N1114" s="7">
        <v>0.5</v>
      </c>
      <c r="O1114" s="7">
        <v>1.0680000000000001</v>
      </c>
      <c r="P1114" s="1" t="s">
        <v>10135</v>
      </c>
    </row>
    <row r="1115" spans="1:16" ht="33.4" x14ac:dyDescent="0.3">
      <c r="A1115" s="6" t="str">
        <f>HYPERLINK("https://www.ti.com/product/TPS92380", "TPS92380")</f>
        <v>TPS92380</v>
      </c>
      <c r="B1115" s="5" t="s">
        <v>10136</v>
      </c>
      <c r="C1115" s="6" t="str">
        <f>HYPERLINK("https://www.ti.com/lit/gpn/TPS92380", "PDF")</f>
        <v>PDF</v>
      </c>
      <c r="D1115" s="5" t="s">
        <v>10137</v>
      </c>
      <c r="E1115" s="5" t="s">
        <v>10138</v>
      </c>
      <c r="F1115" s="5" t="s">
        <v>10139</v>
      </c>
      <c r="G1115" s="5" t="s">
        <v>10140</v>
      </c>
      <c r="H1115" s="1" t="s">
        <v>10141</v>
      </c>
      <c r="I1115" s="5" t="s">
        <v>10142</v>
      </c>
      <c r="J1115" s="7">
        <v>20</v>
      </c>
      <c r="K1115" s="7">
        <v>41.6</v>
      </c>
      <c r="L1115" s="5" t="s">
        <v>10143</v>
      </c>
      <c r="M1115" s="7">
        <v>1.2</v>
      </c>
      <c r="N1115" s="7">
        <v>0.65</v>
      </c>
      <c r="O1115" s="7">
        <v>0.73599999999999999</v>
      </c>
      <c r="P1115" s="1" t="s">
        <v>10144</v>
      </c>
    </row>
    <row r="1116" spans="1:16" ht="17.05" x14ac:dyDescent="0.3">
      <c r="A1116" s="6" t="str">
        <f>HYPERLINK("https://www.ti.com/product/TPS92381", "TPS92381")</f>
        <v>TPS92381</v>
      </c>
      <c r="B1116" s="5" t="s">
        <v>10145</v>
      </c>
      <c r="C1116" s="6" t="str">
        <f>HYPERLINK("https://www.ti.com/lit/gpn/TPS92381", "PDF")</f>
        <v>PDF</v>
      </c>
      <c r="D1116" s="5" t="s">
        <v>10146</v>
      </c>
      <c r="E1116" s="5" t="s">
        <v>10147</v>
      </c>
      <c r="F1116" s="5" t="s">
        <v>10148</v>
      </c>
      <c r="G1116" s="5" t="s">
        <v>10149</v>
      </c>
      <c r="H1116" s="1" t="s">
        <v>10150</v>
      </c>
      <c r="I1116" s="5" t="s">
        <v>10151</v>
      </c>
      <c r="J1116" s="7">
        <v>20</v>
      </c>
      <c r="K1116" s="7">
        <v>41.6</v>
      </c>
      <c r="L1116" s="5" t="s">
        <v>10152</v>
      </c>
      <c r="M1116" s="7">
        <v>1.2</v>
      </c>
      <c r="N1116" s="7">
        <v>0.65</v>
      </c>
      <c r="O1116" s="7">
        <v>0.78200000000000003</v>
      </c>
      <c r="P1116" s="1" t="s">
        <v>10153</v>
      </c>
    </row>
    <row r="1117" spans="1:16" ht="33.4" x14ac:dyDescent="0.3">
      <c r="A1117" s="6" t="str">
        <f>HYPERLINK("https://www.ti.com/product/CSD96415", "CSD96415")</f>
        <v>CSD96415</v>
      </c>
      <c r="B1117" s="5" t="s">
        <v>10154</v>
      </c>
      <c r="C1117" s="6" t="str">
        <f>HYPERLINK("https://www.ti.com/lit/gpn/CSD96415", "PDF")</f>
        <v>PDF</v>
      </c>
      <c r="D1117" s="5" t="s">
        <v>10155</v>
      </c>
      <c r="E1117" s="5" t="s">
        <v>10156</v>
      </c>
      <c r="F1117" s="5"/>
      <c r="G1117" s="5" t="s">
        <v>10157</v>
      </c>
      <c r="H1117" s="1" t="s">
        <v>10158</v>
      </c>
      <c r="I1117" s="5" t="s">
        <v>10159</v>
      </c>
      <c r="J1117" s="7">
        <v>41</v>
      </c>
      <c r="K1117" s="7">
        <v>30</v>
      </c>
      <c r="L1117" s="5" t="s">
        <v>10160</v>
      </c>
      <c r="M1117" s="7">
        <v>1.05</v>
      </c>
      <c r="N1117" s="7">
        <v>0.45</v>
      </c>
      <c r="O1117" s="7">
        <v>2.4039999999999999</v>
      </c>
      <c r="P1117" s="1" t="s">
        <v>10161</v>
      </c>
    </row>
    <row r="1118" spans="1:16" ht="33.4" x14ac:dyDescent="0.3">
      <c r="A1118" s="6" t="str">
        <f>HYPERLINK("https://www.ti.com/product/UCC12041-Q1", "UCC12041-Q1")</f>
        <v>UCC12041-Q1</v>
      </c>
      <c r="B1118" s="5" t="s">
        <v>10162</v>
      </c>
      <c r="C1118" s="6" t="str">
        <f>HYPERLINK("https://www.ti.com/lit/gpn/UCC12041-Q1", "PDF")</f>
        <v>PDF</v>
      </c>
      <c r="D1118" s="5" t="s">
        <v>10163</v>
      </c>
      <c r="E1118" s="5" t="s">
        <v>10164</v>
      </c>
      <c r="F1118" s="5" t="s">
        <v>10165</v>
      </c>
      <c r="G1118" s="5" t="s">
        <v>10166</v>
      </c>
      <c r="H1118" s="1" t="s">
        <v>10167</v>
      </c>
      <c r="I1118" s="5" t="s">
        <v>10168</v>
      </c>
      <c r="J1118" s="7">
        <v>16</v>
      </c>
      <c r="K1118" s="7">
        <v>106.09</v>
      </c>
      <c r="L1118" s="5" t="s">
        <v>10169</v>
      </c>
      <c r="M1118" s="7">
        <v>2.62</v>
      </c>
      <c r="N1118" s="7">
        <v>1.27</v>
      </c>
      <c r="O1118" s="7">
        <v>3.22</v>
      </c>
      <c r="P1118" s="1" t="s">
        <v>10170</v>
      </c>
    </row>
    <row r="1119" spans="1:16" ht="33.4" x14ac:dyDescent="0.3">
      <c r="A1119" s="6" t="str">
        <f>HYPERLINK("https://www.ti.com/product/UCC12051-Q1", "UCC12051-Q1")</f>
        <v>UCC12051-Q1</v>
      </c>
      <c r="B1119" s="5" t="s">
        <v>10171</v>
      </c>
      <c r="C1119" s="6" t="str">
        <f>HYPERLINK("https://www.ti.com/lit/gpn/UCC12051-Q1", "PDF")</f>
        <v>PDF</v>
      </c>
      <c r="D1119" s="5" t="s">
        <v>10172</v>
      </c>
      <c r="E1119" s="5" t="s">
        <v>10173</v>
      </c>
      <c r="F1119" s="5" t="s">
        <v>10174</v>
      </c>
      <c r="G1119" s="5" t="s">
        <v>10175</v>
      </c>
      <c r="H1119" s="1" t="s">
        <v>10176</v>
      </c>
      <c r="I1119" s="5" t="s">
        <v>10177</v>
      </c>
      <c r="J1119" s="7">
        <v>16</v>
      </c>
      <c r="K1119" s="7">
        <v>106.09</v>
      </c>
      <c r="L1119" s="5" t="s">
        <v>10178</v>
      </c>
      <c r="M1119" s="7">
        <v>2.62</v>
      </c>
      <c r="N1119" s="7">
        <v>1.27</v>
      </c>
      <c r="O1119" s="7">
        <v>3.52</v>
      </c>
      <c r="P1119" s="1" t="s">
        <v>10179</v>
      </c>
    </row>
    <row r="1120" spans="1:16" ht="33.4" x14ac:dyDescent="0.3">
      <c r="A1120" s="6" t="str">
        <f>HYPERLINK("https://www.ti.com/product/TPS92633", "TPS92633")</f>
        <v>TPS92633</v>
      </c>
      <c r="B1120" s="5" t="s">
        <v>10180</v>
      </c>
      <c r="C1120" s="6" t="str">
        <f>HYPERLINK("https://www.ti.com/lit/gpn/TPS92633", "PDF")</f>
        <v>PDF</v>
      </c>
      <c r="D1120" s="5" t="s">
        <v>10181</v>
      </c>
      <c r="E1120" s="5" t="s">
        <v>10182</v>
      </c>
      <c r="F1120" s="5" t="s">
        <v>10183</v>
      </c>
      <c r="G1120" s="5" t="s">
        <v>10184</v>
      </c>
      <c r="H1120" s="1" t="s">
        <v>10185</v>
      </c>
      <c r="I1120" s="5" t="s">
        <v>10186</v>
      </c>
      <c r="J1120" s="7">
        <v>20</v>
      </c>
      <c r="K1120" s="7">
        <v>41.6</v>
      </c>
      <c r="L1120" s="5" t="s">
        <v>10187</v>
      </c>
      <c r="M1120" s="7">
        <v>1.2</v>
      </c>
      <c r="N1120" s="7">
        <v>0.65</v>
      </c>
      <c r="O1120" s="7">
        <v>1.1499999999999999</v>
      </c>
      <c r="P1120" s="1" t="s">
        <v>10188</v>
      </c>
    </row>
    <row r="1121" spans="1:16" ht="33.4" x14ac:dyDescent="0.3">
      <c r="A1121" s="6" t="str">
        <f>HYPERLINK("https://www.ti.com/product/LM5157-Q1", "LM5157-Q1")</f>
        <v>LM5157-Q1</v>
      </c>
      <c r="B1121" s="5" t="s">
        <v>10189</v>
      </c>
      <c r="C1121" s="6" t="str">
        <f>HYPERLINK("https://www.ti.com/lit/gpn/LM5157-Q1", "PDF")</f>
        <v>PDF</v>
      </c>
      <c r="D1121" s="5" t="s">
        <v>10190</v>
      </c>
      <c r="E1121" s="5" t="s">
        <v>10191</v>
      </c>
      <c r="F1121" s="5" t="s">
        <v>10192</v>
      </c>
      <c r="G1121" s="5" t="s">
        <v>10193</v>
      </c>
      <c r="H1121" s="1" t="s">
        <v>10194</v>
      </c>
      <c r="I1121" s="5" t="s">
        <v>10195</v>
      </c>
      <c r="J1121" s="7">
        <v>16</v>
      </c>
      <c r="K1121" s="7">
        <v>9</v>
      </c>
      <c r="L1121" s="5" t="s">
        <v>10196</v>
      </c>
      <c r="M1121" s="7">
        <v>0.8</v>
      </c>
      <c r="N1121" s="7">
        <v>0.5</v>
      </c>
      <c r="O1121" s="7">
        <v>1.9139999999999999</v>
      </c>
      <c r="P1121" s="1" t="s">
        <v>10197</v>
      </c>
    </row>
    <row r="1122" spans="1:16" ht="33.4" x14ac:dyDescent="0.3">
      <c r="A1122" s="6" t="str">
        <f>HYPERLINK("https://www.ti.com/product/LM5145-Q1", "LM5145-Q1")</f>
        <v>LM5145-Q1</v>
      </c>
      <c r="B1122" s="5" t="s">
        <v>10198</v>
      </c>
      <c r="C1122" s="6" t="str">
        <f>HYPERLINK("https://www.ti.com/lit/gpn/LM5145-Q1", "PDF")</f>
        <v>PDF</v>
      </c>
      <c r="D1122" s="5" t="s">
        <v>10199</v>
      </c>
      <c r="E1122" s="5" t="s">
        <v>10200</v>
      </c>
      <c r="F1122" s="5" t="s">
        <v>10201</v>
      </c>
      <c r="G1122" s="5" t="s">
        <v>10202</v>
      </c>
      <c r="H1122" s="1" t="s">
        <v>10203</v>
      </c>
      <c r="I1122" s="5" t="s">
        <v>10204</v>
      </c>
      <c r="J1122" s="7">
        <v>20</v>
      </c>
      <c r="K1122" s="7">
        <v>15.75</v>
      </c>
      <c r="L1122" s="5" t="s">
        <v>10205</v>
      </c>
      <c r="M1122" s="7">
        <v>1</v>
      </c>
      <c r="N1122" s="7">
        <v>0.5</v>
      </c>
      <c r="O1122" s="7">
        <v>1.788</v>
      </c>
      <c r="P1122" s="1" t="s">
        <v>10206</v>
      </c>
    </row>
    <row r="1123" spans="1:16" ht="33.4" x14ac:dyDescent="0.3">
      <c r="A1123" s="6" t="str">
        <f>HYPERLINK("https://www.ti.com/product/LM5146", "LM5146")</f>
        <v>LM5146</v>
      </c>
      <c r="B1123" s="5" t="s">
        <v>10207</v>
      </c>
      <c r="C1123" s="6" t="str">
        <f>HYPERLINK("https://www.ti.com/lit/gpn/LM5146", "PDF")</f>
        <v>PDF</v>
      </c>
      <c r="D1123" s="5" t="s">
        <v>10208</v>
      </c>
      <c r="E1123" s="5" t="s">
        <v>10209</v>
      </c>
      <c r="F1123" s="5" t="s">
        <v>10210</v>
      </c>
      <c r="G1123" s="5" t="s">
        <v>10211</v>
      </c>
      <c r="H1123" s="1" t="s">
        <v>10212</v>
      </c>
      <c r="I1123" s="5" t="s">
        <v>10213</v>
      </c>
      <c r="J1123" s="7">
        <v>20</v>
      </c>
      <c r="K1123" s="7">
        <v>15.75</v>
      </c>
      <c r="L1123" s="5" t="s">
        <v>10214</v>
      </c>
      <c r="M1123" s="7">
        <v>1</v>
      </c>
      <c r="N1123" s="7">
        <v>0.5</v>
      </c>
      <c r="O1123" s="7">
        <v>1.66</v>
      </c>
      <c r="P1123" s="1" t="s">
        <v>10215</v>
      </c>
    </row>
    <row r="1124" spans="1:16" ht="33.4" x14ac:dyDescent="0.3">
      <c r="A1124" s="6" t="str">
        <f>HYPERLINK("https://www.ti.com/product/LM62460-Q1", "LM62460-Q1")</f>
        <v>LM62460-Q1</v>
      </c>
      <c r="B1124" s="5" t="s">
        <v>10216</v>
      </c>
      <c r="C1124" s="6" t="str">
        <f>HYPERLINK("https://www.ti.com/lit/gpn/LM62460-Q1", "PDF")</f>
        <v>PDF</v>
      </c>
      <c r="D1124" s="5" t="s">
        <v>10217</v>
      </c>
      <c r="E1124" s="5" t="s">
        <v>10218</v>
      </c>
      <c r="F1124" s="5" t="s">
        <v>10219</v>
      </c>
      <c r="G1124" s="5" t="s">
        <v>10220</v>
      </c>
      <c r="H1124" s="1" t="s">
        <v>10221</v>
      </c>
      <c r="I1124" s="5" t="s">
        <v>10222</v>
      </c>
      <c r="J1124" s="7">
        <v>16</v>
      </c>
      <c r="K1124" s="7">
        <v>15.75</v>
      </c>
      <c r="L1124" s="5" t="s">
        <v>10223</v>
      </c>
      <c r="M1124" s="7">
        <v>1</v>
      </c>
      <c r="N1124" s="7">
        <v>0.5</v>
      </c>
      <c r="O1124" s="7">
        <v>2.31</v>
      </c>
      <c r="P1124" s="1" t="s">
        <v>10224</v>
      </c>
    </row>
    <row r="1125" spans="1:16" ht="33.4" x14ac:dyDescent="0.3">
      <c r="A1125" s="6" t="str">
        <f>HYPERLINK("https://www.ti.com/product/TPS23882B", "TPS23882B")</f>
        <v>TPS23882B</v>
      </c>
      <c r="B1125" s="5" t="s">
        <v>10225</v>
      </c>
      <c r="C1125" s="6" t="str">
        <f>HYPERLINK("https://www.ti.com/lit/gpn/TPS23882B", "PDF")</f>
        <v>PDF</v>
      </c>
      <c r="D1125" s="5" t="s">
        <v>10226</v>
      </c>
      <c r="E1125" s="5" t="s">
        <v>10227</v>
      </c>
      <c r="F1125" s="5"/>
      <c r="G1125" s="5" t="s">
        <v>10228</v>
      </c>
      <c r="H1125" s="1" t="s">
        <v>10229</v>
      </c>
      <c r="I1125" s="5" t="s">
        <v>10230</v>
      </c>
      <c r="J1125" s="7">
        <v>56</v>
      </c>
      <c r="K1125" s="7">
        <v>64</v>
      </c>
      <c r="L1125" s="5" t="s">
        <v>10231</v>
      </c>
      <c r="M1125" s="7">
        <v>1</v>
      </c>
      <c r="N1125" s="7">
        <v>0.5</v>
      </c>
      <c r="O1125" s="7">
        <v>3.036</v>
      </c>
      <c r="P1125" s="1" t="s">
        <v>10232</v>
      </c>
    </row>
    <row r="1126" spans="1:16" ht="33.4" x14ac:dyDescent="0.3">
      <c r="A1126" s="6" t="str">
        <f>HYPERLINK("https://www.ti.com/product/TPS92633-Q1", "TPS92633-Q1")</f>
        <v>TPS92633-Q1</v>
      </c>
      <c r="B1126" s="5" t="s">
        <v>10233</v>
      </c>
      <c r="C1126" s="6" t="str">
        <f>HYPERLINK("https://www.ti.com/lit/gpn/TPS92633-Q1", "PDF")</f>
        <v>PDF</v>
      </c>
      <c r="D1126" s="5" t="s">
        <v>10234</v>
      </c>
      <c r="E1126" s="5" t="s">
        <v>10235</v>
      </c>
      <c r="F1126" s="5" t="s">
        <v>10236</v>
      </c>
      <c r="G1126" s="5" t="s">
        <v>10237</v>
      </c>
      <c r="H1126" s="1" t="s">
        <v>10238</v>
      </c>
      <c r="I1126" s="5" t="s">
        <v>10239</v>
      </c>
      <c r="J1126" s="7">
        <v>20</v>
      </c>
      <c r="K1126" s="7">
        <v>41.6</v>
      </c>
      <c r="L1126" s="5" t="s">
        <v>10240</v>
      </c>
      <c r="M1126" s="7">
        <v>1.2</v>
      </c>
      <c r="N1126" s="7">
        <v>0.65</v>
      </c>
      <c r="O1126" s="7">
        <v>0.86099999999999999</v>
      </c>
      <c r="P1126" s="1" t="s">
        <v>10241</v>
      </c>
    </row>
    <row r="1127" spans="1:16" ht="33.4" x14ac:dyDescent="0.3">
      <c r="A1127" s="6" t="str">
        <f>HYPERLINK("https://www.ti.com/product/TPS25830A-Q1", "TPS25830A-Q1")</f>
        <v>TPS25830A-Q1</v>
      </c>
      <c r="B1127" s="5" t="s">
        <v>10242</v>
      </c>
      <c r="C1127" s="6" t="str">
        <f>HYPERLINK("https://www.ti.com/lit/gpn/TPS25830A-Q1", "PDF")</f>
        <v>PDF</v>
      </c>
      <c r="D1127" s="5" t="s">
        <v>10243</v>
      </c>
      <c r="E1127" s="5" t="s">
        <v>10244</v>
      </c>
      <c r="F1127" s="5"/>
      <c r="G1127" s="5" t="s">
        <v>10245</v>
      </c>
      <c r="H1127" s="1" t="s">
        <v>10246</v>
      </c>
      <c r="I1127" s="5" t="s">
        <v>10247</v>
      </c>
      <c r="J1127" s="7">
        <v>32</v>
      </c>
      <c r="K1127" s="7">
        <v>25</v>
      </c>
      <c r="L1127" s="5" t="s">
        <v>10248</v>
      </c>
      <c r="M1127" s="7">
        <v>1</v>
      </c>
      <c r="N1127" s="7">
        <v>0.5</v>
      </c>
      <c r="O1127" s="7">
        <v>1.6619999999999999</v>
      </c>
      <c r="P1127" s="1" t="s">
        <v>10249</v>
      </c>
    </row>
    <row r="1128" spans="1:16" ht="33.4" x14ac:dyDescent="0.3">
      <c r="A1128" s="6" t="str">
        <f>HYPERLINK("https://www.ti.com/product/TPS25832A-Q1", "TPS25832A-Q1")</f>
        <v>TPS25832A-Q1</v>
      </c>
      <c r="B1128" s="5" t="s">
        <v>10250</v>
      </c>
      <c r="C1128" s="6" t="str">
        <f>HYPERLINK("https://www.ti.com/lit/gpn/TPS25832A-Q1", "PDF")</f>
        <v>PDF</v>
      </c>
      <c r="D1128" s="5" t="s">
        <v>10251</v>
      </c>
      <c r="E1128" s="5" t="s">
        <v>10252</v>
      </c>
      <c r="F1128" s="5"/>
      <c r="G1128" s="5" t="s">
        <v>10253</v>
      </c>
      <c r="H1128" s="1" t="s">
        <v>10254</v>
      </c>
      <c r="I1128" s="5" t="s">
        <v>10255</v>
      </c>
      <c r="J1128" s="7">
        <v>32</v>
      </c>
      <c r="K1128" s="7">
        <v>25</v>
      </c>
      <c r="L1128" s="5" t="s">
        <v>10256</v>
      </c>
      <c r="M1128" s="7">
        <v>1</v>
      </c>
      <c r="N1128" s="7">
        <v>0.5</v>
      </c>
      <c r="O1128" s="7">
        <v>1.84</v>
      </c>
      <c r="P1128" s="1" t="s">
        <v>10257</v>
      </c>
    </row>
    <row r="1129" spans="1:16" ht="17.05" x14ac:dyDescent="0.3">
      <c r="A1129" s="6" t="str">
        <f>HYPERLINK("https://www.ti.com/product/LP8758-EA", "LP8758-EA")</f>
        <v>LP8758-EA</v>
      </c>
      <c r="B1129" s="5" t="s">
        <v>10258</v>
      </c>
      <c r="C1129" s="6" t="str">
        <f>HYPERLINK("https://www.ti.com/lit/gpn/LP8758-EA", "PDF")</f>
        <v>PDF</v>
      </c>
      <c r="D1129" s="5" t="s">
        <v>10259</v>
      </c>
      <c r="E1129" s="5" t="s">
        <v>10260</v>
      </c>
      <c r="F1129" s="5"/>
      <c r="G1129" s="5" t="s">
        <v>10261</v>
      </c>
      <c r="H1129" s="1" t="s">
        <v>10262</v>
      </c>
      <c r="I1129" s="5" t="s">
        <v>10263</v>
      </c>
      <c r="J1129" s="7">
        <v>35</v>
      </c>
      <c r="K1129" s="7">
        <v>6.6</v>
      </c>
      <c r="L1129" s="5" t="s">
        <v>10264</v>
      </c>
      <c r="M1129" s="7">
        <v>0.625</v>
      </c>
      <c r="N1129" s="7">
        <v>0.4</v>
      </c>
      <c r="O1129" s="7">
        <v>2.5049999999999999</v>
      </c>
      <c r="P1129" s="1" t="s">
        <v>10265</v>
      </c>
    </row>
    <row r="1130" spans="1:16" ht="17.05" x14ac:dyDescent="0.3">
      <c r="A1130" s="6" t="str">
        <f>HYPERLINK("https://www.ti.com/product/TPS6521855", "TPS6521855")</f>
        <v>TPS6521855</v>
      </c>
      <c r="B1130" s="5" t="s">
        <v>10266</v>
      </c>
      <c r="C1130" s="6" t="str">
        <f>HYPERLINK("https://www.ti.com/lit/gpn/TPS6521855", "PDF")</f>
        <v>PDF</v>
      </c>
      <c r="D1130" s="5" t="s">
        <v>10267</v>
      </c>
      <c r="E1130" s="5" t="s">
        <v>10268</v>
      </c>
      <c r="F1130" s="5"/>
      <c r="G1130" s="5" t="s">
        <v>10269</v>
      </c>
      <c r="H1130" s="1" t="s">
        <v>10270</v>
      </c>
      <c r="I1130" s="5" t="s">
        <v>10271</v>
      </c>
      <c r="J1130" s="7">
        <v>48</v>
      </c>
      <c r="K1130" s="7">
        <v>36</v>
      </c>
      <c r="L1130" s="5" t="s">
        <v>10272</v>
      </c>
      <c r="M1130" s="7">
        <v>1</v>
      </c>
      <c r="N1130" s="7">
        <v>0.4</v>
      </c>
      <c r="O1130" s="7">
        <v>1.139</v>
      </c>
      <c r="P1130" s="1" t="s">
        <v>10273</v>
      </c>
    </row>
    <row r="1131" spans="1:16" ht="17.05" x14ac:dyDescent="0.3">
      <c r="A1131" s="6" t="str">
        <f>HYPERLINK("https://www.ti.com/product/TPS25946", "TPS25946")</f>
        <v>TPS25946</v>
      </c>
      <c r="B1131" s="5" t="s">
        <v>10274</v>
      </c>
      <c r="C1131" s="6" t="str">
        <f>HYPERLINK("https://www.ti.com/lit/gpn/TPS25946", "PDF")</f>
        <v>PDF</v>
      </c>
      <c r="D1131" s="5" t="s">
        <v>10275</v>
      </c>
      <c r="E1131" s="5" t="s">
        <v>10276</v>
      </c>
      <c r="F1131" s="5"/>
      <c r="G1131" s="5" t="s">
        <v>10277</v>
      </c>
      <c r="H1131" s="1" t="s">
        <v>10278</v>
      </c>
      <c r="I1131" s="5" t="s">
        <v>10279</v>
      </c>
      <c r="J1131" s="7">
        <v>10</v>
      </c>
      <c r="K1131" s="7">
        <v>4</v>
      </c>
      <c r="L1131" s="5" t="s">
        <v>10280</v>
      </c>
      <c r="M1131" s="7">
        <v>1</v>
      </c>
      <c r="N1131" s="7">
        <v>0.45</v>
      </c>
      <c r="O1131" s="7">
        <v>0.50600000000000001</v>
      </c>
      <c r="P1131" s="1" t="s">
        <v>10281</v>
      </c>
    </row>
    <row r="1132" spans="1:16" ht="49.75" x14ac:dyDescent="0.3">
      <c r="A1132" s="6" t="str">
        <f>HYPERLINK("https://www.ti.com/product/TPSM82823", "TPSM82823")</f>
        <v>TPSM82823</v>
      </c>
      <c r="B1132" s="5" t="s">
        <v>10282</v>
      </c>
      <c r="C1132" s="6" t="str">
        <f>HYPERLINK("https://www.ti.com/lit/gpn/TPSM82823", "PDF")</f>
        <v>PDF</v>
      </c>
      <c r="D1132" s="5" t="s">
        <v>10283</v>
      </c>
      <c r="E1132" s="5" t="s">
        <v>10284</v>
      </c>
      <c r="F1132" s="5" t="s">
        <v>10285</v>
      </c>
      <c r="G1132" s="5" t="s">
        <v>10286</v>
      </c>
      <c r="H1132" s="1" t="s">
        <v>10287</v>
      </c>
      <c r="I1132" s="5" t="s">
        <v>10288</v>
      </c>
      <c r="J1132" s="7">
        <v>10</v>
      </c>
      <c r="K1132" s="7" t="s">
        <v>10289</v>
      </c>
      <c r="L1132" s="5" t="s">
        <v>10290</v>
      </c>
      <c r="M1132" s="7" t="s">
        <v>10291</v>
      </c>
      <c r="N1132" s="7" t="s">
        <v>10292</v>
      </c>
      <c r="O1132" s="7">
        <v>1.3109999999999999</v>
      </c>
      <c r="P1132" s="1" t="s">
        <v>10293</v>
      </c>
    </row>
    <row r="1133" spans="1:16" ht="33.4" x14ac:dyDescent="0.3">
      <c r="A1133" s="6" t="str">
        <f>HYPERLINK("https://www.ti.com/product/REF70", "REF70")</f>
        <v>REF70</v>
      </c>
      <c r="B1133" s="5" t="s">
        <v>10294</v>
      </c>
      <c r="C1133" s="6" t="str">
        <f>HYPERLINK("https://www.ti.com/lit/gpn/REF70", "PDF")</f>
        <v>PDF</v>
      </c>
      <c r="D1133" s="5" t="s">
        <v>10295</v>
      </c>
      <c r="E1133" s="5" t="s">
        <v>10296</v>
      </c>
      <c r="F1133" s="5"/>
      <c r="G1133" s="5" t="s">
        <v>10297</v>
      </c>
      <c r="H1133" s="1" t="s">
        <v>10298</v>
      </c>
      <c r="I1133" s="5" t="s">
        <v>10299</v>
      </c>
      <c r="J1133" s="7">
        <v>8</v>
      </c>
      <c r="K1133" s="7" t="s">
        <v>10300</v>
      </c>
      <c r="L1133" s="5" t="s">
        <v>10301</v>
      </c>
      <c r="M1133" s="7" t="s">
        <v>10302</v>
      </c>
      <c r="N1133" s="7" t="s">
        <v>10303</v>
      </c>
      <c r="O1133" s="7">
        <v>4.577</v>
      </c>
      <c r="P1133" s="1" t="s">
        <v>10304</v>
      </c>
    </row>
    <row r="1134" spans="1:16" ht="33.4" x14ac:dyDescent="0.3">
      <c r="A1134" s="6" t="str">
        <f>HYPERLINK("https://www.ti.com/product/TPS61379-Q1", "TPS61379-Q1")</f>
        <v>TPS61379-Q1</v>
      </c>
      <c r="B1134" s="5" t="s">
        <v>10305</v>
      </c>
      <c r="C1134" s="6" t="str">
        <f>HYPERLINK("https://www.ti.com/lit/gpn/TPS61379-Q1", "PDF")</f>
        <v>PDF</v>
      </c>
      <c r="D1134" s="5" t="s">
        <v>10306</v>
      </c>
      <c r="E1134" s="5" t="s">
        <v>10307</v>
      </c>
      <c r="F1134" s="5" t="s">
        <v>10308</v>
      </c>
      <c r="G1134" s="5" t="s">
        <v>10309</v>
      </c>
      <c r="H1134" s="1" t="s">
        <v>10310</v>
      </c>
      <c r="I1134" s="5" t="s">
        <v>10311</v>
      </c>
      <c r="J1134" s="7">
        <v>16</v>
      </c>
      <c r="K1134" s="7">
        <v>9</v>
      </c>
      <c r="L1134" s="5" t="s">
        <v>10312</v>
      </c>
      <c r="M1134" s="7">
        <v>0.8</v>
      </c>
      <c r="N1134" s="7">
        <v>0.5</v>
      </c>
      <c r="O1134" s="7">
        <v>1.151</v>
      </c>
      <c r="P1134" s="1" t="s">
        <v>10313</v>
      </c>
    </row>
    <row r="1135" spans="1:16" ht="33.4" x14ac:dyDescent="0.3">
      <c r="A1135" s="6" t="str">
        <f>HYPERLINK("https://www.ti.com/product/TLV840-Q1", "TLV840-Q1")</f>
        <v>TLV840-Q1</v>
      </c>
      <c r="B1135" s="5" t="s">
        <v>10314</v>
      </c>
      <c r="C1135" s="6" t="str">
        <f>HYPERLINK("https://www.ti.com/lit/gpn/TLV840-Q1", "PDF")</f>
        <v>PDF</v>
      </c>
      <c r="D1135" s="5" t="s">
        <v>10315</v>
      </c>
      <c r="E1135" s="5" t="s">
        <v>10316</v>
      </c>
      <c r="F1135" s="5"/>
      <c r="G1135" s="5" t="s">
        <v>10317</v>
      </c>
      <c r="H1135" s="1" t="s">
        <v>10318</v>
      </c>
      <c r="I1135" s="5" t="s">
        <v>10319</v>
      </c>
      <c r="J1135" s="7">
        <v>5</v>
      </c>
      <c r="K1135" s="7">
        <v>8.1199999999999992</v>
      </c>
      <c r="L1135" s="5" t="s">
        <v>10320</v>
      </c>
      <c r="M1135" s="7">
        <v>1.45</v>
      </c>
      <c r="N1135" s="7">
        <v>0.95</v>
      </c>
      <c r="O1135" s="7">
        <v>0.25700000000000001</v>
      </c>
      <c r="P1135" s="1" t="s">
        <v>10321</v>
      </c>
    </row>
    <row r="1136" spans="1:16" ht="33.4" x14ac:dyDescent="0.3">
      <c r="A1136" s="6" t="str">
        <f>HYPERLINK("https://www.ti.com/product/TPS6594-Q1", "TPS6594-Q1")</f>
        <v>TPS6594-Q1</v>
      </c>
      <c r="B1136" s="5" t="s">
        <v>10322</v>
      </c>
      <c r="C1136" s="6" t="str">
        <f>HYPERLINK("https://www.ti.com/lit/gpn/TPS6594-Q1", "PDF")</f>
        <v>PDF</v>
      </c>
      <c r="D1136" s="5" t="s">
        <v>10323</v>
      </c>
      <c r="E1136" s="5" t="s">
        <v>10324</v>
      </c>
      <c r="F1136" s="5"/>
      <c r="G1136" s="5" t="s">
        <v>10325</v>
      </c>
      <c r="H1136" s="1" t="s">
        <v>10326</v>
      </c>
      <c r="I1136" s="5" t="s">
        <v>10327</v>
      </c>
      <c r="J1136" s="7">
        <v>56</v>
      </c>
      <c r="K1136" s="7">
        <v>64</v>
      </c>
      <c r="L1136" s="5" t="s">
        <v>10328</v>
      </c>
      <c r="M1136" s="7">
        <v>0.9</v>
      </c>
      <c r="N1136" s="7">
        <v>0.5</v>
      </c>
      <c r="O1136" s="7">
        <v>4.2460000000000004</v>
      </c>
      <c r="P1136" s="1" t="s">
        <v>10329</v>
      </c>
    </row>
    <row r="1137" spans="1:16" ht="17.05" x14ac:dyDescent="0.3">
      <c r="A1137" s="6" t="str">
        <f>HYPERLINK("https://www.ti.com/product/TPS92360", "TPS92360")</f>
        <v>TPS92360</v>
      </c>
      <c r="B1137" s="5" t="s">
        <v>10330</v>
      </c>
      <c r="C1137" s="6" t="str">
        <f>HYPERLINK("https://www.ti.com/lit/gpn/TPS92360", "PDF")</f>
        <v>PDF</v>
      </c>
      <c r="D1137" s="5" t="s">
        <v>10331</v>
      </c>
      <c r="E1137" s="5" t="s">
        <v>10332</v>
      </c>
      <c r="F1137" s="5" t="s">
        <v>10333</v>
      </c>
      <c r="G1137" s="5" t="s">
        <v>10334</v>
      </c>
      <c r="H1137" s="1" t="s">
        <v>10335</v>
      </c>
      <c r="I1137" s="5" t="s">
        <v>10336</v>
      </c>
      <c r="J1137" s="7">
        <v>5</v>
      </c>
      <c r="K1137" s="7">
        <v>4.2</v>
      </c>
      <c r="L1137" s="5" t="s">
        <v>10337</v>
      </c>
      <c r="M1137" s="7">
        <v>1.1000000000000001</v>
      </c>
      <c r="N1137" s="7">
        <v>0.65</v>
      </c>
      <c r="O1137" s="7">
        <v>0.29399999999999998</v>
      </c>
      <c r="P1137" s="1" t="s">
        <v>10338</v>
      </c>
    </row>
    <row r="1138" spans="1:16" ht="33.4" x14ac:dyDescent="0.3">
      <c r="A1138" s="6" t="str">
        <f>HYPERLINK("https://www.ti.com/product/TLC6983", "TLC6983")</f>
        <v>TLC6983</v>
      </c>
      <c r="B1138" s="5" t="s">
        <v>10339</v>
      </c>
      <c r="C1138" s="6" t="str">
        <f>HYPERLINK("https://www.ti.com/lit/gpn/TLC6983", "PDF")</f>
        <v>PDF</v>
      </c>
      <c r="D1138" s="5" t="s">
        <v>10340</v>
      </c>
      <c r="E1138" s="5" t="s">
        <v>10341</v>
      </c>
      <c r="F1138" s="5"/>
      <c r="G1138" s="5" t="s">
        <v>10342</v>
      </c>
      <c r="H1138" s="1" t="s">
        <v>10343</v>
      </c>
      <c r="I1138" s="5" t="s">
        <v>10344</v>
      </c>
      <c r="J1138" s="7" t="s">
        <v>10345</v>
      </c>
      <c r="K1138" s="7" t="s">
        <v>10346</v>
      </c>
      <c r="L1138" s="5" t="s">
        <v>10347</v>
      </c>
      <c r="M1138" s="7" t="s">
        <v>10348</v>
      </c>
      <c r="N1138" s="7" t="s">
        <v>10349</v>
      </c>
      <c r="O1138" s="7">
        <v>3.899</v>
      </c>
      <c r="P1138" s="1" t="s">
        <v>10350</v>
      </c>
    </row>
    <row r="1139" spans="1:16" ht="33.4" x14ac:dyDescent="0.3">
      <c r="A1139" s="6" t="str">
        <f>HYPERLINK("https://www.ti.com/product/TPS785-Q1", "TPS785-Q1")</f>
        <v>TPS785-Q1</v>
      </c>
      <c r="B1139" s="5" t="s">
        <v>10351</v>
      </c>
      <c r="C1139" s="6" t="str">
        <f>HYPERLINK("https://www.ti.com/lit/gpn/TPS785-Q1", "PDF")</f>
        <v>PDF</v>
      </c>
      <c r="D1139" s="5" t="s">
        <v>10352</v>
      </c>
      <c r="E1139" s="5" t="s">
        <v>10353</v>
      </c>
      <c r="F1139" s="5"/>
      <c r="G1139" s="5" t="s">
        <v>10354</v>
      </c>
      <c r="H1139" s="1" t="s">
        <v>10355</v>
      </c>
      <c r="I1139" s="5" t="s">
        <v>10356</v>
      </c>
      <c r="J1139" s="7" t="s">
        <v>10357</v>
      </c>
      <c r="K1139" s="7" t="s">
        <v>10358</v>
      </c>
      <c r="L1139" s="5" t="s">
        <v>10359</v>
      </c>
      <c r="M1139" s="7" t="s">
        <v>10360</v>
      </c>
      <c r="N1139" s="7" t="s">
        <v>10361</v>
      </c>
      <c r="O1139" s="7">
        <v>0.54</v>
      </c>
      <c r="P1139" s="1" t="s">
        <v>10362</v>
      </c>
    </row>
    <row r="1140" spans="1:16" ht="49.75" x14ac:dyDescent="0.3">
      <c r="A1140" s="6" t="str">
        <f>HYPERLINK("https://www.ti.com/product/TPS62865", "TPS62865")</f>
        <v>TPS62865</v>
      </c>
      <c r="B1140" s="5" t="s">
        <v>10363</v>
      </c>
      <c r="C1140" s="6" t="str">
        <f>HYPERLINK("https://www.ti.com/lit/gpn/TPS62865", "PDF")</f>
        <v>PDF</v>
      </c>
      <c r="D1140" s="5" t="s">
        <v>10364</v>
      </c>
      <c r="E1140" s="5" t="s">
        <v>10365</v>
      </c>
      <c r="F1140" s="5" t="s">
        <v>10366</v>
      </c>
      <c r="G1140" s="5" t="s">
        <v>10367</v>
      </c>
      <c r="H1140" s="1" t="s">
        <v>10368</v>
      </c>
      <c r="I1140" s="5" t="s">
        <v>10369</v>
      </c>
      <c r="J1140" s="7">
        <v>9</v>
      </c>
      <c r="K1140" s="7">
        <v>3.75</v>
      </c>
      <c r="L1140" s="5" t="s">
        <v>10370</v>
      </c>
      <c r="M1140" s="7">
        <v>1</v>
      </c>
      <c r="N1140" s="7">
        <v>0.5</v>
      </c>
      <c r="O1140" s="7">
        <v>0.875</v>
      </c>
      <c r="P1140" s="1" t="s">
        <v>10371</v>
      </c>
    </row>
    <row r="1141" spans="1:16" ht="49.75" x14ac:dyDescent="0.3">
      <c r="A1141" s="6" t="str">
        <f>HYPERLINK("https://www.ti.com/product/TPS62867", "TPS62867")</f>
        <v>TPS62867</v>
      </c>
      <c r="B1141" s="5" t="s">
        <v>10372</v>
      </c>
      <c r="C1141" s="6" t="str">
        <f>HYPERLINK("https://www.ti.com/lit/gpn/TPS62867", "PDF")</f>
        <v>PDF</v>
      </c>
      <c r="D1141" s="5" t="s">
        <v>10373</v>
      </c>
      <c r="E1141" s="5" t="s">
        <v>10374</v>
      </c>
      <c r="F1141" s="5" t="s">
        <v>10375</v>
      </c>
      <c r="G1141" s="5" t="s">
        <v>10376</v>
      </c>
      <c r="H1141" s="1" t="s">
        <v>10377</v>
      </c>
      <c r="I1141" s="5" t="s">
        <v>10378</v>
      </c>
      <c r="J1141" s="7">
        <v>9</v>
      </c>
      <c r="K1141" s="7">
        <v>3.75</v>
      </c>
      <c r="L1141" s="5" t="s">
        <v>10379</v>
      </c>
      <c r="M1141" s="7">
        <v>1</v>
      </c>
      <c r="N1141" s="7">
        <v>0.5</v>
      </c>
      <c r="O1141" s="7">
        <v>1.0629999999999999</v>
      </c>
      <c r="P1141" s="1" t="s">
        <v>10380</v>
      </c>
    </row>
    <row r="1142" spans="1:16" ht="33.4" x14ac:dyDescent="0.3">
      <c r="A1142" s="6" t="str">
        <f>HYPERLINK("https://www.ti.com/product/TPS2521", "TPS2521")</f>
        <v>TPS2521</v>
      </c>
      <c r="B1142" s="5" t="s">
        <v>10381</v>
      </c>
      <c r="C1142" s="6" t="str">
        <f>HYPERLINK("https://www.ti.com/lit/gpn/TPS2521", "PDF")</f>
        <v>PDF</v>
      </c>
      <c r="D1142" s="5" t="s">
        <v>10382</v>
      </c>
      <c r="E1142" s="5" t="s">
        <v>10383</v>
      </c>
      <c r="F1142" s="5"/>
      <c r="G1142" s="5" t="s">
        <v>10384</v>
      </c>
      <c r="H1142" s="1" t="s">
        <v>10385</v>
      </c>
      <c r="I1142" s="5" t="s">
        <v>10386</v>
      </c>
      <c r="J1142" s="7">
        <v>10</v>
      </c>
      <c r="K1142" s="7">
        <v>4</v>
      </c>
      <c r="L1142" s="5" t="s">
        <v>10387</v>
      </c>
      <c r="M1142" s="7">
        <v>1</v>
      </c>
      <c r="N1142" s="7">
        <v>0.45</v>
      </c>
      <c r="O1142" s="7">
        <v>0.36799999999999999</v>
      </c>
      <c r="P1142" s="1" t="s">
        <v>10388</v>
      </c>
    </row>
    <row r="1143" spans="1:16" ht="33.4" x14ac:dyDescent="0.3">
      <c r="A1143" s="6" t="str">
        <f>HYPERLINK("https://www.ti.com/product/TPS25947", "TPS25947")</f>
        <v>TPS25947</v>
      </c>
      <c r="B1143" s="5" t="s">
        <v>10389</v>
      </c>
      <c r="C1143" s="6" t="str">
        <f>HYPERLINK("https://www.ti.com/lit/gpn/TPS25947", "PDF")</f>
        <v>PDF</v>
      </c>
      <c r="D1143" s="5" t="s">
        <v>10390</v>
      </c>
      <c r="E1143" s="5" t="s">
        <v>10391</v>
      </c>
      <c r="F1143" s="5"/>
      <c r="G1143" s="5" t="s">
        <v>10392</v>
      </c>
      <c r="H1143" s="1" t="s">
        <v>10393</v>
      </c>
      <c r="I1143" s="5" t="s">
        <v>10394</v>
      </c>
      <c r="J1143" s="7">
        <v>10</v>
      </c>
      <c r="K1143" s="7">
        <v>4</v>
      </c>
      <c r="L1143" s="5" t="s">
        <v>10395</v>
      </c>
      <c r="M1143" s="7">
        <v>1</v>
      </c>
      <c r="N1143" s="7">
        <v>0.45</v>
      </c>
      <c r="O1143" s="7">
        <v>0.52500000000000002</v>
      </c>
      <c r="P1143" s="1" t="s">
        <v>10396</v>
      </c>
    </row>
    <row r="1144" spans="1:16" ht="33.4" x14ac:dyDescent="0.3">
      <c r="A1144" s="6" t="str">
        <f>HYPERLINK("https://www.ti.com/product/TPS92390", "TPS92390")</f>
        <v>TPS92390</v>
      </c>
      <c r="B1144" s="5" t="s">
        <v>10397</v>
      </c>
      <c r="C1144" s="6" t="str">
        <f>HYPERLINK("https://www.ti.com/lit/gpn/TPS92390", "PDF")</f>
        <v>PDF</v>
      </c>
      <c r="D1144" s="5" t="s">
        <v>10398</v>
      </c>
      <c r="E1144" s="5" t="s">
        <v>10399</v>
      </c>
      <c r="F1144" s="5" t="s">
        <v>10400</v>
      </c>
      <c r="G1144" s="5" t="s">
        <v>10401</v>
      </c>
      <c r="H1144" s="1" t="s">
        <v>10402</v>
      </c>
      <c r="I1144" s="5" t="s">
        <v>10403</v>
      </c>
      <c r="J1144" s="7">
        <v>32</v>
      </c>
      <c r="K1144" s="7">
        <v>25</v>
      </c>
      <c r="L1144" s="5" t="s">
        <v>10404</v>
      </c>
      <c r="M1144" s="7">
        <v>1</v>
      </c>
      <c r="N1144" s="7">
        <v>0.5</v>
      </c>
      <c r="O1144" s="7">
        <v>1.3280000000000001</v>
      </c>
      <c r="P1144" s="1" t="s">
        <v>10405</v>
      </c>
    </row>
    <row r="1145" spans="1:16" ht="33.4" x14ac:dyDescent="0.3">
      <c r="A1145" s="6" t="str">
        <f>HYPERLINK("https://www.ti.com/product/TPS92391", "TPS92391")</f>
        <v>TPS92391</v>
      </c>
      <c r="B1145" s="5" t="s">
        <v>10406</v>
      </c>
      <c r="C1145" s="6" t="str">
        <f>HYPERLINK("https://www.ti.com/lit/gpn/TPS92391", "PDF")</f>
        <v>PDF</v>
      </c>
      <c r="D1145" s="5" t="s">
        <v>10407</v>
      </c>
      <c r="E1145" s="5" t="s">
        <v>10408</v>
      </c>
      <c r="F1145" s="5" t="s">
        <v>10409</v>
      </c>
      <c r="G1145" s="5" t="s">
        <v>10410</v>
      </c>
      <c r="H1145" s="1" t="s">
        <v>10411</v>
      </c>
      <c r="I1145" s="5" t="s">
        <v>10412</v>
      </c>
      <c r="J1145" s="7">
        <v>32</v>
      </c>
      <c r="K1145" s="7">
        <v>25</v>
      </c>
      <c r="L1145" s="5" t="s">
        <v>10413</v>
      </c>
      <c r="M1145" s="7">
        <v>1</v>
      </c>
      <c r="N1145" s="7">
        <v>0.5</v>
      </c>
      <c r="O1145" s="7">
        <v>1.57</v>
      </c>
      <c r="P1145" s="1" t="s">
        <v>10414</v>
      </c>
    </row>
    <row r="1146" spans="1:16" ht="33.4" x14ac:dyDescent="0.3">
      <c r="A1146" s="6" t="str">
        <f>HYPERLINK("https://www.ti.com/product/LM61495-Q1", "LM61495-Q1")</f>
        <v>LM61495-Q1</v>
      </c>
      <c r="B1146" s="5" t="s">
        <v>10415</v>
      </c>
      <c r="C1146" s="6" t="str">
        <f>HYPERLINK("https://www.ti.com/lit/gpn/LM61495-Q1", "PDF")</f>
        <v>PDF</v>
      </c>
      <c r="D1146" s="5" t="s">
        <v>10416</v>
      </c>
      <c r="E1146" s="5" t="s">
        <v>10417</v>
      </c>
      <c r="F1146" s="5" t="s">
        <v>10418</v>
      </c>
      <c r="G1146" s="5" t="s">
        <v>10419</v>
      </c>
      <c r="H1146" s="1" t="s">
        <v>10420</v>
      </c>
      <c r="I1146" s="5" t="s">
        <v>10421</v>
      </c>
      <c r="J1146" s="7">
        <v>16</v>
      </c>
      <c r="K1146" s="7">
        <v>15.75</v>
      </c>
      <c r="L1146" s="5" t="s">
        <v>10422</v>
      </c>
      <c r="M1146" s="7">
        <v>1</v>
      </c>
      <c r="N1146" s="7">
        <v>0.5</v>
      </c>
      <c r="O1146" s="7">
        <v>2.7029999999999998</v>
      </c>
      <c r="P1146" s="1" t="s">
        <v>10423</v>
      </c>
    </row>
    <row r="1147" spans="1:16" ht="33.4" x14ac:dyDescent="0.3">
      <c r="A1147" s="6" t="str">
        <f>HYPERLINK("https://www.ti.com/product/LP87702", "LP87702")</f>
        <v>LP87702</v>
      </c>
      <c r="B1147" s="5" t="s">
        <v>10424</v>
      </c>
      <c r="C1147" s="6" t="str">
        <f>HYPERLINK("https://www.ti.com/lit/gpn/LP87702", "PDF")</f>
        <v>PDF</v>
      </c>
      <c r="D1147" s="5" t="s">
        <v>10425</v>
      </c>
      <c r="E1147" s="5" t="s">
        <v>10426</v>
      </c>
      <c r="F1147" s="5"/>
      <c r="G1147" s="5" t="s">
        <v>10427</v>
      </c>
      <c r="H1147" s="1" t="s">
        <v>10428</v>
      </c>
      <c r="I1147" s="5" t="s">
        <v>10429</v>
      </c>
      <c r="J1147" s="7">
        <v>32</v>
      </c>
      <c r="K1147" s="7">
        <v>25</v>
      </c>
      <c r="L1147" s="5" t="s">
        <v>10430</v>
      </c>
      <c r="M1147" s="7">
        <v>1</v>
      </c>
      <c r="N1147" s="7">
        <v>0.5</v>
      </c>
      <c r="O1147" s="7">
        <v>1.877</v>
      </c>
      <c r="P1147" s="1" t="s">
        <v>10431</v>
      </c>
    </row>
    <row r="1148" spans="1:16" ht="33.4" x14ac:dyDescent="0.3">
      <c r="A1148" s="6" t="str">
        <f>HYPERLINK("https://www.ti.com/product/TPS541620", "TPS541620")</f>
        <v>TPS541620</v>
      </c>
      <c r="B1148" s="5" t="s">
        <v>10432</v>
      </c>
      <c r="C1148" s="6" t="str">
        <f>HYPERLINK("https://www.ti.com/lit/gpn/TPS541620", "PDF")</f>
        <v>PDF</v>
      </c>
      <c r="D1148" s="5" t="s">
        <v>10433</v>
      </c>
      <c r="E1148" s="5" t="s">
        <v>10434</v>
      </c>
      <c r="F1148" s="5" t="s">
        <v>10435</v>
      </c>
      <c r="G1148" s="5" t="s">
        <v>10436</v>
      </c>
      <c r="H1148" s="1" t="s">
        <v>10437</v>
      </c>
      <c r="I1148" s="5" t="s">
        <v>10438</v>
      </c>
      <c r="J1148" s="7">
        <v>25</v>
      </c>
      <c r="K1148" s="7">
        <v>15</v>
      </c>
      <c r="L1148" s="5" t="s">
        <v>10439</v>
      </c>
      <c r="M1148" s="7">
        <v>1</v>
      </c>
      <c r="N1148" s="7">
        <v>0.5</v>
      </c>
      <c r="O1148" s="7">
        <v>3.0190000000000001</v>
      </c>
      <c r="P1148" s="1" t="s">
        <v>10440</v>
      </c>
    </row>
    <row r="1149" spans="1:16" ht="33.4" x14ac:dyDescent="0.3">
      <c r="A1149" s="6" t="str">
        <f>HYPERLINK("https://www.ti.com/product/TPS62901", "TPS62901")</f>
        <v>TPS62901</v>
      </c>
      <c r="B1149" s="5" t="s">
        <v>10441</v>
      </c>
      <c r="C1149" s="6" t="str">
        <f>HYPERLINK("https://www.ti.com/lit/gpn/TPS62901", "PDF")</f>
        <v>PDF</v>
      </c>
      <c r="D1149" s="5" t="s">
        <v>10442</v>
      </c>
      <c r="E1149" s="5" t="s">
        <v>10443</v>
      </c>
      <c r="F1149" s="5" t="s">
        <v>10444</v>
      </c>
      <c r="G1149" s="5" t="s">
        <v>10445</v>
      </c>
      <c r="H1149" s="1" t="s">
        <v>10446</v>
      </c>
      <c r="I1149" s="5" t="s">
        <v>10447</v>
      </c>
      <c r="J1149" s="7">
        <v>9</v>
      </c>
      <c r="K1149" s="7">
        <v>3</v>
      </c>
      <c r="L1149" s="5" t="s">
        <v>10448</v>
      </c>
      <c r="M1149" s="7">
        <v>1</v>
      </c>
      <c r="N1149" s="7">
        <v>0.5</v>
      </c>
      <c r="O1149" s="7">
        <v>0.5</v>
      </c>
      <c r="P1149" s="1" t="s">
        <v>10449</v>
      </c>
    </row>
    <row r="1150" spans="1:16" ht="33.4" x14ac:dyDescent="0.3">
      <c r="A1150" s="6" t="str">
        <f>HYPERLINK("https://www.ti.com/product/TPS62902", "TPS62902")</f>
        <v>TPS62902</v>
      </c>
      <c r="B1150" s="5" t="s">
        <v>10450</v>
      </c>
      <c r="C1150" s="6" t="str">
        <f>HYPERLINK("https://www.ti.com/lit/gpn/TPS62902", "PDF")</f>
        <v>PDF</v>
      </c>
      <c r="D1150" s="5" t="s">
        <v>10451</v>
      </c>
      <c r="E1150" s="5" t="s">
        <v>10452</v>
      </c>
      <c r="F1150" s="5" t="s">
        <v>10453</v>
      </c>
      <c r="G1150" s="5" t="s">
        <v>10454</v>
      </c>
      <c r="H1150" s="1" t="s">
        <v>10455</v>
      </c>
      <c r="I1150" s="5" t="s">
        <v>10456</v>
      </c>
      <c r="J1150" s="7">
        <v>9</v>
      </c>
      <c r="K1150" s="7">
        <v>3</v>
      </c>
      <c r="L1150" s="5" t="s">
        <v>10457</v>
      </c>
      <c r="M1150" s="7">
        <v>1</v>
      </c>
      <c r="N1150" s="7">
        <v>0.5</v>
      </c>
      <c r="O1150" s="7">
        <v>0.56299999999999994</v>
      </c>
      <c r="P1150" s="1" t="s">
        <v>10458</v>
      </c>
    </row>
    <row r="1151" spans="1:16" ht="33.4" x14ac:dyDescent="0.3">
      <c r="A1151" s="6" t="str">
        <f>HYPERLINK("https://www.ti.com/product/TPS62903", "TPS62903")</f>
        <v>TPS62903</v>
      </c>
      <c r="B1151" s="5" t="s">
        <v>10459</v>
      </c>
      <c r="C1151" s="6" t="str">
        <f>HYPERLINK("https://www.ti.com/lit/gpn/TPS62903", "PDF")</f>
        <v>PDF</v>
      </c>
      <c r="D1151" s="5" t="s">
        <v>10460</v>
      </c>
      <c r="E1151" s="5" t="s">
        <v>10461</v>
      </c>
      <c r="F1151" s="5" t="s">
        <v>10462</v>
      </c>
      <c r="G1151" s="5" t="s">
        <v>10463</v>
      </c>
      <c r="H1151" s="1" t="s">
        <v>10464</v>
      </c>
      <c r="I1151" s="5" t="s">
        <v>10465</v>
      </c>
      <c r="J1151" s="7">
        <v>9</v>
      </c>
      <c r="K1151" s="7">
        <v>3</v>
      </c>
      <c r="L1151" s="5" t="s">
        <v>10466</v>
      </c>
      <c r="M1151" s="7">
        <v>1</v>
      </c>
      <c r="N1151" s="7">
        <v>0.5</v>
      </c>
      <c r="O1151" s="7">
        <v>0.625</v>
      </c>
      <c r="P1151" s="1" t="s">
        <v>10467</v>
      </c>
    </row>
    <row r="1152" spans="1:16" ht="33.4" x14ac:dyDescent="0.3">
      <c r="A1152" s="6" t="str">
        <f>HYPERLINK("https://www.ti.com/product/TPS62912", "TPS62912")</f>
        <v>TPS62912</v>
      </c>
      <c r="B1152" s="5" t="s">
        <v>10468</v>
      </c>
      <c r="C1152" s="6" t="str">
        <f>HYPERLINK("https://www.ti.com/lit/gpn/TPS62912", "PDF")</f>
        <v>PDF</v>
      </c>
      <c r="D1152" s="5" t="s">
        <v>10469</v>
      </c>
      <c r="E1152" s="5" t="s">
        <v>10470</v>
      </c>
      <c r="F1152" s="5" t="s">
        <v>10471</v>
      </c>
      <c r="G1152" s="5" t="s">
        <v>10472</v>
      </c>
      <c r="H1152" s="1" t="s">
        <v>10473</v>
      </c>
      <c r="I1152" s="5" t="s">
        <v>10474</v>
      </c>
      <c r="J1152" s="7">
        <v>10</v>
      </c>
      <c r="K1152" s="7">
        <v>4</v>
      </c>
      <c r="L1152" s="5" t="s">
        <v>10475</v>
      </c>
      <c r="M1152" s="7">
        <v>1</v>
      </c>
      <c r="N1152" s="7">
        <v>0.5</v>
      </c>
      <c r="O1152" s="7">
        <v>0.84199999999999997</v>
      </c>
      <c r="P1152" s="1" t="s">
        <v>10476</v>
      </c>
    </row>
    <row r="1153" spans="1:16" ht="33.4" x14ac:dyDescent="0.3">
      <c r="A1153" s="6" t="str">
        <f>HYPERLINK("https://www.ti.com/product/TPS62913", "TPS62913")</f>
        <v>TPS62913</v>
      </c>
      <c r="B1153" s="5" t="s">
        <v>10477</v>
      </c>
      <c r="C1153" s="6" t="str">
        <f>HYPERLINK("https://www.ti.com/lit/gpn/TPS62913", "PDF")</f>
        <v>PDF</v>
      </c>
      <c r="D1153" s="5" t="s">
        <v>10478</v>
      </c>
      <c r="E1153" s="5" t="s">
        <v>10479</v>
      </c>
      <c r="F1153" s="5" t="s">
        <v>10480</v>
      </c>
      <c r="G1153" s="5" t="s">
        <v>10481</v>
      </c>
      <c r="H1153" s="1" t="s">
        <v>10482</v>
      </c>
      <c r="I1153" s="5" t="s">
        <v>10483</v>
      </c>
      <c r="J1153" s="7">
        <v>10</v>
      </c>
      <c r="K1153" s="7">
        <v>4</v>
      </c>
      <c r="L1153" s="5" t="s">
        <v>10484</v>
      </c>
      <c r="M1153" s="7">
        <v>1</v>
      </c>
      <c r="N1153" s="7">
        <v>0.5</v>
      </c>
      <c r="O1153" s="7">
        <v>0.92600000000000005</v>
      </c>
      <c r="P1153" s="1" t="s">
        <v>10485</v>
      </c>
    </row>
    <row r="1154" spans="1:16" ht="17.05" x14ac:dyDescent="0.3">
      <c r="A1154" s="6" t="str">
        <f>HYPERLINK("https://www.ti.com/product/TPSM5D1806", "TPSM5D1806")</f>
        <v>TPSM5D1806</v>
      </c>
      <c r="B1154" s="5" t="s">
        <v>10486</v>
      </c>
      <c r="C1154" s="6" t="str">
        <f>HYPERLINK("https://www.ti.com/lit/gpn/TPSM5D1806", "PDF")</f>
        <v>PDF</v>
      </c>
      <c r="D1154" s="5" t="s">
        <v>10487</v>
      </c>
      <c r="E1154" s="5" t="s">
        <v>10488</v>
      </c>
      <c r="F1154" s="5" t="s">
        <v>10489</v>
      </c>
      <c r="G1154" s="5" t="s">
        <v>10490</v>
      </c>
      <c r="H1154" s="1" t="s">
        <v>10491</v>
      </c>
      <c r="I1154" s="5" t="s">
        <v>10492</v>
      </c>
      <c r="J1154" s="7">
        <v>51</v>
      </c>
      <c r="K1154" s="7">
        <v>44</v>
      </c>
      <c r="L1154" s="5" t="s">
        <v>10493</v>
      </c>
      <c r="M1154" s="7">
        <v>1.9</v>
      </c>
      <c r="N1154" s="7">
        <v>0.5</v>
      </c>
      <c r="O1154" s="7">
        <v>12</v>
      </c>
      <c r="P1154" s="1" t="s">
        <v>10494</v>
      </c>
    </row>
    <row r="1155" spans="1:16" ht="33.4" x14ac:dyDescent="0.3">
      <c r="A1155" s="6" t="str">
        <f>HYPERLINK("https://www.ti.com/product/UCC23313-Q1", "UCC23313-Q1")</f>
        <v>UCC23313-Q1</v>
      </c>
      <c r="B1155" s="5" t="s">
        <v>10495</v>
      </c>
      <c r="C1155" s="6" t="str">
        <f>HYPERLINK("https://www.ti.com/lit/gpn/UCC23313-Q1", "PDF")</f>
        <v>PDF</v>
      </c>
      <c r="D1155" s="5" t="s">
        <v>10496</v>
      </c>
      <c r="E1155" s="5" t="s">
        <v>10497</v>
      </c>
      <c r="F1155" s="5"/>
      <c r="G1155" s="5" t="s">
        <v>10498</v>
      </c>
      <c r="H1155" s="1" t="s">
        <v>10499</v>
      </c>
      <c r="I1155" s="5" t="s">
        <v>10500</v>
      </c>
      <c r="J1155" s="7">
        <v>6</v>
      </c>
      <c r="K1155" s="7">
        <v>53.82</v>
      </c>
      <c r="L1155" s="5" t="s">
        <v>10501</v>
      </c>
      <c r="M1155" s="7">
        <v>3.43</v>
      </c>
      <c r="N1155" s="7">
        <v>1.27</v>
      </c>
      <c r="O1155" s="7">
        <v>0.84099999999999997</v>
      </c>
      <c r="P1155" s="1" t="s">
        <v>10502</v>
      </c>
    </row>
    <row r="1156" spans="1:16" ht="33.4" x14ac:dyDescent="0.3">
      <c r="A1156" s="6" t="str">
        <f>HYPERLINK("https://www.ti.com/product/UCC23511-Q1", "UCC23511-Q1")</f>
        <v>UCC23511-Q1</v>
      </c>
      <c r="B1156" s="5" t="s">
        <v>10503</v>
      </c>
      <c r="C1156" s="6" t="str">
        <f>HYPERLINK("https://www.ti.com/lit/gpn/UCC23511-Q1", "PDF")</f>
        <v>PDF</v>
      </c>
      <c r="D1156" s="5" t="s">
        <v>10504</v>
      </c>
      <c r="E1156" s="5" t="s">
        <v>10505</v>
      </c>
      <c r="F1156" s="5"/>
      <c r="G1156" s="5" t="s">
        <v>10506</v>
      </c>
      <c r="H1156" s="1" t="s">
        <v>10507</v>
      </c>
      <c r="I1156" s="5" t="s">
        <v>10508</v>
      </c>
      <c r="J1156" s="7">
        <v>6</v>
      </c>
      <c r="K1156" s="7">
        <v>53.82</v>
      </c>
      <c r="L1156" s="5" t="s">
        <v>10509</v>
      </c>
      <c r="M1156" s="7">
        <v>3.43</v>
      </c>
      <c r="N1156" s="7">
        <v>1.27</v>
      </c>
      <c r="O1156" s="7">
        <v>0.89200000000000002</v>
      </c>
      <c r="P1156" s="1" t="s">
        <v>10510</v>
      </c>
    </row>
    <row r="1157" spans="1:16" ht="33.4" x14ac:dyDescent="0.3">
      <c r="A1157" s="6" t="str">
        <f>HYPERLINK("https://www.ti.com/product/UCC23513-Q1", "UCC23513-Q1")</f>
        <v>UCC23513-Q1</v>
      </c>
      <c r="B1157" s="5" t="s">
        <v>10511</v>
      </c>
      <c r="C1157" s="6" t="str">
        <f>HYPERLINK("https://www.ti.com/lit/gpn/UCC23513-Q1", "PDF")</f>
        <v>PDF</v>
      </c>
      <c r="D1157" s="5" t="s">
        <v>10512</v>
      </c>
      <c r="E1157" s="5" t="s">
        <v>10513</v>
      </c>
      <c r="F1157" s="5"/>
      <c r="G1157" s="5" t="s">
        <v>10514</v>
      </c>
      <c r="H1157" s="1" t="s">
        <v>10515</v>
      </c>
      <c r="I1157" s="5" t="s">
        <v>10516</v>
      </c>
      <c r="J1157" s="7">
        <v>6</v>
      </c>
      <c r="K1157" s="7">
        <v>53.82</v>
      </c>
      <c r="L1157" s="5" t="s">
        <v>10517</v>
      </c>
      <c r="M1157" s="7">
        <v>3.43</v>
      </c>
      <c r="N1157" s="7">
        <v>1.27</v>
      </c>
      <c r="O1157" s="7">
        <v>1.014</v>
      </c>
      <c r="P1157" s="1" t="s">
        <v>10518</v>
      </c>
    </row>
    <row r="1158" spans="1:16" ht="33.4" x14ac:dyDescent="0.3">
      <c r="A1158" s="6" t="str">
        <f>HYPERLINK("https://www.ti.com/product/TPSM13604H", "TPSM13604H")</f>
        <v>TPSM13604H</v>
      </c>
      <c r="B1158" s="5" t="s">
        <v>10519</v>
      </c>
      <c r="C1158" s="6" t="str">
        <f>HYPERLINK("https://www.ti.com/lit/gpn/TPSM13604H", "PDF")</f>
        <v>PDF</v>
      </c>
      <c r="D1158" s="5" t="s">
        <v>10520</v>
      </c>
      <c r="E1158" s="5" t="s">
        <v>10521</v>
      </c>
      <c r="F1158" s="5" t="s">
        <v>10522</v>
      </c>
      <c r="G1158" s="5" t="s">
        <v>10523</v>
      </c>
      <c r="H1158" s="1" t="s">
        <v>10524</v>
      </c>
      <c r="I1158" s="5" t="s">
        <v>10525</v>
      </c>
      <c r="J1158" s="7">
        <v>7</v>
      </c>
      <c r="K1158" s="7">
        <v>139.9032</v>
      </c>
      <c r="L1158" s="5" t="s">
        <v>10526</v>
      </c>
      <c r="M1158" s="7">
        <v>4.58</v>
      </c>
      <c r="N1158" s="7">
        <v>1.27</v>
      </c>
      <c r="O1158" s="7">
        <v>9.6519999999999992</v>
      </c>
      <c r="P1158" s="1" t="s">
        <v>10527</v>
      </c>
    </row>
    <row r="1159" spans="1:16" ht="33.4" x14ac:dyDescent="0.3">
      <c r="A1159" s="6" t="str">
        <f>HYPERLINK("https://www.ti.com/product/TPSM5601R5H", "TPSM5601R5H")</f>
        <v>TPSM5601R5H</v>
      </c>
      <c r="B1159" s="5" t="s">
        <v>10528</v>
      </c>
      <c r="C1159" s="6" t="str">
        <f>HYPERLINK("https://www.ti.com/lit/gpn/TPSM5601R5H", "PDF")</f>
        <v>PDF</v>
      </c>
      <c r="D1159" s="5" t="s">
        <v>10529</v>
      </c>
      <c r="E1159" s="5" t="s">
        <v>10530</v>
      </c>
      <c r="F1159" s="5" t="s">
        <v>10531</v>
      </c>
      <c r="G1159" s="5" t="s">
        <v>10532</v>
      </c>
      <c r="H1159" s="1" t="s">
        <v>10533</v>
      </c>
      <c r="I1159" s="5" t="s">
        <v>10534</v>
      </c>
      <c r="J1159" s="7">
        <v>15</v>
      </c>
      <c r="K1159" s="7">
        <v>27.5</v>
      </c>
      <c r="L1159" s="5" t="s">
        <v>10535</v>
      </c>
      <c r="M1159" s="7">
        <v>4.0999999999999996</v>
      </c>
      <c r="N1159" s="7">
        <v>0</v>
      </c>
      <c r="O1159" s="7">
        <v>3.68</v>
      </c>
      <c r="P1159" s="1" t="s">
        <v>10536</v>
      </c>
    </row>
    <row r="1160" spans="1:16" ht="33.4" x14ac:dyDescent="0.3">
      <c r="A1160" s="6" t="str">
        <f>HYPERLINK("https://www.ti.com/product/TPSM5601R5HE", "TPSM5601R5HE")</f>
        <v>TPSM5601R5HE</v>
      </c>
      <c r="B1160" s="5" t="s">
        <v>10537</v>
      </c>
      <c r="C1160" s="6" t="str">
        <f>HYPERLINK("https://www.ti.com/lit/gpn/TPSM5601R5HE", "PDF")</f>
        <v>PDF</v>
      </c>
      <c r="D1160" s="5" t="s">
        <v>10538</v>
      </c>
      <c r="E1160" s="5" t="s">
        <v>10539</v>
      </c>
      <c r="F1160" s="5" t="s">
        <v>10540</v>
      </c>
      <c r="G1160" s="5" t="s">
        <v>10541</v>
      </c>
      <c r="H1160" s="1" t="s">
        <v>10542</v>
      </c>
      <c r="I1160" s="5" t="s">
        <v>10543</v>
      </c>
      <c r="J1160" s="7">
        <v>15</v>
      </c>
      <c r="K1160" s="7">
        <v>27.5</v>
      </c>
      <c r="L1160" s="5" t="s">
        <v>10544</v>
      </c>
      <c r="M1160" s="7">
        <v>4.0999999999999996</v>
      </c>
      <c r="N1160" s="7">
        <v>0</v>
      </c>
      <c r="O1160" s="7">
        <v>23.199000000000002</v>
      </c>
      <c r="P1160" s="1" t="s">
        <v>10545</v>
      </c>
    </row>
    <row r="1161" spans="1:16" ht="17.05" x14ac:dyDescent="0.3">
      <c r="A1161" s="6" t="str">
        <f>HYPERLINK("https://www.ti.com/product/TPS2661", "TPS2661")</f>
        <v>TPS2661</v>
      </c>
      <c r="B1161" s="5" t="s">
        <v>10546</v>
      </c>
      <c r="C1161" s="6" t="str">
        <f>HYPERLINK("https://www.ti.com/lit/gpn/TPS2661", "PDF")</f>
        <v>PDF</v>
      </c>
      <c r="D1161" s="5" t="s">
        <v>10547</v>
      </c>
      <c r="E1161" s="5" t="s">
        <v>10548</v>
      </c>
      <c r="F1161" s="5"/>
      <c r="G1161" s="5" t="s">
        <v>10549</v>
      </c>
      <c r="H1161" s="1" t="s">
        <v>10550</v>
      </c>
      <c r="I1161" s="5" t="s">
        <v>10551</v>
      </c>
      <c r="J1161" s="7">
        <v>8</v>
      </c>
      <c r="K1161" s="7">
        <v>8.1199999999999992</v>
      </c>
      <c r="L1161" s="5" t="s">
        <v>10552</v>
      </c>
      <c r="M1161" s="7">
        <v>1.1000000000000001</v>
      </c>
      <c r="N1161" s="7">
        <v>0.65</v>
      </c>
      <c r="O1161" s="7">
        <v>0.57499999999999996</v>
      </c>
      <c r="P1161" s="1" t="s">
        <v>10553</v>
      </c>
    </row>
    <row r="1162" spans="1:16" ht="33.4" x14ac:dyDescent="0.3">
      <c r="A1162" s="6" t="str">
        <f>HYPERLINK("https://www.ti.com/product/LM51571-Q1", "LM51571-Q1")</f>
        <v>LM51571-Q1</v>
      </c>
      <c r="B1162" s="5" t="s">
        <v>10554</v>
      </c>
      <c r="C1162" s="6" t="str">
        <f>HYPERLINK("https://www.ti.com/lit/gpn/LM51571-Q1", "PDF")</f>
        <v>PDF</v>
      </c>
      <c r="D1162" s="5" t="s">
        <v>10555</v>
      </c>
      <c r="E1162" s="5" t="s">
        <v>10556</v>
      </c>
      <c r="F1162" s="5" t="s">
        <v>10557</v>
      </c>
      <c r="G1162" s="5" t="s">
        <v>10558</v>
      </c>
      <c r="H1162" s="1" t="s">
        <v>10559</v>
      </c>
      <c r="I1162" s="5" t="s">
        <v>10560</v>
      </c>
      <c r="J1162" s="7">
        <v>16</v>
      </c>
      <c r="K1162" s="7">
        <v>9</v>
      </c>
      <c r="L1162" s="5" t="s">
        <v>10561</v>
      </c>
      <c r="M1162" s="7">
        <v>0.8</v>
      </c>
      <c r="N1162" s="7">
        <v>0.5</v>
      </c>
      <c r="O1162" s="7">
        <v>1.8540000000000001</v>
      </c>
      <c r="P1162" s="1" t="s">
        <v>10562</v>
      </c>
    </row>
    <row r="1163" spans="1:16" ht="33.4" x14ac:dyDescent="0.3">
      <c r="A1163" s="6" t="str">
        <f>HYPERLINK("https://www.ti.com/product/TPS62824A", "TPS62824A")</f>
        <v>TPS62824A</v>
      </c>
      <c r="B1163" s="5" t="s">
        <v>10563</v>
      </c>
      <c r="C1163" s="6" t="str">
        <f>HYPERLINK("https://www.ti.com/lit/gpn/TPS62824A", "PDF")</f>
        <v>PDF</v>
      </c>
      <c r="D1163" s="5" t="s">
        <v>10564</v>
      </c>
      <c r="E1163" s="5" t="s">
        <v>10565</v>
      </c>
      <c r="F1163" s="5" t="s">
        <v>10566</v>
      </c>
      <c r="G1163" s="5" t="s">
        <v>10567</v>
      </c>
      <c r="H1163" s="1" t="s">
        <v>10568</v>
      </c>
      <c r="I1163" s="5" t="s">
        <v>10569</v>
      </c>
      <c r="J1163" s="7">
        <v>6</v>
      </c>
      <c r="K1163" s="7">
        <v>2.25</v>
      </c>
      <c r="L1163" s="5" t="s">
        <v>10570</v>
      </c>
      <c r="M1163" s="7">
        <v>1</v>
      </c>
      <c r="N1163" s="7">
        <v>0.5</v>
      </c>
      <c r="O1163" s="7">
        <v>0.375</v>
      </c>
      <c r="P1163" s="1" t="s">
        <v>10571</v>
      </c>
    </row>
    <row r="1164" spans="1:16" ht="49.75" x14ac:dyDescent="0.3">
      <c r="A1164" s="6" t="str">
        <f>HYPERLINK("https://www.ti.com/product/TPS62827A", "TPS62827A")</f>
        <v>TPS62827A</v>
      </c>
      <c r="B1164" s="5" t="s">
        <v>10572</v>
      </c>
      <c r="C1164" s="6" t="str">
        <f>HYPERLINK("https://www.ti.com/lit/gpn/TPS62827A", "PDF")</f>
        <v>PDF</v>
      </c>
      <c r="D1164" s="5" t="s">
        <v>10573</v>
      </c>
      <c r="E1164" s="5" t="s">
        <v>10574</v>
      </c>
      <c r="F1164" s="5" t="s">
        <v>10575</v>
      </c>
      <c r="G1164" s="5" t="s">
        <v>10576</v>
      </c>
      <c r="H1164" s="1" t="s">
        <v>10577</v>
      </c>
      <c r="I1164" s="5" t="s">
        <v>10578</v>
      </c>
      <c r="J1164" s="7">
        <v>6</v>
      </c>
      <c r="K1164" s="7">
        <v>2.25</v>
      </c>
      <c r="L1164" s="5" t="s">
        <v>10579</v>
      </c>
      <c r="M1164" s="7">
        <v>1</v>
      </c>
      <c r="N1164" s="7">
        <v>0.5</v>
      </c>
      <c r="O1164" s="7">
        <v>0.56200000000000006</v>
      </c>
      <c r="P1164" s="1" t="s">
        <v>10580</v>
      </c>
    </row>
    <row r="1165" spans="1:16" ht="33.4" x14ac:dyDescent="0.3">
      <c r="A1165" s="6" t="str">
        <f>HYPERLINK("https://www.ti.com/product/LM5156", "LM5156")</f>
        <v>LM5156</v>
      </c>
      <c r="B1165" s="5" t="s">
        <v>10581</v>
      </c>
      <c r="C1165" s="6" t="str">
        <f>HYPERLINK("https://www.ti.com/lit/gpn/LM5156", "PDF")</f>
        <v>PDF</v>
      </c>
      <c r="D1165" s="5" t="s">
        <v>10582</v>
      </c>
      <c r="E1165" s="5" t="s">
        <v>10583</v>
      </c>
      <c r="F1165" s="5" t="s">
        <v>10584</v>
      </c>
      <c r="G1165" s="5" t="s">
        <v>10585</v>
      </c>
      <c r="H1165" s="1" t="s">
        <v>10586</v>
      </c>
      <c r="I1165" s="5" t="s">
        <v>10587</v>
      </c>
      <c r="J1165" s="7">
        <v>12</v>
      </c>
      <c r="K1165" s="7">
        <v>6</v>
      </c>
      <c r="L1165" s="5" t="s">
        <v>10588</v>
      </c>
      <c r="M1165" s="7">
        <v>0.8</v>
      </c>
      <c r="N1165" s="7">
        <v>0.5</v>
      </c>
      <c r="O1165" s="7">
        <v>0.88200000000000001</v>
      </c>
      <c r="P1165" s="1" t="s">
        <v>10589</v>
      </c>
    </row>
    <row r="1166" spans="1:16" ht="33.4" x14ac:dyDescent="0.3">
      <c r="A1166" s="6" t="str">
        <f>HYPERLINK("https://www.ti.com/product/LM51561", "LM51561")</f>
        <v>LM51561</v>
      </c>
      <c r="B1166" s="5" t="s">
        <v>10590</v>
      </c>
      <c r="C1166" s="6" t="str">
        <f>HYPERLINK("https://www.ti.com/lit/gpn/LM51561", "PDF")</f>
        <v>PDF</v>
      </c>
      <c r="D1166" s="5" t="s">
        <v>10591</v>
      </c>
      <c r="E1166" s="5" t="s">
        <v>10592</v>
      </c>
      <c r="F1166" s="5" t="s">
        <v>10593</v>
      </c>
      <c r="G1166" s="5" t="s">
        <v>10594</v>
      </c>
      <c r="H1166" s="1" t="s">
        <v>10595</v>
      </c>
      <c r="I1166" s="5" t="s">
        <v>10596</v>
      </c>
      <c r="J1166" s="7">
        <v>12</v>
      </c>
      <c r="K1166" s="7">
        <v>6</v>
      </c>
      <c r="L1166" s="5" t="s">
        <v>10597</v>
      </c>
      <c r="M1166" s="7">
        <v>0.8</v>
      </c>
      <c r="N1166" s="7">
        <v>0.5</v>
      </c>
      <c r="O1166" s="7">
        <v>0.88200000000000001</v>
      </c>
      <c r="P1166" s="1" t="s">
        <v>10598</v>
      </c>
    </row>
    <row r="1167" spans="1:16" ht="33.4" x14ac:dyDescent="0.3">
      <c r="A1167" s="6" t="str">
        <f>HYPERLINK("https://www.ti.com/product/UCC21542", "UCC21542")</f>
        <v>UCC21542</v>
      </c>
      <c r="B1167" s="5" t="s">
        <v>10599</v>
      </c>
      <c r="C1167" s="6" t="str">
        <f>HYPERLINK("https://www.ti.com/lit/gpn/UCC21542", "PDF")</f>
        <v>PDF</v>
      </c>
      <c r="D1167" s="5" t="s">
        <v>10600</v>
      </c>
      <c r="E1167" s="5" t="s">
        <v>10601</v>
      </c>
      <c r="F1167" s="5"/>
      <c r="G1167" s="5" t="s">
        <v>10602</v>
      </c>
      <c r="H1167" s="1" t="s">
        <v>10603</v>
      </c>
      <c r="I1167" s="5" t="s">
        <v>10604</v>
      </c>
      <c r="J1167" s="7" t="s">
        <v>10605</v>
      </c>
      <c r="K1167" s="7">
        <v>106.09</v>
      </c>
      <c r="L1167" s="5" t="s">
        <v>10606</v>
      </c>
      <c r="M1167" s="7">
        <v>2.65</v>
      </c>
      <c r="N1167" s="7">
        <v>1.27</v>
      </c>
      <c r="O1167" s="7">
        <v>0.73299999999999998</v>
      </c>
      <c r="P1167" s="1" t="s">
        <v>10607</v>
      </c>
    </row>
    <row r="1168" spans="1:16" ht="33.4" x14ac:dyDescent="0.3">
      <c r="A1168" s="6" t="str">
        <f>HYPERLINK("https://www.ti.com/product/UCC21540A-Q1", "UCC21540A-Q1")</f>
        <v>UCC21540A-Q1</v>
      </c>
      <c r="B1168" s="5" t="s">
        <v>10608</v>
      </c>
      <c r="C1168" s="6" t="str">
        <f>HYPERLINK("https://www.ti.com/lit/gpn/UCC21540A-Q1", "PDF")</f>
        <v>PDF</v>
      </c>
      <c r="D1168" s="5" t="s">
        <v>10609</v>
      </c>
      <c r="E1168" s="5" t="s">
        <v>10610</v>
      </c>
      <c r="F1168" s="5"/>
      <c r="G1168" s="5" t="s">
        <v>10611</v>
      </c>
      <c r="H1168" s="1" t="s">
        <v>10612</v>
      </c>
      <c r="I1168" s="5" t="s">
        <v>10613</v>
      </c>
      <c r="J1168" s="7">
        <v>14</v>
      </c>
      <c r="K1168" s="7">
        <v>106.09</v>
      </c>
      <c r="L1168" s="5" t="s">
        <v>10614</v>
      </c>
      <c r="M1168" s="7">
        <v>2.65</v>
      </c>
      <c r="N1168" s="7">
        <v>1.27</v>
      </c>
      <c r="O1168" s="7">
        <v>2.2469999999999999</v>
      </c>
      <c r="P1168" s="1" t="s">
        <v>10615</v>
      </c>
    </row>
    <row r="1169" spans="1:16" ht="33.4" x14ac:dyDescent="0.3">
      <c r="A1169" s="6" t="str">
        <f>HYPERLINK("https://www.ti.com/product/LM74500-Q1", "LM74500-Q1")</f>
        <v>LM74500-Q1</v>
      </c>
      <c r="B1169" s="5" t="s">
        <v>10616</v>
      </c>
      <c r="C1169" s="6" t="str">
        <f>HYPERLINK("https://www.ti.com/lit/gpn/LM74500-Q1", "PDF")</f>
        <v>PDF</v>
      </c>
      <c r="D1169" s="5" t="s">
        <v>10617</v>
      </c>
      <c r="E1169" s="5" t="s">
        <v>10618</v>
      </c>
      <c r="F1169" s="5"/>
      <c r="G1169" s="5" t="s">
        <v>10619</v>
      </c>
      <c r="H1169" s="1" t="s">
        <v>10620</v>
      </c>
      <c r="I1169" s="5" t="s">
        <v>10621</v>
      </c>
      <c r="J1169" s="7">
        <v>8</v>
      </c>
      <c r="K1169" s="7">
        <v>8.1199999999999992</v>
      </c>
      <c r="L1169" s="5" t="s">
        <v>10622</v>
      </c>
      <c r="M1169" s="7">
        <v>1.1000000000000001</v>
      </c>
      <c r="N1169" s="7">
        <v>0.65</v>
      </c>
      <c r="O1169" s="7">
        <v>0.65</v>
      </c>
      <c r="P1169" s="1" t="s">
        <v>10623</v>
      </c>
    </row>
    <row r="1170" spans="1:16" ht="33.4" x14ac:dyDescent="0.3">
      <c r="A1170" s="6" t="str">
        <f>HYPERLINK("https://www.ti.com/product/TPS929121-Q1", "TPS929121-Q1")</f>
        <v>TPS929121-Q1</v>
      </c>
      <c r="B1170" s="5" t="s">
        <v>10624</v>
      </c>
      <c r="C1170" s="6" t="str">
        <f>HYPERLINK("https://www.ti.com/lit/gpn/TPS929121-Q1", "PDF")</f>
        <v>PDF</v>
      </c>
      <c r="D1170" s="5" t="s">
        <v>10625</v>
      </c>
      <c r="E1170" s="5" t="s">
        <v>10626</v>
      </c>
      <c r="F1170" s="5" t="s">
        <v>10627</v>
      </c>
      <c r="G1170" s="5" t="s">
        <v>10628</v>
      </c>
      <c r="H1170" s="1" t="s">
        <v>10629</v>
      </c>
      <c r="I1170" s="5" t="s">
        <v>10630</v>
      </c>
      <c r="J1170" s="7">
        <v>24</v>
      </c>
      <c r="K1170" s="7">
        <v>49.92</v>
      </c>
      <c r="L1170" s="5" t="s">
        <v>10631</v>
      </c>
      <c r="M1170" s="7">
        <v>1.2</v>
      </c>
      <c r="N1170" s="7">
        <v>0.65</v>
      </c>
      <c r="O1170" s="7">
        <v>1.601</v>
      </c>
      <c r="P1170" s="1" t="s">
        <v>10632</v>
      </c>
    </row>
    <row r="1171" spans="1:16" ht="33.4" x14ac:dyDescent="0.3">
      <c r="A1171" s="6" t="str">
        <f>HYPERLINK("https://www.ti.com/product/TPS566231", "TPS566231")</f>
        <v>TPS566231</v>
      </c>
      <c r="B1171" s="5" t="s">
        <v>10633</v>
      </c>
      <c r="C1171" s="6" t="str">
        <f>HYPERLINK("https://www.ti.com/lit/gpn/TPS566231", "PDF")</f>
        <v>PDF</v>
      </c>
      <c r="D1171" s="5" t="s">
        <v>10634</v>
      </c>
      <c r="E1171" s="5" t="s">
        <v>10635</v>
      </c>
      <c r="F1171" s="5" t="s">
        <v>10636</v>
      </c>
      <c r="G1171" s="5" t="s">
        <v>10637</v>
      </c>
      <c r="H1171" s="1" t="s">
        <v>10638</v>
      </c>
      <c r="I1171" s="5" t="s">
        <v>10639</v>
      </c>
      <c r="J1171" s="7">
        <v>9</v>
      </c>
      <c r="K1171" s="7">
        <v>3</v>
      </c>
      <c r="L1171" s="5" t="s">
        <v>10640</v>
      </c>
      <c r="M1171" s="7">
        <v>1</v>
      </c>
      <c r="N1171" s="7">
        <v>0.5</v>
      </c>
      <c r="O1171" s="7">
        <v>0.32500000000000001</v>
      </c>
      <c r="P1171" s="1" t="s">
        <v>10641</v>
      </c>
    </row>
    <row r="1172" spans="1:16" ht="33.4" x14ac:dyDescent="0.3">
      <c r="A1172" s="6" t="str">
        <f>HYPERLINK("https://www.ti.com/product/TPS566238", "TPS566238")</f>
        <v>TPS566238</v>
      </c>
      <c r="B1172" s="5" t="s">
        <v>10642</v>
      </c>
      <c r="C1172" s="6" t="str">
        <f>HYPERLINK("https://www.ti.com/lit/gpn/TPS566238", "PDF")</f>
        <v>PDF</v>
      </c>
      <c r="D1172" s="5" t="s">
        <v>10643</v>
      </c>
      <c r="E1172" s="5" t="s">
        <v>10644</v>
      </c>
      <c r="F1172" s="5" t="s">
        <v>10645</v>
      </c>
      <c r="G1172" s="5" t="s">
        <v>10646</v>
      </c>
      <c r="H1172" s="1" t="s">
        <v>10647</v>
      </c>
      <c r="I1172" s="5" t="s">
        <v>10648</v>
      </c>
      <c r="J1172" s="7">
        <v>9</v>
      </c>
      <c r="K1172" s="7">
        <v>3</v>
      </c>
      <c r="L1172" s="5" t="s">
        <v>10649</v>
      </c>
      <c r="M1172" s="7">
        <v>1</v>
      </c>
      <c r="N1172" s="7">
        <v>0.5</v>
      </c>
      <c r="O1172" s="7">
        <v>0.32500000000000001</v>
      </c>
      <c r="P1172" s="1" t="s">
        <v>10650</v>
      </c>
    </row>
    <row r="1173" spans="1:16" ht="49.75" x14ac:dyDescent="0.3">
      <c r="A1173" s="6" t="str">
        <f>HYPERLINK("https://www.ti.com/product/TPS62868", "TPS62868")</f>
        <v>TPS62868</v>
      </c>
      <c r="B1173" s="5" t="s">
        <v>10651</v>
      </c>
      <c r="C1173" s="6" t="str">
        <f>HYPERLINK("https://www.ti.com/lit/gpn/TPS62868", "PDF")</f>
        <v>PDF</v>
      </c>
      <c r="D1173" s="5" t="s">
        <v>10652</v>
      </c>
      <c r="E1173" s="5" t="s">
        <v>10653</v>
      </c>
      <c r="F1173" s="5" t="s">
        <v>10654</v>
      </c>
      <c r="G1173" s="5" t="s">
        <v>10655</v>
      </c>
      <c r="H1173" s="1" t="s">
        <v>10656</v>
      </c>
      <c r="I1173" s="5" t="s">
        <v>10657</v>
      </c>
      <c r="J1173" s="7">
        <v>9</v>
      </c>
      <c r="K1173" s="7">
        <v>3.75</v>
      </c>
      <c r="L1173" s="5" t="s">
        <v>10658</v>
      </c>
      <c r="M1173" s="7">
        <v>1</v>
      </c>
      <c r="N1173" s="7">
        <v>0.5</v>
      </c>
      <c r="O1173" s="7">
        <v>0.80500000000000005</v>
      </c>
      <c r="P1173" s="1" t="s">
        <v>10659</v>
      </c>
    </row>
    <row r="1174" spans="1:16" ht="33.4" x14ac:dyDescent="0.3">
      <c r="A1174" s="6" t="str">
        <f>HYPERLINK("https://www.ti.com/product/TPS7B88-Q1", "TPS7B88-Q1")</f>
        <v>TPS7B88-Q1</v>
      </c>
      <c r="B1174" s="5" t="s">
        <v>10660</v>
      </c>
      <c r="C1174" s="6" t="str">
        <f>HYPERLINK("https://www.ti.com/lit/gpn/TPS7B88-Q1", "PDF")</f>
        <v>PDF</v>
      </c>
      <c r="D1174" s="5" t="s">
        <v>10661</v>
      </c>
      <c r="E1174" s="5" t="s">
        <v>10662</v>
      </c>
      <c r="F1174" s="5"/>
      <c r="G1174" s="5" t="s">
        <v>10663</v>
      </c>
      <c r="H1174" s="1" t="s">
        <v>10664</v>
      </c>
      <c r="I1174" s="5" t="s">
        <v>10665</v>
      </c>
      <c r="J1174" s="7">
        <v>3</v>
      </c>
      <c r="K1174" s="7">
        <v>66.725999999999999</v>
      </c>
      <c r="L1174" s="5" t="s">
        <v>10666</v>
      </c>
      <c r="M1174" s="7">
        <v>2.52</v>
      </c>
      <c r="N1174" s="7">
        <v>2.29</v>
      </c>
      <c r="O1174" s="7">
        <v>0.80200000000000005</v>
      </c>
      <c r="P1174" s="1" t="s">
        <v>10667</v>
      </c>
    </row>
    <row r="1175" spans="1:16" ht="33.4" x14ac:dyDescent="0.3">
      <c r="A1175" s="6" t="str">
        <f>HYPERLINK("https://www.ti.com/product/LMR36015S", "LMR36015S")</f>
        <v>LMR36015S</v>
      </c>
      <c r="B1175" s="5" t="s">
        <v>10668</v>
      </c>
      <c r="C1175" s="6" t="str">
        <f>HYPERLINK("https://www.ti.com/lit/gpn/LMR36015S", "PDF")</f>
        <v>PDF</v>
      </c>
      <c r="D1175" s="5" t="s">
        <v>10669</v>
      </c>
      <c r="E1175" s="5" t="s">
        <v>10670</v>
      </c>
      <c r="F1175" s="5" t="s">
        <v>10671</v>
      </c>
      <c r="G1175" s="5" t="s">
        <v>10672</v>
      </c>
      <c r="H1175" s="1" t="s">
        <v>10673</v>
      </c>
      <c r="I1175" s="5" t="s">
        <v>10674</v>
      </c>
      <c r="J1175" s="7">
        <v>12</v>
      </c>
      <c r="K1175" s="7">
        <v>6</v>
      </c>
      <c r="L1175" s="5" t="s">
        <v>10675</v>
      </c>
      <c r="M1175" s="7">
        <v>0.9</v>
      </c>
      <c r="N1175" s="7">
        <v>0.5</v>
      </c>
      <c r="O1175" s="7">
        <v>1.4930000000000001</v>
      </c>
      <c r="P1175" s="1" t="s">
        <v>10676</v>
      </c>
    </row>
    <row r="1176" spans="1:16" ht="33.4" x14ac:dyDescent="0.3">
      <c r="A1176" s="6" t="str">
        <f>HYPERLINK("https://www.ti.com/product/LMR36503", "LMR36503")</f>
        <v>LMR36503</v>
      </c>
      <c r="B1176" s="5" t="s">
        <v>10677</v>
      </c>
      <c r="C1176" s="6" t="str">
        <f>HYPERLINK("https://www.ti.com/lit/gpn/LMR36503", "PDF")</f>
        <v>PDF</v>
      </c>
      <c r="D1176" s="5" t="s">
        <v>10678</v>
      </c>
      <c r="E1176" s="5" t="s">
        <v>10679</v>
      </c>
      <c r="F1176" s="5" t="s">
        <v>10680</v>
      </c>
      <c r="G1176" s="5" t="s">
        <v>10681</v>
      </c>
      <c r="H1176" s="1" t="s">
        <v>10682</v>
      </c>
      <c r="I1176" s="5" t="s">
        <v>10683</v>
      </c>
      <c r="J1176" s="7">
        <v>9</v>
      </c>
      <c r="K1176" s="7">
        <v>4</v>
      </c>
      <c r="L1176" s="5" t="s">
        <v>10684</v>
      </c>
      <c r="M1176" s="7">
        <v>1</v>
      </c>
      <c r="N1176" s="7">
        <v>0.5</v>
      </c>
      <c r="O1176" s="7">
        <v>1.585</v>
      </c>
      <c r="P1176" s="1" t="s">
        <v>10685</v>
      </c>
    </row>
    <row r="1177" spans="1:16" ht="33.4" x14ac:dyDescent="0.3">
      <c r="A1177" s="6" t="str">
        <f>HYPERLINK("https://www.ti.com/product/LMR36506", "LMR36506")</f>
        <v>LMR36506</v>
      </c>
      <c r="B1177" s="5" t="s">
        <v>10686</v>
      </c>
      <c r="C1177" s="6" t="str">
        <f>HYPERLINK("https://www.ti.com/lit/gpn/LMR36506", "PDF")</f>
        <v>PDF</v>
      </c>
      <c r="D1177" s="5" t="s">
        <v>10687</v>
      </c>
      <c r="E1177" s="5" t="s">
        <v>10688</v>
      </c>
      <c r="F1177" s="5" t="s">
        <v>10689</v>
      </c>
      <c r="G1177" s="5" t="s">
        <v>10690</v>
      </c>
      <c r="H1177" s="1" t="s">
        <v>10691</v>
      </c>
      <c r="I1177" s="5" t="s">
        <v>10692</v>
      </c>
      <c r="J1177" s="7">
        <v>9</v>
      </c>
      <c r="K1177" s="7">
        <v>4</v>
      </c>
      <c r="L1177" s="5" t="s">
        <v>10693</v>
      </c>
      <c r="M1177" s="7">
        <v>1</v>
      </c>
      <c r="N1177" s="7">
        <v>0.5</v>
      </c>
      <c r="O1177" s="7">
        <v>1.732</v>
      </c>
      <c r="P1177" s="1" t="s">
        <v>10694</v>
      </c>
    </row>
    <row r="1178" spans="1:16" ht="33.4" x14ac:dyDescent="0.3">
      <c r="A1178" s="6" t="str">
        <f>HYPERLINK("https://www.ti.com/product/TLV62595", "TLV62595")</f>
        <v>TLV62595</v>
      </c>
      <c r="B1178" s="5" t="s">
        <v>10695</v>
      </c>
      <c r="C1178" s="6" t="str">
        <f>HYPERLINK("https://www.ti.com/lit/gpn/TLV62595", "PDF")</f>
        <v>PDF</v>
      </c>
      <c r="D1178" s="5" t="s">
        <v>10696</v>
      </c>
      <c r="E1178" s="5" t="s">
        <v>10697</v>
      </c>
      <c r="F1178" s="5" t="s">
        <v>10698</v>
      </c>
      <c r="G1178" s="5" t="s">
        <v>10699</v>
      </c>
      <c r="H1178" s="1" t="s">
        <v>10700</v>
      </c>
      <c r="I1178" s="5" t="s">
        <v>10701</v>
      </c>
      <c r="J1178" s="7">
        <v>6</v>
      </c>
      <c r="K1178" s="7">
        <v>2.25</v>
      </c>
      <c r="L1178" s="5" t="s">
        <v>10702</v>
      </c>
      <c r="M1178" s="7">
        <v>1</v>
      </c>
      <c r="N1178" s="7">
        <v>0.5</v>
      </c>
      <c r="O1178" s="7">
        <v>0.26500000000000001</v>
      </c>
      <c r="P1178" s="1" t="s">
        <v>10703</v>
      </c>
    </row>
    <row r="1179" spans="1:16" ht="33.4" x14ac:dyDescent="0.3">
      <c r="A1179" s="6" t="str">
        <f>HYPERLINK("https://www.ti.com/product/LP875761-Q1", "LP875761-Q1")</f>
        <v>LP875761-Q1</v>
      </c>
      <c r="B1179" s="5" t="s">
        <v>10704</v>
      </c>
      <c r="C1179" s="6" t="str">
        <f>HYPERLINK("https://www.ti.com/lit/gpn/LP875761-Q1", "PDF")</f>
        <v>PDF</v>
      </c>
      <c r="D1179" s="5" t="s">
        <v>10705</v>
      </c>
      <c r="E1179" s="5" t="s">
        <v>10706</v>
      </c>
      <c r="F1179" s="5"/>
      <c r="G1179" s="5" t="s">
        <v>10707</v>
      </c>
      <c r="H1179" s="1" t="s">
        <v>10708</v>
      </c>
      <c r="I1179" s="5" t="s">
        <v>10709</v>
      </c>
      <c r="J1179" s="7">
        <v>26</v>
      </c>
      <c r="K1179" s="7">
        <v>18</v>
      </c>
      <c r="L1179" s="5" t="s">
        <v>10710</v>
      </c>
      <c r="M1179" s="7">
        <v>0.9</v>
      </c>
      <c r="N1179" s="7">
        <v>0.5</v>
      </c>
      <c r="O1179" s="7">
        <v>3.4009999999999998</v>
      </c>
      <c r="P1179" s="1" t="s">
        <v>10711</v>
      </c>
    </row>
    <row r="1180" spans="1:16" ht="33.4" x14ac:dyDescent="0.3">
      <c r="A1180" s="6" t="str">
        <f>HYPERLINK("https://www.ti.com/product/TPS543820E", "TPS543820E")</f>
        <v>TPS543820E</v>
      </c>
      <c r="B1180" s="5" t="s">
        <v>10712</v>
      </c>
      <c r="C1180" s="6" t="str">
        <f>HYPERLINK("https://www.ti.com/lit/gpn/TPS543820E", "PDF")</f>
        <v>PDF</v>
      </c>
      <c r="D1180" s="5" t="s">
        <v>10713</v>
      </c>
      <c r="E1180" s="5" t="s">
        <v>10714</v>
      </c>
      <c r="F1180" s="5" t="s">
        <v>10715</v>
      </c>
      <c r="G1180" s="5" t="s">
        <v>10716</v>
      </c>
      <c r="H1180" s="1" t="s">
        <v>10717</v>
      </c>
      <c r="I1180" s="5" t="s">
        <v>10718</v>
      </c>
      <c r="J1180" s="7">
        <v>14</v>
      </c>
      <c r="K1180" s="7">
        <v>7.5</v>
      </c>
      <c r="L1180" s="5" t="s">
        <v>10719</v>
      </c>
      <c r="M1180" s="7">
        <v>1</v>
      </c>
      <c r="N1180" s="7">
        <v>0.5</v>
      </c>
      <c r="O1180" s="7">
        <v>4.5999999999999996</v>
      </c>
      <c r="P1180" s="1" t="s">
        <v>10720</v>
      </c>
    </row>
    <row r="1181" spans="1:16" ht="33.4" x14ac:dyDescent="0.3">
      <c r="A1181" s="6" t="str">
        <f>HYPERLINK("https://www.ti.com/product/TPS22950", "TPS22950")</f>
        <v>TPS22950</v>
      </c>
      <c r="B1181" s="5" t="s">
        <v>10721</v>
      </c>
      <c r="C1181" s="6" t="str">
        <f>HYPERLINK("https://www.ti.com/lit/gpn/TPS22950", "PDF")</f>
        <v>PDF</v>
      </c>
      <c r="D1181" s="5" t="s">
        <v>10722</v>
      </c>
      <c r="E1181" s="5" t="s">
        <v>10723</v>
      </c>
      <c r="F1181" s="5"/>
      <c r="G1181" s="5" t="s">
        <v>10724</v>
      </c>
      <c r="H1181" s="1" t="s">
        <v>10725</v>
      </c>
      <c r="I1181" s="5" t="s">
        <v>10726</v>
      </c>
      <c r="J1181" s="7">
        <v>6</v>
      </c>
      <c r="K1181" s="7" t="s">
        <v>10727</v>
      </c>
      <c r="L1181" s="5" t="s">
        <v>10728</v>
      </c>
      <c r="M1181" s="7" t="s">
        <v>10729</v>
      </c>
      <c r="N1181" s="7" t="s">
        <v>10730</v>
      </c>
      <c r="O1181" s="7">
        <v>0.25</v>
      </c>
      <c r="P1181" s="1" t="s">
        <v>10731</v>
      </c>
    </row>
    <row r="1182" spans="1:16" ht="33.4" x14ac:dyDescent="0.3">
      <c r="A1182" s="6" t="str">
        <f>HYPERLINK("https://www.ti.com/product/TPS3899", "TPS3899")</f>
        <v>TPS3899</v>
      </c>
      <c r="B1182" s="5" t="s">
        <v>10732</v>
      </c>
      <c r="C1182" s="6" t="str">
        <f>HYPERLINK("https://www.ti.com/lit/gpn/TPS3899", "PDF")</f>
        <v>PDF</v>
      </c>
      <c r="D1182" s="5" t="s">
        <v>10733</v>
      </c>
      <c r="E1182" s="5" t="s">
        <v>10734</v>
      </c>
      <c r="F1182" s="5"/>
      <c r="G1182" s="5" t="s">
        <v>10735</v>
      </c>
      <c r="H1182" s="1" t="s">
        <v>10736</v>
      </c>
      <c r="I1182" s="5" t="s">
        <v>10737</v>
      </c>
      <c r="J1182" s="7">
        <v>6</v>
      </c>
      <c r="K1182" s="7">
        <v>2.25</v>
      </c>
      <c r="L1182" s="5" t="s">
        <v>10738</v>
      </c>
      <c r="M1182" s="7">
        <v>0.8</v>
      </c>
      <c r="N1182" s="7">
        <v>0.5</v>
      </c>
      <c r="O1182" s="7">
        <v>0.45800000000000002</v>
      </c>
      <c r="P1182" s="1" t="s">
        <v>10739</v>
      </c>
    </row>
    <row r="1183" spans="1:16" ht="33.4" x14ac:dyDescent="0.3">
      <c r="A1183" s="6" t="str">
        <f>HYPERLINK("https://www.ti.com/product/TPS650330-Q1", "TPS650330-Q1")</f>
        <v>TPS650330-Q1</v>
      </c>
      <c r="B1183" s="5" t="s">
        <v>10740</v>
      </c>
      <c r="C1183" s="6" t="str">
        <f>HYPERLINK("https://www.ti.com/lit/gpn/TPS650330-Q1", "PDF")</f>
        <v>PDF</v>
      </c>
      <c r="D1183" s="5" t="s">
        <v>10741</v>
      </c>
      <c r="E1183" s="5" t="s">
        <v>10742</v>
      </c>
      <c r="F1183" s="5"/>
      <c r="G1183" s="5" t="s">
        <v>10743</v>
      </c>
      <c r="H1183" s="1" t="s">
        <v>10744</v>
      </c>
      <c r="I1183" s="5" t="s">
        <v>10745</v>
      </c>
      <c r="J1183" s="7">
        <v>24</v>
      </c>
      <c r="K1183" s="7">
        <v>16</v>
      </c>
      <c r="L1183" s="5" t="s">
        <v>10746</v>
      </c>
      <c r="M1183" s="7">
        <v>1</v>
      </c>
      <c r="N1183" s="7">
        <v>0.5</v>
      </c>
      <c r="O1183" s="7">
        <v>1.0900000000000001</v>
      </c>
      <c r="P1183" s="1" t="s">
        <v>10747</v>
      </c>
    </row>
    <row r="1184" spans="1:16" ht="33.4" x14ac:dyDescent="0.3">
      <c r="A1184" s="6" t="str">
        <f>HYPERLINK("https://www.ti.com/product/LM5127-Q1", "LM5127-Q1")</f>
        <v>LM5127-Q1</v>
      </c>
      <c r="B1184" s="5" t="s">
        <v>10748</v>
      </c>
      <c r="C1184" s="6" t="str">
        <f>HYPERLINK("https://www.ti.com/lit/gpn/LM5127-Q1", "PDF")</f>
        <v>PDF</v>
      </c>
      <c r="D1184" s="5" t="s">
        <v>10749</v>
      </c>
      <c r="E1184" s="5" t="s">
        <v>10750</v>
      </c>
      <c r="F1184" s="5"/>
      <c r="G1184" s="5" t="s">
        <v>10751</v>
      </c>
      <c r="H1184" s="1" t="s">
        <v>10752</v>
      </c>
      <c r="I1184" s="5" t="s">
        <v>10753</v>
      </c>
      <c r="J1184" s="7">
        <v>48</v>
      </c>
      <c r="K1184" s="7">
        <v>49</v>
      </c>
      <c r="L1184" s="5" t="s">
        <v>10754</v>
      </c>
      <c r="M1184" s="7">
        <v>1</v>
      </c>
      <c r="N1184" s="7">
        <v>0.5</v>
      </c>
      <c r="O1184" s="7">
        <v>2.8530000000000002</v>
      </c>
      <c r="P1184" s="1" t="s">
        <v>10755</v>
      </c>
    </row>
    <row r="1185" spans="1:16" ht="33.4" x14ac:dyDescent="0.3">
      <c r="A1185" s="6" t="str">
        <f>HYPERLINK("https://www.ti.com/product/TLC6C5748-Q1", "TLC6C5748-Q1")</f>
        <v>TLC6C5748-Q1</v>
      </c>
      <c r="B1185" s="5" t="s">
        <v>10756</v>
      </c>
      <c r="C1185" s="6" t="str">
        <f>HYPERLINK("https://www.ti.com/lit/gpn/TLC6C5748-Q1", "PDF")</f>
        <v>PDF</v>
      </c>
      <c r="D1185" s="5" t="s">
        <v>10757</v>
      </c>
      <c r="E1185" s="5" t="s">
        <v>10758</v>
      </c>
      <c r="F1185" s="5" t="s">
        <v>10759</v>
      </c>
      <c r="G1185" s="5" t="s">
        <v>10760</v>
      </c>
      <c r="H1185" s="1" t="s">
        <v>10761</v>
      </c>
      <c r="I1185" s="5" t="s">
        <v>10762</v>
      </c>
      <c r="J1185" s="7">
        <v>56</v>
      </c>
      <c r="K1185" s="7">
        <v>113.4</v>
      </c>
      <c r="L1185" s="5" t="s">
        <v>10763</v>
      </c>
      <c r="M1185" s="7">
        <v>1.2</v>
      </c>
      <c r="N1185" s="7">
        <v>0.5</v>
      </c>
      <c r="O1185" s="7">
        <v>3.121</v>
      </c>
      <c r="P1185" s="1" t="s">
        <v>10764</v>
      </c>
    </row>
    <row r="1186" spans="1:16" ht="33.4" x14ac:dyDescent="0.3">
      <c r="A1186" s="6" t="str">
        <f>HYPERLINK("https://www.ti.com/product/TPS53676", "TPS53676")</f>
        <v>TPS53676</v>
      </c>
      <c r="B1186" s="5" t="s">
        <v>10765</v>
      </c>
      <c r="C1186" s="6" t="str">
        <f>HYPERLINK("https://www.ti.com/lit/gpn/TPS53676", "PDF")</f>
        <v>PDF</v>
      </c>
      <c r="D1186" s="5" t="s">
        <v>10766</v>
      </c>
      <c r="E1186" s="5" t="s">
        <v>10767</v>
      </c>
      <c r="F1186" s="5" t="s">
        <v>10768</v>
      </c>
      <c r="G1186" s="5" t="s">
        <v>10769</v>
      </c>
      <c r="H1186" s="1" t="s">
        <v>10770</v>
      </c>
      <c r="I1186" s="5" t="s">
        <v>10771</v>
      </c>
      <c r="J1186" s="7">
        <v>48</v>
      </c>
      <c r="K1186" s="7">
        <v>36</v>
      </c>
      <c r="L1186" s="5" t="s">
        <v>10772</v>
      </c>
      <c r="M1186" s="7">
        <v>1</v>
      </c>
      <c r="N1186" s="7">
        <v>0.4</v>
      </c>
      <c r="O1186" s="7">
        <v>2.8620000000000001</v>
      </c>
      <c r="P1186" s="1" t="s">
        <v>10773</v>
      </c>
    </row>
    <row r="1187" spans="1:16" ht="33.4" x14ac:dyDescent="0.3">
      <c r="A1187" s="6" t="str">
        <f>HYPERLINK("https://www.ti.com/product/TPS543820", "TPS543820")</f>
        <v>TPS543820</v>
      </c>
      <c r="B1187" s="5" t="s">
        <v>10774</v>
      </c>
      <c r="C1187" s="6" t="str">
        <f>HYPERLINK("https://www.ti.com/lit/gpn/TPS543820", "PDF")</f>
        <v>PDF</v>
      </c>
      <c r="D1187" s="5" t="s">
        <v>10775</v>
      </c>
      <c r="E1187" s="5" t="s">
        <v>10776</v>
      </c>
      <c r="F1187" s="5" t="s">
        <v>10777</v>
      </c>
      <c r="G1187" s="5" t="s">
        <v>10778</v>
      </c>
      <c r="H1187" s="1" t="s">
        <v>10779</v>
      </c>
      <c r="I1187" s="5" t="s">
        <v>10780</v>
      </c>
      <c r="J1187" s="7">
        <v>14</v>
      </c>
      <c r="K1187" s="7">
        <v>7.5</v>
      </c>
      <c r="L1187" s="5" t="s">
        <v>10781</v>
      </c>
      <c r="M1187" s="7">
        <v>1</v>
      </c>
      <c r="N1187" s="7">
        <v>0.5</v>
      </c>
      <c r="O1187" s="7">
        <v>1.706</v>
      </c>
      <c r="P1187" s="1" t="s">
        <v>10782</v>
      </c>
    </row>
    <row r="1188" spans="1:16" ht="49.75" x14ac:dyDescent="0.3">
      <c r="A1188" s="6" t="str">
        <f>HYPERLINK("https://www.ti.com/product/TPS628501-Q1", "TPS628501-Q1")</f>
        <v>TPS628501-Q1</v>
      </c>
      <c r="B1188" s="5" t="s">
        <v>10783</v>
      </c>
      <c r="C1188" s="6" t="str">
        <f>HYPERLINK("https://www.ti.com/lit/gpn/TPS628501-Q1", "PDF")</f>
        <v>PDF</v>
      </c>
      <c r="D1188" s="5" t="s">
        <v>10784</v>
      </c>
      <c r="E1188" s="5" t="s">
        <v>10785</v>
      </c>
      <c r="F1188" s="5" t="s">
        <v>10786</v>
      </c>
      <c r="G1188" s="5" t="s">
        <v>10787</v>
      </c>
      <c r="H1188" s="1" t="s">
        <v>10788</v>
      </c>
      <c r="I1188" s="5" t="s">
        <v>10789</v>
      </c>
      <c r="J1188" s="7">
        <v>8</v>
      </c>
      <c r="K1188" s="7" t="s">
        <v>10790</v>
      </c>
      <c r="L1188" s="5" t="s">
        <v>10791</v>
      </c>
      <c r="M1188" s="7">
        <v>0.6</v>
      </c>
      <c r="N1188" s="7">
        <v>0.5</v>
      </c>
      <c r="O1188" s="7">
        <v>0.60399999999999998</v>
      </c>
      <c r="P1188" s="1" t="s">
        <v>10792</v>
      </c>
    </row>
    <row r="1189" spans="1:16" ht="33.4" x14ac:dyDescent="0.3">
      <c r="A1189" s="6" t="str">
        <f>HYPERLINK("https://www.ti.com/product/UCC21759-Q1", "UCC21759-Q1")</f>
        <v>UCC21759-Q1</v>
      </c>
      <c r="B1189" s="5" t="s">
        <v>10793</v>
      </c>
      <c r="C1189" s="6" t="str">
        <f>HYPERLINK("https://www.ti.com/lit/gpn/UCC21759-Q1", "PDF")</f>
        <v>PDF</v>
      </c>
      <c r="D1189" s="5" t="s">
        <v>10794</v>
      </c>
      <c r="E1189" s="5" t="s">
        <v>10795</v>
      </c>
      <c r="F1189" s="5"/>
      <c r="G1189" s="5" t="s">
        <v>10796</v>
      </c>
      <c r="H1189" s="1" t="s">
        <v>10797</v>
      </c>
      <c r="I1189" s="5" t="s">
        <v>10798</v>
      </c>
      <c r="J1189" s="7">
        <v>16</v>
      </c>
      <c r="K1189" s="7">
        <v>106.09</v>
      </c>
      <c r="L1189" s="5" t="s">
        <v>10799</v>
      </c>
      <c r="M1189" s="7">
        <v>2.65</v>
      </c>
      <c r="N1189" s="7">
        <v>1.27</v>
      </c>
      <c r="O1189" s="7">
        <v>2.8090000000000002</v>
      </c>
      <c r="P1189" s="1" t="s">
        <v>10800</v>
      </c>
    </row>
    <row r="1190" spans="1:16" ht="33.4" x14ac:dyDescent="0.3">
      <c r="A1190" s="6" t="str">
        <f>HYPERLINK("https://www.ti.com/product/LM7310", "LM7310")</f>
        <v>LM7310</v>
      </c>
      <c r="B1190" s="5" t="s">
        <v>10801</v>
      </c>
      <c r="C1190" s="6" t="str">
        <f>HYPERLINK("https://www.ti.com/lit/gpn/LM7310", "PDF")</f>
        <v>PDF</v>
      </c>
      <c r="D1190" s="5" t="s">
        <v>10802</v>
      </c>
      <c r="E1190" s="5" t="s">
        <v>10803</v>
      </c>
      <c r="F1190" s="5"/>
      <c r="G1190" s="5" t="s">
        <v>10804</v>
      </c>
      <c r="H1190" s="1" t="s">
        <v>10805</v>
      </c>
      <c r="I1190" s="5" t="s">
        <v>10806</v>
      </c>
      <c r="J1190" s="7">
        <v>10</v>
      </c>
      <c r="K1190" s="7">
        <v>4</v>
      </c>
      <c r="L1190" s="5" t="s">
        <v>10807</v>
      </c>
      <c r="M1190" s="7">
        <v>1</v>
      </c>
      <c r="N1190" s="7">
        <v>0.45</v>
      </c>
      <c r="O1190" s="7">
        <v>0.35199999999999998</v>
      </c>
      <c r="P1190" s="1" t="s">
        <v>10808</v>
      </c>
    </row>
    <row r="1191" spans="1:16" ht="33.4" x14ac:dyDescent="0.3">
      <c r="A1191" s="6" t="str">
        <f>HYPERLINK("https://www.ti.com/product/TLV766-Q1", "TLV766-Q1")</f>
        <v>TLV766-Q1</v>
      </c>
      <c r="B1191" s="5" t="s">
        <v>10809</v>
      </c>
      <c r="C1191" s="6" t="str">
        <f>HYPERLINK("https://www.ti.com/lit/gpn/TLV766-Q1", "PDF")</f>
        <v>PDF</v>
      </c>
      <c r="D1191" s="5" t="s">
        <v>10810</v>
      </c>
      <c r="E1191" s="5" t="s">
        <v>10811</v>
      </c>
      <c r="F1191" s="5"/>
      <c r="G1191" s="5" t="s">
        <v>10812</v>
      </c>
      <c r="H1191" s="1" t="s">
        <v>10813</v>
      </c>
      <c r="I1191" s="5" t="s">
        <v>10814</v>
      </c>
      <c r="J1191" s="7">
        <v>8</v>
      </c>
      <c r="K1191" s="7">
        <v>9</v>
      </c>
      <c r="L1191" s="5" t="s">
        <v>10815</v>
      </c>
      <c r="M1191" s="7">
        <v>1</v>
      </c>
      <c r="N1191" s="7">
        <v>0.65</v>
      </c>
      <c r="O1191" s="7">
        <v>0.36599999999999999</v>
      </c>
      <c r="P1191" s="1" t="s">
        <v>10816</v>
      </c>
    </row>
    <row r="1192" spans="1:16" ht="33.4" x14ac:dyDescent="0.3">
      <c r="A1192" s="6" t="str">
        <f>HYPERLINK("https://www.ti.com/product/TLV767-Q1", "TLV767-Q1")</f>
        <v>TLV767-Q1</v>
      </c>
      <c r="B1192" s="5" t="s">
        <v>10817</v>
      </c>
      <c r="C1192" s="6" t="str">
        <f>HYPERLINK("https://www.ti.com/lit/gpn/TLV767-Q1", "PDF")</f>
        <v>PDF</v>
      </c>
      <c r="D1192" s="5" t="s">
        <v>10818</v>
      </c>
      <c r="E1192" s="5" t="s">
        <v>10819</v>
      </c>
      <c r="F1192" s="5"/>
      <c r="G1192" s="5" t="s">
        <v>10820</v>
      </c>
      <c r="H1192" s="1" t="s">
        <v>10821</v>
      </c>
      <c r="I1192" s="5" t="s">
        <v>10822</v>
      </c>
      <c r="J1192" s="7">
        <v>8</v>
      </c>
      <c r="K1192" s="7">
        <v>9</v>
      </c>
      <c r="L1192" s="5" t="s">
        <v>10823</v>
      </c>
      <c r="M1192" s="7">
        <v>1</v>
      </c>
      <c r="N1192" s="7">
        <v>0.65</v>
      </c>
      <c r="O1192" s="7">
        <v>0.51</v>
      </c>
      <c r="P1192" s="1" t="s">
        <v>10824</v>
      </c>
    </row>
    <row r="1193" spans="1:16" ht="33.4" x14ac:dyDescent="0.3">
      <c r="A1193" s="6" t="str">
        <f>HYPERLINK("https://www.ti.com/product/TPS2640", "TPS2640")</f>
        <v>TPS2640</v>
      </c>
      <c r="B1193" s="5" t="s">
        <v>10825</v>
      </c>
      <c r="C1193" s="6" t="str">
        <f>HYPERLINK("https://www.ti.com/lit/gpn/TPS2640", "PDF")</f>
        <v>PDF</v>
      </c>
      <c r="D1193" s="5" t="s">
        <v>10826</v>
      </c>
      <c r="E1193" s="5" t="s">
        <v>10827</v>
      </c>
      <c r="F1193" s="5"/>
      <c r="G1193" s="5" t="s">
        <v>10828</v>
      </c>
      <c r="H1193" s="1" t="s">
        <v>10829</v>
      </c>
      <c r="I1193" s="5" t="s">
        <v>10830</v>
      </c>
      <c r="J1193" s="7" t="s">
        <v>10831</v>
      </c>
      <c r="K1193" s="7" t="s">
        <v>10832</v>
      </c>
      <c r="L1193" s="5" t="s">
        <v>10833</v>
      </c>
      <c r="M1193" s="7" t="s">
        <v>10834</v>
      </c>
      <c r="N1193" s="7" t="s">
        <v>10835</v>
      </c>
      <c r="O1193" s="7">
        <v>1.093</v>
      </c>
      <c r="P1193" s="1" t="s">
        <v>10836</v>
      </c>
    </row>
    <row r="1194" spans="1:16" ht="33.4" x14ac:dyDescent="0.3">
      <c r="A1194" s="6" t="str">
        <f>HYPERLINK("https://www.ti.com/product/TPS55288-Q1", "TPS55288-Q1")</f>
        <v>TPS55288-Q1</v>
      </c>
      <c r="B1194" s="5" t="s">
        <v>10837</v>
      </c>
      <c r="C1194" s="6" t="str">
        <f>HYPERLINK("https://www.ti.com/lit/gpn/TPS55288-Q1", "PDF")</f>
        <v>PDF</v>
      </c>
      <c r="D1194" s="5" t="s">
        <v>10838</v>
      </c>
      <c r="E1194" s="5" t="s">
        <v>10839</v>
      </c>
      <c r="F1194" s="5" t="s">
        <v>10840</v>
      </c>
      <c r="G1194" s="5" t="s">
        <v>10841</v>
      </c>
      <c r="H1194" s="1" t="s">
        <v>10842</v>
      </c>
      <c r="I1194" s="5" t="s">
        <v>10843</v>
      </c>
      <c r="J1194" s="7">
        <v>26</v>
      </c>
      <c r="K1194" s="7">
        <v>14</v>
      </c>
      <c r="L1194" s="5" t="s">
        <v>10844</v>
      </c>
      <c r="M1194" s="7">
        <v>1</v>
      </c>
      <c r="N1194" s="7">
        <v>0.5</v>
      </c>
      <c r="O1194" s="7">
        <v>3.0030000000000001</v>
      </c>
      <c r="P1194" s="1" t="s">
        <v>10845</v>
      </c>
    </row>
    <row r="1195" spans="1:16" ht="33.4" x14ac:dyDescent="0.3">
      <c r="A1195" s="6" t="str">
        <f>HYPERLINK("https://www.ti.com/product/TPS552882-Q1", "TPS552882-Q1")</f>
        <v>TPS552882-Q1</v>
      </c>
      <c r="B1195" s="5" t="s">
        <v>10846</v>
      </c>
      <c r="C1195" s="6" t="str">
        <f>HYPERLINK("https://www.ti.com/lit/gpn/TPS552882-Q1", "PDF")</f>
        <v>PDF</v>
      </c>
      <c r="D1195" s="5" t="s">
        <v>10847</v>
      </c>
      <c r="E1195" s="5" t="s">
        <v>10848</v>
      </c>
      <c r="F1195" s="5" t="s">
        <v>10849</v>
      </c>
      <c r="G1195" s="5" t="s">
        <v>10850</v>
      </c>
      <c r="H1195" s="1" t="s">
        <v>10851</v>
      </c>
      <c r="I1195" s="5" t="s">
        <v>10852</v>
      </c>
      <c r="J1195" s="7">
        <v>26</v>
      </c>
      <c r="K1195" s="7">
        <v>14</v>
      </c>
      <c r="L1195" s="5" t="s">
        <v>10853</v>
      </c>
      <c r="M1195" s="7">
        <v>1</v>
      </c>
      <c r="N1195" s="7">
        <v>0.5</v>
      </c>
      <c r="O1195" s="7">
        <v>3.42</v>
      </c>
      <c r="P1195" s="1" t="s">
        <v>10854</v>
      </c>
    </row>
    <row r="1196" spans="1:16" ht="33.4" x14ac:dyDescent="0.3">
      <c r="A1196" s="6" t="str">
        <f>HYPERLINK("https://www.ti.com/product/TPS536C7", "TPS536C7")</f>
        <v>TPS536C7</v>
      </c>
      <c r="B1196" s="5" t="s">
        <v>10855</v>
      </c>
      <c r="C1196" s="6" t="str">
        <f>HYPERLINK("https://www.ti.com/lit/gpn/TPS536C7", "PDF")</f>
        <v>PDF</v>
      </c>
      <c r="D1196" s="5" t="s">
        <v>10856</v>
      </c>
      <c r="E1196" s="5" t="s">
        <v>10857</v>
      </c>
      <c r="F1196" s="5" t="s">
        <v>10858</v>
      </c>
      <c r="G1196" s="5" t="s">
        <v>10859</v>
      </c>
      <c r="H1196" s="1" t="s">
        <v>10860</v>
      </c>
      <c r="I1196" s="5" t="s">
        <v>10861</v>
      </c>
      <c r="J1196" s="7">
        <v>48</v>
      </c>
      <c r="K1196" s="7">
        <v>36</v>
      </c>
      <c r="L1196" s="5" t="s">
        <v>10862</v>
      </c>
      <c r="M1196" s="7">
        <v>1</v>
      </c>
      <c r="N1196" s="7">
        <v>0.4</v>
      </c>
      <c r="O1196" s="7">
        <v>3.45</v>
      </c>
      <c r="P1196" s="1" t="s">
        <v>10863</v>
      </c>
    </row>
    <row r="1197" spans="1:16" ht="33.4" x14ac:dyDescent="0.3">
      <c r="A1197" s="6" t="str">
        <f>HYPERLINK("https://www.ti.com/product/TPS543320", "TPS543320")</f>
        <v>TPS543320</v>
      </c>
      <c r="B1197" s="5" t="s">
        <v>10864</v>
      </c>
      <c r="C1197" s="6" t="str">
        <f>HYPERLINK("https://www.ti.com/lit/gpn/TPS543320", "PDF")</f>
        <v>PDF</v>
      </c>
      <c r="D1197" s="5" t="s">
        <v>10865</v>
      </c>
      <c r="E1197" s="5" t="s">
        <v>10866</v>
      </c>
      <c r="F1197" s="5" t="s">
        <v>10867</v>
      </c>
      <c r="G1197" s="5" t="s">
        <v>10868</v>
      </c>
      <c r="H1197" s="1" t="s">
        <v>10869</v>
      </c>
      <c r="I1197" s="5" t="s">
        <v>10870</v>
      </c>
      <c r="J1197" s="7">
        <v>14</v>
      </c>
      <c r="K1197" s="7">
        <v>7.5</v>
      </c>
      <c r="L1197" s="5" t="s">
        <v>10871</v>
      </c>
      <c r="M1197" s="7">
        <v>1</v>
      </c>
      <c r="N1197" s="7">
        <v>0.5</v>
      </c>
      <c r="O1197" s="7">
        <v>0.748</v>
      </c>
      <c r="P1197" s="1" t="s">
        <v>10872</v>
      </c>
    </row>
    <row r="1198" spans="1:16" ht="33.4" x14ac:dyDescent="0.3">
      <c r="A1198" s="6" t="str">
        <f>HYPERLINK("https://www.ti.com/product/TPS61288", "TPS61288")</f>
        <v>TPS61288</v>
      </c>
      <c r="B1198" s="5" t="s">
        <v>10873</v>
      </c>
      <c r="C1198" s="6" t="str">
        <f>HYPERLINK("https://www.ti.com/lit/gpn/TPS61288", "PDF")</f>
        <v>PDF</v>
      </c>
      <c r="D1198" s="5" t="s">
        <v>10874</v>
      </c>
      <c r="E1198" s="5" t="s">
        <v>10875</v>
      </c>
      <c r="F1198" s="5" t="s">
        <v>10876</v>
      </c>
      <c r="G1198" s="5" t="s">
        <v>10877</v>
      </c>
      <c r="H1198" s="1" t="s">
        <v>10878</v>
      </c>
      <c r="I1198" s="5" t="s">
        <v>10879</v>
      </c>
      <c r="J1198" s="7">
        <v>11</v>
      </c>
      <c r="K1198" s="7">
        <v>6</v>
      </c>
      <c r="L1198" s="5" t="s">
        <v>10880</v>
      </c>
      <c r="M1198" s="7">
        <v>1</v>
      </c>
      <c r="N1198" s="7">
        <v>0.5</v>
      </c>
      <c r="O1198" s="7">
        <v>0.745</v>
      </c>
      <c r="P1198" s="1" t="s">
        <v>10881</v>
      </c>
    </row>
    <row r="1199" spans="1:16" ht="33.4" x14ac:dyDescent="0.3">
      <c r="A1199" s="6" t="str">
        <f>HYPERLINK("https://www.ti.com/product/TPS7B85-Q1", "TPS7B85-Q1")</f>
        <v>TPS7B85-Q1</v>
      </c>
      <c r="B1199" s="5" t="s">
        <v>10882</v>
      </c>
      <c r="C1199" s="6" t="str">
        <f>HYPERLINK("https://www.ti.com/lit/gpn/TPS7B85-Q1", "PDF")</f>
        <v>PDF</v>
      </c>
      <c r="D1199" s="5" t="s">
        <v>10883</v>
      </c>
      <c r="E1199" s="5" t="s">
        <v>10884</v>
      </c>
      <c r="F1199" s="5"/>
      <c r="G1199" s="5" t="s">
        <v>10885</v>
      </c>
      <c r="H1199" s="1" t="s">
        <v>10886</v>
      </c>
      <c r="I1199" s="5" t="s">
        <v>10887</v>
      </c>
      <c r="J1199" s="7">
        <v>10</v>
      </c>
      <c r="K1199" s="7">
        <v>9</v>
      </c>
      <c r="L1199" s="5" t="s">
        <v>10888</v>
      </c>
      <c r="M1199" s="7">
        <v>1</v>
      </c>
      <c r="N1199" s="7">
        <v>0.5</v>
      </c>
      <c r="O1199" s="7">
        <v>0.68100000000000005</v>
      </c>
      <c r="P1199" s="1" t="s">
        <v>10889</v>
      </c>
    </row>
    <row r="1200" spans="1:16" ht="33.4" x14ac:dyDescent="0.3">
      <c r="A1200" s="6" t="str">
        <f>HYPERLINK("https://www.ti.com/product/TPS23731", "TPS23731")</f>
        <v>TPS23731</v>
      </c>
      <c r="B1200" s="5" t="s">
        <v>10890</v>
      </c>
      <c r="C1200" s="6" t="str">
        <f>HYPERLINK("https://www.ti.com/lit/gpn/TPS23731", "PDF")</f>
        <v>PDF</v>
      </c>
      <c r="D1200" s="5" t="s">
        <v>10891</v>
      </c>
      <c r="E1200" s="5" t="s">
        <v>10892</v>
      </c>
      <c r="F1200" s="5"/>
      <c r="G1200" s="5" t="s">
        <v>10893</v>
      </c>
      <c r="H1200" s="1" t="s">
        <v>10894</v>
      </c>
      <c r="I1200" s="5" t="s">
        <v>10895</v>
      </c>
      <c r="J1200" s="7">
        <v>45</v>
      </c>
      <c r="K1200" s="7">
        <v>35</v>
      </c>
      <c r="L1200" s="5" t="s">
        <v>10896</v>
      </c>
      <c r="M1200" s="7">
        <v>1</v>
      </c>
      <c r="N1200" s="7">
        <v>0.4</v>
      </c>
      <c r="O1200" s="7">
        <v>1.264</v>
      </c>
      <c r="P1200" s="1" t="s">
        <v>10897</v>
      </c>
    </row>
    <row r="1201" spans="1:16" ht="49.75" x14ac:dyDescent="0.3">
      <c r="A1201" s="6" t="str">
        <f>HYPERLINK("https://www.ti.com/product/TPS54622-EP", "TPS54622-EP")</f>
        <v>TPS54622-EP</v>
      </c>
      <c r="B1201" s="5" t="s">
        <v>10898</v>
      </c>
      <c r="C1201" s="6" t="str">
        <f>HYPERLINK("https://www.ti.com/lit/gpn/TPS54622-EP", "PDF")</f>
        <v>PDF</v>
      </c>
      <c r="D1201" s="5" t="s">
        <v>10899</v>
      </c>
      <c r="E1201" s="5" t="s">
        <v>10900</v>
      </c>
      <c r="F1201" s="5" t="s">
        <v>10901</v>
      </c>
      <c r="G1201" s="5" t="s">
        <v>10902</v>
      </c>
      <c r="H1201" s="1" t="s">
        <v>10903</v>
      </c>
      <c r="I1201" s="5" t="s">
        <v>10904</v>
      </c>
      <c r="J1201" s="7">
        <v>14</v>
      </c>
      <c r="K1201" s="7">
        <v>12.25</v>
      </c>
      <c r="L1201" s="5" t="s">
        <v>10905</v>
      </c>
      <c r="M1201" s="7">
        <v>1</v>
      </c>
      <c r="N1201" s="7">
        <v>0.5</v>
      </c>
      <c r="O1201" s="7">
        <v>11.385</v>
      </c>
      <c r="P1201" s="1" t="s">
        <v>10906</v>
      </c>
    </row>
    <row r="1202" spans="1:16" ht="33.4" x14ac:dyDescent="0.3">
      <c r="A1202" s="6" t="str">
        <f>HYPERLINK("https://www.ti.com/product/TPS548B28", "TPS548B28")</f>
        <v>TPS548B28</v>
      </c>
      <c r="B1202" s="5" t="s">
        <v>10907</v>
      </c>
      <c r="C1202" s="6" t="str">
        <f>HYPERLINK("https://www.ti.com/lit/gpn/TPS548B28", "PDF")</f>
        <v>PDF</v>
      </c>
      <c r="D1202" s="5" t="s">
        <v>10908</v>
      </c>
      <c r="E1202" s="5" t="s">
        <v>10909</v>
      </c>
      <c r="F1202" s="5" t="s">
        <v>10910</v>
      </c>
      <c r="G1202" s="5" t="s">
        <v>10911</v>
      </c>
      <c r="H1202" s="1" t="s">
        <v>10912</v>
      </c>
      <c r="I1202" s="5" t="s">
        <v>10913</v>
      </c>
      <c r="J1202" s="7">
        <v>21</v>
      </c>
      <c r="K1202" s="7">
        <v>12</v>
      </c>
      <c r="L1202" s="5" t="s">
        <v>10914</v>
      </c>
      <c r="M1202" s="7">
        <v>1</v>
      </c>
      <c r="N1202" s="7">
        <v>0.4</v>
      </c>
      <c r="O1202" s="7">
        <v>2.125</v>
      </c>
      <c r="P1202" s="1" t="s">
        <v>10915</v>
      </c>
    </row>
    <row r="1203" spans="1:16" ht="33.4" x14ac:dyDescent="0.3">
      <c r="A1203" s="6" t="str">
        <f>HYPERLINK("https://www.ti.com/product/LMQ62440-Q1", "LMQ62440-Q1")</f>
        <v>LMQ62440-Q1</v>
      </c>
      <c r="B1203" s="5" t="s">
        <v>10916</v>
      </c>
      <c r="C1203" s="6" t="str">
        <f>HYPERLINK("https://www.ti.com/lit/gpn/LMQ62440-Q1", "PDF")</f>
        <v>PDF</v>
      </c>
      <c r="D1203" s="5" t="s">
        <v>10917</v>
      </c>
      <c r="E1203" s="5" t="s">
        <v>10918</v>
      </c>
      <c r="F1203" s="5" t="s">
        <v>10919</v>
      </c>
      <c r="G1203" s="5" t="s">
        <v>10920</v>
      </c>
      <c r="H1203" s="1" t="s">
        <v>10921</v>
      </c>
      <c r="I1203" s="5" t="s">
        <v>10922</v>
      </c>
      <c r="J1203" s="7">
        <v>14</v>
      </c>
      <c r="K1203" s="7">
        <v>14</v>
      </c>
      <c r="L1203" s="5" t="s">
        <v>10923</v>
      </c>
      <c r="M1203" s="7">
        <v>1</v>
      </c>
      <c r="N1203" s="7">
        <v>0.5</v>
      </c>
      <c r="O1203" s="7">
        <v>2.3010000000000002</v>
      </c>
      <c r="P1203" s="1" t="s">
        <v>10924</v>
      </c>
    </row>
    <row r="1204" spans="1:16" ht="49.75" x14ac:dyDescent="0.3">
      <c r="A1204" s="6" t="str">
        <f>HYPERLINK("https://www.ti.com/product/TPS62869", "TPS62869")</f>
        <v>TPS62869</v>
      </c>
      <c r="B1204" s="5" t="s">
        <v>10925</v>
      </c>
      <c r="C1204" s="6" t="str">
        <f>HYPERLINK("https://www.ti.com/lit/gpn/TPS62869", "PDF")</f>
        <v>PDF</v>
      </c>
      <c r="D1204" s="5" t="s">
        <v>10926</v>
      </c>
      <c r="E1204" s="5" t="s">
        <v>10927</v>
      </c>
      <c r="F1204" s="5" t="s">
        <v>10928</v>
      </c>
      <c r="G1204" s="5" t="s">
        <v>10929</v>
      </c>
      <c r="H1204" s="1" t="s">
        <v>10930</v>
      </c>
      <c r="I1204" s="5" t="s">
        <v>10931</v>
      </c>
      <c r="J1204" s="7">
        <v>9</v>
      </c>
      <c r="K1204" s="7">
        <v>3.75</v>
      </c>
      <c r="L1204" s="5" t="s">
        <v>10932</v>
      </c>
      <c r="M1204" s="7">
        <v>1</v>
      </c>
      <c r="N1204" s="7">
        <v>0.5</v>
      </c>
      <c r="O1204" s="7">
        <v>1.028</v>
      </c>
      <c r="P1204" s="1" t="s">
        <v>10933</v>
      </c>
    </row>
    <row r="1205" spans="1:16" ht="33.4" x14ac:dyDescent="0.3">
      <c r="A1205" s="6" t="str">
        <f>HYPERLINK("https://www.ti.com/product/UCC23514", "UCC23514")</f>
        <v>UCC23514</v>
      </c>
      <c r="B1205" s="5" t="s">
        <v>10934</v>
      </c>
      <c r="C1205" s="6" t="str">
        <f>HYPERLINK("https://www.ti.com/lit/gpn/UCC23514", "PDF")</f>
        <v>PDF</v>
      </c>
      <c r="D1205" s="5" t="s">
        <v>10935</v>
      </c>
      <c r="E1205" s="5" t="s">
        <v>10936</v>
      </c>
      <c r="F1205" s="5"/>
      <c r="G1205" s="5" t="s">
        <v>10937</v>
      </c>
      <c r="H1205" s="1" t="s">
        <v>10938</v>
      </c>
      <c r="I1205" s="5" t="s">
        <v>10939</v>
      </c>
      <c r="J1205" s="7">
        <v>8</v>
      </c>
      <c r="K1205" s="7">
        <v>67.275000000000006</v>
      </c>
      <c r="L1205" s="5" t="s">
        <v>10940</v>
      </c>
      <c r="M1205" s="7">
        <v>2.8</v>
      </c>
      <c r="N1205" s="7">
        <v>1.27</v>
      </c>
      <c r="O1205" s="7">
        <v>0.63300000000000001</v>
      </c>
      <c r="P1205" s="1" t="s">
        <v>10941</v>
      </c>
    </row>
    <row r="1206" spans="1:16" ht="33.4" x14ac:dyDescent="0.3">
      <c r="A1206" s="6" t="str">
        <f>HYPERLINK("https://www.ti.com/product/LM7481-Q1", "LM7481-Q1")</f>
        <v>LM7481-Q1</v>
      </c>
      <c r="B1206" s="5" t="s">
        <v>10942</v>
      </c>
      <c r="C1206" s="6" t="str">
        <f>HYPERLINK("https://www.ti.com/lit/gpn/LM7481-Q1", "PDF")</f>
        <v>PDF</v>
      </c>
      <c r="D1206" s="5" t="s">
        <v>10943</v>
      </c>
      <c r="E1206" s="5" t="s">
        <v>10944</v>
      </c>
      <c r="F1206" s="5"/>
      <c r="G1206" s="5" t="s">
        <v>10945</v>
      </c>
      <c r="H1206" s="1" t="s">
        <v>10946</v>
      </c>
      <c r="I1206" s="5" t="s">
        <v>10947</v>
      </c>
      <c r="J1206" s="7">
        <v>12</v>
      </c>
      <c r="K1206" s="7">
        <v>9</v>
      </c>
      <c r="L1206" s="5" t="s">
        <v>10948</v>
      </c>
      <c r="M1206" s="7">
        <v>0.8</v>
      </c>
      <c r="N1206" s="7">
        <v>0.5</v>
      </c>
      <c r="O1206" s="7">
        <v>1.143</v>
      </c>
      <c r="P1206" s="1" t="s">
        <v>10949</v>
      </c>
    </row>
    <row r="1207" spans="1:16" ht="33.4" x14ac:dyDescent="0.3">
      <c r="A1207" s="6" t="str">
        <f>HYPERLINK("https://www.ti.com/product/TPSM265R1", "TPSM265R1")</f>
        <v>TPSM265R1</v>
      </c>
      <c r="B1207" s="5" t="s">
        <v>10950</v>
      </c>
      <c r="C1207" s="6" t="str">
        <f>HYPERLINK("https://www.ti.com/lit/gpn/TPSM265R1", "PDF")</f>
        <v>PDF</v>
      </c>
      <c r="D1207" s="5" t="s">
        <v>10951</v>
      </c>
      <c r="E1207" s="5" t="s">
        <v>10952</v>
      </c>
      <c r="F1207" s="5" t="s">
        <v>10953</v>
      </c>
      <c r="G1207" s="5" t="s">
        <v>10954</v>
      </c>
      <c r="H1207" s="1" t="s">
        <v>10955</v>
      </c>
      <c r="I1207" s="5" t="s">
        <v>10956</v>
      </c>
      <c r="J1207" s="7">
        <v>10</v>
      </c>
      <c r="K1207" s="7">
        <v>10.36</v>
      </c>
      <c r="L1207" s="5" t="s">
        <v>10957</v>
      </c>
      <c r="M1207" s="7">
        <v>1.91</v>
      </c>
      <c r="N1207" s="7">
        <v>0.6</v>
      </c>
      <c r="O1207" s="7">
        <v>1.8240000000000001</v>
      </c>
      <c r="P1207" s="1" t="s">
        <v>10958</v>
      </c>
    </row>
    <row r="1208" spans="1:16" ht="17.05" x14ac:dyDescent="0.3">
      <c r="A1208" s="6" t="str">
        <f>HYPERLINK("https://www.ti.com/product/TPSM41615", "TPSM41615")</f>
        <v>TPSM41615</v>
      </c>
      <c r="B1208" s="5" t="s">
        <v>10959</v>
      </c>
      <c r="C1208" s="6" t="str">
        <f>HYPERLINK("https://www.ti.com/lit/gpn/TPSM41615", "PDF")</f>
        <v>PDF</v>
      </c>
      <c r="D1208" s="5" t="s">
        <v>10960</v>
      </c>
      <c r="E1208" s="5" t="s">
        <v>10961</v>
      </c>
      <c r="F1208" s="5" t="s">
        <v>10962</v>
      </c>
      <c r="G1208" s="5" t="s">
        <v>10963</v>
      </c>
      <c r="H1208" s="1" t="s">
        <v>10964</v>
      </c>
      <c r="I1208" s="5" t="s">
        <v>10965</v>
      </c>
      <c r="J1208" s="7">
        <v>69</v>
      </c>
      <c r="K1208" s="7">
        <v>176</v>
      </c>
      <c r="L1208" s="5" t="s">
        <v>10966</v>
      </c>
      <c r="M1208" s="7">
        <v>4.4000000000000004</v>
      </c>
      <c r="N1208" s="7">
        <v>0.65</v>
      </c>
      <c r="O1208" s="7">
        <v>12.128</v>
      </c>
      <c r="P1208" s="1" t="s">
        <v>10967</v>
      </c>
    </row>
    <row r="1209" spans="1:16" ht="17.05" x14ac:dyDescent="0.3">
      <c r="A1209" s="6" t="str">
        <f>HYPERLINK("https://www.ti.com/product/TPSM41625", "TPSM41625")</f>
        <v>TPSM41625</v>
      </c>
      <c r="B1209" s="5" t="s">
        <v>10968</v>
      </c>
      <c r="C1209" s="6" t="str">
        <f>HYPERLINK("https://www.ti.com/lit/gpn/TPSM41625", "PDF")</f>
        <v>PDF</v>
      </c>
      <c r="D1209" s="5" t="s">
        <v>10969</v>
      </c>
      <c r="E1209" s="5" t="s">
        <v>10970</v>
      </c>
      <c r="F1209" s="5" t="s">
        <v>10971</v>
      </c>
      <c r="G1209" s="5" t="s">
        <v>10972</v>
      </c>
      <c r="H1209" s="1" t="s">
        <v>10973</v>
      </c>
      <c r="I1209" s="5" t="s">
        <v>10974</v>
      </c>
      <c r="J1209" s="7">
        <v>69</v>
      </c>
      <c r="K1209" s="7">
        <v>176</v>
      </c>
      <c r="L1209" s="5" t="s">
        <v>10975</v>
      </c>
      <c r="M1209" s="7">
        <v>4.4000000000000004</v>
      </c>
      <c r="N1209" s="7">
        <v>0.65</v>
      </c>
      <c r="O1209" s="7">
        <v>16</v>
      </c>
      <c r="P1209" s="1" t="s">
        <v>10976</v>
      </c>
    </row>
    <row r="1210" spans="1:16" ht="33.4" x14ac:dyDescent="0.3">
      <c r="A1210" s="6" t="str">
        <f>HYPERLINK("https://www.ti.com/product/TPS1HB35-Q1", "TPS1HB35-Q1")</f>
        <v>TPS1HB35-Q1</v>
      </c>
      <c r="B1210" s="5" t="s">
        <v>10977</v>
      </c>
      <c r="C1210" s="6" t="str">
        <f>HYPERLINK("https://www.ti.com/lit/gpn/TPS1HB35-Q1", "PDF")</f>
        <v>PDF</v>
      </c>
      <c r="D1210" s="5" t="s">
        <v>10978</v>
      </c>
      <c r="E1210" s="5" t="s">
        <v>10979</v>
      </c>
      <c r="F1210" s="5"/>
      <c r="G1210" s="5" t="s">
        <v>10980</v>
      </c>
      <c r="H1210" s="1" t="s">
        <v>10981</v>
      </c>
      <c r="I1210" s="5" t="s">
        <v>10982</v>
      </c>
      <c r="J1210" s="7">
        <v>16</v>
      </c>
      <c r="K1210" s="7">
        <v>32</v>
      </c>
      <c r="L1210" s="5" t="s">
        <v>10983</v>
      </c>
      <c r="M1210" s="7">
        <v>1.2</v>
      </c>
      <c r="N1210" s="7">
        <v>0.65</v>
      </c>
      <c r="O1210" s="7">
        <v>0.70399999999999996</v>
      </c>
      <c r="P1210" s="1" t="s">
        <v>10984</v>
      </c>
    </row>
    <row r="1211" spans="1:16" ht="33.4" x14ac:dyDescent="0.3">
      <c r="A1211" s="6" t="str">
        <f>HYPERLINK("https://www.ti.com/product/TPS1HB50-Q1", "TPS1HB50-Q1")</f>
        <v>TPS1HB50-Q1</v>
      </c>
      <c r="B1211" s="5" t="s">
        <v>10985</v>
      </c>
      <c r="C1211" s="6" t="str">
        <f>HYPERLINK("https://www.ti.com/lit/gpn/TPS1HB50-Q1", "PDF")</f>
        <v>PDF</v>
      </c>
      <c r="D1211" s="5" t="s">
        <v>10986</v>
      </c>
      <c r="E1211" s="5" t="s">
        <v>10987</v>
      </c>
      <c r="F1211" s="5"/>
      <c r="G1211" s="5" t="s">
        <v>10988</v>
      </c>
      <c r="H1211" s="1" t="s">
        <v>10989</v>
      </c>
      <c r="I1211" s="5" t="s">
        <v>10990</v>
      </c>
      <c r="J1211" s="7">
        <v>16</v>
      </c>
      <c r="K1211" s="7">
        <v>32</v>
      </c>
      <c r="L1211" s="5" t="s">
        <v>10991</v>
      </c>
      <c r="M1211" s="7">
        <v>1.2</v>
      </c>
      <c r="N1211" s="7">
        <v>0.65</v>
      </c>
      <c r="O1211" s="7">
        <v>0.57999999999999996</v>
      </c>
      <c r="P1211" s="1" t="s">
        <v>10992</v>
      </c>
    </row>
    <row r="1212" spans="1:16" ht="33.4" x14ac:dyDescent="0.3">
      <c r="A1212" s="6" t="str">
        <f>HYPERLINK("https://www.ti.com/product/TPS27SA08-Q1", "TPS27SA08-Q1")</f>
        <v>TPS27SA08-Q1</v>
      </c>
      <c r="B1212" s="5" t="s">
        <v>10993</v>
      </c>
      <c r="C1212" s="6" t="str">
        <f>HYPERLINK("https://www.ti.com/lit/gpn/TPS27SA08-Q1", "PDF")</f>
        <v>PDF</v>
      </c>
      <c r="D1212" s="5" t="s">
        <v>10994</v>
      </c>
      <c r="E1212" s="5" t="s">
        <v>10995</v>
      </c>
      <c r="F1212" s="5"/>
      <c r="G1212" s="5" t="s">
        <v>10996</v>
      </c>
      <c r="H1212" s="1" t="s">
        <v>10997</v>
      </c>
      <c r="I1212" s="5" t="s">
        <v>10998</v>
      </c>
      <c r="J1212" s="7">
        <v>16</v>
      </c>
      <c r="K1212" s="7">
        <v>32</v>
      </c>
      <c r="L1212" s="5" t="s">
        <v>10999</v>
      </c>
      <c r="M1212" s="7">
        <v>1.2</v>
      </c>
      <c r="N1212" s="7">
        <v>0.65</v>
      </c>
      <c r="O1212" s="7">
        <v>1.5389999999999999</v>
      </c>
      <c r="P1212" s="1" t="s">
        <v>11000</v>
      </c>
    </row>
    <row r="1213" spans="1:16" ht="49.75" x14ac:dyDescent="0.3">
      <c r="A1213" s="6" t="str">
        <f>HYPERLINK("https://www.ti.com/product/TPSM82810", "TPSM82810")</f>
        <v>TPSM82810</v>
      </c>
      <c r="B1213" s="5" t="s">
        <v>11001</v>
      </c>
      <c r="C1213" s="6" t="str">
        <f>HYPERLINK("https://www.ti.com/lit/gpn/TPSM82810", "PDF")</f>
        <v>PDF</v>
      </c>
      <c r="D1213" s="5" t="s">
        <v>11002</v>
      </c>
      <c r="E1213" s="5" t="s">
        <v>11003</v>
      </c>
      <c r="F1213" s="5" t="s">
        <v>11004</v>
      </c>
      <c r="G1213" s="5" t="s">
        <v>11005</v>
      </c>
      <c r="H1213" s="1" t="s">
        <v>11006</v>
      </c>
      <c r="I1213" s="5" t="s">
        <v>11007</v>
      </c>
      <c r="J1213" s="7">
        <v>14</v>
      </c>
      <c r="K1213" s="7" t="s">
        <v>11008</v>
      </c>
      <c r="L1213" s="5" t="s">
        <v>11009</v>
      </c>
      <c r="M1213" s="7" t="s">
        <v>11010</v>
      </c>
      <c r="N1213" s="7" t="s">
        <v>11011</v>
      </c>
      <c r="O1213" s="7">
        <v>1.863</v>
      </c>
      <c r="P1213" s="1" t="s">
        <v>11012</v>
      </c>
    </row>
    <row r="1214" spans="1:16" ht="49.75" x14ac:dyDescent="0.3">
      <c r="A1214" s="6" t="str">
        <f>HYPERLINK("https://www.ti.com/product/TPSM82813", "TPSM82813")</f>
        <v>TPSM82813</v>
      </c>
      <c r="B1214" s="5" t="s">
        <v>11013</v>
      </c>
      <c r="C1214" s="6" t="str">
        <f>HYPERLINK("https://www.ti.com/lit/gpn/TPSM82813", "PDF")</f>
        <v>PDF</v>
      </c>
      <c r="D1214" s="5" t="s">
        <v>11014</v>
      </c>
      <c r="E1214" s="5" t="s">
        <v>11015</v>
      </c>
      <c r="F1214" s="5" t="s">
        <v>11016</v>
      </c>
      <c r="G1214" s="5" t="s">
        <v>11017</v>
      </c>
      <c r="H1214" s="1" t="s">
        <v>11018</v>
      </c>
      <c r="I1214" s="5" t="s">
        <v>11019</v>
      </c>
      <c r="J1214" s="7" t="s">
        <v>11020</v>
      </c>
      <c r="K1214" s="7" t="s">
        <v>11021</v>
      </c>
      <c r="L1214" s="5" t="s">
        <v>11022</v>
      </c>
      <c r="M1214" s="7" t="s">
        <v>11023</v>
      </c>
      <c r="N1214" s="7" t="s">
        <v>11024</v>
      </c>
      <c r="O1214" s="7">
        <v>1.645</v>
      </c>
      <c r="P1214" s="1" t="s">
        <v>11025</v>
      </c>
    </row>
    <row r="1215" spans="1:16" ht="33.4" x14ac:dyDescent="0.3">
      <c r="A1215" s="6" t="str">
        <f>HYPERLINK("https://www.ti.com/product/TPS25858-Q1", "TPS25858-Q1")</f>
        <v>TPS25858-Q1</v>
      </c>
      <c r="B1215" s="5" t="s">
        <v>11026</v>
      </c>
      <c r="C1215" s="6" t="str">
        <f>HYPERLINK("https://www.ti.com/lit/gpn/TPS25858-Q1", "PDF")</f>
        <v>PDF</v>
      </c>
      <c r="D1215" s="5" t="s">
        <v>11027</v>
      </c>
      <c r="E1215" s="5" t="s">
        <v>11028</v>
      </c>
      <c r="F1215" s="5"/>
      <c r="G1215" s="5" t="s">
        <v>11029</v>
      </c>
      <c r="H1215" s="1" t="s">
        <v>11030</v>
      </c>
      <c r="I1215" s="5" t="s">
        <v>11031</v>
      </c>
      <c r="J1215" s="7">
        <v>25</v>
      </c>
      <c r="K1215" s="7">
        <v>15.75</v>
      </c>
      <c r="L1215" s="5" t="s">
        <v>11032</v>
      </c>
      <c r="M1215" s="7">
        <v>1</v>
      </c>
      <c r="N1215" s="7">
        <v>0.5</v>
      </c>
      <c r="O1215" s="7">
        <v>2.4569999999999999</v>
      </c>
      <c r="P1215" s="1" t="s">
        <v>11033</v>
      </c>
    </row>
    <row r="1216" spans="1:16" ht="33.4" x14ac:dyDescent="0.3">
      <c r="A1216" s="6" t="str">
        <f>HYPERLINK("https://www.ti.com/product/TPS25865-Q1", "TPS25865-Q1")</f>
        <v>TPS25865-Q1</v>
      </c>
      <c r="B1216" s="5" t="s">
        <v>11034</v>
      </c>
      <c r="C1216" s="6" t="str">
        <f>HYPERLINK("https://www.ti.com/lit/gpn/TPS25865-Q1", "PDF")</f>
        <v>PDF</v>
      </c>
      <c r="D1216" s="5" t="s">
        <v>11035</v>
      </c>
      <c r="E1216" s="5" t="s">
        <v>11036</v>
      </c>
      <c r="F1216" s="5"/>
      <c r="G1216" s="5" t="s">
        <v>11037</v>
      </c>
      <c r="H1216" s="1" t="s">
        <v>11038</v>
      </c>
      <c r="I1216" s="5" t="s">
        <v>11039</v>
      </c>
      <c r="J1216" s="7">
        <v>25</v>
      </c>
      <c r="K1216" s="7">
        <v>15.75</v>
      </c>
      <c r="L1216" s="5" t="s">
        <v>11040</v>
      </c>
      <c r="M1216" s="7">
        <v>1</v>
      </c>
      <c r="N1216" s="7">
        <v>0.5</v>
      </c>
      <c r="O1216" s="7">
        <v>2.069</v>
      </c>
      <c r="P1216" s="1" t="s">
        <v>11041</v>
      </c>
    </row>
    <row r="1217" spans="1:16" ht="33.4" x14ac:dyDescent="0.3">
      <c r="A1217" s="6" t="str">
        <f>HYPERLINK("https://www.ti.com/product/TPS7B87-Q1", "TPS7B87-Q1")</f>
        <v>TPS7B87-Q1</v>
      </c>
      <c r="B1217" s="5" t="s">
        <v>11042</v>
      </c>
      <c r="C1217" s="6" t="str">
        <f>HYPERLINK("https://www.ti.com/lit/gpn/TPS7B87-Q1", "PDF")</f>
        <v>PDF</v>
      </c>
      <c r="D1217" s="5" t="s">
        <v>11043</v>
      </c>
      <c r="E1217" s="5" t="s">
        <v>11044</v>
      </c>
      <c r="F1217" s="5"/>
      <c r="G1217" s="5" t="s">
        <v>11045</v>
      </c>
      <c r="H1217" s="1" t="s">
        <v>11046</v>
      </c>
      <c r="I1217" s="5" t="s">
        <v>11047</v>
      </c>
      <c r="J1217" s="7" t="s">
        <v>11048</v>
      </c>
      <c r="K1217" s="7" t="s">
        <v>11049</v>
      </c>
      <c r="L1217" s="5" t="s">
        <v>11050</v>
      </c>
      <c r="M1217" s="7" t="s">
        <v>11051</v>
      </c>
      <c r="N1217" s="7" t="s">
        <v>11052</v>
      </c>
      <c r="O1217" s="7">
        <v>0.84799999999999998</v>
      </c>
      <c r="P1217" s="1" t="s">
        <v>11053</v>
      </c>
    </row>
    <row r="1218" spans="1:16" ht="49.75" x14ac:dyDescent="0.3">
      <c r="A1218" s="6" t="str">
        <f>HYPERLINK("https://www.ti.com/product/UCC27289", "UCC27289")</f>
        <v>UCC27289</v>
      </c>
      <c r="B1218" s="5" t="s">
        <v>11054</v>
      </c>
      <c r="C1218" s="6" t="str">
        <f>HYPERLINK("https://www.ti.com/lit/gpn/UCC27289", "PDF")</f>
        <v>PDF</v>
      </c>
      <c r="D1218" s="5" t="s">
        <v>11055</v>
      </c>
      <c r="E1218" s="5" t="s">
        <v>11056</v>
      </c>
      <c r="F1218" s="5"/>
      <c r="G1218" s="5" t="s">
        <v>11057</v>
      </c>
      <c r="H1218" s="1" t="s">
        <v>11058</v>
      </c>
      <c r="I1218" s="5" t="s">
        <v>11059</v>
      </c>
      <c r="J1218" s="7" t="s">
        <v>11060</v>
      </c>
      <c r="K1218" s="7" t="s">
        <v>11061</v>
      </c>
      <c r="L1218" s="5" t="s">
        <v>11062</v>
      </c>
      <c r="M1218" s="7" t="s">
        <v>11063</v>
      </c>
      <c r="N1218" s="7" t="s">
        <v>11064</v>
      </c>
      <c r="O1218" s="7">
        <v>0.61099999999999999</v>
      </c>
      <c r="P1218" s="1" t="s">
        <v>11065</v>
      </c>
    </row>
    <row r="1219" spans="1:16" ht="33.4" x14ac:dyDescent="0.3">
      <c r="A1219" s="6" t="str">
        <f>HYPERLINK("https://www.ti.com/product/DRV8106-Q1", "DRV8106-Q1")</f>
        <v>DRV8106-Q1</v>
      </c>
      <c r="B1219" s="5" t="s">
        <v>11066</v>
      </c>
      <c r="C1219" s="6" t="str">
        <f>HYPERLINK("https://www.ti.com/lit/gpn/DRV8106-Q1", "PDF")</f>
        <v>PDF</v>
      </c>
      <c r="D1219" s="5" t="s">
        <v>11067</v>
      </c>
      <c r="E1219" s="5" t="s">
        <v>11068</v>
      </c>
      <c r="F1219" s="5" t="s">
        <v>11069</v>
      </c>
      <c r="G1219" s="5" t="s">
        <v>11070</v>
      </c>
      <c r="H1219" s="1" t="s">
        <v>11071</v>
      </c>
      <c r="I1219" s="5" t="s">
        <v>11072</v>
      </c>
      <c r="J1219" s="7">
        <v>32</v>
      </c>
      <c r="K1219" s="7">
        <v>25</v>
      </c>
      <c r="L1219" s="5" t="s">
        <v>11073</v>
      </c>
      <c r="M1219" s="7">
        <v>1</v>
      </c>
      <c r="N1219" s="7">
        <v>0.5</v>
      </c>
      <c r="O1219" s="7">
        <v>1.155</v>
      </c>
      <c r="P1219" s="1" t="s">
        <v>11074</v>
      </c>
    </row>
    <row r="1220" spans="1:16" ht="33.4" x14ac:dyDescent="0.3">
      <c r="A1220" s="6" t="str">
        <f>HYPERLINK("https://www.ti.com/product/TPS7B86-Q1", "TPS7B86-Q1")</f>
        <v>TPS7B86-Q1</v>
      </c>
      <c r="B1220" s="5" t="s">
        <v>11075</v>
      </c>
      <c r="C1220" s="6" t="str">
        <f>HYPERLINK("https://www.ti.com/lit/gpn/TPS7B86-Q1", "PDF")</f>
        <v>PDF</v>
      </c>
      <c r="D1220" s="5" t="s">
        <v>11076</v>
      </c>
      <c r="E1220" s="5" t="s">
        <v>11077</v>
      </c>
      <c r="F1220" s="5"/>
      <c r="G1220" s="5" t="s">
        <v>11078</v>
      </c>
      <c r="H1220" s="1" t="s">
        <v>11079</v>
      </c>
      <c r="I1220" s="5" t="s">
        <v>11080</v>
      </c>
      <c r="J1220" s="7" t="s">
        <v>11081</v>
      </c>
      <c r="K1220" s="7" t="s">
        <v>11082</v>
      </c>
      <c r="L1220" s="5" t="s">
        <v>11083</v>
      </c>
      <c r="M1220" s="7" t="s">
        <v>11084</v>
      </c>
      <c r="N1220" s="7" t="s">
        <v>11085</v>
      </c>
      <c r="O1220" s="7">
        <v>0.86</v>
      </c>
      <c r="P1220" s="1" t="s">
        <v>11086</v>
      </c>
    </row>
    <row r="1221" spans="1:16" ht="33.4" x14ac:dyDescent="0.3">
      <c r="A1221" s="6" t="str">
        <f>HYPERLINK("https://www.ti.com/product/TPS62825A", "TPS62825A")</f>
        <v>TPS62825A</v>
      </c>
      <c r="B1221" s="5" t="s">
        <v>11087</v>
      </c>
      <c r="C1221" s="6" t="str">
        <f>HYPERLINK("https://www.ti.com/lit/gpn/TPS62825A", "PDF")</f>
        <v>PDF</v>
      </c>
      <c r="D1221" s="5" t="s">
        <v>11088</v>
      </c>
      <c r="E1221" s="5" t="s">
        <v>11089</v>
      </c>
      <c r="F1221" s="5" t="s">
        <v>11090</v>
      </c>
      <c r="G1221" s="5" t="s">
        <v>11091</v>
      </c>
      <c r="H1221" s="1" t="s">
        <v>11092</v>
      </c>
      <c r="I1221" s="5" t="s">
        <v>11093</v>
      </c>
      <c r="J1221" s="7">
        <v>6</v>
      </c>
      <c r="K1221" s="7">
        <v>2.25</v>
      </c>
      <c r="L1221" s="5" t="s">
        <v>11094</v>
      </c>
      <c r="M1221" s="7">
        <v>1</v>
      </c>
      <c r="N1221" s="7">
        <v>0.5</v>
      </c>
      <c r="O1221" s="7">
        <v>0.433</v>
      </c>
      <c r="P1221" s="1" t="s">
        <v>11095</v>
      </c>
    </row>
    <row r="1222" spans="1:16" ht="33.4" x14ac:dyDescent="0.3">
      <c r="A1222" s="6" t="str">
        <f>HYPERLINK("https://www.ti.com/product/TPS62826A", "TPS62826A")</f>
        <v>TPS62826A</v>
      </c>
      <c r="B1222" s="5" t="s">
        <v>11096</v>
      </c>
      <c r="C1222" s="6" t="str">
        <f>HYPERLINK("https://www.ti.com/lit/gpn/TPS62826A", "PDF")</f>
        <v>PDF</v>
      </c>
      <c r="D1222" s="5" t="s">
        <v>11097</v>
      </c>
      <c r="E1222" s="5" t="s">
        <v>11098</v>
      </c>
      <c r="F1222" s="5" t="s">
        <v>11099</v>
      </c>
      <c r="G1222" s="5" t="s">
        <v>11100</v>
      </c>
      <c r="H1222" s="1" t="s">
        <v>11101</v>
      </c>
      <c r="I1222" s="5" t="s">
        <v>11102</v>
      </c>
      <c r="J1222" s="7">
        <v>6</v>
      </c>
      <c r="K1222" s="7">
        <v>2.25</v>
      </c>
      <c r="L1222" s="5" t="s">
        <v>11103</v>
      </c>
      <c r="M1222" s="7">
        <v>1</v>
      </c>
      <c r="N1222" s="7">
        <v>0.5</v>
      </c>
      <c r="O1222" s="7">
        <v>0.5</v>
      </c>
      <c r="P1222" s="1" t="s">
        <v>11104</v>
      </c>
    </row>
    <row r="1223" spans="1:16" ht="33.4" x14ac:dyDescent="0.3">
      <c r="A1223" s="6" t="str">
        <f>HYPERLINK("https://www.ti.com/product/LMQ61460", "LMQ61460")</f>
        <v>LMQ61460</v>
      </c>
      <c r="B1223" s="5" t="s">
        <v>11105</v>
      </c>
      <c r="C1223" s="6" t="str">
        <f>HYPERLINK("https://www.ti.com/lit/gpn/LMQ61460", "PDF")</f>
        <v>PDF</v>
      </c>
      <c r="D1223" s="5" t="s">
        <v>11106</v>
      </c>
      <c r="E1223" s="5" t="s">
        <v>11107</v>
      </c>
      <c r="F1223" s="5" t="s">
        <v>11108</v>
      </c>
      <c r="G1223" s="5" t="s">
        <v>11109</v>
      </c>
      <c r="H1223" s="1" t="s">
        <v>11110</v>
      </c>
      <c r="I1223" s="5" t="s">
        <v>11111</v>
      </c>
      <c r="J1223" s="7">
        <v>14</v>
      </c>
      <c r="K1223" s="7">
        <v>14</v>
      </c>
      <c r="L1223" s="5" t="s">
        <v>11112</v>
      </c>
      <c r="M1223" s="7">
        <v>1</v>
      </c>
      <c r="N1223" s="7">
        <v>0.5</v>
      </c>
      <c r="O1223" s="7">
        <v>2.0129999999999999</v>
      </c>
      <c r="P1223" s="1" t="s">
        <v>11113</v>
      </c>
    </row>
    <row r="1224" spans="1:16" ht="33.4" x14ac:dyDescent="0.3">
      <c r="A1224" s="6" t="str">
        <f>HYPERLINK("https://www.ti.com/product/TPS552882", "TPS552882")</f>
        <v>TPS552882</v>
      </c>
      <c r="B1224" s="5" t="s">
        <v>11114</v>
      </c>
      <c r="C1224" s="6" t="str">
        <f>HYPERLINK("https://www.ti.com/lit/gpn/TPS552882", "PDF")</f>
        <v>PDF</v>
      </c>
      <c r="D1224" s="5" t="s">
        <v>11115</v>
      </c>
      <c r="E1224" s="5" t="s">
        <v>11116</v>
      </c>
      <c r="F1224" s="5" t="s">
        <v>11117</v>
      </c>
      <c r="G1224" s="5" t="s">
        <v>11118</v>
      </c>
      <c r="H1224" s="1" t="s">
        <v>11119</v>
      </c>
      <c r="I1224" s="5" t="s">
        <v>11120</v>
      </c>
      <c r="J1224" s="7">
        <v>26</v>
      </c>
      <c r="K1224" s="7">
        <v>14</v>
      </c>
      <c r="L1224" s="5" t="s">
        <v>11121</v>
      </c>
      <c r="M1224" s="7">
        <v>1</v>
      </c>
      <c r="N1224" s="7">
        <v>0.5</v>
      </c>
      <c r="O1224" s="7">
        <v>2.8980000000000001</v>
      </c>
      <c r="P1224" s="1" t="s">
        <v>11122</v>
      </c>
    </row>
    <row r="1225" spans="1:16" ht="49.75" x14ac:dyDescent="0.3">
      <c r="A1225" s="6" t="str">
        <f>HYPERLINK("https://www.ti.com/product/TPSM82821", "TPSM82821")</f>
        <v>TPSM82821</v>
      </c>
      <c r="B1225" s="5" t="s">
        <v>11123</v>
      </c>
      <c r="C1225" s="6" t="str">
        <f>HYPERLINK("https://www.ti.com/lit/gpn/TPSM82821", "PDF")</f>
        <v>PDF</v>
      </c>
      <c r="D1225" s="5" t="s">
        <v>11124</v>
      </c>
      <c r="E1225" s="5" t="s">
        <v>11125</v>
      </c>
      <c r="F1225" s="5" t="s">
        <v>11126</v>
      </c>
      <c r="G1225" s="5" t="s">
        <v>11127</v>
      </c>
      <c r="H1225" s="1" t="s">
        <v>11128</v>
      </c>
      <c r="I1225" s="5" t="s">
        <v>11129</v>
      </c>
      <c r="J1225" s="7">
        <v>10</v>
      </c>
      <c r="K1225" s="7" t="s">
        <v>11130</v>
      </c>
      <c r="L1225" s="5" t="s">
        <v>11131</v>
      </c>
      <c r="M1225" s="7" t="s">
        <v>11132</v>
      </c>
      <c r="N1225" s="7" t="s">
        <v>11133</v>
      </c>
      <c r="O1225" s="7">
        <v>0.99</v>
      </c>
      <c r="P1225" s="1" t="s">
        <v>11134</v>
      </c>
    </row>
    <row r="1226" spans="1:16" ht="49.75" x14ac:dyDescent="0.3">
      <c r="A1226" s="6" t="str">
        <f>HYPERLINK("https://www.ti.com/product/TPSM82822", "TPSM82822")</f>
        <v>TPSM82822</v>
      </c>
      <c r="B1226" s="5" t="s">
        <v>11135</v>
      </c>
      <c r="C1226" s="6" t="str">
        <f>HYPERLINK("https://www.ti.com/lit/gpn/TPSM82822", "PDF")</f>
        <v>PDF</v>
      </c>
      <c r="D1226" s="5" t="s">
        <v>11136</v>
      </c>
      <c r="E1226" s="5" t="s">
        <v>11137</v>
      </c>
      <c r="F1226" s="5" t="s">
        <v>11138</v>
      </c>
      <c r="G1226" s="5" t="s">
        <v>11139</v>
      </c>
      <c r="H1226" s="1" t="s">
        <v>11140</v>
      </c>
      <c r="I1226" s="5" t="s">
        <v>11141</v>
      </c>
      <c r="J1226" s="7">
        <v>10</v>
      </c>
      <c r="K1226" s="7" t="s">
        <v>11142</v>
      </c>
      <c r="L1226" s="5" t="s">
        <v>11143</v>
      </c>
      <c r="M1226" s="7" t="s">
        <v>11144</v>
      </c>
      <c r="N1226" s="7" t="s">
        <v>11145</v>
      </c>
      <c r="O1226" s="7">
        <v>1.23</v>
      </c>
      <c r="P1226" s="1" t="s">
        <v>11146</v>
      </c>
    </row>
    <row r="1227" spans="1:16" ht="49.75" x14ac:dyDescent="0.3">
      <c r="A1227" s="6" t="str">
        <f>HYPERLINK("https://www.ti.com/product/TPS7H4010-SEP", "TPS7H4010-SEP")</f>
        <v>TPS7H4010-SEP</v>
      </c>
      <c r="B1227" s="5" t="s">
        <v>11147</v>
      </c>
      <c r="C1227" s="6" t="str">
        <f>HYPERLINK("https://www.ti.com/lit/gpn/TPS7H4010-SEP", "PDF")</f>
        <v>PDF</v>
      </c>
      <c r="D1227" s="5" t="s">
        <v>11148</v>
      </c>
      <c r="E1227" s="5" t="s">
        <v>11149</v>
      </c>
      <c r="F1227" s="5" t="s">
        <v>11150</v>
      </c>
      <c r="G1227" s="5" t="s">
        <v>11151</v>
      </c>
      <c r="H1227" s="1" t="s">
        <v>11152</v>
      </c>
      <c r="I1227" s="5" t="s">
        <v>11153</v>
      </c>
      <c r="J1227" s="7" t="s">
        <v>11154</v>
      </c>
      <c r="K1227" s="7" t="s">
        <v>11155</v>
      </c>
      <c r="L1227" s="5" t="s">
        <v>11156</v>
      </c>
      <c r="M1227" s="7" t="s">
        <v>11157</v>
      </c>
      <c r="N1227" s="7" t="s">
        <v>11158</v>
      </c>
      <c r="O1227" s="7">
        <v>526.42200000000003</v>
      </c>
      <c r="P1227" s="1" t="s">
        <v>11159</v>
      </c>
    </row>
    <row r="1228" spans="1:16" ht="33.4" x14ac:dyDescent="0.3">
      <c r="A1228" s="6" t="str">
        <f>HYPERLINK("https://www.ti.com/product/LM25183", "LM25183")</f>
        <v>LM25183</v>
      </c>
      <c r="B1228" s="5" t="s">
        <v>11160</v>
      </c>
      <c r="C1228" s="6" t="str">
        <f>HYPERLINK("https://www.ti.com/lit/gpn/LM25183", "PDF")</f>
        <v>PDF</v>
      </c>
      <c r="D1228" s="5" t="s">
        <v>11161</v>
      </c>
      <c r="E1228" s="5" t="s">
        <v>11162</v>
      </c>
      <c r="F1228" s="5" t="s">
        <v>11163</v>
      </c>
      <c r="G1228" s="5" t="s">
        <v>11164</v>
      </c>
      <c r="H1228" s="1" t="s">
        <v>11165</v>
      </c>
      <c r="I1228" s="5" t="s">
        <v>11166</v>
      </c>
      <c r="J1228" s="7">
        <v>8</v>
      </c>
      <c r="K1228" s="7">
        <v>16</v>
      </c>
      <c r="L1228" s="5" t="s">
        <v>11167</v>
      </c>
      <c r="M1228" s="7">
        <v>0.8</v>
      </c>
      <c r="N1228" s="7">
        <v>0.8</v>
      </c>
      <c r="O1228" s="7">
        <v>2.0110000000000001</v>
      </c>
      <c r="P1228" s="1" t="s">
        <v>11168</v>
      </c>
    </row>
    <row r="1229" spans="1:16" ht="33.4" x14ac:dyDescent="0.3">
      <c r="A1229" s="6" t="str">
        <f>HYPERLINK("https://www.ti.com/product/TPS542A52", "TPS542A52")</f>
        <v>TPS542A52</v>
      </c>
      <c r="B1229" s="5" t="s">
        <v>11169</v>
      </c>
      <c r="C1229" s="6" t="str">
        <f>HYPERLINK("https://www.ti.com/lit/gpn/TPS542A52", "PDF")</f>
        <v>PDF</v>
      </c>
      <c r="D1229" s="5" t="s">
        <v>11170</v>
      </c>
      <c r="E1229" s="5" t="s">
        <v>11171</v>
      </c>
      <c r="F1229" s="5" t="s">
        <v>11172</v>
      </c>
      <c r="G1229" s="5" t="s">
        <v>11173</v>
      </c>
      <c r="H1229" s="1" t="s">
        <v>11174</v>
      </c>
      <c r="I1229" s="5" t="s">
        <v>11175</v>
      </c>
      <c r="J1229" s="7">
        <v>33</v>
      </c>
      <c r="K1229" s="7">
        <v>18</v>
      </c>
      <c r="L1229" s="5" t="s">
        <v>11176</v>
      </c>
      <c r="M1229" s="7">
        <v>1</v>
      </c>
      <c r="N1229" s="7">
        <v>0.5</v>
      </c>
      <c r="O1229" s="7">
        <v>2.9729999999999999</v>
      </c>
      <c r="P1229" s="1" t="s">
        <v>11177</v>
      </c>
    </row>
    <row r="1230" spans="1:16" ht="33.4" x14ac:dyDescent="0.3">
      <c r="A1230" s="6" t="str">
        <f>HYPERLINK("https://www.ti.com/product/TPS7B83-Q1", "TPS7B83-Q1")</f>
        <v>TPS7B83-Q1</v>
      </c>
      <c r="B1230" s="5" t="s">
        <v>11178</v>
      </c>
      <c r="C1230" s="6" t="str">
        <f>HYPERLINK("https://www.ti.com/lit/gpn/TPS7B83-Q1", "PDF")</f>
        <v>PDF</v>
      </c>
      <c r="D1230" s="5" t="s">
        <v>11179</v>
      </c>
      <c r="E1230" s="5" t="s">
        <v>11180</v>
      </c>
      <c r="F1230" s="5"/>
      <c r="G1230" s="5" t="s">
        <v>11181</v>
      </c>
      <c r="H1230" s="1" t="s">
        <v>11182</v>
      </c>
      <c r="I1230" s="5" t="s">
        <v>11183</v>
      </c>
      <c r="J1230" s="7">
        <v>4</v>
      </c>
      <c r="K1230" s="7">
        <v>45.5</v>
      </c>
      <c r="L1230" s="5" t="s">
        <v>11184</v>
      </c>
      <c r="M1230" s="7">
        <v>1.8</v>
      </c>
      <c r="N1230" s="7">
        <v>2.2999999999999998</v>
      </c>
      <c r="O1230" s="7">
        <v>0.58299999999999996</v>
      </c>
      <c r="P1230" s="1" t="s">
        <v>11185</v>
      </c>
    </row>
    <row r="1231" spans="1:16" ht="33.4" x14ac:dyDescent="0.3">
      <c r="A1231" s="6" t="str">
        <f>HYPERLINK("https://www.ti.com/product/TPS7B84-Q1", "TPS7B84-Q1")</f>
        <v>TPS7B84-Q1</v>
      </c>
      <c r="B1231" s="5" t="s">
        <v>11186</v>
      </c>
      <c r="C1231" s="6" t="str">
        <f>HYPERLINK("https://www.ti.com/lit/gpn/TPS7B84-Q1", "PDF")</f>
        <v>PDF</v>
      </c>
      <c r="D1231" s="5" t="s">
        <v>11187</v>
      </c>
      <c r="E1231" s="5" t="s">
        <v>11188</v>
      </c>
      <c r="F1231" s="5"/>
      <c r="G1231" s="5" t="s">
        <v>11189</v>
      </c>
      <c r="H1231" s="1" t="s">
        <v>11190</v>
      </c>
      <c r="I1231" s="5" t="s">
        <v>11191</v>
      </c>
      <c r="J1231" s="7" t="s">
        <v>11192</v>
      </c>
      <c r="K1231" s="7" t="s">
        <v>11193</v>
      </c>
      <c r="L1231" s="5" t="s">
        <v>11194</v>
      </c>
      <c r="M1231" s="7" t="s">
        <v>11195</v>
      </c>
      <c r="N1231" s="7" t="s">
        <v>11196</v>
      </c>
      <c r="O1231" s="7">
        <v>0.64500000000000002</v>
      </c>
      <c r="P1231" s="1" t="s">
        <v>11197</v>
      </c>
    </row>
    <row r="1232" spans="1:16" ht="33.4" x14ac:dyDescent="0.3">
      <c r="A1232" s="6" t="str">
        <f>HYPERLINK("https://www.ti.com/product/UCC21710", "UCC21710")</f>
        <v>UCC21710</v>
      </c>
      <c r="B1232" s="5" t="s">
        <v>11198</v>
      </c>
      <c r="C1232" s="6" t="str">
        <f>HYPERLINK("https://www.ti.com/lit/gpn/UCC21710", "PDF")</f>
        <v>PDF</v>
      </c>
      <c r="D1232" s="5" t="s">
        <v>11199</v>
      </c>
      <c r="E1232" s="5" t="s">
        <v>11200</v>
      </c>
      <c r="F1232" s="5"/>
      <c r="G1232" s="5" t="s">
        <v>11201</v>
      </c>
      <c r="H1232" s="1" t="s">
        <v>11202</v>
      </c>
      <c r="I1232" s="5" t="s">
        <v>11203</v>
      </c>
      <c r="J1232" s="7">
        <v>16</v>
      </c>
      <c r="K1232" s="7">
        <v>106.09</v>
      </c>
      <c r="L1232" s="5" t="s">
        <v>11204</v>
      </c>
      <c r="M1232" s="7">
        <v>2.65</v>
      </c>
      <c r="N1232" s="7">
        <v>1.27</v>
      </c>
      <c r="O1232" s="7">
        <v>2.0699999999999998</v>
      </c>
      <c r="P1232" s="1" t="s">
        <v>11205</v>
      </c>
    </row>
    <row r="1233" spans="1:16" ht="17.05" x14ac:dyDescent="0.3">
      <c r="A1233" s="6" t="str">
        <f>HYPERLINK("https://www.ti.com/product/TPS6521835", "TPS6521835")</f>
        <v>TPS6521835</v>
      </c>
      <c r="B1233" s="5" t="s">
        <v>11206</v>
      </c>
      <c r="C1233" s="6" t="str">
        <f>HYPERLINK("https://www.ti.com/lit/gpn/TPS6521835", "PDF")</f>
        <v>PDF</v>
      </c>
      <c r="D1233" s="5" t="s">
        <v>11207</v>
      </c>
      <c r="E1233" s="5" t="s">
        <v>11208</v>
      </c>
      <c r="F1233" s="5"/>
      <c r="G1233" s="5" t="s">
        <v>11209</v>
      </c>
      <c r="H1233" s="1" t="s">
        <v>11210</v>
      </c>
      <c r="I1233" s="5" t="s">
        <v>11211</v>
      </c>
      <c r="J1233" s="7">
        <v>48</v>
      </c>
      <c r="K1233" s="7">
        <v>36</v>
      </c>
      <c r="L1233" s="5" t="s">
        <v>11212</v>
      </c>
      <c r="M1233" s="7">
        <v>1</v>
      </c>
      <c r="N1233" s="7">
        <v>0.4</v>
      </c>
      <c r="O1233" s="7">
        <v>1.3</v>
      </c>
      <c r="P1233" s="1" t="s">
        <v>11213</v>
      </c>
    </row>
    <row r="1234" spans="1:16" ht="17.05" x14ac:dyDescent="0.3">
      <c r="A1234" s="6" t="str">
        <f>HYPERLINK("https://www.ti.com/product/TPS6521845", "TPS6521845")</f>
        <v>TPS6521845</v>
      </c>
      <c r="B1234" s="5" t="s">
        <v>11214</v>
      </c>
      <c r="C1234" s="6" t="str">
        <f>HYPERLINK("https://www.ti.com/lit/gpn/TPS6521845", "PDF")</f>
        <v>PDF</v>
      </c>
      <c r="D1234" s="5" t="s">
        <v>11215</v>
      </c>
      <c r="E1234" s="5" t="s">
        <v>11216</v>
      </c>
      <c r="F1234" s="5"/>
      <c r="G1234" s="5" t="s">
        <v>11217</v>
      </c>
      <c r="H1234" s="1" t="s">
        <v>11218</v>
      </c>
      <c r="I1234" s="5" t="s">
        <v>11219</v>
      </c>
      <c r="J1234" s="7">
        <v>48</v>
      </c>
      <c r="K1234" s="7">
        <v>36</v>
      </c>
      <c r="L1234" s="5" t="s">
        <v>11220</v>
      </c>
      <c r="M1234" s="7">
        <v>1</v>
      </c>
      <c r="N1234" s="7">
        <v>0.4</v>
      </c>
      <c r="O1234" s="7">
        <v>1.3</v>
      </c>
      <c r="P1234" s="1" t="s">
        <v>11221</v>
      </c>
    </row>
    <row r="1235" spans="1:16" ht="33.4" x14ac:dyDescent="0.3">
      <c r="A1235" s="6" t="str">
        <f>HYPERLINK("https://www.ti.com/product/UCC5870-Q1", "UCC5870-Q1")</f>
        <v>UCC5870-Q1</v>
      </c>
      <c r="B1235" s="5" t="s">
        <v>11222</v>
      </c>
      <c r="C1235" s="6" t="str">
        <f>HYPERLINK("https://www.ti.com/lit/gpn/UCC5870-Q1", "PDF")</f>
        <v>PDF</v>
      </c>
      <c r="D1235" s="5" t="s">
        <v>11223</v>
      </c>
      <c r="E1235" s="5" t="s">
        <v>11224</v>
      </c>
      <c r="F1235" s="5"/>
      <c r="G1235" s="5" t="s">
        <v>11225</v>
      </c>
      <c r="H1235" s="1" t="s">
        <v>11226</v>
      </c>
      <c r="I1235" s="5" t="s">
        <v>11227</v>
      </c>
      <c r="J1235" s="7">
        <v>36</v>
      </c>
      <c r="K1235" s="7">
        <v>131.84</v>
      </c>
      <c r="L1235" s="5" t="s">
        <v>11228</v>
      </c>
      <c r="M1235" s="7">
        <v>3.55</v>
      </c>
      <c r="N1235" s="7">
        <v>0.65</v>
      </c>
      <c r="O1235" s="7">
        <v>7.4640000000000004</v>
      </c>
      <c r="P1235" s="1" t="s">
        <v>11229</v>
      </c>
    </row>
    <row r="1236" spans="1:16" ht="33.4" x14ac:dyDescent="0.3">
      <c r="A1236" s="6" t="str">
        <f>HYPERLINK("https://www.ti.com/product/TPS543620", "TPS543620")</f>
        <v>TPS543620</v>
      </c>
      <c r="B1236" s="5" t="s">
        <v>11230</v>
      </c>
      <c r="C1236" s="6" t="str">
        <f>HYPERLINK("https://www.ti.com/lit/gpn/TPS543620", "PDF")</f>
        <v>PDF</v>
      </c>
      <c r="D1236" s="5" t="s">
        <v>11231</v>
      </c>
      <c r="E1236" s="5" t="s">
        <v>11232</v>
      </c>
      <c r="F1236" s="5" t="s">
        <v>11233</v>
      </c>
      <c r="G1236" s="5" t="s">
        <v>11234</v>
      </c>
      <c r="H1236" s="1" t="s">
        <v>11235</v>
      </c>
      <c r="I1236" s="5" t="s">
        <v>11236</v>
      </c>
      <c r="J1236" s="7">
        <v>14</v>
      </c>
      <c r="K1236" s="7">
        <v>7.5</v>
      </c>
      <c r="L1236" s="5" t="s">
        <v>11237</v>
      </c>
      <c r="M1236" s="7">
        <v>1</v>
      </c>
      <c r="N1236" s="7">
        <v>0.5</v>
      </c>
      <c r="O1236" s="7">
        <v>1.1879999999999999</v>
      </c>
      <c r="P1236" s="1" t="s">
        <v>11238</v>
      </c>
    </row>
    <row r="1237" spans="1:16" ht="49.75" x14ac:dyDescent="0.3">
      <c r="A1237" s="6" t="str">
        <f>HYPERLINK("https://www.ti.com/product/TPS628502-Q1", "TPS628502-Q1")</f>
        <v>TPS628502-Q1</v>
      </c>
      <c r="B1237" s="5" t="s">
        <v>11239</v>
      </c>
      <c r="C1237" s="6" t="str">
        <f>HYPERLINK("https://www.ti.com/lit/gpn/TPS628502-Q1", "PDF")</f>
        <v>PDF</v>
      </c>
      <c r="D1237" s="5" t="s">
        <v>11240</v>
      </c>
      <c r="E1237" s="5" t="s">
        <v>11241</v>
      </c>
      <c r="F1237" s="5" t="s">
        <v>11242</v>
      </c>
      <c r="G1237" s="5" t="s">
        <v>11243</v>
      </c>
      <c r="H1237" s="1" t="s">
        <v>11244</v>
      </c>
      <c r="I1237" s="5" t="s">
        <v>11245</v>
      </c>
      <c r="J1237" s="7">
        <v>8</v>
      </c>
      <c r="K1237" s="7" t="s">
        <v>11246</v>
      </c>
      <c r="L1237" s="5" t="s">
        <v>11247</v>
      </c>
      <c r="M1237" s="7">
        <v>0.6</v>
      </c>
      <c r="N1237" s="7">
        <v>0.5</v>
      </c>
      <c r="O1237" s="7">
        <v>0.66600000000000004</v>
      </c>
      <c r="P1237" s="1" t="s">
        <v>11248</v>
      </c>
    </row>
    <row r="1238" spans="1:16" ht="33.4" x14ac:dyDescent="0.3">
      <c r="A1238" s="6" t="str">
        <f>HYPERLINK("https://www.ti.com/product/UCC27284-Q1", "UCC27284-Q1")</f>
        <v>UCC27284-Q1</v>
      </c>
      <c r="B1238" s="5" t="s">
        <v>11249</v>
      </c>
      <c r="C1238" s="6" t="str">
        <f>HYPERLINK("https://www.ti.com/lit/gpn/UCC27284-Q1", "PDF")</f>
        <v>PDF</v>
      </c>
      <c r="D1238" s="5" t="s">
        <v>11250</v>
      </c>
      <c r="E1238" s="5" t="s">
        <v>11251</v>
      </c>
      <c r="F1238" s="5"/>
      <c r="G1238" s="5" t="s">
        <v>11252</v>
      </c>
      <c r="H1238" s="1" t="s">
        <v>11253</v>
      </c>
      <c r="I1238" s="5" t="s">
        <v>11254</v>
      </c>
      <c r="J1238" s="7">
        <v>8</v>
      </c>
      <c r="K1238" s="7">
        <v>29.4</v>
      </c>
      <c r="L1238" s="5" t="s">
        <v>11255</v>
      </c>
      <c r="M1238" s="7">
        <v>1.75</v>
      </c>
      <c r="N1238" s="7">
        <v>1.27</v>
      </c>
      <c r="O1238" s="7">
        <v>1.161</v>
      </c>
      <c r="P1238" s="1" t="s">
        <v>11256</v>
      </c>
    </row>
    <row r="1239" spans="1:16" ht="33.4" x14ac:dyDescent="0.3">
      <c r="A1239" s="6" t="str">
        <f>HYPERLINK("https://www.ti.com/product/TPS274160", "TPS274160")</f>
        <v>TPS274160</v>
      </c>
      <c r="B1239" s="5" t="s">
        <v>11257</v>
      </c>
      <c r="C1239" s="6" t="str">
        <f>HYPERLINK("https://www.ti.com/lit/gpn/TPS274160", "PDF")</f>
        <v>PDF</v>
      </c>
      <c r="D1239" s="5" t="s">
        <v>11258</v>
      </c>
      <c r="E1239" s="5" t="s">
        <v>11259</v>
      </c>
      <c r="F1239" s="5"/>
      <c r="G1239" s="5" t="s">
        <v>11260</v>
      </c>
      <c r="H1239" s="1" t="s">
        <v>11261</v>
      </c>
      <c r="I1239" s="5" t="s">
        <v>11262</v>
      </c>
      <c r="J1239" s="7">
        <v>28</v>
      </c>
      <c r="K1239" s="7">
        <v>20</v>
      </c>
      <c r="L1239" s="5" t="s">
        <v>11263</v>
      </c>
      <c r="M1239" s="7">
        <v>0.8</v>
      </c>
      <c r="N1239" s="7">
        <v>0.5</v>
      </c>
      <c r="O1239" s="7">
        <v>1.1879999999999999</v>
      </c>
      <c r="P1239" s="1" t="s">
        <v>11264</v>
      </c>
    </row>
    <row r="1240" spans="1:16" ht="33.4" x14ac:dyDescent="0.3">
      <c r="A1240" s="6" t="str">
        <f>HYPERLINK("https://www.ti.com/product/TPS562207S", "TPS562207S")</f>
        <v>TPS562207S</v>
      </c>
      <c r="B1240" s="5" t="s">
        <v>11265</v>
      </c>
      <c r="C1240" s="6" t="str">
        <f>HYPERLINK("https://www.ti.com/lit/gpn/TPS562207S", "PDF")</f>
        <v>PDF</v>
      </c>
      <c r="D1240" s="5" t="s">
        <v>11266</v>
      </c>
      <c r="E1240" s="5" t="s">
        <v>11267</v>
      </c>
      <c r="F1240" s="5" t="s">
        <v>11268</v>
      </c>
      <c r="G1240" s="5" t="s">
        <v>11269</v>
      </c>
      <c r="H1240" s="1" t="s">
        <v>11270</v>
      </c>
      <c r="I1240" s="5" t="s">
        <v>11271</v>
      </c>
      <c r="J1240" s="7">
        <v>6</v>
      </c>
      <c r="K1240" s="7">
        <v>2.56</v>
      </c>
      <c r="L1240" s="5" t="s">
        <v>11272</v>
      </c>
      <c r="M1240" s="7">
        <v>0.6</v>
      </c>
      <c r="N1240" s="7">
        <v>0.5</v>
      </c>
      <c r="O1240" s="7">
        <v>8.1000000000000003E-2</v>
      </c>
      <c r="P1240" s="1" t="s">
        <v>11273</v>
      </c>
    </row>
    <row r="1241" spans="1:16" ht="33.4" x14ac:dyDescent="0.3">
      <c r="A1241" s="6" t="str">
        <f>HYPERLINK("https://www.ti.com/product/LMR50410", "LMR50410")</f>
        <v>LMR50410</v>
      </c>
      <c r="B1241" s="5" t="s">
        <v>11274</v>
      </c>
      <c r="C1241" s="6" t="str">
        <f>HYPERLINK("https://www.ti.com/lit/gpn/LMR50410", "PDF")</f>
        <v>PDF</v>
      </c>
      <c r="D1241" s="5" t="s">
        <v>11275</v>
      </c>
      <c r="E1241" s="5" t="s">
        <v>11276</v>
      </c>
      <c r="F1241" s="5" t="s">
        <v>11277</v>
      </c>
      <c r="G1241" s="5" t="s">
        <v>11278</v>
      </c>
      <c r="H1241" s="1" t="s">
        <v>11279</v>
      </c>
      <c r="I1241" s="5" t="s">
        <v>11280</v>
      </c>
      <c r="J1241" s="7">
        <v>6</v>
      </c>
      <c r="K1241" s="7">
        <v>8.1199999999999992</v>
      </c>
      <c r="L1241" s="5" t="s">
        <v>11281</v>
      </c>
      <c r="M1241" s="7">
        <v>1.45</v>
      </c>
      <c r="N1241" s="7">
        <v>0.95</v>
      </c>
      <c r="O1241" s="7">
        <v>0.44600000000000001</v>
      </c>
      <c r="P1241" s="1" t="s">
        <v>11282</v>
      </c>
    </row>
    <row r="1242" spans="1:16" ht="33.4" x14ac:dyDescent="0.3">
      <c r="A1242" s="6" t="str">
        <f>HYPERLINK("https://www.ti.com/product/TPS784-Q1", "TPS784-Q1")</f>
        <v>TPS784-Q1</v>
      </c>
      <c r="B1242" s="5" t="s">
        <v>11283</v>
      </c>
      <c r="C1242" s="6" t="str">
        <f>HYPERLINK("https://www.ti.com/lit/gpn/TPS784-Q1", "PDF")</f>
        <v>PDF</v>
      </c>
      <c r="D1242" s="5" t="s">
        <v>11284</v>
      </c>
      <c r="E1242" s="5" t="s">
        <v>11285</v>
      </c>
      <c r="F1242" s="5"/>
      <c r="G1242" s="5" t="s">
        <v>11286</v>
      </c>
      <c r="H1242" s="1" t="s">
        <v>11287</v>
      </c>
      <c r="I1242" s="5" t="s">
        <v>11288</v>
      </c>
      <c r="J1242" s="7" t="s">
        <v>11289</v>
      </c>
      <c r="K1242" s="7" t="s">
        <v>11290</v>
      </c>
      <c r="L1242" s="5" t="s">
        <v>11291</v>
      </c>
      <c r="M1242" s="7" t="s">
        <v>11292</v>
      </c>
      <c r="N1242" s="7" t="s">
        <v>11293</v>
      </c>
      <c r="O1242" s="7">
        <v>0.27100000000000002</v>
      </c>
      <c r="P1242" s="1" t="s">
        <v>11294</v>
      </c>
    </row>
    <row r="1243" spans="1:16" ht="33.4" x14ac:dyDescent="0.3">
      <c r="A1243" s="6" t="str">
        <f>HYPERLINK("https://www.ti.com/product/CSD95420RCB", "CSD95420RCB")</f>
        <v>CSD95420RCB</v>
      </c>
      <c r="B1243" s="5" t="s">
        <v>11295</v>
      </c>
      <c r="C1243" s="6" t="str">
        <f>HYPERLINK("https://www.ti.com/lit/gpn/CSD95420RCB", "PDF")</f>
        <v>PDF</v>
      </c>
      <c r="D1243" s="5" t="s">
        <v>11296</v>
      </c>
      <c r="E1243" s="5" t="s">
        <v>11297</v>
      </c>
      <c r="F1243" s="5"/>
      <c r="G1243" s="5" t="s">
        <v>11298</v>
      </c>
      <c r="H1243" s="1" t="s">
        <v>11299</v>
      </c>
      <c r="I1243" s="5" t="s">
        <v>11300</v>
      </c>
      <c r="J1243" s="7">
        <v>27</v>
      </c>
      <c r="K1243" s="7">
        <v>20</v>
      </c>
      <c r="L1243" s="5" t="s">
        <v>11301</v>
      </c>
      <c r="M1243" s="7">
        <v>1.05</v>
      </c>
      <c r="N1243" s="7">
        <v>0.5</v>
      </c>
      <c r="O1243" s="7">
        <v>1.748</v>
      </c>
      <c r="P1243" s="1" t="s">
        <v>11302</v>
      </c>
    </row>
    <row r="1244" spans="1:16" ht="33.4" x14ac:dyDescent="0.3">
      <c r="A1244" s="6" t="str">
        <f>HYPERLINK("https://www.ti.com/product/TPS27SA08", "TPS27SA08")</f>
        <v>TPS27SA08</v>
      </c>
      <c r="B1244" s="5" t="s">
        <v>11303</v>
      </c>
      <c r="C1244" s="6" t="str">
        <f>HYPERLINK("https://www.ti.com/lit/gpn/TPS27SA08", "PDF")</f>
        <v>PDF</v>
      </c>
      <c r="D1244" s="5" t="s">
        <v>11304</v>
      </c>
      <c r="E1244" s="5" t="s">
        <v>11305</v>
      </c>
      <c r="F1244" s="5"/>
      <c r="G1244" s="5" t="s">
        <v>11306</v>
      </c>
      <c r="H1244" s="1" t="s">
        <v>11307</v>
      </c>
      <c r="I1244" s="5" t="s">
        <v>11308</v>
      </c>
      <c r="J1244" s="7">
        <v>16</v>
      </c>
      <c r="K1244" s="7">
        <v>32</v>
      </c>
      <c r="L1244" s="5" t="s">
        <v>11309</v>
      </c>
      <c r="M1244" s="7">
        <v>1.2</v>
      </c>
      <c r="N1244" s="7">
        <v>0.65</v>
      </c>
      <c r="O1244" s="7">
        <v>1.1830000000000001</v>
      </c>
      <c r="P1244" s="1" t="s">
        <v>11310</v>
      </c>
    </row>
    <row r="1245" spans="1:16" ht="33.4" x14ac:dyDescent="0.3">
      <c r="A1245" s="6" t="str">
        <f>HYPERLINK("https://www.ti.com/product/TPS542A50", "TPS542A50")</f>
        <v>TPS542A50</v>
      </c>
      <c r="B1245" s="5" t="s">
        <v>11311</v>
      </c>
      <c r="C1245" s="6" t="str">
        <f>HYPERLINK("https://www.ti.com/lit/gpn/TPS542A50", "PDF")</f>
        <v>PDF</v>
      </c>
      <c r="D1245" s="5" t="s">
        <v>11312</v>
      </c>
      <c r="E1245" s="5" t="s">
        <v>11313</v>
      </c>
      <c r="F1245" s="5" t="s">
        <v>11314</v>
      </c>
      <c r="G1245" s="5" t="s">
        <v>11315</v>
      </c>
      <c r="H1245" s="1" t="s">
        <v>11316</v>
      </c>
      <c r="I1245" s="5" t="s">
        <v>11317</v>
      </c>
      <c r="J1245" s="7">
        <v>33</v>
      </c>
      <c r="K1245" s="7">
        <v>18</v>
      </c>
      <c r="L1245" s="5" t="s">
        <v>11318</v>
      </c>
      <c r="M1245" s="7">
        <v>1</v>
      </c>
      <c r="N1245" s="7">
        <v>0.5</v>
      </c>
      <c r="O1245" s="7">
        <v>3.4159999999999999</v>
      </c>
      <c r="P1245" s="1" t="s">
        <v>11319</v>
      </c>
    </row>
    <row r="1246" spans="1:16" ht="33.4" x14ac:dyDescent="0.3">
      <c r="A1246" s="6" t="str">
        <f>HYPERLINK("https://www.ti.com/product/TPS546A24A", "TPS546A24A")</f>
        <v>TPS546A24A</v>
      </c>
      <c r="B1246" s="5" t="s">
        <v>11320</v>
      </c>
      <c r="C1246" s="6" t="str">
        <f>HYPERLINK("https://www.ti.com/lit/gpn/TPS546A24A", "PDF")</f>
        <v>PDF</v>
      </c>
      <c r="D1246" s="5" t="s">
        <v>11321</v>
      </c>
      <c r="E1246" s="5" t="s">
        <v>11322</v>
      </c>
      <c r="F1246" s="5" t="s">
        <v>11323</v>
      </c>
      <c r="G1246" s="5" t="s">
        <v>11324</v>
      </c>
      <c r="H1246" s="1" t="s">
        <v>11325</v>
      </c>
      <c r="I1246" s="5" t="s">
        <v>11326</v>
      </c>
      <c r="J1246" s="7">
        <v>40</v>
      </c>
      <c r="K1246" s="7">
        <v>35</v>
      </c>
      <c r="L1246" s="5" t="s">
        <v>11327</v>
      </c>
      <c r="M1246" s="7">
        <v>1.52</v>
      </c>
      <c r="N1246" s="7">
        <v>0.5</v>
      </c>
      <c r="O1246" s="7">
        <v>2.5880000000000001</v>
      </c>
      <c r="P1246" s="1" t="s">
        <v>11328</v>
      </c>
    </row>
    <row r="1247" spans="1:16" ht="33.4" x14ac:dyDescent="0.3">
      <c r="A1247" s="6" t="str">
        <f>HYPERLINK("https://www.ti.com/product/TPS54J061", "TPS54J061")</f>
        <v>TPS54J061</v>
      </c>
      <c r="B1247" s="5" t="s">
        <v>11329</v>
      </c>
      <c r="C1247" s="6" t="str">
        <f>HYPERLINK("https://www.ti.com/lit/gpn/TPS54J061", "PDF")</f>
        <v>PDF</v>
      </c>
      <c r="D1247" s="5" t="s">
        <v>11330</v>
      </c>
      <c r="E1247" s="5" t="s">
        <v>11331</v>
      </c>
      <c r="F1247" s="5" t="s">
        <v>11332</v>
      </c>
      <c r="G1247" s="5" t="s">
        <v>11333</v>
      </c>
      <c r="H1247" s="1" t="s">
        <v>11334</v>
      </c>
      <c r="I1247" s="5" t="s">
        <v>11335</v>
      </c>
      <c r="J1247" s="7">
        <v>14</v>
      </c>
      <c r="K1247" s="7">
        <v>6</v>
      </c>
      <c r="L1247" s="5" t="s">
        <v>11336</v>
      </c>
      <c r="M1247" s="7">
        <v>1</v>
      </c>
      <c r="N1247" s="7">
        <v>0.5</v>
      </c>
      <c r="O1247" s="7">
        <v>1.05</v>
      </c>
      <c r="P1247" s="1" t="s">
        <v>11337</v>
      </c>
    </row>
    <row r="1248" spans="1:16" ht="33.4" x14ac:dyDescent="0.3">
      <c r="A1248" s="6" t="str">
        <f>HYPERLINK("https://www.ti.com/product/TPS562202S", "TPS562202S")</f>
        <v>TPS562202S</v>
      </c>
      <c r="B1248" s="5" t="s">
        <v>11338</v>
      </c>
      <c r="C1248" s="6" t="str">
        <f>HYPERLINK("https://www.ti.com/lit/gpn/TPS562202S", "PDF")</f>
        <v>PDF</v>
      </c>
      <c r="D1248" s="5" t="s">
        <v>11339</v>
      </c>
      <c r="E1248" s="5" t="s">
        <v>11340</v>
      </c>
      <c r="F1248" s="5" t="s">
        <v>11341</v>
      </c>
      <c r="G1248" s="5" t="s">
        <v>11342</v>
      </c>
      <c r="H1248" s="1" t="s">
        <v>11343</v>
      </c>
      <c r="I1248" s="5" t="s">
        <v>11344</v>
      </c>
      <c r="J1248" s="7">
        <v>6</v>
      </c>
      <c r="K1248" s="7">
        <v>2.56</v>
      </c>
      <c r="L1248" s="5" t="s">
        <v>11345</v>
      </c>
      <c r="M1248" s="7">
        <v>0.6</v>
      </c>
      <c r="N1248" s="7">
        <v>0.5</v>
      </c>
      <c r="O1248" s="7">
        <v>8.1000000000000003E-2</v>
      </c>
      <c r="P1248" s="1" t="s">
        <v>11346</v>
      </c>
    </row>
    <row r="1249" spans="1:16" ht="33.4" x14ac:dyDescent="0.3">
      <c r="A1249" s="6" t="str">
        <f>HYPERLINK("https://www.ti.com/product/TPS563202S", "TPS563202S")</f>
        <v>TPS563202S</v>
      </c>
      <c r="B1249" s="5" t="s">
        <v>11347</v>
      </c>
      <c r="C1249" s="6" t="str">
        <f>HYPERLINK("https://www.ti.com/lit/gpn/TPS563202S", "PDF")</f>
        <v>PDF</v>
      </c>
      <c r="D1249" s="5" t="s">
        <v>11348</v>
      </c>
      <c r="E1249" s="5" t="s">
        <v>11349</v>
      </c>
      <c r="F1249" s="5" t="s">
        <v>11350</v>
      </c>
      <c r="G1249" s="5" t="s">
        <v>11351</v>
      </c>
      <c r="H1249" s="1" t="s">
        <v>11352</v>
      </c>
      <c r="I1249" s="5" t="s">
        <v>11353</v>
      </c>
      <c r="J1249" s="7">
        <v>6</v>
      </c>
      <c r="K1249" s="7">
        <v>2.56</v>
      </c>
      <c r="L1249" s="5" t="s">
        <v>11354</v>
      </c>
      <c r="M1249" s="7">
        <v>0.6</v>
      </c>
      <c r="N1249" s="7">
        <v>0.5</v>
      </c>
      <c r="O1249" s="7">
        <v>9.1999999999999998E-2</v>
      </c>
      <c r="P1249" s="1" t="s">
        <v>11355</v>
      </c>
    </row>
    <row r="1250" spans="1:16" ht="33.4" x14ac:dyDescent="0.3">
      <c r="A1250" s="6" t="str">
        <f>HYPERLINK("https://www.ti.com/product/TPS563207S", "TPS563207S")</f>
        <v>TPS563207S</v>
      </c>
      <c r="B1250" s="5" t="s">
        <v>11356</v>
      </c>
      <c r="C1250" s="6" t="str">
        <f>HYPERLINK("https://www.ti.com/lit/gpn/TPS563207S", "PDF")</f>
        <v>PDF</v>
      </c>
      <c r="D1250" s="5" t="s">
        <v>11357</v>
      </c>
      <c r="E1250" s="5" t="s">
        <v>11358</v>
      </c>
      <c r="F1250" s="5" t="s">
        <v>11359</v>
      </c>
      <c r="G1250" s="5" t="s">
        <v>11360</v>
      </c>
      <c r="H1250" s="1" t="s">
        <v>11361</v>
      </c>
      <c r="I1250" s="5" t="s">
        <v>11362</v>
      </c>
      <c r="J1250" s="7">
        <v>6</v>
      </c>
      <c r="K1250" s="7">
        <v>2.56</v>
      </c>
      <c r="L1250" s="5" t="s">
        <v>11363</v>
      </c>
      <c r="M1250" s="7">
        <v>0.6</v>
      </c>
      <c r="N1250" s="7">
        <v>0.5</v>
      </c>
      <c r="O1250" s="7">
        <v>9.1999999999999998E-2</v>
      </c>
      <c r="P1250" s="1" t="s">
        <v>11364</v>
      </c>
    </row>
    <row r="1251" spans="1:16" ht="33.4" x14ac:dyDescent="0.3">
      <c r="A1251" s="6" t="str">
        <f>HYPERLINK("https://www.ti.com/product/UCC21732", "UCC21732")</f>
        <v>UCC21732</v>
      </c>
      <c r="B1251" s="5" t="s">
        <v>11365</v>
      </c>
      <c r="C1251" s="6" t="str">
        <f>HYPERLINK("https://www.ti.com/lit/gpn/UCC21732", "PDF")</f>
        <v>PDF</v>
      </c>
      <c r="D1251" s="5" t="s">
        <v>11366</v>
      </c>
      <c r="E1251" s="5" t="s">
        <v>11367</v>
      </c>
      <c r="F1251" s="5"/>
      <c r="G1251" s="5" t="s">
        <v>11368</v>
      </c>
      <c r="H1251" s="1" t="s">
        <v>11369</v>
      </c>
      <c r="I1251" s="5" t="s">
        <v>11370</v>
      </c>
      <c r="J1251" s="7">
        <v>16</v>
      </c>
      <c r="K1251" s="7">
        <v>106.09</v>
      </c>
      <c r="L1251" s="5" t="s">
        <v>11371</v>
      </c>
      <c r="M1251" s="7">
        <v>2.65</v>
      </c>
      <c r="N1251" s="7">
        <v>1.27</v>
      </c>
      <c r="O1251" s="7">
        <v>2.0699999999999998</v>
      </c>
      <c r="P1251" s="1" t="s">
        <v>11372</v>
      </c>
    </row>
    <row r="1252" spans="1:16" ht="33.4" x14ac:dyDescent="0.3">
      <c r="A1252" s="6" t="str">
        <f>HYPERLINK("https://www.ti.com/product/LMQ61460-Q1", "LMQ61460-Q1")</f>
        <v>LMQ61460-Q1</v>
      </c>
      <c r="B1252" s="5" t="s">
        <v>11373</v>
      </c>
      <c r="C1252" s="6" t="str">
        <f>HYPERLINK("https://www.ti.com/lit/gpn/LMQ61460-Q1", "PDF")</f>
        <v>PDF</v>
      </c>
      <c r="D1252" s="5" t="s">
        <v>11374</v>
      </c>
      <c r="E1252" s="5" t="s">
        <v>11375</v>
      </c>
      <c r="F1252" s="5" t="s">
        <v>11376</v>
      </c>
      <c r="G1252" s="5" t="s">
        <v>11377</v>
      </c>
      <c r="H1252" s="1" t="s">
        <v>11378</v>
      </c>
      <c r="I1252" s="5" t="s">
        <v>11379</v>
      </c>
      <c r="J1252" s="7">
        <v>14</v>
      </c>
      <c r="K1252" s="7">
        <v>14</v>
      </c>
      <c r="L1252" s="5" t="s">
        <v>11380</v>
      </c>
      <c r="M1252" s="7">
        <v>1</v>
      </c>
      <c r="N1252" s="7">
        <v>0.5</v>
      </c>
      <c r="O1252" s="7">
        <v>2.234</v>
      </c>
      <c r="P1252" s="1" t="s">
        <v>11381</v>
      </c>
    </row>
    <row r="1253" spans="1:16" ht="33.4" x14ac:dyDescent="0.3">
      <c r="A1253" s="6" t="str">
        <f>HYPERLINK("https://www.ti.com/product/TPS63900", "TPS63900")</f>
        <v>TPS63900</v>
      </c>
      <c r="B1253" s="5" t="s">
        <v>11382</v>
      </c>
      <c r="C1253" s="6" t="str">
        <f>HYPERLINK("https://www.ti.com/lit/gpn/TPS63900", "PDF")</f>
        <v>PDF</v>
      </c>
      <c r="D1253" s="5" t="s">
        <v>11383</v>
      </c>
      <c r="E1253" s="5" t="s">
        <v>11384</v>
      </c>
      <c r="F1253" s="5" t="s">
        <v>11385</v>
      </c>
      <c r="G1253" s="5" t="s">
        <v>11386</v>
      </c>
      <c r="H1253" s="1" t="s">
        <v>11387</v>
      </c>
      <c r="I1253" s="5" t="s">
        <v>11388</v>
      </c>
      <c r="J1253" s="7">
        <v>10</v>
      </c>
      <c r="K1253" s="7">
        <v>6.25</v>
      </c>
      <c r="L1253" s="5" t="s">
        <v>11389</v>
      </c>
      <c r="M1253" s="7">
        <v>0.8</v>
      </c>
      <c r="N1253" s="7">
        <v>0.5</v>
      </c>
      <c r="O1253" s="7">
        <v>0.92</v>
      </c>
      <c r="P1253" s="1" t="s">
        <v>11390</v>
      </c>
    </row>
    <row r="1254" spans="1:16" ht="33.4" x14ac:dyDescent="0.3">
      <c r="A1254" s="6" t="str">
        <f>HYPERLINK("https://www.ti.com/product/TPS92663A-Q1", "TPS92663A-Q1")</f>
        <v>TPS92663A-Q1</v>
      </c>
      <c r="B1254" s="5" t="s">
        <v>11391</v>
      </c>
      <c r="C1254" s="6" t="str">
        <f>HYPERLINK("https://www.ti.com/lit/gpn/TPS92663A-Q1", "PDF")</f>
        <v>PDF</v>
      </c>
      <c r="D1254" s="5" t="s">
        <v>11392</v>
      </c>
      <c r="E1254" s="5" t="s">
        <v>11393</v>
      </c>
      <c r="F1254" s="5" t="s">
        <v>11394</v>
      </c>
      <c r="G1254" s="5" t="s">
        <v>11395</v>
      </c>
      <c r="H1254" s="1" t="s">
        <v>11396</v>
      </c>
      <c r="I1254" s="5" t="s">
        <v>11397</v>
      </c>
      <c r="J1254" s="7">
        <v>24</v>
      </c>
      <c r="K1254" s="7">
        <v>49.92</v>
      </c>
      <c r="L1254" s="5" t="s">
        <v>11398</v>
      </c>
      <c r="M1254" s="7">
        <v>1.2</v>
      </c>
      <c r="N1254" s="7">
        <v>0.65</v>
      </c>
      <c r="O1254" s="7">
        <v>1.71</v>
      </c>
      <c r="P1254" s="1" t="s">
        <v>11399</v>
      </c>
    </row>
    <row r="1255" spans="1:16" ht="33.4" x14ac:dyDescent="0.3">
      <c r="A1255" s="6" t="str">
        <f>HYPERLINK("https://www.ti.com/product/TPS51397A", "TPS51397A")</f>
        <v>TPS51397A</v>
      </c>
      <c r="B1255" s="5" t="s">
        <v>11400</v>
      </c>
      <c r="C1255" s="6" t="str">
        <f>HYPERLINK("https://www.ti.com/lit/gpn/TPS51397A", "PDF")</f>
        <v>PDF</v>
      </c>
      <c r="D1255" s="5" t="s">
        <v>11401</v>
      </c>
      <c r="E1255" s="5" t="s">
        <v>11402</v>
      </c>
      <c r="F1255" s="5" t="s">
        <v>11403</v>
      </c>
      <c r="G1255" s="5" t="s">
        <v>11404</v>
      </c>
      <c r="H1255" s="1" t="s">
        <v>11405</v>
      </c>
      <c r="I1255" s="5" t="s">
        <v>11406</v>
      </c>
      <c r="J1255" s="7">
        <v>20</v>
      </c>
      <c r="K1255" s="7">
        <v>9</v>
      </c>
      <c r="L1255" s="5" t="s">
        <v>11407</v>
      </c>
      <c r="M1255" s="7">
        <v>1</v>
      </c>
      <c r="N1255" s="7">
        <v>0.5</v>
      </c>
      <c r="O1255" s="7">
        <v>0.48799999999999999</v>
      </c>
      <c r="P1255" s="1" t="s">
        <v>11408</v>
      </c>
    </row>
    <row r="1256" spans="1:16" ht="33.4" x14ac:dyDescent="0.3">
      <c r="A1256" s="6" t="str">
        <f>HYPERLINK("https://www.ti.com/product/LM7480-Q1", "LM7480-Q1")</f>
        <v>LM7480-Q1</v>
      </c>
      <c r="B1256" s="5" t="s">
        <v>11409</v>
      </c>
      <c r="C1256" s="6" t="str">
        <f>HYPERLINK("https://www.ti.com/lit/gpn/LM7480-Q1", "PDF")</f>
        <v>PDF</v>
      </c>
      <c r="D1256" s="5" t="s">
        <v>11410</v>
      </c>
      <c r="E1256" s="5" t="s">
        <v>11411</v>
      </c>
      <c r="F1256" s="5"/>
      <c r="G1256" s="5" t="s">
        <v>11412</v>
      </c>
      <c r="H1256" s="1" t="s">
        <v>11413</v>
      </c>
      <c r="I1256" s="5" t="s">
        <v>11414</v>
      </c>
      <c r="J1256" s="7">
        <v>12</v>
      </c>
      <c r="K1256" s="7">
        <v>9</v>
      </c>
      <c r="L1256" s="5" t="s">
        <v>11415</v>
      </c>
      <c r="M1256" s="7">
        <v>0.8</v>
      </c>
      <c r="N1256" s="7">
        <v>0.5</v>
      </c>
      <c r="O1256" s="7">
        <v>0.97699999999999998</v>
      </c>
      <c r="P1256" s="1" t="s">
        <v>11416</v>
      </c>
    </row>
    <row r="1257" spans="1:16" ht="33.4" x14ac:dyDescent="0.3">
      <c r="A1257" s="6" t="str">
        <f>HYPERLINK("https://www.ti.com/product/TPS562202", "TPS562202")</f>
        <v>TPS562202</v>
      </c>
      <c r="B1257" s="5" t="s">
        <v>11417</v>
      </c>
      <c r="C1257" s="6" t="str">
        <f>HYPERLINK("https://www.ti.com/lit/gpn/TPS562202", "PDF")</f>
        <v>PDF</v>
      </c>
      <c r="D1257" s="5" t="s">
        <v>11418</v>
      </c>
      <c r="E1257" s="5" t="s">
        <v>11419</v>
      </c>
      <c r="F1257" s="5" t="s">
        <v>11420</v>
      </c>
      <c r="G1257" s="5" t="s">
        <v>11421</v>
      </c>
      <c r="H1257" s="1" t="s">
        <v>11422</v>
      </c>
      <c r="I1257" s="5" t="s">
        <v>11423</v>
      </c>
      <c r="J1257" s="7">
        <v>6</v>
      </c>
      <c r="K1257" s="7">
        <v>2.56</v>
      </c>
      <c r="L1257" s="5" t="s">
        <v>11424</v>
      </c>
      <c r="M1257" s="7">
        <v>0.6</v>
      </c>
      <c r="N1257" s="7">
        <v>0.5</v>
      </c>
      <c r="O1257" s="7">
        <v>8.1000000000000003E-2</v>
      </c>
      <c r="P1257" s="1" t="s">
        <v>11425</v>
      </c>
    </row>
    <row r="1258" spans="1:16" ht="33.4" x14ac:dyDescent="0.3">
      <c r="A1258" s="6" t="str">
        <f>HYPERLINK("https://www.ti.com/product/TPS25846-Q1", "TPS25846-Q1")</f>
        <v>TPS25846-Q1</v>
      </c>
      <c r="B1258" s="5" t="s">
        <v>11426</v>
      </c>
      <c r="C1258" s="6" t="str">
        <f>HYPERLINK("https://www.ti.com/lit/gpn/TPS25846-Q1", "PDF")</f>
        <v>PDF</v>
      </c>
      <c r="D1258" s="5" t="s">
        <v>11427</v>
      </c>
      <c r="E1258" s="5" t="s">
        <v>11428</v>
      </c>
      <c r="F1258" s="5"/>
      <c r="G1258" s="5" t="s">
        <v>11429</v>
      </c>
      <c r="H1258" s="1" t="s">
        <v>11430</v>
      </c>
      <c r="I1258" s="5" t="s">
        <v>11431</v>
      </c>
      <c r="J1258" s="7">
        <v>32</v>
      </c>
      <c r="K1258" s="7">
        <v>25</v>
      </c>
      <c r="L1258" s="5" t="s">
        <v>11432</v>
      </c>
      <c r="M1258" s="7">
        <v>1</v>
      </c>
      <c r="N1258" s="7">
        <v>0.5</v>
      </c>
      <c r="O1258" s="7">
        <v>1.897</v>
      </c>
      <c r="P1258" s="1" t="s">
        <v>11433</v>
      </c>
    </row>
    <row r="1259" spans="1:16" ht="33.4" x14ac:dyDescent="0.3">
      <c r="A1259" s="6" t="str">
        <f>HYPERLINK("https://www.ti.com/product/UCC27288", "UCC27288")</f>
        <v>UCC27288</v>
      </c>
      <c r="B1259" s="5" t="s">
        <v>11434</v>
      </c>
      <c r="C1259" s="6" t="str">
        <f>HYPERLINK("https://www.ti.com/lit/gpn/UCC27288", "PDF")</f>
        <v>PDF</v>
      </c>
      <c r="D1259" s="5" t="s">
        <v>11435</v>
      </c>
      <c r="E1259" s="5" t="s">
        <v>11436</v>
      </c>
      <c r="F1259" s="5"/>
      <c r="G1259" s="5" t="s">
        <v>11437</v>
      </c>
      <c r="H1259" s="1" t="s">
        <v>11438</v>
      </c>
      <c r="I1259" s="5" t="s">
        <v>11439</v>
      </c>
      <c r="J1259" s="7">
        <v>8</v>
      </c>
      <c r="K1259" s="7">
        <v>29.4</v>
      </c>
      <c r="L1259" s="5" t="s">
        <v>11440</v>
      </c>
      <c r="M1259" s="7">
        <v>1.75</v>
      </c>
      <c r="N1259" s="7">
        <v>1.27</v>
      </c>
      <c r="O1259" s="7">
        <v>0.61099999999999999</v>
      </c>
      <c r="P1259" s="1" t="s">
        <v>11441</v>
      </c>
    </row>
    <row r="1260" spans="1:16" ht="33.4" x14ac:dyDescent="0.3">
      <c r="A1260" s="6" t="str">
        <f>HYPERLINK("https://www.ti.com/product/TPS25850-Q1", "TPS25850-Q1")</f>
        <v>TPS25850-Q1</v>
      </c>
      <c r="B1260" s="5" t="s">
        <v>11442</v>
      </c>
      <c r="C1260" s="6" t="str">
        <f>HYPERLINK("https://www.ti.com/lit/gpn/TPS25850-Q1", "PDF")</f>
        <v>PDF</v>
      </c>
      <c r="D1260" s="5" t="s">
        <v>11443</v>
      </c>
      <c r="E1260" s="5" t="s">
        <v>11444</v>
      </c>
      <c r="F1260" s="5"/>
      <c r="G1260" s="5" t="s">
        <v>11445</v>
      </c>
      <c r="H1260" s="1" t="s">
        <v>11446</v>
      </c>
      <c r="I1260" s="5" t="s">
        <v>11447</v>
      </c>
      <c r="J1260" s="7">
        <v>25</v>
      </c>
      <c r="K1260" s="7">
        <v>15.75</v>
      </c>
      <c r="L1260" s="5" t="s">
        <v>11448</v>
      </c>
      <c r="M1260" s="7">
        <v>1</v>
      </c>
      <c r="N1260" s="7">
        <v>0.5</v>
      </c>
      <c r="O1260" s="7">
        <v>2.8090000000000002</v>
      </c>
      <c r="P1260" s="1" t="s">
        <v>11449</v>
      </c>
    </row>
    <row r="1261" spans="1:16" ht="33.4" x14ac:dyDescent="0.3">
      <c r="A1261" s="6" t="str">
        <f>HYPERLINK("https://www.ti.com/product/TPS563207", "TPS563207")</f>
        <v>TPS563207</v>
      </c>
      <c r="B1261" s="5" t="s">
        <v>11450</v>
      </c>
      <c r="C1261" s="6" t="str">
        <f>HYPERLINK("https://www.ti.com/lit/gpn/TPS563207", "PDF")</f>
        <v>PDF</v>
      </c>
      <c r="D1261" s="5" t="s">
        <v>11451</v>
      </c>
      <c r="E1261" s="5" t="s">
        <v>11452</v>
      </c>
      <c r="F1261" s="5" t="s">
        <v>11453</v>
      </c>
      <c r="G1261" s="5" t="s">
        <v>11454</v>
      </c>
      <c r="H1261" s="1" t="s">
        <v>11455</v>
      </c>
      <c r="I1261" s="5" t="s">
        <v>11456</v>
      </c>
      <c r="J1261" s="7">
        <v>6</v>
      </c>
      <c r="K1261" s="7">
        <v>2.56</v>
      </c>
      <c r="L1261" s="5" t="s">
        <v>11457</v>
      </c>
      <c r="M1261" s="7">
        <v>0.6</v>
      </c>
      <c r="N1261" s="7">
        <v>0.5</v>
      </c>
      <c r="O1261" s="7">
        <v>9.1999999999999998E-2</v>
      </c>
      <c r="P1261" s="1" t="s">
        <v>11458</v>
      </c>
    </row>
    <row r="1262" spans="1:16" ht="33.4" x14ac:dyDescent="0.3">
      <c r="A1262" s="6" t="str">
        <f>HYPERLINK("https://www.ti.com/product/LM34966-Q1", "LM34966-Q1")</f>
        <v>LM34966-Q1</v>
      </c>
      <c r="B1262" s="5" t="s">
        <v>11459</v>
      </c>
      <c r="C1262" s="6" t="str">
        <f>HYPERLINK("https://www.ti.com/lit/gpn/LM34966-Q1", "PDF")</f>
        <v>PDF</v>
      </c>
      <c r="D1262" s="5" t="s">
        <v>11460</v>
      </c>
      <c r="E1262" s="5" t="s">
        <v>11461</v>
      </c>
      <c r="F1262" s="5" t="s">
        <v>11462</v>
      </c>
      <c r="G1262" s="5" t="s">
        <v>11463</v>
      </c>
      <c r="H1262" s="1" t="s">
        <v>11464</v>
      </c>
      <c r="I1262" s="5" t="s">
        <v>11465</v>
      </c>
      <c r="J1262" s="7">
        <v>14</v>
      </c>
      <c r="K1262" s="7">
        <v>32</v>
      </c>
      <c r="L1262" s="5" t="s">
        <v>11466</v>
      </c>
      <c r="M1262" s="7">
        <v>1.2</v>
      </c>
      <c r="N1262" s="7">
        <v>0.65</v>
      </c>
      <c r="O1262" s="7">
        <v>0.872</v>
      </c>
      <c r="P1262" s="1" t="s">
        <v>11467</v>
      </c>
    </row>
    <row r="1263" spans="1:16" ht="33.4" x14ac:dyDescent="0.3">
      <c r="A1263" s="6" t="str">
        <f>HYPERLINK("https://www.ti.com/product/TPS61378-Q1", "TPS61378-Q1")</f>
        <v>TPS61378-Q1</v>
      </c>
      <c r="B1263" s="5" t="s">
        <v>11468</v>
      </c>
      <c r="C1263" s="6" t="str">
        <f>HYPERLINK("https://www.ti.com/lit/gpn/TPS61378-Q1", "PDF")</f>
        <v>PDF</v>
      </c>
      <c r="D1263" s="5" t="s">
        <v>11469</v>
      </c>
      <c r="E1263" s="5" t="s">
        <v>11470</v>
      </c>
      <c r="F1263" s="5" t="s">
        <v>11471</v>
      </c>
      <c r="G1263" s="5" t="s">
        <v>11472</v>
      </c>
      <c r="H1263" s="1" t="s">
        <v>11473</v>
      </c>
      <c r="I1263" s="5" t="s">
        <v>11474</v>
      </c>
      <c r="J1263" s="7">
        <v>16</v>
      </c>
      <c r="K1263" s="7">
        <v>9</v>
      </c>
      <c r="L1263" s="5" t="s">
        <v>11475</v>
      </c>
      <c r="M1263" s="7">
        <v>0.8</v>
      </c>
      <c r="N1263" s="7">
        <v>0.5</v>
      </c>
      <c r="O1263" s="7">
        <v>1.0680000000000001</v>
      </c>
      <c r="P1263" s="1" t="s">
        <v>11476</v>
      </c>
    </row>
    <row r="1264" spans="1:16" ht="33.4" x14ac:dyDescent="0.3">
      <c r="A1264" s="6" t="str">
        <f>HYPERLINK("https://www.ti.com/product/LM51561H", "LM51561H")</f>
        <v>LM51561H</v>
      </c>
      <c r="B1264" s="5" t="s">
        <v>11477</v>
      </c>
      <c r="C1264" s="6" t="str">
        <f>HYPERLINK("https://www.ti.com/lit/gpn/LM51561H", "PDF")</f>
        <v>PDF</v>
      </c>
      <c r="D1264" s="5" t="s">
        <v>11478</v>
      </c>
      <c r="E1264" s="5" t="s">
        <v>11479</v>
      </c>
      <c r="F1264" s="5" t="s">
        <v>11480</v>
      </c>
      <c r="G1264" s="5" t="s">
        <v>11481</v>
      </c>
      <c r="H1264" s="1" t="s">
        <v>11482</v>
      </c>
      <c r="I1264" s="5" t="s">
        <v>11483</v>
      </c>
      <c r="J1264" s="7">
        <v>14</v>
      </c>
      <c r="K1264" s="7">
        <v>32</v>
      </c>
      <c r="L1264" s="5" t="s">
        <v>11484</v>
      </c>
      <c r="M1264" s="7">
        <v>1.2</v>
      </c>
      <c r="N1264" s="7">
        <v>0.65</v>
      </c>
      <c r="O1264" s="7">
        <v>0.95899999999999996</v>
      </c>
      <c r="P1264" s="1" t="s">
        <v>11485</v>
      </c>
    </row>
    <row r="1265" spans="1:16" ht="33.4" x14ac:dyDescent="0.3">
      <c r="A1265" s="6" t="str">
        <f>HYPERLINK("https://www.ti.com/product/LM51561H-Q1", "LM51561H-Q1")</f>
        <v>LM51561H-Q1</v>
      </c>
      <c r="B1265" s="5" t="s">
        <v>11486</v>
      </c>
      <c r="C1265" s="6" t="str">
        <f>HYPERLINK("https://www.ti.com/lit/gpn/LM51561H-Q1", "PDF")</f>
        <v>PDF</v>
      </c>
      <c r="D1265" s="5" t="s">
        <v>11487</v>
      </c>
      <c r="E1265" s="5" t="s">
        <v>11488</v>
      </c>
      <c r="F1265" s="5" t="s">
        <v>11489</v>
      </c>
      <c r="G1265" s="5" t="s">
        <v>11490</v>
      </c>
      <c r="H1265" s="1" t="s">
        <v>11491</v>
      </c>
      <c r="I1265" s="5" t="s">
        <v>11492</v>
      </c>
      <c r="J1265" s="7">
        <v>14</v>
      </c>
      <c r="K1265" s="7">
        <v>32</v>
      </c>
      <c r="L1265" s="5" t="s">
        <v>11493</v>
      </c>
      <c r="M1265" s="7">
        <v>1.2</v>
      </c>
      <c r="N1265" s="7">
        <v>0.65</v>
      </c>
      <c r="O1265" s="7">
        <v>1.1319999999999999</v>
      </c>
      <c r="P1265" s="1" t="s">
        <v>11494</v>
      </c>
    </row>
    <row r="1266" spans="1:16" ht="33.4" x14ac:dyDescent="0.3">
      <c r="A1266" s="6" t="str">
        <f>HYPERLINK("https://www.ti.com/product/LM5156H", "LM5156H")</f>
        <v>LM5156H</v>
      </c>
      <c r="B1266" s="5" t="s">
        <v>11495</v>
      </c>
      <c r="C1266" s="6" t="str">
        <f>HYPERLINK("https://www.ti.com/lit/gpn/LM5156H", "PDF")</f>
        <v>PDF</v>
      </c>
      <c r="D1266" s="5" t="s">
        <v>11496</v>
      </c>
      <c r="E1266" s="5" t="s">
        <v>11497</v>
      </c>
      <c r="F1266" s="5" t="s">
        <v>11498</v>
      </c>
      <c r="G1266" s="5" t="s">
        <v>11499</v>
      </c>
      <c r="H1266" s="1" t="s">
        <v>11500</v>
      </c>
      <c r="I1266" s="5" t="s">
        <v>11501</v>
      </c>
      <c r="J1266" s="7">
        <v>14</v>
      </c>
      <c r="K1266" s="7">
        <v>32</v>
      </c>
      <c r="L1266" s="5" t="s">
        <v>11502</v>
      </c>
      <c r="M1266" s="7">
        <v>1.2</v>
      </c>
      <c r="N1266" s="7">
        <v>0.65</v>
      </c>
      <c r="O1266" s="7">
        <v>0.95899999999999996</v>
      </c>
      <c r="P1266" s="1" t="s">
        <v>11503</v>
      </c>
    </row>
    <row r="1267" spans="1:16" ht="33.4" x14ac:dyDescent="0.3">
      <c r="A1267" s="6" t="str">
        <f>HYPERLINK("https://www.ti.com/product/LM5156H-Q1", "LM5156H-Q1")</f>
        <v>LM5156H-Q1</v>
      </c>
      <c r="B1267" s="5" t="s">
        <v>11504</v>
      </c>
      <c r="C1267" s="6" t="str">
        <f>HYPERLINK("https://www.ti.com/lit/gpn/LM5156H-Q1", "PDF")</f>
        <v>PDF</v>
      </c>
      <c r="D1267" s="5" t="s">
        <v>11505</v>
      </c>
      <c r="E1267" s="5" t="s">
        <v>11506</v>
      </c>
      <c r="F1267" s="5" t="s">
        <v>11507</v>
      </c>
      <c r="G1267" s="5" t="s">
        <v>11508</v>
      </c>
      <c r="H1267" s="1" t="s">
        <v>11509</v>
      </c>
      <c r="I1267" s="5" t="s">
        <v>11510</v>
      </c>
      <c r="J1267" s="7">
        <v>14</v>
      </c>
      <c r="K1267" s="7">
        <v>32</v>
      </c>
      <c r="L1267" s="5" t="s">
        <v>11511</v>
      </c>
      <c r="M1267" s="7">
        <v>1.2</v>
      </c>
      <c r="N1267" s="7">
        <v>0.65</v>
      </c>
      <c r="O1267" s="7">
        <v>1.1319999999999999</v>
      </c>
      <c r="P1267" s="1" t="s">
        <v>11512</v>
      </c>
    </row>
    <row r="1268" spans="1:16" ht="33.4" x14ac:dyDescent="0.3">
      <c r="A1268" s="6" t="str">
        <f>HYPERLINK("https://www.ti.com/product/TPS62860", "TPS62860")</f>
        <v>TPS62860</v>
      </c>
      <c r="B1268" s="5" t="s">
        <v>11513</v>
      </c>
      <c r="C1268" s="6" t="str">
        <f>HYPERLINK("https://www.ti.com/lit/gpn/TPS62860", "PDF")</f>
        <v>PDF</v>
      </c>
      <c r="D1268" s="5" t="s">
        <v>11514</v>
      </c>
      <c r="E1268" s="5" t="s">
        <v>11515</v>
      </c>
      <c r="F1268" s="5" t="s">
        <v>11516</v>
      </c>
      <c r="G1268" s="5" t="s">
        <v>11517</v>
      </c>
      <c r="H1268" s="1" t="s">
        <v>11518</v>
      </c>
      <c r="I1268" s="5" t="s">
        <v>11519</v>
      </c>
      <c r="J1268" s="7">
        <v>8</v>
      </c>
      <c r="K1268" s="7">
        <v>0.98</v>
      </c>
      <c r="L1268" s="5" t="s">
        <v>11520</v>
      </c>
      <c r="M1268" s="7">
        <v>0.4</v>
      </c>
      <c r="N1268" s="7">
        <v>0.35</v>
      </c>
      <c r="O1268" s="7">
        <v>0.45900000000000002</v>
      </c>
      <c r="P1268" s="1" t="s">
        <v>11521</v>
      </c>
    </row>
    <row r="1269" spans="1:16" ht="33.4" x14ac:dyDescent="0.3">
      <c r="A1269" s="6" t="str">
        <f>HYPERLINK("https://www.ti.com/product/TPS65982DMC", "TPS65982DMC")</f>
        <v>TPS65982DMC</v>
      </c>
      <c r="B1269" s="5" t="s">
        <v>11522</v>
      </c>
      <c r="C1269" s="6" t="str">
        <f>HYPERLINK("https://www.ti.com/lit/gpn/TPS65982DMC", "PDF")</f>
        <v>PDF</v>
      </c>
      <c r="D1269" s="5" t="s">
        <v>11523</v>
      </c>
      <c r="E1269" s="5" t="s">
        <v>11524</v>
      </c>
      <c r="F1269" s="5"/>
      <c r="G1269" s="5" t="s">
        <v>11525</v>
      </c>
      <c r="H1269" s="1" t="s">
        <v>11526</v>
      </c>
      <c r="I1269" s="5" t="s">
        <v>11527</v>
      </c>
      <c r="J1269" s="7">
        <v>96</v>
      </c>
      <c r="K1269" s="7">
        <v>36</v>
      </c>
      <c r="L1269" s="5" t="s">
        <v>11528</v>
      </c>
      <c r="M1269" s="7">
        <v>1</v>
      </c>
      <c r="N1269" s="7">
        <v>0.5</v>
      </c>
      <c r="O1269" s="7">
        <v>2.8639999999999999</v>
      </c>
      <c r="P1269" s="1" t="s">
        <v>11529</v>
      </c>
    </row>
    <row r="1270" spans="1:16" ht="33.4" x14ac:dyDescent="0.3">
      <c r="A1270" s="6" t="str">
        <f>HYPERLINK("https://www.ti.com/product/LM25183-Q1", "LM25183-Q1")</f>
        <v>LM25183-Q1</v>
      </c>
      <c r="B1270" s="5" t="s">
        <v>11530</v>
      </c>
      <c r="C1270" s="6" t="str">
        <f>HYPERLINK("https://www.ti.com/lit/gpn/LM25183-Q1", "PDF")</f>
        <v>PDF</v>
      </c>
      <c r="D1270" s="5" t="s">
        <v>11531</v>
      </c>
      <c r="E1270" s="5" t="s">
        <v>11532</v>
      </c>
      <c r="F1270" s="5" t="s">
        <v>11533</v>
      </c>
      <c r="G1270" s="5" t="s">
        <v>11534</v>
      </c>
      <c r="H1270" s="1" t="s">
        <v>11535</v>
      </c>
      <c r="I1270" s="5" t="s">
        <v>11536</v>
      </c>
      <c r="J1270" s="7">
        <v>8</v>
      </c>
      <c r="K1270" s="7">
        <v>16</v>
      </c>
      <c r="L1270" s="5" t="s">
        <v>11537</v>
      </c>
      <c r="M1270" s="7">
        <v>0.8</v>
      </c>
      <c r="N1270" s="7">
        <v>0.8</v>
      </c>
      <c r="O1270" s="7">
        <v>2.3730000000000002</v>
      </c>
      <c r="P1270" s="1" t="s">
        <v>11538</v>
      </c>
    </row>
    <row r="1271" spans="1:16" ht="33.4" x14ac:dyDescent="0.3">
      <c r="A1271" s="6" t="str">
        <f>HYPERLINK("https://www.ti.com/product/TPS53688", "TPS53688")</f>
        <v>TPS53688</v>
      </c>
      <c r="B1271" s="5" t="s">
        <v>11539</v>
      </c>
      <c r="C1271" s="6" t="str">
        <f>HYPERLINK("https://www.ti.com/lit/gpn/TPS53688", "PDF")</f>
        <v>PDF</v>
      </c>
      <c r="D1271" s="5" t="s">
        <v>11540</v>
      </c>
      <c r="E1271" s="5" t="s">
        <v>11541</v>
      </c>
      <c r="F1271" s="5" t="s">
        <v>11542</v>
      </c>
      <c r="G1271" s="5" t="s">
        <v>11543</v>
      </c>
      <c r="H1271" s="1" t="s">
        <v>11544</v>
      </c>
      <c r="I1271" s="5" t="s">
        <v>11545</v>
      </c>
      <c r="J1271" s="7">
        <v>40</v>
      </c>
      <c r="K1271" s="7">
        <v>25</v>
      </c>
      <c r="L1271" s="5" t="s">
        <v>11546</v>
      </c>
      <c r="M1271" s="7">
        <v>0.8</v>
      </c>
      <c r="N1271" s="7">
        <v>0.4</v>
      </c>
      <c r="O1271" s="7">
        <v>2.093</v>
      </c>
      <c r="P1271" s="1" t="s">
        <v>11547</v>
      </c>
    </row>
    <row r="1272" spans="1:16" ht="33.4" x14ac:dyDescent="0.3">
      <c r="A1272" s="6" t="str">
        <f>HYPERLINK("https://www.ti.com/product/TPS546B24A", "TPS546B24A")</f>
        <v>TPS546B24A</v>
      </c>
      <c r="B1272" s="5" t="s">
        <v>11548</v>
      </c>
      <c r="C1272" s="6" t="str">
        <f>HYPERLINK("https://www.ti.com/lit/gpn/TPS546B24A", "PDF")</f>
        <v>PDF</v>
      </c>
      <c r="D1272" s="5" t="s">
        <v>11549</v>
      </c>
      <c r="E1272" s="5" t="s">
        <v>11550</v>
      </c>
      <c r="F1272" s="5" t="s">
        <v>11551</v>
      </c>
      <c r="G1272" s="5" t="s">
        <v>11552</v>
      </c>
      <c r="H1272" s="1" t="s">
        <v>11553</v>
      </c>
      <c r="I1272" s="5" t="s">
        <v>11554</v>
      </c>
      <c r="J1272" s="7">
        <v>40</v>
      </c>
      <c r="K1272" s="7">
        <v>35</v>
      </c>
      <c r="L1272" s="5" t="s">
        <v>11555</v>
      </c>
      <c r="M1272" s="7">
        <v>1.52</v>
      </c>
      <c r="N1272" s="7">
        <v>0.5</v>
      </c>
      <c r="O1272" s="7">
        <v>3.7</v>
      </c>
      <c r="P1272" s="1" t="s">
        <v>11556</v>
      </c>
    </row>
    <row r="1273" spans="1:16" ht="33.4" x14ac:dyDescent="0.3">
      <c r="A1273" s="6" t="str">
        <f>HYPERLINK("https://www.ti.com/product/CSD95410RRB", "CSD95410RRB")</f>
        <v>CSD95410RRB</v>
      </c>
      <c r="B1273" s="5" t="s">
        <v>11557</v>
      </c>
      <c r="C1273" s="6" t="str">
        <f>HYPERLINK("https://www.ti.com/lit/gpn/CSD95410RRB", "PDF")</f>
        <v>PDF</v>
      </c>
      <c r="D1273" s="5" t="s">
        <v>11558</v>
      </c>
      <c r="E1273" s="5" t="s">
        <v>11559</v>
      </c>
      <c r="F1273" s="5"/>
      <c r="G1273" s="5" t="s">
        <v>11560</v>
      </c>
      <c r="H1273" s="1" t="s">
        <v>11561</v>
      </c>
      <c r="I1273" s="5" t="s">
        <v>11562</v>
      </c>
      <c r="J1273" s="7">
        <v>41</v>
      </c>
      <c r="K1273" s="7">
        <v>30</v>
      </c>
      <c r="L1273" s="5" t="s">
        <v>11563</v>
      </c>
      <c r="M1273" s="7">
        <v>1.05</v>
      </c>
      <c r="N1273" s="7">
        <v>0.45</v>
      </c>
      <c r="O1273" s="7">
        <v>2.1850000000000001</v>
      </c>
      <c r="P1273" s="1" t="s">
        <v>11564</v>
      </c>
    </row>
    <row r="1274" spans="1:16" ht="33.4" x14ac:dyDescent="0.3">
      <c r="A1274" s="6" t="str">
        <f>HYPERLINK("https://www.ti.com/product/LMR36503-Q1", "LMR36503-Q1")</f>
        <v>LMR36503-Q1</v>
      </c>
      <c r="B1274" s="5" t="s">
        <v>11565</v>
      </c>
      <c r="C1274" s="6" t="str">
        <f>HYPERLINK("https://www.ti.com/lit/gpn/LMR36503-Q1", "PDF")</f>
        <v>PDF</v>
      </c>
      <c r="D1274" s="5" t="s">
        <v>11566</v>
      </c>
      <c r="E1274" s="5" t="s">
        <v>11567</v>
      </c>
      <c r="F1274" s="5" t="s">
        <v>11568</v>
      </c>
      <c r="G1274" s="5" t="s">
        <v>11569</v>
      </c>
      <c r="H1274" s="1" t="s">
        <v>11570</v>
      </c>
      <c r="I1274" s="5" t="s">
        <v>11571</v>
      </c>
      <c r="J1274" s="7">
        <v>9</v>
      </c>
      <c r="K1274" s="7">
        <v>4</v>
      </c>
      <c r="L1274" s="5" t="s">
        <v>11572</v>
      </c>
      <c r="M1274" s="7">
        <v>1</v>
      </c>
      <c r="N1274" s="7">
        <v>0.5</v>
      </c>
      <c r="O1274" s="7">
        <v>1.87</v>
      </c>
      <c r="P1274" s="1" t="s">
        <v>11573</v>
      </c>
    </row>
    <row r="1275" spans="1:16" ht="33.4" x14ac:dyDescent="0.3">
      <c r="A1275" s="6" t="str">
        <f>HYPERLINK("https://www.ti.com/product/TLV840", "TLV840")</f>
        <v>TLV840</v>
      </c>
      <c r="B1275" s="5" t="s">
        <v>11574</v>
      </c>
      <c r="C1275" s="6" t="str">
        <f>HYPERLINK("https://www.ti.com/lit/gpn/TLV840", "PDF")</f>
        <v>PDF</v>
      </c>
      <c r="D1275" s="5" t="s">
        <v>11575</v>
      </c>
      <c r="E1275" s="5" t="s">
        <v>11576</v>
      </c>
      <c r="F1275" s="5"/>
      <c r="G1275" s="5" t="s">
        <v>11577</v>
      </c>
      <c r="H1275" s="1" t="s">
        <v>11578</v>
      </c>
      <c r="I1275" s="5" t="s">
        <v>11579</v>
      </c>
      <c r="J1275" s="7">
        <v>5</v>
      </c>
      <c r="K1275" s="7">
        <v>8.1199999999999992</v>
      </c>
      <c r="L1275" s="5" t="s">
        <v>11580</v>
      </c>
      <c r="M1275" s="7">
        <v>1.45</v>
      </c>
      <c r="N1275" s="7">
        <v>0.95</v>
      </c>
      <c r="O1275" s="7">
        <v>0.157</v>
      </c>
      <c r="P1275" s="1" t="s">
        <v>11581</v>
      </c>
    </row>
    <row r="1276" spans="1:16" ht="33.4" x14ac:dyDescent="0.3">
      <c r="A1276" s="6" t="str">
        <f>HYPERLINK("https://www.ti.com/product/TPS23730", "TPS23730")</f>
        <v>TPS23730</v>
      </c>
      <c r="B1276" s="5" t="s">
        <v>11582</v>
      </c>
      <c r="C1276" s="6" t="str">
        <f>HYPERLINK("https://www.ti.com/lit/gpn/TPS23730", "PDF")</f>
        <v>PDF</v>
      </c>
      <c r="D1276" s="5" t="s">
        <v>11583</v>
      </c>
      <c r="E1276" s="5" t="s">
        <v>11584</v>
      </c>
      <c r="F1276" s="5"/>
      <c r="G1276" s="5" t="s">
        <v>11585</v>
      </c>
      <c r="H1276" s="1" t="s">
        <v>11586</v>
      </c>
      <c r="I1276" s="5" t="s">
        <v>11587</v>
      </c>
      <c r="J1276" s="7">
        <v>45</v>
      </c>
      <c r="K1276" s="7">
        <v>35</v>
      </c>
      <c r="L1276" s="5" t="s">
        <v>11588</v>
      </c>
      <c r="M1276" s="7">
        <v>1</v>
      </c>
      <c r="N1276" s="7">
        <v>0.4</v>
      </c>
      <c r="O1276" s="7">
        <v>1.7789999999999999</v>
      </c>
      <c r="P1276" s="1" t="s">
        <v>11589</v>
      </c>
    </row>
    <row r="1277" spans="1:16" ht="33.4" x14ac:dyDescent="0.3">
      <c r="A1277" s="6" t="str">
        <f>HYPERLINK("https://www.ti.com/product/TPS23734", "TPS23734")</f>
        <v>TPS23734</v>
      </c>
      <c r="B1277" s="5" t="s">
        <v>11590</v>
      </c>
      <c r="C1277" s="6" t="str">
        <f>HYPERLINK("https://www.ti.com/lit/gpn/TPS23734", "PDF")</f>
        <v>PDF</v>
      </c>
      <c r="D1277" s="5" t="s">
        <v>11591</v>
      </c>
      <c r="E1277" s="5" t="s">
        <v>11592</v>
      </c>
      <c r="F1277" s="5"/>
      <c r="G1277" s="5" t="s">
        <v>11593</v>
      </c>
      <c r="H1277" s="1" t="s">
        <v>11594</v>
      </c>
      <c r="I1277" s="5" t="s">
        <v>11595</v>
      </c>
      <c r="J1277" s="7">
        <v>45</v>
      </c>
      <c r="K1277" s="7">
        <v>35</v>
      </c>
      <c r="L1277" s="5" t="s">
        <v>11596</v>
      </c>
      <c r="M1277" s="7">
        <v>1</v>
      </c>
      <c r="N1277" s="7">
        <v>0.4</v>
      </c>
      <c r="O1277" s="7">
        <v>1.2290000000000001</v>
      </c>
      <c r="P1277" s="1" t="s">
        <v>11597</v>
      </c>
    </row>
    <row r="1278" spans="1:16" ht="33.4" x14ac:dyDescent="0.3">
      <c r="A1278" s="6" t="str">
        <f>HYPERLINK("https://www.ti.com/product/LP8864-Q1", "LP8864-Q1")</f>
        <v>LP8864-Q1</v>
      </c>
      <c r="B1278" s="5" t="s">
        <v>11598</v>
      </c>
      <c r="C1278" s="6" t="str">
        <f>HYPERLINK("https://www.ti.com/lit/gpn/LP8864-Q1", "PDF")</f>
        <v>PDF</v>
      </c>
      <c r="D1278" s="5" t="s">
        <v>11599</v>
      </c>
      <c r="E1278" s="5" t="s">
        <v>11600</v>
      </c>
      <c r="F1278" s="5" t="s">
        <v>11601</v>
      </c>
      <c r="G1278" s="5" t="s">
        <v>11602</v>
      </c>
      <c r="H1278" s="1" t="s">
        <v>11603</v>
      </c>
      <c r="I1278" s="5" t="s">
        <v>11604</v>
      </c>
      <c r="J1278" s="7" t="s">
        <v>11605</v>
      </c>
      <c r="K1278" s="7" t="s">
        <v>11606</v>
      </c>
      <c r="L1278" s="5" t="s">
        <v>11607</v>
      </c>
      <c r="M1278" s="7" t="s">
        <v>11608</v>
      </c>
      <c r="N1278" s="7">
        <v>0.5</v>
      </c>
      <c r="O1278" s="7">
        <v>1.5069999999999999</v>
      </c>
      <c r="P1278" s="1" t="s">
        <v>11609</v>
      </c>
    </row>
    <row r="1279" spans="1:16" ht="33.4" x14ac:dyDescent="0.3">
      <c r="A1279" s="6" t="str">
        <f>HYPERLINK("https://www.ti.com/product/LP8864S-Q1", "LP8864S-Q1")</f>
        <v>LP8864S-Q1</v>
      </c>
      <c r="B1279" s="5" t="s">
        <v>11610</v>
      </c>
      <c r="C1279" s="6" t="str">
        <f>HYPERLINK("https://www.ti.com/lit/gpn/LP8864S-Q1", "PDF")</f>
        <v>PDF</v>
      </c>
      <c r="D1279" s="5" t="s">
        <v>11611</v>
      </c>
      <c r="E1279" s="5" t="s">
        <v>11612</v>
      </c>
      <c r="F1279" s="5" t="s">
        <v>11613</v>
      </c>
      <c r="G1279" s="5" t="s">
        <v>11614</v>
      </c>
      <c r="H1279" s="1" t="s">
        <v>11615</v>
      </c>
      <c r="I1279" s="5" t="s">
        <v>11616</v>
      </c>
      <c r="J1279" s="7" t="s">
        <v>11617</v>
      </c>
      <c r="K1279" s="7" t="s">
        <v>11618</v>
      </c>
      <c r="L1279" s="5" t="s">
        <v>11619</v>
      </c>
      <c r="M1279" s="7" t="s">
        <v>11620</v>
      </c>
      <c r="N1279" s="7">
        <v>0.5</v>
      </c>
      <c r="O1279" s="7">
        <v>1.357</v>
      </c>
      <c r="P1279" s="1" t="s">
        <v>11621</v>
      </c>
    </row>
    <row r="1280" spans="1:16" ht="33.4" x14ac:dyDescent="0.3">
      <c r="A1280" s="6" t="str">
        <f>HYPERLINK("https://www.ti.com/product/LP8866-Q1", "LP8866-Q1")</f>
        <v>LP8866-Q1</v>
      </c>
      <c r="B1280" s="5" t="s">
        <v>11622</v>
      </c>
      <c r="C1280" s="6" t="str">
        <f>HYPERLINK("https://www.ti.com/lit/gpn/LP8866-Q1", "PDF")</f>
        <v>PDF</v>
      </c>
      <c r="D1280" s="5" t="s">
        <v>11623</v>
      </c>
      <c r="E1280" s="5" t="s">
        <v>11624</v>
      </c>
      <c r="F1280" s="5" t="s">
        <v>11625</v>
      </c>
      <c r="G1280" s="5" t="s">
        <v>11626</v>
      </c>
      <c r="H1280" s="1" t="s">
        <v>11627</v>
      </c>
      <c r="I1280" s="5" t="s">
        <v>11628</v>
      </c>
      <c r="J1280" s="7" t="s">
        <v>11629</v>
      </c>
      <c r="K1280" s="7" t="s">
        <v>11630</v>
      </c>
      <c r="L1280" s="5" t="s">
        <v>11631</v>
      </c>
      <c r="M1280" s="7" t="s">
        <v>11632</v>
      </c>
      <c r="N1280" s="7">
        <v>0.5</v>
      </c>
      <c r="O1280" s="7">
        <v>1.821</v>
      </c>
      <c r="P1280" s="1" t="s">
        <v>11633</v>
      </c>
    </row>
    <row r="1281" spans="1:16" ht="33.4" x14ac:dyDescent="0.3">
      <c r="A1281" s="6" t="str">
        <f>HYPERLINK("https://www.ti.com/product/LP8866S-Q1", "LP8866S-Q1")</f>
        <v>LP8866S-Q1</v>
      </c>
      <c r="B1281" s="5" t="s">
        <v>11634</v>
      </c>
      <c r="C1281" s="6" t="str">
        <f>HYPERLINK("https://www.ti.com/lit/gpn/LP8866S-Q1", "PDF")</f>
        <v>PDF</v>
      </c>
      <c r="D1281" s="5" t="s">
        <v>11635</v>
      </c>
      <c r="E1281" s="5" t="s">
        <v>11636</v>
      </c>
      <c r="F1281" s="5" t="s">
        <v>11637</v>
      </c>
      <c r="G1281" s="5" t="s">
        <v>11638</v>
      </c>
      <c r="H1281" s="1" t="s">
        <v>11639</v>
      </c>
      <c r="I1281" s="5" t="s">
        <v>11640</v>
      </c>
      <c r="J1281" s="7" t="s">
        <v>11641</v>
      </c>
      <c r="K1281" s="7" t="s">
        <v>11642</v>
      </c>
      <c r="L1281" s="5" t="s">
        <v>11643</v>
      </c>
      <c r="M1281" s="7" t="s">
        <v>11644</v>
      </c>
      <c r="N1281" s="7">
        <v>0.5</v>
      </c>
      <c r="O1281" s="7">
        <v>1.6559999999999999</v>
      </c>
      <c r="P1281" s="1" t="s">
        <v>11645</v>
      </c>
    </row>
    <row r="1282" spans="1:16" ht="82.5" x14ac:dyDescent="0.3">
      <c r="A1282" s="6" t="str">
        <f>HYPERLINK("https://www.ti.com/product/TPS7A20", "TPS7A20")</f>
        <v>TPS7A20</v>
      </c>
      <c r="B1282" s="5" t="s">
        <v>11646</v>
      </c>
      <c r="C1282" s="6" t="str">
        <f>HYPERLINK("https://www.ti.com/lit/gpn/TPS7A20", "PDF")</f>
        <v>PDF</v>
      </c>
      <c r="D1282" s="5" t="s">
        <v>11647</v>
      </c>
      <c r="E1282" s="5" t="s">
        <v>11648</v>
      </c>
      <c r="F1282" s="5"/>
      <c r="G1282" s="5" t="s">
        <v>11649</v>
      </c>
      <c r="H1282" s="1" t="s">
        <v>11650</v>
      </c>
      <c r="I1282" s="5" t="s">
        <v>11651</v>
      </c>
      <c r="J1282" s="7" t="s">
        <v>11652</v>
      </c>
      <c r="K1282" s="7" t="s">
        <v>11653</v>
      </c>
      <c r="L1282" s="5" t="s">
        <v>11654</v>
      </c>
      <c r="M1282" s="7" t="s">
        <v>11655</v>
      </c>
      <c r="N1282" s="7" t="s">
        <v>11656</v>
      </c>
      <c r="O1282" s="7">
        <v>8.5000000000000006E-2</v>
      </c>
      <c r="P1282" s="1" t="s">
        <v>11657</v>
      </c>
    </row>
    <row r="1283" spans="1:16" ht="33.4" x14ac:dyDescent="0.3">
      <c r="A1283" s="6" t="str">
        <f>HYPERLINK("https://www.ti.com/product/TPS562207", "TPS562207")</f>
        <v>TPS562207</v>
      </c>
      <c r="B1283" s="5" t="s">
        <v>11658</v>
      </c>
      <c r="C1283" s="6" t="str">
        <f>HYPERLINK("https://www.ti.com/lit/gpn/TPS562207", "PDF")</f>
        <v>PDF</v>
      </c>
      <c r="D1283" s="5" t="s">
        <v>11659</v>
      </c>
      <c r="E1283" s="5" t="s">
        <v>11660</v>
      </c>
      <c r="F1283" s="5" t="s">
        <v>11661</v>
      </c>
      <c r="G1283" s="5" t="s">
        <v>11662</v>
      </c>
      <c r="H1283" s="1" t="s">
        <v>11663</v>
      </c>
      <c r="I1283" s="5" t="s">
        <v>11664</v>
      </c>
      <c r="J1283" s="7">
        <v>6</v>
      </c>
      <c r="K1283" s="7">
        <v>2.56</v>
      </c>
      <c r="L1283" s="5" t="s">
        <v>11665</v>
      </c>
      <c r="M1283" s="7">
        <v>0.6</v>
      </c>
      <c r="N1283" s="7">
        <v>0.5</v>
      </c>
      <c r="O1283" s="7">
        <v>8.1000000000000003E-2</v>
      </c>
      <c r="P1283" s="1" t="s">
        <v>11666</v>
      </c>
    </row>
    <row r="1284" spans="1:16" ht="33.4" x14ac:dyDescent="0.3">
      <c r="A1284" s="6" t="str">
        <f>HYPERLINK("https://www.ti.com/product/TPS54618C-Q1", "TPS54618C-Q1")</f>
        <v>TPS54618C-Q1</v>
      </c>
      <c r="B1284" s="5" t="s">
        <v>11667</v>
      </c>
      <c r="C1284" s="6" t="str">
        <f>HYPERLINK("https://www.ti.com/lit/gpn/TPS54618C-Q1", "PDF")</f>
        <v>PDF</v>
      </c>
      <c r="D1284" s="5" t="s">
        <v>11668</v>
      </c>
      <c r="E1284" s="5" t="s">
        <v>11669</v>
      </c>
      <c r="F1284" s="5" t="s">
        <v>11670</v>
      </c>
      <c r="G1284" s="5" t="s">
        <v>11671</v>
      </c>
      <c r="H1284" s="1" t="s">
        <v>11672</v>
      </c>
      <c r="I1284" s="5" t="s">
        <v>11673</v>
      </c>
      <c r="J1284" s="7">
        <v>16</v>
      </c>
      <c r="K1284" s="7">
        <v>9</v>
      </c>
      <c r="L1284" s="5" t="s">
        <v>11674</v>
      </c>
      <c r="M1284" s="7">
        <v>0.8</v>
      </c>
      <c r="N1284" s="7">
        <v>0.5</v>
      </c>
      <c r="O1284" s="7">
        <v>1.494</v>
      </c>
      <c r="P1284" s="1" t="s">
        <v>11675</v>
      </c>
    </row>
    <row r="1285" spans="1:16" ht="33.4" x14ac:dyDescent="0.3">
      <c r="A1285" s="6" t="str">
        <f>HYPERLINK("https://www.ti.com/product/TPS55288", "TPS55288")</f>
        <v>TPS55288</v>
      </c>
      <c r="B1285" s="5" t="s">
        <v>11676</v>
      </c>
      <c r="C1285" s="6" t="str">
        <f>HYPERLINK("https://www.ti.com/lit/gpn/TPS55288", "PDF")</f>
        <v>PDF</v>
      </c>
      <c r="D1285" s="5" t="s">
        <v>11677</v>
      </c>
      <c r="E1285" s="5" t="s">
        <v>11678</v>
      </c>
      <c r="F1285" s="5" t="s">
        <v>11679</v>
      </c>
      <c r="G1285" s="5" t="s">
        <v>11680</v>
      </c>
      <c r="H1285" s="1" t="s">
        <v>11681</v>
      </c>
      <c r="I1285" s="5" t="s">
        <v>11682</v>
      </c>
      <c r="J1285" s="7">
        <v>26</v>
      </c>
      <c r="K1285" s="7">
        <v>14</v>
      </c>
      <c r="L1285" s="5" t="s">
        <v>11683</v>
      </c>
      <c r="M1285" s="7">
        <v>1</v>
      </c>
      <c r="N1285" s="7">
        <v>0.5</v>
      </c>
      <c r="O1285" s="7">
        <v>2.5449999999999999</v>
      </c>
      <c r="P1285" s="1" t="s">
        <v>11684</v>
      </c>
    </row>
    <row r="1286" spans="1:16" ht="33.4" x14ac:dyDescent="0.3">
      <c r="A1286" s="6" t="str">
        <f>HYPERLINK("https://www.ti.com/product/LM60430", "LM60430")</f>
        <v>LM60430</v>
      </c>
      <c r="B1286" s="5" t="s">
        <v>11685</v>
      </c>
      <c r="C1286" s="6" t="str">
        <f>HYPERLINK("https://www.ti.com/lit/gpn/LM60430", "PDF")</f>
        <v>PDF</v>
      </c>
      <c r="D1286" s="5" t="s">
        <v>11686</v>
      </c>
      <c r="E1286" s="5" t="s">
        <v>11687</v>
      </c>
      <c r="F1286" s="5" t="s">
        <v>11688</v>
      </c>
      <c r="G1286" s="5" t="s">
        <v>11689</v>
      </c>
      <c r="H1286" s="1" t="s">
        <v>11690</v>
      </c>
      <c r="I1286" s="5" t="s">
        <v>11691</v>
      </c>
      <c r="J1286" s="7">
        <v>13</v>
      </c>
      <c r="K1286" s="7">
        <v>6</v>
      </c>
      <c r="L1286" s="5" t="s">
        <v>11692</v>
      </c>
      <c r="M1286" s="7">
        <v>0.7</v>
      </c>
      <c r="N1286" s="7">
        <v>0</v>
      </c>
      <c r="O1286" s="7">
        <v>1.0449999999999999</v>
      </c>
      <c r="P1286" s="1" t="s">
        <v>11693</v>
      </c>
    </row>
    <row r="1287" spans="1:16" ht="33.4" x14ac:dyDescent="0.3">
      <c r="A1287" s="6" t="str">
        <f>HYPERLINK("https://www.ti.com/product/LM60440", "LM60440")</f>
        <v>LM60440</v>
      </c>
      <c r="B1287" s="5" t="s">
        <v>11694</v>
      </c>
      <c r="C1287" s="6" t="str">
        <f>HYPERLINK("https://www.ti.com/lit/gpn/LM60440", "PDF")</f>
        <v>PDF</v>
      </c>
      <c r="D1287" s="5" t="s">
        <v>11695</v>
      </c>
      <c r="E1287" s="5" t="s">
        <v>11696</v>
      </c>
      <c r="F1287" s="5" t="s">
        <v>11697</v>
      </c>
      <c r="G1287" s="5" t="s">
        <v>11698</v>
      </c>
      <c r="H1287" s="1" t="s">
        <v>11699</v>
      </c>
      <c r="I1287" s="5" t="s">
        <v>11700</v>
      </c>
      <c r="J1287" s="7">
        <v>13</v>
      </c>
      <c r="K1287" s="7">
        <v>6</v>
      </c>
      <c r="L1287" s="5" t="s">
        <v>11701</v>
      </c>
      <c r="M1287" s="7">
        <v>0.7</v>
      </c>
      <c r="N1287" s="7">
        <v>0</v>
      </c>
      <c r="O1287" s="7">
        <v>1.129</v>
      </c>
      <c r="P1287" s="1" t="s">
        <v>11702</v>
      </c>
    </row>
    <row r="1288" spans="1:16" ht="33.4" x14ac:dyDescent="0.3">
      <c r="A1288" s="6" t="str">
        <f>HYPERLINK("https://www.ti.com/product/TPS563202", "TPS563202")</f>
        <v>TPS563202</v>
      </c>
      <c r="B1288" s="5" t="s">
        <v>11703</v>
      </c>
      <c r="C1288" s="6" t="str">
        <f>HYPERLINK("https://www.ti.com/lit/gpn/TPS563202", "PDF")</f>
        <v>PDF</v>
      </c>
      <c r="D1288" s="5" t="s">
        <v>11704</v>
      </c>
      <c r="E1288" s="5" t="s">
        <v>11705</v>
      </c>
      <c r="F1288" s="5" t="s">
        <v>11706</v>
      </c>
      <c r="G1288" s="5" t="s">
        <v>11707</v>
      </c>
      <c r="H1288" s="1" t="s">
        <v>11708</v>
      </c>
      <c r="I1288" s="5" t="s">
        <v>11709</v>
      </c>
      <c r="J1288" s="7">
        <v>6</v>
      </c>
      <c r="K1288" s="7">
        <v>2.56</v>
      </c>
      <c r="L1288" s="5" t="s">
        <v>11710</v>
      </c>
      <c r="M1288" s="7">
        <v>0.6</v>
      </c>
      <c r="N1288" s="7">
        <v>0.5</v>
      </c>
      <c r="O1288" s="7">
        <v>9.1999999999999998E-2</v>
      </c>
      <c r="P1288" s="1" t="s">
        <v>11711</v>
      </c>
    </row>
    <row r="1289" spans="1:16" ht="33.4" x14ac:dyDescent="0.3">
      <c r="A1289" s="6" t="str">
        <f>HYPERLINK("https://www.ti.com/product/UCC27282-Q1", "UCC27282-Q1")</f>
        <v>UCC27282-Q1</v>
      </c>
      <c r="B1289" s="5" t="s">
        <v>11712</v>
      </c>
      <c r="C1289" s="6" t="str">
        <f>HYPERLINK("https://www.ti.com/lit/gpn/UCC27282-Q1", "PDF")</f>
        <v>PDF</v>
      </c>
      <c r="D1289" s="5" t="s">
        <v>11713</v>
      </c>
      <c r="E1289" s="5" t="s">
        <v>11714</v>
      </c>
      <c r="F1289" s="5"/>
      <c r="G1289" s="5" t="s">
        <v>11715</v>
      </c>
      <c r="H1289" s="1" t="s">
        <v>11716</v>
      </c>
      <c r="I1289" s="5" t="s">
        <v>11717</v>
      </c>
      <c r="J1289" s="7" t="s">
        <v>11718</v>
      </c>
      <c r="K1289" s="7" t="s">
        <v>11719</v>
      </c>
      <c r="L1289" s="5" t="s">
        <v>11720</v>
      </c>
      <c r="M1289" s="7" t="s">
        <v>11721</v>
      </c>
      <c r="N1289" s="7" t="s">
        <v>11722</v>
      </c>
      <c r="O1289" s="7">
        <v>1.161</v>
      </c>
      <c r="P1289" s="1" t="s">
        <v>11723</v>
      </c>
    </row>
    <row r="1290" spans="1:16" ht="33.4" x14ac:dyDescent="0.3">
      <c r="A1290" s="6" t="str">
        <f>HYPERLINK("https://www.ti.com/product/LM25184", "LM25184")</f>
        <v>LM25184</v>
      </c>
      <c r="B1290" s="5" t="s">
        <v>11724</v>
      </c>
      <c r="C1290" s="6" t="str">
        <f>HYPERLINK("https://www.ti.com/lit/gpn/LM25184", "PDF")</f>
        <v>PDF</v>
      </c>
      <c r="D1290" s="5" t="s">
        <v>11725</v>
      </c>
      <c r="E1290" s="5" t="s">
        <v>11726</v>
      </c>
      <c r="F1290" s="5" t="s">
        <v>11727</v>
      </c>
      <c r="G1290" s="5" t="s">
        <v>11728</v>
      </c>
      <c r="H1290" s="1" t="s">
        <v>11729</v>
      </c>
      <c r="I1290" s="5" t="s">
        <v>11730</v>
      </c>
      <c r="J1290" s="7">
        <v>8</v>
      </c>
      <c r="K1290" s="7">
        <v>16</v>
      </c>
      <c r="L1290" s="5" t="s">
        <v>11731</v>
      </c>
      <c r="M1290" s="7">
        <v>0.8</v>
      </c>
      <c r="N1290" s="7">
        <v>0.8</v>
      </c>
      <c r="O1290" s="7">
        <v>2.113</v>
      </c>
      <c r="P1290" s="1" t="s">
        <v>11732</v>
      </c>
    </row>
    <row r="1291" spans="1:16" ht="33.4" x14ac:dyDescent="0.3">
      <c r="A1291" s="6" t="str">
        <f>HYPERLINK("https://www.ti.com/product/LM25184-Q1", "LM25184-Q1")</f>
        <v>LM25184-Q1</v>
      </c>
      <c r="B1291" s="5" t="s">
        <v>11733</v>
      </c>
      <c r="C1291" s="6" t="str">
        <f>HYPERLINK("https://www.ti.com/lit/gpn/LM25184-Q1", "PDF")</f>
        <v>PDF</v>
      </c>
      <c r="D1291" s="5" t="s">
        <v>11734</v>
      </c>
      <c r="E1291" s="5" t="s">
        <v>11735</v>
      </c>
      <c r="F1291" s="5" t="s">
        <v>11736</v>
      </c>
      <c r="G1291" s="5" t="s">
        <v>11737</v>
      </c>
      <c r="H1291" s="1" t="s">
        <v>11738</v>
      </c>
      <c r="I1291" s="5" t="s">
        <v>11739</v>
      </c>
      <c r="J1291" s="7">
        <v>8</v>
      </c>
      <c r="K1291" s="7">
        <v>16</v>
      </c>
      <c r="L1291" s="5" t="s">
        <v>11740</v>
      </c>
      <c r="M1291" s="7">
        <v>0.8</v>
      </c>
      <c r="N1291" s="7">
        <v>0.8</v>
      </c>
      <c r="O1291" s="7">
        <v>2.4929999999999999</v>
      </c>
      <c r="P1291" s="1" t="s">
        <v>11741</v>
      </c>
    </row>
    <row r="1292" spans="1:16" ht="33.4" x14ac:dyDescent="0.3">
      <c r="A1292" s="6" t="str">
        <f>HYPERLINK("https://www.ti.com/product/TPS62861", "TPS62861")</f>
        <v>TPS62861</v>
      </c>
      <c r="B1292" s="5" t="s">
        <v>11742</v>
      </c>
      <c r="C1292" s="6" t="str">
        <f>HYPERLINK("https://www.ti.com/lit/gpn/TPS62861", "PDF")</f>
        <v>PDF</v>
      </c>
      <c r="D1292" s="5" t="s">
        <v>11743</v>
      </c>
      <c r="E1292" s="5" t="s">
        <v>11744</v>
      </c>
      <c r="F1292" s="5" t="s">
        <v>11745</v>
      </c>
      <c r="G1292" s="5" t="s">
        <v>11746</v>
      </c>
      <c r="H1292" s="1" t="s">
        <v>11747</v>
      </c>
      <c r="I1292" s="5" t="s">
        <v>11748</v>
      </c>
      <c r="J1292" s="7">
        <v>8</v>
      </c>
      <c r="K1292" s="7">
        <v>0.98</v>
      </c>
      <c r="L1292" s="5" t="s">
        <v>11749</v>
      </c>
      <c r="M1292" s="7">
        <v>0.4</v>
      </c>
      <c r="N1292" s="7">
        <v>0.35</v>
      </c>
      <c r="O1292" s="7">
        <v>0.52900000000000003</v>
      </c>
      <c r="P1292" s="1" t="s">
        <v>11750</v>
      </c>
    </row>
    <row r="1293" spans="1:16" ht="33.4" x14ac:dyDescent="0.3">
      <c r="A1293" s="6" t="str">
        <f>HYPERLINK("https://www.ti.com/product/TPS25980", "TPS25980")</f>
        <v>TPS25980</v>
      </c>
      <c r="B1293" s="5" t="s">
        <v>11751</v>
      </c>
      <c r="C1293" s="6" t="str">
        <f>HYPERLINK("https://www.ti.com/lit/gpn/TPS25980", "PDF")</f>
        <v>PDF</v>
      </c>
      <c r="D1293" s="5" t="s">
        <v>11752</v>
      </c>
      <c r="E1293" s="5" t="s">
        <v>11753</v>
      </c>
      <c r="F1293" s="5"/>
      <c r="G1293" s="5" t="s">
        <v>11754</v>
      </c>
      <c r="H1293" s="1" t="s">
        <v>11755</v>
      </c>
      <c r="I1293" s="5" t="s">
        <v>11756</v>
      </c>
      <c r="J1293" s="7">
        <v>24</v>
      </c>
      <c r="K1293" s="7">
        <v>16</v>
      </c>
      <c r="L1293" s="5" t="s">
        <v>11757</v>
      </c>
      <c r="M1293" s="7">
        <v>1</v>
      </c>
      <c r="N1293" s="7">
        <v>0.5</v>
      </c>
      <c r="O1293" s="7">
        <v>0.82799999999999996</v>
      </c>
      <c r="P1293" s="1" t="s">
        <v>11758</v>
      </c>
    </row>
    <row r="1294" spans="1:16" ht="33.4" x14ac:dyDescent="0.3">
      <c r="A1294" s="6" t="str">
        <f>HYPERLINK("https://www.ti.com/product/TPS784", "TPS784")</f>
        <v>TPS784</v>
      </c>
      <c r="B1294" s="5" t="s">
        <v>11759</v>
      </c>
      <c r="C1294" s="6" t="str">
        <f>HYPERLINK("https://www.ti.com/lit/gpn/TPS784", "PDF")</f>
        <v>PDF</v>
      </c>
      <c r="D1294" s="5" t="s">
        <v>11760</v>
      </c>
      <c r="E1294" s="5" t="s">
        <v>11761</v>
      </c>
      <c r="F1294" s="5"/>
      <c r="G1294" s="5" t="s">
        <v>11762</v>
      </c>
      <c r="H1294" s="1" t="s">
        <v>11763</v>
      </c>
      <c r="I1294" s="5" t="s">
        <v>11764</v>
      </c>
      <c r="J1294" s="7">
        <v>5</v>
      </c>
      <c r="K1294" s="7">
        <v>8.1199999999999992</v>
      </c>
      <c r="L1294" s="5" t="s">
        <v>11765</v>
      </c>
      <c r="M1294" s="7">
        <v>1.45</v>
      </c>
      <c r="N1294" s="7">
        <v>0.95</v>
      </c>
      <c r="O1294" s="7">
        <v>0.23</v>
      </c>
      <c r="P1294" s="1" t="s">
        <v>11766</v>
      </c>
    </row>
    <row r="1295" spans="1:16" ht="33.4" x14ac:dyDescent="0.3">
      <c r="A1295" s="6" t="str">
        <f>HYPERLINK("https://www.ti.com/product/UCC28782", "UCC28782")</f>
        <v>UCC28782</v>
      </c>
      <c r="B1295" s="5" t="s">
        <v>11767</v>
      </c>
      <c r="C1295" s="6" t="str">
        <f>HYPERLINK("https://www.ti.com/lit/gpn/UCC28782", "PDF")</f>
        <v>PDF</v>
      </c>
      <c r="D1295" s="5" t="s">
        <v>11768</v>
      </c>
      <c r="E1295" s="5" t="s">
        <v>11769</v>
      </c>
      <c r="F1295" s="5" t="s">
        <v>11770</v>
      </c>
      <c r="G1295" s="5" t="s">
        <v>11771</v>
      </c>
      <c r="H1295" s="1" t="s">
        <v>11772</v>
      </c>
      <c r="I1295" s="5" t="s">
        <v>11773</v>
      </c>
      <c r="J1295" s="7">
        <v>24</v>
      </c>
      <c r="K1295" s="7">
        <v>16</v>
      </c>
      <c r="L1295" s="5" t="s">
        <v>11774</v>
      </c>
      <c r="M1295" s="7">
        <v>0.8</v>
      </c>
      <c r="N1295" s="7">
        <v>0.5</v>
      </c>
      <c r="O1295" s="7">
        <v>0.84099999999999997</v>
      </c>
      <c r="P1295" s="1" t="s">
        <v>11775</v>
      </c>
    </row>
    <row r="1296" spans="1:16" ht="33.4" x14ac:dyDescent="0.3">
      <c r="A1296" s="6" t="str">
        <f>HYPERLINK("https://www.ti.com/product/UCC21540-Q1", "UCC21540-Q1")</f>
        <v>UCC21540-Q1</v>
      </c>
      <c r="B1296" s="5" t="s">
        <v>11776</v>
      </c>
      <c r="C1296" s="6" t="str">
        <f>HYPERLINK("https://www.ti.com/lit/gpn/UCC21540-Q1", "PDF")</f>
        <v>PDF</v>
      </c>
      <c r="D1296" s="5" t="s">
        <v>11777</v>
      </c>
      <c r="E1296" s="5" t="s">
        <v>11778</v>
      </c>
      <c r="F1296" s="5"/>
      <c r="G1296" s="5" t="s">
        <v>11779</v>
      </c>
      <c r="H1296" s="1" t="s">
        <v>11780</v>
      </c>
      <c r="I1296" s="5" t="s">
        <v>11781</v>
      </c>
      <c r="J1296" s="7">
        <v>14</v>
      </c>
      <c r="K1296" s="7">
        <v>106.09</v>
      </c>
      <c r="L1296" s="5" t="s">
        <v>11782</v>
      </c>
      <c r="M1296" s="7">
        <v>2.65</v>
      </c>
      <c r="N1296" s="7">
        <v>1.27</v>
      </c>
      <c r="O1296" s="7">
        <v>3.2010000000000001</v>
      </c>
      <c r="P1296" s="1" t="s">
        <v>11783</v>
      </c>
    </row>
    <row r="1297" spans="1:16" ht="17.05" x14ac:dyDescent="0.3">
      <c r="A1297" s="6" t="str">
        <f>HYPERLINK("https://www.ti.com/product/TPS3703", "TPS3703")</f>
        <v>TPS3703</v>
      </c>
      <c r="B1297" s="5" t="s">
        <v>11784</v>
      </c>
      <c r="C1297" s="6" t="str">
        <f>HYPERLINK("https://www.ti.com/lit/gpn/TPS3703", "PDF")</f>
        <v>PDF</v>
      </c>
      <c r="D1297" s="5" t="s">
        <v>11785</v>
      </c>
      <c r="E1297" s="5" t="s">
        <v>11786</v>
      </c>
      <c r="F1297" s="5"/>
      <c r="G1297" s="5" t="s">
        <v>11787</v>
      </c>
      <c r="H1297" s="1" t="s">
        <v>11788</v>
      </c>
      <c r="I1297" s="5" t="s">
        <v>11789</v>
      </c>
      <c r="J1297" s="7">
        <v>6</v>
      </c>
      <c r="K1297" s="7">
        <v>2.25</v>
      </c>
      <c r="L1297" s="5" t="s">
        <v>11790</v>
      </c>
      <c r="M1297" s="7">
        <v>0.8</v>
      </c>
      <c r="N1297" s="7">
        <v>0.5</v>
      </c>
      <c r="O1297" s="7">
        <v>0.70299999999999996</v>
      </c>
      <c r="P1297" s="1" t="s">
        <v>11791</v>
      </c>
    </row>
    <row r="1298" spans="1:16" ht="33.4" x14ac:dyDescent="0.3">
      <c r="A1298" s="6" t="str">
        <f>HYPERLINK("https://www.ti.com/product/TPS54JB20", "TPS54JB20")</f>
        <v>TPS54JB20</v>
      </c>
      <c r="B1298" s="5" t="s">
        <v>11792</v>
      </c>
      <c r="C1298" s="6" t="str">
        <f>HYPERLINK("https://www.ti.com/lit/gpn/TPS54JB20", "PDF")</f>
        <v>PDF</v>
      </c>
      <c r="D1298" s="5" t="s">
        <v>11793</v>
      </c>
      <c r="E1298" s="5" t="s">
        <v>11794</v>
      </c>
      <c r="F1298" s="5" t="s">
        <v>11795</v>
      </c>
      <c r="G1298" s="5" t="s">
        <v>11796</v>
      </c>
      <c r="H1298" s="1" t="s">
        <v>11797</v>
      </c>
      <c r="I1298" s="5" t="s">
        <v>11798</v>
      </c>
      <c r="J1298" s="7">
        <v>21</v>
      </c>
      <c r="K1298" s="7">
        <v>12</v>
      </c>
      <c r="L1298" s="5" t="s">
        <v>11799</v>
      </c>
      <c r="M1298" s="7">
        <v>1</v>
      </c>
      <c r="N1298" s="7">
        <v>0.4</v>
      </c>
      <c r="O1298" s="7">
        <v>2.31</v>
      </c>
      <c r="P1298" s="1" t="s">
        <v>11800</v>
      </c>
    </row>
    <row r="1299" spans="1:16" ht="33.4" x14ac:dyDescent="0.3">
      <c r="A1299" s="6" t="str">
        <f>HYPERLINK("https://www.ti.com/product/LMR50410-Q1", "LMR50410-Q1")</f>
        <v>LMR50410-Q1</v>
      </c>
      <c r="B1299" s="5" t="s">
        <v>11801</v>
      </c>
      <c r="C1299" s="6" t="str">
        <f>HYPERLINK("https://www.ti.com/lit/gpn/LMR50410-Q1", "PDF")</f>
        <v>PDF</v>
      </c>
      <c r="D1299" s="5" t="s">
        <v>11802</v>
      </c>
      <c r="E1299" s="5" t="s">
        <v>11803</v>
      </c>
      <c r="F1299" s="5" t="s">
        <v>11804</v>
      </c>
      <c r="G1299" s="5" t="s">
        <v>11805</v>
      </c>
      <c r="H1299" s="1" t="s">
        <v>11806</v>
      </c>
      <c r="I1299" s="5" t="s">
        <v>11807</v>
      </c>
      <c r="J1299" s="7">
        <v>6</v>
      </c>
      <c r="K1299" s="7">
        <v>8.1199999999999992</v>
      </c>
      <c r="L1299" s="5" t="s">
        <v>11808</v>
      </c>
      <c r="M1299" s="7">
        <v>1.45</v>
      </c>
      <c r="N1299" s="7">
        <v>0.95</v>
      </c>
      <c r="O1299" s="7">
        <v>0.63500000000000001</v>
      </c>
      <c r="P1299" s="1" t="s">
        <v>11809</v>
      </c>
    </row>
    <row r="1300" spans="1:16" ht="33.4" x14ac:dyDescent="0.3">
      <c r="A1300" s="6" t="str">
        <f>HYPERLINK("https://www.ti.com/product/LM76005", "LM76005")</f>
        <v>LM76005</v>
      </c>
      <c r="B1300" s="5" t="s">
        <v>11810</v>
      </c>
      <c r="C1300" s="6" t="str">
        <f>HYPERLINK("https://www.ti.com/lit/gpn/LM76005", "PDF")</f>
        <v>PDF</v>
      </c>
      <c r="D1300" s="5" t="s">
        <v>11811</v>
      </c>
      <c r="E1300" s="5" t="s">
        <v>11812</v>
      </c>
      <c r="F1300" s="5" t="s">
        <v>11813</v>
      </c>
      <c r="G1300" s="5" t="s">
        <v>11814</v>
      </c>
      <c r="H1300" s="1" t="s">
        <v>11815</v>
      </c>
      <c r="I1300" s="5" t="s">
        <v>11816</v>
      </c>
      <c r="J1300" s="7">
        <v>30</v>
      </c>
      <c r="K1300" s="7">
        <v>24</v>
      </c>
      <c r="L1300" s="5" t="s">
        <v>11817</v>
      </c>
      <c r="M1300" s="7">
        <v>0.8</v>
      </c>
      <c r="N1300" s="7">
        <v>0.5</v>
      </c>
      <c r="O1300" s="7">
        <v>2.0950000000000002</v>
      </c>
      <c r="P1300" s="1" t="s">
        <v>11818</v>
      </c>
    </row>
    <row r="1301" spans="1:16" ht="33.4" x14ac:dyDescent="0.3">
      <c r="A1301" s="6" t="str">
        <f>HYPERLINK("https://www.ti.com/product/LM76005-Q1", "LM76005-Q1")</f>
        <v>LM76005-Q1</v>
      </c>
      <c r="B1301" s="5" t="s">
        <v>11819</v>
      </c>
      <c r="C1301" s="6" t="str">
        <f>HYPERLINK("https://www.ti.com/lit/gpn/LM76005-Q1", "PDF")</f>
        <v>PDF</v>
      </c>
      <c r="D1301" s="5" t="s">
        <v>11820</v>
      </c>
      <c r="E1301" s="5" t="s">
        <v>11821</v>
      </c>
      <c r="F1301" s="5" t="s">
        <v>11822</v>
      </c>
      <c r="G1301" s="5" t="s">
        <v>11823</v>
      </c>
      <c r="H1301" s="1" t="s">
        <v>11824</v>
      </c>
      <c r="I1301" s="5" t="s">
        <v>11825</v>
      </c>
      <c r="J1301" s="7">
        <v>30</v>
      </c>
      <c r="K1301" s="7">
        <v>24</v>
      </c>
      <c r="L1301" s="5" t="s">
        <v>11826</v>
      </c>
      <c r="M1301" s="7">
        <v>0.8</v>
      </c>
      <c r="N1301" s="7">
        <v>0.5</v>
      </c>
      <c r="O1301" s="7">
        <v>2.472</v>
      </c>
      <c r="P1301" s="1" t="s">
        <v>11827</v>
      </c>
    </row>
    <row r="1302" spans="1:16" ht="33.4" x14ac:dyDescent="0.3">
      <c r="A1302" s="6" t="str">
        <f>HYPERLINK("https://www.ti.com/product/LM63610-Q1", "LM63610-Q1")</f>
        <v>LM63610-Q1</v>
      </c>
      <c r="B1302" s="5" t="s">
        <v>11828</v>
      </c>
      <c r="C1302" s="6" t="str">
        <f>HYPERLINK("https://www.ti.com/lit/gpn/LM63610-Q1", "PDF")</f>
        <v>PDF</v>
      </c>
      <c r="D1302" s="5" t="s">
        <v>11829</v>
      </c>
      <c r="E1302" s="5" t="s">
        <v>11830</v>
      </c>
      <c r="F1302" s="5" t="s">
        <v>11831</v>
      </c>
      <c r="G1302" s="5" t="s">
        <v>11832</v>
      </c>
      <c r="H1302" s="1" t="s">
        <v>11833</v>
      </c>
      <c r="I1302" s="5" t="s">
        <v>11834</v>
      </c>
      <c r="J1302" s="7" t="s">
        <v>11835</v>
      </c>
      <c r="K1302" s="7" t="s">
        <v>11836</v>
      </c>
      <c r="L1302" s="5" t="s">
        <v>11837</v>
      </c>
      <c r="M1302" s="7" t="s">
        <v>11838</v>
      </c>
      <c r="N1302" s="7" t="s">
        <v>11839</v>
      </c>
      <c r="O1302" s="7">
        <v>1.2649999999999999</v>
      </c>
      <c r="P1302" s="1" t="s">
        <v>11840</v>
      </c>
    </row>
    <row r="1303" spans="1:16" ht="33.4" x14ac:dyDescent="0.3">
      <c r="A1303" s="6" t="str">
        <f>HYPERLINK("https://www.ti.com/product/REF4132-Q1", "REF4132-Q1")</f>
        <v>REF4132-Q1</v>
      </c>
      <c r="B1303" s="5" t="s">
        <v>11841</v>
      </c>
      <c r="C1303" s="6" t="str">
        <f>HYPERLINK("https://www.ti.com/lit/gpn/REF4132-Q1", "PDF")</f>
        <v>PDF</v>
      </c>
      <c r="D1303" s="5" t="s">
        <v>11842</v>
      </c>
      <c r="E1303" s="5" t="s">
        <v>11843</v>
      </c>
      <c r="F1303" s="5"/>
      <c r="G1303" s="5" t="s">
        <v>11844</v>
      </c>
      <c r="H1303" s="1" t="s">
        <v>11845</v>
      </c>
      <c r="I1303" s="5" t="s">
        <v>11846</v>
      </c>
      <c r="J1303" s="7">
        <v>5</v>
      </c>
      <c r="K1303" s="7">
        <v>8.1199999999999992</v>
      </c>
      <c r="L1303" s="5" t="s">
        <v>11847</v>
      </c>
      <c r="M1303" s="7">
        <v>1.45</v>
      </c>
      <c r="N1303" s="7">
        <v>0.95</v>
      </c>
      <c r="O1303" s="7">
        <v>1.133</v>
      </c>
      <c r="P1303" s="1" t="s">
        <v>11848</v>
      </c>
    </row>
    <row r="1304" spans="1:16" ht="33.4" x14ac:dyDescent="0.3">
      <c r="A1304" s="6" t="str">
        <f>HYPERLINK("https://www.ti.com/product/TPS25814", "TPS25814")</f>
        <v>TPS25814</v>
      </c>
      <c r="B1304" s="5" t="s">
        <v>11849</v>
      </c>
      <c r="C1304" s="6" t="str">
        <f>HYPERLINK("https://www.ti.com/lit/gpn/TPS25814", "PDF")</f>
        <v>PDF</v>
      </c>
      <c r="D1304" s="5" t="s">
        <v>11850</v>
      </c>
      <c r="E1304" s="5" t="s">
        <v>11851</v>
      </c>
      <c r="F1304" s="5"/>
      <c r="G1304" s="5" t="s">
        <v>11852</v>
      </c>
      <c r="H1304" s="1" t="s">
        <v>11853</v>
      </c>
      <c r="I1304" s="5" t="s">
        <v>11854</v>
      </c>
      <c r="J1304" s="7">
        <v>32</v>
      </c>
      <c r="K1304" s="7">
        <v>16</v>
      </c>
      <c r="L1304" s="5" t="s">
        <v>11855</v>
      </c>
      <c r="M1304" s="7">
        <v>1</v>
      </c>
      <c r="N1304" s="7">
        <v>0.4</v>
      </c>
      <c r="O1304" s="7">
        <v>0.92</v>
      </c>
      <c r="P1304" s="1" t="s">
        <v>11856</v>
      </c>
    </row>
    <row r="1305" spans="1:16" ht="33.4" x14ac:dyDescent="0.3">
      <c r="A1305" s="6" t="str">
        <f>HYPERLINK("https://www.ti.com/product/TPS22919-Q1", "TPS22919-Q1")</f>
        <v>TPS22919-Q1</v>
      </c>
      <c r="B1305" s="5" t="s">
        <v>11857</v>
      </c>
      <c r="C1305" s="6" t="str">
        <f>HYPERLINK("https://www.ti.com/lit/gpn/TPS22919-Q1", "PDF")</f>
        <v>PDF</v>
      </c>
      <c r="D1305" s="5" t="s">
        <v>11858</v>
      </c>
      <c r="E1305" s="5" t="s">
        <v>11859</v>
      </c>
      <c r="F1305" s="5"/>
      <c r="G1305" s="5" t="s">
        <v>11860</v>
      </c>
      <c r="H1305" s="1" t="s">
        <v>11861</v>
      </c>
      <c r="I1305" s="5" t="s">
        <v>11862</v>
      </c>
      <c r="J1305" s="7">
        <v>6</v>
      </c>
      <c r="K1305" s="7">
        <v>4.2</v>
      </c>
      <c r="L1305" s="5" t="s">
        <v>11863</v>
      </c>
      <c r="M1305" s="7">
        <v>1.1000000000000001</v>
      </c>
      <c r="N1305" s="7">
        <v>0.65</v>
      </c>
      <c r="O1305" s="7">
        <v>6.0999999999999999E-2</v>
      </c>
      <c r="P1305" s="1" t="s">
        <v>11864</v>
      </c>
    </row>
    <row r="1306" spans="1:16" ht="49.75" x14ac:dyDescent="0.3">
      <c r="A1306" s="6" t="str">
        <f>HYPERLINK("https://www.ti.com/product/UCC5350-Q1", "UCC5350-Q1")</f>
        <v>UCC5350-Q1</v>
      </c>
      <c r="B1306" s="5" t="s">
        <v>11865</v>
      </c>
      <c r="C1306" s="6" t="str">
        <f>HYPERLINK("https://www.ti.com/lit/gpn/UCC5350-Q1", "PDF")</f>
        <v>PDF</v>
      </c>
      <c r="D1306" s="5" t="s">
        <v>11866</v>
      </c>
      <c r="E1306" s="5" t="s">
        <v>11867</v>
      </c>
      <c r="F1306" s="5"/>
      <c r="G1306" s="5" t="s">
        <v>11868</v>
      </c>
      <c r="H1306" s="1" t="s">
        <v>11869</v>
      </c>
      <c r="I1306" s="5" t="s">
        <v>11870</v>
      </c>
      <c r="J1306" s="7">
        <v>8</v>
      </c>
      <c r="K1306" s="7" t="s">
        <v>11871</v>
      </c>
      <c r="L1306" s="5" t="s">
        <v>11872</v>
      </c>
      <c r="M1306" s="7" t="s">
        <v>11873</v>
      </c>
      <c r="N1306" s="7">
        <v>1.27</v>
      </c>
      <c r="O1306" s="7">
        <v>1.177</v>
      </c>
      <c r="P1306" s="1" t="s">
        <v>11874</v>
      </c>
    </row>
    <row r="1307" spans="1:16" ht="33.4" x14ac:dyDescent="0.3">
      <c r="A1307" s="6" t="str">
        <f>HYPERLINK("https://www.ti.com/product/UCC28C40-Q1", "UCC28C40-Q1")</f>
        <v>UCC28C40-Q1</v>
      </c>
      <c r="B1307" s="5" t="s">
        <v>11875</v>
      </c>
      <c r="C1307" s="6" t="str">
        <f>HYPERLINK("https://www.ti.com/lit/gpn/UCC28C40-Q1", "PDF")</f>
        <v>PDF</v>
      </c>
      <c r="D1307" s="5" t="s">
        <v>11876</v>
      </c>
      <c r="E1307" s="5" t="s">
        <v>11877</v>
      </c>
      <c r="F1307" s="5" t="s">
        <v>11878</v>
      </c>
      <c r="G1307" s="5" t="s">
        <v>11879</v>
      </c>
      <c r="H1307" s="1" t="s">
        <v>11880</v>
      </c>
      <c r="I1307" s="5" t="s">
        <v>11881</v>
      </c>
      <c r="J1307" s="7">
        <v>8</v>
      </c>
      <c r="K1307" s="7">
        <v>29.4</v>
      </c>
      <c r="L1307" s="5" t="s">
        <v>11882</v>
      </c>
      <c r="M1307" s="7">
        <v>1.75</v>
      </c>
      <c r="N1307" s="7">
        <v>1.27</v>
      </c>
      <c r="O1307" s="7">
        <v>0.871</v>
      </c>
      <c r="P1307" s="1" t="s">
        <v>11883</v>
      </c>
    </row>
    <row r="1308" spans="1:16" ht="17.05" x14ac:dyDescent="0.3">
      <c r="A1308" s="6" t="str">
        <f>HYPERLINK("https://www.ti.com/product/TPS53820", "TPS53820")</f>
        <v>TPS53820</v>
      </c>
      <c r="B1308" s="5" t="s">
        <v>11884</v>
      </c>
      <c r="C1308" s="6" t="str">
        <f>HYPERLINK("https://www.ti.com/lit/gpn/TPS53820", "PDF")</f>
        <v>PDF</v>
      </c>
      <c r="D1308" s="5" t="s">
        <v>11885</v>
      </c>
      <c r="E1308" s="5" t="s">
        <v>11886</v>
      </c>
      <c r="F1308" s="5"/>
      <c r="G1308" s="5" t="s">
        <v>11887</v>
      </c>
      <c r="H1308" s="1" t="s">
        <v>11888</v>
      </c>
      <c r="I1308" s="5" t="s">
        <v>11889</v>
      </c>
      <c r="J1308" s="7">
        <v>35</v>
      </c>
      <c r="K1308" s="7">
        <v>25</v>
      </c>
      <c r="L1308" s="5" t="s">
        <v>11890</v>
      </c>
      <c r="M1308" s="7">
        <v>1</v>
      </c>
      <c r="N1308" s="7">
        <v>0.4</v>
      </c>
      <c r="O1308" s="7">
        <v>4.83</v>
      </c>
      <c r="P1308" s="1" t="s">
        <v>11891</v>
      </c>
    </row>
    <row r="1309" spans="1:16" ht="33.4" x14ac:dyDescent="0.3">
      <c r="A1309" s="6" t="str">
        <f>HYPERLINK("https://www.ti.com/product/TPS548A28", "TPS548A28")</f>
        <v>TPS548A28</v>
      </c>
      <c r="B1309" s="5" t="s">
        <v>11892</v>
      </c>
      <c r="C1309" s="6" t="str">
        <f>HYPERLINK("https://www.ti.com/lit/gpn/TPS548A28", "PDF")</f>
        <v>PDF</v>
      </c>
      <c r="D1309" s="5" t="s">
        <v>11893</v>
      </c>
      <c r="E1309" s="5" t="s">
        <v>11894</v>
      </c>
      <c r="F1309" s="5" t="s">
        <v>11895</v>
      </c>
      <c r="G1309" s="5" t="s">
        <v>11896</v>
      </c>
      <c r="H1309" s="1" t="s">
        <v>11897</v>
      </c>
      <c r="I1309" s="5" t="s">
        <v>11898</v>
      </c>
      <c r="J1309" s="7">
        <v>21</v>
      </c>
      <c r="K1309" s="7">
        <v>12</v>
      </c>
      <c r="L1309" s="5" t="s">
        <v>11899</v>
      </c>
      <c r="M1309" s="7">
        <v>1</v>
      </c>
      <c r="N1309" s="7">
        <v>0.4</v>
      </c>
      <c r="O1309" s="7">
        <v>1.794</v>
      </c>
      <c r="P1309" s="1" t="s">
        <v>11900</v>
      </c>
    </row>
    <row r="1310" spans="1:16" ht="33.4" x14ac:dyDescent="0.3">
      <c r="A1310" s="6" t="str">
        <f>HYPERLINK("https://www.ti.com/product/TPS548A29", "TPS548A29")</f>
        <v>TPS548A29</v>
      </c>
      <c r="B1310" s="5" t="s">
        <v>11901</v>
      </c>
      <c r="C1310" s="6" t="str">
        <f>HYPERLINK("https://www.ti.com/lit/gpn/TPS548A29", "PDF")</f>
        <v>PDF</v>
      </c>
      <c r="D1310" s="5" t="s">
        <v>11902</v>
      </c>
      <c r="E1310" s="5" t="s">
        <v>11903</v>
      </c>
      <c r="F1310" s="5" t="s">
        <v>11904</v>
      </c>
      <c r="G1310" s="5" t="s">
        <v>11905</v>
      </c>
      <c r="H1310" s="1" t="s">
        <v>11906</v>
      </c>
      <c r="I1310" s="5" t="s">
        <v>11907</v>
      </c>
      <c r="J1310" s="7">
        <v>21</v>
      </c>
      <c r="K1310" s="7">
        <v>12</v>
      </c>
      <c r="L1310" s="5" t="s">
        <v>11908</v>
      </c>
      <c r="M1310" s="7">
        <v>1</v>
      </c>
      <c r="N1310" s="7">
        <v>0.4</v>
      </c>
      <c r="O1310" s="7">
        <v>1.625</v>
      </c>
      <c r="P1310" s="1" t="s">
        <v>11909</v>
      </c>
    </row>
    <row r="1311" spans="1:16" ht="33.4" x14ac:dyDescent="0.3">
      <c r="A1311" s="6" t="str">
        <f>HYPERLINK("https://www.ti.com/product/LMR36506-Q1", "LMR36506-Q1")</f>
        <v>LMR36506-Q1</v>
      </c>
      <c r="B1311" s="5" t="s">
        <v>11910</v>
      </c>
      <c r="C1311" s="6" t="str">
        <f>HYPERLINK("https://www.ti.com/lit/gpn/LMR36506-Q1", "PDF")</f>
        <v>PDF</v>
      </c>
      <c r="D1311" s="5" t="s">
        <v>11911</v>
      </c>
      <c r="E1311" s="5" t="s">
        <v>11912</v>
      </c>
      <c r="F1311" s="5" t="s">
        <v>11913</v>
      </c>
      <c r="G1311" s="5" t="s">
        <v>11914</v>
      </c>
      <c r="H1311" s="1" t="s">
        <v>11915</v>
      </c>
      <c r="I1311" s="5" t="s">
        <v>11916</v>
      </c>
      <c r="J1311" s="7">
        <v>9</v>
      </c>
      <c r="K1311" s="7">
        <v>4</v>
      </c>
      <c r="L1311" s="5" t="s">
        <v>11917</v>
      </c>
      <c r="M1311" s="7">
        <v>1</v>
      </c>
      <c r="N1311" s="7">
        <v>0.5</v>
      </c>
      <c r="O1311" s="7">
        <v>2.044</v>
      </c>
      <c r="P1311" s="1" t="s">
        <v>11918</v>
      </c>
    </row>
    <row r="1312" spans="1:16" ht="33.4" x14ac:dyDescent="0.3">
      <c r="A1312" s="6" t="str">
        <f>HYPERLINK("https://www.ti.com/product/TLV740P", "TLV740P")</f>
        <v>TLV740P</v>
      </c>
      <c r="B1312" s="5" t="s">
        <v>11919</v>
      </c>
      <c r="C1312" s="6" t="str">
        <f>HYPERLINK("https://www.ti.com/lit/gpn/TLV740P", "PDF")</f>
        <v>PDF</v>
      </c>
      <c r="D1312" s="5" t="s">
        <v>11920</v>
      </c>
      <c r="E1312" s="5" t="s">
        <v>11921</v>
      </c>
      <c r="F1312" s="5"/>
      <c r="G1312" s="5" t="s">
        <v>11922</v>
      </c>
      <c r="H1312" s="1" t="s">
        <v>11923</v>
      </c>
      <c r="I1312" s="5" t="s">
        <v>11924</v>
      </c>
      <c r="J1312" s="7" t="s">
        <v>11925</v>
      </c>
      <c r="K1312" s="7" t="s">
        <v>11926</v>
      </c>
      <c r="L1312" s="5" t="s">
        <v>11927</v>
      </c>
      <c r="M1312" s="7" t="s">
        <v>11928</v>
      </c>
      <c r="N1312" s="7" t="s">
        <v>11929</v>
      </c>
      <c r="O1312" s="7">
        <v>1.7999999999999999E-2</v>
      </c>
      <c r="P1312" s="1" t="s">
        <v>11930</v>
      </c>
    </row>
    <row r="1313" spans="1:16" ht="33.4" x14ac:dyDescent="0.3">
      <c r="A1313" s="6" t="str">
        <f>HYPERLINK("https://www.ti.com/product/LM60430-Q1", "LM60430-Q1")</f>
        <v>LM60430-Q1</v>
      </c>
      <c r="B1313" s="5" t="s">
        <v>11931</v>
      </c>
      <c r="C1313" s="6" t="str">
        <f>HYPERLINK("https://www.ti.com/lit/gpn/LM60430-Q1", "PDF")</f>
        <v>PDF</v>
      </c>
      <c r="D1313" s="5" t="s">
        <v>11932</v>
      </c>
      <c r="E1313" s="5" t="s">
        <v>11933</v>
      </c>
      <c r="F1313" s="5" t="s">
        <v>11934</v>
      </c>
      <c r="G1313" s="5" t="s">
        <v>11935</v>
      </c>
      <c r="H1313" s="1" t="s">
        <v>11936</v>
      </c>
      <c r="I1313" s="5" t="s">
        <v>11937</v>
      </c>
      <c r="J1313" s="7">
        <v>13</v>
      </c>
      <c r="K1313" s="7">
        <v>6</v>
      </c>
      <c r="L1313" s="5" t="s">
        <v>11938</v>
      </c>
      <c r="M1313" s="7">
        <v>0.7</v>
      </c>
      <c r="N1313" s="7">
        <v>0</v>
      </c>
      <c r="O1313" s="7">
        <v>1.2330000000000001</v>
      </c>
      <c r="P1313" s="1" t="s">
        <v>11939</v>
      </c>
    </row>
    <row r="1314" spans="1:16" ht="33.4" x14ac:dyDescent="0.3">
      <c r="A1314" s="6" t="str">
        <f>HYPERLINK("https://www.ti.com/product/LM60440-Q1", "LM60440-Q1")</f>
        <v>LM60440-Q1</v>
      </c>
      <c r="B1314" s="5" t="s">
        <v>11940</v>
      </c>
      <c r="C1314" s="6" t="str">
        <f>HYPERLINK("https://www.ti.com/lit/gpn/LM60440-Q1", "PDF")</f>
        <v>PDF</v>
      </c>
      <c r="D1314" s="5" t="s">
        <v>11941</v>
      </c>
      <c r="E1314" s="5" t="s">
        <v>11942</v>
      </c>
      <c r="F1314" s="5" t="s">
        <v>11943</v>
      </c>
      <c r="G1314" s="5" t="s">
        <v>11944</v>
      </c>
      <c r="H1314" s="1" t="s">
        <v>11945</v>
      </c>
      <c r="I1314" s="5" t="s">
        <v>11946</v>
      </c>
      <c r="J1314" s="7">
        <v>13</v>
      </c>
      <c r="K1314" s="7">
        <v>6</v>
      </c>
      <c r="L1314" s="5" t="s">
        <v>11947</v>
      </c>
      <c r="M1314" s="7">
        <v>0.7</v>
      </c>
      <c r="N1314" s="7">
        <v>0</v>
      </c>
      <c r="O1314" s="7">
        <v>1.3320000000000001</v>
      </c>
      <c r="P1314" s="1" t="s">
        <v>11948</v>
      </c>
    </row>
    <row r="1315" spans="1:16" ht="33.4" x14ac:dyDescent="0.3">
      <c r="A1315" s="6" t="str">
        <f>HYPERLINK("https://www.ti.com/product/LM5156-Q1", "LM5156-Q1")</f>
        <v>LM5156-Q1</v>
      </c>
      <c r="B1315" s="5" t="s">
        <v>11949</v>
      </c>
      <c r="C1315" s="6" t="str">
        <f>HYPERLINK("https://www.ti.com/lit/gpn/LM5156-Q1", "PDF")</f>
        <v>PDF</v>
      </c>
      <c r="D1315" s="5" t="s">
        <v>11950</v>
      </c>
      <c r="E1315" s="5" t="s">
        <v>11951</v>
      </c>
      <c r="F1315" s="5" t="s">
        <v>11952</v>
      </c>
      <c r="G1315" s="5" t="s">
        <v>11953</v>
      </c>
      <c r="H1315" s="1" t="s">
        <v>11954</v>
      </c>
      <c r="I1315" s="5" t="s">
        <v>11955</v>
      </c>
      <c r="J1315" s="7">
        <v>12</v>
      </c>
      <c r="K1315" s="7">
        <v>6</v>
      </c>
      <c r="L1315" s="5" t="s">
        <v>11956</v>
      </c>
      <c r="M1315" s="7">
        <v>0.8</v>
      </c>
      <c r="N1315" s="7">
        <v>0.5</v>
      </c>
      <c r="O1315" s="7">
        <v>1.1319999999999999</v>
      </c>
      <c r="P1315" s="1" t="s">
        <v>11957</v>
      </c>
    </row>
    <row r="1316" spans="1:16" ht="33.4" x14ac:dyDescent="0.3">
      <c r="A1316" s="6" t="str">
        <f>HYPERLINK("https://www.ti.com/product/LM51561-Q1", "LM51561-Q1")</f>
        <v>LM51561-Q1</v>
      </c>
      <c r="B1316" s="5" t="s">
        <v>11958</v>
      </c>
      <c r="C1316" s="6" t="str">
        <f>HYPERLINK("https://www.ti.com/lit/gpn/LM51561-Q1", "PDF")</f>
        <v>PDF</v>
      </c>
      <c r="D1316" s="5" t="s">
        <v>11959</v>
      </c>
      <c r="E1316" s="5" t="s">
        <v>11960</v>
      </c>
      <c r="F1316" s="5" t="s">
        <v>11961</v>
      </c>
      <c r="G1316" s="5" t="s">
        <v>11962</v>
      </c>
      <c r="H1316" s="1" t="s">
        <v>11963</v>
      </c>
      <c r="I1316" s="5" t="s">
        <v>11964</v>
      </c>
      <c r="J1316" s="7">
        <v>12</v>
      </c>
      <c r="K1316" s="7">
        <v>6</v>
      </c>
      <c r="L1316" s="5" t="s">
        <v>11965</v>
      </c>
      <c r="M1316" s="7">
        <v>0.8</v>
      </c>
      <c r="N1316" s="7">
        <v>0.5</v>
      </c>
      <c r="O1316" s="7">
        <v>1.1319999999999999</v>
      </c>
      <c r="P1316" s="1" t="s">
        <v>11966</v>
      </c>
    </row>
    <row r="1317" spans="1:16" ht="33.4" x14ac:dyDescent="0.3">
      <c r="A1317" s="6" t="str">
        <f>HYPERLINK("https://www.ti.com/product/TPS51215A", "TPS51215A")</f>
        <v>TPS51215A</v>
      </c>
      <c r="B1317" s="5" t="s">
        <v>11967</v>
      </c>
      <c r="C1317" s="6" t="str">
        <f>HYPERLINK("https://www.ti.com/lit/gpn/TPS51215A", "PDF")</f>
        <v>PDF</v>
      </c>
      <c r="D1317" s="5" t="s">
        <v>11968</v>
      </c>
      <c r="E1317" s="5" t="s">
        <v>11969</v>
      </c>
      <c r="F1317" s="5" t="s">
        <v>11970</v>
      </c>
      <c r="G1317" s="5" t="s">
        <v>11971</v>
      </c>
      <c r="H1317" s="1" t="s">
        <v>11972</v>
      </c>
      <c r="I1317" s="5" t="s">
        <v>11973</v>
      </c>
      <c r="J1317" s="7">
        <v>20</v>
      </c>
      <c r="K1317" s="7">
        <v>9</v>
      </c>
      <c r="L1317" s="5" t="s">
        <v>11974</v>
      </c>
      <c r="M1317" s="7">
        <v>0.8</v>
      </c>
      <c r="N1317" s="7">
        <v>0.4</v>
      </c>
      <c r="O1317" s="7">
        <v>0.51800000000000002</v>
      </c>
      <c r="P1317" s="1" t="s">
        <v>11975</v>
      </c>
    </row>
    <row r="1318" spans="1:16" ht="33.4" x14ac:dyDescent="0.3">
      <c r="A1318" s="6" t="str">
        <f>HYPERLINK("https://www.ti.com/product/TPS92200", "TPS92200")</f>
        <v>TPS92200</v>
      </c>
      <c r="B1318" s="5" t="s">
        <v>11976</v>
      </c>
      <c r="C1318" s="6" t="str">
        <f>HYPERLINK("https://www.ti.com/lit/gpn/TPS92200", "PDF")</f>
        <v>PDF</v>
      </c>
      <c r="D1318" s="5" t="s">
        <v>11977</v>
      </c>
      <c r="E1318" s="5" t="s">
        <v>11978</v>
      </c>
      <c r="F1318" s="5" t="s">
        <v>11979</v>
      </c>
      <c r="G1318" s="5" t="s">
        <v>11980</v>
      </c>
      <c r="H1318" s="1" t="s">
        <v>11981</v>
      </c>
      <c r="I1318" s="5" t="s">
        <v>11982</v>
      </c>
      <c r="J1318" s="7">
        <v>6</v>
      </c>
      <c r="K1318" s="7" t="s">
        <v>11983</v>
      </c>
      <c r="L1318" s="5" t="s">
        <v>11984</v>
      </c>
      <c r="M1318" s="7" t="s">
        <v>11985</v>
      </c>
      <c r="N1318" s="7" t="s">
        <v>11986</v>
      </c>
      <c r="O1318" s="7">
        <v>0.20899999999999999</v>
      </c>
      <c r="P1318" s="1" t="s">
        <v>11987</v>
      </c>
    </row>
    <row r="1319" spans="1:16" ht="17.05" x14ac:dyDescent="0.3">
      <c r="A1319" s="6" t="str">
        <f>HYPERLINK("https://www.ti.com/product/TPS2124", "TPS2124")</f>
        <v>TPS2124</v>
      </c>
      <c r="B1319" s="5" t="s">
        <v>11988</v>
      </c>
      <c r="C1319" s="6" t="str">
        <f>HYPERLINK("https://www.ti.com/lit/gpn/TPS2124", "PDF")</f>
        <v>PDF</v>
      </c>
      <c r="D1319" s="5" t="s">
        <v>11989</v>
      </c>
      <c r="E1319" s="5" t="s">
        <v>11990</v>
      </c>
      <c r="F1319" s="5"/>
      <c r="G1319" s="5" t="s">
        <v>11991</v>
      </c>
      <c r="H1319" s="1" t="s">
        <v>11992</v>
      </c>
      <c r="I1319" s="5" t="s">
        <v>11993</v>
      </c>
      <c r="J1319" s="7">
        <v>20</v>
      </c>
      <c r="K1319" s="7">
        <v>3.96</v>
      </c>
      <c r="L1319" s="5" t="s">
        <v>11994</v>
      </c>
      <c r="M1319" s="7">
        <v>0.5</v>
      </c>
      <c r="N1319" s="7">
        <v>0.4</v>
      </c>
      <c r="O1319" s="7">
        <v>0.71299999999999997</v>
      </c>
      <c r="P1319" s="1" t="s">
        <v>11995</v>
      </c>
    </row>
    <row r="1320" spans="1:16" ht="17.05" x14ac:dyDescent="0.3">
      <c r="A1320" s="6" t="str">
        <f>HYPERLINK("https://www.ti.com/product/REF4132", "REF4132")</f>
        <v>REF4132</v>
      </c>
      <c r="B1320" s="5" t="s">
        <v>11996</v>
      </c>
      <c r="C1320" s="6" t="str">
        <f>HYPERLINK("https://www.ti.com/lit/gpn/REF4132", "PDF")</f>
        <v>PDF</v>
      </c>
      <c r="D1320" s="5" t="s">
        <v>11997</v>
      </c>
      <c r="E1320" s="5" t="s">
        <v>11998</v>
      </c>
      <c r="F1320" s="5"/>
      <c r="G1320" s="5" t="s">
        <v>11999</v>
      </c>
      <c r="H1320" s="1" t="s">
        <v>12000</v>
      </c>
      <c r="I1320" s="5" t="s">
        <v>12001</v>
      </c>
      <c r="J1320" s="7">
        <v>5</v>
      </c>
      <c r="K1320" s="7">
        <v>8.1199999999999992</v>
      </c>
      <c r="L1320" s="5" t="s">
        <v>12002</v>
      </c>
      <c r="M1320" s="7">
        <v>1.45</v>
      </c>
      <c r="N1320" s="7">
        <v>0.95</v>
      </c>
      <c r="O1320" s="7">
        <v>0.94399999999999995</v>
      </c>
      <c r="P1320" s="1" t="s">
        <v>12003</v>
      </c>
    </row>
    <row r="1321" spans="1:16" ht="33.4" x14ac:dyDescent="0.3">
      <c r="A1321" s="6" t="str">
        <f>HYPERLINK("https://www.ti.com/product/LM62435-Q1", "LM62435-Q1")</f>
        <v>LM62435-Q1</v>
      </c>
      <c r="B1321" s="5" t="s">
        <v>12004</v>
      </c>
      <c r="C1321" s="6" t="str">
        <f>HYPERLINK("https://www.ti.com/lit/gpn/LM62435-Q1", "PDF")</f>
        <v>PDF</v>
      </c>
      <c r="D1321" s="5" t="s">
        <v>12005</v>
      </c>
      <c r="E1321" s="5" t="s">
        <v>12006</v>
      </c>
      <c r="F1321" s="5" t="s">
        <v>12007</v>
      </c>
      <c r="G1321" s="5" t="s">
        <v>12008</v>
      </c>
      <c r="H1321" s="1" t="s">
        <v>12009</v>
      </c>
      <c r="I1321" s="5" t="s">
        <v>12010</v>
      </c>
      <c r="J1321" s="7">
        <v>14</v>
      </c>
      <c r="K1321" s="7">
        <v>14</v>
      </c>
      <c r="L1321" s="5" t="s">
        <v>12011</v>
      </c>
      <c r="M1321" s="7">
        <v>1</v>
      </c>
      <c r="N1321" s="7">
        <v>0.5</v>
      </c>
      <c r="O1321" s="7">
        <v>2.4340000000000002</v>
      </c>
      <c r="P1321" s="1" t="s">
        <v>12012</v>
      </c>
    </row>
    <row r="1322" spans="1:16" ht="33.4" x14ac:dyDescent="0.3">
      <c r="A1322" s="6" t="str">
        <f>HYPERLINK("https://www.ti.com/product/TPS92520-Q1", "TPS92520-Q1")</f>
        <v>TPS92520-Q1</v>
      </c>
      <c r="B1322" s="5" t="s">
        <v>12013</v>
      </c>
      <c r="C1322" s="6" t="str">
        <f>HYPERLINK("https://www.ti.com/lit/gpn/TPS92520-Q1", "PDF")</f>
        <v>PDF</v>
      </c>
      <c r="D1322" s="5" t="s">
        <v>12014</v>
      </c>
      <c r="E1322" s="5" t="s">
        <v>12015</v>
      </c>
      <c r="F1322" s="5" t="s">
        <v>12016</v>
      </c>
      <c r="G1322" s="5" t="s">
        <v>12017</v>
      </c>
      <c r="H1322" s="1" t="s">
        <v>12018</v>
      </c>
      <c r="I1322" s="5" t="s">
        <v>12019</v>
      </c>
      <c r="J1322" s="7">
        <v>32</v>
      </c>
      <c r="K1322" s="7">
        <v>89.1</v>
      </c>
      <c r="L1322" s="5" t="s">
        <v>12020</v>
      </c>
      <c r="M1322" s="7">
        <v>1.2</v>
      </c>
      <c r="N1322" s="7">
        <v>0.65</v>
      </c>
      <c r="O1322" s="7">
        <v>1.4950000000000001</v>
      </c>
      <c r="P1322" s="1" t="s">
        <v>12021</v>
      </c>
    </row>
    <row r="1323" spans="1:16" ht="33.4" x14ac:dyDescent="0.3">
      <c r="A1323" s="6" t="str">
        <f>HYPERLINK("https://www.ti.com/product/TUSB1146", "TUSB1146")</f>
        <v>TUSB1146</v>
      </c>
      <c r="B1323" s="5" t="s">
        <v>12022</v>
      </c>
      <c r="C1323" s="6" t="str">
        <f>HYPERLINK("https://www.ti.com/lit/gpn/TUSB1146", "PDF")</f>
        <v>PDF</v>
      </c>
      <c r="D1323" s="5" t="s">
        <v>12023</v>
      </c>
      <c r="E1323" s="5" t="s">
        <v>12024</v>
      </c>
      <c r="F1323" s="5"/>
      <c r="G1323" s="5" t="s">
        <v>12025</v>
      </c>
      <c r="H1323" s="1" t="s">
        <v>12026</v>
      </c>
      <c r="I1323" s="5" t="s">
        <v>12027</v>
      </c>
      <c r="J1323" s="7">
        <v>40</v>
      </c>
      <c r="K1323" s="7">
        <v>24</v>
      </c>
      <c r="L1323" s="5" t="s">
        <v>12028</v>
      </c>
      <c r="M1323" s="7">
        <v>0.8</v>
      </c>
      <c r="N1323" s="7">
        <v>0.4</v>
      </c>
      <c r="O1323" s="7">
        <v>4.5430000000000001</v>
      </c>
      <c r="P1323" s="1" t="s">
        <v>12029</v>
      </c>
    </row>
    <row r="1324" spans="1:16" ht="33.4" x14ac:dyDescent="0.3">
      <c r="A1324" s="6" t="str">
        <f>HYPERLINK("https://www.ti.com/product/LM62440-Q1", "LM62440-Q1")</f>
        <v>LM62440-Q1</v>
      </c>
      <c r="B1324" s="5" t="s">
        <v>12030</v>
      </c>
      <c r="C1324" s="6" t="str">
        <f>HYPERLINK("https://www.ti.com/lit/gpn/LM62440-Q1", "PDF")</f>
        <v>PDF</v>
      </c>
      <c r="D1324" s="5" t="s">
        <v>12031</v>
      </c>
      <c r="E1324" s="5" t="s">
        <v>12032</v>
      </c>
      <c r="F1324" s="5" t="s">
        <v>12033</v>
      </c>
      <c r="G1324" s="5" t="s">
        <v>12034</v>
      </c>
      <c r="H1324" s="1" t="s">
        <v>12035</v>
      </c>
      <c r="I1324" s="5" t="s">
        <v>12036</v>
      </c>
      <c r="J1324" s="7">
        <v>14</v>
      </c>
      <c r="K1324" s="7">
        <v>14</v>
      </c>
      <c r="L1324" s="5" t="s">
        <v>12037</v>
      </c>
      <c r="M1324" s="7">
        <v>1</v>
      </c>
      <c r="N1324" s="7">
        <v>0.5</v>
      </c>
      <c r="O1324" s="7">
        <v>1.9650000000000001</v>
      </c>
      <c r="P1324" s="1" t="s">
        <v>12038</v>
      </c>
    </row>
    <row r="1325" spans="1:16" ht="33.4" x14ac:dyDescent="0.3">
      <c r="A1325" s="6" t="str">
        <f>HYPERLINK("https://www.ti.com/product/UCC28065", "UCC28065")</f>
        <v>UCC28065</v>
      </c>
      <c r="B1325" s="5" t="s">
        <v>12039</v>
      </c>
      <c r="C1325" s="6" t="str">
        <f>HYPERLINK("https://www.ti.com/lit/gpn/UCC28065", "PDF")</f>
        <v>PDF</v>
      </c>
      <c r="D1325" s="5" t="s">
        <v>12040</v>
      </c>
      <c r="E1325" s="5" t="s">
        <v>12041</v>
      </c>
      <c r="F1325" s="5" t="s">
        <v>12042</v>
      </c>
      <c r="G1325" s="5" t="s">
        <v>12043</v>
      </c>
      <c r="H1325" s="1" t="s">
        <v>12044</v>
      </c>
      <c r="I1325" s="5" t="s">
        <v>12045</v>
      </c>
      <c r="J1325" s="7">
        <v>16</v>
      </c>
      <c r="K1325" s="7">
        <v>59.4</v>
      </c>
      <c r="L1325" s="5" t="s">
        <v>12046</v>
      </c>
      <c r="M1325" s="7">
        <v>1.75</v>
      </c>
      <c r="N1325" s="7">
        <v>1.27</v>
      </c>
      <c r="O1325" s="7">
        <v>0.96599999999999997</v>
      </c>
      <c r="P1325" s="1" t="s">
        <v>12047</v>
      </c>
    </row>
    <row r="1326" spans="1:16" ht="33.4" x14ac:dyDescent="0.3">
      <c r="A1326" s="6" t="str">
        <f>HYPERLINK("https://www.ti.com/product/TPS1HB16-Q1", "TPS1HB16-Q1")</f>
        <v>TPS1HB16-Q1</v>
      </c>
      <c r="B1326" s="5" t="s">
        <v>12048</v>
      </c>
      <c r="C1326" s="6" t="str">
        <f>HYPERLINK("https://www.ti.com/lit/gpn/TPS1HB16-Q1", "PDF")</f>
        <v>PDF</v>
      </c>
      <c r="D1326" s="5" t="s">
        <v>12049</v>
      </c>
      <c r="E1326" s="5" t="s">
        <v>12050</v>
      </c>
      <c r="F1326" s="5"/>
      <c r="G1326" s="5" t="s">
        <v>12051</v>
      </c>
      <c r="H1326" s="1" t="s">
        <v>12052</v>
      </c>
      <c r="I1326" s="5" t="s">
        <v>12053</v>
      </c>
      <c r="J1326" s="7">
        <v>16</v>
      </c>
      <c r="K1326" s="7">
        <v>32</v>
      </c>
      <c r="L1326" s="5" t="s">
        <v>12054</v>
      </c>
      <c r="M1326" s="7">
        <v>1.2</v>
      </c>
      <c r="N1326" s="7">
        <v>0.65</v>
      </c>
      <c r="O1326" s="7">
        <v>0.71199999999999997</v>
      </c>
      <c r="P1326" s="1" t="s">
        <v>12055</v>
      </c>
    </row>
    <row r="1327" spans="1:16" ht="49.75" x14ac:dyDescent="0.3">
      <c r="A1327" s="6" t="str">
        <f>HYPERLINK("https://www.ti.com/product/TPS62864", "TPS62864")</f>
        <v>TPS62864</v>
      </c>
      <c r="B1327" s="5" t="s">
        <v>12056</v>
      </c>
      <c r="C1327" s="6" t="str">
        <f>HYPERLINK("https://www.ti.com/lit/gpn/TPS62864", "PDF")</f>
        <v>PDF</v>
      </c>
      <c r="D1327" s="5" t="s">
        <v>12057</v>
      </c>
      <c r="E1327" s="5" t="s">
        <v>12058</v>
      </c>
      <c r="F1327" s="5" t="s">
        <v>12059</v>
      </c>
      <c r="G1327" s="5" t="s">
        <v>12060</v>
      </c>
      <c r="H1327" s="1" t="s">
        <v>12061</v>
      </c>
      <c r="I1327" s="5" t="s">
        <v>12062</v>
      </c>
      <c r="J1327" s="7">
        <v>15</v>
      </c>
      <c r="K1327" s="7">
        <v>1.8374999999999999</v>
      </c>
      <c r="L1327" s="5" t="s">
        <v>12063</v>
      </c>
      <c r="M1327" s="7">
        <v>0.5</v>
      </c>
      <c r="N1327" s="7">
        <v>0.35</v>
      </c>
      <c r="O1327" s="7">
        <v>0.75</v>
      </c>
      <c r="P1327" s="1" t="s">
        <v>12064</v>
      </c>
    </row>
    <row r="1328" spans="1:16" ht="49.75" x14ac:dyDescent="0.3">
      <c r="A1328" s="6" t="str">
        <f>HYPERLINK("https://www.ti.com/product/TPS62866", "TPS62866")</f>
        <v>TPS62866</v>
      </c>
      <c r="B1328" s="5" t="s">
        <v>12065</v>
      </c>
      <c r="C1328" s="6" t="str">
        <f>HYPERLINK("https://www.ti.com/lit/gpn/TPS62866", "PDF")</f>
        <v>PDF</v>
      </c>
      <c r="D1328" s="5" t="s">
        <v>12066</v>
      </c>
      <c r="E1328" s="5" t="s">
        <v>12067</v>
      </c>
      <c r="F1328" s="5" t="s">
        <v>12068</v>
      </c>
      <c r="G1328" s="5" t="s">
        <v>12069</v>
      </c>
      <c r="H1328" s="1" t="s">
        <v>12070</v>
      </c>
      <c r="I1328" s="5" t="s">
        <v>12071</v>
      </c>
      <c r="J1328" s="7">
        <v>15</v>
      </c>
      <c r="K1328" s="7">
        <v>1.8374999999999999</v>
      </c>
      <c r="L1328" s="5" t="s">
        <v>12072</v>
      </c>
      <c r="M1328" s="7">
        <v>0.5</v>
      </c>
      <c r="N1328" s="7">
        <v>0.35</v>
      </c>
      <c r="O1328" s="7">
        <v>1.0620000000000001</v>
      </c>
      <c r="P1328" s="1" t="s">
        <v>12073</v>
      </c>
    </row>
    <row r="1329" spans="1:16" ht="66.150000000000006" x14ac:dyDescent="0.3">
      <c r="A1329" s="6" t="str">
        <f>HYPERLINK("https://www.ti.com/product/TPS7H4001-SP", "TPS7H4001-SP")</f>
        <v>TPS7H4001-SP</v>
      </c>
      <c r="B1329" s="5" t="s">
        <v>12074</v>
      </c>
      <c r="C1329" s="6" t="str">
        <f>HYPERLINK("https://www.ti.com/lit/gpn/TPS7H4001-SP", "PDF")</f>
        <v>PDF</v>
      </c>
      <c r="D1329" s="5" t="s">
        <v>12075</v>
      </c>
      <c r="E1329" s="5" t="s">
        <v>12076</v>
      </c>
      <c r="F1329" s="5" t="s">
        <v>12077</v>
      </c>
      <c r="G1329" s="5" t="s">
        <v>12078</v>
      </c>
      <c r="H1329" s="1" t="s">
        <v>12079</v>
      </c>
      <c r="I1329" s="5" t="s">
        <v>12080</v>
      </c>
      <c r="J1329" s="7" t="s">
        <v>12081</v>
      </c>
      <c r="K1329" s="7" t="s">
        <v>12082</v>
      </c>
      <c r="L1329" s="5" t="s">
        <v>12083</v>
      </c>
      <c r="M1329" s="7" t="s">
        <v>12084</v>
      </c>
      <c r="N1329" s="7" t="s">
        <v>12085</v>
      </c>
      <c r="O1329" s="7">
        <v>5705.4380000000001</v>
      </c>
      <c r="P1329" s="1" t="s">
        <v>12086</v>
      </c>
    </row>
    <row r="1330" spans="1:16" ht="33.4" x14ac:dyDescent="0.3">
      <c r="A1330" s="6" t="str">
        <f>HYPERLINK("https://www.ti.com/product/TPS7B81", "TPS7B81")</f>
        <v>TPS7B81</v>
      </c>
      <c r="B1330" s="5" t="s">
        <v>12087</v>
      </c>
      <c r="C1330" s="6" t="str">
        <f>HYPERLINK("https://www.ti.com/lit/gpn/TPS7B81", "PDF")</f>
        <v>PDF</v>
      </c>
      <c r="D1330" s="5" t="s">
        <v>12088</v>
      </c>
      <c r="E1330" s="5" t="s">
        <v>12089</v>
      </c>
      <c r="F1330" s="5"/>
      <c r="G1330" s="5" t="s">
        <v>12090</v>
      </c>
      <c r="H1330" s="1" t="s">
        <v>12091</v>
      </c>
      <c r="I1330" s="5" t="s">
        <v>12092</v>
      </c>
      <c r="J1330" s="7" t="s">
        <v>12093</v>
      </c>
      <c r="K1330" s="7" t="s">
        <v>12094</v>
      </c>
      <c r="L1330" s="5" t="s">
        <v>12095</v>
      </c>
      <c r="M1330" s="7" t="s">
        <v>12096</v>
      </c>
      <c r="N1330" s="7">
        <v>0.65</v>
      </c>
      <c r="O1330" s="7">
        <v>0.39</v>
      </c>
      <c r="P1330" s="1" t="s">
        <v>12097</v>
      </c>
    </row>
    <row r="1331" spans="1:16" ht="33.4" x14ac:dyDescent="0.3">
      <c r="A1331" s="6" t="str">
        <f>HYPERLINK("https://www.ti.com/product/UCC21739-Q1", "UCC21739-Q1")</f>
        <v>UCC21739-Q1</v>
      </c>
      <c r="B1331" s="5" t="s">
        <v>12098</v>
      </c>
      <c r="C1331" s="6" t="str">
        <f>HYPERLINK("https://www.ti.com/lit/gpn/UCC21739-Q1", "PDF")</f>
        <v>PDF</v>
      </c>
      <c r="D1331" s="5" t="s">
        <v>12099</v>
      </c>
      <c r="E1331" s="5" t="s">
        <v>12100</v>
      </c>
      <c r="F1331" s="5"/>
      <c r="G1331" s="5" t="s">
        <v>12101</v>
      </c>
      <c r="H1331" s="1" t="s">
        <v>12102</v>
      </c>
      <c r="I1331" s="5" t="s">
        <v>12103</v>
      </c>
      <c r="J1331" s="7">
        <v>16</v>
      </c>
      <c r="K1331" s="7">
        <v>106.09</v>
      </c>
      <c r="L1331" s="5" t="s">
        <v>12104</v>
      </c>
      <c r="M1331" s="7">
        <v>2.65</v>
      </c>
      <c r="N1331" s="7">
        <v>1.27</v>
      </c>
      <c r="O1331" s="7">
        <v>2.81</v>
      </c>
      <c r="P1331" s="1" t="s">
        <v>12105</v>
      </c>
    </row>
    <row r="1332" spans="1:16" ht="33.4" x14ac:dyDescent="0.3">
      <c r="A1332" s="6" t="str">
        <f>HYPERLINK("https://www.ti.com/product/UCC5304", "UCC5304")</f>
        <v>UCC5304</v>
      </c>
      <c r="B1332" s="5" t="s">
        <v>12106</v>
      </c>
      <c r="C1332" s="6" t="str">
        <f>HYPERLINK("https://www.ti.com/lit/gpn/UCC5304", "PDF")</f>
        <v>PDF</v>
      </c>
      <c r="D1332" s="5" t="s">
        <v>12107</v>
      </c>
      <c r="E1332" s="5" t="s">
        <v>12108</v>
      </c>
      <c r="F1332" s="5"/>
      <c r="G1332" s="5" t="s">
        <v>12109</v>
      </c>
      <c r="H1332" s="1" t="s">
        <v>12110</v>
      </c>
      <c r="I1332" s="5" t="s">
        <v>12111</v>
      </c>
      <c r="J1332" s="7">
        <v>8</v>
      </c>
      <c r="K1332" s="7">
        <v>67.275000000000006</v>
      </c>
      <c r="L1332" s="5" t="s">
        <v>12112</v>
      </c>
      <c r="M1332" s="7">
        <v>2.8</v>
      </c>
      <c r="N1332" s="7">
        <v>1.27</v>
      </c>
      <c r="O1332" s="7">
        <v>0.98499999999999999</v>
      </c>
      <c r="P1332" s="1" t="s">
        <v>12113</v>
      </c>
    </row>
    <row r="1333" spans="1:16" ht="49.75" x14ac:dyDescent="0.3">
      <c r="A1333" s="6" t="str">
        <f>HYPERLINK("https://www.ti.com/product/TLV810E", "TLV810E")</f>
        <v>TLV810E</v>
      </c>
      <c r="B1333" s="5" t="s">
        <v>12114</v>
      </c>
      <c r="C1333" s="6" t="str">
        <f>HYPERLINK("https://www.ti.com/lit/gpn/TLV810E", "PDF")</f>
        <v>PDF</v>
      </c>
      <c r="D1333" s="5" t="s">
        <v>12115</v>
      </c>
      <c r="E1333" s="5" t="s">
        <v>12116</v>
      </c>
      <c r="F1333" s="5"/>
      <c r="G1333" s="5" t="s">
        <v>12117</v>
      </c>
      <c r="H1333" s="1" t="s">
        <v>12118</v>
      </c>
      <c r="I1333" s="5" t="s">
        <v>12119</v>
      </c>
      <c r="J1333" s="7" t="s">
        <v>12120</v>
      </c>
      <c r="K1333" s="7" t="s">
        <v>12121</v>
      </c>
      <c r="L1333" s="5" t="s">
        <v>12122</v>
      </c>
      <c r="M1333" s="7" t="s">
        <v>12123</v>
      </c>
      <c r="N1333" s="7" t="s">
        <v>12124</v>
      </c>
      <c r="O1333" s="7">
        <v>0.11600000000000001</v>
      </c>
      <c r="P1333" s="1" t="s">
        <v>12125</v>
      </c>
    </row>
    <row r="1334" spans="1:16" ht="33.4" x14ac:dyDescent="0.3">
      <c r="A1334" s="6" t="str">
        <f>HYPERLINK("https://www.ti.com/product/LM5181", "LM5181")</f>
        <v>LM5181</v>
      </c>
      <c r="B1334" s="5" t="s">
        <v>12126</v>
      </c>
      <c r="C1334" s="6" t="str">
        <f>HYPERLINK("https://www.ti.com/lit/gpn/LM5181", "PDF")</f>
        <v>PDF</v>
      </c>
      <c r="D1334" s="5" t="s">
        <v>12127</v>
      </c>
      <c r="E1334" s="5" t="s">
        <v>12128</v>
      </c>
      <c r="F1334" s="5" t="s">
        <v>12129</v>
      </c>
      <c r="G1334" s="5" t="s">
        <v>12130</v>
      </c>
      <c r="H1334" s="1" t="s">
        <v>12131</v>
      </c>
      <c r="I1334" s="5" t="s">
        <v>12132</v>
      </c>
      <c r="J1334" s="7">
        <v>8</v>
      </c>
      <c r="K1334" s="7">
        <v>16</v>
      </c>
      <c r="L1334" s="5" t="s">
        <v>12133</v>
      </c>
      <c r="M1334" s="7">
        <v>0.8</v>
      </c>
      <c r="N1334" s="7">
        <v>0.8</v>
      </c>
      <c r="O1334" s="7">
        <v>1.196</v>
      </c>
      <c r="P1334" s="1" t="s">
        <v>12134</v>
      </c>
    </row>
    <row r="1335" spans="1:16" ht="33.4" x14ac:dyDescent="0.3">
      <c r="A1335" s="6" t="str">
        <f>HYPERLINK("https://www.ti.com/product/LM5181-Q1", "LM5181-Q1")</f>
        <v>LM5181-Q1</v>
      </c>
      <c r="B1335" s="5" t="s">
        <v>12135</v>
      </c>
      <c r="C1335" s="6" t="str">
        <f>HYPERLINK("https://www.ti.com/lit/gpn/LM5181-Q1", "PDF")</f>
        <v>PDF</v>
      </c>
      <c r="D1335" s="5" t="s">
        <v>12136</v>
      </c>
      <c r="E1335" s="5" t="s">
        <v>12137</v>
      </c>
      <c r="F1335" s="5" t="s">
        <v>12138</v>
      </c>
      <c r="G1335" s="5" t="s">
        <v>12139</v>
      </c>
      <c r="H1335" s="1" t="s">
        <v>12140</v>
      </c>
      <c r="I1335" s="5" t="s">
        <v>12141</v>
      </c>
      <c r="J1335" s="7">
        <v>8</v>
      </c>
      <c r="K1335" s="7">
        <v>16</v>
      </c>
      <c r="L1335" s="5" t="s">
        <v>12142</v>
      </c>
      <c r="M1335" s="7">
        <v>0.8</v>
      </c>
      <c r="N1335" s="7">
        <v>0.8</v>
      </c>
      <c r="O1335" s="7">
        <v>1.411</v>
      </c>
      <c r="P1335" s="1" t="s">
        <v>12143</v>
      </c>
    </row>
    <row r="1336" spans="1:16" ht="17.05" x14ac:dyDescent="0.3">
      <c r="A1336" s="6" t="str">
        <f>HYPERLINK("https://www.ti.com/product/TPS92612", "TPS92612")</f>
        <v>TPS92612</v>
      </c>
      <c r="B1336" s="5" t="s">
        <v>12144</v>
      </c>
      <c r="C1336" s="6" t="str">
        <f>HYPERLINK("https://www.ti.com/lit/gpn/TPS92612", "PDF")</f>
        <v>PDF</v>
      </c>
      <c r="D1336" s="5" t="s">
        <v>12145</v>
      </c>
      <c r="E1336" s="5" t="s">
        <v>12146</v>
      </c>
      <c r="F1336" s="5" t="s">
        <v>12147</v>
      </c>
      <c r="G1336" s="5" t="s">
        <v>12148</v>
      </c>
      <c r="H1336" s="1" t="s">
        <v>12149</v>
      </c>
      <c r="I1336" s="5" t="s">
        <v>12150</v>
      </c>
      <c r="J1336" s="7">
        <v>5</v>
      </c>
      <c r="K1336" s="7">
        <v>8.1199999999999992</v>
      </c>
      <c r="L1336" s="5" t="s">
        <v>12151</v>
      </c>
      <c r="M1336" s="7">
        <v>1.45</v>
      </c>
      <c r="N1336" s="7">
        <v>0.95</v>
      </c>
      <c r="O1336" s="7">
        <v>0.24199999999999999</v>
      </c>
      <c r="P1336" s="1" t="s">
        <v>12152</v>
      </c>
    </row>
    <row r="1337" spans="1:16" ht="33.4" x14ac:dyDescent="0.3">
      <c r="A1337" s="6" t="str">
        <f>HYPERLINK("https://www.ti.com/product/TPS54J060", "TPS54J060")</f>
        <v>TPS54J060</v>
      </c>
      <c r="B1337" s="5" t="s">
        <v>12153</v>
      </c>
      <c r="C1337" s="6" t="str">
        <f>HYPERLINK("https://www.ti.com/lit/gpn/TPS54J060", "PDF")</f>
        <v>PDF</v>
      </c>
      <c r="D1337" s="5" t="s">
        <v>12154</v>
      </c>
      <c r="E1337" s="5" t="s">
        <v>12155</v>
      </c>
      <c r="F1337" s="5" t="s">
        <v>12156</v>
      </c>
      <c r="G1337" s="5" t="s">
        <v>12157</v>
      </c>
      <c r="H1337" s="1" t="s">
        <v>12158</v>
      </c>
      <c r="I1337" s="5" t="s">
        <v>12159</v>
      </c>
      <c r="J1337" s="7">
        <v>14</v>
      </c>
      <c r="K1337" s="7">
        <v>6</v>
      </c>
      <c r="L1337" s="5" t="s">
        <v>12160</v>
      </c>
      <c r="M1337" s="7">
        <v>1</v>
      </c>
      <c r="N1337" s="7">
        <v>0.5</v>
      </c>
      <c r="O1337" s="7">
        <v>1.05</v>
      </c>
      <c r="P1337" s="1" t="s">
        <v>12161</v>
      </c>
    </row>
    <row r="1338" spans="1:16" ht="33.4" x14ac:dyDescent="0.3">
      <c r="A1338" s="6" t="str">
        <f>HYPERLINK("https://www.ti.com/product/LM61440", "LM61440")</f>
        <v>LM61440</v>
      </c>
      <c r="B1338" s="5" t="s">
        <v>12162</v>
      </c>
      <c r="C1338" s="6" t="str">
        <f>HYPERLINK("https://www.ti.com/lit/gpn/LM61440", "PDF")</f>
        <v>PDF</v>
      </c>
      <c r="D1338" s="5" t="s">
        <v>12163</v>
      </c>
      <c r="E1338" s="5" t="s">
        <v>12164</v>
      </c>
      <c r="F1338" s="5" t="s">
        <v>12165</v>
      </c>
      <c r="G1338" s="5" t="s">
        <v>12166</v>
      </c>
      <c r="H1338" s="1" t="s">
        <v>12167</v>
      </c>
      <c r="I1338" s="5" t="s">
        <v>12168</v>
      </c>
      <c r="J1338" s="7">
        <v>14</v>
      </c>
      <c r="K1338" s="7">
        <v>14</v>
      </c>
      <c r="L1338" s="5" t="s">
        <v>12169</v>
      </c>
      <c r="M1338" s="7">
        <v>1</v>
      </c>
      <c r="N1338" s="7">
        <v>0.5</v>
      </c>
      <c r="O1338" s="7">
        <v>1.671</v>
      </c>
      <c r="P1338" s="1" t="s">
        <v>12170</v>
      </c>
    </row>
    <row r="1339" spans="1:16" ht="33.4" x14ac:dyDescent="0.3">
      <c r="A1339" s="6" t="str">
        <f>HYPERLINK("https://www.ti.com/product/TPS65313-Q1", "TPS65313-Q1")</f>
        <v>TPS65313-Q1</v>
      </c>
      <c r="B1339" s="5" t="s">
        <v>12171</v>
      </c>
      <c r="C1339" s="6" t="str">
        <f>HYPERLINK("https://www.ti.com/lit/gpn/TPS65313-Q1", "PDF")</f>
        <v>PDF</v>
      </c>
      <c r="D1339" s="5" t="s">
        <v>12172</v>
      </c>
      <c r="E1339" s="5" t="s">
        <v>12173</v>
      </c>
      <c r="F1339" s="5"/>
      <c r="G1339" s="5" t="s">
        <v>12174</v>
      </c>
      <c r="H1339" s="1" t="s">
        <v>12175</v>
      </c>
      <c r="I1339" s="5" t="s">
        <v>12176</v>
      </c>
      <c r="J1339" s="7">
        <v>40</v>
      </c>
      <c r="K1339" s="7">
        <v>36</v>
      </c>
      <c r="L1339" s="5" t="s">
        <v>12177</v>
      </c>
      <c r="M1339" s="7">
        <v>0.9</v>
      </c>
      <c r="N1339" s="7">
        <v>0.5</v>
      </c>
      <c r="O1339" s="7">
        <v>3.782</v>
      </c>
      <c r="P1339" s="1" t="s">
        <v>12178</v>
      </c>
    </row>
    <row r="1340" spans="1:16" ht="33.4" x14ac:dyDescent="0.3">
      <c r="A1340" s="6" t="str">
        <f>HYPERLINK("https://www.ti.com/product/TPS653852A-Q1", "TPS653852A-Q1")</f>
        <v>TPS653852A-Q1</v>
      </c>
      <c r="B1340" s="5" t="s">
        <v>12179</v>
      </c>
      <c r="C1340" s="6" t="str">
        <f>HYPERLINK("https://www.ti.com/lit/gpn/TPS653852A-Q1", "PDF")</f>
        <v>PDF</v>
      </c>
      <c r="D1340" s="5" t="s">
        <v>12180</v>
      </c>
      <c r="E1340" s="5" t="s">
        <v>12181</v>
      </c>
      <c r="F1340" s="5"/>
      <c r="G1340" s="5" t="s">
        <v>12182</v>
      </c>
      <c r="H1340" s="1" t="s">
        <v>12183</v>
      </c>
      <c r="I1340" s="5" t="s">
        <v>12184</v>
      </c>
      <c r="J1340" s="7">
        <v>48</v>
      </c>
      <c r="K1340" s="7">
        <v>101.25</v>
      </c>
      <c r="L1340" s="5" t="s">
        <v>12185</v>
      </c>
      <c r="M1340" s="7">
        <v>1.2</v>
      </c>
      <c r="N1340" s="7">
        <v>0.5</v>
      </c>
      <c r="O1340" s="7">
        <v>3.2839999999999998</v>
      </c>
      <c r="P1340" s="1" t="s">
        <v>12186</v>
      </c>
    </row>
    <row r="1341" spans="1:16" ht="33.4" x14ac:dyDescent="0.3">
      <c r="A1341" s="6" t="str">
        <f>HYPERLINK("https://www.ti.com/product/TPS653854A-Q1", "TPS653854A-Q1")</f>
        <v>TPS653854A-Q1</v>
      </c>
      <c r="B1341" s="5" t="s">
        <v>12187</v>
      </c>
      <c r="C1341" s="6" t="str">
        <f>HYPERLINK("https://www.ti.com/lit/gpn/TPS653854A-Q1", "PDF")</f>
        <v>PDF</v>
      </c>
      <c r="D1341" s="5" t="s">
        <v>12188</v>
      </c>
      <c r="E1341" s="5" t="s">
        <v>12189</v>
      </c>
      <c r="F1341" s="5"/>
      <c r="G1341" s="5" t="s">
        <v>12190</v>
      </c>
      <c r="H1341" s="1" t="s">
        <v>12191</v>
      </c>
      <c r="I1341" s="5" t="s">
        <v>12192</v>
      </c>
      <c r="J1341" s="7">
        <v>48</v>
      </c>
      <c r="K1341" s="7">
        <v>101.25</v>
      </c>
      <c r="L1341" s="5" t="s">
        <v>12193</v>
      </c>
      <c r="M1341" s="7">
        <v>1.2</v>
      </c>
      <c r="N1341" s="7">
        <v>0.5</v>
      </c>
      <c r="O1341" s="7">
        <v>3.2839999999999998</v>
      </c>
      <c r="P1341" s="1" t="s">
        <v>12194</v>
      </c>
    </row>
    <row r="1342" spans="1:16" ht="33.4" x14ac:dyDescent="0.3">
      <c r="A1342" s="6" t="str">
        <f>HYPERLINK("https://www.ti.com/product/TPS7A52", "TPS7A52")</f>
        <v>TPS7A52</v>
      </c>
      <c r="B1342" s="5" t="s">
        <v>12195</v>
      </c>
      <c r="C1342" s="6" t="str">
        <f>HYPERLINK("https://www.ti.com/lit/gpn/TPS7A52", "PDF")</f>
        <v>PDF</v>
      </c>
      <c r="D1342" s="5" t="s">
        <v>12196</v>
      </c>
      <c r="E1342" s="5" t="s">
        <v>12197</v>
      </c>
      <c r="F1342" s="5"/>
      <c r="G1342" s="5" t="s">
        <v>12198</v>
      </c>
      <c r="H1342" s="1" t="s">
        <v>12199</v>
      </c>
      <c r="I1342" s="5" t="s">
        <v>12200</v>
      </c>
      <c r="J1342" s="7">
        <v>12</v>
      </c>
      <c r="K1342" s="7">
        <v>5.5</v>
      </c>
      <c r="L1342" s="5" t="s">
        <v>12201</v>
      </c>
      <c r="M1342" s="7">
        <v>1</v>
      </c>
      <c r="N1342" s="7">
        <v>0.5</v>
      </c>
      <c r="O1342" s="7">
        <v>1.0469999999999999</v>
      </c>
      <c r="P1342" s="1" t="s">
        <v>12202</v>
      </c>
    </row>
    <row r="1343" spans="1:16" ht="33.4" x14ac:dyDescent="0.3">
      <c r="A1343" s="6" t="str">
        <f>HYPERLINK("https://www.ti.com/product/TPS7A53", "TPS7A53")</f>
        <v>TPS7A53</v>
      </c>
      <c r="B1343" s="5" t="s">
        <v>12203</v>
      </c>
      <c r="C1343" s="6" t="str">
        <f>HYPERLINK("https://www.ti.com/lit/gpn/TPS7A53", "PDF")</f>
        <v>PDF</v>
      </c>
      <c r="D1343" s="5" t="s">
        <v>12204</v>
      </c>
      <c r="E1343" s="5" t="s">
        <v>12205</v>
      </c>
      <c r="F1343" s="5"/>
      <c r="G1343" s="5" t="s">
        <v>12206</v>
      </c>
      <c r="H1343" s="1" t="s">
        <v>12207</v>
      </c>
      <c r="I1343" s="5" t="s">
        <v>12208</v>
      </c>
      <c r="J1343" s="7">
        <v>12</v>
      </c>
      <c r="K1343" s="7">
        <v>5.5</v>
      </c>
      <c r="L1343" s="5" t="s">
        <v>12209</v>
      </c>
      <c r="M1343" s="7">
        <v>1</v>
      </c>
      <c r="N1343" s="7">
        <v>0.5</v>
      </c>
      <c r="O1343" s="7">
        <v>1.369</v>
      </c>
      <c r="P1343" s="1" t="s">
        <v>12210</v>
      </c>
    </row>
    <row r="1344" spans="1:16" ht="33.4" x14ac:dyDescent="0.3">
      <c r="A1344" s="6" t="str">
        <f>HYPERLINK("https://www.ti.com/product/TPS7A54", "TPS7A54")</f>
        <v>TPS7A54</v>
      </c>
      <c r="B1344" s="5" t="s">
        <v>12211</v>
      </c>
      <c r="C1344" s="6" t="str">
        <f>HYPERLINK("https://www.ti.com/lit/gpn/TPS7A54", "PDF")</f>
        <v>PDF</v>
      </c>
      <c r="D1344" s="5" t="s">
        <v>12212</v>
      </c>
      <c r="E1344" s="5" t="s">
        <v>12213</v>
      </c>
      <c r="F1344" s="5"/>
      <c r="G1344" s="5" t="s">
        <v>12214</v>
      </c>
      <c r="H1344" s="1" t="s">
        <v>12215</v>
      </c>
      <c r="I1344" s="5" t="s">
        <v>12216</v>
      </c>
      <c r="J1344" s="7">
        <v>12</v>
      </c>
      <c r="K1344" s="7">
        <v>5.5</v>
      </c>
      <c r="L1344" s="5" t="s">
        <v>12217</v>
      </c>
      <c r="M1344" s="7">
        <v>1</v>
      </c>
      <c r="N1344" s="7">
        <v>0.5</v>
      </c>
      <c r="O1344" s="7">
        <v>1.61</v>
      </c>
      <c r="P1344" s="1" t="s">
        <v>12218</v>
      </c>
    </row>
    <row r="1345" spans="1:16" ht="33.4" x14ac:dyDescent="0.3">
      <c r="A1345" s="6" t="str">
        <f>HYPERLINK("https://www.ti.com/product/TPS54JA20", "TPS54JA20")</f>
        <v>TPS54JA20</v>
      </c>
      <c r="B1345" s="5" t="s">
        <v>12219</v>
      </c>
      <c r="C1345" s="6" t="str">
        <f>HYPERLINK("https://www.ti.com/lit/gpn/TPS54JA20", "PDF")</f>
        <v>PDF</v>
      </c>
      <c r="D1345" s="5" t="s">
        <v>12220</v>
      </c>
      <c r="E1345" s="5" t="s">
        <v>12221</v>
      </c>
      <c r="F1345" s="5" t="s">
        <v>12222</v>
      </c>
      <c r="G1345" s="5" t="s">
        <v>12223</v>
      </c>
      <c r="H1345" s="1" t="s">
        <v>12224</v>
      </c>
      <c r="I1345" s="5" t="s">
        <v>12225</v>
      </c>
      <c r="J1345" s="7">
        <v>21</v>
      </c>
      <c r="K1345" s="7">
        <v>12</v>
      </c>
      <c r="L1345" s="5" t="s">
        <v>12226</v>
      </c>
      <c r="M1345" s="7">
        <v>1</v>
      </c>
      <c r="N1345" s="7">
        <v>0.4</v>
      </c>
      <c r="O1345" s="7">
        <v>1.5</v>
      </c>
      <c r="P1345" s="1" t="s">
        <v>12227</v>
      </c>
    </row>
    <row r="1346" spans="1:16" ht="33.4" x14ac:dyDescent="0.3">
      <c r="A1346" s="6" t="str">
        <f>HYPERLINK("https://www.ti.com/product/LM61440-Q1", "LM61440-Q1")</f>
        <v>LM61440-Q1</v>
      </c>
      <c r="B1346" s="5" t="s">
        <v>12228</v>
      </c>
      <c r="C1346" s="6" t="str">
        <f>HYPERLINK("https://www.ti.com/lit/gpn/LM61440-Q1", "PDF")</f>
        <v>PDF</v>
      </c>
      <c r="D1346" s="5" t="s">
        <v>12229</v>
      </c>
      <c r="E1346" s="5" t="s">
        <v>12230</v>
      </c>
      <c r="F1346" s="5" t="s">
        <v>12231</v>
      </c>
      <c r="G1346" s="5" t="s">
        <v>12232</v>
      </c>
      <c r="H1346" s="1" t="s">
        <v>12233</v>
      </c>
      <c r="I1346" s="5" t="s">
        <v>12234</v>
      </c>
      <c r="J1346" s="7">
        <v>14</v>
      </c>
      <c r="K1346" s="7">
        <v>14</v>
      </c>
      <c r="L1346" s="5" t="s">
        <v>12235</v>
      </c>
      <c r="M1346" s="7">
        <v>1</v>
      </c>
      <c r="N1346" s="7">
        <v>0.5</v>
      </c>
      <c r="O1346" s="7">
        <v>1.972</v>
      </c>
      <c r="P1346" s="1" t="s">
        <v>12236</v>
      </c>
    </row>
    <row r="1347" spans="1:16" ht="33.4" x14ac:dyDescent="0.3">
      <c r="A1347" s="6" t="str">
        <f>HYPERLINK("https://www.ti.com/product/TPS59603-Q1", "TPS59603-Q1")</f>
        <v>TPS59603-Q1</v>
      </c>
      <c r="B1347" s="5" t="s">
        <v>12237</v>
      </c>
      <c r="C1347" s="6" t="str">
        <f>HYPERLINK("https://www.ti.com/lit/gpn/TPS59603-Q1", "PDF")</f>
        <v>PDF</v>
      </c>
      <c r="D1347" s="5" t="s">
        <v>12238</v>
      </c>
      <c r="E1347" s="5" t="s">
        <v>12239</v>
      </c>
      <c r="F1347" s="5"/>
      <c r="G1347" s="5" t="s">
        <v>12240</v>
      </c>
      <c r="H1347" s="1" t="s">
        <v>12241</v>
      </c>
      <c r="I1347" s="5" t="s">
        <v>12242</v>
      </c>
      <c r="J1347" s="7">
        <v>8</v>
      </c>
      <c r="K1347" s="7">
        <v>4</v>
      </c>
      <c r="L1347" s="5" t="s">
        <v>12243</v>
      </c>
      <c r="M1347" s="7">
        <v>0.8</v>
      </c>
      <c r="N1347" s="7">
        <v>0.5</v>
      </c>
      <c r="O1347" s="7">
        <v>1.355</v>
      </c>
      <c r="P1347" s="1" t="s">
        <v>12244</v>
      </c>
    </row>
    <row r="1348" spans="1:16" ht="33.4" x14ac:dyDescent="0.3">
      <c r="A1348" s="6" t="str">
        <f>HYPERLINK("https://www.ti.com/product/UCC21320-Q1", "UCC21320-Q1")</f>
        <v>UCC21320-Q1</v>
      </c>
      <c r="B1348" s="5" t="s">
        <v>12245</v>
      </c>
      <c r="C1348" s="6" t="str">
        <f>HYPERLINK("https://www.ti.com/lit/gpn/UCC21320-Q1", "PDF")</f>
        <v>PDF</v>
      </c>
      <c r="D1348" s="5" t="s">
        <v>12246</v>
      </c>
      <c r="E1348" s="5" t="s">
        <v>12247</v>
      </c>
      <c r="F1348" s="5"/>
      <c r="G1348" s="5" t="s">
        <v>12248</v>
      </c>
      <c r="H1348" s="1" t="s">
        <v>12249</v>
      </c>
      <c r="I1348" s="5" t="s">
        <v>12250</v>
      </c>
      <c r="J1348" s="7">
        <v>14</v>
      </c>
      <c r="K1348" s="7">
        <v>106.09</v>
      </c>
      <c r="L1348" s="5" t="s">
        <v>12251</v>
      </c>
      <c r="M1348" s="7">
        <v>2.65</v>
      </c>
      <c r="N1348" s="7">
        <v>1.27</v>
      </c>
      <c r="O1348" s="7">
        <v>2.2799999999999998</v>
      </c>
      <c r="P1348" s="1" t="s">
        <v>12252</v>
      </c>
    </row>
    <row r="1349" spans="1:16" ht="33.4" x14ac:dyDescent="0.3">
      <c r="A1349" s="6" t="str">
        <f>HYPERLINK("https://www.ti.com/product/TPS59632-Q1", "TPS59632-Q1")</f>
        <v>TPS59632-Q1</v>
      </c>
      <c r="B1349" s="5" t="s">
        <v>12253</v>
      </c>
      <c r="C1349" s="6" t="str">
        <f>HYPERLINK("https://www.ti.com/lit/gpn/TPS59632-Q1", "PDF")</f>
        <v>PDF</v>
      </c>
      <c r="D1349" s="5" t="s">
        <v>12254</v>
      </c>
      <c r="E1349" s="5" t="s">
        <v>12255</v>
      </c>
      <c r="F1349" s="5" t="s">
        <v>12256</v>
      </c>
      <c r="G1349" s="5" t="s">
        <v>12257</v>
      </c>
      <c r="H1349" s="1" t="s">
        <v>12258</v>
      </c>
      <c r="I1349" s="5" t="s">
        <v>12259</v>
      </c>
      <c r="J1349" s="7">
        <v>32</v>
      </c>
      <c r="K1349" s="7">
        <v>25</v>
      </c>
      <c r="L1349" s="5" t="s">
        <v>12260</v>
      </c>
      <c r="M1349" s="7">
        <v>1</v>
      </c>
      <c r="N1349" s="7">
        <v>0.5</v>
      </c>
      <c r="O1349" s="7">
        <v>3.1869999999999998</v>
      </c>
      <c r="P1349" s="1" t="s">
        <v>12261</v>
      </c>
    </row>
    <row r="1350" spans="1:16" ht="33.4" x14ac:dyDescent="0.3">
      <c r="A1350" s="6" t="str">
        <f>HYPERLINK("https://www.ti.com/product/UCC21750-Q1", "UCC21750-Q1")</f>
        <v>UCC21750-Q1</v>
      </c>
      <c r="B1350" s="5" t="s">
        <v>12262</v>
      </c>
      <c r="C1350" s="6" t="str">
        <f>HYPERLINK("https://www.ti.com/lit/gpn/UCC21750-Q1", "PDF")</f>
        <v>PDF</v>
      </c>
      <c r="D1350" s="5" t="s">
        <v>12263</v>
      </c>
      <c r="E1350" s="5" t="s">
        <v>12264</v>
      </c>
      <c r="F1350" s="5"/>
      <c r="G1350" s="5" t="s">
        <v>12265</v>
      </c>
      <c r="H1350" s="1" t="s">
        <v>12266</v>
      </c>
      <c r="I1350" s="5" t="s">
        <v>12267</v>
      </c>
      <c r="J1350" s="7">
        <v>16</v>
      </c>
      <c r="K1350" s="7">
        <v>106.09</v>
      </c>
      <c r="L1350" s="5" t="s">
        <v>12268</v>
      </c>
      <c r="M1350" s="7">
        <v>2.65</v>
      </c>
      <c r="N1350" s="7">
        <v>1.27</v>
      </c>
      <c r="O1350" s="7">
        <v>3.044</v>
      </c>
      <c r="P1350" s="1" t="s">
        <v>12269</v>
      </c>
    </row>
    <row r="1351" spans="1:16" ht="33.4" x14ac:dyDescent="0.3">
      <c r="A1351" s="6" t="str">
        <f>HYPERLINK("https://www.ti.com/product/LM61435-Q1", "LM61435-Q1")</f>
        <v>LM61435-Q1</v>
      </c>
      <c r="B1351" s="5" t="s">
        <v>12270</v>
      </c>
      <c r="C1351" s="6" t="str">
        <f>HYPERLINK("https://www.ti.com/lit/gpn/LM61435-Q1", "PDF")</f>
        <v>PDF</v>
      </c>
      <c r="D1351" s="5" t="s">
        <v>12271</v>
      </c>
      <c r="E1351" s="5" t="s">
        <v>12272</v>
      </c>
      <c r="F1351" s="5" t="s">
        <v>12273</v>
      </c>
      <c r="G1351" s="5" t="s">
        <v>12274</v>
      </c>
      <c r="H1351" s="1" t="s">
        <v>12275</v>
      </c>
      <c r="I1351" s="5" t="s">
        <v>12276</v>
      </c>
      <c r="J1351" s="7">
        <v>14</v>
      </c>
      <c r="K1351" s="7">
        <v>14</v>
      </c>
      <c r="L1351" s="5" t="s">
        <v>12277</v>
      </c>
      <c r="M1351" s="7">
        <v>1</v>
      </c>
      <c r="N1351" s="7">
        <v>0.5</v>
      </c>
      <c r="O1351" s="7">
        <v>1.764</v>
      </c>
      <c r="P1351" s="1" t="s">
        <v>12278</v>
      </c>
    </row>
    <row r="1352" spans="1:16" ht="33.4" x14ac:dyDescent="0.3">
      <c r="A1352" s="6" t="str">
        <f>HYPERLINK("https://www.ti.com/product/LM61460", "LM61460")</f>
        <v>LM61460</v>
      </c>
      <c r="B1352" s="5" t="s">
        <v>12279</v>
      </c>
      <c r="C1352" s="6" t="str">
        <f>HYPERLINK("https://www.ti.com/lit/gpn/LM61460", "PDF")</f>
        <v>PDF</v>
      </c>
      <c r="D1352" s="5" t="s">
        <v>12280</v>
      </c>
      <c r="E1352" s="5" t="s">
        <v>12281</v>
      </c>
      <c r="F1352" s="5" t="s">
        <v>12282</v>
      </c>
      <c r="G1352" s="5" t="s">
        <v>12283</v>
      </c>
      <c r="H1352" s="1" t="s">
        <v>12284</v>
      </c>
      <c r="I1352" s="5" t="s">
        <v>12285</v>
      </c>
      <c r="J1352" s="7">
        <v>14</v>
      </c>
      <c r="K1352" s="7">
        <v>14</v>
      </c>
      <c r="L1352" s="5" t="s">
        <v>12286</v>
      </c>
      <c r="M1352" s="7">
        <v>1</v>
      </c>
      <c r="N1352" s="7">
        <v>0.5</v>
      </c>
      <c r="O1352" s="7">
        <v>1.7509999999999999</v>
      </c>
      <c r="P1352" s="1" t="s">
        <v>12287</v>
      </c>
    </row>
    <row r="1353" spans="1:16" ht="33.4" x14ac:dyDescent="0.3">
      <c r="A1353" s="6" t="str">
        <f>HYPERLINK("https://www.ti.com/product/TPS929120-Q1", "TPS929120-Q1")</f>
        <v>TPS929120-Q1</v>
      </c>
      <c r="B1353" s="5" t="s">
        <v>12288</v>
      </c>
      <c r="C1353" s="6" t="str">
        <f>HYPERLINK("https://www.ti.com/lit/gpn/TPS929120-Q1", "PDF")</f>
        <v>PDF</v>
      </c>
      <c r="D1353" s="5" t="s">
        <v>12289</v>
      </c>
      <c r="E1353" s="5" t="s">
        <v>12290</v>
      </c>
      <c r="F1353" s="5" t="s">
        <v>12291</v>
      </c>
      <c r="G1353" s="5" t="s">
        <v>12292</v>
      </c>
      <c r="H1353" s="1" t="s">
        <v>12293</v>
      </c>
      <c r="I1353" s="5" t="s">
        <v>12294</v>
      </c>
      <c r="J1353" s="7">
        <v>24</v>
      </c>
      <c r="K1353" s="7">
        <v>49.92</v>
      </c>
      <c r="L1353" s="5" t="s">
        <v>12295</v>
      </c>
      <c r="M1353" s="7">
        <v>1.2</v>
      </c>
      <c r="N1353" s="7">
        <v>0.65</v>
      </c>
      <c r="O1353" s="7">
        <v>1.601</v>
      </c>
      <c r="P1353" s="1" t="s">
        <v>12296</v>
      </c>
    </row>
    <row r="1354" spans="1:16" ht="33.4" x14ac:dyDescent="0.3">
      <c r="A1354" s="6" t="str">
        <f>HYPERLINK("https://www.ti.com/product/LMR36510", "LMR36510")</f>
        <v>LMR36510</v>
      </c>
      <c r="B1354" s="5" t="s">
        <v>12297</v>
      </c>
      <c r="C1354" s="6" t="str">
        <f>HYPERLINK("https://www.ti.com/lit/gpn/LMR36510", "PDF")</f>
        <v>PDF</v>
      </c>
      <c r="D1354" s="5" t="s">
        <v>12298</v>
      </c>
      <c r="E1354" s="5" t="s">
        <v>12299</v>
      </c>
      <c r="F1354" s="5" t="s">
        <v>12300</v>
      </c>
      <c r="G1354" s="5" t="s">
        <v>12301</v>
      </c>
      <c r="H1354" s="1" t="s">
        <v>12302</v>
      </c>
      <c r="I1354" s="5" t="s">
        <v>12303</v>
      </c>
      <c r="J1354" s="7">
        <v>8</v>
      </c>
      <c r="K1354" s="7">
        <v>29.4</v>
      </c>
      <c r="L1354" s="5" t="s">
        <v>12304</v>
      </c>
      <c r="M1354" s="7">
        <v>1.7</v>
      </c>
      <c r="N1354" s="7">
        <v>1.27</v>
      </c>
      <c r="O1354" s="7">
        <v>0.93600000000000005</v>
      </c>
      <c r="P1354" s="1" t="s">
        <v>12305</v>
      </c>
    </row>
    <row r="1355" spans="1:16" ht="17.05" x14ac:dyDescent="0.3">
      <c r="A1355" s="6" t="str">
        <f>HYPERLINK("https://www.ti.com/product/LMG3410R150", "LMG3410R150")</f>
        <v>LMG3410R150</v>
      </c>
      <c r="B1355" s="5" t="s">
        <v>12306</v>
      </c>
      <c r="C1355" s="6" t="str">
        <f>HYPERLINK("https://www.ti.com/lit/gpn/LMG3410R150", "PDF")</f>
        <v>PDF</v>
      </c>
      <c r="D1355" s="5" t="s">
        <v>12307</v>
      </c>
      <c r="E1355" s="5" t="s">
        <v>12308</v>
      </c>
      <c r="F1355" s="5"/>
      <c r="G1355" s="5" t="s">
        <v>12309</v>
      </c>
      <c r="H1355" s="1" t="s">
        <v>12310</v>
      </c>
      <c r="I1355" s="5" t="s">
        <v>12311</v>
      </c>
      <c r="J1355" s="7">
        <v>32</v>
      </c>
      <c r="K1355" s="7">
        <v>64</v>
      </c>
      <c r="L1355" s="5" t="s">
        <v>12312</v>
      </c>
      <c r="M1355" s="7">
        <v>0.9</v>
      </c>
      <c r="N1355" s="7">
        <v>0.65</v>
      </c>
      <c r="O1355" s="7">
        <v>4</v>
      </c>
      <c r="P1355" s="1" t="s">
        <v>12313</v>
      </c>
    </row>
    <row r="1356" spans="1:16" ht="33.4" x14ac:dyDescent="0.3">
      <c r="A1356" s="6" t="str">
        <f>HYPERLINK("https://www.ti.com/product/LMG3411R150", "LMG3411R150")</f>
        <v>LMG3411R150</v>
      </c>
      <c r="B1356" s="5" t="s">
        <v>12314</v>
      </c>
      <c r="C1356" s="6" t="str">
        <f>HYPERLINK("https://www.ti.com/lit/gpn/LMG3411R150", "PDF")</f>
        <v>PDF</v>
      </c>
      <c r="D1356" s="5" t="s">
        <v>12315</v>
      </c>
      <c r="E1356" s="5" t="s">
        <v>12316</v>
      </c>
      <c r="F1356" s="5"/>
      <c r="G1356" s="5" t="s">
        <v>12317</v>
      </c>
      <c r="H1356" s="1" t="s">
        <v>12318</v>
      </c>
      <c r="I1356" s="5" t="s">
        <v>12319</v>
      </c>
      <c r="J1356" s="7">
        <v>32</v>
      </c>
      <c r="K1356" s="7">
        <v>64</v>
      </c>
      <c r="L1356" s="5" t="s">
        <v>12320</v>
      </c>
      <c r="M1356" s="7">
        <v>0.9</v>
      </c>
      <c r="N1356" s="7">
        <v>0.65</v>
      </c>
      <c r="O1356" s="7">
        <v>4</v>
      </c>
      <c r="P1356" s="1" t="s">
        <v>12321</v>
      </c>
    </row>
    <row r="1357" spans="1:16" ht="33.4" x14ac:dyDescent="0.3">
      <c r="A1357" s="6" t="str">
        <f>HYPERLINK("https://www.ti.com/product/LMR36520", "LMR36520")</f>
        <v>LMR36520</v>
      </c>
      <c r="B1357" s="5" t="s">
        <v>12322</v>
      </c>
      <c r="C1357" s="6" t="str">
        <f>HYPERLINK("https://www.ti.com/lit/gpn/LMR36520", "PDF")</f>
        <v>PDF</v>
      </c>
      <c r="D1357" s="5" t="s">
        <v>12323</v>
      </c>
      <c r="E1357" s="5" t="s">
        <v>12324</v>
      </c>
      <c r="F1357" s="5" t="s">
        <v>12325</v>
      </c>
      <c r="G1357" s="5" t="s">
        <v>12326</v>
      </c>
      <c r="H1357" s="1" t="s">
        <v>12327</v>
      </c>
      <c r="I1357" s="5" t="s">
        <v>12328</v>
      </c>
      <c r="J1357" s="7">
        <v>8</v>
      </c>
      <c r="K1357" s="7">
        <v>29.4</v>
      </c>
      <c r="L1357" s="5" t="s">
        <v>12329</v>
      </c>
      <c r="M1357" s="7">
        <v>1.7</v>
      </c>
      <c r="N1357" s="7">
        <v>1.27</v>
      </c>
      <c r="O1357" s="7">
        <v>1.1160000000000001</v>
      </c>
      <c r="P1357" s="1" t="s">
        <v>12330</v>
      </c>
    </row>
    <row r="1358" spans="1:16" ht="33.4" x14ac:dyDescent="0.3">
      <c r="A1358" s="6" t="str">
        <f>HYPERLINK("https://www.ti.com/product/LMG1025-Q1", "LMG1025-Q1")</f>
        <v>LMG1025-Q1</v>
      </c>
      <c r="B1358" s="5" t="s">
        <v>12331</v>
      </c>
      <c r="C1358" s="6" t="str">
        <f>HYPERLINK("https://www.ti.com/lit/gpn/LMG1025-Q1", "PDF")</f>
        <v>PDF</v>
      </c>
      <c r="D1358" s="5" t="s">
        <v>12332</v>
      </c>
      <c r="E1358" s="5" t="s">
        <v>12333</v>
      </c>
      <c r="F1358" s="5"/>
      <c r="G1358" s="5" t="s">
        <v>12334</v>
      </c>
      <c r="H1358" s="1" t="s">
        <v>12335</v>
      </c>
      <c r="I1358" s="5" t="s">
        <v>12336</v>
      </c>
      <c r="J1358" s="7">
        <v>6</v>
      </c>
      <c r="K1358" s="7">
        <v>4</v>
      </c>
      <c r="L1358" s="5" t="s">
        <v>12337</v>
      </c>
      <c r="M1358" s="7">
        <v>0.8</v>
      </c>
      <c r="N1358" s="7">
        <v>0.65</v>
      </c>
      <c r="O1358" s="7">
        <v>4.399</v>
      </c>
      <c r="P1358" s="1" t="s">
        <v>12338</v>
      </c>
    </row>
    <row r="1359" spans="1:16" ht="33.4" x14ac:dyDescent="0.3">
      <c r="A1359" s="6" t="str">
        <f>HYPERLINK("https://www.ti.com/product/TPS653850A-Q1", "TPS653850A-Q1")</f>
        <v>TPS653850A-Q1</v>
      </c>
      <c r="B1359" s="5" t="s">
        <v>12339</v>
      </c>
      <c r="C1359" s="6" t="str">
        <f>HYPERLINK("https://www.ti.com/lit/gpn/TPS653850A-Q1", "PDF")</f>
        <v>PDF</v>
      </c>
      <c r="D1359" s="5" t="s">
        <v>12340</v>
      </c>
      <c r="E1359" s="5" t="s">
        <v>12341</v>
      </c>
      <c r="F1359" s="5"/>
      <c r="G1359" s="5" t="s">
        <v>12342</v>
      </c>
      <c r="H1359" s="1" t="s">
        <v>12343</v>
      </c>
      <c r="I1359" s="5" t="s">
        <v>12344</v>
      </c>
      <c r="J1359" s="7">
        <v>48</v>
      </c>
      <c r="K1359" s="7">
        <v>101.25</v>
      </c>
      <c r="L1359" s="5" t="s">
        <v>12345</v>
      </c>
      <c r="M1359" s="7">
        <v>1.2</v>
      </c>
      <c r="N1359" s="7">
        <v>0.5</v>
      </c>
      <c r="O1359" s="7">
        <v>3.2839999999999998</v>
      </c>
      <c r="P1359" s="1" t="s">
        <v>12346</v>
      </c>
    </row>
    <row r="1360" spans="1:16" ht="33.4" x14ac:dyDescent="0.3">
      <c r="A1360" s="6" t="str">
        <f>HYPERLINK("https://www.ti.com/product/TPS653851A-Q1", "TPS653851A-Q1")</f>
        <v>TPS653851A-Q1</v>
      </c>
      <c r="B1360" s="5" t="s">
        <v>12347</v>
      </c>
      <c r="C1360" s="6" t="str">
        <f>HYPERLINK("https://www.ti.com/lit/gpn/TPS653851A-Q1", "PDF")</f>
        <v>PDF</v>
      </c>
      <c r="D1360" s="5" t="s">
        <v>12348</v>
      </c>
      <c r="E1360" s="5" t="s">
        <v>12349</v>
      </c>
      <c r="F1360" s="5"/>
      <c r="G1360" s="5" t="s">
        <v>12350</v>
      </c>
      <c r="H1360" s="1" t="s">
        <v>12351</v>
      </c>
      <c r="I1360" s="5" t="s">
        <v>12352</v>
      </c>
      <c r="J1360" s="7">
        <v>48</v>
      </c>
      <c r="K1360" s="7">
        <v>101.25</v>
      </c>
      <c r="L1360" s="5" t="s">
        <v>12353</v>
      </c>
      <c r="M1360" s="7">
        <v>1.2</v>
      </c>
      <c r="N1360" s="7">
        <v>0.5</v>
      </c>
      <c r="O1360" s="7">
        <v>4.4109999999999996</v>
      </c>
      <c r="P1360" s="1" t="s">
        <v>12354</v>
      </c>
    </row>
    <row r="1361" spans="1:16" ht="33.4" x14ac:dyDescent="0.3">
      <c r="A1361" s="6" t="str">
        <f>HYPERLINK("https://www.ti.com/product/TPS653853A-Q1", "TPS653853A-Q1")</f>
        <v>TPS653853A-Q1</v>
      </c>
      <c r="B1361" s="5" t="s">
        <v>12355</v>
      </c>
      <c r="C1361" s="6" t="str">
        <f>HYPERLINK("https://www.ti.com/lit/gpn/TPS653853A-Q1", "PDF")</f>
        <v>PDF</v>
      </c>
      <c r="D1361" s="5" t="s">
        <v>12356</v>
      </c>
      <c r="E1361" s="5" t="s">
        <v>12357</v>
      </c>
      <c r="F1361" s="5"/>
      <c r="G1361" s="5" t="s">
        <v>12358</v>
      </c>
      <c r="H1361" s="1" t="s">
        <v>12359</v>
      </c>
      <c r="I1361" s="5" t="s">
        <v>12360</v>
      </c>
      <c r="J1361" s="7">
        <v>48</v>
      </c>
      <c r="K1361" s="7">
        <v>101.25</v>
      </c>
      <c r="L1361" s="5" t="s">
        <v>12361</v>
      </c>
      <c r="M1361" s="7">
        <v>1.2</v>
      </c>
      <c r="N1361" s="7">
        <v>0.5</v>
      </c>
      <c r="O1361" s="7">
        <v>3.5219999999999998</v>
      </c>
      <c r="P1361" s="1" t="s">
        <v>12362</v>
      </c>
    </row>
    <row r="1362" spans="1:16" ht="33.4" x14ac:dyDescent="0.3">
      <c r="A1362" s="6" t="str">
        <f>HYPERLINK("https://www.ti.com/product/TPS92662A-Q1", "TPS92662A-Q1")</f>
        <v>TPS92662A-Q1</v>
      </c>
      <c r="B1362" s="5" t="s">
        <v>12363</v>
      </c>
      <c r="C1362" s="6" t="str">
        <f>HYPERLINK("https://www.ti.com/lit/gpn/TPS92662A-Q1", "PDF")</f>
        <v>PDF</v>
      </c>
      <c r="D1362" s="5" t="s">
        <v>12364</v>
      </c>
      <c r="E1362" s="5" t="s">
        <v>12365</v>
      </c>
      <c r="F1362" s="5" t="s">
        <v>12366</v>
      </c>
      <c r="G1362" s="5" t="s">
        <v>12367</v>
      </c>
      <c r="H1362" s="1" t="s">
        <v>12368</v>
      </c>
      <c r="I1362" s="5" t="s">
        <v>12369</v>
      </c>
      <c r="J1362" s="7">
        <v>48</v>
      </c>
      <c r="K1362" s="7">
        <v>81</v>
      </c>
      <c r="L1362" s="5" t="s">
        <v>12370</v>
      </c>
      <c r="M1362" s="7">
        <v>1.2</v>
      </c>
      <c r="N1362" s="7">
        <v>0.5</v>
      </c>
      <c r="O1362" s="7">
        <v>2.99</v>
      </c>
      <c r="P1362" s="1" t="s">
        <v>12371</v>
      </c>
    </row>
    <row r="1363" spans="1:16" ht="33.4" x14ac:dyDescent="0.3">
      <c r="A1363" s="6" t="str">
        <f>HYPERLINK("https://www.ti.com/product/TPS2HB50-Q1", "TPS2HB50-Q1")</f>
        <v>TPS2HB50-Q1</v>
      </c>
      <c r="B1363" s="5" t="s">
        <v>12372</v>
      </c>
      <c r="C1363" s="6" t="str">
        <f>HYPERLINK("https://www.ti.com/lit/gpn/TPS2HB50-Q1", "PDF")</f>
        <v>PDF</v>
      </c>
      <c r="D1363" s="5" t="s">
        <v>12373</v>
      </c>
      <c r="E1363" s="5" t="s">
        <v>12374</v>
      </c>
      <c r="F1363" s="5"/>
      <c r="G1363" s="5" t="s">
        <v>12375</v>
      </c>
      <c r="H1363" s="1" t="s">
        <v>12376</v>
      </c>
      <c r="I1363" s="5" t="s">
        <v>12377</v>
      </c>
      <c r="J1363" s="7">
        <v>16</v>
      </c>
      <c r="K1363" s="7">
        <v>32</v>
      </c>
      <c r="L1363" s="5" t="s">
        <v>12378</v>
      </c>
      <c r="M1363" s="7">
        <v>1.2</v>
      </c>
      <c r="N1363" s="7">
        <v>0.65</v>
      </c>
      <c r="O1363" s="7">
        <v>0.70399999999999996</v>
      </c>
      <c r="P1363" s="1" t="s">
        <v>12379</v>
      </c>
    </row>
    <row r="1364" spans="1:16" ht="33.4" x14ac:dyDescent="0.3">
      <c r="A1364" s="6" t="str">
        <f>HYPERLINK("https://www.ti.com/product/LMG3411R050", "LMG3411R050")</f>
        <v>LMG3411R050</v>
      </c>
      <c r="B1364" s="5" t="s">
        <v>12380</v>
      </c>
      <c r="C1364" s="6" t="str">
        <f>HYPERLINK("https://www.ti.com/lit/gpn/LMG3411R050", "PDF")</f>
        <v>PDF</v>
      </c>
      <c r="D1364" s="5" t="s">
        <v>12381</v>
      </c>
      <c r="E1364" s="5" t="s">
        <v>12382</v>
      </c>
      <c r="F1364" s="5"/>
      <c r="G1364" s="5" t="s">
        <v>12383</v>
      </c>
      <c r="H1364" s="1" t="s">
        <v>12384</v>
      </c>
      <c r="I1364" s="5" t="s">
        <v>12385</v>
      </c>
      <c r="J1364" s="7">
        <v>32</v>
      </c>
      <c r="K1364" s="7">
        <v>64</v>
      </c>
      <c r="L1364" s="5" t="s">
        <v>12386</v>
      </c>
      <c r="M1364" s="7">
        <v>0.9</v>
      </c>
      <c r="N1364" s="7">
        <v>0.65</v>
      </c>
      <c r="O1364" s="7">
        <v>6.8</v>
      </c>
      <c r="P1364" s="1" t="s">
        <v>12387</v>
      </c>
    </row>
    <row r="1365" spans="1:16" ht="33.4" x14ac:dyDescent="0.3">
      <c r="A1365" s="6" t="str">
        <f>HYPERLINK("https://www.ti.com/product/LM63635-Q1", "LM63635-Q1")</f>
        <v>LM63635-Q1</v>
      </c>
      <c r="B1365" s="5" t="s">
        <v>12388</v>
      </c>
      <c r="C1365" s="6" t="str">
        <f>HYPERLINK("https://www.ti.com/lit/gpn/LM63635-Q1", "PDF")</f>
        <v>PDF</v>
      </c>
      <c r="D1365" s="5" t="s">
        <v>12389</v>
      </c>
      <c r="E1365" s="5" t="s">
        <v>12390</v>
      </c>
      <c r="F1365" s="5" t="s">
        <v>12391</v>
      </c>
      <c r="G1365" s="5" t="s">
        <v>12392</v>
      </c>
      <c r="H1365" s="1" t="s">
        <v>12393</v>
      </c>
      <c r="I1365" s="5" t="s">
        <v>12394</v>
      </c>
      <c r="J1365" s="7" t="s">
        <v>12395</v>
      </c>
      <c r="K1365" s="7" t="s">
        <v>12396</v>
      </c>
      <c r="L1365" s="5" t="s">
        <v>12397</v>
      </c>
      <c r="M1365" s="7" t="s">
        <v>12398</v>
      </c>
      <c r="N1365" s="7" t="s">
        <v>12399</v>
      </c>
      <c r="O1365" s="7">
        <v>1.625</v>
      </c>
      <c r="P1365" s="1" t="s">
        <v>12400</v>
      </c>
    </row>
    <row r="1366" spans="1:16" ht="33.4" x14ac:dyDescent="0.3">
      <c r="A1366" s="6" t="str">
        <f>HYPERLINK("https://www.ti.com/product/LM5163H-Q1", "LM5163H-Q1")</f>
        <v>LM5163H-Q1</v>
      </c>
      <c r="B1366" s="5" t="s">
        <v>12401</v>
      </c>
      <c r="C1366" s="6" t="str">
        <f>HYPERLINK("https://www.ti.com/lit/gpn/LM5163H-Q1", "PDF")</f>
        <v>PDF</v>
      </c>
      <c r="D1366" s="5" t="s">
        <v>12402</v>
      </c>
      <c r="E1366" s="5" t="s">
        <v>12403</v>
      </c>
      <c r="F1366" s="5" t="s">
        <v>12404</v>
      </c>
      <c r="G1366" s="5" t="s">
        <v>12405</v>
      </c>
      <c r="H1366" s="1" t="s">
        <v>12406</v>
      </c>
      <c r="I1366" s="5" t="s">
        <v>12407</v>
      </c>
      <c r="J1366" s="7">
        <v>8</v>
      </c>
      <c r="K1366" s="7">
        <v>29.4</v>
      </c>
      <c r="L1366" s="5" t="s">
        <v>12408</v>
      </c>
      <c r="M1366" s="7">
        <v>1.7</v>
      </c>
      <c r="N1366" s="7">
        <v>1.27</v>
      </c>
      <c r="O1366" s="7">
        <v>1.835</v>
      </c>
      <c r="P1366" s="1" t="s">
        <v>12409</v>
      </c>
    </row>
    <row r="1367" spans="1:16" ht="33.4" x14ac:dyDescent="0.3">
      <c r="A1367" s="6" t="str">
        <f>HYPERLINK("https://www.ti.com/product/TPS7A24", "TPS7A24")</f>
        <v>TPS7A24</v>
      </c>
      <c r="B1367" s="5" t="s">
        <v>12410</v>
      </c>
      <c r="C1367" s="6" t="str">
        <f>HYPERLINK("https://www.ti.com/lit/gpn/TPS7A24", "PDF")</f>
        <v>PDF</v>
      </c>
      <c r="D1367" s="5" t="s">
        <v>12411</v>
      </c>
      <c r="E1367" s="5" t="s">
        <v>12412</v>
      </c>
      <c r="F1367" s="5"/>
      <c r="G1367" s="5" t="s">
        <v>12413</v>
      </c>
      <c r="H1367" s="1" t="s">
        <v>12414</v>
      </c>
      <c r="I1367" s="5" t="s">
        <v>12415</v>
      </c>
      <c r="J1367" s="7">
        <v>5</v>
      </c>
      <c r="K1367" s="7">
        <v>8.1199999999999992</v>
      </c>
      <c r="L1367" s="5" t="s">
        <v>12416</v>
      </c>
      <c r="M1367" s="7">
        <v>1.45</v>
      </c>
      <c r="N1367" s="7">
        <v>0.95</v>
      </c>
      <c r="O1367" s="7">
        <v>0.17899999999999999</v>
      </c>
      <c r="P1367" s="1" t="s">
        <v>12417</v>
      </c>
    </row>
    <row r="1368" spans="1:16" ht="33.4" x14ac:dyDescent="0.3">
      <c r="A1368" s="6" t="str">
        <f>HYPERLINK("https://www.ti.com/product/TPS92613-Q1", "TPS92613-Q1")</f>
        <v>TPS92613-Q1</v>
      </c>
      <c r="B1368" s="5" t="s">
        <v>12418</v>
      </c>
      <c r="C1368" s="6" t="str">
        <f>HYPERLINK("https://www.ti.com/lit/gpn/TPS92613-Q1", "PDF")</f>
        <v>PDF</v>
      </c>
      <c r="D1368" s="5" t="s">
        <v>12419</v>
      </c>
      <c r="E1368" s="5" t="s">
        <v>12420</v>
      </c>
      <c r="F1368" s="5" t="s">
        <v>12421</v>
      </c>
      <c r="G1368" s="5" t="s">
        <v>12422</v>
      </c>
      <c r="H1368" s="1" t="s">
        <v>12423</v>
      </c>
      <c r="I1368" s="5" t="s">
        <v>12424</v>
      </c>
      <c r="J1368" s="7">
        <v>7</v>
      </c>
      <c r="K1368" s="7">
        <v>142.3416</v>
      </c>
      <c r="L1368" s="5" t="s">
        <v>12425</v>
      </c>
      <c r="M1368" s="7">
        <v>2.1</v>
      </c>
      <c r="N1368" s="7">
        <v>1.27</v>
      </c>
      <c r="O1368" s="7">
        <v>0.503</v>
      </c>
      <c r="P1368" s="1" t="s">
        <v>12426</v>
      </c>
    </row>
    <row r="1369" spans="1:16" ht="33.4" x14ac:dyDescent="0.3">
      <c r="A1369" s="6" t="str">
        <f>HYPERLINK("https://www.ti.com/product/TPS652353", "TPS652353")</f>
        <v>TPS652353</v>
      </c>
      <c r="B1369" s="5" t="s">
        <v>12427</v>
      </c>
      <c r="C1369" s="6" t="str">
        <f>HYPERLINK("https://www.ti.com/lit/gpn/TPS652353", "PDF")</f>
        <v>PDF</v>
      </c>
      <c r="D1369" s="5" t="s">
        <v>12428</v>
      </c>
      <c r="E1369" s="5" t="s">
        <v>12429</v>
      </c>
      <c r="F1369" s="5" t="s">
        <v>12430</v>
      </c>
      <c r="G1369" s="5" t="s">
        <v>12431</v>
      </c>
      <c r="H1369" s="1" t="s">
        <v>12432</v>
      </c>
      <c r="I1369" s="5" t="s">
        <v>12433</v>
      </c>
      <c r="J1369" s="7">
        <v>20</v>
      </c>
      <c r="K1369" s="7">
        <v>9</v>
      </c>
      <c r="L1369" s="5" t="s">
        <v>12434</v>
      </c>
      <c r="M1369" s="7">
        <v>0.8</v>
      </c>
      <c r="N1369" s="7">
        <v>0.4</v>
      </c>
      <c r="O1369" s="7">
        <v>0.67</v>
      </c>
      <c r="P1369" s="1" t="s">
        <v>12435</v>
      </c>
    </row>
    <row r="1370" spans="1:16" ht="17.05" x14ac:dyDescent="0.3">
      <c r="A1370" s="6" t="str">
        <f>HYPERLINK("https://www.ti.com/product/LMG3410R050", "LMG3410R050")</f>
        <v>LMG3410R050</v>
      </c>
      <c r="B1370" s="5" t="s">
        <v>12436</v>
      </c>
      <c r="C1370" s="6" t="str">
        <f>HYPERLINK("https://www.ti.com/lit/gpn/LMG3410R050", "PDF")</f>
        <v>PDF</v>
      </c>
      <c r="D1370" s="5" t="s">
        <v>12437</v>
      </c>
      <c r="E1370" s="5" t="s">
        <v>12438</v>
      </c>
      <c r="F1370" s="5"/>
      <c r="G1370" s="5" t="s">
        <v>12439</v>
      </c>
      <c r="H1370" s="1" t="s">
        <v>12440</v>
      </c>
      <c r="I1370" s="5" t="s">
        <v>12441</v>
      </c>
      <c r="J1370" s="7">
        <v>32</v>
      </c>
      <c r="K1370" s="7">
        <v>64</v>
      </c>
      <c r="L1370" s="5" t="s">
        <v>12442</v>
      </c>
      <c r="M1370" s="7">
        <v>0.9</v>
      </c>
      <c r="N1370" s="7">
        <v>0.65</v>
      </c>
      <c r="O1370" s="7">
        <v>6.8</v>
      </c>
      <c r="P1370" s="1" t="s">
        <v>12443</v>
      </c>
    </row>
    <row r="1371" spans="1:16" ht="33.4" x14ac:dyDescent="0.3">
      <c r="A1371" s="6" t="str">
        <f>HYPERLINK("https://www.ti.com/product/TLV751", "TLV751")</f>
        <v>TLV751</v>
      </c>
      <c r="B1371" s="5" t="s">
        <v>12444</v>
      </c>
      <c r="C1371" s="6" t="str">
        <f>HYPERLINK("https://www.ti.com/lit/gpn/TLV751", "PDF")</f>
        <v>PDF</v>
      </c>
      <c r="D1371" s="5" t="s">
        <v>12445</v>
      </c>
      <c r="E1371" s="5" t="s">
        <v>12446</v>
      </c>
      <c r="F1371" s="5"/>
      <c r="G1371" s="5" t="s">
        <v>12447</v>
      </c>
      <c r="H1371" s="1" t="s">
        <v>12448</v>
      </c>
      <c r="I1371" s="5" t="s">
        <v>12449</v>
      </c>
      <c r="J1371" s="7">
        <v>10</v>
      </c>
      <c r="K1371" s="7">
        <v>4</v>
      </c>
      <c r="L1371" s="5" t="s">
        <v>12450</v>
      </c>
      <c r="M1371" s="7">
        <v>0.8</v>
      </c>
      <c r="N1371" s="7">
        <v>0.4</v>
      </c>
      <c r="O1371" s="7">
        <v>0.124</v>
      </c>
      <c r="P1371" s="1" t="s">
        <v>12451</v>
      </c>
    </row>
    <row r="1372" spans="1:16" ht="33.4" x14ac:dyDescent="0.3">
      <c r="A1372" s="6" t="str">
        <f>HYPERLINK("https://www.ti.com/product/TLV752", "TLV752")</f>
        <v>TLV752</v>
      </c>
      <c r="B1372" s="5" t="s">
        <v>12452</v>
      </c>
      <c r="C1372" s="6" t="str">
        <f>HYPERLINK("https://www.ti.com/lit/gpn/TLV752", "PDF")</f>
        <v>PDF</v>
      </c>
      <c r="D1372" s="5" t="s">
        <v>12453</v>
      </c>
      <c r="E1372" s="5" t="s">
        <v>12454</v>
      </c>
      <c r="F1372" s="5"/>
      <c r="G1372" s="5" t="s">
        <v>12455</v>
      </c>
      <c r="H1372" s="1" t="s">
        <v>12456</v>
      </c>
      <c r="I1372" s="5" t="s">
        <v>12457</v>
      </c>
      <c r="J1372" s="7">
        <v>10</v>
      </c>
      <c r="K1372" s="7">
        <v>4</v>
      </c>
      <c r="L1372" s="5" t="s">
        <v>12458</v>
      </c>
      <c r="M1372" s="7">
        <v>0.8</v>
      </c>
      <c r="N1372" s="7">
        <v>0.4</v>
      </c>
      <c r="O1372" s="7">
        <v>0.13800000000000001</v>
      </c>
      <c r="P1372" s="1" t="s">
        <v>12459</v>
      </c>
    </row>
    <row r="1373" spans="1:16" ht="33.4" x14ac:dyDescent="0.3">
      <c r="A1373" s="6" t="str">
        <f>HYPERLINK("https://www.ti.com/product/LM61460-Q1", "LM61460-Q1")</f>
        <v>LM61460-Q1</v>
      </c>
      <c r="B1373" s="5" t="s">
        <v>12460</v>
      </c>
      <c r="C1373" s="6" t="str">
        <f>HYPERLINK("https://www.ti.com/lit/gpn/LM61460-Q1", "PDF")</f>
        <v>PDF</v>
      </c>
      <c r="D1373" s="5" t="s">
        <v>12461</v>
      </c>
      <c r="E1373" s="5" t="s">
        <v>12462</v>
      </c>
      <c r="F1373" s="5" t="s">
        <v>12463</v>
      </c>
      <c r="G1373" s="5" t="s">
        <v>12464</v>
      </c>
      <c r="H1373" s="1" t="s">
        <v>12465</v>
      </c>
      <c r="I1373" s="5" t="s">
        <v>12466</v>
      </c>
      <c r="J1373" s="7">
        <v>14</v>
      </c>
      <c r="K1373" s="7">
        <v>14</v>
      </c>
      <c r="L1373" s="5" t="s">
        <v>12467</v>
      </c>
      <c r="M1373" s="7">
        <v>1</v>
      </c>
      <c r="N1373" s="7">
        <v>0.5</v>
      </c>
      <c r="O1373" s="7">
        <v>2.2069999999999999</v>
      </c>
      <c r="P1373" s="1" t="s">
        <v>12468</v>
      </c>
    </row>
    <row r="1374" spans="1:16" ht="33.4" x14ac:dyDescent="0.3">
      <c r="A1374" s="6" t="str">
        <f>HYPERLINK("https://www.ti.com/product/TPS546D24A", "TPS546D24A")</f>
        <v>TPS546D24A</v>
      </c>
      <c r="B1374" s="5" t="s">
        <v>12469</v>
      </c>
      <c r="C1374" s="6" t="str">
        <f>HYPERLINK("https://www.ti.com/lit/gpn/TPS546D24A", "PDF")</f>
        <v>PDF</v>
      </c>
      <c r="D1374" s="5" t="s">
        <v>12470</v>
      </c>
      <c r="E1374" s="5" t="s">
        <v>12471</v>
      </c>
      <c r="F1374" s="5" t="s">
        <v>12472</v>
      </c>
      <c r="G1374" s="5" t="s">
        <v>12473</v>
      </c>
      <c r="H1374" s="1" t="s">
        <v>12474</v>
      </c>
      <c r="I1374" s="5" t="s">
        <v>12475</v>
      </c>
      <c r="J1374" s="7">
        <v>40</v>
      </c>
      <c r="K1374" s="7">
        <v>35</v>
      </c>
      <c r="L1374" s="5" t="s">
        <v>12476</v>
      </c>
      <c r="M1374" s="7">
        <v>1.52</v>
      </c>
      <c r="N1374" s="7">
        <v>0.5</v>
      </c>
      <c r="O1374" s="7">
        <v>4.859</v>
      </c>
      <c r="P1374" s="1" t="s">
        <v>12477</v>
      </c>
    </row>
    <row r="1375" spans="1:16" ht="33.4" x14ac:dyDescent="0.3">
      <c r="A1375" s="6" t="str">
        <f>HYPERLINK("https://www.ti.com/product/UCC21710-Q1", "UCC21710-Q1")</f>
        <v>UCC21710-Q1</v>
      </c>
      <c r="B1375" s="5" t="s">
        <v>12478</v>
      </c>
      <c r="C1375" s="6" t="str">
        <f>HYPERLINK("https://www.ti.com/lit/gpn/UCC21710-Q1", "PDF")</f>
        <v>PDF</v>
      </c>
      <c r="D1375" s="5" t="s">
        <v>12479</v>
      </c>
      <c r="E1375" s="5" t="s">
        <v>12480</v>
      </c>
      <c r="F1375" s="5"/>
      <c r="G1375" s="5" t="s">
        <v>12481</v>
      </c>
      <c r="H1375" s="1" t="s">
        <v>12482</v>
      </c>
      <c r="I1375" s="5" t="s">
        <v>12483</v>
      </c>
      <c r="J1375" s="7">
        <v>16</v>
      </c>
      <c r="K1375" s="7">
        <v>106.09</v>
      </c>
      <c r="L1375" s="5" t="s">
        <v>12484</v>
      </c>
      <c r="M1375" s="7">
        <v>2.65</v>
      </c>
      <c r="N1375" s="7">
        <v>1.27</v>
      </c>
      <c r="O1375" s="7">
        <v>3.0019999999999998</v>
      </c>
      <c r="P1375" s="1" t="s">
        <v>12485</v>
      </c>
    </row>
    <row r="1376" spans="1:16" ht="33.4" x14ac:dyDescent="0.3">
      <c r="A1376" s="6" t="str">
        <f>HYPERLINK("https://www.ti.com/product/UCC21750", "UCC21750")</f>
        <v>UCC21750</v>
      </c>
      <c r="B1376" s="5" t="s">
        <v>12486</v>
      </c>
      <c r="C1376" s="6" t="str">
        <f>HYPERLINK("https://www.ti.com/lit/gpn/UCC21750", "PDF")</f>
        <v>PDF</v>
      </c>
      <c r="D1376" s="5" t="s">
        <v>12487</v>
      </c>
      <c r="E1376" s="5" t="s">
        <v>12488</v>
      </c>
      <c r="F1376" s="5"/>
      <c r="G1376" s="5" t="s">
        <v>12489</v>
      </c>
      <c r="H1376" s="1" t="s">
        <v>12490</v>
      </c>
      <c r="I1376" s="5" t="s">
        <v>12491</v>
      </c>
      <c r="J1376" s="7">
        <v>16</v>
      </c>
      <c r="K1376" s="7">
        <v>106.09</v>
      </c>
      <c r="L1376" s="5" t="s">
        <v>12492</v>
      </c>
      <c r="M1376" s="7">
        <v>2.65</v>
      </c>
      <c r="N1376" s="7">
        <v>1.27</v>
      </c>
      <c r="O1376" s="7">
        <v>1.845</v>
      </c>
      <c r="P1376" s="1" t="s">
        <v>12493</v>
      </c>
    </row>
    <row r="1377" spans="1:16" ht="49.75" x14ac:dyDescent="0.3">
      <c r="A1377" s="6" t="str">
        <f>HYPERLINK("https://www.ti.com/product/TPS7A02", "TPS7A02")</f>
        <v>TPS7A02</v>
      </c>
      <c r="B1377" s="5" t="s">
        <v>12494</v>
      </c>
      <c r="C1377" s="6" t="str">
        <f>HYPERLINK("https://www.ti.com/lit/gpn/TPS7A02", "PDF")</f>
        <v>PDF</v>
      </c>
      <c r="D1377" s="5" t="s">
        <v>12495</v>
      </c>
      <c r="E1377" s="5" t="s">
        <v>12496</v>
      </c>
      <c r="F1377" s="5"/>
      <c r="G1377" s="5" t="s">
        <v>12497</v>
      </c>
      <c r="H1377" s="1" t="s">
        <v>12498</v>
      </c>
      <c r="I1377" s="5" t="s">
        <v>12499</v>
      </c>
      <c r="J1377" s="7" t="s">
        <v>12500</v>
      </c>
      <c r="K1377" s="7" t="s">
        <v>12501</v>
      </c>
      <c r="L1377" s="5" t="s">
        <v>12502</v>
      </c>
      <c r="M1377" s="7" t="s">
        <v>12503</v>
      </c>
      <c r="N1377" s="7" t="s">
        <v>12504</v>
      </c>
      <c r="O1377" s="7">
        <v>0.23799999999999999</v>
      </c>
      <c r="P1377" s="1" t="s">
        <v>12505</v>
      </c>
    </row>
    <row r="1378" spans="1:16" ht="49.75" x14ac:dyDescent="0.3">
      <c r="A1378" s="6" t="str">
        <f>HYPERLINK("https://www.ti.com/product/TPS7A03", "TPS7A03")</f>
        <v>TPS7A03</v>
      </c>
      <c r="B1378" s="5" t="s">
        <v>12506</v>
      </c>
      <c r="C1378" s="6" t="str">
        <f>HYPERLINK("https://www.ti.com/lit/gpn/TPS7A03", "PDF")</f>
        <v>PDF</v>
      </c>
      <c r="D1378" s="5" t="s">
        <v>12507</v>
      </c>
      <c r="E1378" s="5" t="s">
        <v>12508</v>
      </c>
      <c r="F1378" s="5"/>
      <c r="G1378" s="5" t="s">
        <v>12509</v>
      </c>
      <c r="H1378" s="1" t="s">
        <v>12510</v>
      </c>
      <c r="I1378" s="5" t="s">
        <v>12511</v>
      </c>
      <c r="J1378" s="7" t="s">
        <v>12512</v>
      </c>
      <c r="K1378" s="7" t="s">
        <v>12513</v>
      </c>
      <c r="L1378" s="5" t="s">
        <v>12514</v>
      </c>
      <c r="M1378" s="7" t="s">
        <v>12515</v>
      </c>
      <c r="N1378" s="7" t="s">
        <v>12516</v>
      </c>
      <c r="O1378" s="7">
        <v>0.12</v>
      </c>
      <c r="P1378" s="1" t="s">
        <v>12517</v>
      </c>
    </row>
    <row r="1379" spans="1:16" ht="33.4" x14ac:dyDescent="0.3">
      <c r="A1379" s="6" t="str">
        <f>HYPERLINK("https://www.ti.com/product/UCC12040", "UCC12040")</f>
        <v>UCC12040</v>
      </c>
      <c r="B1379" s="5" t="s">
        <v>12518</v>
      </c>
      <c r="C1379" s="6" t="str">
        <f>HYPERLINK("https://www.ti.com/lit/gpn/UCC12040", "PDF")</f>
        <v>PDF</v>
      </c>
      <c r="D1379" s="5" t="s">
        <v>12519</v>
      </c>
      <c r="E1379" s="5" t="s">
        <v>12520</v>
      </c>
      <c r="F1379" s="5" t="s">
        <v>12521</v>
      </c>
      <c r="G1379" s="5" t="s">
        <v>12522</v>
      </c>
      <c r="H1379" s="1" t="s">
        <v>12523</v>
      </c>
      <c r="I1379" s="5" t="s">
        <v>12524</v>
      </c>
      <c r="J1379" s="7">
        <v>16</v>
      </c>
      <c r="K1379" s="7">
        <v>106.09</v>
      </c>
      <c r="L1379" s="5" t="s">
        <v>12525</v>
      </c>
      <c r="M1379" s="7">
        <v>2.62</v>
      </c>
      <c r="N1379" s="7">
        <v>1.27</v>
      </c>
      <c r="O1379" s="7">
        <v>2.76</v>
      </c>
      <c r="P1379" s="1" t="s">
        <v>12526</v>
      </c>
    </row>
    <row r="1380" spans="1:16" ht="33.4" x14ac:dyDescent="0.3">
      <c r="A1380" s="6" t="str">
        <f>HYPERLINK("https://www.ti.com/product/UCC12050", "UCC12050")</f>
        <v>UCC12050</v>
      </c>
      <c r="B1380" s="5" t="s">
        <v>12527</v>
      </c>
      <c r="C1380" s="6" t="str">
        <f>HYPERLINK("https://www.ti.com/lit/gpn/UCC12050", "PDF")</f>
        <v>PDF</v>
      </c>
      <c r="D1380" s="5" t="s">
        <v>12528</v>
      </c>
      <c r="E1380" s="5" t="s">
        <v>12529</v>
      </c>
      <c r="F1380" s="5" t="s">
        <v>12530</v>
      </c>
      <c r="G1380" s="5" t="s">
        <v>12531</v>
      </c>
      <c r="H1380" s="1" t="s">
        <v>12532</v>
      </c>
      <c r="I1380" s="5" t="s">
        <v>12533</v>
      </c>
      <c r="J1380" s="7">
        <v>16</v>
      </c>
      <c r="K1380" s="7">
        <v>106.09</v>
      </c>
      <c r="L1380" s="5" t="s">
        <v>12534</v>
      </c>
      <c r="M1380" s="7">
        <v>2.62</v>
      </c>
      <c r="N1380" s="7">
        <v>1.27</v>
      </c>
      <c r="O1380" s="7">
        <v>3.06</v>
      </c>
      <c r="P1380" s="1" t="s">
        <v>12535</v>
      </c>
    </row>
    <row r="1381" spans="1:16" ht="33.4" x14ac:dyDescent="0.3">
      <c r="A1381" s="6" t="str">
        <f>HYPERLINK("https://www.ti.com/product/LM5170", "LM5170")</f>
        <v>LM5170</v>
      </c>
      <c r="B1381" s="5" t="s">
        <v>12536</v>
      </c>
      <c r="C1381" s="6" t="str">
        <f>HYPERLINK("https://www.ti.com/lit/gpn/LM5170", "PDF")</f>
        <v>PDF</v>
      </c>
      <c r="D1381" s="5" t="s">
        <v>12537</v>
      </c>
      <c r="E1381" s="5" t="s">
        <v>12538</v>
      </c>
      <c r="F1381" s="5" t="s">
        <v>12539</v>
      </c>
      <c r="G1381" s="5" t="s">
        <v>12540</v>
      </c>
      <c r="H1381" s="1" t="s">
        <v>12541</v>
      </c>
      <c r="I1381" s="5" t="s">
        <v>12542</v>
      </c>
      <c r="J1381" s="7">
        <v>48</v>
      </c>
      <c r="K1381" s="7">
        <v>81</v>
      </c>
      <c r="L1381" s="5" t="s">
        <v>12543</v>
      </c>
      <c r="M1381" s="7">
        <v>1.2</v>
      </c>
      <c r="N1381" s="7">
        <v>0.5</v>
      </c>
      <c r="O1381" s="7">
        <v>5.0090000000000003</v>
      </c>
      <c r="P1381" s="1" t="s">
        <v>12544</v>
      </c>
    </row>
    <row r="1382" spans="1:16" ht="33.4" x14ac:dyDescent="0.3">
      <c r="A1382" s="6" t="str">
        <f>HYPERLINK("https://www.ti.com/product/TPS1HB08-Q1", "TPS1HB08-Q1")</f>
        <v>TPS1HB08-Q1</v>
      </c>
      <c r="B1382" s="5" t="s">
        <v>12545</v>
      </c>
      <c r="C1382" s="6" t="str">
        <f>HYPERLINK("https://www.ti.com/lit/gpn/TPS1HB08-Q1", "PDF")</f>
        <v>PDF</v>
      </c>
      <c r="D1382" s="5" t="s">
        <v>12546</v>
      </c>
      <c r="E1382" s="5" t="s">
        <v>12547</v>
      </c>
      <c r="F1382" s="5"/>
      <c r="G1382" s="5" t="s">
        <v>12548</v>
      </c>
      <c r="H1382" s="1" t="s">
        <v>12549</v>
      </c>
      <c r="I1382" s="5" t="s">
        <v>12550</v>
      </c>
      <c r="J1382" s="7">
        <v>16</v>
      </c>
      <c r="K1382" s="7">
        <v>32</v>
      </c>
      <c r="L1382" s="5" t="s">
        <v>12551</v>
      </c>
      <c r="M1382" s="7">
        <v>1.2</v>
      </c>
      <c r="N1382" s="7">
        <v>0.65</v>
      </c>
      <c r="O1382" s="7">
        <v>1.0289999999999999</v>
      </c>
      <c r="P1382" s="1" t="s">
        <v>12552</v>
      </c>
    </row>
    <row r="1383" spans="1:16" ht="33.4" x14ac:dyDescent="0.3">
      <c r="A1383" s="6" t="str">
        <f>HYPERLINK("https://www.ti.com/product/TPS66120", "TPS66120")</f>
        <v>TPS66120</v>
      </c>
      <c r="B1383" s="5" t="s">
        <v>12553</v>
      </c>
      <c r="C1383" s="6" t="str">
        <f>HYPERLINK("https://www.ti.com/lit/gpn/TPS66120", "PDF")</f>
        <v>PDF</v>
      </c>
      <c r="D1383" s="5" t="s">
        <v>12554</v>
      </c>
      <c r="E1383" s="5" t="s">
        <v>12555</v>
      </c>
      <c r="F1383" s="5"/>
      <c r="G1383" s="5" t="s">
        <v>12556</v>
      </c>
      <c r="H1383" s="1" t="s">
        <v>12557</v>
      </c>
      <c r="I1383" s="5" t="s">
        <v>12558</v>
      </c>
      <c r="J1383" s="7">
        <v>28</v>
      </c>
      <c r="K1383" s="7">
        <v>4.5064359999999999</v>
      </c>
      <c r="L1383" s="5" t="s">
        <v>12559</v>
      </c>
      <c r="M1383" s="7">
        <v>0.5</v>
      </c>
      <c r="N1383" s="7">
        <v>0.4</v>
      </c>
      <c r="O1383" s="7">
        <v>0.34499999999999997</v>
      </c>
      <c r="P1383" s="1" t="s">
        <v>12560</v>
      </c>
    </row>
    <row r="1384" spans="1:16" ht="33.4" x14ac:dyDescent="0.3">
      <c r="A1384" s="6" t="str">
        <f>HYPERLINK("https://www.ti.com/product/TPS66121", "TPS66121")</f>
        <v>TPS66121</v>
      </c>
      <c r="B1384" s="5" t="s">
        <v>12561</v>
      </c>
      <c r="C1384" s="6" t="str">
        <f>HYPERLINK("https://www.ti.com/lit/gpn/TPS66121", "PDF")</f>
        <v>PDF</v>
      </c>
      <c r="D1384" s="5" t="s">
        <v>12562</v>
      </c>
      <c r="E1384" s="5" t="s">
        <v>12563</v>
      </c>
      <c r="F1384" s="5"/>
      <c r="G1384" s="5" t="s">
        <v>12564</v>
      </c>
      <c r="H1384" s="1" t="s">
        <v>12565</v>
      </c>
      <c r="I1384" s="5" t="s">
        <v>12566</v>
      </c>
      <c r="J1384" s="7">
        <v>28</v>
      </c>
      <c r="K1384" s="7">
        <v>4.5064359999999999</v>
      </c>
      <c r="L1384" s="5" t="s">
        <v>12567</v>
      </c>
      <c r="M1384" s="7">
        <v>0.5</v>
      </c>
      <c r="N1384" s="7">
        <v>0.4</v>
      </c>
      <c r="O1384" s="7">
        <v>0.34499999999999997</v>
      </c>
      <c r="P1384" s="1" t="s">
        <v>12568</v>
      </c>
    </row>
    <row r="1385" spans="1:16" ht="33.4" x14ac:dyDescent="0.3">
      <c r="A1385" s="6" t="str">
        <f>HYPERLINK("https://www.ti.com/product/TPSM53602", "TPSM53602")</f>
        <v>TPSM53602</v>
      </c>
      <c r="B1385" s="5" t="s">
        <v>12569</v>
      </c>
      <c r="C1385" s="6" t="str">
        <f>HYPERLINK("https://www.ti.com/lit/gpn/TPSM53602", "PDF")</f>
        <v>PDF</v>
      </c>
      <c r="D1385" s="5" t="s">
        <v>12570</v>
      </c>
      <c r="E1385" s="5" t="s">
        <v>12571</v>
      </c>
      <c r="F1385" s="5" t="s">
        <v>12572</v>
      </c>
      <c r="G1385" s="5" t="s">
        <v>12573</v>
      </c>
      <c r="H1385" s="1" t="s">
        <v>12574</v>
      </c>
      <c r="I1385" s="5" t="s">
        <v>12575</v>
      </c>
      <c r="J1385" s="7">
        <v>15</v>
      </c>
      <c r="K1385" s="7">
        <v>27.5</v>
      </c>
      <c r="L1385" s="5" t="s">
        <v>12576</v>
      </c>
      <c r="M1385" s="7">
        <v>4.0999999999999996</v>
      </c>
      <c r="N1385" s="7">
        <v>0</v>
      </c>
      <c r="O1385" s="7">
        <v>3.55</v>
      </c>
      <c r="P1385" s="1" t="s">
        <v>12577</v>
      </c>
    </row>
    <row r="1386" spans="1:16" ht="33.4" x14ac:dyDescent="0.3">
      <c r="A1386" s="6" t="str">
        <f>HYPERLINK("https://www.ti.com/product/TPSM53603", "TPSM53603")</f>
        <v>TPSM53603</v>
      </c>
      <c r="B1386" s="5" t="s">
        <v>12578</v>
      </c>
      <c r="C1386" s="6" t="str">
        <f>HYPERLINK("https://www.ti.com/lit/gpn/TPSM53603", "PDF")</f>
        <v>PDF</v>
      </c>
      <c r="D1386" s="5" t="s">
        <v>12579</v>
      </c>
      <c r="E1386" s="5" t="s">
        <v>12580</v>
      </c>
      <c r="F1386" s="5" t="s">
        <v>12581</v>
      </c>
      <c r="G1386" s="5" t="s">
        <v>12582</v>
      </c>
      <c r="H1386" s="1" t="s">
        <v>12583</v>
      </c>
      <c r="I1386" s="5" t="s">
        <v>12584</v>
      </c>
      <c r="J1386" s="7">
        <v>15</v>
      </c>
      <c r="K1386" s="7">
        <v>27.5</v>
      </c>
      <c r="L1386" s="5" t="s">
        <v>12585</v>
      </c>
      <c r="M1386" s="7">
        <v>4.0999999999999996</v>
      </c>
      <c r="N1386" s="7">
        <v>0</v>
      </c>
      <c r="O1386" s="7">
        <v>4.3159999999999998</v>
      </c>
      <c r="P1386" s="1" t="s">
        <v>12586</v>
      </c>
    </row>
    <row r="1387" spans="1:16" ht="33.4" x14ac:dyDescent="0.3">
      <c r="A1387" s="6" t="str">
        <f>HYPERLINK("https://www.ti.com/product/TPSM53604", "TPSM53604")</f>
        <v>TPSM53604</v>
      </c>
      <c r="B1387" s="5" t="s">
        <v>12587</v>
      </c>
      <c r="C1387" s="6" t="str">
        <f>HYPERLINK("https://www.ti.com/lit/gpn/TPSM53604", "PDF")</f>
        <v>PDF</v>
      </c>
      <c r="D1387" s="5" t="s">
        <v>12588</v>
      </c>
      <c r="E1387" s="5" t="s">
        <v>12589</v>
      </c>
      <c r="F1387" s="5" t="s">
        <v>12590</v>
      </c>
      <c r="G1387" s="5" t="s">
        <v>12591</v>
      </c>
      <c r="H1387" s="1" t="s">
        <v>12592</v>
      </c>
      <c r="I1387" s="5" t="s">
        <v>12593</v>
      </c>
      <c r="J1387" s="7">
        <v>15</v>
      </c>
      <c r="K1387" s="7">
        <v>27.5</v>
      </c>
      <c r="L1387" s="5" t="s">
        <v>12594</v>
      </c>
      <c r="M1387" s="7">
        <v>4.0999999999999996</v>
      </c>
      <c r="N1387" s="7">
        <v>0</v>
      </c>
      <c r="O1387" s="7">
        <v>6.1879999999999997</v>
      </c>
      <c r="P1387" s="1" t="s">
        <v>12595</v>
      </c>
    </row>
    <row r="1388" spans="1:16" ht="33.4" x14ac:dyDescent="0.3">
      <c r="A1388" s="6" t="str">
        <f>HYPERLINK("https://www.ti.com/product/TPS66020", "TPS66020")</f>
        <v>TPS66020</v>
      </c>
      <c r="B1388" s="5" t="s">
        <v>12596</v>
      </c>
      <c r="C1388" s="6" t="str">
        <f>HYPERLINK("https://www.ti.com/lit/gpn/TPS66020", "PDF")</f>
        <v>PDF</v>
      </c>
      <c r="D1388" s="5" t="s">
        <v>12597</v>
      </c>
      <c r="E1388" s="5" t="s">
        <v>12598</v>
      </c>
      <c r="F1388" s="5"/>
      <c r="G1388" s="5" t="s">
        <v>12599</v>
      </c>
      <c r="H1388" s="1" t="s">
        <v>12600</v>
      </c>
      <c r="I1388" s="5" t="s">
        <v>12601</v>
      </c>
      <c r="J1388" s="7">
        <v>28</v>
      </c>
      <c r="K1388" s="7">
        <v>4.5064359999999999</v>
      </c>
      <c r="L1388" s="5" t="s">
        <v>12602</v>
      </c>
      <c r="M1388" s="7">
        <v>0.5</v>
      </c>
      <c r="N1388" s="7">
        <v>0.4</v>
      </c>
      <c r="O1388" s="7">
        <v>0.40300000000000002</v>
      </c>
      <c r="P1388" s="1" t="s">
        <v>12603</v>
      </c>
    </row>
    <row r="1389" spans="1:16" ht="33.4" x14ac:dyDescent="0.3">
      <c r="A1389" s="6" t="str">
        <f>HYPERLINK("https://www.ti.com/product/TPS66021", "TPS66021")</f>
        <v>TPS66021</v>
      </c>
      <c r="B1389" s="5" t="s">
        <v>12604</v>
      </c>
      <c r="C1389" s="6" t="str">
        <f>HYPERLINK("https://www.ti.com/lit/gpn/TPS66021", "PDF")</f>
        <v>PDF</v>
      </c>
      <c r="D1389" s="5" t="s">
        <v>12605</v>
      </c>
      <c r="E1389" s="5" t="s">
        <v>12606</v>
      </c>
      <c r="F1389" s="5"/>
      <c r="G1389" s="5" t="s">
        <v>12607</v>
      </c>
      <c r="H1389" s="1" t="s">
        <v>12608</v>
      </c>
      <c r="I1389" s="5" t="s">
        <v>12609</v>
      </c>
      <c r="J1389" s="7">
        <v>28</v>
      </c>
      <c r="K1389" s="7">
        <v>4.5064359999999999</v>
      </c>
      <c r="L1389" s="5" t="s">
        <v>12610</v>
      </c>
      <c r="M1389" s="7">
        <v>0.5</v>
      </c>
      <c r="N1389" s="7">
        <v>0.4</v>
      </c>
      <c r="O1389" s="7">
        <v>0.40300000000000002</v>
      </c>
      <c r="P1389" s="1" t="s">
        <v>12611</v>
      </c>
    </row>
    <row r="1390" spans="1:16" ht="33.4" x14ac:dyDescent="0.3">
      <c r="A1390" s="6" t="str">
        <f>HYPERLINK("https://www.ti.com/product/TPS61023", "TPS61023")</f>
        <v>TPS61023</v>
      </c>
      <c r="B1390" s="5" t="s">
        <v>12612</v>
      </c>
      <c r="C1390" s="6" t="str">
        <f>HYPERLINK("https://www.ti.com/lit/gpn/TPS61023", "PDF")</f>
        <v>PDF</v>
      </c>
      <c r="D1390" s="5" t="s">
        <v>12613</v>
      </c>
      <c r="E1390" s="5" t="s">
        <v>12614</v>
      </c>
      <c r="F1390" s="5" t="s">
        <v>12615</v>
      </c>
      <c r="G1390" s="5" t="s">
        <v>12616</v>
      </c>
      <c r="H1390" s="1" t="s">
        <v>12617</v>
      </c>
      <c r="I1390" s="5" t="s">
        <v>12618</v>
      </c>
      <c r="J1390" s="7">
        <v>6</v>
      </c>
      <c r="K1390" s="7">
        <v>2.56</v>
      </c>
      <c r="L1390" s="5" t="s">
        <v>12619</v>
      </c>
      <c r="M1390" s="7">
        <v>0.6</v>
      </c>
      <c r="N1390" s="7">
        <v>0.5</v>
      </c>
      <c r="O1390" s="7">
        <v>0.36799999999999999</v>
      </c>
      <c r="P1390" s="1" t="s">
        <v>12620</v>
      </c>
    </row>
    <row r="1391" spans="1:16" ht="49.75" x14ac:dyDescent="0.3">
      <c r="A1391" s="6" t="str">
        <f>HYPERLINK("https://www.ti.com/product/TLV803E", "TLV803E")</f>
        <v>TLV803E</v>
      </c>
      <c r="B1391" s="5" t="s">
        <v>12621</v>
      </c>
      <c r="C1391" s="6" t="str">
        <f>HYPERLINK("https://www.ti.com/lit/gpn/TLV803E", "PDF")</f>
        <v>PDF</v>
      </c>
      <c r="D1391" s="5" t="s">
        <v>12622</v>
      </c>
      <c r="E1391" s="5" t="s">
        <v>12623</v>
      </c>
      <c r="F1391" s="5"/>
      <c r="G1391" s="5" t="s">
        <v>12624</v>
      </c>
      <c r="H1391" s="1" t="s">
        <v>12625</v>
      </c>
      <c r="I1391" s="5" t="s">
        <v>12626</v>
      </c>
      <c r="J1391" s="7" t="s">
        <v>12627</v>
      </c>
      <c r="K1391" s="7" t="s">
        <v>12628</v>
      </c>
      <c r="L1391" s="5" t="s">
        <v>12629</v>
      </c>
      <c r="M1391" s="7" t="s">
        <v>12630</v>
      </c>
      <c r="N1391" s="7" t="s">
        <v>12631</v>
      </c>
      <c r="O1391" s="7">
        <v>0.107</v>
      </c>
      <c r="P1391" s="1" t="s">
        <v>12632</v>
      </c>
    </row>
    <row r="1392" spans="1:16" ht="49.75" x14ac:dyDescent="0.3">
      <c r="A1392" s="6" t="str">
        <f>HYPERLINK("https://www.ti.com/product/TLV809E", "TLV809E")</f>
        <v>TLV809E</v>
      </c>
      <c r="B1392" s="5" t="s">
        <v>12633</v>
      </c>
      <c r="C1392" s="6" t="str">
        <f>HYPERLINK("https://www.ti.com/lit/gpn/TLV809E", "PDF")</f>
        <v>PDF</v>
      </c>
      <c r="D1392" s="5" t="s">
        <v>12634</v>
      </c>
      <c r="E1392" s="5" t="s">
        <v>12635</v>
      </c>
      <c r="F1392" s="5"/>
      <c r="G1392" s="5" t="s">
        <v>12636</v>
      </c>
      <c r="H1392" s="1" t="s">
        <v>12637</v>
      </c>
      <c r="I1392" s="5" t="s">
        <v>12638</v>
      </c>
      <c r="J1392" s="7" t="s">
        <v>12639</v>
      </c>
      <c r="K1392" s="7" t="s">
        <v>12640</v>
      </c>
      <c r="L1392" s="5" t="s">
        <v>12641</v>
      </c>
      <c r="M1392" s="7" t="s">
        <v>12642</v>
      </c>
      <c r="N1392" s="7" t="s">
        <v>12643</v>
      </c>
      <c r="O1392" s="7">
        <v>7.3999999999999996E-2</v>
      </c>
      <c r="P1392" s="1" t="s">
        <v>12644</v>
      </c>
    </row>
    <row r="1393" spans="1:16" ht="33.4" x14ac:dyDescent="0.3">
      <c r="A1393" s="6" t="str">
        <f>HYPERLINK("https://www.ti.com/product/TPS2HB16-Q1", "TPS2HB16-Q1")</f>
        <v>TPS2HB16-Q1</v>
      </c>
      <c r="B1393" s="5" t="s">
        <v>12645</v>
      </c>
      <c r="C1393" s="6" t="str">
        <f>HYPERLINK("https://www.ti.com/lit/gpn/TPS2HB16-Q1", "PDF")</f>
        <v>PDF</v>
      </c>
      <c r="D1393" s="5" t="s">
        <v>12646</v>
      </c>
      <c r="E1393" s="5" t="s">
        <v>12647</v>
      </c>
      <c r="F1393" s="5"/>
      <c r="G1393" s="5" t="s">
        <v>12648</v>
      </c>
      <c r="H1393" s="1" t="s">
        <v>12649</v>
      </c>
      <c r="I1393" s="5" t="s">
        <v>12650</v>
      </c>
      <c r="J1393" s="7">
        <v>16</v>
      </c>
      <c r="K1393" s="7">
        <v>32</v>
      </c>
      <c r="L1393" s="5" t="s">
        <v>12651</v>
      </c>
      <c r="M1393" s="7">
        <v>1.2</v>
      </c>
      <c r="N1393" s="7">
        <v>0.65</v>
      </c>
      <c r="O1393" s="7">
        <v>0.94099999999999995</v>
      </c>
      <c r="P1393" s="1" t="s">
        <v>12652</v>
      </c>
    </row>
    <row r="1394" spans="1:16" ht="33.4" x14ac:dyDescent="0.3">
      <c r="A1394" s="6" t="str">
        <f>HYPERLINK("https://www.ti.com/product/TPS2HB35-Q1", "TPS2HB35-Q1")</f>
        <v>TPS2HB35-Q1</v>
      </c>
      <c r="B1394" s="5" t="s">
        <v>12653</v>
      </c>
      <c r="C1394" s="6" t="str">
        <f>HYPERLINK("https://www.ti.com/lit/gpn/TPS2HB35-Q1", "PDF")</f>
        <v>PDF</v>
      </c>
      <c r="D1394" s="5" t="s">
        <v>12654</v>
      </c>
      <c r="E1394" s="5" t="s">
        <v>12655</v>
      </c>
      <c r="F1394" s="5"/>
      <c r="G1394" s="5" t="s">
        <v>12656</v>
      </c>
      <c r="H1394" s="1" t="s">
        <v>12657</v>
      </c>
      <c r="I1394" s="5" t="s">
        <v>12658</v>
      </c>
      <c r="J1394" s="7">
        <v>16</v>
      </c>
      <c r="K1394" s="7">
        <v>32</v>
      </c>
      <c r="L1394" s="5" t="s">
        <v>12659</v>
      </c>
      <c r="M1394" s="7">
        <v>1.2</v>
      </c>
      <c r="N1394" s="7">
        <v>0.65</v>
      </c>
      <c r="O1394" s="7">
        <v>0.80100000000000005</v>
      </c>
      <c r="P1394" s="1" t="s">
        <v>12660</v>
      </c>
    </row>
    <row r="1395" spans="1:16" ht="33.4" x14ac:dyDescent="0.3">
      <c r="A1395" s="6" t="str">
        <f>HYPERLINK("https://www.ti.com/product/ATL431LI-Q1", "ATL431LI-Q1")</f>
        <v>ATL431LI-Q1</v>
      </c>
      <c r="B1395" s="5" t="s">
        <v>12661</v>
      </c>
      <c r="C1395" s="6" t="str">
        <f>HYPERLINK("https://www.ti.com/lit/gpn/ATL431LI-Q1", "PDF")</f>
        <v>PDF</v>
      </c>
      <c r="D1395" s="5" t="s">
        <v>12662</v>
      </c>
      <c r="E1395" s="5" t="s">
        <v>12663</v>
      </c>
      <c r="F1395" s="5"/>
      <c r="G1395" s="5" t="s">
        <v>12664</v>
      </c>
      <c r="H1395" s="1" t="s">
        <v>12665</v>
      </c>
      <c r="I1395" s="5" t="s">
        <v>12666</v>
      </c>
      <c r="J1395" s="7">
        <v>3</v>
      </c>
      <c r="K1395" s="7">
        <v>6.9203999999999999</v>
      </c>
      <c r="L1395" s="5" t="s">
        <v>12667</v>
      </c>
      <c r="M1395" s="7">
        <v>1.1200000000000001</v>
      </c>
      <c r="N1395" s="7">
        <v>0.96</v>
      </c>
      <c r="O1395" s="7">
        <v>0.20300000000000001</v>
      </c>
      <c r="P1395" s="1" t="s">
        <v>12668</v>
      </c>
    </row>
    <row r="1396" spans="1:16" ht="33.4" x14ac:dyDescent="0.3">
      <c r="A1396" s="6" t="str">
        <f>HYPERLINK("https://www.ti.com/product/ATL432LI-Q1", "ATL432LI-Q1")</f>
        <v>ATL432LI-Q1</v>
      </c>
      <c r="B1396" s="5" t="s">
        <v>12669</v>
      </c>
      <c r="C1396" s="6" t="str">
        <f>HYPERLINK("https://www.ti.com/lit/gpn/ATL432LI-Q1", "PDF")</f>
        <v>PDF</v>
      </c>
      <c r="D1396" s="5" t="s">
        <v>12670</v>
      </c>
      <c r="E1396" s="5" t="s">
        <v>12671</v>
      </c>
      <c r="F1396" s="5"/>
      <c r="G1396" s="5" t="s">
        <v>12672</v>
      </c>
      <c r="H1396" s="1" t="s">
        <v>12673</v>
      </c>
      <c r="I1396" s="5" t="s">
        <v>12674</v>
      </c>
      <c r="J1396" s="7">
        <v>3</v>
      </c>
      <c r="K1396" s="7">
        <v>6.9203999999999999</v>
      </c>
      <c r="L1396" s="5" t="s">
        <v>12675</v>
      </c>
      <c r="M1396" s="7">
        <v>1.1200000000000001</v>
      </c>
      <c r="N1396" s="7">
        <v>0.96</v>
      </c>
      <c r="O1396" s="7">
        <v>0.20300000000000001</v>
      </c>
      <c r="P1396" s="1" t="s">
        <v>12676</v>
      </c>
    </row>
    <row r="1397" spans="1:16" ht="33.4" x14ac:dyDescent="0.3">
      <c r="A1397" s="6" t="str">
        <f>HYPERLINK("https://www.ti.com/product/TPS61391", "TPS61391")</f>
        <v>TPS61391</v>
      </c>
      <c r="B1397" s="5" t="s">
        <v>12677</v>
      </c>
      <c r="C1397" s="6" t="str">
        <f>HYPERLINK("https://www.ti.com/lit/gpn/TPS61391", "PDF")</f>
        <v>PDF</v>
      </c>
      <c r="D1397" s="5" t="s">
        <v>12678</v>
      </c>
      <c r="E1397" s="5" t="s">
        <v>12679</v>
      </c>
      <c r="F1397" s="5" t="s">
        <v>12680</v>
      </c>
      <c r="G1397" s="5" t="s">
        <v>12681</v>
      </c>
      <c r="H1397" s="1" t="s">
        <v>12682</v>
      </c>
      <c r="I1397" s="5" t="s">
        <v>12683</v>
      </c>
      <c r="J1397" s="7">
        <v>16</v>
      </c>
      <c r="K1397" s="7">
        <v>9</v>
      </c>
      <c r="L1397" s="5" t="s">
        <v>12684</v>
      </c>
      <c r="M1397" s="7">
        <v>0.8</v>
      </c>
      <c r="N1397" s="7">
        <v>0.5</v>
      </c>
      <c r="O1397" s="7">
        <v>1.518</v>
      </c>
      <c r="P1397" s="1" t="s">
        <v>12685</v>
      </c>
    </row>
    <row r="1398" spans="1:16" ht="33.4" x14ac:dyDescent="0.3">
      <c r="A1398" s="6" t="str">
        <f>HYPERLINK("https://www.ti.com/product/LMR33640", "LMR33640")</f>
        <v>LMR33640</v>
      </c>
      <c r="B1398" s="5" t="s">
        <v>12686</v>
      </c>
      <c r="C1398" s="6" t="str">
        <f>HYPERLINK("https://www.ti.com/lit/gpn/LMR33640", "PDF")</f>
        <v>PDF</v>
      </c>
      <c r="D1398" s="5" t="s">
        <v>12687</v>
      </c>
      <c r="E1398" s="5" t="s">
        <v>12688</v>
      </c>
      <c r="F1398" s="5" t="s">
        <v>12689</v>
      </c>
      <c r="G1398" s="5" t="s">
        <v>12690</v>
      </c>
      <c r="H1398" s="1" t="s">
        <v>12691</v>
      </c>
      <c r="I1398" s="5" t="s">
        <v>12692</v>
      </c>
      <c r="J1398" s="7">
        <v>8</v>
      </c>
      <c r="K1398" s="7">
        <v>29.4</v>
      </c>
      <c r="L1398" s="5" t="s">
        <v>12693</v>
      </c>
      <c r="M1398" s="7">
        <v>1.7</v>
      </c>
      <c r="N1398" s="7">
        <v>1.27</v>
      </c>
      <c r="O1398" s="7">
        <v>0.875</v>
      </c>
      <c r="P1398" s="1" t="s">
        <v>12694</v>
      </c>
    </row>
    <row r="1399" spans="1:16" ht="33.4" x14ac:dyDescent="0.3">
      <c r="A1399" s="6" t="str">
        <f>HYPERLINK("https://www.ti.com/product/TL431LI-Q1", "TL431LI-Q1")</f>
        <v>TL431LI-Q1</v>
      </c>
      <c r="B1399" s="5" t="s">
        <v>12695</v>
      </c>
      <c r="C1399" s="6" t="str">
        <f>HYPERLINK("https://www.ti.com/lit/gpn/TL431LI-Q1", "PDF")</f>
        <v>PDF</v>
      </c>
      <c r="D1399" s="5" t="s">
        <v>12696</v>
      </c>
      <c r="E1399" s="5" t="s">
        <v>12697</v>
      </c>
      <c r="F1399" s="5"/>
      <c r="G1399" s="5" t="s">
        <v>12698</v>
      </c>
      <c r="H1399" s="1" t="s">
        <v>12699</v>
      </c>
      <c r="I1399" s="5" t="s">
        <v>12700</v>
      </c>
      <c r="J1399" s="7">
        <v>3</v>
      </c>
      <c r="K1399" s="7">
        <v>6.9203999999999999</v>
      </c>
      <c r="L1399" s="5" t="s">
        <v>12701</v>
      </c>
      <c r="M1399" s="7">
        <v>1.1200000000000001</v>
      </c>
      <c r="N1399" s="7">
        <v>0.96</v>
      </c>
      <c r="O1399" s="7">
        <v>0.29199999999999998</v>
      </c>
      <c r="P1399" s="1" t="s">
        <v>12702</v>
      </c>
    </row>
    <row r="1400" spans="1:16" ht="33.4" x14ac:dyDescent="0.3">
      <c r="A1400" s="6" t="str">
        <f>HYPERLINK("https://www.ti.com/product/TL432LI-Q1", "TL432LI-Q1")</f>
        <v>TL432LI-Q1</v>
      </c>
      <c r="B1400" s="5" t="s">
        <v>12703</v>
      </c>
      <c r="C1400" s="6" t="str">
        <f>HYPERLINK("https://www.ti.com/lit/gpn/TL432LI-Q1", "PDF")</f>
        <v>PDF</v>
      </c>
      <c r="D1400" s="5" t="s">
        <v>12704</v>
      </c>
      <c r="E1400" s="5" t="s">
        <v>12705</v>
      </c>
      <c r="F1400" s="5"/>
      <c r="G1400" s="5" t="s">
        <v>12706</v>
      </c>
      <c r="H1400" s="1" t="s">
        <v>12707</v>
      </c>
      <c r="I1400" s="5" t="s">
        <v>12708</v>
      </c>
      <c r="J1400" s="7">
        <v>3</v>
      </c>
      <c r="K1400" s="7">
        <v>6.9203999999999999</v>
      </c>
      <c r="L1400" s="5" t="s">
        <v>12709</v>
      </c>
      <c r="M1400" s="7">
        <v>1.1200000000000001</v>
      </c>
      <c r="N1400" s="7">
        <v>0.96</v>
      </c>
      <c r="O1400" s="7">
        <v>0.14099999999999999</v>
      </c>
      <c r="P1400" s="1" t="s">
        <v>12710</v>
      </c>
    </row>
    <row r="1401" spans="1:16" ht="33.4" x14ac:dyDescent="0.3">
      <c r="A1401" s="6" t="str">
        <f>HYPERLINK("https://www.ti.com/product/TPS745-Q1", "TPS745-Q1")</f>
        <v>TPS745-Q1</v>
      </c>
      <c r="B1401" s="5" t="s">
        <v>12711</v>
      </c>
      <c r="C1401" s="6" t="str">
        <f>HYPERLINK("https://www.ti.com/lit/gpn/TPS745-Q1", "PDF")</f>
        <v>PDF</v>
      </c>
      <c r="D1401" s="5" t="s">
        <v>12712</v>
      </c>
      <c r="E1401" s="5" t="s">
        <v>12713</v>
      </c>
      <c r="F1401" s="5"/>
      <c r="G1401" s="5" t="s">
        <v>12714</v>
      </c>
      <c r="H1401" s="1" t="s">
        <v>12715</v>
      </c>
      <c r="I1401" s="5" t="s">
        <v>12716</v>
      </c>
      <c r="J1401" s="7" t="s">
        <v>12717</v>
      </c>
      <c r="K1401" s="7" t="s">
        <v>12718</v>
      </c>
      <c r="L1401" s="5" t="s">
        <v>12719</v>
      </c>
      <c r="M1401" s="7" t="s">
        <v>12720</v>
      </c>
      <c r="N1401" s="7">
        <v>0.65</v>
      </c>
      <c r="O1401" s="7">
        <v>0.52</v>
      </c>
      <c r="P1401" s="1" t="s">
        <v>12721</v>
      </c>
    </row>
    <row r="1402" spans="1:16" ht="33.4" x14ac:dyDescent="0.3">
      <c r="A1402" s="6" t="str">
        <f>HYPERLINK("https://www.ti.com/product/UCC256402", "UCC256402")</f>
        <v>UCC256402</v>
      </c>
      <c r="B1402" s="5" t="s">
        <v>12722</v>
      </c>
      <c r="C1402" s="6" t="str">
        <f>HYPERLINK("https://www.ti.com/lit/gpn/UCC256402", "PDF")</f>
        <v>PDF</v>
      </c>
      <c r="D1402" s="5" t="s">
        <v>12723</v>
      </c>
      <c r="E1402" s="5" t="s">
        <v>12724</v>
      </c>
      <c r="F1402" s="5" t="s">
        <v>12725</v>
      </c>
      <c r="G1402" s="5" t="s">
        <v>12726</v>
      </c>
      <c r="H1402" s="1" t="s">
        <v>12727</v>
      </c>
      <c r="I1402" s="5" t="s">
        <v>12728</v>
      </c>
      <c r="J1402" s="7">
        <v>14</v>
      </c>
      <c r="K1402" s="7">
        <v>59.4</v>
      </c>
      <c r="L1402" s="5" t="s">
        <v>12729</v>
      </c>
      <c r="M1402" s="7">
        <v>1.75</v>
      </c>
      <c r="N1402" s="7">
        <v>1.27</v>
      </c>
      <c r="O1402" s="7">
        <v>0.96399999999999997</v>
      </c>
      <c r="P1402" s="1" t="s">
        <v>12730</v>
      </c>
    </row>
    <row r="1403" spans="1:16" ht="33.4" x14ac:dyDescent="0.3">
      <c r="A1403" s="6" t="str">
        <f>HYPERLINK("https://www.ti.com/product/UCC256403", "UCC256403")</f>
        <v>UCC256403</v>
      </c>
      <c r="B1403" s="5" t="s">
        <v>12731</v>
      </c>
      <c r="C1403" s="6" t="str">
        <f>HYPERLINK("https://www.ti.com/lit/gpn/UCC256403", "PDF")</f>
        <v>PDF</v>
      </c>
      <c r="D1403" s="5" t="s">
        <v>12732</v>
      </c>
      <c r="E1403" s="5" t="s">
        <v>12733</v>
      </c>
      <c r="F1403" s="5" t="s">
        <v>12734</v>
      </c>
      <c r="G1403" s="5" t="s">
        <v>12735</v>
      </c>
      <c r="H1403" s="1" t="s">
        <v>12736</v>
      </c>
      <c r="I1403" s="5" t="s">
        <v>12737</v>
      </c>
      <c r="J1403" s="7">
        <v>14</v>
      </c>
      <c r="K1403" s="7">
        <v>59.4</v>
      </c>
      <c r="L1403" s="5" t="s">
        <v>12738</v>
      </c>
      <c r="M1403" s="7">
        <v>1.75</v>
      </c>
      <c r="N1403" s="7">
        <v>1.27</v>
      </c>
      <c r="O1403" s="7">
        <v>0.91400000000000003</v>
      </c>
      <c r="P1403" s="1" t="s">
        <v>12739</v>
      </c>
    </row>
    <row r="1404" spans="1:16" ht="33.4" x14ac:dyDescent="0.3">
      <c r="A1404" s="6" t="str">
        <f>HYPERLINK("https://www.ti.com/product/UCC256404", "UCC256404")</f>
        <v>UCC256404</v>
      </c>
      <c r="B1404" s="5" t="s">
        <v>12740</v>
      </c>
      <c r="C1404" s="6" t="str">
        <f>HYPERLINK("https://www.ti.com/lit/gpn/UCC256404", "PDF")</f>
        <v>PDF</v>
      </c>
      <c r="D1404" s="5" t="s">
        <v>12741</v>
      </c>
      <c r="E1404" s="5" t="s">
        <v>12742</v>
      </c>
      <c r="F1404" s="5" t="s">
        <v>12743</v>
      </c>
      <c r="G1404" s="5" t="s">
        <v>12744</v>
      </c>
      <c r="H1404" s="1" t="s">
        <v>12745</v>
      </c>
      <c r="I1404" s="5" t="s">
        <v>12746</v>
      </c>
      <c r="J1404" s="7">
        <v>14</v>
      </c>
      <c r="K1404" s="7">
        <v>59.4</v>
      </c>
      <c r="L1404" s="5" t="s">
        <v>12747</v>
      </c>
      <c r="M1404" s="7">
        <v>1.75</v>
      </c>
      <c r="N1404" s="7">
        <v>1.27</v>
      </c>
      <c r="O1404" s="7">
        <v>0.91400000000000003</v>
      </c>
      <c r="P1404" s="1" t="s">
        <v>12748</v>
      </c>
    </row>
    <row r="1405" spans="1:16" ht="33.4" x14ac:dyDescent="0.3">
      <c r="A1405" s="6" t="str">
        <f>HYPERLINK("https://www.ti.com/product/UCC28740-Q1", "UCC28740-Q1")</f>
        <v>UCC28740-Q1</v>
      </c>
      <c r="B1405" s="5" t="s">
        <v>12749</v>
      </c>
      <c r="C1405" s="6" t="str">
        <f>HYPERLINK("https://www.ti.com/lit/gpn/UCC28740-Q1", "PDF")</f>
        <v>PDF</v>
      </c>
      <c r="D1405" s="5" t="s">
        <v>12750</v>
      </c>
      <c r="E1405" s="5" t="s">
        <v>12751</v>
      </c>
      <c r="F1405" s="5" t="s">
        <v>12752</v>
      </c>
      <c r="G1405" s="5" t="s">
        <v>12753</v>
      </c>
      <c r="H1405" s="1" t="s">
        <v>12754</v>
      </c>
      <c r="I1405" s="5" t="s">
        <v>12755</v>
      </c>
      <c r="J1405" s="7">
        <v>7</v>
      </c>
      <c r="K1405" s="7">
        <v>29.4</v>
      </c>
      <c r="L1405" s="5" t="s">
        <v>12756</v>
      </c>
      <c r="M1405" s="7">
        <v>1.75</v>
      </c>
      <c r="N1405" s="7">
        <v>1.27</v>
      </c>
      <c r="O1405" s="7">
        <v>0.56399999999999995</v>
      </c>
      <c r="P1405" s="1" t="s">
        <v>12757</v>
      </c>
    </row>
    <row r="1406" spans="1:16" ht="33.4" x14ac:dyDescent="0.3">
      <c r="A1406" s="6" t="str">
        <f>HYPERLINK("https://www.ti.com/product/LMR33610", "LMR33610")</f>
        <v>LMR33610</v>
      </c>
      <c r="B1406" s="5" t="s">
        <v>12758</v>
      </c>
      <c r="C1406" s="6" t="str">
        <f>HYPERLINK("https://www.ti.com/lit/gpn/LMR33610", "PDF")</f>
        <v>PDF</v>
      </c>
      <c r="D1406" s="5" t="s">
        <v>12759</v>
      </c>
      <c r="E1406" s="5" t="s">
        <v>12760</v>
      </c>
      <c r="F1406" s="5" t="s">
        <v>12761</v>
      </c>
      <c r="G1406" s="5" t="s">
        <v>12762</v>
      </c>
      <c r="H1406" s="1" t="s">
        <v>12763</v>
      </c>
      <c r="I1406" s="5" t="s">
        <v>12764</v>
      </c>
      <c r="J1406" s="7">
        <v>8</v>
      </c>
      <c r="K1406" s="7">
        <v>29.4</v>
      </c>
      <c r="L1406" s="5" t="s">
        <v>12765</v>
      </c>
      <c r="M1406" s="7">
        <v>1.7</v>
      </c>
      <c r="N1406" s="7">
        <v>1.27</v>
      </c>
      <c r="O1406" s="7">
        <v>0.78800000000000003</v>
      </c>
      <c r="P1406" s="1" t="s">
        <v>12766</v>
      </c>
    </row>
    <row r="1407" spans="1:16" ht="33.4" x14ac:dyDescent="0.3">
      <c r="A1407" s="6" t="str">
        <f>HYPERLINK("https://www.ti.com/product/TPS6521815", "TPS6521815")</f>
        <v>TPS6521815</v>
      </c>
      <c r="B1407" s="5" t="s">
        <v>12767</v>
      </c>
      <c r="C1407" s="6" t="str">
        <f>HYPERLINK("https://www.ti.com/lit/gpn/TPS6521815", "PDF")</f>
        <v>PDF</v>
      </c>
      <c r="D1407" s="5" t="s">
        <v>12768</v>
      </c>
      <c r="E1407" s="5" t="s">
        <v>12769</v>
      </c>
      <c r="F1407" s="5"/>
      <c r="G1407" s="5" t="s">
        <v>12770</v>
      </c>
      <c r="H1407" s="1" t="s">
        <v>12771</v>
      </c>
      <c r="I1407" s="5" t="s">
        <v>12772</v>
      </c>
      <c r="J1407" s="7">
        <v>48</v>
      </c>
      <c r="K1407" s="7">
        <v>36</v>
      </c>
      <c r="L1407" s="5" t="s">
        <v>12773</v>
      </c>
      <c r="M1407" s="7">
        <v>1</v>
      </c>
      <c r="N1407" s="7">
        <v>0.4</v>
      </c>
      <c r="O1407" s="7">
        <v>1.9159999999999999</v>
      </c>
      <c r="P1407" s="1" t="s">
        <v>12774</v>
      </c>
    </row>
    <row r="1408" spans="1:16" ht="17.05" x14ac:dyDescent="0.3">
      <c r="A1408" s="6" t="str">
        <f>HYPERLINK("https://www.ti.com/product/TPS6521825", "TPS6521825")</f>
        <v>TPS6521825</v>
      </c>
      <c r="B1408" s="5" t="s">
        <v>12775</v>
      </c>
      <c r="C1408" s="6" t="str">
        <f>HYPERLINK("https://www.ti.com/lit/gpn/TPS6521825", "PDF")</f>
        <v>PDF</v>
      </c>
      <c r="D1408" s="5" t="s">
        <v>12776</v>
      </c>
      <c r="E1408" s="5" t="s">
        <v>12777</v>
      </c>
      <c r="F1408" s="5"/>
      <c r="G1408" s="5" t="s">
        <v>12778</v>
      </c>
      <c r="H1408" s="1" t="s">
        <v>12779</v>
      </c>
      <c r="I1408" s="5" t="s">
        <v>12780</v>
      </c>
      <c r="J1408" s="7">
        <v>48</v>
      </c>
      <c r="K1408" s="7">
        <v>36</v>
      </c>
      <c r="L1408" s="5" t="s">
        <v>12781</v>
      </c>
      <c r="M1408" s="7">
        <v>1</v>
      </c>
      <c r="N1408" s="7">
        <v>0.4</v>
      </c>
      <c r="O1408" s="7">
        <v>1.3</v>
      </c>
      <c r="P1408" s="1" t="s">
        <v>12782</v>
      </c>
    </row>
    <row r="1409" spans="1:16" ht="33.4" x14ac:dyDescent="0.3">
      <c r="A1409" s="6" t="str">
        <f>HYPERLINK("https://www.ti.com/product/LM5163", "LM5163")</f>
        <v>LM5163</v>
      </c>
      <c r="B1409" s="5" t="s">
        <v>12783</v>
      </c>
      <c r="C1409" s="6" t="str">
        <f>HYPERLINK("https://www.ti.com/lit/gpn/LM5163", "PDF")</f>
        <v>PDF</v>
      </c>
      <c r="D1409" s="5" t="s">
        <v>12784</v>
      </c>
      <c r="E1409" s="5" t="s">
        <v>12785</v>
      </c>
      <c r="F1409" s="5" t="s">
        <v>12786</v>
      </c>
      <c r="G1409" s="5" t="s">
        <v>12787</v>
      </c>
      <c r="H1409" s="1" t="s">
        <v>12788</v>
      </c>
      <c r="I1409" s="5" t="s">
        <v>12789</v>
      </c>
      <c r="J1409" s="7">
        <v>8</v>
      </c>
      <c r="K1409" s="7">
        <v>29.4</v>
      </c>
      <c r="L1409" s="5" t="s">
        <v>12790</v>
      </c>
      <c r="M1409" s="7">
        <v>1.7</v>
      </c>
      <c r="N1409" s="7">
        <v>1.27</v>
      </c>
      <c r="O1409" s="7">
        <v>1.123</v>
      </c>
      <c r="P1409" s="1" t="s">
        <v>12791</v>
      </c>
    </row>
    <row r="1410" spans="1:16" ht="49.75" x14ac:dyDescent="0.3">
      <c r="A1410" s="6" t="str">
        <f>HYPERLINK("https://www.ti.com/product/TPS63810", "TPS63810")</f>
        <v>TPS63810</v>
      </c>
      <c r="B1410" s="5" t="s">
        <v>12792</v>
      </c>
      <c r="C1410" s="6" t="str">
        <f>HYPERLINK("https://www.ti.com/lit/gpn/TPS63810", "PDF")</f>
        <v>PDF</v>
      </c>
      <c r="D1410" s="5" t="s">
        <v>12793</v>
      </c>
      <c r="E1410" s="5" t="s">
        <v>12794</v>
      </c>
      <c r="F1410" s="5" t="s">
        <v>12795</v>
      </c>
      <c r="G1410" s="5" t="s">
        <v>12796</v>
      </c>
      <c r="H1410" s="1" t="s">
        <v>12797</v>
      </c>
      <c r="I1410" s="5" t="s">
        <v>12798</v>
      </c>
      <c r="J1410" s="7">
        <v>15</v>
      </c>
      <c r="K1410" s="7">
        <v>3.08</v>
      </c>
      <c r="L1410" s="5" t="s">
        <v>12799</v>
      </c>
      <c r="M1410" s="7">
        <v>0.625</v>
      </c>
      <c r="N1410" s="7">
        <v>0.4</v>
      </c>
      <c r="O1410" s="7">
        <v>1.0349999999999999</v>
      </c>
      <c r="P1410" s="1" t="s">
        <v>12800</v>
      </c>
    </row>
    <row r="1411" spans="1:16" ht="49.75" x14ac:dyDescent="0.3">
      <c r="A1411" s="6" t="str">
        <f>HYPERLINK("https://www.ti.com/product/TPS63811", "TPS63811")</f>
        <v>TPS63811</v>
      </c>
      <c r="B1411" s="5" t="s">
        <v>12801</v>
      </c>
      <c r="C1411" s="6" t="str">
        <f>HYPERLINK("https://www.ti.com/lit/gpn/TPS63811", "PDF")</f>
        <v>PDF</v>
      </c>
      <c r="D1411" s="5" t="s">
        <v>12802</v>
      </c>
      <c r="E1411" s="5" t="s">
        <v>12803</v>
      </c>
      <c r="F1411" s="5" t="s">
        <v>12804</v>
      </c>
      <c r="G1411" s="5" t="s">
        <v>12805</v>
      </c>
      <c r="H1411" s="1" t="s">
        <v>12806</v>
      </c>
      <c r="I1411" s="5" t="s">
        <v>12807</v>
      </c>
      <c r="J1411" s="7">
        <v>15</v>
      </c>
      <c r="K1411" s="7">
        <v>3.08</v>
      </c>
      <c r="L1411" s="5" t="s">
        <v>12808</v>
      </c>
      <c r="M1411" s="7">
        <v>0.625</v>
      </c>
      <c r="N1411" s="7">
        <v>0.4</v>
      </c>
      <c r="O1411" s="7">
        <v>1.0349999999999999</v>
      </c>
      <c r="P1411" s="1" t="s">
        <v>12809</v>
      </c>
    </row>
    <row r="1412" spans="1:16" ht="33.4" x14ac:dyDescent="0.3">
      <c r="A1412" s="6" t="str">
        <f>HYPERLINK("https://www.ti.com/product/TPS543C20A", "TPS543C20A")</f>
        <v>TPS543C20A</v>
      </c>
      <c r="B1412" s="5" t="s">
        <v>12810</v>
      </c>
      <c r="C1412" s="6" t="str">
        <f>HYPERLINK("https://www.ti.com/lit/gpn/TPS543C20A", "PDF")</f>
        <v>PDF</v>
      </c>
      <c r="D1412" s="5" t="s">
        <v>12811</v>
      </c>
      <c r="E1412" s="5" t="s">
        <v>12812</v>
      </c>
      <c r="F1412" s="5" t="s">
        <v>12813</v>
      </c>
      <c r="G1412" s="5" t="s">
        <v>12814</v>
      </c>
      <c r="H1412" s="1" t="s">
        <v>12815</v>
      </c>
      <c r="I1412" s="5" t="s">
        <v>12816</v>
      </c>
      <c r="J1412" s="7">
        <v>40</v>
      </c>
      <c r="K1412" s="7">
        <v>35</v>
      </c>
      <c r="L1412" s="5" t="s">
        <v>12817</v>
      </c>
      <c r="M1412" s="7">
        <v>1.52</v>
      </c>
      <c r="N1412" s="7">
        <v>0.5</v>
      </c>
      <c r="O1412" s="7">
        <v>4</v>
      </c>
      <c r="P1412" s="1" t="s">
        <v>12818</v>
      </c>
    </row>
    <row r="1413" spans="1:16" ht="33.4" x14ac:dyDescent="0.3">
      <c r="A1413" s="6" t="str">
        <f>HYPERLINK("https://www.ti.com/product/UCC23511", "UCC23511")</f>
        <v>UCC23511</v>
      </c>
      <c r="B1413" s="5" t="s">
        <v>12819</v>
      </c>
      <c r="C1413" s="6" t="str">
        <f>HYPERLINK("https://www.ti.com/lit/gpn/UCC23511", "PDF")</f>
        <v>PDF</v>
      </c>
      <c r="D1413" s="5" t="s">
        <v>12820</v>
      </c>
      <c r="E1413" s="5" t="s">
        <v>12821</v>
      </c>
      <c r="F1413" s="5"/>
      <c r="G1413" s="5" t="s">
        <v>12822</v>
      </c>
      <c r="H1413" s="1" t="s">
        <v>12823</v>
      </c>
      <c r="I1413" s="5" t="s">
        <v>12824</v>
      </c>
      <c r="J1413" s="7">
        <v>6</v>
      </c>
      <c r="K1413" s="7">
        <v>53.82</v>
      </c>
      <c r="L1413" s="5" t="s">
        <v>12825</v>
      </c>
      <c r="M1413" s="7">
        <v>3.43</v>
      </c>
      <c r="N1413" s="7">
        <v>1.27</v>
      </c>
      <c r="O1413" s="7">
        <v>0.34499999999999997</v>
      </c>
      <c r="P1413" s="1" t="s">
        <v>12826</v>
      </c>
    </row>
    <row r="1414" spans="1:16" ht="33.4" x14ac:dyDescent="0.3">
      <c r="A1414" s="6" t="str">
        <f>HYPERLINK("https://www.ti.com/product/UCC5390-Q1", "UCC5390-Q1")</f>
        <v>UCC5390-Q1</v>
      </c>
      <c r="B1414" s="5" t="s">
        <v>12827</v>
      </c>
      <c r="C1414" s="6" t="str">
        <f>HYPERLINK("https://www.ti.com/lit/gpn/UCC5390-Q1", "PDF")</f>
        <v>PDF</v>
      </c>
      <c r="D1414" s="5" t="s">
        <v>12828</v>
      </c>
      <c r="E1414" s="5" t="s">
        <v>12829</v>
      </c>
      <c r="F1414" s="5"/>
      <c r="G1414" s="5" t="s">
        <v>12830</v>
      </c>
      <c r="H1414" s="1" t="s">
        <v>12831</v>
      </c>
      <c r="I1414" s="5" t="s">
        <v>12832</v>
      </c>
      <c r="J1414" s="7">
        <v>8</v>
      </c>
      <c r="K1414" s="7">
        <v>67.275000000000006</v>
      </c>
      <c r="L1414" s="5" t="s">
        <v>12833</v>
      </c>
      <c r="M1414" s="7">
        <v>2.8</v>
      </c>
      <c r="N1414" s="7">
        <v>1.27</v>
      </c>
      <c r="O1414" s="7">
        <v>1.2569999999999999</v>
      </c>
      <c r="P1414" s="1" t="s">
        <v>12834</v>
      </c>
    </row>
    <row r="1415" spans="1:16" ht="33.4" x14ac:dyDescent="0.3">
      <c r="A1415" s="6" t="str">
        <f>HYPERLINK("https://www.ti.com/product/LM63615-Q1", "LM63615-Q1")</f>
        <v>LM63615-Q1</v>
      </c>
      <c r="B1415" s="5" t="s">
        <v>12835</v>
      </c>
      <c r="C1415" s="6" t="str">
        <f>HYPERLINK("https://www.ti.com/lit/gpn/LM63615-Q1", "PDF")</f>
        <v>PDF</v>
      </c>
      <c r="D1415" s="5" t="s">
        <v>12836</v>
      </c>
      <c r="E1415" s="5" t="s">
        <v>12837</v>
      </c>
      <c r="F1415" s="5" t="s">
        <v>12838</v>
      </c>
      <c r="G1415" s="5" t="s">
        <v>12839</v>
      </c>
      <c r="H1415" s="1" t="s">
        <v>12840</v>
      </c>
      <c r="I1415" s="5" t="s">
        <v>12841</v>
      </c>
      <c r="J1415" s="7" t="s">
        <v>12842</v>
      </c>
      <c r="K1415" s="7" t="s">
        <v>12843</v>
      </c>
      <c r="L1415" s="5" t="s">
        <v>12844</v>
      </c>
      <c r="M1415" s="7" t="s">
        <v>12845</v>
      </c>
      <c r="N1415" s="7" t="s">
        <v>12846</v>
      </c>
      <c r="O1415" s="7">
        <v>1.425</v>
      </c>
      <c r="P1415" s="1" t="s">
        <v>12847</v>
      </c>
    </row>
    <row r="1416" spans="1:16" ht="33.4" x14ac:dyDescent="0.3">
      <c r="A1416" s="6" t="str">
        <f>HYPERLINK("https://www.ti.com/product/LM63625-Q1", "LM63625-Q1")</f>
        <v>LM63625-Q1</v>
      </c>
      <c r="B1416" s="5" t="s">
        <v>12848</v>
      </c>
      <c r="C1416" s="6" t="str">
        <f>HYPERLINK("https://www.ti.com/lit/gpn/LM63625-Q1", "PDF")</f>
        <v>PDF</v>
      </c>
      <c r="D1416" s="5" t="s">
        <v>12849</v>
      </c>
      <c r="E1416" s="5" t="s">
        <v>12850</v>
      </c>
      <c r="F1416" s="5" t="s">
        <v>12851</v>
      </c>
      <c r="G1416" s="5" t="s">
        <v>12852</v>
      </c>
      <c r="H1416" s="1" t="s">
        <v>12853</v>
      </c>
      <c r="I1416" s="5" t="s">
        <v>12854</v>
      </c>
      <c r="J1416" s="7" t="s">
        <v>12855</v>
      </c>
      <c r="K1416" s="7" t="s">
        <v>12856</v>
      </c>
      <c r="L1416" s="5" t="s">
        <v>12857</v>
      </c>
      <c r="M1416" s="7" t="s">
        <v>12858</v>
      </c>
      <c r="N1416" s="7" t="s">
        <v>12859</v>
      </c>
      <c r="O1416" s="7">
        <v>1.5249999999999999</v>
      </c>
      <c r="P1416" s="1" t="s">
        <v>12860</v>
      </c>
    </row>
    <row r="1417" spans="1:16" ht="33.4" x14ac:dyDescent="0.3">
      <c r="A1417" s="6" t="str">
        <f>HYPERLINK("https://www.ti.com/product/TPS63802", "TPS63802")</f>
        <v>TPS63802</v>
      </c>
      <c r="B1417" s="5" t="s">
        <v>12861</v>
      </c>
      <c r="C1417" s="6" t="str">
        <f>HYPERLINK("https://www.ti.com/lit/gpn/TPS63802", "PDF")</f>
        <v>PDF</v>
      </c>
      <c r="D1417" s="5" t="s">
        <v>12862</v>
      </c>
      <c r="E1417" s="5" t="s">
        <v>12863</v>
      </c>
      <c r="F1417" s="5" t="s">
        <v>12864</v>
      </c>
      <c r="G1417" s="5" t="s">
        <v>12865</v>
      </c>
      <c r="H1417" s="1" t="s">
        <v>12866</v>
      </c>
      <c r="I1417" s="5" t="s">
        <v>12867</v>
      </c>
      <c r="J1417" s="7">
        <v>10</v>
      </c>
      <c r="K1417" s="7">
        <v>6</v>
      </c>
      <c r="L1417" s="5" t="s">
        <v>12868</v>
      </c>
      <c r="M1417" s="7">
        <v>1</v>
      </c>
      <c r="N1417" s="7">
        <v>0.5</v>
      </c>
      <c r="O1417" s="7">
        <v>1.05</v>
      </c>
      <c r="P1417" s="1" t="s">
        <v>12869</v>
      </c>
    </row>
    <row r="1418" spans="1:16" ht="33.4" x14ac:dyDescent="0.3">
      <c r="A1418" s="6" t="str">
        <f>HYPERLINK("https://www.ti.com/product/LM5143-Q1", "LM5143-Q1")</f>
        <v>LM5143-Q1</v>
      </c>
      <c r="B1418" s="5" t="s">
        <v>12870</v>
      </c>
      <c r="C1418" s="6" t="str">
        <f>HYPERLINK("https://www.ti.com/lit/gpn/LM5143-Q1", "PDF")</f>
        <v>PDF</v>
      </c>
      <c r="D1418" s="5" t="s">
        <v>12871</v>
      </c>
      <c r="E1418" s="5" t="s">
        <v>12872</v>
      </c>
      <c r="F1418" s="5" t="s">
        <v>12873</v>
      </c>
      <c r="G1418" s="5" t="s">
        <v>12874</v>
      </c>
      <c r="H1418" s="1" t="s">
        <v>12875</v>
      </c>
      <c r="I1418" s="5" t="s">
        <v>12876</v>
      </c>
      <c r="J1418" s="7">
        <v>40</v>
      </c>
      <c r="K1418" s="7">
        <v>36</v>
      </c>
      <c r="L1418" s="5" t="s">
        <v>12877</v>
      </c>
      <c r="M1418" s="7">
        <v>0.9</v>
      </c>
      <c r="N1418" s="7">
        <v>0.5</v>
      </c>
      <c r="O1418" s="7">
        <v>6.556</v>
      </c>
      <c r="P1418" s="1" t="s">
        <v>12878</v>
      </c>
    </row>
    <row r="1419" spans="1:16" ht="33.4" x14ac:dyDescent="0.3">
      <c r="A1419" s="6" t="str">
        <f>HYPERLINK("https://www.ti.com/product/LP3470A", "LP3470A")</f>
        <v>LP3470A</v>
      </c>
      <c r="B1419" s="5" t="s">
        <v>12879</v>
      </c>
      <c r="C1419" s="6" t="str">
        <f>HYPERLINK("https://www.ti.com/lit/gpn/LP3470A", "PDF")</f>
        <v>PDF</v>
      </c>
      <c r="D1419" s="5" t="s">
        <v>12880</v>
      </c>
      <c r="E1419" s="5" t="s">
        <v>12881</v>
      </c>
      <c r="F1419" s="5"/>
      <c r="G1419" s="5" t="s">
        <v>12882</v>
      </c>
      <c r="H1419" s="1" t="s">
        <v>12883</v>
      </c>
      <c r="I1419" s="5" t="s">
        <v>12884</v>
      </c>
      <c r="J1419" s="7">
        <v>5</v>
      </c>
      <c r="K1419" s="7">
        <v>8.1199999999999992</v>
      </c>
      <c r="L1419" s="5" t="s">
        <v>12885</v>
      </c>
      <c r="M1419" s="7">
        <v>1.45</v>
      </c>
      <c r="N1419" s="7">
        <v>0.95</v>
      </c>
      <c r="O1419" s="7">
        <v>0.63</v>
      </c>
      <c r="P1419" s="1" t="s">
        <v>12886</v>
      </c>
    </row>
    <row r="1420" spans="1:16" ht="33.4" x14ac:dyDescent="0.3">
      <c r="A1420" s="6" t="str">
        <f>HYPERLINK("https://www.ti.com/product/TPS746-Q1", "TPS746-Q1")</f>
        <v>TPS746-Q1</v>
      </c>
      <c r="B1420" s="5" t="s">
        <v>12887</v>
      </c>
      <c r="C1420" s="6" t="str">
        <f>HYPERLINK("https://www.ti.com/lit/gpn/TPS746-Q1", "PDF")</f>
        <v>PDF</v>
      </c>
      <c r="D1420" s="5" t="s">
        <v>12888</v>
      </c>
      <c r="E1420" s="5" t="s">
        <v>12889</v>
      </c>
      <c r="F1420" s="5"/>
      <c r="G1420" s="5" t="s">
        <v>12890</v>
      </c>
      <c r="H1420" s="1" t="s">
        <v>12891</v>
      </c>
      <c r="I1420" s="5" t="s">
        <v>12892</v>
      </c>
      <c r="J1420" s="7" t="s">
        <v>12893</v>
      </c>
      <c r="K1420" s="7" t="s">
        <v>12894</v>
      </c>
      <c r="L1420" s="5" t="s">
        <v>12895</v>
      </c>
      <c r="M1420" s="7" t="s">
        <v>12896</v>
      </c>
      <c r="N1420" s="7">
        <v>0.65</v>
      </c>
      <c r="O1420" s="7">
        <v>0.39700000000000002</v>
      </c>
      <c r="P1420" s="1" t="s">
        <v>12897</v>
      </c>
    </row>
    <row r="1421" spans="1:16" ht="17.05" x14ac:dyDescent="0.3">
      <c r="A1421" s="6" t="str">
        <f>HYPERLINK("https://www.ti.com/product/TPS22948", "TPS22948")</f>
        <v>TPS22948</v>
      </c>
      <c r="B1421" s="5" t="s">
        <v>12898</v>
      </c>
      <c r="C1421" s="6" t="str">
        <f>HYPERLINK("https://www.ti.com/lit/gpn/TPS22948", "PDF")</f>
        <v>PDF</v>
      </c>
      <c r="D1421" s="5" t="s">
        <v>12899</v>
      </c>
      <c r="E1421" s="5" t="s">
        <v>12900</v>
      </c>
      <c r="F1421" s="5"/>
      <c r="G1421" s="5" t="s">
        <v>12901</v>
      </c>
      <c r="H1421" s="1" t="s">
        <v>12902</v>
      </c>
      <c r="I1421" s="5" t="s">
        <v>12903</v>
      </c>
      <c r="J1421" s="7">
        <v>6</v>
      </c>
      <c r="K1421" s="7">
        <v>4.2</v>
      </c>
      <c r="L1421" s="5" t="s">
        <v>12904</v>
      </c>
      <c r="M1421" s="7">
        <v>1.1000000000000001</v>
      </c>
      <c r="N1421" s="7">
        <v>0.65</v>
      </c>
      <c r="O1421" s="7">
        <v>0.115</v>
      </c>
      <c r="P1421" s="1" t="s">
        <v>12905</v>
      </c>
    </row>
    <row r="1422" spans="1:16" ht="33.4" x14ac:dyDescent="0.3">
      <c r="A1422" s="6" t="str">
        <f>HYPERLINK("https://www.ti.com/product/TPS56C230", "TPS56C230")</f>
        <v>TPS56C230</v>
      </c>
      <c r="B1422" s="5" t="s">
        <v>12906</v>
      </c>
      <c r="C1422" s="6" t="str">
        <f>HYPERLINK("https://www.ti.com/lit/gpn/TPS56C230", "PDF")</f>
        <v>PDF</v>
      </c>
      <c r="D1422" s="5" t="s">
        <v>12907</v>
      </c>
      <c r="E1422" s="5" t="s">
        <v>12908</v>
      </c>
      <c r="F1422" s="5" t="s">
        <v>12909</v>
      </c>
      <c r="G1422" s="5" t="s">
        <v>12910</v>
      </c>
      <c r="H1422" s="1" t="s">
        <v>12911</v>
      </c>
      <c r="I1422" s="5" t="s">
        <v>12912</v>
      </c>
      <c r="J1422" s="7">
        <v>20</v>
      </c>
      <c r="K1422" s="7">
        <v>9</v>
      </c>
      <c r="L1422" s="5" t="s">
        <v>12913</v>
      </c>
      <c r="M1422" s="7">
        <v>1</v>
      </c>
      <c r="N1422" s="7">
        <v>0.5</v>
      </c>
      <c r="O1422" s="7">
        <v>1.125</v>
      </c>
      <c r="P1422" s="1" t="s">
        <v>12914</v>
      </c>
    </row>
    <row r="1423" spans="1:16" ht="33.4" x14ac:dyDescent="0.3">
      <c r="A1423" s="6" t="str">
        <f>HYPERLINK("https://www.ti.com/product/TPS56637", "TPS56637")</f>
        <v>TPS56637</v>
      </c>
      <c r="B1423" s="5" t="s">
        <v>12915</v>
      </c>
      <c r="C1423" s="6" t="str">
        <f>HYPERLINK("https://www.ti.com/lit/gpn/TPS56637", "PDF")</f>
        <v>PDF</v>
      </c>
      <c r="D1423" s="5" t="s">
        <v>12916</v>
      </c>
      <c r="E1423" s="5" t="s">
        <v>12917</v>
      </c>
      <c r="F1423" s="5" t="s">
        <v>12918</v>
      </c>
      <c r="G1423" s="5" t="s">
        <v>12919</v>
      </c>
      <c r="H1423" s="1" t="s">
        <v>12920</v>
      </c>
      <c r="I1423" s="5" t="s">
        <v>12921</v>
      </c>
      <c r="J1423" s="7">
        <v>10</v>
      </c>
      <c r="K1423" s="7">
        <v>9</v>
      </c>
      <c r="L1423" s="5" t="s">
        <v>12922</v>
      </c>
      <c r="M1423" s="7">
        <v>1</v>
      </c>
      <c r="N1423" s="7">
        <v>0.5</v>
      </c>
      <c r="O1423" s="7">
        <v>1</v>
      </c>
      <c r="P1423" s="1" t="s">
        <v>12923</v>
      </c>
    </row>
    <row r="1424" spans="1:16" ht="17.05" x14ac:dyDescent="0.3">
      <c r="A1424" s="6" t="str">
        <f>HYPERLINK("https://www.ti.com/product/LP8733", "LP8733")</f>
        <v>LP8733</v>
      </c>
      <c r="B1424" s="5" t="s">
        <v>12924</v>
      </c>
      <c r="C1424" s="6" t="str">
        <f>HYPERLINK("https://www.ti.com/lit/gpn/LP8733", "PDF")</f>
        <v>PDF</v>
      </c>
      <c r="D1424" s="5" t="s">
        <v>12925</v>
      </c>
      <c r="E1424" s="5" t="s">
        <v>12926</v>
      </c>
      <c r="F1424" s="5"/>
      <c r="G1424" s="5" t="s">
        <v>12927</v>
      </c>
      <c r="H1424" s="1" t="s">
        <v>12928</v>
      </c>
      <c r="I1424" s="5" t="s">
        <v>12929</v>
      </c>
      <c r="J1424" s="7">
        <v>28</v>
      </c>
      <c r="K1424" s="7">
        <v>25</v>
      </c>
      <c r="L1424" s="5" t="s">
        <v>12930</v>
      </c>
      <c r="M1424" s="7">
        <v>1</v>
      </c>
      <c r="N1424" s="7">
        <v>0.5</v>
      </c>
      <c r="O1424" s="7">
        <v>1.123</v>
      </c>
      <c r="P1424" s="1" t="s">
        <v>12931</v>
      </c>
    </row>
    <row r="1425" spans="1:16" ht="33.4" x14ac:dyDescent="0.3">
      <c r="A1425" s="6" t="str">
        <f>HYPERLINK("https://www.ti.com/product/TPS7A78", "TPS7A78")</f>
        <v>TPS7A78</v>
      </c>
      <c r="B1425" s="5" t="s">
        <v>12932</v>
      </c>
      <c r="C1425" s="6" t="str">
        <f>HYPERLINK("https://www.ti.com/lit/gpn/TPS7A78", "PDF")</f>
        <v>PDF</v>
      </c>
      <c r="D1425" s="5" t="s">
        <v>12933</v>
      </c>
      <c r="E1425" s="5" t="s">
        <v>12934</v>
      </c>
      <c r="F1425" s="5"/>
      <c r="G1425" s="5" t="s">
        <v>12935</v>
      </c>
      <c r="H1425" s="1" t="s">
        <v>12936</v>
      </c>
      <c r="I1425" s="5" t="s">
        <v>12937</v>
      </c>
      <c r="J1425" s="7">
        <v>14</v>
      </c>
      <c r="K1425" s="7">
        <v>32</v>
      </c>
      <c r="L1425" s="5" t="s">
        <v>12938</v>
      </c>
      <c r="M1425" s="7">
        <v>1.2</v>
      </c>
      <c r="N1425" s="7">
        <v>0.65</v>
      </c>
      <c r="O1425" s="7">
        <v>1.0629999999999999</v>
      </c>
      <c r="P1425" s="1" t="s">
        <v>12939</v>
      </c>
    </row>
    <row r="1426" spans="1:16" ht="33.4" x14ac:dyDescent="0.3">
      <c r="A1426" s="6" t="str">
        <f>HYPERLINK("https://www.ti.com/product/UCC20225A-Q1", "UCC20225A-Q1")</f>
        <v>UCC20225A-Q1</v>
      </c>
      <c r="B1426" s="5" t="s">
        <v>12940</v>
      </c>
      <c r="C1426" s="6" t="str">
        <f>HYPERLINK("https://www.ti.com/lit/gpn/UCC20225A-Q1", "PDF")</f>
        <v>PDF</v>
      </c>
      <c r="D1426" s="5" t="s">
        <v>12941</v>
      </c>
      <c r="E1426" s="5" t="s">
        <v>12942</v>
      </c>
      <c r="F1426" s="5"/>
      <c r="G1426" s="5" t="s">
        <v>12943</v>
      </c>
      <c r="H1426" s="1" t="s">
        <v>12944</v>
      </c>
      <c r="I1426" s="5" t="s">
        <v>12945</v>
      </c>
      <c r="J1426" s="7">
        <v>13</v>
      </c>
      <c r="K1426" s="7">
        <v>25</v>
      </c>
      <c r="L1426" s="5" t="s">
        <v>12946</v>
      </c>
      <c r="M1426" s="7">
        <v>1</v>
      </c>
      <c r="N1426" s="7">
        <v>0.65</v>
      </c>
      <c r="O1426" s="7">
        <v>2.2130000000000001</v>
      </c>
      <c r="P1426" s="1" t="s">
        <v>12947</v>
      </c>
    </row>
    <row r="1427" spans="1:16" ht="33.4" x14ac:dyDescent="0.3">
      <c r="A1427" s="6" t="str">
        <f>HYPERLINK("https://www.ti.com/product/TPS25830-Q1", "TPS25830-Q1")</f>
        <v>TPS25830-Q1</v>
      </c>
      <c r="B1427" s="5" t="s">
        <v>12948</v>
      </c>
      <c r="C1427" s="6" t="str">
        <f>HYPERLINK("https://www.ti.com/lit/gpn/TPS25830-Q1", "PDF")</f>
        <v>PDF</v>
      </c>
      <c r="D1427" s="5" t="s">
        <v>12949</v>
      </c>
      <c r="E1427" s="5" t="s">
        <v>12950</v>
      </c>
      <c r="F1427" s="5"/>
      <c r="G1427" s="5" t="s">
        <v>12951</v>
      </c>
      <c r="H1427" s="1" t="s">
        <v>12952</v>
      </c>
      <c r="I1427" s="5" t="s">
        <v>12953</v>
      </c>
      <c r="J1427" s="7">
        <v>32</v>
      </c>
      <c r="K1427" s="7">
        <v>25</v>
      </c>
      <c r="L1427" s="5" t="s">
        <v>12954</v>
      </c>
      <c r="M1427" s="7">
        <v>1</v>
      </c>
      <c r="N1427" s="7">
        <v>0.5</v>
      </c>
      <c r="O1427" s="7">
        <v>2.0699999999999998</v>
      </c>
      <c r="P1427" s="1" t="s">
        <v>12955</v>
      </c>
    </row>
    <row r="1428" spans="1:16" ht="33.4" x14ac:dyDescent="0.3">
      <c r="A1428" s="6" t="str">
        <f>HYPERLINK("https://www.ti.com/product/TPS25832-Q1", "TPS25832-Q1")</f>
        <v>TPS25832-Q1</v>
      </c>
      <c r="B1428" s="5" t="s">
        <v>12956</v>
      </c>
      <c r="C1428" s="6" t="str">
        <f>HYPERLINK("https://www.ti.com/lit/gpn/TPS25832-Q1", "PDF")</f>
        <v>PDF</v>
      </c>
      <c r="D1428" s="5" t="s">
        <v>12957</v>
      </c>
      <c r="E1428" s="5" t="s">
        <v>12958</v>
      </c>
      <c r="F1428" s="5"/>
      <c r="G1428" s="5" t="s">
        <v>12959</v>
      </c>
      <c r="H1428" s="1" t="s">
        <v>12960</v>
      </c>
      <c r="I1428" s="5" t="s">
        <v>12961</v>
      </c>
      <c r="J1428" s="7">
        <v>32</v>
      </c>
      <c r="K1428" s="7">
        <v>25</v>
      </c>
      <c r="L1428" s="5" t="s">
        <v>12962</v>
      </c>
      <c r="M1428" s="7">
        <v>1</v>
      </c>
      <c r="N1428" s="7">
        <v>0.5</v>
      </c>
      <c r="O1428" s="7">
        <v>2</v>
      </c>
      <c r="P1428" s="1" t="s">
        <v>12963</v>
      </c>
    </row>
    <row r="1429" spans="1:16" ht="33.4" x14ac:dyDescent="0.3">
      <c r="A1429" s="6" t="str">
        <f>HYPERLINK("https://www.ti.com/product/TPS25840-Q1", "TPS25840-Q1")</f>
        <v>TPS25840-Q1</v>
      </c>
      <c r="B1429" s="5" t="s">
        <v>12964</v>
      </c>
      <c r="C1429" s="6" t="str">
        <f>HYPERLINK("https://www.ti.com/lit/gpn/TPS25840-Q1", "PDF")</f>
        <v>PDF</v>
      </c>
      <c r="D1429" s="5" t="s">
        <v>12965</v>
      </c>
      <c r="E1429" s="5" t="s">
        <v>12966</v>
      </c>
      <c r="F1429" s="5"/>
      <c r="G1429" s="5" t="s">
        <v>12967</v>
      </c>
      <c r="H1429" s="1" t="s">
        <v>12968</v>
      </c>
      <c r="I1429" s="5" t="s">
        <v>12969</v>
      </c>
      <c r="J1429" s="7">
        <v>32</v>
      </c>
      <c r="K1429" s="7">
        <v>25</v>
      </c>
      <c r="L1429" s="5" t="s">
        <v>12970</v>
      </c>
      <c r="M1429" s="7">
        <v>1</v>
      </c>
      <c r="N1429" s="7">
        <v>0.5</v>
      </c>
      <c r="O1429" s="7">
        <v>1.9550000000000001</v>
      </c>
      <c r="P1429" s="1" t="s">
        <v>12971</v>
      </c>
    </row>
    <row r="1430" spans="1:16" ht="33.4" x14ac:dyDescent="0.3">
      <c r="A1430" s="6" t="str">
        <f>HYPERLINK("https://www.ti.com/product/TPS25842-Q1", "TPS25842-Q1")</f>
        <v>TPS25842-Q1</v>
      </c>
      <c r="B1430" s="5" t="s">
        <v>12972</v>
      </c>
      <c r="C1430" s="6" t="str">
        <f>HYPERLINK("https://www.ti.com/lit/gpn/TPS25842-Q1", "PDF")</f>
        <v>PDF</v>
      </c>
      <c r="D1430" s="5" t="s">
        <v>12973</v>
      </c>
      <c r="E1430" s="5" t="s">
        <v>12974</v>
      </c>
      <c r="F1430" s="5"/>
      <c r="G1430" s="5" t="s">
        <v>12975</v>
      </c>
      <c r="H1430" s="1" t="s">
        <v>12976</v>
      </c>
      <c r="I1430" s="5" t="s">
        <v>12977</v>
      </c>
      <c r="J1430" s="7">
        <v>32</v>
      </c>
      <c r="K1430" s="7">
        <v>25</v>
      </c>
      <c r="L1430" s="5" t="s">
        <v>12978</v>
      </c>
      <c r="M1430" s="7">
        <v>1</v>
      </c>
      <c r="N1430" s="7">
        <v>0.5</v>
      </c>
      <c r="O1430" s="7">
        <v>2.0249999999999999</v>
      </c>
      <c r="P1430" s="1" t="s">
        <v>12979</v>
      </c>
    </row>
    <row r="1431" spans="1:16" ht="33.4" x14ac:dyDescent="0.3">
      <c r="A1431" s="6" t="str">
        <f>HYPERLINK("https://www.ti.com/product/TPS65296", "TPS65296")</f>
        <v>TPS65296</v>
      </c>
      <c r="B1431" s="5" t="s">
        <v>12980</v>
      </c>
      <c r="C1431" s="6" t="str">
        <f>HYPERLINK("https://www.ti.com/lit/gpn/TPS65296", "PDF")</f>
        <v>PDF</v>
      </c>
      <c r="D1431" s="5" t="s">
        <v>12981</v>
      </c>
      <c r="E1431" s="5" t="s">
        <v>12982</v>
      </c>
      <c r="F1431" s="5"/>
      <c r="G1431" s="5" t="s">
        <v>12983</v>
      </c>
      <c r="H1431" s="1" t="s">
        <v>12984</v>
      </c>
      <c r="I1431" s="5" t="s">
        <v>12985</v>
      </c>
      <c r="J1431" s="7">
        <v>18</v>
      </c>
      <c r="K1431" s="7">
        <v>9</v>
      </c>
      <c r="L1431" s="5" t="s">
        <v>12986</v>
      </c>
      <c r="M1431" s="7">
        <v>1</v>
      </c>
      <c r="N1431" s="7">
        <v>0.5</v>
      </c>
      <c r="O1431" s="7">
        <v>2.0009999999999999</v>
      </c>
      <c r="P1431" s="1" t="s">
        <v>12987</v>
      </c>
    </row>
    <row r="1432" spans="1:16" ht="33.4" x14ac:dyDescent="0.3">
      <c r="A1432" s="6" t="str">
        <f>HYPERLINK("https://www.ti.com/product/TPS3870-Q1", "TPS3870-Q1")</f>
        <v>TPS3870-Q1</v>
      </c>
      <c r="B1432" s="5" t="s">
        <v>12988</v>
      </c>
      <c r="C1432" s="6" t="str">
        <f>HYPERLINK("https://www.ti.com/lit/gpn/TPS3870-Q1", "PDF")</f>
        <v>PDF</v>
      </c>
      <c r="D1432" s="5" t="s">
        <v>12989</v>
      </c>
      <c r="E1432" s="5" t="s">
        <v>12990</v>
      </c>
      <c r="F1432" s="5"/>
      <c r="G1432" s="5" t="s">
        <v>12991</v>
      </c>
      <c r="H1432" s="1" t="s">
        <v>12992</v>
      </c>
      <c r="I1432" s="5" t="s">
        <v>12993</v>
      </c>
      <c r="J1432" s="7">
        <v>6</v>
      </c>
      <c r="K1432" s="7">
        <v>2.25</v>
      </c>
      <c r="L1432" s="5" t="s">
        <v>12994</v>
      </c>
      <c r="M1432" s="7">
        <v>0.8</v>
      </c>
      <c r="N1432" s="7">
        <v>0.5</v>
      </c>
      <c r="O1432" s="7">
        <v>0.73599999999999999</v>
      </c>
      <c r="P1432" s="1" t="s">
        <v>12995</v>
      </c>
    </row>
    <row r="1433" spans="1:16" ht="33.4" x14ac:dyDescent="0.3">
      <c r="A1433" s="6" t="str">
        <f>HYPERLINK("https://www.ti.com/product/UCC23313", "UCC23313")</f>
        <v>UCC23313</v>
      </c>
      <c r="B1433" s="5" t="s">
        <v>12996</v>
      </c>
      <c r="C1433" s="6" t="str">
        <f>HYPERLINK("https://www.ti.com/lit/gpn/UCC23313", "PDF")</f>
        <v>PDF</v>
      </c>
      <c r="D1433" s="5" t="s">
        <v>12997</v>
      </c>
      <c r="E1433" s="5" t="s">
        <v>12998</v>
      </c>
      <c r="F1433" s="5"/>
      <c r="G1433" s="5" t="s">
        <v>12999</v>
      </c>
      <c r="H1433" s="1" t="s">
        <v>13000</v>
      </c>
      <c r="I1433" s="5" t="s">
        <v>13001</v>
      </c>
      <c r="J1433" s="7">
        <v>6</v>
      </c>
      <c r="K1433" s="7">
        <v>53.82</v>
      </c>
      <c r="L1433" s="5" t="s">
        <v>13002</v>
      </c>
      <c r="M1433" s="7">
        <v>3.43</v>
      </c>
      <c r="N1433" s="7">
        <v>1.27</v>
      </c>
      <c r="O1433" s="7">
        <v>0.253</v>
      </c>
      <c r="P1433" s="1" t="s">
        <v>13003</v>
      </c>
    </row>
    <row r="1434" spans="1:16" ht="33.4" x14ac:dyDescent="0.3">
      <c r="A1434" s="6" t="str">
        <f>HYPERLINK("https://www.ti.com/product/TPS23882", "TPS23882")</f>
        <v>TPS23882</v>
      </c>
      <c r="B1434" s="5" t="s">
        <v>13004</v>
      </c>
      <c r="C1434" s="6" t="str">
        <f>HYPERLINK("https://www.ti.com/lit/gpn/TPS23882", "PDF")</f>
        <v>PDF</v>
      </c>
      <c r="D1434" s="5" t="s">
        <v>13005</v>
      </c>
      <c r="E1434" s="5" t="s">
        <v>13006</v>
      </c>
      <c r="F1434" s="5"/>
      <c r="G1434" s="5" t="s">
        <v>13007</v>
      </c>
      <c r="H1434" s="1" t="s">
        <v>13008</v>
      </c>
      <c r="I1434" s="5" t="s">
        <v>13009</v>
      </c>
      <c r="J1434" s="7">
        <v>56</v>
      </c>
      <c r="K1434" s="7">
        <v>64</v>
      </c>
      <c r="L1434" s="5" t="s">
        <v>13010</v>
      </c>
      <c r="M1434" s="7">
        <v>1</v>
      </c>
      <c r="N1434" s="7">
        <v>0.5</v>
      </c>
      <c r="O1434" s="7">
        <v>2.8319999999999999</v>
      </c>
      <c r="P1434" s="1" t="s">
        <v>13011</v>
      </c>
    </row>
    <row r="1435" spans="1:16" ht="33.4" x14ac:dyDescent="0.3">
      <c r="A1435" s="6" t="str">
        <f>HYPERLINK("https://www.ti.com/product/UCC21540A", "UCC21540A")</f>
        <v>UCC21540A</v>
      </c>
      <c r="B1435" s="5" t="s">
        <v>13012</v>
      </c>
      <c r="C1435" s="6" t="str">
        <f>HYPERLINK("https://www.ti.com/lit/gpn/UCC21540A", "PDF")</f>
        <v>PDF</v>
      </c>
      <c r="D1435" s="5" t="s">
        <v>13013</v>
      </c>
      <c r="E1435" s="5" t="s">
        <v>13014</v>
      </c>
      <c r="F1435" s="5"/>
      <c r="G1435" s="5" t="s">
        <v>13015</v>
      </c>
      <c r="H1435" s="1" t="s">
        <v>13016</v>
      </c>
      <c r="I1435" s="5" t="s">
        <v>13017</v>
      </c>
      <c r="J1435" s="7" t="s">
        <v>13018</v>
      </c>
      <c r="K1435" s="7">
        <v>106.09</v>
      </c>
      <c r="L1435" s="5" t="s">
        <v>13019</v>
      </c>
      <c r="M1435" s="7">
        <v>2.65</v>
      </c>
      <c r="N1435" s="7">
        <v>1.27</v>
      </c>
      <c r="O1435" s="7">
        <v>0.73299999999999998</v>
      </c>
      <c r="P1435" s="1" t="s">
        <v>13020</v>
      </c>
    </row>
    <row r="1436" spans="1:16" ht="33.4" x14ac:dyDescent="0.3">
      <c r="A1436" s="6" t="str">
        <f>HYPERLINK("https://www.ti.com/product/LM74202-Q1", "LM74202-Q1")</f>
        <v>LM74202-Q1</v>
      </c>
      <c r="B1436" s="5" t="s">
        <v>13021</v>
      </c>
      <c r="C1436" s="6" t="str">
        <f>HYPERLINK("https://www.ti.com/lit/gpn/LM74202-Q1", "PDF")</f>
        <v>PDF</v>
      </c>
      <c r="D1436" s="5" t="s">
        <v>13022</v>
      </c>
      <c r="E1436" s="5" t="s">
        <v>13023</v>
      </c>
      <c r="F1436" s="5"/>
      <c r="G1436" s="5" t="s">
        <v>13024</v>
      </c>
      <c r="H1436" s="1" t="s">
        <v>13025</v>
      </c>
      <c r="I1436" s="5" t="s">
        <v>13026</v>
      </c>
      <c r="J1436" s="7">
        <v>16</v>
      </c>
      <c r="K1436" s="7">
        <v>32</v>
      </c>
      <c r="L1436" s="5" t="s">
        <v>13027</v>
      </c>
      <c r="M1436" s="7">
        <v>1.2</v>
      </c>
      <c r="N1436" s="7">
        <v>0.65</v>
      </c>
      <c r="O1436" s="7">
        <v>1.0089999999999999</v>
      </c>
      <c r="P1436" s="1" t="s">
        <v>13028</v>
      </c>
    </row>
    <row r="1437" spans="1:16" ht="33.4" x14ac:dyDescent="0.3">
      <c r="A1437" s="6" t="str">
        <f>HYPERLINK("https://www.ti.com/product/LM76202-Q1", "LM76202-Q1")</f>
        <v>LM76202-Q1</v>
      </c>
      <c r="B1437" s="5" t="s">
        <v>13029</v>
      </c>
      <c r="C1437" s="6" t="str">
        <f>HYPERLINK("https://www.ti.com/lit/gpn/LM76202-Q1", "PDF")</f>
        <v>PDF</v>
      </c>
      <c r="D1437" s="5" t="s">
        <v>13030</v>
      </c>
      <c r="E1437" s="5" t="s">
        <v>13031</v>
      </c>
      <c r="F1437" s="5"/>
      <c r="G1437" s="5" t="s">
        <v>13032</v>
      </c>
      <c r="H1437" s="1" t="s">
        <v>13033</v>
      </c>
      <c r="I1437" s="5" t="s">
        <v>13034</v>
      </c>
      <c r="J1437" s="7">
        <v>16</v>
      </c>
      <c r="K1437" s="7">
        <v>32</v>
      </c>
      <c r="L1437" s="5" t="s">
        <v>13035</v>
      </c>
      <c r="M1437" s="7">
        <v>1.2</v>
      </c>
      <c r="N1437" s="7">
        <v>0.65</v>
      </c>
      <c r="O1437" s="7">
        <v>1.0820000000000001</v>
      </c>
      <c r="P1437" s="1" t="s">
        <v>13036</v>
      </c>
    </row>
    <row r="1438" spans="1:16" ht="33.4" x14ac:dyDescent="0.3">
      <c r="A1438" s="6" t="str">
        <f>HYPERLINK("https://www.ti.com/product/TPS3840-Q1", "TPS3840-Q1")</f>
        <v>TPS3840-Q1</v>
      </c>
      <c r="B1438" s="5" t="s">
        <v>13037</v>
      </c>
      <c r="C1438" s="6" t="str">
        <f>HYPERLINK("https://www.ti.com/lit/gpn/TPS3840-Q1", "PDF")</f>
        <v>PDF</v>
      </c>
      <c r="D1438" s="5" t="s">
        <v>13038</v>
      </c>
      <c r="E1438" s="5" t="s">
        <v>13039</v>
      </c>
      <c r="F1438" s="5"/>
      <c r="G1438" s="5" t="s">
        <v>13040</v>
      </c>
      <c r="H1438" s="1" t="s">
        <v>13041</v>
      </c>
      <c r="I1438" s="5" t="s">
        <v>13042</v>
      </c>
      <c r="J1438" s="7">
        <v>5</v>
      </c>
      <c r="K1438" s="7">
        <v>8.1199999999999992</v>
      </c>
      <c r="L1438" s="5" t="s">
        <v>13043</v>
      </c>
      <c r="M1438" s="7">
        <v>1.45</v>
      </c>
      <c r="N1438" s="7">
        <v>0.95</v>
      </c>
      <c r="O1438" s="7">
        <v>0.35299999999999998</v>
      </c>
      <c r="P1438" s="1" t="s">
        <v>13044</v>
      </c>
    </row>
    <row r="1439" spans="1:16" ht="33.4" x14ac:dyDescent="0.3">
      <c r="A1439" s="6" t="str">
        <f>HYPERLINK("https://www.ti.com/product/TPS560430-Q1", "TPS560430-Q1")</f>
        <v>TPS560430-Q1</v>
      </c>
      <c r="B1439" s="5" t="s">
        <v>13045</v>
      </c>
      <c r="C1439" s="6" t="str">
        <f>HYPERLINK("https://www.ti.com/lit/gpn/TPS560430-Q1", "PDF")</f>
        <v>PDF</v>
      </c>
      <c r="D1439" s="5" t="s">
        <v>13046</v>
      </c>
      <c r="E1439" s="5" t="s">
        <v>13047</v>
      </c>
      <c r="F1439" s="5" t="s">
        <v>13048</v>
      </c>
      <c r="G1439" s="5" t="s">
        <v>13049</v>
      </c>
      <c r="H1439" s="1" t="s">
        <v>13050</v>
      </c>
      <c r="I1439" s="5" t="s">
        <v>13051</v>
      </c>
      <c r="J1439" s="7">
        <v>6</v>
      </c>
      <c r="K1439" s="7">
        <v>8.1199999999999992</v>
      </c>
      <c r="L1439" s="5" t="s">
        <v>13052</v>
      </c>
      <c r="M1439" s="7">
        <v>1.45</v>
      </c>
      <c r="N1439" s="7">
        <v>0.95</v>
      </c>
      <c r="O1439" s="7">
        <v>0.58499999999999996</v>
      </c>
      <c r="P1439" s="1" t="s">
        <v>13053</v>
      </c>
    </row>
    <row r="1440" spans="1:16" ht="33.4" x14ac:dyDescent="0.3">
      <c r="A1440" s="6" t="str">
        <f>HYPERLINK("https://www.ti.com/product/UCC21732-Q1", "UCC21732-Q1")</f>
        <v>UCC21732-Q1</v>
      </c>
      <c r="B1440" s="5" t="s">
        <v>13054</v>
      </c>
      <c r="C1440" s="6" t="str">
        <f>HYPERLINK("https://www.ti.com/lit/gpn/UCC21732-Q1", "PDF")</f>
        <v>PDF</v>
      </c>
      <c r="D1440" s="5" t="s">
        <v>13055</v>
      </c>
      <c r="E1440" s="5" t="s">
        <v>13056</v>
      </c>
      <c r="F1440" s="5"/>
      <c r="G1440" s="5" t="s">
        <v>13057</v>
      </c>
      <c r="H1440" s="1" t="s">
        <v>13058</v>
      </c>
      <c r="I1440" s="5" t="s">
        <v>13059</v>
      </c>
      <c r="J1440" s="7">
        <v>16</v>
      </c>
      <c r="K1440" s="7">
        <v>106.09</v>
      </c>
      <c r="L1440" s="5" t="s">
        <v>13060</v>
      </c>
      <c r="M1440" s="7">
        <v>2.65</v>
      </c>
      <c r="N1440" s="7">
        <v>1.27</v>
      </c>
      <c r="O1440" s="7">
        <v>3.0019999999999998</v>
      </c>
      <c r="P1440" s="1" t="s">
        <v>13061</v>
      </c>
    </row>
    <row r="1441" spans="1:16" ht="49.75" x14ac:dyDescent="0.3">
      <c r="A1441" s="6" t="str">
        <f>HYPERLINK("https://www.ti.com/product/TPS63806", "TPS63806")</f>
        <v>TPS63806</v>
      </c>
      <c r="B1441" s="5" t="s">
        <v>13062</v>
      </c>
      <c r="C1441" s="6" t="str">
        <f>HYPERLINK("https://www.ti.com/lit/gpn/TPS63806", "PDF")</f>
        <v>PDF</v>
      </c>
      <c r="D1441" s="5" t="s">
        <v>13063</v>
      </c>
      <c r="E1441" s="5" t="s">
        <v>13064</v>
      </c>
      <c r="F1441" s="5" t="s">
        <v>13065</v>
      </c>
      <c r="G1441" s="5" t="s">
        <v>13066</v>
      </c>
      <c r="H1441" s="1" t="s">
        <v>13067</v>
      </c>
      <c r="I1441" s="5" t="s">
        <v>13068</v>
      </c>
      <c r="J1441" s="7">
        <v>15</v>
      </c>
      <c r="K1441" s="7">
        <v>3.08</v>
      </c>
      <c r="L1441" s="5" t="s">
        <v>13069</v>
      </c>
      <c r="M1441" s="7">
        <v>0.625</v>
      </c>
      <c r="N1441" s="7">
        <v>0.4</v>
      </c>
      <c r="O1441" s="7">
        <v>1.0349999999999999</v>
      </c>
      <c r="P1441" s="1" t="s">
        <v>13070</v>
      </c>
    </row>
    <row r="1442" spans="1:16" ht="33.4" x14ac:dyDescent="0.3">
      <c r="A1442" s="6" t="str">
        <f>HYPERLINK("https://www.ti.com/product/TPS2596", "TPS2596")</f>
        <v>TPS2596</v>
      </c>
      <c r="B1442" s="5" t="s">
        <v>13071</v>
      </c>
      <c r="C1442" s="6" t="str">
        <f>HYPERLINK("https://www.ti.com/lit/gpn/TPS2596", "PDF")</f>
        <v>PDF</v>
      </c>
      <c r="D1442" s="5" t="s">
        <v>13072</v>
      </c>
      <c r="E1442" s="5" t="s">
        <v>13073</v>
      </c>
      <c r="F1442" s="5"/>
      <c r="G1442" s="5" t="s">
        <v>13074</v>
      </c>
      <c r="H1442" s="1" t="s">
        <v>13075</v>
      </c>
      <c r="I1442" s="5" t="s">
        <v>13076</v>
      </c>
      <c r="J1442" s="7">
        <v>8</v>
      </c>
      <c r="K1442" s="7">
        <v>29.4</v>
      </c>
      <c r="L1442" s="5" t="s">
        <v>13077</v>
      </c>
      <c r="M1442" s="7">
        <v>1.7</v>
      </c>
      <c r="N1442" s="7">
        <v>1.27</v>
      </c>
      <c r="O1442" s="7">
        <v>0.26500000000000001</v>
      </c>
      <c r="P1442" s="1" t="s">
        <v>13078</v>
      </c>
    </row>
    <row r="1443" spans="1:16" ht="33.4" x14ac:dyDescent="0.3">
      <c r="A1443" s="6" t="str">
        <f>HYPERLINK("https://www.ti.com/product/TPS23881", "TPS23881")</f>
        <v>TPS23881</v>
      </c>
      <c r="B1443" s="5" t="s">
        <v>13079</v>
      </c>
      <c r="C1443" s="6" t="str">
        <f>HYPERLINK("https://www.ti.com/lit/gpn/TPS23881", "PDF")</f>
        <v>PDF</v>
      </c>
      <c r="D1443" s="5" t="s">
        <v>13080</v>
      </c>
      <c r="E1443" s="5" t="s">
        <v>13081</v>
      </c>
      <c r="F1443" s="5"/>
      <c r="G1443" s="5" t="s">
        <v>13082</v>
      </c>
      <c r="H1443" s="1" t="s">
        <v>13083</v>
      </c>
      <c r="I1443" s="5" t="s">
        <v>13084</v>
      </c>
      <c r="J1443" s="7">
        <v>56</v>
      </c>
      <c r="K1443" s="7">
        <v>64</v>
      </c>
      <c r="L1443" s="5" t="s">
        <v>13085</v>
      </c>
      <c r="M1443" s="7">
        <v>1</v>
      </c>
      <c r="N1443" s="7">
        <v>0.5</v>
      </c>
      <c r="O1443" s="7">
        <v>3.0310000000000001</v>
      </c>
      <c r="P1443" s="1" t="s">
        <v>13086</v>
      </c>
    </row>
    <row r="1444" spans="1:16" ht="33.4" x14ac:dyDescent="0.3">
      <c r="A1444" s="6" t="str">
        <f>HYPERLINK("https://www.ti.com/product/LP8867-Q1", "LP8867-Q1")</f>
        <v>LP8867-Q1</v>
      </c>
      <c r="B1444" s="5" t="s">
        <v>13087</v>
      </c>
      <c r="C1444" s="6" t="str">
        <f>HYPERLINK("https://www.ti.com/lit/gpn/LP8867-Q1", "PDF")</f>
        <v>PDF</v>
      </c>
      <c r="D1444" s="5" t="s">
        <v>13088</v>
      </c>
      <c r="E1444" s="5" t="s">
        <v>13089</v>
      </c>
      <c r="F1444" s="5" t="s">
        <v>13090</v>
      </c>
      <c r="G1444" s="5" t="s">
        <v>13091</v>
      </c>
      <c r="H1444" s="1" t="s">
        <v>13092</v>
      </c>
      <c r="I1444" s="5" t="s">
        <v>13093</v>
      </c>
      <c r="J1444" s="7">
        <v>20</v>
      </c>
      <c r="K1444" s="7">
        <v>41.6</v>
      </c>
      <c r="L1444" s="5" t="s">
        <v>13094</v>
      </c>
      <c r="M1444" s="7">
        <v>1.2</v>
      </c>
      <c r="N1444" s="7">
        <v>0.65</v>
      </c>
      <c r="O1444" s="7">
        <v>0.98</v>
      </c>
      <c r="P1444" s="1" t="s">
        <v>13095</v>
      </c>
    </row>
    <row r="1445" spans="1:16" ht="33.4" x14ac:dyDescent="0.3">
      <c r="A1445" s="6" t="str">
        <f>HYPERLINK("https://www.ti.com/product/LP8867C-Q1", "LP8867C-Q1")</f>
        <v>LP8867C-Q1</v>
      </c>
      <c r="B1445" s="5" t="s">
        <v>13096</v>
      </c>
      <c r="C1445" s="6" t="str">
        <f>HYPERLINK("https://www.ti.com/lit/gpn/LP8867C-Q1", "PDF")</f>
        <v>PDF</v>
      </c>
      <c r="D1445" s="5" t="s">
        <v>13097</v>
      </c>
      <c r="E1445" s="5" t="s">
        <v>13098</v>
      </c>
      <c r="F1445" s="5" t="s">
        <v>13099</v>
      </c>
      <c r="G1445" s="5" t="s">
        <v>13100</v>
      </c>
      <c r="H1445" s="1" t="s">
        <v>13101</v>
      </c>
      <c r="I1445" s="5" t="s">
        <v>13102</v>
      </c>
      <c r="J1445" s="7">
        <v>20</v>
      </c>
      <c r="K1445" s="7">
        <v>41.6</v>
      </c>
      <c r="L1445" s="5" t="s">
        <v>13103</v>
      </c>
      <c r="M1445" s="7">
        <v>1.2</v>
      </c>
      <c r="N1445" s="7">
        <v>0.65</v>
      </c>
      <c r="O1445" s="7">
        <v>0.86799999999999999</v>
      </c>
      <c r="P1445" s="1" t="s">
        <v>13104</v>
      </c>
    </row>
    <row r="1446" spans="1:16" ht="33.4" x14ac:dyDescent="0.3">
      <c r="A1446" s="6" t="str">
        <f>HYPERLINK("https://www.ti.com/product/LP8869-Q1", "LP8869-Q1")</f>
        <v>LP8869-Q1</v>
      </c>
      <c r="B1446" s="5" t="s">
        <v>13105</v>
      </c>
      <c r="C1446" s="6" t="str">
        <f>HYPERLINK("https://www.ti.com/lit/gpn/LP8869-Q1", "PDF")</f>
        <v>PDF</v>
      </c>
      <c r="D1446" s="5" t="s">
        <v>13106</v>
      </c>
      <c r="E1446" s="5" t="s">
        <v>13107</v>
      </c>
      <c r="F1446" s="5" t="s">
        <v>13108</v>
      </c>
      <c r="G1446" s="5" t="s">
        <v>13109</v>
      </c>
      <c r="H1446" s="1" t="s">
        <v>13110</v>
      </c>
      <c r="I1446" s="5" t="s">
        <v>13111</v>
      </c>
      <c r="J1446" s="7">
        <v>20</v>
      </c>
      <c r="K1446" s="7">
        <v>41.6</v>
      </c>
      <c r="L1446" s="5" t="s">
        <v>13112</v>
      </c>
      <c r="M1446" s="7">
        <v>1.2</v>
      </c>
      <c r="N1446" s="7">
        <v>0.65</v>
      </c>
      <c r="O1446" s="7">
        <v>0.93799999999999994</v>
      </c>
      <c r="P1446" s="1" t="s">
        <v>13113</v>
      </c>
    </row>
    <row r="1447" spans="1:16" ht="33.4" x14ac:dyDescent="0.3">
      <c r="A1447" s="6" t="str">
        <f>HYPERLINK("https://www.ti.com/product/LP8869C-Q1", "LP8869C-Q1")</f>
        <v>LP8869C-Q1</v>
      </c>
      <c r="B1447" s="5" t="s">
        <v>13114</v>
      </c>
      <c r="C1447" s="6" t="str">
        <f>HYPERLINK("https://www.ti.com/lit/gpn/LP8869C-Q1", "PDF")</f>
        <v>PDF</v>
      </c>
      <c r="D1447" s="5" t="s">
        <v>13115</v>
      </c>
      <c r="E1447" s="5" t="s">
        <v>13116</v>
      </c>
      <c r="F1447" s="5" t="s">
        <v>13117</v>
      </c>
      <c r="G1447" s="5" t="s">
        <v>13118</v>
      </c>
      <c r="H1447" s="1" t="s">
        <v>13119</v>
      </c>
      <c r="I1447" s="5" t="s">
        <v>13120</v>
      </c>
      <c r="J1447" s="7">
        <v>20</v>
      </c>
      <c r="K1447" s="7">
        <v>41.6</v>
      </c>
      <c r="L1447" s="5" t="s">
        <v>13121</v>
      </c>
      <c r="M1447" s="7">
        <v>1.2</v>
      </c>
      <c r="N1447" s="7">
        <v>0.65</v>
      </c>
      <c r="O1447" s="7">
        <v>0.82599999999999996</v>
      </c>
      <c r="P1447" s="1" t="s">
        <v>13122</v>
      </c>
    </row>
    <row r="1448" spans="1:16" ht="33.4" x14ac:dyDescent="0.3">
      <c r="A1448" s="6" t="str">
        <f>HYPERLINK("https://www.ti.com/product/TPS62811-Q1", "TPS62811-Q1")</f>
        <v>TPS62811-Q1</v>
      </c>
      <c r="B1448" s="5" t="s">
        <v>13123</v>
      </c>
      <c r="C1448" s="6" t="str">
        <f>HYPERLINK("https://www.ti.com/lit/gpn/TPS62811-Q1", "PDF")</f>
        <v>PDF</v>
      </c>
      <c r="D1448" s="5" t="s">
        <v>13124</v>
      </c>
      <c r="E1448" s="5" t="s">
        <v>13125</v>
      </c>
      <c r="F1448" s="5" t="s">
        <v>13126</v>
      </c>
      <c r="G1448" s="5" t="s">
        <v>13127</v>
      </c>
      <c r="H1448" s="1" t="s">
        <v>13128</v>
      </c>
      <c r="I1448" s="5" t="s">
        <v>13129</v>
      </c>
      <c r="J1448" s="7">
        <v>9</v>
      </c>
      <c r="K1448" s="7">
        <v>6</v>
      </c>
      <c r="L1448" s="5" t="s">
        <v>13130</v>
      </c>
      <c r="M1448" s="7">
        <v>1</v>
      </c>
      <c r="N1448" s="7">
        <v>0.5</v>
      </c>
      <c r="O1448" s="7">
        <v>0.81699999999999995</v>
      </c>
      <c r="P1448" s="1" t="s">
        <v>13131</v>
      </c>
    </row>
    <row r="1449" spans="1:16" ht="33.4" x14ac:dyDescent="0.3">
      <c r="A1449" s="6" t="str">
        <f>HYPERLINK("https://www.ti.com/product/TPS62812-Q1", "TPS62812-Q1")</f>
        <v>TPS62812-Q1</v>
      </c>
      <c r="B1449" s="5" t="s">
        <v>13132</v>
      </c>
      <c r="C1449" s="6" t="str">
        <f>HYPERLINK("https://www.ti.com/lit/gpn/TPS62812-Q1", "PDF")</f>
        <v>PDF</v>
      </c>
      <c r="D1449" s="5" t="s">
        <v>13133</v>
      </c>
      <c r="E1449" s="5" t="s">
        <v>13134</v>
      </c>
      <c r="F1449" s="5" t="s">
        <v>13135</v>
      </c>
      <c r="G1449" s="5" t="s">
        <v>13136</v>
      </c>
      <c r="H1449" s="1" t="s">
        <v>13137</v>
      </c>
      <c r="I1449" s="5" t="s">
        <v>13138</v>
      </c>
      <c r="J1449" s="7">
        <v>9</v>
      </c>
      <c r="K1449" s="7">
        <v>6</v>
      </c>
      <c r="L1449" s="5" t="s">
        <v>13139</v>
      </c>
      <c r="M1449" s="7">
        <v>1</v>
      </c>
      <c r="N1449" s="7">
        <v>0.5</v>
      </c>
      <c r="O1449" s="7">
        <v>1.165</v>
      </c>
      <c r="P1449" s="1" t="s">
        <v>13140</v>
      </c>
    </row>
    <row r="1450" spans="1:16" ht="33.4" x14ac:dyDescent="0.3">
      <c r="A1450" s="6" t="str">
        <f>HYPERLINK("https://www.ti.com/product/UCC28C42-Q1", "UCC28C42-Q1")</f>
        <v>UCC28C42-Q1</v>
      </c>
      <c r="B1450" s="5" t="s">
        <v>13141</v>
      </c>
      <c r="C1450" s="6" t="str">
        <f>HYPERLINK("https://www.ti.com/lit/gpn/UCC28C42-Q1", "PDF")</f>
        <v>PDF</v>
      </c>
      <c r="D1450" s="5" t="s">
        <v>13142</v>
      </c>
      <c r="E1450" s="5" t="s">
        <v>13143</v>
      </c>
      <c r="F1450" s="5" t="s">
        <v>13144</v>
      </c>
      <c r="G1450" s="5" t="s">
        <v>13145</v>
      </c>
      <c r="H1450" s="1" t="s">
        <v>13146</v>
      </c>
      <c r="I1450" s="5" t="s">
        <v>13147</v>
      </c>
      <c r="J1450" s="7">
        <v>8</v>
      </c>
      <c r="K1450" s="7">
        <v>29.4</v>
      </c>
      <c r="L1450" s="5" t="s">
        <v>13148</v>
      </c>
      <c r="M1450" s="7">
        <v>1.75</v>
      </c>
      <c r="N1450" s="7">
        <v>1.27</v>
      </c>
      <c r="O1450" s="7">
        <v>0.871</v>
      </c>
      <c r="P1450" s="1" t="s">
        <v>13149</v>
      </c>
    </row>
    <row r="1451" spans="1:16" ht="33.4" x14ac:dyDescent="0.3">
      <c r="A1451" s="6" t="str">
        <f>HYPERLINK("https://www.ti.com/product/UCC28C44-Q1", "UCC28C44-Q1")</f>
        <v>UCC28C44-Q1</v>
      </c>
      <c r="B1451" s="5" t="s">
        <v>13150</v>
      </c>
      <c r="C1451" s="6" t="str">
        <f>HYPERLINK("https://www.ti.com/lit/gpn/UCC28C44-Q1", "PDF")</f>
        <v>PDF</v>
      </c>
      <c r="D1451" s="5" t="s">
        <v>13151</v>
      </c>
      <c r="E1451" s="5" t="s">
        <v>13152</v>
      </c>
      <c r="F1451" s="5" t="s">
        <v>13153</v>
      </c>
      <c r="G1451" s="5" t="s">
        <v>13154</v>
      </c>
      <c r="H1451" s="1" t="s">
        <v>13155</v>
      </c>
      <c r="I1451" s="5" t="s">
        <v>13156</v>
      </c>
      <c r="J1451" s="7">
        <v>8</v>
      </c>
      <c r="K1451" s="7">
        <v>29.4</v>
      </c>
      <c r="L1451" s="5" t="s">
        <v>13157</v>
      </c>
      <c r="M1451" s="7">
        <v>1.75</v>
      </c>
      <c r="N1451" s="7">
        <v>1.27</v>
      </c>
      <c r="O1451" s="7">
        <v>0.871</v>
      </c>
      <c r="P1451" s="1" t="s">
        <v>13158</v>
      </c>
    </row>
    <row r="1452" spans="1:16" ht="98.85" x14ac:dyDescent="0.3">
      <c r="A1452" s="6" t="str">
        <f>HYPERLINK("https://www.ti.com/product/TPS92682-Q1", "TPS92682-Q1")</f>
        <v>TPS92682-Q1</v>
      </c>
      <c r="B1452" s="5" t="s">
        <v>13159</v>
      </c>
      <c r="C1452" s="6" t="str">
        <f>HYPERLINK("https://www.ti.com/lit/gpn/TPS92682-Q1", "PDF")</f>
        <v>PDF</v>
      </c>
      <c r="D1452" s="5" t="s">
        <v>13160</v>
      </c>
      <c r="E1452" s="5" t="s">
        <v>13161</v>
      </c>
      <c r="F1452" s="5" t="s">
        <v>13162</v>
      </c>
      <c r="G1452" s="5" t="s">
        <v>13163</v>
      </c>
      <c r="H1452" s="1" t="s">
        <v>13164</v>
      </c>
      <c r="I1452" s="5" t="s">
        <v>13165</v>
      </c>
      <c r="J1452" s="7">
        <v>32</v>
      </c>
      <c r="K1452" s="7" t="s">
        <v>13166</v>
      </c>
      <c r="L1452" s="5" t="s">
        <v>13167</v>
      </c>
      <c r="M1452" s="7" t="s">
        <v>13168</v>
      </c>
      <c r="N1452" s="7" t="s">
        <v>13169</v>
      </c>
      <c r="O1452" s="7">
        <v>1.45</v>
      </c>
      <c r="P1452" s="1" t="s">
        <v>13170</v>
      </c>
    </row>
    <row r="1453" spans="1:16" ht="49.75" x14ac:dyDescent="0.3">
      <c r="A1453" s="6" t="str">
        <f>HYPERLINK("https://www.ti.com/product/TPS62840", "TPS62840")</f>
        <v>TPS62840</v>
      </c>
      <c r="B1453" s="5" t="s">
        <v>13171</v>
      </c>
      <c r="C1453" s="6" t="str">
        <f>HYPERLINK("https://www.ti.com/lit/gpn/TPS62840", "PDF")</f>
        <v>PDF</v>
      </c>
      <c r="D1453" s="5" t="s">
        <v>13172</v>
      </c>
      <c r="E1453" s="5" t="s">
        <v>13173</v>
      </c>
      <c r="F1453" s="5" t="s">
        <v>13174</v>
      </c>
      <c r="G1453" s="5" t="s">
        <v>13175</v>
      </c>
      <c r="H1453" s="1" t="s">
        <v>13176</v>
      </c>
      <c r="I1453" s="5" t="s">
        <v>13177</v>
      </c>
      <c r="J1453" s="7" t="s">
        <v>13178</v>
      </c>
      <c r="K1453" s="7" t="s">
        <v>13179</v>
      </c>
      <c r="L1453" s="5" t="s">
        <v>13180</v>
      </c>
      <c r="M1453" s="7" t="s">
        <v>13181</v>
      </c>
      <c r="N1453" s="7" t="s">
        <v>13182</v>
      </c>
      <c r="O1453" s="7">
        <v>0.76900000000000002</v>
      </c>
      <c r="P1453" s="1" t="s">
        <v>13183</v>
      </c>
    </row>
    <row r="1454" spans="1:16" ht="33.4" x14ac:dyDescent="0.3">
      <c r="A1454" s="6" t="str">
        <f>HYPERLINK("https://www.ti.com/product/TPS25833-Q1", "TPS25833-Q1")</f>
        <v>TPS25833-Q1</v>
      </c>
      <c r="B1454" s="5" t="s">
        <v>13184</v>
      </c>
      <c r="C1454" s="6" t="str">
        <f>HYPERLINK("https://www.ti.com/lit/gpn/TPS25833-Q1", "PDF")</f>
        <v>PDF</v>
      </c>
      <c r="D1454" s="5" t="s">
        <v>13185</v>
      </c>
      <c r="E1454" s="5" t="s">
        <v>13186</v>
      </c>
      <c r="F1454" s="5"/>
      <c r="G1454" s="5" t="s">
        <v>13187</v>
      </c>
      <c r="H1454" s="1" t="s">
        <v>13188</v>
      </c>
      <c r="I1454" s="5" t="s">
        <v>13189</v>
      </c>
      <c r="J1454" s="7">
        <v>32</v>
      </c>
      <c r="K1454" s="7">
        <v>25</v>
      </c>
      <c r="L1454" s="5" t="s">
        <v>13190</v>
      </c>
      <c r="M1454" s="7">
        <v>1</v>
      </c>
      <c r="N1454" s="7">
        <v>0.5</v>
      </c>
      <c r="O1454" s="7">
        <v>1.84</v>
      </c>
      <c r="P1454" s="1" t="s">
        <v>13191</v>
      </c>
    </row>
    <row r="1455" spans="1:16" ht="33.4" x14ac:dyDescent="0.3">
      <c r="A1455" s="6" t="str">
        <f>HYPERLINK("https://www.ti.com/product/LM25180", "LM25180")</f>
        <v>LM25180</v>
      </c>
      <c r="B1455" s="5" t="s">
        <v>13192</v>
      </c>
      <c r="C1455" s="6" t="str">
        <f>HYPERLINK("https://www.ti.com/lit/gpn/LM25180", "PDF")</f>
        <v>PDF</v>
      </c>
      <c r="D1455" s="5" t="s">
        <v>13193</v>
      </c>
      <c r="E1455" s="5" t="s">
        <v>13194</v>
      </c>
      <c r="F1455" s="5" t="s">
        <v>13195</v>
      </c>
      <c r="G1455" s="5" t="s">
        <v>13196</v>
      </c>
      <c r="H1455" s="1" t="s">
        <v>13197</v>
      </c>
      <c r="I1455" s="5" t="s">
        <v>13198</v>
      </c>
      <c r="J1455" s="7">
        <v>8</v>
      </c>
      <c r="K1455" s="7">
        <v>16</v>
      </c>
      <c r="L1455" s="5" t="s">
        <v>13199</v>
      </c>
      <c r="M1455" s="7">
        <v>0.8</v>
      </c>
      <c r="N1455" s="7">
        <v>0.8</v>
      </c>
      <c r="O1455" s="7">
        <v>1.5940000000000001</v>
      </c>
      <c r="P1455" s="1" t="s">
        <v>13200</v>
      </c>
    </row>
    <row r="1456" spans="1:16" ht="33.4" x14ac:dyDescent="0.3">
      <c r="A1456" s="6" t="str">
        <f>HYPERLINK("https://www.ti.com/product/LM25180-Q1", "LM25180-Q1")</f>
        <v>LM25180-Q1</v>
      </c>
      <c r="B1456" s="5" t="s">
        <v>13201</v>
      </c>
      <c r="C1456" s="6" t="str">
        <f>HYPERLINK("https://www.ti.com/lit/gpn/LM25180-Q1", "PDF")</f>
        <v>PDF</v>
      </c>
      <c r="D1456" s="5" t="s">
        <v>13202</v>
      </c>
      <c r="E1456" s="5" t="s">
        <v>13203</v>
      </c>
      <c r="F1456" s="5" t="s">
        <v>13204</v>
      </c>
      <c r="G1456" s="5" t="s">
        <v>13205</v>
      </c>
      <c r="H1456" s="1" t="s">
        <v>13206</v>
      </c>
      <c r="I1456" s="5" t="s">
        <v>13207</v>
      </c>
      <c r="J1456" s="7">
        <v>8</v>
      </c>
      <c r="K1456" s="7">
        <v>16</v>
      </c>
      <c r="L1456" s="5" t="s">
        <v>13208</v>
      </c>
      <c r="M1456" s="7">
        <v>0.8</v>
      </c>
      <c r="N1456" s="7">
        <v>0.8</v>
      </c>
      <c r="O1456" s="7">
        <v>1.881</v>
      </c>
      <c r="P1456" s="1" t="s">
        <v>13209</v>
      </c>
    </row>
    <row r="1457" spans="1:16" ht="33.4" x14ac:dyDescent="0.3">
      <c r="A1457" s="6" t="str">
        <f>HYPERLINK("https://www.ti.com/product/LM5180", "LM5180")</f>
        <v>LM5180</v>
      </c>
      <c r="B1457" s="5" t="s">
        <v>13210</v>
      </c>
      <c r="C1457" s="6" t="str">
        <f>HYPERLINK("https://www.ti.com/lit/gpn/LM5180", "PDF")</f>
        <v>PDF</v>
      </c>
      <c r="D1457" s="5" t="s">
        <v>13211</v>
      </c>
      <c r="E1457" s="5" t="s">
        <v>13212</v>
      </c>
      <c r="F1457" s="5" t="s">
        <v>13213</v>
      </c>
      <c r="G1457" s="5" t="s">
        <v>13214</v>
      </c>
      <c r="H1457" s="1" t="s">
        <v>13215</v>
      </c>
      <c r="I1457" s="5" t="s">
        <v>13216</v>
      </c>
      <c r="J1457" s="7">
        <v>8</v>
      </c>
      <c r="K1457" s="7">
        <v>16</v>
      </c>
      <c r="L1457" s="5" t="s">
        <v>13217</v>
      </c>
      <c r="M1457" s="7">
        <v>0.8</v>
      </c>
      <c r="N1457" s="7">
        <v>0.8</v>
      </c>
      <c r="O1457" s="7">
        <v>1.833</v>
      </c>
      <c r="P1457" s="1" t="s">
        <v>13218</v>
      </c>
    </row>
    <row r="1458" spans="1:16" ht="33.4" x14ac:dyDescent="0.3">
      <c r="A1458" s="6" t="str">
        <f>HYPERLINK("https://www.ti.com/product/TPS62152A-Q1", "TPS62152A-Q1")</f>
        <v>TPS62152A-Q1</v>
      </c>
      <c r="B1458" s="5" t="s">
        <v>13219</v>
      </c>
      <c r="C1458" s="6" t="str">
        <f>HYPERLINK("https://www.ti.com/lit/gpn/TPS62152A-Q1", "PDF")</f>
        <v>PDF</v>
      </c>
      <c r="D1458" s="5" t="s">
        <v>13220</v>
      </c>
      <c r="E1458" s="5" t="s">
        <v>13221</v>
      </c>
      <c r="F1458" s="5" t="s">
        <v>13222</v>
      </c>
      <c r="G1458" s="5" t="s">
        <v>13223</v>
      </c>
      <c r="H1458" s="1" t="s">
        <v>13224</v>
      </c>
      <c r="I1458" s="5" t="s">
        <v>13225</v>
      </c>
      <c r="J1458" s="7">
        <v>16</v>
      </c>
      <c r="K1458" s="7">
        <v>9</v>
      </c>
      <c r="L1458" s="5" t="s">
        <v>13226</v>
      </c>
      <c r="M1458" s="7">
        <v>1</v>
      </c>
      <c r="N1458" s="7">
        <v>0.5</v>
      </c>
      <c r="O1458" s="7">
        <v>0.67900000000000005</v>
      </c>
      <c r="P1458" s="1" t="s">
        <v>13227</v>
      </c>
    </row>
    <row r="1459" spans="1:16" ht="33.4" x14ac:dyDescent="0.3">
      <c r="A1459" s="6" t="str">
        <f>HYPERLINK("https://www.ti.com/product/LM51551-Q1", "LM51551-Q1")</f>
        <v>LM51551-Q1</v>
      </c>
      <c r="B1459" s="5" t="s">
        <v>13228</v>
      </c>
      <c r="C1459" s="6" t="str">
        <f>HYPERLINK("https://www.ti.com/lit/gpn/LM51551-Q1", "PDF")</f>
        <v>PDF</v>
      </c>
      <c r="D1459" s="5" t="s">
        <v>13229</v>
      </c>
      <c r="E1459" s="5" t="s">
        <v>13230</v>
      </c>
      <c r="F1459" s="5" t="s">
        <v>13231</v>
      </c>
      <c r="G1459" s="5" t="s">
        <v>13232</v>
      </c>
      <c r="H1459" s="1" t="s">
        <v>13233</v>
      </c>
      <c r="I1459" s="5" t="s">
        <v>13234</v>
      </c>
      <c r="J1459" s="7">
        <v>12</v>
      </c>
      <c r="K1459" s="7">
        <v>6</v>
      </c>
      <c r="L1459" s="5" t="s">
        <v>13235</v>
      </c>
      <c r="M1459" s="7">
        <v>0.8</v>
      </c>
      <c r="N1459" s="7">
        <v>0.5</v>
      </c>
      <c r="O1459" s="7">
        <v>1.08</v>
      </c>
      <c r="P1459" s="1" t="s">
        <v>13236</v>
      </c>
    </row>
    <row r="1460" spans="1:16" ht="33.4" x14ac:dyDescent="0.3">
      <c r="A1460" s="6" t="str">
        <f>HYPERLINK("https://www.ti.com/product/LP5009", "LP5009")</f>
        <v>LP5009</v>
      </c>
      <c r="B1460" s="5" t="s">
        <v>13237</v>
      </c>
      <c r="C1460" s="6" t="str">
        <f>HYPERLINK("https://www.ti.com/lit/gpn/LP5009", "PDF")</f>
        <v>PDF</v>
      </c>
      <c r="D1460" s="5" t="s">
        <v>13238</v>
      </c>
      <c r="E1460" s="5" t="s">
        <v>13239</v>
      </c>
      <c r="F1460" s="5" t="s">
        <v>13240</v>
      </c>
      <c r="G1460" s="5" t="s">
        <v>13241</v>
      </c>
      <c r="H1460" s="1" t="s">
        <v>13242</v>
      </c>
      <c r="I1460" s="5" t="s">
        <v>13243</v>
      </c>
      <c r="J1460" s="7" t="s">
        <v>13244</v>
      </c>
      <c r="K1460" s="7" t="s">
        <v>13245</v>
      </c>
      <c r="L1460" s="5" t="s">
        <v>13246</v>
      </c>
      <c r="M1460" s="7" t="s">
        <v>13247</v>
      </c>
      <c r="N1460" s="7" t="s">
        <v>13248</v>
      </c>
      <c r="O1460" s="7">
        <v>0.35799999999999998</v>
      </c>
      <c r="P1460" s="1" t="s">
        <v>13249</v>
      </c>
    </row>
    <row r="1461" spans="1:16" ht="33.4" x14ac:dyDescent="0.3">
      <c r="A1461" s="6" t="str">
        <f>HYPERLINK("https://www.ti.com/product/LP5012", "LP5012")</f>
        <v>LP5012</v>
      </c>
      <c r="B1461" s="5" t="s">
        <v>13250</v>
      </c>
      <c r="C1461" s="6" t="str">
        <f>HYPERLINK("https://www.ti.com/lit/gpn/LP5012", "PDF")</f>
        <v>PDF</v>
      </c>
      <c r="D1461" s="5" t="s">
        <v>13251</v>
      </c>
      <c r="E1461" s="5" t="s">
        <v>13252</v>
      </c>
      <c r="F1461" s="5" t="s">
        <v>13253</v>
      </c>
      <c r="G1461" s="5" t="s">
        <v>13254</v>
      </c>
      <c r="H1461" s="1" t="s">
        <v>13255</v>
      </c>
      <c r="I1461" s="5" t="s">
        <v>13256</v>
      </c>
      <c r="J1461" s="7" t="s">
        <v>13257</v>
      </c>
      <c r="K1461" s="7" t="s">
        <v>13258</v>
      </c>
      <c r="L1461" s="5" t="s">
        <v>13259</v>
      </c>
      <c r="M1461" s="7" t="s">
        <v>13260</v>
      </c>
      <c r="N1461" s="7" t="s">
        <v>13261</v>
      </c>
      <c r="O1461" s="7">
        <v>0.41299999999999998</v>
      </c>
      <c r="P1461" s="1" t="s">
        <v>13262</v>
      </c>
    </row>
    <row r="1462" spans="1:16" ht="33.4" x14ac:dyDescent="0.3">
      <c r="A1462" s="6" t="str">
        <f>HYPERLINK("https://www.ti.com/product/LM5155-Q1", "LM5155-Q1")</f>
        <v>LM5155-Q1</v>
      </c>
      <c r="B1462" s="5" t="s">
        <v>13263</v>
      </c>
      <c r="C1462" s="6" t="str">
        <f>HYPERLINK("https://www.ti.com/lit/gpn/LM5155-Q1", "PDF")</f>
        <v>PDF</v>
      </c>
      <c r="D1462" s="5" t="s">
        <v>13264</v>
      </c>
      <c r="E1462" s="5" t="s">
        <v>13265</v>
      </c>
      <c r="F1462" s="5" t="s">
        <v>13266</v>
      </c>
      <c r="G1462" s="5" t="s">
        <v>13267</v>
      </c>
      <c r="H1462" s="1" t="s">
        <v>13268</v>
      </c>
      <c r="I1462" s="5" t="s">
        <v>13269</v>
      </c>
      <c r="J1462" s="7">
        <v>12</v>
      </c>
      <c r="K1462" s="7">
        <v>6</v>
      </c>
      <c r="L1462" s="5" t="s">
        <v>13270</v>
      </c>
      <c r="M1462" s="7">
        <v>0.8</v>
      </c>
      <c r="N1462" s="7">
        <v>0.5</v>
      </c>
      <c r="O1462" s="7">
        <v>1.08</v>
      </c>
      <c r="P1462" s="1" t="s">
        <v>13271</v>
      </c>
    </row>
    <row r="1463" spans="1:16" ht="33.4" x14ac:dyDescent="0.3">
      <c r="A1463" s="6" t="str">
        <f>HYPERLINK("https://www.ti.com/product/TLV61048", "TLV61048")</f>
        <v>TLV61048</v>
      </c>
      <c r="B1463" s="5" t="s">
        <v>13272</v>
      </c>
      <c r="C1463" s="6" t="str">
        <f>HYPERLINK("https://www.ti.com/lit/gpn/TLV61048", "PDF")</f>
        <v>PDF</v>
      </c>
      <c r="D1463" s="5" t="s">
        <v>13273</v>
      </c>
      <c r="E1463" s="5" t="s">
        <v>13274</v>
      </c>
      <c r="F1463" s="5" t="s">
        <v>13275</v>
      </c>
      <c r="G1463" s="5" t="s">
        <v>13276</v>
      </c>
      <c r="H1463" s="1" t="s">
        <v>13277</v>
      </c>
      <c r="I1463" s="5" t="s">
        <v>13278</v>
      </c>
      <c r="J1463" s="7">
        <v>6</v>
      </c>
      <c r="K1463" s="7">
        <v>8.1199999999999992</v>
      </c>
      <c r="L1463" s="5" t="s">
        <v>13279</v>
      </c>
      <c r="M1463" s="7">
        <v>1.45</v>
      </c>
      <c r="N1463" s="7">
        <v>0.95</v>
      </c>
      <c r="O1463" s="7">
        <v>0.25</v>
      </c>
      <c r="P1463" s="1" t="s">
        <v>13280</v>
      </c>
    </row>
    <row r="1464" spans="1:16" ht="33.4" x14ac:dyDescent="0.3">
      <c r="A1464" s="6" t="str">
        <f>HYPERLINK("https://www.ti.com/product/TPS25831-Q1", "TPS25831-Q1")</f>
        <v>TPS25831-Q1</v>
      </c>
      <c r="B1464" s="5" t="s">
        <v>13281</v>
      </c>
      <c r="C1464" s="6" t="str">
        <f>HYPERLINK("https://www.ti.com/lit/gpn/TPS25831-Q1", "PDF")</f>
        <v>PDF</v>
      </c>
      <c r="D1464" s="5" t="s">
        <v>13282</v>
      </c>
      <c r="E1464" s="5" t="s">
        <v>13283</v>
      </c>
      <c r="F1464" s="5"/>
      <c r="G1464" s="5" t="s">
        <v>13284</v>
      </c>
      <c r="H1464" s="1" t="s">
        <v>13285</v>
      </c>
      <c r="I1464" s="5" t="s">
        <v>13286</v>
      </c>
      <c r="J1464" s="7">
        <v>32</v>
      </c>
      <c r="K1464" s="7">
        <v>25</v>
      </c>
      <c r="L1464" s="5" t="s">
        <v>13287</v>
      </c>
      <c r="M1464" s="7">
        <v>1</v>
      </c>
      <c r="N1464" s="7">
        <v>0.5</v>
      </c>
      <c r="O1464" s="7">
        <v>2.532</v>
      </c>
      <c r="P1464" s="1" t="s">
        <v>13288</v>
      </c>
    </row>
    <row r="1465" spans="1:16" ht="33.4" x14ac:dyDescent="0.3">
      <c r="A1465" s="6" t="str">
        <f>HYPERLINK("https://www.ti.com/product/HD3SS3212-Q1", "HD3SS3212-Q1")</f>
        <v>HD3SS3212-Q1</v>
      </c>
      <c r="B1465" s="5" t="s">
        <v>13289</v>
      </c>
      <c r="C1465" s="6" t="str">
        <f>HYPERLINK("https://www.ti.com/lit/gpn/HD3SS3212-Q1", "PDF")</f>
        <v>PDF</v>
      </c>
      <c r="D1465" s="5" t="s">
        <v>13290</v>
      </c>
      <c r="E1465" s="5" t="s">
        <v>13291</v>
      </c>
      <c r="F1465" s="5"/>
      <c r="G1465" s="5" t="s">
        <v>13292</v>
      </c>
      <c r="H1465" s="1" t="s">
        <v>13293</v>
      </c>
      <c r="I1465" s="5" t="s">
        <v>13294</v>
      </c>
      <c r="J1465" s="7">
        <v>20</v>
      </c>
      <c r="K1465" s="7">
        <v>11.25</v>
      </c>
      <c r="L1465" s="5" t="s">
        <v>13295</v>
      </c>
      <c r="M1465" s="7">
        <v>1</v>
      </c>
      <c r="N1465" s="7">
        <v>0.5</v>
      </c>
      <c r="O1465" s="7">
        <v>1.1679999999999999</v>
      </c>
      <c r="P1465" s="1" t="s">
        <v>13296</v>
      </c>
    </row>
    <row r="1466" spans="1:16" ht="33.4" x14ac:dyDescent="0.3">
      <c r="A1466" s="6" t="str">
        <f>HYPERLINK("https://www.ti.com/product/TPS652170", "TPS652170")</f>
        <v>TPS652170</v>
      </c>
      <c r="B1466" s="5" t="s">
        <v>13297</v>
      </c>
      <c r="C1466" s="6" t="str">
        <f>HYPERLINK("https://www.ti.com/lit/gpn/TPS652170", "PDF")</f>
        <v>PDF</v>
      </c>
      <c r="D1466" s="5" t="s">
        <v>13298</v>
      </c>
      <c r="E1466" s="5" t="s">
        <v>13299</v>
      </c>
      <c r="F1466" s="5"/>
      <c r="G1466" s="5" t="s">
        <v>13300</v>
      </c>
      <c r="H1466" s="1" t="s">
        <v>13301</v>
      </c>
      <c r="I1466" s="5" t="s">
        <v>13302</v>
      </c>
      <c r="J1466" s="7">
        <v>48</v>
      </c>
      <c r="K1466" s="7">
        <v>36</v>
      </c>
      <c r="L1466" s="5" t="s">
        <v>13303</v>
      </c>
      <c r="M1466" s="7">
        <v>1</v>
      </c>
      <c r="N1466" s="7">
        <v>0.4</v>
      </c>
      <c r="O1466" s="7">
        <v>2.4550000000000001</v>
      </c>
      <c r="P1466" s="1" t="s">
        <v>13304</v>
      </c>
    </row>
    <row r="1467" spans="1:16" ht="33.4" x14ac:dyDescent="0.3">
      <c r="A1467" s="6" t="str">
        <f>HYPERLINK("https://www.ti.com/product/TPS61390", "TPS61390")</f>
        <v>TPS61390</v>
      </c>
      <c r="B1467" s="5" t="s">
        <v>13305</v>
      </c>
      <c r="C1467" s="6" t="str">
        <f>HYPERLINK("https://www.ti.com/lit/gpn/TPS61390", "PDF")</f>
        <v>PDF</v>
      </c>
      <c r="D1467" s="5" t="s">
        <v>13306</v>
      </c>
      <c r="E1467" s="5" t="s">
        <v>13307</v>
      </c>
      <c r="F1467" s="5" t="s">
        <v>13308</v>
      </c>
      <c r="G1467" s="5" t="s">
        <v>13309</v>
      </c>
      <c r="H1467" s="1" t="s">
        <v>13310</v>
      </c>
      <c r="I1467" s="5" t="s">
        <v>13311</v>
      </c>
      <c r="J1467" s="7">
        <v>16</v>
      </c>
      <c r="K1467" s="7">
        <v>9</v>
      </c>
      <c r="L1467" s="5" t="s">
        <v>13312</v>
      </c>
      <c r="M1467" s="7">
        <v>0.8</v>
      </c>
      <c r="N1467" s="7">
        <v>0.5</v>
      </c>
      <c r="O1467" s="7">
        <v>1.518</v>
      </c>
      <c r="P1467" s="1" t="s">
        <v>13313</v>
      </c>
    </row>
    <row r="1468" spans="1:16" ht="33.4" x14ac:dyDescent="0.3">
      <c r="A1468" s="6" t="str">
        <f>HYPERLINK("https://www.ti.com/product/UCC23513", "UCC23513")</f>
        <v>UCC23513</v>
      </c>
      <c r="B1468" s="5" t="s">
        <v>13314</v>
      </c>
      <c r="C1468" s="6" t="str">
        <f>HYPERLINK("https://www.ti.com/lit/gpn/UCC23513", "PDF")</f>
        <v>PDF</v>
      </c>
      <c r="D1468" s="5" t="s">
        <v>13315</v>
      </c>
      <c r="E1468" s="5" t="s">
        <v>13316</v>
      </c>
      <c r="F1468" s="5"/>
      <c r="G1468" s="5" t="s">
        <v>13317</v>
      </c>
      <c r="H1468" s="1" t="s">
        <v>13318</v>
      </c>
      <c r="I1468" s="5" t="s">
        <v>13319</v>
      </c>
      <c r="J1468" s="7">
        <v>6</v>
      </c>
      <c r="K1468" s="7">
        <v>53.82</v>
      </c>
      <c r="L1468" s="5" t="s">
        <v>13320</v>
      </c>
      <c r="M1468" s="7">
        <v>3.43</v>
      </c>
      <c r="N1468" s="7">
        <v>1.27</v>
      </c>
      <c r="O1468" s="7">
        <v>0.34399999999999997</v>
      </c>
      <c r="P1468" s="1" t="s">
        <v>13321</v>
      </c>
    </row>
    <row r="1469" spans="1:16" ht="33.4" x14ac:dyDescent="0.3">
      <c r="A1469" s="6" t="str">
        <f>HYPERLINK("https://www.ti.com/product/TPS62810-Q1", "TPS62810-Q1")</f>
        <v>TPS62810-Q1</v>
      </c>
      <c r="B1469" s="5" t="s">
        <v>13322</v>
      </c>
      <c r="C1469" s="6" t="str">
        <f>HYPERLINK("https://www.ti.com/lit/gpn/TPS62810-Q1", "PDF")</f>
        <v>PDF</v>
      </c>
      <c r="D1469" s="5" t="s">
        <v>13323</v>
      </c>
      <c r="E1469" s="5" t="s">
        <v>13324</v>
      </c>
      <c r="F1469" s="5" t="s">
        <v>13325</v>
      </c>
      <c r="G1469" s="5" t="s">
        <v>13326</v>
      </c>
      <c r="H1469" s="1" t="s">
        <v>13327</v>
      </c>
      <c r="I1469" s="5" t="s">
        <v>13328</v>
      </c>
      <c r="J1469" s="7">
        <v>9</v>
      </c>
      <c r="K1469" s="7">
        <v>6</v>
      </c>
      <c r="L1469" s="5" t="s">
        <v>13329</v>
      </c>
      <c r="M1469" s="7">
        <v>1</v>
      </c>
      <c r="N1469" s="7">
        <v>0.5</v>
      </c>
      <c r="O1469" s="7">
        <v>1.2250000000000001</v>
      </c>
      <c r="P1469" s="1" t="s">
        <v>13330</v>
      </c>
    </row>
    <row r="1470" spans="1:16" ht="33.4" x14ac:dyDescent="0.3">
      <c r="A1470" s="6" t="str">
        <f>HYPERLINK("https://www.ti.com/product/TPS62813-Q1", "TPS62813-Q1")</f>
        <v>TPS62813-Q1</v>
      </c>
      <c r="B1470" s="5" t="s">
        <v>13331</v>
      </c>
      <c r="C1470" s="6" t="str">
        <f>HYPERLINK("https://www.ti.com/lit/gpn/TPS62813-Q1", "PDF")</f>
        <v>PDF</v>
      </c>
      <c r="D1470" s="5" t="s">
        <v>13332</v>
      </c>
      <c r="E1470" s="5" t="s">
        <v>13333</v>
      </c>
      <c r="F1470" s="5" t="s">
        <v>13334</v>
      </c>
      <c r="G1470" s="5" t="s">
        <v>13335</v>
      </c>
      <c r="H1470" s="1" t="s">
        <v>13336</v>
      </c>
      <c r="I1470" s="5" t="s">
        <v>13337</v>
      </c>
      <c r="J1470" s="7">
        <v>9</v>
      </c>
      <c r="K1470" s="7">
        <v>6</v>
      </c>
      <c r="L1470" s="5" t="s">
        <v>13338</v>
      </c>
      <c r="M1470" s="7">
        <v>1</v>
      </c>
      <c r="N1470" s="7">
        <v>0.5</v>
      </c>
      <c r="O1470" s="7">
        <v>1.103</v>
      </c>
      <c r="P1470" s="1" t="s">
        <v>13339</v>
      </c>
    </row>
    <row r="1471" spans="1:16" ht="33.4" x14ac:dyDescent="0.3">
      <c r="A1471" s="6" t="str">
        <f>HYPERLINK("https://www.ti.com/product/TPS25982", "TPS25982")</f>
        <v>TPS25982</v>
      </c>
      <c r="B1471" s="5" t="s">
        <v>13340</v>
      </c>
      <c r="C1471" s="6" t="str">
        <f>HYPERLINK("https://www.ti.com/lit/gpn/TPS25982", "PDF")</f>
        <v>PDF</v>
      </c>
      <c r="D1471" s="5" t="s">
        <v>13341</v>
      </c>
      <c r="E1471" s="5" t="s">
        <v>13342</v>
      </c>
      <c r="F1471" s="5"/>
      <c r="G1471" s="5" t="s">
        <v>13343</v>
      </c>
      <c r="H1471" s="1" t="s">
        <v>13344</v>
      </c>
      <c r="I1471" s="5" t="s">
        <v>13345</v>
      </c>
      <c r="J1471" s="7">
        <v>24</v>
      </c>
      <c r="K1471" s="7">
        <v>16</v>
      </c>
      <c r="L1471" s="5" t="s">
        <v>13346</v>
      </c>
      <c r="M1471" s="7">
        <v>1</v>
      </c>
      <c r="N1471" s="7">
        <v>0.5</v>
      </c>
      <c r="O1471" s="7">
        <v>1.38</v>
      </c>
      <c r="P1471" s="1" t="s">
        <v>13347</v>
      </c>
    </row>
    <row r="1472" spans="1:16" ht="33.4" x14ac:dyDescent="0.3">
      <c r="A1472" s="6" t="str">
        <f>HYPERLINK("https://www.ti.com/product/LM5163-Q1", "LM5163-Q1")</f>
        <v>LM5163-Q1</v>
      </c>
      <c r="B1472" s="5" t="s">
        <v>13348</v>
      </c>
      <c r="C1472" s="6" t="str">
        <f>HYPERLINK("https://www.ti.com/lit/gpn/LM5163-Q1", "PDF")</f>
        <v>PDF</v>
      </c>
      <c r="D1472" s="5" t="s">
        <v>13349</v>
      </c>
      <c r="E1472" s="5" t="s">
        <v>13350</v>
      </c>
      <c r="F1472" s="5" t="s">
        <v>13351</v>
      </c>
      <c r="G1472" s="5" t="s">
        <v>13352</v>
      </c>
      <c r="H1472" s="1" t="s">
        <v>13353</v>
      </c>
      <c r="I1472" s="5" t="s">
        <v>13354</v>
      </c>
      <c r="J1472" s="7">
        <v>8</v>
      </c>
      <c r="K1472" s="7">
        <v>29.4</v>
      </c>
      <c r="L1472" s="5" t="s">
        <v>13355</v>
      </c>
      <c r="M1472" s="7">
        <v>1.7</v>
      </c>
      <c r="N1472" s="7">
        <v>1.27</v>
      </c>
      <c r="O1472" s="7">
        <v>1.325</v>
      </c>
      <c r="P1472" s="1" t="s">
        <v>13356</v>
      </c>
    </row>
    <row r="1473" spans="1:16" ht="17.05" x14ac:dyDescent="0.3">
      <c r="A1473" s="6" t="str">
        <f>HYPERLINK("https://www.ti.com/product/LM66100", "LM66100")</f>
        <v>LM66100</v>
      </c>
      <c r="B1473" s="5" t="s">
        <v>13357</v>
      </c>
      <c r="C1473" s="6" t="str">
        <f>HYPERLINK("https://www.ti.com/lit/gpn/LM66100", "PDF")</f>
        <v>PDF</v>
      </c>
      <c r="D1473" s="5" t="s">
        <v>13358</v>
      </c>
      <c r="E1473" s="5" t="s">
        <v>13359</v>
      </c>
      <c r="F1473" s="5"/>
      <c r="G1473" s="5" t="s">
        <v>13360</v>
      </c>
      <c r="H1473" s="1" t="s">
        <v>13361</v>
      </c>
      <c r="I1473" s="5" t="s">
        <v>13362</v>
      </c>
      <c r="J1473" s="7">
        <v>6</v>
      </c>
      <c r="K1473" s="7">
        <v>4.2</v>
      </c>
      <c r="L1473" s="5" t="s">
        <v>13363</v>
      </c>
      <c r="M1473" s="7">
        <v>1.1000000000000001</v>
      </c>
      <c r="N1473" s="7">
        <v>0.65</v>
      </c>
      <c r="O1473" s="7">
        <v>8.1000000000000003E-2</v>
      </c>
      <c r="P1473" s="1" t="s">
        <v>13364</v>
      </c>
    </row>
    <row r="1474" spans="1:16" ht="33.4" x14ac:dyDescent="0.3">
      <c r="A1474" s="6" t="str">
        <f>HYPERLINK("https://www.ti.com/product/TPS54A24", "TPS54A24")</f>
        <v>TPS54A24</v>
      </c>
      <c r="B1474" s="5" t="s">
        <v>13365</v>
      </c>
      <c r="C1474" s="6" t="str">
        <f>HYPERLINK("https://www.ti.com/lit/gpn/TPS54A24", "PDF")</f>
        <v>PDF</v>
      </c>
      <c r="D1474" s="5" t="s">
        <v>13366</v>
      </c>
      <c r="E1474" s="5" t="s">
        <v>13367</v>
      </c>
      <c r="F1474" s="5" t="s">
        <v>13368</v>
      </c>
      <c r="G1474" s="5" t="s">
        <v>13369</v>
      </c>
      <c r="H1474" s="1" t="s">
        <v>13370</v>
      </c>
      <c r="I1474" s="5" t="s">
        <v>13371</v>
      </c>
      <c r="J1474" s="7">
        <v>24</v>
      </c>
      <c r="K1474" s="7">
        <v>16</v>
      </c>
      <c r="L1474" s="5" t="s">
        <v>13372</v>
      </c>
      <c r="M1474" s="7">
        <v>0.8</v>
      </c>
      <c r="N1474" s="7">
        <v>0.5</v>
      </c>
      <c r="O1474" s="7">
        <v>1.835</v>
      </c>
      <c r="P1474" s="1" t="s">
        <v>13373</v>
      </c>
    </row>
    <row r="1475" spans="1:16" ht="17.05" x14ac:dyDescent="0.3">
      <c r="A1475" s="6" t="str">
        <f>HYPERLINK("https://www.ti.com/product/TPS23758", "TPS23758")</f>
        <v>TPS23758</v>
      </c>
      <c r="B1475" s="5" t="s">
        <v>13374</v>
      </c>
      <c r="C1475" s="6" t="str">
        <f>HYPERLINK("https://www.ti.com/lit/gpn/TPS23758", "PDF")</f>
        <v>PDF</v>
      </c>
      <c r="D1475" s="5" t="s">
        <v>13375</v>
      </c>
      <c r="E1475" s="5" t="s">
        <v>13376</v>
      </c>
      <c r="F1475" s="5"/>
      <c r="G1475" s="5" t="s">
        <v>13377</v>
      </c>
      <c r="H1475" s="1" t="s">
        <v>13378</v>
      </c>
      <c r="I1475" s="5" t="s">
        <v>13379</v>
      </c>
      <c r="J1475" s="7">
        <v>23</v>
      </c>
      <c r="K1475" s="7">
        <v>24</v>
      </c>
      <c r="L1475" s="5" t="s">
        <v>13380</v>
      </c>
      <c r="M1475" s="7">
        <v>1</v>
      </c>
      <c r="N1475" s="7">
        <v>0.4</v>
      </c>
      <c r="O1475" s="7">
        <v>1.1879999999999999</v>
      </c>
      <c r="P1475" s="1" t="s">
        <v>13381</v>
      </c>
    </row>
    <row r="1476" spans="1:16" ht="33.4" x14ac:dyDescent="0.3">
      <c r="A1476" s="6" t="str">
        <f>HYPERLINK("https://www.ti.com/product/TPS56339", "TPS56339")</f>
        <v>TPS56339</v>
      </c>
      <c r="B1476" s="5" t="s">
        <v>13382</v>
      </c>
      <c r="C1476" s="6" t="str">
        <f>HYPERLINK("https://www.ti.com/lit/gpn/TPS56339", "PDF")</f>
        <v>PDF</v>
      </c>
      <c r="D1476" s="5" t="s">
        <v>13383</v>
      </c>
      <c r="E1476" s="5" t="s">
        <v>13384</v>
      </c>
      <c r="F1476" s="5" t="s">
        <v>13385</v>
      </c>
      <c r="G1476" s="5" t="s">
        <v>13386</v>
      </c>
      <c r="H1476" s="1" t="s">
        <v>13387</v>
      </c>
      <c r="I1476" s="5" t="s">
        <v>13388</v>
      </c>
      <c r="J1476" s="7">
        <v>6</v>
      </c>
      <c r="K1476" s="7">
        <v>8.1199999999999992</v>
      </c>
      <c r="L1476" s="5" t="s">
        <v>13389</v>
      </c>
      <c r="M1476" s="7">
        <v>1.1000000000000001</v>
      </c>
      <c r="N1476" s="7">
        <v>0.95</v>
      </c>
      <c r="O1476" s="7">
        <v>0.375</v>
      </c>
      <c r="P1476" s="1" t="s">
        <v>13390</v>
      </c>
    </row>
    <row r="1477" spans="1:16" ht="49.75" x14ac:dyDescent="0.3">
      <c r="A1477" s="6" t="str">
        <f>HYPERLINK("https://www.ti.com/product/TPS7B81-Q1", "TPS7B81-Q1")</f>
        <v>TPS7B81-Q1</v>
      </c>
      <c r="B1477" s="5" t="s">
        <v>13391</v>
      </c>
      <c r="C1477" s="6" t="str">
        <f>HYPERLINK("https://www.ti.com/lit/gpn/TPS7B81-Q1", "PDF")</f>
        <v>PDF</v>
      </c>
      <c r="D1477" s="5" t="s">
        <v>13392</v>
      </c>
      <c r="E1477" s="5" t="s">
        <v>13393</v>
      </c>
      <c r="F1477" s="5"/>
      <c r="G1477" s="5" t="s">
        <v>13394</v>
      </c>
      <c r="H1477" s="1" t="s">
        <v>13395</v>
      </c>
      <c r="I1477" s="5" t="s">
        <v>13396</v>
      </c>
      <c r="J1477" s="7" t="s">
        <v>13397</v>
      </c>
      <c r="K1477" s="7" t="s">
        <v>13398</v>
      </c>
      <c r="L1477" s="5" t="s">
        <v>13399</v>
      </c>
      <c r="M1477" s="7" t="s">
        <v>13400</v>
      </c>
      <c r="N1477" s="7" t="s">
        <v>13401</v>
      </c>
      <c r="O1477" s="7">
        <v>0.504</v>
      </c>
      <c r="P1477" s="1" t="s">
        <v>13402</v>
      </c>
    </row>
    <row r="1478" spans="1:16" ht="33.4" x14ac:dyDescent="0.3">
      <c r="A1478" s="6" t="str">
        <f>HYPERLINK("https://www.ti.com/product/UCC20225-Q1", "UCC20225-Q1")</f>
        <v>UCC20225-Q1</v>
      </c>
      <c r="B1478" s="5" t="s">
        <v>13403</v>
      </c>
      <c r="C1478" s="6" t="str">
        <f>HYPERLINK("https://www.ti.com/lit/gpn/UCC20225-Q1", "PDF")</f>
        <v>PDF</v>
      </c>
      <c r="D1478" s="5" t="s">
        <v>13404</v>
      </c>
      <c r="E1478" s="5" t="s">
        <v>13405</v>
      </c>
      <c r="F1478" s="5"/>
      <c r="G1478" s="5" t="s">
        <v>13406</v>
      </c>
      <c r="H1478" s="1" t="s">
        <v>13407</v>
      </c>
      <c r="I1478" s="5" t="s">
        <v>13408</v>
      </c>
      <c r="J1478" s="7">
        <v>13</v>
      </c>
      <c r="K1478" s="7">
        <v>25</v>
      </c>
      <c r="L1478" s="5" t="s">
        <v>13409</v>
      </c>
      <c r="M1478" s="7">
        <v>1</v>
      </c>
      <c r="N1478" s="7">
        <v>0.65</v>
      </c>
      <c r="O1478" s="7">
        <v>2.2130000000000001</v>
      </c>
      <c r="P1478" s="1" t="s">
        <v>13410</v>
      </c>
    </row>
    <row r="1479" spans="1:16" ht="33.4" x14ac:dyDescent="0.3">
      <c r="A1479" s="6" t="str">
        <f>HYPERLINK("https://www.ti.com/product/LMR34215-Q1", "LMR34215-Q1")</f>
        <v>LMR34215-Q1</v>
      </c>
      <c r="B1479" s="5" t="s">
        <v>13411</v>
      </c>
      <c r="C1479" s="6" t="str">
        <f>HYPERLINK("https://www.ti.com/lit/gpn/LMR34215-Q1", "PDF")</f>
        <v>PDF</v>
      </c>
      <c r="D1479" s="5" t="s">
        <v>13412</v>
      </c>
      <c r="E1479" s="5" t="s">
        <v>13413</v>
      </c>
      <c r="F1479" s="5" t="s">
        <v>13414</v>
      </c>
      <c r="G1479" s="5" t="s">
        <v>13415</v>
      </c>
      <c r="H1479" s="1" t="s">
        <v>13416</v>
      </c>
      <c r="I1479" s="5" t="s">
        <v>13417</v>
      </c>
      <c r="J1479" s="7">
        <v>12</v>
      </c>
      <c r="K1479" s="7">
        <v>6</v>
      </c>
      <c r="L1479" s="5" t="s">
        <v>13418</v>
      </c>
      <c r="M1479" s="7">
        <v>0.9</v>
      </c>
      <c r="N1479" s="7">
        <v>0.5</v>
      </c>
      <c r="O1479" s="7">
        <v>1.1100000000000001</v>
      </c>
      <c r="P1479" s="1" t="s">
        <v>13419</v>
      </c>
    </row>
    <row r="1480" spans="1:16" ht="33.4" x14ac:dyDescent="0.3">
      <c r="A1480" s="6" t="str">
        <f>HYPERLINK("https://www.ti.com/product/LMR34206-Q1", "LMR34206-Q1")</f>
        <v>LMR34206-Q1</v>
      </c>
      <c r="B1480" s="5" t="s">
        <v>13420</v>
      </c>
      <c r="C1480" s="6" t="str">
        <f>HYPERLINK("https://www.ti.com/lit/gpn/LMR34206-Q1", "PDF")</f>
        <v>PDF</v>
      </c>
      <c r="D1480" s="5" t="s">
        <v>13421</v>
      </c>
      <c r="E1480" s="5" t="s">
        <v>13422</v>
      </c>
      <c r="F1480" s="5" t="s">
        <v>13423</v>
      </c>
      <c r="G1480" s="5" t="s">
        <v>13424</v>
      </c>
      <c r="H1480" s="1" t="s">
        <v>13425</v>
      </c>
      <c r="I1480" s="5" t="s">
        <v>13426</v>
      </c>
      <c r="J1480" s="7">
        <v>12</v>
      </c>
      <c r="K1480" s="7">
        <v>6</v>
      </c>
      <c r="L1480" s="5" t="s">
        <v>13427</v>
      </c>
      <c r="M1480" s="7">
        <v>0.9</v>
      </c>
      <c r="N1480" s="7">
        <v>0.5</v>
      </c>
      <c r="O1480" s="7">
        <v>1.024</v>
      </c>
      <c r="P1480" s="1" t="s">
        <v>13428</v>
      </c>
    </row>
    <row r="1481" spans="1:16" ht="17.05" x14ac:dyDescent="0.3">
      <c r="A1481" s="6" t="str">
        <f>HYPERLINK("https://www.ti.com/product/LM5108", "LM5108")</f>
        <v>LM5108</v>
      </c>
      <c r="B1481" s="5" t="s">
        <v>13429</v>
      </c>
      <c r="C1481" s="6" t="str">
        <f>HYPERLINK("https://www.ti.com/lit/gpn/LM5108", "PDF")</f>
        <v>PDF</v>
      </c>
      <c r="D1481" s="5" t="s">
        <v>13430</v>
      </c>
      <c r="E1481" s="5" t="s">
        <v>13431</v>
      </c>
      <c r="F1481" s="5"/>
      <c r="G1481" s="5" t="s">
        <v>13432</v>
      </c>
      <c r="H1481" s="1" t="s">
        <v>13433</v>
      </c>
      <c r="I1481" s="5" t="s">
        <v>13434</v>
      </c>
      <c r="J1481" s="7">
        <v>10</v>
      </c>
      <c r="K1481" s="7">
        <v>9</v>
      </c>
      <c r="L1481" s="5" t="s">
        <v>13435</v>
      </c>
      <c r="M1481" s="7">
        <v>1</v>
      </c>
      <c r="N1481" s="7">
        <v>0.5</v>
      </c>
      <c r="O1481" s="7">
        <v>0.52500000000000002</v>
      </c>
      <c r="P1481" s="1" t="s">
        <v>13436</v>
      </c>
    </row>
    <row r="1482" spans="1:16" ht="33.4" x14ac:dyDescent="0.3">
      <c r="A1482" s="6" t="str">
        <f>HYPERLINK("https://www.ti.com/product/TPS3703-Q1", "TPS3703-Q1")</f>
        <v>TPS3703-Q1</v>
      </c>
      <c r="B1482" s="5" t="s">
        <v>13437</v>
      </c>
      <c r="C1482" s="6" t="str">
        <f>HYPERLINK("https://www.ti.com/lit/gpn/TPS3703-Q1", "PDF")</f>
        <v>PDF</v>
      </c>
      <c r="D1482" s="5" t="s">
        <v>13438</v>
      </c>
      <c r="E1482" s="5" t="s">
        <v>13439</v>
      </c>
      <c r="F1482" s="5"/>
      <c r="G1482" s="5" t="s">
        <v>13440</v>
      </c>
      <c r="H1482" s="1" t="s">
        <v>13441</v>
      </c>
      <c r="I1482" s="5" t="s">
        <v>13442</v>
      </c>
      <c r="J1482" s="7">
        <v>6</v>
      </c>
      <c r="K1482" s="7">
        <v>2.25</v>
      </c>
      <c r="L1482" s="5" t="s">
        <v>13443</v>
      </c>
      <c r="M1482" s="7">
        <v>0.8</v>
      </c>
      <c r="N1482" s="7">
        <v>0.5</v>
      </c>
      <c r="O1482" s="7">
        <v>0.872</v>
      </c>
      <c r="P1482" s="1" t="s">
        <v>13444</v>
      </c>
    </row>
    <row r="1483" spans="1:16" ht="33.4" x14ac:dyDescent="0.3">
      <c r="A1483" s="6" t="str">
        <f>HYPERLINK("https://www.ti.com/product/TPS3840", "TPS3840")</f>
        <v>TPS3840</v>
      </c>
      <c r="B1483" s="5" t="s">
        <v>13445</v>
      </c>
      <c r="C1483" s="6" t="str">
        <f>HYPERLINK("https://www.ti.com/lit/gpn/TPS3840", "PDF")</f>
        <v>PDF</v>
      </c>
      <c r="D1483" s="5" t="s">
        <v>13446</v>
      </c>
      <c r="E1483" s="5" t="s">
        <v>13447</v>
      </c>
      <c r="F1483" s="5"/>
      <c r="G1483" s="5" t="s">
        <v>13448</v>
      </c>
      <c r="H1483" s="1" t="s">
        <v>13449</v>
      </c>
      <c r="I1483" s="5" t="s">
        <v>13450</v>
      </c>
      <c r="J1483" s="7">
        <v>5</v>
      </c>
      <c r="K1483" s="7">
        <v>8.1199999999999992</v>
      </c>
      <c r="L1483" s="5" t="s">
        <v>13451</v>
      </c>
      <c r="M1483" s="7">
        <v>1.45</v>
      </c>
      <c r="N1483" s="7">
        <v>0.95</v>
      </c>
      <c r="O1483" s="7">
        <v>0.25900000000000001</v>
      </c>
      <c r="P1483" s="1" t="s">
        <v>13452</v>
      </c>
    </row>
    <row r="1484" spans="1:16" ht="33.4" x14ac:dyDescent="0.3">
      <c r="A1484" s="6" t="str">
        <f>HYPERLINK("https://www.ti.com/product/TPS650002-Q1", "TPS650002-Q1")</f>
        <v>TPS650002-Q1</v>
      </c>
      <c r="B1484" s="5" t="s">
        <v>13453</v>
      </c>
      <c r="C1484" s="6" t="str">
        <f>HYPERLINK("https://www.ti.com/lit/gpn/TPS650002-Q1", "PDF")</f>
        <v>PDF</v>
      </c>
      <c r="D1484" s="5" t="s">
        <v>13454</v>
      </c>
      <c r="E1484" s="5" t="s">
        <v>13455</v>
      </c>
      <c r="F1484" s="5"/>
      <c r="G1484" s="5" t="s">
        <v>13456</v>
      </c>
      <c r="H1484" s="1" t="s">
        <v>13457</v>
      </c>
      <c r="I1484" s="5" t="s">
        <v>13458</v>
      </c>
      <c r="J1484" s="7">
        <v>16</v>
      </c>
      <c r="K1484" s="7">
        <v>9</v>
      </c>
      <c r="L1484" s="5" t="s">
        <v>13459</v>
      </c>
      <c r="M1484" s="7">
        <v>0.8</v>
      </c>
      <c r="N1484" s="7">
        <v>0.5</v>
      </c>
      <c r="O1484" s="7">
        <v>0.89400000000000002</v>
      </c>
      <c r="P1484" s="1" t="s">
        <v>13460</v>
      </c>
    </row>
    <row r="1485" spans="1:16" ht="33.4" x14ac:dyDescent="0.3">
      <c r="A1485" s="6" t="str">
        <f>HYPERLINK("https://www.ti.com/product/TPS566235", "TPS566235")</f>
        <v>TPS566235</v>
      </c>
      <c r="B1485" s="5" t="s">
        <v>13461</v>
      </c>
      <c r="C1485" s="6" t="str">
        <f>HYPERLINK("https://www.ti.com/lit/gpn/TPS566235", "PDF")</f>
        <v>PDF</v>
      </c>
      <c r="D1485" s="5" t="s">
        <v>13462</v>
      </c>
      <c r="E1485" s="5" t="s">
        <v>13463</v>
      </c>
      <c r="F1485" s="5" t="s">
        <v>13464</v>
      </c>
      <c r="G1485" s="5" t="s">
        <v>13465</v>
      </c>
      <c r="H1485" s="1" t="s">
        <v>13466</v>
      </c>
      <c r="I1485" s="5" t="s">
        <v>13467</v>
      </c>
      <c r="J1485" s="7">
        <v>13</v>
      </c>
      <c r="K1485" s="7">
        <v>6</v>
      </c>
      <c r="L1485" s="5" t="s">
        <v>13468</v>
      </c>
      <c r="M1485" s="7">
        <v>1</v>
      </c>
      <c r="N1485" s="7">
        <v>0.5</v>
      </c>
      <c r="O1485" s="7">
        <v>1.268</v>
      </c>
      <c r="P1485" s="1" t="s">
        <v>13469</v>
      </c>
    </row>
    <row r="1486" spans="1:16" ht="33.4" x14ac:dyDescent="0.3">
      <c r="A1486" s="6" t="str">
        <f>HYPERLINK("https://www.ti.com/product/TPS7A25", "TPS7A25")</f>
        <v>TPS7A25</v>
      </c>
      <c r="B1486" s="5" t="s">
        <v>13470</v>
      </c>
      <c r="C1486" s="6" t="str">
        <f>HYPERLINK("https://www.ti.com/lit/gpn/TPS7A25", "PDF")</f>
        <v>PDF</v>
      </c>
      <c r="D1486" s="5" t="s">
        <v>13471</v>
      </c>
      <c r="E1486" s="5" t="s">
        <v>13472</v>
      </c>
      <c r="F1486" s="5"/>
      <c r="G1486" s="5" t="s">
        <v>13473</v>
      </c>
      <c r="H1486" s="1" t="s">
        <v>13474</v>
      </c>
      <c r="I1486" s="5" t="s">
        <v>13475</v>
      </c>
      <c r="J1486" s="7">
        <v>6</v>
      </c>
      <c r="K1486" s="7">
        <v>4</v>
      </c>
      <c r="L1486" s="5" t="s">
        <v>13476</v>
      </c>
      <c r="M1486" s="7">
        <v>0.8</v>
      </c>
      <c r="N1486" s="7">
        <v>0.65</v>
      </c>
      <c r="O1486" s="7">
        <v>0.28999999999999998</v>
      </c>
      <c r="P1486" s="1" t="s">
        <v>13477</v>
      </c>
    </row>
    <row r="1487" spans="1:16" ht="33.4" x14ac:dyDescent="0.3">
      <c r="A1487" s="6" t="str">
        <f>HYPERLINK("https://www.ti.com/product/TPS7A26", "TPS7A26")</f>
        <v>TPS7A26</v>
      </c>
      <c r="B1487" s="5" t="s">
        <v>13478</v>
      </c>
      <c r="C1487" s="6" t="str">
        <f>HYPERLINK("https://www.ti.com/lit/gpn/TPS7A26", "PDF")</f>
        <v>PDF</v>
      </c>
      <c r="D1487" s="5" t="s">
        <v>13479</v>
      </c>
      <c r="E1487" s="5" t="s">
        <v>13480</v>
      </c>
      <c r="F1487" s="5"/>
      <c r="G1487" s="5" t="s">
        <v>13481</v>
      </c>
      <c r="H1487" s="1" t="s">
        <v>13482</v>
      </c>
      <c r="I1487" s="5" t="s">
        <v>13483</v>
      </c>
      <c r="J1487" s="7">
        <v>6</v>
      </c>
      <c r="K1487" s="7">
        <v>4</v>
      </c>
      <c r="L1487" s="5" t="s">
        <v>13484</v>
      </c>
      <c r="M1487" s="7">
        <v>0.8</v>
      </c>
      <c r="N1487" s="7">
        <v>0.65</v>
      </c>
      <c r="O1487" s="7">
        <v>0.35099999999999998</v>
      </c>
      <c r="P1487" s="1" t="s">
        <v>13485</v>
      </c>
    </row>
    <row r="1488" spans="1:16" ht="33.4" x14ac:dyDescent="0.3">
      <c r="A1488" s="6" t="str">
        <f>HYPERLINK("https://www.ti.com/product/LM5180-Q1", "LM5180-Q1")</f>
        <v>LM5180-Q1</v>
      </c>
      <c r="B1488" s="5" t="s">
        <v>13486</v>
      </c>
      <c r="C1488" s="6" t="str">
        <f>HYPERLINK("https://www.ti.com/lit/gpn/LM5180-Q1", "PDF")</f>
        <v>PDF</v>
      </c>
      <c r="D1488" s="5" t="s">
        <v>13487</v>
      </c>
      <c r="E1488" s="5" t="s">
        <v>13488</v>
      </c>
      <c r="F1488" s="5" t="s">
        <v>13489</v>
      </c>
      <c r="G1488" s="5" t="s">
        <v>13490</v>
      </c>
      <c r="H1488" s="1" t="s">
        <v>13491</v>
      </c>
      <c r="I1488" s="5" t="s">
        <v>13492</v>
      </c>
      <c r="J1488" s="7">
        <v>8</v>
      </c>
      <c r="K1488" s="7">
        <v>16</v>
      </c>
      <c r="L1488" s="5" t="s">
        <v>13493</v>
      </c>
      <c r="M1488" s="7">
        <v>0.8</v>
      </c>
      <c r="N1488" s="7">
        <v>0.8</v>
      </c>
      <c r="O1488" s="7">
        <v>2.1629999999999998</v>
      </c>
      <c r="P1488" s="1" t="s">
        <v>13494</v>
      </c>
    </row>
    <row r="1489" spans="1:16" ht="49.75" x14ac:dyDescent="0.3">
      <c r="A1489" s="6" t="str">
        <f>HYPERLINK("https://www.ti.com/product/UC1825B-SP", "UC1825B-SP")</f>
        <v>UC1825B-SP</v>
      </c>
      <c r="B1489" s="5" t="s">
        <v>13495</v>
      </c>
      <c r="C1489" s="6" t="str">
        <f>HYPERLINK("https://www.ti.com/lit/gpn/UC1825B-SP", "PDF")</f>
        <v>PDF</v>
      </c>
      <c r="D1489" s="5" t="s">
        <v>13496</v>
      </c>
      <c r="E1489" s="5" t="s">
        <v>13497</v>
      </c>
      <c r="F1489" s="5" t="s">
        <v>13498</v>
      </c>
      <c r="G1489" s="5" t="s">
        <v>13499</v>
      </c>
      <c r="H1489" s="1" t="s">
        <v>13500</v>
      </c>
      <c r="I1489" s="5" t="s">
        <v>13501</v>
      </c>
      <c r="J1489" s="7" t="s">
        <v>13502</v>
      </c>
      <c r="K1489" s="7" t="s">
        <v>13503</v>
      </c>
      <c r="L1489" s="5" t="s">
        <v>13504</v>
      </c>
      <c r="M1489" s="7" t="s">
        <v>13505</v>
      </c>
      <c r="N1489" s="7" t="s">
        <v>13506</v>
      </c>
      <c r="O1489" s="7">
        <v>962.20600000000002</v>
      </c>
      <c r="P1489" s="1" t="s">
        <v>13507</v>
      </c>
    </row>
    <row r="1490" spans="1:16" ht="49.75" x14ac:dyDescent="0.3">
      <c r="A1490" s="6" t="str">
        <f>HYPERLINK("https://www.ti.com/product/UC1843B-SP", "UC1843B-SP")</f>
        <v>UC1843B-SP</v>
      </c>
      <c r="B1490" s="5" t="s">
        <v>13508</v>
      </c>
      <c r="C1490" s="6" t="str">
        <f>HYPERLINK("https://www.ti.com/lit/gpn/UC1843B-SP", "PDF")</f>
        <v>PDF</v>
      </c>
      <c r="D1490" s="5" t="s">
        <v>13509</v>
      </c>
      <c r="E1490" s="5" t="s">
        <v>13510</v>
      </c>
      <c r="F1490" s="5" t="s">
        <v>13511</v>
      </c>
      <c r="G1490" s="5" t="s">
        <v>13512</v>
      </c>
      <c r="H1490" s="1" t="s">
        <v>13513</v>
      </c>
      <c r="I1490" s="5" t="s">
        <v>13514</v>
      </c>
      <c r="J1490" s="7" t="s">
        <v>13515</v>
      </c>
      <c r="K1490" s="7" t="s">
        <v>13516</v>
      </c>
      <c r="L1490" s="5" t="s">
        <v>13517</v>
      </c>
      <c r="M1490" s="7" t="s">
        <v>13518</v>
      </c>
      <c r="N1490" s="7" t="s">
        <v>13519</v>
      </c>
      <c r="O1490" s="7">
        <v>722.88199999999995</v>
      </c>
      <c r="P1490" s="1" t="s">
        <v>13520</v>
      </c>
    </row>
    <row r="1491" spans="1:16" ht="33.4" x14ac:dyDescent="0.3">
      <c r="A1491" s="6" t="str">
        <f>HYPERLINK("https://www.ti.com/product/TL7700-SEP", "TL7700-SEP")</f>
        <v>TL7700-SEP</v>
      </c>
      <c r="B1491" s="5" t="s">
        <v>13521</v>
      </c>
      <c r="C1491" s="6" t="str">
        <f>HYPERLINK("https://www.ti.com/lit/gpn/TL7700-SEP", "PDF")</f>
        <v>PDF</v>
      </c>
      <c r="D1491" s="5" t="s">
        <v>13522</v>
      </c>
      <c r="E1491" s="5" t="s">
        <v>13523</v>
      </c>
      <c r="F1491" s="5"/>
      <c r="G1491" s="5" t="s">
        <v>13524</v>
      </c>
      <c r="H1491" s="1" t="s">
        <v>13525</v>
      </c>
      <c r="I1491" s="5" t="s">
        <v>13526</v>
      </c>
      <c r="J1491" s="7">
        <v>8</v>
      </c>
      <c r="K1491" s="7">
        <v>19.2</v>
      </c>
      <c r="L1491" s="5" t="s">
        <v>13527</v>
      </c>
      <c r="M1491" s="7">
        <v>1.2</v>
      </c>
      <c r="N1491" s="7">
        <v>0.65</v>
      </c>
      <c r="O1491" s="7">
        <v>178.517</v>
      </c>
      <c r="P1491" s="1" t="s">
        <v>13528</v>
      </c>
    </row>
    <row r="1492" spans="1:16" ht="33.4" x14ac:dyDescent="0.3">
      <c r="A1492" s="6" t="str">
        <f>HYPERLINK("https://www.ti.com/product/TPS7A16A-Q1", "TPS7A16A-Q1")</f>
        <v>TPS7A16A-Q1</v>
      </c>
      <c r="B1492" s="5" t="s">
        <v>13529</v>
      </c>
      <c r="C1492" s="6" t="str">
        <f>HYPERLINK("https://www.ti.com/lit/gpn/TPS7A16A-Q1", "PDF")</f>
        <v>PDF</v>
      </c>
      <c r="D1492" s="5" t="s">
        <v>13530</v>
      </c>
      <c r="E1492" s="5" t="s">
        <v>13531</v>
      </c>
      <c r="F1492" s="5"/>
      <c r="G1492" s="5" t="s">
        <v>13532</v>
      </c>
      <c r="H1492" s="1" t="s">
        <v>13533</v>
      </c>
      <c r="I1492" s="5" t="s">
        <v>13534</v>
      </c>
      <c r="J1492" s="7">
        <v>8</v>
      </c>
      <c r="K1492" s="7">
        <v>14.7</v>
      </c>
      <c r="L1492" s="5" t="s">
        <v>13535</v>
      </c>
      <c r="M1492" s="7">
        <v>1.1000000000000001</v>
      </c>
      <c r="N1492" s="7">
        <v>0.65</v>
      </c>
      <c r="O1492" s="7">
        <v>1.276</v>
      </c>
      <c r="P1492" s="1" t="s">
        <v>13536</v>
      </c>
    </row>
    <row r="1493" spans="1:16" ht="33.4" x14ac:dyDescent="0.3">
      <c r="A1493" s="6" t="str">
        <f>HYPERLINK("https://www.ti.com/product/TPS562231", "TPS562231")</f>
        <v>TPS562231</v>
      </c>
      <c r="B1493" s="5" t="s">
        <v>13537</v>
      </c>
      <c r="C1493" s="6" t="str">
        <f>HYPERLINK("https://www.ti.com/lit/gpn/TPS562231", "PDF")</f>
        <v>PDF</v>
      </c>
      <c r="D1493" s="5" t="s">
        <v>13538</v>
      </c>
      <c r="E1493" s="5" t="s">
        <v>13539</v>
      </c>
      <c r="F1493" s="5" t="s">
        <v>13540</v>
      </c>
      <c r="G1493" s="5" t="s">
        <v>13541</v>
      </c>
      <c r="H1493" s="1" t="s">
        <v>13542</v>
      </c>
      <c r="I1493" s="5" t="s">
        <v>13543</v>
      </c>
      <c r="J1493" s="7">
        <v>6</v>
      </c>
      <c r="K1493" s="7">
        <v>2.56</v>
      </c>
      <c r="L1493" s="5" t="s">
        <v>13544</v>
      </c>
      <c r="M1493" s="7">
        <v>0.6</v>
      </c>
      <c r="N1493" s="7">
        <v>0.5</v>
      </c>
      <c r="O1493" s="7">
        <v>0.127</v>
      </c>
      <c r="P1493" s="1" t="s">
        <v>13545</v>
      </c>
    </row>
    <row r="1494" spans="1:16" ht="17.05" x14ac:dyDescent="0.3">
      <c r="A1494" s="6" t="str">
        <f>HYPERLINK("https://www.ti.com/product/TPS65653-Q1", "TPS65653-Q1")</f>
        <v>TPS65653-Q1</v>
      </c>
      <c r="B1494" s="5" t="s">
        <v>13546</v>
      </c>
      <c r="C1494" s="6" t="str">
        <f>HYPERLINK("https://www.ti.com/lit/gpn/TPS65653-Q1", "PDF")</f>
        <v>PDF</v>
      </c>
      <c r="D1494" s="5" t="s">
        <v>13547</v>
      </c>
      <c r="E1494" s="5" t="s">
        <v>13548</v>
      </c>
      <c r="F1494" s="5"/>
      <c r="G1494" s="5" t="s">
        <v>13549</v>
      </c>
      <c r="H1494" s="1" t="s">
        <v>13550</v>
      </c>
      <c r="I1494" s="5" t="s">
        <v>13551</v>
      </c>
      <c r="J1494" s="7">
        <v>28</v>
      </c>
      <c r="K1494" s="7">
        <v>25</v>
      </c>
      <c r="L1494" s="5" t="s">
        <v>13552</v>
      </c>
      <c r="M1494" s="7">
        <v>1</v>
      </c>
      <c r="N1494" s="7">
        <v>0.5</v>
      </c>
      <c r="O1494" s="7">
        <v>1.94</v>
      </c>
      <c r="P1494" s="1" t="s">
        <v>13553</v>
      </c>
    </row>
    <row r="1495" spans="1:16" ht="33.4" x14ac:dyDescent="0.3">
      <c r="A1495" s="6" t="str">
        <f>HYPERLINK("https://www.ti.com/product/TPS568230", "TPS568230")</f>
        <v>TPS568230</v>
      </c>
      <c r="B1495" s="5" t="s">
        <v>13554</v>
      </c>
      <c r="C1495" s="6" t="str">
        <f>HYPERLINK("https://www.ti.com/lit/gpn/TPS568230", "PDF")</f>
        <v>PDF</v>
      </c>
      <c r="D1495" s="5" t="s">
        <v>13555</v>
      </c>
      <c r="E1495" s="5" t="s">
        <v>13556</v>
      </c>
      <c r="F1495" s="5" t="s">
        <v>13557</v>
      </c>
      <c r="G1495" s="5" t="s">
        <v>13558</v>
      </c>
      <c r="H1495" s="1" t="s">
        <v>13559</v>
      </c>
      <c r="I1495" s="5" t="s">
        <v>13560</v>
      </c>
      <c r="J1495" s="7">
        <v>20</v>
      </c>
      <c r="K1495" s="7">
        <v>9</v>
      </c>
      <c r="L1495" s="5" t="s">
        <v>13561</v>
      </c>
      <c r="M1495" s="7">
        <v>1</v>
      </c>
      <c r="N1495" s="7">
        <v>0.5</v>
      </c>
      <c r="O1495" s="7">
        <v>0.81200000000000006</v>
      </c>
      <c r="P1495" s="1" t="s">
        <v>13562</v>
      </c>
    </row>
    <row r="1496" spans="1:16" ht="33.4" x14ac:dyDescent="0.3">
      <c r="A1496" s="6" t="str">
        <f>HYPERLINK("https://www.ti.com/product/TPS61022", "TPS61022")</f>
        <v>TPS61022</v>
      </c>
      <c r="B1496" s="5" t="s">
        <v>13563</v>
      </c>
      <c r="C1496" s="6" t="str">
        <f>HYPERLINK("https://www.ti.com/lit/gpn/TPS61022", "PDF")</f>
        <v>PDF</v>
      </c>
      <c r="D1496" s="5" t="s">
        <v>13564</v>
      </c>
      <c r="E1496" s="5" t="s">
        <v>13565</v>
      </c>
      <c r="F1496" s="5" t="s">
        <v>13566</v>
      </c>
      <c r="G1496" s="5" t="s">
        <v>13567</v>
      </c>
      <c r="H1496" s="1" t="s">
        <v>13568</v>
      </c>
      <c r="I1496" s="5" t="s">
        <v>13569</v>
      </c>
      <c r="J1496" s="7">
        <v>7</v>
      </c>
      <c r="K1496" s="7">
        <v>4</v>
      </c>
      <c r="L1496" s="5" t="s">
        <v>13570</v>
      </c>
      <c r="M1496" s="7">
        <v>0.9</v>
      </c>
      <c r="N1496" s="7">
        <v>0.5</v>
      </c>
      <c r="O1496" s="7">
        <v>0.751</v>
      </c>
      <c r="P1496" s="1" t="s">
        <v>13571</v>
      </c>
    </row>
    <row r="1497" spans="1:16" ht="49.75" x14ac:dyDescent="0.3">
      <c r="A1497" s="6" t="str">
        <f>HYPERLINK("https://www.ti.com/product/TPS62827", "TPS62827")</f>
        <v>TPS62827</v>
      </c>
      <c r="B1497" s="5" t="s">
        <v>13572</v>
      </c>
      <c r="C1497" s="6" t="str">
        <f>HYPERLINK("https://www.ti.com/lit/gpn/TPS62827", "PDF")</f>
        <v>PDF</v>
      </c>
      <c r="D1497" s="5" t="s">
        <v>13573</v>
      </c>
      <c r="E1497" s="5" t="s">
        <v>13574</v>
      </c>
      <c r="F1497" s="5" t="s">
        <v>13575</v>
      </c>
      <c r="G1497" s="5" t="s">
        <v>13576</v>
      </c>
      <c r="H1497" s="1" t="s">
        <v>13577</v>
      </c>
      <c r="I1497" s="5" t="s">
        <v>13578</v>
      </c>
      <c r="J1497" s="7">
        <v>6</v>
      </c>
      <c r="K1497" s="7">
        <v>2.25</v>
      </c>
      <c r="L1497" s="5" t="s">
        <v>13579</v>
      </c>
      <c r="M1497" s="7">
        <v>1</v>
      </c>
      <c r="N1497" s="7">
        <v>0.5</v>
      </c>
      <c r="O1497" s="7">
        <v>0.56200000000000006</v>
      </c>
      <c r="P1497" s="1" t="s">
        <v>13580</v>
      </c>
    </row>
    <row r="1498" spans="1:16" ht="33.4" x14ac:dyDescent="0.3">
      <c r="A1498" s="6" t="str">
        <f>HYPERLINK("https://www.ti.com/product/UCC21530", "UCC21530")</f>
        <v>UCC21530</v>
      </c>
      <c r="B1498" s="5" t="s">
        <v>13581</v>
      </c>
      <c r="C1498" s="6" t="str">
        <f>HYPERLINK("https://www.ti.com/lit/gpn/UCC21530", "PDF")</f>
        <v>PDF</v>
      </c>
      <c r="D1498" s="5" t="s">
        <v>13582</v>
      </c>
      <c r="E1498" s="5" t="s">
        <v>13583</v>
      </c>
      <c r="F1498" s="5"/>
      <c r="G1498" s="5" t="s">
        <v>13584</v>
      </c>
      <c r="H1498" s="1" t="s">
        <v>13585</v>
      </c>
      <c r="I1498" s="5" t="s">
        <v>13586</v>
      </c>
      <c r="J1498" s="7">
        <v>14</v>
      </c>
      <c r="K1498" s="7">
        <v>106.09</v>
      </c>
      <c r="L1498" s="5" t="s">
        <v>13587</v>
      </c>
      <c r="M1498" s="7">
        <v>2.65</v>
      </c>
      <c r="N1498" s="7">
        <v>1.27</v>
      </c>
      <c r="O1498" s="7">
        <v>1.75</v>
      </c>
      <c r="P1498" s="1" t="s">
        <v>13588</v>
      </c>
    </row>
    <row r="1499" spans="1:16" ht="33.4" x14ac:dyDescent="0.3">
      <c r="A1499" s="6" t="str">
        <f>HYPERLINK("https://www.ti.com/product/UCC21530-Q1", "UCC21530-Q1")</f>
        <v>UCC21530-Q1</v>
      </c>
      <c r="B1499" s="5" t="s">
        <v>13589</v>
      </c>
      <c r="C1499" s="6" t="str">
        <f>HYPERLINK("https://www.ti.com/lit/gpn/UCC21530-Q1", "PDF")</f>
        <v>PDF</v>
      </c>
      <c r="D1499" s="5" t="s">
        <v>13590</v>
      </c>
      <c r="E1499" s="5" t="s">
        <v>13591</v>
      </c>
      <c r="F1499" s="5"/>
      <c r="G1499" s="5" t="s">
        <v>13592</v>
      </c>
      <c r="H1499" s="1" t="s">
        <v>13593</v>
      </c>
      <c r="I1499" s="5" t="s">
        <v>13594</v>
      </c>
      <c r="J1499" s="7">
        <v>14</v>
      </c>
      <c r="K1499" s="7">
        <v>106.09</v>
      </c>
      <c r="L1499" s="5" t="s">
        <v>13595</v>
      </c>
      <c r="M1499" s="7">
        <v>2.65</v>
      </c>
      <c r="N1499" s="7">
        <v>1.27</v>
      </c>
      <c r="O1499" s="7">
        <v>3.0630000000000002</v>
      </c>
      <c r="P1499" s="1" t="s">
        <v>13596</v>
      </c>
    </row>
    <row r="1500" spans="1:16" ht="33.4" x14ac:dyDescent="0.3">
      <c r="A1500" s="6" t="str">
        <f>HYPERLINK("https://www.ti.com/product/TPS1663", "TPS1663")</f>
        <v>TPS1663</v>
      </c>
      <c r="B1500" s="5" t="s">
        <v>13597</v>
      </c>
      <c r="C1500" s="6" t="str">
        <f>HYPERLINK("https://www.ti.com/lit/gpn/TPS1663", "PDF")</f>
        <v>PDF</v>
      </c>
      <c r="D1500" s="5" t="s">
        <v>13598</v>
      </c>
      <c r="E1500" s="5" t="s">
        <v>13599</v>
      </c>
      <c r="F1500" s="5"/>
      <c r="G1500" s="5" t="s">
        <v>13600</v>
      </c>
      <c r="H1500" s="1" t="s">
        <v>13601</v>
      </c>
      <c r="I1500" s="5" t="s">
        <v>13602</v>
      </c>
      <c r="J1500" s="7" t="s">
        <v>13603</v>
      </c>
      <c r="K1500" s="7" t="s">
        <v>13604</v>
      </c>
      <c r="L1500" s="5" t="s">
        <v>13605</v>
      </c>
      <c r="M1500" s="7" t="s">
        <v>13606</v>
      </c>
      <c r="N1500" s="7" t="s">
        <v>13607</v>
      </c>
      <c r="O1500" s="7">
        <v>1.5529999999999999</v>
      </c>
      <c r="P1500" s="1" t="s">
        <v>13608</v>
      </c>
    </row>
    <row r="1501" spans="1:16" ht="33.4" x14ac:dyDescent="0.3">
      <c r="A1501" s="6" t="str">
        <f>HYPERLINK("https://www.ti.com/product/TPS2663", "TPS2663")</f>
        <v>TPS2663</v>
      </c>
      <c r="B1501" s="5" t="s">
        <v>13609</v>
      </c>
      <c r="C1501" s="6" t="str">
        <f>HYPERLINK("https://www.ti.com/lit/gpn/TPS2663", "PDF")</f>
        <v>PDF</v>
      </c>
      <c r="D1501" s="5" t="s">
        <v>13610</v>
      </c>
      <c r="E1501" s="5" t="s">
        <v>13611</v>
      </c>
      <c r="F1501" s="5"/>
      <c r="G1501" s="5" t="s">
        <v>13612</v>
      </c>
      <c r="H1501" s="1" t="s">
        <v>13613</v>
      </c>
      <c r="I1501" s="5" t="s">
        <v>13614</v>
      </c>
      <c r="J1501" s="7" t="s">
        <v>13615</v>
      </c>
      <c r="K1501" s="7" t="s">
        <v>13616</v>
      </c>
      <c r="L1501" s="5" t="s">
        <v>13617</v>
      </c>
      <c r="M1501" s="7" t="s">
        <v>13618</v>
      </c>
      <c r="N1501" s="7" t="s">
        <v>13619</v>
      </c>
      <c r="O1501" s="7">
        <v>1.61</v>
      </c>
      <c r="P1501" s="1" t="s">
        <v>13620</v>
      </c>
    </row>
    <row r="1502" spans="1:16" ht="33.4" x14ac:dyDescent="0.3">
      <c r="A1502" s="6" t="str">
        <f>HYPERLINK("https://www.ti.com/product/LM5164-Q1", "LM5164-Q1")</f>
        <v>LM5164-Q1</v>
      </c>
      <c r="B1502" s="5" t="s">
        <v>13621</v>
      </c>
      <c r="C1502" s="6" t="str">
        <f>HYPERLINK("https://www.ti.com/lit/gpn/LM5164-Q1", "PDF")</f>
        <v>PDF</v>
      </c>
      <c r="D1502" s="5" t="s">
        <v>13622</v>
      </c>
      <c r="E1502" s="5" t="s">
        <v>13623</v>
      </c>
      <c r="F1502" s="5" t="s">
        <v>13624</v>
      </c>
      <c r="G1502" s="5" t="s">
        <v>13625</v>
      </c>
      <c r="H1502" s="1" t="s">
        <v>13626</v>
      </c>
      <c r="I1502" s="5" t="s">
        <v>13627</v>
      </c>
      <c r="J1502" s="7">
        <v>8</v>
      </c>
      <c r="K1502" s="7">
        <v>29.4</v>
      </c>
      <c r="L1502" s="5" t="s">
        <v>13628</v>
      </c>
      <c r="M1502" s="7">
        <v>1.7</v>
      </c>
      <c r="N1502" s="7">
        <v>1.27</v>
      </c>
      <c r="O1502" s="7">
        <v>1.9179999999999999</v>
      </c>
      <c r="P1502" s="1" t="s">
        <v>13629</v>
      </c>
    </row>
    <row r="1503" spans="1:16" ht="33.4" x14ac:dyDescent="0.3">
      <c r="A1503" s="6" t="str">
        <f>HYPERLINK("https://www.ti.com/product/TPS51396A", "TPS51396A")</f>
        <v>TPS51396A</v>
      </c>
      <c r="B1503" s="5" t="s">
        <v>13630</v>
      </c>
      <c r="C1503" s="6" t="str">
        <f>HYPERLINK("https://www.ti.com/lit/gpn/TPS51396A", "PDF")</f>
        <v>PDF</v>
      </c>
      <c r="D1503" s="5" t="s">
        <v>13631</v>
      </c>
      <c r="E1503" s="5" t="s">
        <v>13632</v>
      </c>
      <c r="F1503" s="5" t="s">
        <v>13633</v>
      </c>
      <c r="G1503" s="5" t="s">
        <v>13634</v>
      </c>
      <c r="H1503" s="1" t="s">
        <v>13635</v>
      </c>
      <c r="I1503" s="5" t="s">
        <v>13636</v>
      </c>
      <c r="J1503" s="7">
        <v>20</v>
      </c>
      <c r="K1503" s="7">
        <v>9</v>
      </c>
      <c r="L1503" s="5" t="s">
        <v>13637</v>
      </c>
      <c r="M1503" s="7">
        <v>1</v>
      </c>
      <c r="N1503" s="7">
        <v>0.5</v>
      </c>
      <c r="O1503" s="7">
        <v>0.46300000000000002</v>
      </c>
      <c r="P1503" s="1" t="s">
        <v>13638</v>
      </c>
    </row>
    <row r="1504" spans="1:16" ht="49.75" x14ac:dyDescent="0.3">
      <c r="A1504" s="6" t="str">
        <f>HYPERLINK("https://www.ti.com/product/REF3430-EP", "REF3430-EP")</f>
        <v>REF3430-EP</v>
      </c>
      <c r="B1504" s="5" t="s">
        <v>13639</v>
      </c>
      <c r="C1504" s="6" t="str">
        <f>HYPERLINK("https://www.ti.com/lit/gpn/REF3430-EP", "PDF")</f>
        <v>PDF</v>
      </c>
      <c r="D1504" s="5" t="s">
        <v>13640</v>
      </c>
      <c r="E1504" s="5" t="s">
        <v>13641</v>
      </c>
      <c r="F1504" s="5"/>
      <c r="G1504" s="5" t="s">
        <v>13642</v>
      </c>
      <c r="H1504" s="1" t="s">
        <v>13643</v>
      </c>
      <c r="I1504" s="5" t="s">
        <v>13644</v>
      </c>
      <c r="J1504" s="7">
        <v>6</v>
      </c>
      <c r="K1504" s="7">
        <v>8.1199999999999992</v>
      </c>
      <c r="L1504" s="5" t="s">
        <v>13645</v>
      </c>
      <c r="M1504" s="7">
        <v>1.45</v>
      </c>
      <c r="N1504" s="7">
        <v>0.95</v>
      </c>
      <c r="O1504" s="7">
        <v>3.3570000000000002</v>
      </c>
      <c r="P1504" s="1" t="s">
        <v>13646</v>
      </c>
    </row>
    <row r="1505" spans="1:16" ht="49.75" x14ac:dyDescent="0.3">
      <c r="A1505" s="6" t="str">
        <f>HYPERLINK("https://www.ti.com/product/REF3433-EP", "REF3433-EP")</f>
        <v>REF3433-EP</v>
      </c>
      <c r="B1505" s="5" t="s">
        <v>13647</v>
      </c>
      <c r="C1505" s="6" t="str">
        <f>HYPERLINK("https://www.ti.com/lit/gpn/REF3433-EP", "PDF")</f>
        <v>PDF</v>
      </c>
      <c r="D1505" s="5" t="s">
        <v>13648</v>
      </c>
      <c r="E1505" s="5" t="s">
        <v>13649</v>
      </c>
      <c r="F1505" s="5"/>
      <c r="G1505" s="5" t="s">
        <v>13650</v>
      </c>
      <c r="H1505" s="1" t="s">
        <v>13651</v>
      </c>
      <c r="I1505" s="5" t="s">
        <v>13652</v>
      </c>
      <c r="J1505" s="7">
        <v>6</v>
      </c>
      <c r="K1505" s="7">
        <v>8.1199999999999992</v>
      </c>
      <c r="L1505" s="5" t="s">
        <v>13653</v>
      </c>
      <c r="M1505" s="7">
        <v>1.45</v>
      </c>
      <c r="N1505" s="7">
        <v>0.95</v>
      </c>
      <c r="O1505" s="7">
        <v>3.3570000000000002</v>
      </c>
      <c r="P1505" s="1" t="s">
        <v>13654</v>
      </c>
    </row>
    <row r="1506" spans="1:16" ht="33.4" x14ac:dyDescent="0.3">
      <c r="A1506" s="6" t="str">
        <f>HYPERLINK("https://www.ti.com/product/TPS563231", "TPS563231")</f>
        <v>TPS563231</v>
      </c>
      <c r="B1506" s="5" t="s">
        <v>13655</v>
      </c>
      <c r="C1506" s="6" t="str">
        <f>HYPERLINK("https://www.ti.com/lit/gpn/TPS563231", "PDF")</f>
        <v>PDF</v>
      </c>
      <c r="D1506" s="5" t="s">
        <v>13656</v>
      </c>
      <c r="E1506" s="5" t="s">
        <v>13657</v>
      </c>
      <c r="F1506" s="5" t="s">
        <v>13658</v>
      </c>
      <c r="G1506" s="5" t="s">
        <v>13659</v>
      </c>
      <c r="H1506" s="1" t="s">
        <v>13660</v>
      </c>
      <c r="I1506" s="5" t="s">
        <v>13661</v>
      </c>
      <c r="J1506" s="7">
        <v>6</v>
      </c>
      <c r="K1506" s="7">
        <v>2.56</v>
      </c>
      <c r="L1506" s="5" t="s">
        <v>13662</v>
      </c>
      <c r="M1506" s="7">
        <v>0.6</v>
      </c>
      <c r="N1506" s="7">
        <v>0.5</v>
      </c>
      <c r="O1506" s="7">
        <v>0.26600000000000001</v>
      </c>
      <c r="P1506" s="1" t="s">
        <v>13663</v>
      </c>
    </row>
    <row r="1507" spans="1:16" ht="17.05" x14ac:dyDescent="0.3">
      <c r="A1507" s="6" t="str">
        <f>HYPERLINK("https://www.ti.com/product/TPS65295", "TPS65295")</f>
        <v>TPS65295</v>
      </c>
      <c r="B1507" s="5" t="s">
        <v>13664</v>
      </c>
      <c r="C1507" s="6" t="str">
        <f>HYPERLINK("https://www.ti.com/lit/gpn/TPS65295", "PDF")</f>
        <v>PDF</v>
      </c>
      <c r="D1507" s="5" t="s">
        <v>13665</v>
      </c>
      <c r="E1507" s="5" t="s">
        <v>13666</v>
      </c>
      <c r="F1507" s="5"/>
      <c r="G1507" s="5" t="s">
        <v>13667</v>
      </c>
      <c r="H1507" s="1" t="s">
        <v>13668</v>
      </c>
      <c r="I1507" s="5" t="s">
        <v>13669</v>
      </c>
      <c r="J1507" s="7">
        <v>18</v>
      </c>
      <c r="K1507" s="7">
        <v>9</v>
      </c>
      <c r="L1507" s="5" t="s">
        <v>13670</v>
      </c>
      <c r="M1507" s="7">
        <v>1</v>
      </c>
      <c r="N1507" s="7">
        <v>0.5</v>
      </c>
      <c r="O1507" s="7">
        <v>1.472</v>
      </c>
      <c r="P1507" s="1" t="s">
        <v>13671</v>
      </c>
    </row>
    <row r="1508" spans="1:16" ht="17.05" x14ac:dyDescent="0.3">
      <c r="A1508" s="6" t="str">
        <f>HYPERLINK("https://www.ti.com/product/TPS22919", "TPS22919")</f>
        <v>TPS22919</v>
      </c>
      <c r="B1508" s="5" t="s">
        <v>13672</v>
      </c>
      <c r="C1508" s="6" t="str">
        <f>HYPERLINK("https://www.ti.com/lit/gpn/TPS22919", "PDF")</f>
        <v>PDF</v>
      </c>
      <c r="D1508" s="5" t="s">
        <v>13673</v>
      </c>
      <c r="E1508" s="5" t="s">
        <v>13674</v>
      </c>
      <c r="F1508" s="5"/>
      <c r="G1508" s="5" t="s">
        <v>13675</v>
      </c>
      <c r="H1508" s="1" t="s">
        <v>13676</v>
      </c>
      <c r="I1508" s="5" t="s">
        <v>13677</v>
      </c>
      <c r="J1508" s="7">
        <v>6</v>
      </c>
      <c r="K1508" s="7">
        <v>4.2</v>
      </c>
      <c r="L1508" s="5" t="s">
        <v>13678</v>
      </c>
      <c r="M1508" s="7">
        <v>1.1000000000000001</v>
      </c>
      <c r="N1508" s="7">
        <v>0.65</v>
      </c>
      <c r="O1508" s="7">
        <v>5.1999999999999998E-2</v>
      </c>
      <c r="P1508" s="1" t="s">
        <v>13679</v>
      </c>
    </row>
    <row r="1509" spans="1:16" ht="33.4" x14ac:dyDescent="0.3">
      <c r="A1509" s="6" t="str">
        <f>HYPERLINK("https://www.ti.com/product/LM74700-Q1", "LM74700-Q1")</f>
        <v>LM74700-Q1</v>
      </c>
      <c r="B1509" s="5" t="s">
        <v>13680</v>
      </c>
      <c r="C1509" s="6" t="str">
        <f>HYPERLINK("https://www.ti.com/lit/gpn/LM74700-Q1", "PDF")</f>
        <v>PDF</v>
      </c>
      <c r="D1509" s="5" t="s">
        <v>13681</v>
      </c>
      <c r="E1509" s="5" t="s">
        <v>13682</v>
      </c>
      <c r="F1509" s="5"/>
      <c r="G1509" s="5" t="s">
        <v>13683</v>
      </c>
      <c r="H1509" s="1" t="s">
        <v>13684</v>
      </c>
      <c r="I1509" s="5" t="s">
        <v>13685</v>
      </c>
      <c r="J1509" s="7" t="s">
        <v>13686</v>
      </c>
      <c r="K1509" s="7">
        <v>8.1199999999999992</v>
      </c>
      <c r="L1509" s="5" t="s">
        <v>13687</v>
      </c>
      <c r="M1509" s="7" t="s">
        <v>13688</v>
      </c>
      <c r="N1509" s="7" t="s">
        <v>13689</v>
      </c>
      <c r="O1509" s="7">
        <v>0.68899999999999995</v>
      </c>
      <c r="P1509" s="1" t="s">
        <v>13690</v>
      </c>
    </row>
    <row r="1510" spans="1:16" ht="17.05" x14ac:dyDescent="0.3">
      <c r="A1510" s="6" t="str">
        <f>HYPERLINK("https://www.ti.com/product/TPS2120", "TPS2120")</f>
        <v>TPS2120</v>
      </c>
      <c r="B1510" s="5" t="s">
        <v>13691</v>
      </c>
      <c r="C1510" s="6" t="str">
        <f>HYPERLINK("https://www.ti.com/lit/gpn/TPS2120", "PDF")</f>
        <v>PDF</v>
      </c>
      <c r="D1510" s="5" t="s">
        <v>13692</v>
      </c>
      <c r="E1510" s="5" t="s">
        <v>13693</v>
      </c>
      <c r="F1510" s="5"/>
      <c r="G1510" s="5" t="s">
        <v>13694</v>
      </c>
      <c r="H1510" s="1" t="s">
        <v>13695</v>
      </c>
      <c r="I1510" s="5" t="s">
        <v>13696</v>
      </c>
      <c r="J1510" s="7">
        <v>20</v>
      </c>
      <c r="K1510" s="7">
        <v>3.96</v>
      </c>
      <c r="L1510" s="5" t="s">
        <v>13697</v>
      </c>
      <c r="M1510" s="7">
        <v>0.5</v>
      </c>
      <c r="N1510" s="7">
        <v>0.4</v>
      </c>
      <c r="O1510" s="7">
        <v>0.82799999999999996</v>
      </c>
      <c r="P1510" s="1" t="s">
        <v>13698</v>
      </c>
    </row>
    <row r="1511" spans="1:16" ht="33.4" x14ac:dyDescent="0.3">
      <c r="A1511" s="6" t="str">
        <f>HYPERLINK("https://www.ti.com/product/CSD96497Q5MC", "CSD96497Q5MC")</f>
        <v>CSD96497Q5MC</v>
      </c>
      <c r="B1511" s="5" t="s">
        <v>13699</v>
      </c>
      <c r="C1511" s="6" t="str">
        <f>HYPERLINK("https://www.ti.com/lit/gpn/CSD96497Q5MC", "PDF")</f>
        <v>PDF</v>
      </c>
      <c r="D1511" s="5" t="s">
        <v>13700</v>
      </c>
      <c r="E1511" s="5" t="s">
        <v>13701</v>
      </c>
      <c r="F1511" s="5"/>
      <c r="G1511" s="5" t="s">
        <v>13702</v>
      </c>
      <c r="H1511" s="1" t="s">
        <v>13703</v>
      </c>
      <c r="I1511" s="5" t="s">
        <v>13704</v>
      </c>
      <c r="J1511" s="7">
        <v>12</v>
      </c>
      <c r="K1511" s="7">
        <v>30</v>
      </c>
      <c r="L1511" s="5" t="s">
        <v>13705</v>
      </c>
      <c r="M1511" s="7">
        <v>1.05</v>
      </c>
      <c r="N1511" s="7">
        <v>0.5</v>
      </c>
      <c r="O1511" s="7">
        <v>2.4980000000000002</v>
      </c>
      <c r="P1511" s="1" t="s">
        <v>13706</v>
      </c>
    </row>
    <row r="1512" spans="1:16" ht="33.4" x14ac:dyDescent="0.3">
      <c r="A1512" s="6" t="str">
        <f>HYPERLINK("https://www.ti.com/product/LMG1210", "LMG1210")</f>
        <v>LMG1210</v>
      </c>
      <c r="B1512" s="5" t="s">
        <v>13707</v>
      </c>
      <c r="C1512" s="6" t="str">
        <f>HYPERLINK("https://www.ti.com/lit/gpn/LMG1210", "PDF")</f>
        <v>PDF</v>
      </c>
      <c r="D1512" s="5" t="s">
        <v>13708</v>
      </c>
      <c r="E1512" s="5" t="s">
        <v>13709</v>
      </c>
      <c r="F1512" s="5"/>
      <c r="G1512" s="5" t="s">
        <v>13710</v>
      </c>
      <c r="H1512" s="1" t="s">
        <v>13711</v>
      </c>
      <c r="I1512" s="5" t="s">
        <v>13712</v>
      </c>
      <c r="J1512" s="7">
        <v>19</v>
      </c>
      <c r="K1512" s="7">
        <v>12</v>
      </c>
      <c r="L1512" s="5" t="s">
        <v>13713</v>
      </c>
      <c r="M1512" s="7">
        <v>0.8</v>
      </c>
      <c r="N1512" s="7">
        <v>0.5</v>
      </c>
      <c r="O1512" s="7">
        <v>1.627</v>
      </c>
      <c r="P1512" s="1" t="s">
        <v>13714</v>
      </c>
    </row>
    <row r="1513" spans="1:16" ht="33.4" x14ac:dyDescent="0.3">
      <c r="A1513" s="6" t="str">
        <f>HYPERLINK("https://www.ti.com/product/TPS62807", "TPS62807")</f>
        <v>TPS62807</v>
      </c>
      <c r="B1513" s="5" t="s">
        <v>13715</v>
      </c>
      <c r="C1513" s="6" t="str">
        <f>HYPERLINK("https://www.ti.com/lit/gpn/TPS62807", "PDF")</f>
        <v>PDF</v>
      </c>
      <c r="D1513" s="5" t="s">
        <v>13716</v>
      </c>
      <c r="E1513" s="5" t="s">
        <v>13717</v>
      </c>
      <c r="F1513" s="5" t="s">
        <v>13718</v>
      </c>
      <c r="G1513" s="5" t="s">
        <v>13719</v>
      </c>
      <c r="H1513" s="1" t="s">
        <v>13720</v>
      </c>
      <c r="I1513" s="5" t="s">
        <v>13721</v>
      </c>
      <c r="J1513" s="7">
        <v>6</v>
      </c>
      <c r="K1513" s="7">
        <v>0.73499999999999999</v>
      </c>
      <c r="L1513" s="5" t="s">
        <v>13722</v>
      </c>
      <c r="M1513" s="7">
        <v>0.4</v>
      </c>
      <c r="N1513" s="7">
        <v>0.35</v>
      </c>
      <c r="O1513" s="7">
        <v>0.435</v>
      </c>
      <c r="P1513" s="1" t="s">
        <v>13723</v>
      </c>
    </row>
    <row r="1514" spans="1:16" ht="33.4" x14ac:dyDescent="0.3">
      <c r="A1514" s="6" t="str">
        <f>HYPERLINK("https://www.ti.com/product/TPS62808", "TPS62808")</f>
        <v>TPS62808</v>
      </c>
      <c r="B1514" s="5" t="s">
        <v>13724</v>
      </c>
      <c r="C1514" s="6" t="str">
        <f>HYPERLINK("https://www.ti.com/lit/gpn/TPS62808", "PDF")</f>
        <v>PDF</v>
      </c>
      <c r="D1514" s="5" t="s">
        <v>13725</v>
      </c>
      <c r="E1514" s="5" t="s">
        <v>13726</v>
      </c>
      <c r="F1514" s="5" t="s">
        <v>13727</v>
      </c>
      <c r="G1514" s="5" t="s">
        <v>13728</v>
      </c>
      <c r="H1514" s="1" t="s">
        <v>13729</v>
      </c>
      <c r="I1514" s="5" t="s">
        <v>13730</v>
      </c>
      <c r="J1514" s="7">
        <v>6</v>
      </c>
      <c r="K1514" s="7">
        <v>0.73499999999999999</v>
      </c>
      <c r="L1514" s="5" t="s">
        <v>13731</v>
      </c>
      <c r="M1514" s="7">
        <v>0.4</v>
      </c>
      <c r="N1514" s="7">
        <v>0.35</v>
      </c>
      <c r="O1514" s="7">
        <v>0.435</v>
      </c>
      <c r="P1514" s="1" t="s">
        <v>13732</v>
      </c>
    </row>
    <row r="1515" spans="1:16" ht="17.05" x14ac:dyDescent="0.3">
      <c r="A1515" s="6" t="str">
        <f>HYPERLINK("https://www.ti.com/product/LP5030", "LP5030")</f>
        <v>LP5030</v>
      </c>
      <c r="B1515" s="5" t="s">
        <v>13733</v>
      </c>
      <c r="C1515" s="6" t="str">
        <f>HYPERLINK("https://www.ti.com/lit/gpn/LP5030", "PDF")</f>
        <v>PDF</v>
      </c>
      <c r="D1515" s="5" t="s">
        <v>13734</v>
      </c>
      <c r="E1515" s="5" t="s">
        <v>13735</v>
      </c>
      <c r="F1515" s="5" t="s">
        <v>13736</v>
      </c>
      <c r="G1515" s="5" t="s">
        <v>13737</v>
      </c>
      <c r="H1515" s="1" t="s">
        <v>13738</v>
      </c>
      <c r="I1515" s="5" t="s">
        <v>13739</v>
      </c>
      <c r="J1515" s="7">
        <v>46</v>
      </c>
      <c r="K1515" s="7">
        <v>30</v>
      </c>
      <c r="L1515" s="5" t="s">
        <v>13740</v>
      </c>
      <c r="M1515" s="7">
        <v>1</v>
      </c>
      <c r="N1515" s="7">
        <v>0.4</v>
      </c>
      <c r="O1515" s="7">
        <v>0.66800000000000004</v>
      </c>
      <c r="P1515" s="1" t="s">
        <v>13741</v>
      </c>
    </row>
    <row r="1516" spans="1:16" ht="17.05" x14ac:dyDescent="0.3">
      <c r="A1516" s="6" t="str">
        <f>HYPERLINK("https://www.ti.com/product/LP5036", "LP5036")</f>
        <v>LP5036</v>
      </c>
      <c r="B1516" s="5" t="s">
        <v>13742</v>
      </c>
      <c r="C1516" s="6" t="str">
        <f>HYPERLINK("https://www.ti.com/lit/gpn/LP5036", "PDF")</f>
        <v>PDF</v>
      </c>
      <c r="D1516" s="5" t="s">
        <v>13743</v>
      </c>
      <c r="E1516" s="5" t="s">
        <v>13744</v>
      </c>
      <c r="F1516" s="5" t="s">
        <v>13745</v>
      </c>
      <c r="G1516" s="5" t="s">
        <v>13746</v>
      </c>
      <c r="H1516" s="1" t="s">
        <v>13747</v>
      </c>
      <c r="I1516" s="5" t="s">
        <v>13748</v>
      </c>
      <c r="J1516" s="7">
        <v>46</v>
      </c>
      <c r="K1516" s="7">
        <v>30</v>
      </c>
      <c r="L1516" s="5" t="s">
        <v>13749</v>
      </c>
      <c r="M1516" s="7">
        <v>1</v>
      </c>
      <c r="N1516" s="7">
        <v>0.4</v>
      </c>
      <c r="O1516" s="7">
        <v>0.74399999999999999</v>
      </c>
      <c r="P1516" s="1" t="s">
        <v>13750</v>
      </c>
    </row>
    <row r="1517" spans="1:16" ht="33.4" x14ac:dyDescent="0.3">
      <c r="A1517" s="6" t="str">
        <f>HYPERLINK("https://www.ti.com/product/TLC6948", "TLC6948")</f>
        <v>TLC6948</v>
      </c>
      <c r="B1517" s="5" t="s">
        <v>13751</v>
      </c>
      <c r="C1517" s="6" t="str">
        <f>HYPERLINK("https://www.ti.com/lit/gpn/TLC6948", "PDF")</f>
        <v>PDF</v>
      </c>
      <c r="D1517" s="5" t="s">
        <v>13752</v>
      </c>
      <c r="E1517" s="5" t="s">
        <v>13753</v>
      </c>
      <c r="F1517" s="5"/>
      <c r="G1517" s="5" t="s">
        <v>13754</v>
      </c>
      <c r="H1517" s="1" t="s">
        <v>13755</v>
      </c>
      <c r="I1517" s="5" t="s">
        <v>13756</v>
      </c>
      <c r="J1517" s="7">
        <v>24</v>
      </c>
      <c r="K1517" s="7" t="s">
        <v>13757</v>
      </c>
      <c r="L1517" s="5" t="s">
        <v>13758</v>
      </c>
      <c r="M1517" s="7" t="s">
        <v>13759</v>
      </c>
      <c r="N1517" s="7" t="s">
        <v>13760</v>
      </c>
      <c r="O1517" s="7">
        <v>1.113</v>
      </c>
      <c r="P1517" s="1" t="s">
        <v>13761</v>
      </c>
    </row>
    <row r="1518" spans="1:16" ht="17.05" x14ac:dyDescent="0.3">
      <c r="A1518" s="6" t="str">
        <f>HYPERLINK("https://www.ti.com/product/TPS23755", "TPS23755")</f>
        <v>TPS23755</v>
      </c>
      <c r="B1518" s="5" t="s">
        <v>13762</v>
      </c>
      <c r="C1518" s="6" t="str">
        <f>HYPERLINK("https://www.ti.com/lit/gpn/TPS23755", "PDF")</f>
        <v>PDF</v>
      </c>
      <c r="D1518" s="5" t="s">
        <v>13763</v>
      </c>
      <c r="E1518" s="5" t="s">
        <v>13764</v>
      </c>
      <c r="F1518" s="5"/>
      <c r="G1518" s="5" t="s">
        <v>13765</v>
      </c>
      <c r="H1518" s="1" t="s">
        <v>13766</v>
      </c>
      <c r="I1518" s="5" t="s">
        <v>13767</v>
      </c>
      <c r="J1518" s="7">
        <v>23</v>
      </c>
      <c r="K1518" s="7">
        <v>24</v>
      </c>
      <c r="L1518" s="5" t="s">
        <v>13768</v>
      </c>
      <c r="M1518" s="7">
        <v>1</v>
      </c>
      <c r="N1518" s="7">
        <v>0.4</v>
      </c>
      <c r="O1518" s="7">
        <v>0.999</v>
      </c>
      <c r="P1518" s="1" t="s">
        <v>13769</v>
      </c>
    </row>
    <row r="1519" spans="1:16" ht="33.4" x14ac:dyDescent="0.3">
      <c r="A1519" s="6" t="str">
        <f>HYPERLINK("https://www.ti.com/product/TPS54340B", "TPS54340B")</f>
        <v>TPS54340B</v>
      </c>
      <c r="B1519" s="5" t="s">
        <v>13770</v>
      </c>
      <c r="C1519" s="6" t="str">
        <f>HYPERLINK("https://www.ti.com/lit/gpn/TPS54340B", "PDF")</f>
        <v>PDF</v>
      </c>
      <c r="D1519" s="5" t="s">
        <v>13771</v>
      </c>
      <c r="E1519" s="5" t="s">
        <v>13772</v>
      </c>
      <c r="F1519" s="5" t="s">
        <v>13773</v>
      </c>
      <c r="G1519" s="5" t="s">
        <v>13774</v>
      </c>
      <c r="H1519" s="1" t="s">
        <v>13775</v>
      </c>
      <c r="I1519" s="5" t="s">
        <v>13776</v>
      </c>
      <c r="J1519" s="7">
        <v>8</v>
      </c>
      <c r="K1519" s="7">
        <v>29.4</v>
      </c>
      <c r="L1519" s="5" t="s">
        <v>13777</v>
      </c>
      <c r="M1519" s="7">
        <v>1.7</v>
      </c>
      <c r="N1519" s="7">
        <v>1.27</v>
      </c>
      <c r="O1519" s="7">
        <v>1.8149999999999999</v>
      </c>
      <c r="P1519" s="1" t="s">
        <v>13778</v>
      </c>
    </row>
    <row r="1520" spans="1:16" ht="33.4" x14ac:dyDescent="0.3">
      <c r="A1520" s="6" t="str">
        <f>HYPERLINK("https://www.ti.com/product/TPS54540B", "TPS54540B")</f>
        <v>TPS54540B</v>
      </c>
      <c r="B1520" s="5" t="s">
        <v>13779</v>
      </c>
      <c r="C1520" s="6" t="str">
        <f>HYPERLINK("https://www.ti.com/lit/gpn/TPS54540B", "PDF")</f>
        <v>PDF</v>
      </c>
      <c r="D1520" s="5" t="s">
        <v>13780</v>
      </c>
      <c r="E1520" s="5" t="s">
        <v>13781</v>
      </c>
      <c r="F1520" s="5" t="s">
        <v>13782</v>
      </c>
      <c r="G1520" s="5" t="s">
        <v>13783</v>
      </c>
      <c r="H1520" s="1" t="s">
        <v>13784</v>
      </c>
      <c r="I1520" s="5" t="s">
        <v>13785</v>
      </c>
      <c r="J1520" s="7">
        <v>8</v>
      </c>
      <c r="K1520" s="7">
        <v>29.4</v>
      </c>
      <c r="L1520" s="5" t="s">
        <v>13786</v>
      </c>
      <c r="M1520" s="7">
        <v>1.7</v>
      </c>
      <c r="N1520" s="7">
        <v>1.27</v>
      </c>
      <c r="O1520" s="7">
        <v>1.948</v>
      </c>
      <c r="P1520" s="1" t="s">
        <v>13787</v>
      </c>
    </row>
    <row r="1521" spans="1:16" ht="33.4" x14ac:dyDescent="0.3">
      <c r="A1521" s="6" t="str">
        <f>HYPERLINK("https://www.ti.com/product/TPS54560B", "TPS54560B")</f>
        <v>TPS54560B</v>
      </c>
      <c r="B1521" s="5" t="s">
        <v>13788</v>
      </c>
      <c r="C1521" s="6" t="str">
        <f>HYPERLINK("https://www.ti.com/lit/gpn/TPS54560B", "PDF")</f>
        <v>PDF</v>
      </c>
      <c r="D1521" s="5" t="s">
        <v>13789</v>
      </c>
      <c r="E1521" s="5" t="s">
        <v>13790</v>
      </c>
      <c r="F1521" s="5" t="s">
        <v>13791</v>
      </c>
      <c r="G1521" s="5" t="s">
        <v>13792</v>
      </c>
      <c r="H1521" s="1" t="s">
        <v>13793</v>
      </c>
      <c r="I1521" s="5" t="s">
        <v>13794</v>
      </c>
      <c r="J1521" s="7">
        <v>8</v>
      </c>
      <c r="K1521" s="7">
        <v>29.4</v>
      </c>
      <c r="L1521" s="5" t="s">
        <v>13795</v>
      </c>
      <c r="M1521" s="7">
        <v>1.7</v>
      </c>
      <c r="N1521" s="7">
        <v>1.27</v>
      </c>
      <c r="O1521" s="7">
        <v>2.3380000000000001</v>
      </c>
      <c r="P1521" s="1" t="s">
        <v>13796</v>
      </c>
    </row>
    <row r="1522" spans="1:16" ht="33.4" x14ac:dyDescent="0.3">
      <c r="A1522" s="6" t="str">
        <f>HYPERLINK("https://www.ti.com/product/TPS563249", "TPS563249")</f>
        <v>TPS563249</v>
      </c>
      <c r="B1522" s="5" t="s">
        <v>13797</v>
      </c>
      <c r="C1522" s="6" t="str">
        <f>HYPERLINK("https://www.ti.com/lit/gpn/TPS563249", "PDF")</f>
        <v>PDF</v>
      </c>
      <c r="D1522" s="5" t="s">
        <v>13798</v>
      </c>
      <c r="E1522" s="5" t="s">
        <v>13799</v>
      </c>
      <c r="F1522" s="5" t="s">
        <v>13800</v>
      </c>
      <c r="G1522" s="5" t="s">
        <v>13801</v>
      </c>
      <c r="H1522" s="1" t="s">
        <v>13802</v>
      </c>
      <c r="I1522" s="5" t="s">
        <v>13803</v>
      </c>
      <c r="J1522" s="7">
        <v>6</v>
      </c>
      <c r="K1522" s="7">
        <v>8.1199999999999992</v>
      </c>
      <c r="L1522" s="5" t="s">
        <v>13804</v>
      </c>
      <c r="M1522" s="7">
        <v>1.1000000000000001</v>
      </c>
      <c r="N1522" s="7">
        <v>0.95</v>
      </c>
      <c r="O1522" s="7">
        <v>0.23</v>
      </c>
      <c r="P1522" s="1" t="s">
        <v>13805</v>
      </c>
    </row>
    <row r="1523" spans="1:16" ht="33.4" x14ac:dyDescent="0.3">
      <c r="A1523" s="6" t="str">
        <f>HYPERLINK("https://www.ti.com/product/TPS563240", "TPS563240")</f>
        <v>TPS563240</v>
      </c>
      <c r="B1523" s="5" t="s">
        <v>13806</v>
      </c>
      <c r="C1523" s="6" t="str">
        <f>HYPERLINK("https://www.ti.com/lit/gpn/TPS563240", "PDF")</f>
        <v>PDF</v>
      </c>
      <c r="D1523" s="5" t="s">
        <v>13807</v>
      </c>
      <c r="E1523" s="5" t="s">
        <v>13808</v>
      </c>
      <c r="F1523" s="5" t="s">
        <v>13809</v>
      </c>
      <c r="G1523" s="5" t="s">
        <v>13810</v>
      </c>
      <c r="H1523" s="1" t="s">
        <v>13811</v>
      </c>
      <c r="I1523" s="5" t="s">
        <v>13812</v>
      </c>
      <c r="J1523" s="7">
        <v>6</v>
      </c>
      <c r="K1523" s="7">
        <v>8.1199999999999992</v>
      </c>
      <c r="L1523" s="5" t="s">
        <v>13813</v>
      </c>
      <c r="M1523" s="7">
        <v>1.1000000000000001</v>
      </c>
      <c r="N1523" s="7">
        <v>0.95</v>
      </c>
      <c r="O1523" s="7">
        <v>0.23</v>
      </c>
      <c r="P1523" s="1" t="s">
        <v>13814</v>
      </c>
    </row>
    <row r="1524" spans="1:16" ht="33.4" x14ac:dyDescent="0.3">
      <c r="A1524" s="6" t="str">
        <f>HYPERLINK("https://www.ti.com/product/LM5164", "LM5164")</f>
        <v>LM5164</v>
      </c>
      <c r="B1524" s="5" t="s">
        <v>13815</v>
      </c>
      <c r="C1524" s="6" t="str">
        <f>HYPERLINK("https://www.ti.com/lit/gpn/LM5164", "PDF")</f>
        <v>PDF</v>
      </c>
      <c r="D1524" s="5" t="s">
        <v>13816</v>
      </c>
      <c r="E1524" s="5" t="s">
        <v>13817</v>
      </c>
      <c r="F1524" s="5" t="s">
        <v>13818</v>
      </c>
      <c r="G1524" s="5" t="s">
        <v>13819</v>
      </c>
      <c r="H1524" s="1" t="s">
        <v>13820</v>
      </c>
      <c r="I1524" s="5" t="s">
        <v>13821</v>
      </c>
      <c r="J1524" s="7">
        <v>8</v>
      </c>
      <c r="K1524" s="7">
        <v>29.4</v>
      </c>
      <c r="L1524" s="5" t="s">
        <v>13822</v>
      </c>
      <c r="M1524" s="7">
        <v>1.7</v>
      </c>
      <c r="N1524" s="7">
        <v>1.27</v>
      </c>
      <c r="O1524" s="7">
        <v>1.625</v>
      </c>
      <c r="P1524" s="1" t="s">
        <v>13823</v>
      </c>
    </row>
    <row r="1525" spans="1:16" ht="49.75" x14ac:dyDescent="0.3">
      <c r="A1525" s="6" t="str">
        <f>HYPERLINK("https://www.ti.com/product/TPS6283810", "TPS6283810")</f>
        <v>TPS6283810</v>
      </c>
      <c r="B1525" s="5" t="s">
        <v>13824</v>
      </c>
      <c r="C1525" s="6" t="str">
        <f>HYPERLINK("https://www.ti.com/lit/gpn/TPS6283810", "PDF")</f>
        <v>PDF</v>
      </c>
      <c r="D1525" s="5" t="s">
        <v>13825</v>
      </c>
      <c r="E1525" s="5" t="s">
        <v>13826</v>
      </c>
      <c r="F1525" s="5" t="s">
        <v>13827</v>
      </c>
      <c r="G1525" s="5" t="s">
        <v>13828</v>
      </c>
      <c r="H1525" s="1" t="s">
        <v>13829</v>
      </c>
      <c r="I1525" s="5" t="s">
        <v>13830</v>
      </c>
      <c r="J1525" s="7">
        <v>6</v>
      </c>
      <c r="K1525" s="7">
        <v>1.4000000000000001</v>
      </c>
      <c r="L1525" s="5" t="s">
        <v>13831</v>
      </c>
      <c r="M1525" s="7">
        <v>0.5</v>
      </c>
      <c r="N1525" s="7">
        <v>0.4</v>
      </c>
      <c r="O1525" s="7">
        <v>0.64500000000000002</v>
      </c>
      <c r="P1525" s="1" t="s">
        <v>13832</v>
      </c>
    </row>
    <row r="1526" spans="1:16" ht="33.4" x14ac:dyDescent="0.3">
      <c r="A1526" s="6" t="str">
        <f>HYPERLINK("https://www.ti.com/product/LM51551", "LM51551")</f>
        <v>LM51551</v>
      </c>
      <c r="B1526" s="5" t="s">
        <v>13833</v>
      </c>
      <c r="C1526" s="6" t="str">
        <f>HYPERLINK("https://www.ti.com/lit/gpn/LM51551", "PDF")</f>
        <v>PDF</v>
      </c>
      <c r="D1526" s="5" t="s">
        <v>13834</v>
      </c>
      <c r="E1526" s="5" t="s">
        <v>13835</v>
      </c>
      <c r="F1526" s="5" t="s">
        <v>13836</v>
      </c>
      <c r="G1526" s="5" t="s">
        <v>13837</v>
      </c>
      <c r="H1526" s="1" t="s">
        <v>13838</v>
      </c>
      <c r="I1526" s="5" t="s">
        <v>13839</v>
      </c>
      <c r="J1526" s="7">
        <v>12</v>
      </c>
      <c r="K1526" s="7">
        <v>6</v>
      </c>
      <c r="L1526" s="5" t="s">
        <v>13840</v>
      </c>
      <c r="M1526" s="7">
        <v>0.8</v>
      </c>
      <c r="N1526" s="7">
        <v>0.5</v>
      </c>
      <c r="O1526" s="7">
        <v>0.79700000000000004</v>
      </c>
      <c r="P1526" s="1" t="s">
        <v>13841</v>
      </c>
    </row>
    <row r="1527" spans="1:16" ht="17.05" x14ac:dyDescent="0.3">
      <c r="A1527" s="6" t="str">
        <f>HYPERLINK("https://www.ti.com/product/LP87561-Q1", "LP87561-Q1")</f>
        <v>LP87561-Q1</v>
      </c>
      <c r="B1527" s="5" t="s">
        <v>13842</v>
      </c>
      <c r="C1527" s="6" t="str">
        <f>HYPERLINK("https://www.ti.com/lit/gpn/LP87561-Q1", "PDF")</f>
        <v>PDF</v>
      </c>
      <c r="D1527" s="5" t="s">
        <v>13843</v>
      </c>
      <c r="E1527" s="5" t="s">
        <v>13844</v>
      </c>
      <c r="F1527" s="5"/>
      <c r="G1527" s="5" t="s">
        <v>13845</v>
      </c>
      <c r="H1527" s="1" t="s">
        <v>13846</v>
      </c>
      <c r="I1527" s="5" t="s">
        <v>13847</v>
      </c>
      <c r="J1527" s="7">
        <v>26</v>
      </c>
      <c r="K1527" s="7">
        <v>18</v>
      </c>
      <c r="L1527" s="5" t="s">
        <v>13848</v>
      </c>
      <c r="M1527" s="7">
        <v>0.9</v>
      </c>
      <c r="N1527" s="7">
        <v>0.5</v>
      </c>
      <c r="O1527" s="7">
        <v>2.5299999999999998</v>
      </c>
      <c r="P1527" s="1" t="s">
        <v>13849</v>
      </c>
    </row>
    <row r="1528" spans="1:16" ht="33.4" x14ac:dyDescent="0.3">
      <c r="A1528" s="6" t="str">
        <f>HYPERLINK("https://www.ti.com/product/LP87562-Q1", "LP87562-Q1")</f>
        <v>LP87562-Q1</v>
      </c>
      <c r="B1528" s="5" t="s">
        <v>13850</v>
      </c>
      <c r="C1528" s="6" t="str">
        <f>HYPERLINK("https://www.ti.com/lit/gpn/LP87562-Q1", "PDF")</f>
        <v>PDF</v>
      </c>
      <c r="D1528" s="5" t="s">
        <v>13851</v>
      </c>
      <c r="E1528" s="5" t="s">
        <v>13852</v>
      </c>
      <c r="F1528" s="5"/>
      <c r="G1528" s="5" t="s">
        <v>13853</v>
      </c>
      <c r="H1528" s="1" t="s">
        <v>13854</v>
      </c>
      <c r="I1528" s="5" t="s">
        <v>13855</v>
      </c>
      <c r="J1528" s="7">
        <v>26</v>
      </c>
      <c r="K1528" s="7">
        <v>18</v>
      </c>
      <c r="L1528" s="5" t="s">
        <v>13856</v>
      </c>
      <c r="M1528" s="7">
        <v>0.9</v>
      </c>
      <c r="N1528" s="7">
        <v>0.5</v>
      </c>
      <c r="O1528" s="7">
        <v>2.1440000000000001</v>
      </c>
      <c r="P1528" s="1" t="s">
        <v>13857</v>
      </c>
    </row>
    <row r="1529" spans="1:16" ht="33.4" x14ac:dyDescent="0.3">
      <c r="A1529" s="6" t="str">
        <f>HYPERLINK("https://www.ti.com/product/LP87563-Q1", "LP87563-Q1")</f>
        <v>LP87563-Q1</v>
      </c>
      <c r="B1529" s="5" t="s">
        <v>13858</v>
      </c>
      <c r="C1529" s="6" t="str">
        <f>HYPERLINK("https://www.ti.com/lit/gpn/LP87563-Q1", "PDF")</f>
        <v>PDF</v>
      </c>
      <c r="D1529" s="5" t="s">
        <v>13859</v>
      </c>
      <c r="E1529" s="5" t="s">
        <v>13860</v>
      </c>
      <c r="F1529" s="5"/>
      <c r="G1529" s="5" t="s">
        <v>13861</v>
      </c>
      <c r="H1529" s="1" t="s">
        <v>13862</v>
      </c>
      <c r="I1529" s="5" t="s">
        <v>13863</v>
      </c>
      <c r="J1529" s="7">
        <v>26</v>
      </c>
      <c r="K1529" s="7">
        <v>18</v>
      </c>
      <c r="L1529" s="5" t="s">
        <v>13864</v>
      </c>
      <c r="M1529" s="7">
        <v>0.9</v>
      </c>
      <c r="N1529" s="7">
        <v>0.5</v>
      </c>
      <c r="O1529" s="7">
        <v>2.1440000000000001</v>
      </c>
      <c r="P1529" s="1" t="s">
        <v>13865</v>
      </c>
    </row>
    <row r="1530" spans="1:16" ht="33.4" x14ac:dyDescent="0.3">
      <c r="A1530" s="6" t="str">
        <f>HYPERLINK("https://www.ti.com/product/TLC6946", "TLC6946")</f>
        <v>TLC6946</v>
      </c>
      <c r="B1530" s="5" t="s">
        <v>13866</v>
      </c>
      <c r="C1530" s="6" t="str">
        <f>HYPERLINK("https://www.ti.com/lit/gpn/TLC6946", "PDF")</f>
        <v>PDF</v>
      </c>
      <c r="D1530" s="5" t="s">
        <v>13867</v>
      </c>
      <c r="E1530" s="5" t="s">
        <v>13868</v>
      </c>
      <c r="F1530" s="5"/>
      <c r="G1530" s="5" t="s">
        <v>13869</v>
      </c>
      <c r="H1530" s="1" t="s">
        <v>13870</v>
      </c>
      <c r="I1530" s="5" t="s">
        <v>13871</v>
      </c>
      <c r="J1530" s="7">
        <v>24</v>
      </c>
      <c r="K1530" s="7" t="s">
        <v>13872</v>
      </c>
      <c r="L1530" s="5" t="s">
        <v>13873</v>
      </c>
      <c r="M1530" s="7" t="s">
        <v>13874</v>
      </c>
      <c r="N1530" s="7" t="s">
        <v>13875</v>
      </c>
      <c r="O1530" s="7">
        <v>0.96099999999999997</v>
      </c>
      <c r="P1530" s="1" t="s">
        <v>13876</v>
      </c>
    </row>
    <row r="1531" spans="1:16" ht="33.4" x14ac:dyDescent="0.3">
      <c r="A1531" s="6" t="str">
        <f>HYPERLINK("https://www.ti.com/product/LM34936-Q1", "LM34936-Q1")</f>
        <v>LM34936-Q1</v>
      </c>
      <c r="B1531" s="5" t="s">
        <v>13877</v>
      </c>
      <c r="C1531" s="6" t="str">
        <f>HYPERLINK("https://www.ti.com/lit/gpn/LM34936-Q1", "PDF")</f>
        <v>PDF</v>
      </c>
      <c r="D1531" s="5" t="s">
        <v>13878</v>
      </c>
      <c r="E1531" s="5" t="s">
        <v>13879</v>
      </c>
      <c r="F1531" s="5" t="s">
        <v>13880</v>
      </c>
      <c r="G1531" s="5" t="s">
        <v>13881</v>
      </c>
      <c r="H1531" s="1" t="s">
        <v>13882</v>
      </c>
      <c r="I1531" s="5" t="s">
        <v>13883</v>
      </c>
      <c r="J1531" s="7">
        <v>28</v>
      </c>
      <c r="K1531" s="7">
        <v>62.08</v>
      </c>
      <c r="L1531" s="5" t="s">
        <v>13884</v>
      </c>
      <c r="M1531" s="7">
        <v>1.2</v>
      </c>
      <c r="N1531" s="7">
        <v>0.65</v>
      </c>
      <c r="O1531" s="7">
        <v>3.1349999999999998</v>
      </c>
      <c r="P1531" s="1" t="s">
        <v>13885</v>
      </c>
    </row>
    <row r="1532" spans="1:16" ht="33.4" x14ac:dyDescent="0.3">
      <c r="A1532" s="6" t="str">
        <f>HYPERLINK("https://www.ti.com/product/TPS51200A-Q1", "TPS51200A-Q1")</f>
        <v>TPS51200A-Q1</v>
      </c>
      <c r="B1532" s="5" t="s">
        <v>13886</v>
      </c>
      <c r="C1532" s="6" t="str">
        <f>HYPERLINK("https://www.ti.com/lit/gpn/TPS51200A-Q1", "PDF")</f>
        <v>PDF</v>
      </c>
      <c r="D1532" s="5" t="s">
        <v>13887</v>
      </c>
      <c r="E1532" s="5" t="s">
        <v>13888</v>
      </c>
      <c r="F1532" s="5"/>
      <c r="G1532" s="5" t="s">
        <v>13889</v>
      </c>
      <c r="H1532" s="1" t="s">
        <v>13890</v>
      </c>
      <c r="I1532" s="5" t="s">
        <v>13891</v>
      </c>
      <c r="J1532" s="7">
        <v>10</v>
      </c>
      <c r="K1532" s="7">
        <v>9</v>
      </c>
      <c r="L1532" s="5" t="s">
        <v>13892</v>
      </c>
      <c r="M1532" s="7">
        <v>1</v>
      </c>
      <c r="N1532" s="7">
        <v>0.5</v>
      </c>
      <c r="O1532" s="7">
        <v>0.75900000000000001</v>
      </c>
      <c r="P1532" s="1" t="s">
        <v>13893</v>
      </c>
    </row>
    <row r="1533" spans="1:16" ht="49.75" x14ac:dyDescent="0.3">
      <c r="A1533" s="6" t="str">
        <f>HYPERLINK("https://www.ti.com/product/REF3425-EP", "REF3425-EP")</f>
        <v>REF3425-EP</v>
      </c>
      <c r="B1533" s="5" t="s">
        <v>13894</v>
      </c>
      <c r="C1533" s="6" t="str">
        <f>HYPERLINK("https://www.ti.com/lit/gpn/REF3425-EP", "PDF")</f>
        <v>PDF</v>
      </c>
      <c r="D1533" s="5" t="s">
        <v>13895</v>
      </c>
      <c r="E1533" s="5" t="s">
        <v>13896</v>
      </c>
      <c r="F1533" s="5"/>
      <c r="G1533" s="5" t="s">
        <v>13897</v>
      </c>
      <c r="H1533" s="1" t="s">
        <v>13898</v>
      </c>
      <c r="I1533" s="5" t="s">
        <v>13899</v>
      </c>
      <c r="J1533" s="7">
        <v>6</v>
      </c>
      <c r="K1533" s="7">
        <v>8.1199999999999992</v>
      </c>
      <c r="L1533" s="5" t="s">
        <v>13900</v>
      </c>
      <c r="M1533" s="7">
        <v>1.45</v>
      </c>
      <c r="N1533" s="7">
        <v>0.95</v>
      </c>
      <c r="O1533" s="7">
        <v>3.3570000000000002</v>
      </c>
      <c r="P1533" s="1" t="s">
        <v>13901</v>
      </c>
    </row>
    <row r="1534" spans="1:16" ht="49.75" x14ac:dyDescent="0.3">
      <c r="A1534" s="6" t="str">
        <f>HYPERLINK("https://www.ti.com/product/REF3440-EP", "REF3440-EP")</f>
        <v>REF3440-EP</v>
      </c>
      <c r="B1534" s="5" t="s">
        <v>13902</v>
      </c>
      <c r="C1534" s="6" t="str">
        <f>HYPERLINK("https://www.ti.com/lit/gpn/REF3440-EP", "PDF")</f>
        <v>PDF</v>
      </c>
      <c r="D1534" s="5" t="s">
        <v>13903</v>
      </c>
      <c r="E1534" s="5" t="s">
        <v>13904</v>
      </c>
      <c r="F1534" s="5"/>
      <c r="G1534" s="5" t="s">
        <v>13905</v>
      </c>
      <c r="H1534" s="1" t="s">
        <v>13906</v>
      </c>
      <c r="I1534" s="5" t="s">
        <v>13907</v>
      </c>
      <c r="J1534" s="7">
        <v>6</v>
      </c>
      <c r="K1534" s="7">
        <v>8.1199999999999992</v>
      </c>
      <c r="L1534" s="5" t="s">
        <v>13908</v>
      </c>
      <c r="M1534" s="7">
        <v>1.45</v>
      </c>
      <c r="N1534" s="7">
        <v>0.95</v>
      </c>
      <c r="O1534" s="7">
        <v>3.3570000000000002</v>
      </c>
      <c r="P1534" s="1" t="s">
        <v>13909</v>
      </c>
    </row>
    <row r="1535" spans="1:16" ht="33.4" x14ac:dyDescent="0.3">
      <c r="A1535" s="6" t="str">
        <f>HYPERLINK("https://www.ti.com/product/TLV767", "TLV767")</f>
        <v>TLV767</v>
      </c>
      <c r="B1535" s="5" t="s">
        <v>13910</v>
      </c>
      <c r="C1535" s="6" t="str">
        <f>HYPERLINK("https://www.ti.com/lit/gpn/TLV767", "PDF")</f>
        <v>PDF</v>
      </c>
      <c r="D1535" s="5" t="s">
        <v>13911</v>
      </c>
      <c r="E1535" s="5" t="s">
        <v>13912</v>
      </c>
      <c r="F1535" s="5"/>
      <c r="G1535" s="5" t="s">
        <v>13913</v>
      </c>
      <c r="H1535" s="1" t="s">
        <v>13914</v>
      </c>
      <c r="I1535" s="5" t="s">
        <v>13915</v>
      </c>
      <c r="J1535" s="7" t="s">
        <v>13916</v>
      </c>
      <c r="K1535" s="7" t="s">
        <v>13917</v>
      </c>
      <c r="L1535" s="5" t="s">
        <v>13918</v>
      </c>
      <c r="M1535" s="7" t="s">
        <v>13919</v>
      </c>
      <c r="N1535" s="7" t="s">
        <v>13920</v>
      </c>
      <c r="O1535" s="7">
        <v>0.313</v>
      </c>
      <c r="P1535" s="1" t="s">
        <v>13921</v>
      </c>
    </row>
    <row r="1536" spans="1:16" ht="33.4" x14ac:dyDescent="0.3">
      <c r="A1536" s="6" t="str">
        <f>HYPERLINK("https://www.ti.com/product/LM5155", "LM5155")</f>
        <v>LM5155</v>
      </c>
      <c r="B1536" s="5" t="s">
        <v>13922</v>
      </c>
      <c r="C1536" s="6" t="str">
        <f>HYPERLINK("https://www.ti.com/lit/gpn/LM5155", "PDF")</f>
        <v>PDF</v>
      </c>
      <c r="D1536" s="5" t="s">
        <v>13923</v>
      </c>
      <c r="E1536" s="5" t="s">
        <v>13924</v>
      </c>
      <c r="F1536" s="5" t="s">
        <v>13925</v>
      </c>
      <c r="G1536" s="5" t="s">
        <v>13926</v>
      </c>
      <c r="H1536" s="1" t="s">
        <v>13927</v>
      </c>
      <c r="I1536" s="5" t="s">
        <v>13928</v>
      </c>
      <c r="J1536" s="7">
        <v>12</v>
      </c>
      <c r="K1536" s="7">
        <v>6</v>
      </c>
      <c r="L1536" s="5" t="s">
        <v>13929</v>
      </c>
      <c r="M1536" s="7">
        <v>0.8</v>
      </c>
      <c r="N1536" s="7">
        <v>0.5</v>
      </c>
      <c r="O1536" s="7">
        <v>0.79700000000000004</v>
      </c>
      <c r="P1536" s="1" t="s">
        <v>13930</v>
      </c>
    </row>
    <row r="1537" spans="1:16" ht="33.4" x14ac:dyDescent="0.3">
      <c r="A1537" s="6" t="str">
        <f>HYPERLINK("https://www.ti.com/product/TPS1HA08-Q1", "TPS1HA08-Q1")</f>
        <v>TPS1HA08-Q1</v>
      </c>
      <c r="B1537" s="5" t="s">
        <v>13931</v>
      </c>
      <c r="C1537" s="6" t="str">
        <f>HYPERLINK("https://www.ti.com/lit/gpn/TPS1HA08-Q1", "PDF")</f>
        <v>PDF</v>
      </c>
      <c r="D1537" s="5" t="s">
        <v>13932</v>
      </c>
      <c r="E1537" s="5" t="s">
        <v>13933</v>
      </c>
      <c r="F1537" s="5"/>
      <c r="G1537" s="5" t="s">
        <v>13934</v>
      </c>
      <c r="H1537" s="1" t="s">
        <v>13935</v>
      </c>
      <c r="I1537" s="5" t="s">
        <v>13936</v>
      </c>
      <c r="J1537" s="7">
        <v>16</v>
      </c>
      <c r="K1537" s="7">
        <v>32</v>
      </c>
      <c r="L1537" s="5" t="s">
        <v>13937</v>
      </c>
      <c r="M1537" s="7">
        <v>1.2</v>
      </c>
      <c r="N1537" s="7">
        <v>0.65</v>
      </c>
      <c r="O1537" s="7">
        <v>1.4259999999999999</v>
      </c>
      <c r="P1537" s="1" t="s">
        <v>13938</v>
      </c>
    </row>
    <row r="1538" spans="1:16" ht="33.4" x14ac:dyDescent="0.3">
      <c r="A1538" s="6" t="str">
        <f>HYPERLINK("https://www.ti.com/product/LMR36006", "LMR36006")</f>
        <v>LMR36006</v>
      </c>
      <c r="B1538" s="5" t="s">
        <v>13939</v>
      </c>
      <c r="C1538" s="6" t="str">
        <f>HYPERLINK("https://www.ti.com/lit/gpn/LMR36006", "PDF")</f>
        <v>PDF</v>
      </c>
      <c r="D1538" s="5" t="s">
        <v>13940</v>
      </c>
      <c r="E1538" s="5" t="s">
        <v>13941</v>
      </c>
      <c r="F1538" s="5" t="s">
        <v>13942</v>
      </c>
      <c r="G1538" s="5" t="s">
        <v>13943</v>
      </c>
      <c r="H1538" s="1" t="s">
        <v>13944</v>
      </c>
      <c r="I1538" s="5" t="s">
        <v>13945</v>
      </c>
      <c r="J1538" s="7">
        <v>12</v>
      </c>
      <c r="K1538" s="7">
        <v>6</v>
      </c>
      <c r="L1538" s="5" t="s">
        <v>13946</v>
      </c>
      <c r="M1538" s="7">
        <v>0.9</v>
      </c>
      <c r="N1538" s="7">
        <v>0.5</v>
      </c>
      <c r="O1538" s="7">
        <v>0.91500000000000004</v>
      </c>
      <c r="P1538" s="1" t="s">
        <v>13947</v>
      </c>
    </row>
    <row r="1539" spans="1:16" ht="17.05" x14ac:dyDescent="0.3">
      <c r="A1539" s="6" t="str">
        <f>HYPERLINK("https://www.ti.com/product/LP875701-Q1", "LP875701-Q1")</f>
        <v>LP875701-Q1</v>
      </c>
      <c r="B1539" s="5" t="s">
        <v>13948</v>
      </c>
      <c r="C1539" s="6" t="str">
        <f>HYPERLINK("https://www.ti.com/lit/gpn/LP875701-Q1", "PDF")</f>
        <v>PDF</v>
      </c>
      <c r="D1539" s="5" t="s">
        <v>13949</v>
      </c>
      <c r="E1539" s="5" t="s">
        <v>13950</v>
      </c>
      <c r="F1539" s="5"/>
      <c r="G1539" s="5" t="s">
        <v>13951</v>
      </c>
      <c r="H1539" s="1" t="s">
        <v>13952</v>
      </c>
      <c r="I1539" s="5" t="s">
        <v>13953</v>
      </c>
      <c r="J1539" s="7">
        <v>26</v>
      </c>
      <c r="K1539" s="7">
        <v>18</v>
      </c>
      <c r="L1539" s="5" t="s">
        <v>13954</v>
      </c>
      <c r="M1539" s="7">
        <v>0.9</v>
      </c>
      <c r="N1539" s="7">
        <v>0.5</v>
      </c>
      <c r="O1539" s="7">
        <v>3.0630000000000002</v>
      </c>
      <c r="P1539" s="1" t="s">
        <v>13955</v>
      </c>
    </row>
    <row r="1540" spans="1:16" ht="33.4" x14ac:dyDescent="0.3">
      <c r="A1540" s="6" t="str">
        <f>HYPERLINK("https://www.ti.com/product/TLV758P", "TLV758P")</f>
        <v>TLV758P</v>
      </c>
      <c r="B1540" s="5" t="s">
        <v>13956</v>
      </c>
      <c r="C1540" s="6" t="str">
        <f>HYPERLINK("https://www.ti.com/lit/gpn/TLV758P", "PDF")</f>
        <v>PDF</v>
      </c>
      <c r="D1540" s="5" t="s">
        <v>13957</v>
      </c>
      <c r="E1540" s="5" t="s">
        <v>13958</v>
      </c>
      <c r="F1540" s="5"/>
      <c r="G1540" s="5" t="s">
        <v>13959</v>
      </c>
      <c r="H1540" s="1" t="s">
        <v>13960</v>
      </c>
      <c r="I1540" s="5" t="s">
        <v>13961</v>
      </c>
      <c r="J1540" s="7" t="s">
        <v>13962</v>
      </c>
      <c r="K1540" s="7" t="s">
        <v>13963</v>
      </c>
      <c r="L1540" s="5" t="s">
        <v>13964</v>
      </c>
      <c r="M1540" s="7" t="s">
        <v>13965</v>
      </c>
      <c r="N1540" s="7" t="s">
        <v>13966</v>
      </c>
      <c r="O1540" s="7">
        <v>7.4999999999999997E-2</v>
      </c>
      <c r="P1540" s="1" t="s">
        <v>13967</v>
      </c>
    </row>
    <row r="1541" spans="1:16" ht="33.4" x14ac:dyDescent="0.3">
      <c r="A1541" s="6" t="str">
        <f>HYPERLINK("https://www.ti.com/product/TPS745", "TPS745")</f>
        <v>TPS745</v>
      </c>
      <c r="B1541" s="5" t="s">
        <v>13968</v>
      </c>
      <c r="C1541" s="6" t="str">
        <f>HYPERLINK("https://www.ti.com/lit/gpn/TPS745", "PDF")</f>
        <v>PDF</v>
      </c>
      <c r="D1541" s="5" t="s">
        <v>13969</v>
      </c>
      <c r="E1541" s="5" t="s">
        <v>13970</v>
      </c>
      <c r="F1541" s="5"/>
      <c r="G1541" s="5" t="s">
        <v>13971</v>
      </c>
      <c r="H1541" s="1" t="s">
        <v>13972</v>
      </c>
      <c r="I1541" s="5" t="s">
        <v>13973</v>
      </c>
      <c r="J1541" s="7">
        <v>6</v>
      </c>
      <c r="K1541" s="7">
        <v>4</v>
      </c>
      <c r="L1541" s="5" t="s">
        <v>13974</v>
      </c>
      <c r="M1541" s="7">
        <v>0.8</v>
      </c>
      <c r="N1541" s="7">
        <v>0.65</v>
      </c>
      <c r="O1541" s="7">
        <v>0.2</v>
      </c>
      <c r="P1541" s="1" t="s">
        <v>13975</v>
      </c>
    </row>
    <row r="1542" spans="1:16" ht="33.4" x14ac:dyDescent="0.3">
      <c r="A1542" s="6" t="str">
        <f>HYPERLINK("https://www.ti.com/product/LP87523-Q1", "LP87523-Q1")</f>
        <v>LP87523-Q1</v>
      </c>
      <c r="B1542" s="5" t="s">
        <v>13976</v>
      </c>
      <c r="C1542" s="6" t="str">
        <f>HYPERLINK("https://www.ti.com/lit/gpn/LP87523-Q1", "PDF")</f>
        <v>PDF</v>
      </c>
      <c r="D1542" s="5" t="s">
        <v>13977</v>
      </c>
      <c r="E1542" s="5" t="s">
        <v>13978</v>
      </c>
      <c r="F1542" s="5"/>
      <c r="G1542" s="5" t="s">
        <v>13979</v>
      </c>
      <c r="H1542" s="1" t="s">
        <v>13980</v>
      </c>
      <c r="I1542" s="5" t="s">
        <v>13981</v>
      </c>
      <c r="J1542" s="7">
        <v>26</v>
      </c>
      <c r="K1542" s="7">
        <v>18</v>
      </c>
      <c r="L1542" s="5" t="s">
        <v>13982</v>
      </c>
      <c r="M1542" s="7">
        <v>0.9</v>
      </c>
      <c r="N1542" s="7">
        <v>0.5</v>
      </c>
      <c r="O1542" s="7">
        <v>2.1379999999999999</v>
      </c>
      <c r="P1542" s="1" t="s">
        <v>13983</v>
      </c>
    </row>
    <row r="1543" spans="1:16" ht="33.4" x14ac:dyDescent="0.3">
      <c r="A1543" s="6" t="str">
        <f>HYPERLINK("https://www.ti.com/product/LP87524P-Q1", "LP87524P-Q1")</f>
        <v>LP87524P-Q1</v>
      </c>
      <c r="B1543" s="5" t="s">
        <v>13984</v>
      </c>
      <c r="C1543" s="6" t="str">
        <f>HYPERLINK("https://www.ti.com/lit/gpn/LP87524P-Q1", "PDF")</f>
        <v>PDF</v>
      </c>
      <c r="D1543" s="5" t="s">
        <v>13985</v>
      </c>
      <c r="E1543" s="5" t="s">
        <v>13986</v>
      </c>
      <c r="F1543" s="5"/>
      <c r="G1543" s="5" t="s">
        <v>13987</v>
      </c>
      <c r="H1543" s="1" t="s">
        <v>13988</v>
      </c>
      <c r="I1543" s="5" t="s">
        <v>13989</v>
      </c>
      <c r="J1543" s="7">
        <v>26</v>
      </c>
      <c r="K1543" s="7">
        <v>18</v>
      </c>
      <c r="L1543" s="5" t="s">
        <v>13990</v>
      </c>
      <c r="M1543" s="7">
        <v>0.9</v>
      </c>
      <c r="N1543" s="7">
        <v>0.5</v>
      </c>
      <c r="O1543" s="7">
        <v>2.1379999999999999</v>
      </c>
      <c r="P1543" s="1" t="s">
        <v>13991</v>
      </c>
    </row>
    <row r="1544" spans="1:16" ht="33.4" x14ac:dyDescent="0.3">
      <c r="A1544" s="6" t="str">
        <f>HYPERLINK("https://www.ti.com/product/TPS2121", "TPS2121")</f>
        <v>TPS2121</v>
      </c>
      <c r="B1544" s="5" t="s">
        <v>13992</v>
      </c>
      <c r="C1544" s="6" t="str">
        <f>HYPERLINK("https://www.ti.com/lit/gpn/TPS2121", "PDF")</f>
        <v>PDF</v>
      </c>
      <c r="D1544" s="5" t="s">
        <v>13993</v>
      </c>
      <c r="E1544" s="5" t="s">
        <v>13994</v>
      </c>
      <c r="F1544" s="5"/>
      <c r="G1544" s="5" t="s">
        <v>13995</v>
      </c>
      <c r="H1544" s="1" t="s">
        <v>13996</v>
      </c>
      <c r="I1544" s="5" t="s">
        <v>13997</v>
      </c>
      <c r="J1544" s="7">
        <v>12</v>
      </c>
      <c r="K1544" s="7">
        <v>5</v>
      </c>
      <c r="L1544" s="5" t="s">
        <v>13998</v>
      </c>
      <c r="M1544" s="7">
        <v>1</v>
      </c>
      <c r="N1544" s="7">
        <v>0.5</v>
      </c>
      <c r="O1544" s="7">
        <v>0.89</v>
      </c>
      <c r="P1544" s="1" t="s">
        <v>13999</v>
      </c>
    </row>
    <row r="1545" spans="1:16" ht="33.4" x14ac:dyDescent="0.3">
      <c r="A1545" s="6" t="str">
        <f>HYPERLINK("https://www.ti.com/product/TPS54360B", "TPS54360B")</f>
        <v>TPS54360B</v>
      </c>
      <c r="B1545" s="5" t="s">
        <v>14000</v>
      </c>
      <c r="C1545" s="6" t="str">
        <f>HYPERLINK("https://www.ti.com/lit/gpn/TPS54360B", "PDF")</f>
        <v>PDF</v>
      </c>
      <c r="D1545" s="5" t="s">
        <v>14001</v>
      </c>
      <c r="E1545" s="5" t="s">
        <v>14002</v>
      </c>
      <c r="F1545" s="5" t="s">
        <v>14003</v>
      </c>
      <c r="G1545" s="5" t="s">
        <v>14004</v>
      </c>
      <c r="H1545" s="1" t="s">
        <v>14005</v>
      </c>
      <c r="I1545" s="5" t="s">
        <v>14006</v>
      </c>
      <c r="J1545" s="7">
        <v>8</v>
      </c>
      <c r="K1545" s="7">
        <v>29.4</v>
      </c>
      <c r="L1545" s="5" t="s">
        <v>14007</v>
      </c>
      <c r="M1545" s="7">
        <v>1.7</v>
      </c>
      <c r="N1545" s="7">
        <v>1.27</v>
      </c>
      <c r="O1545" s="7">
        <v>1.829</v>
      </c>
      <c r="P1545" s="1" t="s">
        <v>14008</v>
      </c>
    </row>
    <row r="1546" spans="1:16" ht="33.4" x14ac:dyDescent="0.3">
      <c r="A1546" s="6" t="str">
        <f>HYPERLINK("https://www.ti.com/product/TPS61372", "TPS61372")</f>
        <v>TPS61372</v>
      </c>
      <c r="B1546" s="5" t="s">
        <v>14009</v>
      </c>
      <c r="C1546" s="6" t="str">
        <f>HYPERLINK("https://www.ti.com/lit/gpn/TPS61372", "PDF")</f>
        <v>PDF</v>
      </c>
      <c r="D1546" s="5" t="s">
        <v>14010</v>
      </c>
      <c r="E1546" s="5" t="s">
        <v>14011</v>
      </c>
      <c r="F1546" s="5" t="s">
        <v>14012</v>
      </c>
      <c r="G1546" s="5" t="s">
        <v>14013</v>
      </c>
      <c r="H1546" s="1" t="s">
        <v>14014</v>
      </c>
      <c r="I1546" s="5" t="s">
        <v>14015</v>
      </c>
      <c r="J1546" s="7">
        <v>16</v>
      </c>
      <c r="K1546" s="7">
        <v>1.96</v>
      </c>
      <c r="L1546" s="5" t="s">
        <v>14016</v>
      </c>
      <c r="M1546" s="7">
        <v>0.5</v>
      </c>
      <c r="N1546" s="7">
        <v>0.35</v>
      </c>
      <c r="O1546" s="7">
        <v>1.9119999999999999</v>
      </c>
      <c r="P1546" s="1" t="s">
        <v>14017</v>
      </c>
    </row>
    <row r="1547" spans="1:16" ht="33.4" x14ac:dyDescent="0.3">
      <c r="A1547" s="6" t="str">
        <f>HYPERLINK("https://www.ti.com/product/TPS546D24", "TPS546D24")</f>
        <v>TPS546D24</v>
      </c>
      <c r="B1547" s="5" t="s">
        <v>14018</v>
      </c>
      <c r="C1547" s="6" t="str">
        <f>HYPERLINK("https://www.ti.com/lit/gpn/TPS546D24", "PDF")</f>
        <v>PDF</v>
      </c>
      <c r="D1547" s="5" t="s">
        <v>14019</v>
      </c>
      <c r="E1547" s="5" t="s">
        <v>14020</v>
      </c>
      <c r="F1547" s="5" t="s">
        <v>14021</v>
      </c>
      <c r="G1547" s="5" t="s">
        <v>14022</v>
      </c>
      <c r="H1547" s="1" t="s">
        <v>14023</v>
      </c>
      <c r="I1547" s="5" t="s">
        <v>14024</v>
      </c>
      <c r="J1547" s="7">
        <v>40</v>
      </c>
      <c r="K1547" s="7">
        <v>35</v>
      </c>
      <c r="L1547" s="5" t="s">
        <v>14025</v>
      </c>
      <c r="M1547" s="7">
        <v>1.52</v>
      </c>
      <c r="N1547" s="7">
        <v>0.5</v>
      </c>
      <c r="O1547" s="7">
        <v>5.399</v>
      </c>
      <c r="P1547" s="1" t="s">
        <v>14026</v>
      </c>
    </row>
    <row r="1548" spans="1:16" ht="33.4" x14ac:dyDescent="0.3">
      <c r="A1548" s="6" t="str">
        <f>HYPERLINK("https://www.ti.com/product/TPS61088-Q1", "TPS61088-Q1")</f>
        <v>TPS61088-Q1</v>
      </c>
      <c r="B1548" s="5" t="s">
        <v>14027</v>
      </c>
      <c r="C1548" s="6" t="str">
        <f>HYPERLINK("https://www.ti.com/lit/gpn/TPS61088-Q1", "PDF")</f>
        <v>PDF</v>
      </c>
      <c r="D1548" s="5" t="s">
        <v>14028</v>
      </c>
      <c r="E1548" s="5" t="s">
        <v>14029</v>
      </c>
      <c r="F1548" s="5" t="s">
        <v>14030</v>
      </c>
      <c r="G1548" s="5" t="s">
        <v>14031</v>
      </c>
      <c r="H1548" s="1" t="s">
        <v>14032</v>
      </c>
      <c r="I1548" s="5" t="s">
        <v>14033</v>
      </c>
      <c r="J1548" s="7">
        <v>20</v>
      </c>
      <c r="K1548" s="7">
        <v>15.75</v>
      </c>
      <c r="L1548" s="5" t="s">
        <v>14034</v>
      </c>
      <c r="M1548" s="7">
        <v>1</v>
      </c>
      <c r="N1548" s="7">
        <v>0.5</v>
      </c>
      <c r="O1548" s="7">
        <v>1.6080000000000001</v>
      </c>
      <c r="P1548" s="1" t="s">
        <v>14035</v>
      </c>
    </row>
    <row r="1549" spans="1:16" ht="33.4" x14ac:dyDescent="0.3">
      <c r="A1549" s="6" t="str">
        <f>HYPERLINK("https://www.ti.com/product/TPS746", "TPS746")</f>
        <v>TPS746</v>
      </c>
      <c r="B1549" s="5" t="s">
        <v>14036</v>
      </c>
      <c r="C1549" s="6" t="str">
        <f>HYPERLINK("https://www.ti.com/lit/gpn/TPS746", "PDF")</f>
        <v>PDF</v>
      </c>
      <c r="D1549" s="5" t="s">
        <v>14037</v>
      </c>
      <c r="E1549" s="5" t="s">
        <v>14038</v>
      </c>
      <c r="F1549" s="5"/>
      <c r="G1549" s="5" t="s">
        <v>14039</v>
      </c>
      <c r="H1549" s="1" t="s">
        <v>14040</v>
      </c>
      <c r="I1549" s="5" t="s">
        <v>14041</v>
      </c>
      <c r="J1549" s="7">
        <v>6</v>
      </c>
      <c r="K1549" s="7">
        <v>4</v>
      </c>
      <c r="L1549" s="5" t="s">
        <v>14042</v>
      </c>
      <c r="M1549" s="7">
        <v>0.8</v>
      </c>
      <c r="N1549" s="7">
        <v>0.65</v>
      </c>
      <c r="O1549" s="7">
        <v>0.38800000000000001</v>
      </c>
      <c r="P1549" s="1" t="s">
        <v>14043</v>
      </c>
    </row>
    <row r="1550" spans="1:16" ht="33.4" x14ac:dyDescent="0.3">
      <c r="A1550" s="6" t="str">
        <f>HYPERLINK("https://www.ti.com/product/UCC21540", "UCC21540")</f>
        <v>UCC21540</v>
      </c>
      <c r="B1550" s="5" t="s">
        <v>14044</v>
      </c>
      <c r="C1550" s="6" t="str">
        <f>HYPERLINK("https://www.ti.com/lit/gpn/UCC21540", "PDF")</f>
        <v>PDF</v>
      </c>
      <c r="D1550" s="5" t="s">
        <v>14045</v>
      </c>
      <c r="E1550" s="5" t="s">
        <v>14046</v>
      </c>
      <c r="F1550" s="5"/>
      <c r="G1550" s="5" t="s">
        <v>14047</v>
      </c>
      <c r="H1550" s="1" t="s">
        <v>14048</v>
      </c>
      <c r="I1550" s="5" t="s">
        <v>14049</v>
      </c>
      <c r="J1550" s="7" t="s">
        <v>14050</v>
      </c>
      <c r="K1550" s="7">
        <v>106.09</v>
      </c>
      <c r="L1550" s="5" t="s">
        <v>14051</v>
      </c>
      <c r="M1550" s="7">
        <v>2.65</v>
      </c>
      <c r="N1550" s="7">
        <v>1.27</v>
      </c>
      <c r="O1550" s="7">
        <v>0.88</v>
      </c>
      <c r="P1550" s="1" t="s">
        <v>14052</v>
      </c>
    </row>
    <row r="1551" spans="1:16" ht="33.4" x14ac:dyDescent="0.3">
      <c r="A1551" s="6" t="str">
        <f>HYPERLINK("https://www.ti.com/product/UCC21541", "UCC21541")</f>
        <v>UCC21541</v>
      </c>
      <c r="B1551" s="5" t="s">
        <v>14053</v>
      </c>
      <c r="C1551" s="6" t="str">
        <f>HYPERLINK("https://www.ti.com/lit/gpn/UCC21541", "PDF")</f>
        <v>PDF</v>
      </c>
      <c r="D1551" s="5" t="s">
        <v>14054</v>
      </c>
      <c r="E1551" s="5" t="s">
        <v>14055</v>
      </c>
      <c r="F1551" s="5"/>
      <c r="G1551" s="5" t="s">
        <v>14056</v>
      </c>
      <c r="H1551" s="1" t="s">
        <v>14057</v>
      </c>
      <c r="I1551" s="5" t="s">
        <v>14058</v>
      </c>
      <c r="J1551" s="7">
        <v>16</v>
      </c>
      <c r="K1551" s="7">
        <v>106.09</v>
      </c>
      <c r="L1551" s="5" t="s">
        <v>14059</v>
      </c>
      <c r="M1551" s="7">
        <v>2.65</v>
      </c>
      <c r="N1551" s="7">
        <v>1.27</v>
      </c>
      <c r="O1551" s="7">
        <v>1.26</v>
      </c>
      <c r="P1551" s="1" t="s">
        <v>14060</v>
      </c>
    </row>
    <row r="1552" spans="1:16" ht="33.4" x14ac:dyDescent="0.3">
      <c r="A1552" s="6" t="str">
        <f>HYPERLINK("https://www.ti.com/product/TPS73801-SEP", "TPS73801-SEP")</f>
        <v>TPS73801-SEP</v>
      </c>
      <c r="B1552" s="5" t="s">
        <v>14061</v>
      </c>
      <c r="C1552" s="6" t="str">
        <f>HYPERLINK("https://www.ti.com/lit/gpn/TPS73801-SEP", "PDF")</f>
        <v>PDF</v>
      </c>
      <c r="D1552" s="5" t="s">
        <v>14062</v>
      </c>
      <c r="E1552" s="5" t="s">
        <v>14063</v>
      </c>
      <c r="F1552" s="5"/>
      <c r="G1552" s="5" t="s">
        <v>14064</v>
      </c>
      <c r="H1552" s="1" t="s">
        <v>14065</v>
      </c>
      <c r="I1552" s="5" t="s">
        <v>14066</v>
      </c>
      <c r="J1552" s="7">
        <v>6</v>
      </c>
      <c r="K1552" s="7">
        <v>45.89</v>
      </c>
      <c r="L1552" s="5" t="s">
        <v>14067</v>
      </c>
      <c r="M1552" s="7">
        <v>1.8</v>
      </c>
      <c r="N1552" s="7">
        <v>1.27</v>
      </c>
      <c r="O1552" s="7">
        <v>234.303</v>
      </c>
      <c r="P1552" s="1" t="s">
        <v>14068</v>
      </c>
    </row>
    <row r="1553" spans="1:16" ht="33.4" x14ac:dyDescent="0.3">
      <c r="A1553" s="6" t="str">
        <f>HYPERLINK("https://www.ti.com/product/TLV759P", "TLV759P")</f>
        <v>TLV759P</v>
      </c>
      <c r="B1553" s="5" t="s">
        <v>14069</v>
      </c>
      <c r="C1553" s="6" t="str">
        <f>HYPERLINK("https://www.ti.com/lit/gpn/TLV759P", "PDF")</f>
        <v>PDF</v>
      </c>
      <c r="D1553" s="5" t="s">
        <v>14070</v>
      </c>
      <c r="E1553" s="5" t="s">
        <v>14071</v>
      </c>
      <c r="F1553" s="5"/>
      <c r="G1553" s="5" t="s">
        <v>14072</v>
      </c>
      <c r="H1553" s="1" t="s">
        <v>14073</v>
      </c>
      <c r="I1553" s="5" t="s">
        <v>14074</v>
      </c>
      <c r="J1553" s="7">
        <v>6</v>
      </c>
      <c r="K1553" s="7">
        <v>4</v>
      </c>
      <c r="L1553" s="5" t="s">
        <v>14075</v>
      </c>
      <c r="M1553" s="7">
        <v>0.8</v>
      </c>
      <c r="N1553" s="7">
        <v>0.65</v>
      </c>
      <c r="O1553" s="7">
        <v>0.14799999999999999</v>
      </c>
      <c r="P1553" s="1" t="s">
        <v>14076</v>
      </c>
    </row>
    <row r="1554" spans="1:16" ht="33.4" x14ac:dyDescent="0.3">
      <c r="A1554" s="6" t="str">
        <f>HYPERLINK("https://www.ti.com/product/UCC21220A", "UCC21220A")</f>
        <v>UCC21220A</v>
      </c>
      <c r="B1554" s="5" t="s">
        <v>14077</v>
      </c>
      <c r="C1554" s="6" t="str">
        <f>HYPERLINK("https://www.ti.com/lit/gpn/UCC21220A", "PDF")</f>
        <v>PDF</v>
      </c>
      <c r="D1554" s="5" t="s">
        <v>14078</v>
      </c>
      <c r="E1554" s="5" t="s">
        <v>14079</v>
      </c>
      <c r="F1554" s="5"/>
      <c r="G1554" s="5" t="s">
        <v>14080</v>
      </c>
      <c r="H1554" s="1" t="s">
        <v>14081</v>
      </c>
      <c r="I1554" s="5" t="s">
        <v>14082</v>
      </c>
      <c r="J1554" s="7">
        <v>16</v>
      </c>
      <c r="K1554" s="7">
        <v>59.4</v>
      </c>
      <c r="L1554" s="5" t="s">
        <v>14083</v>
      </c>
      <c r="M1554" s="7">
        <v>1.75</v>
      </c>
      <c r="N1554" s="7">
        <v>1.27</v>
      </c>
      <c r="O1554" s="7">
        <v>1</v>
      </c>
      <c r="P1554" s="1" t="s">
        <v>14084</v>
      </c>
    </row>
    <row r="1555" spans="1:16" ht="33.4" x14ac:dyDescent="0.3">
      <c r="A1555" s="6" t="str">
        <f>HYPERLINK("https://www.ti.com/product/UCC24624", "UCC24624")</f>
        <v>UCC24624</v>
      </c>
      <c r="B1555" s="5" t="s">
        <v>14085</v>
      </c>
      <c r="C1555" s="6" t="str">
        <f>HYPERLINK("https://www.ti.com/lit/gpn/UCC24624", "PDF")</f>
        <v>PDF</v>
      </c>
      <c r="D1555" s="5" t="s">
        <v>14086</v>
      </c>
      <c r="E1555" s="5" t="s">
        <v>14087</v>
      </c>
      <c r="F1555" s="5" t="s">
        <v>14088</v>
      </c>
      <c r="G1555" s="5" t="s">
        <v>14089</v>
      </c>
      <c r="H1555" s="1" t="s">
        <v>14090</v>
      </c>
      <c r="I1555" s="5" t="s">
        <v>14091</v>
      </c>
      <c r="J1555" s="7">
        <v>8</v>
      </c>
      <c r="K1555" s="7">
        <v>29.4</v>
      </c>
      <c r="L1555" s="5" t="s">
        <v>14092</v>
      </c>
      <c r="M1555" s="7">
        <v>1.75</v>
      </c>
      <c r="N1555" s="7">
        <v>1.27</v>
      </c>
      <c r="O1555" s="7">
        <v>0.79700000000000004</v>
      </c>
      <c r="P1555" s="1" t="s">
        <v>14093</v>
      </c>
    </row>
    <row r="1556" spans="1:16" ht="49.75" x14ac:dyDescent="0.3">
      <c r="A1556" s="6" t="str">
        <f>HYPERLINK("https://www.ti.com/product/UCC27282", "UCC27282")</f>
        <v>UCC27282</v>
      </c>
      <c r="B1556" s="5" t="s">
        <v>14094</v>
      </c>
      <c r="C1556" s="6" t="str">
        <f>HYPERLINK("https://www.ti.com/lit/gpn/UCC27282", "PDF")</f>
        <v>PDF</v>
      </c>
      <c r="D1556" s="5" t="s">
        <v>14095</v>
      </c>
      <c r="E1556" s="5" t="s">
        <v>14096</v>
      </c>
      <c r="F1556" s="5"/>
      <c r="G1556" s="5" t="s">
        <v>14097</v>
      </c>
      <c r="H1556" s="1" t="s">
        <v>14098</v>
      </c>
      <c r="I1556" s="5" t="s">
        <v>14099</v>
      </c>
      <c r="J1556" s="7" t="s">
        <v>14100</v>
      </c>
      <c r="K1556" s="7" t="s">
        <v>14101</v>
      </c>
      <c r="L1556" s="5" t="s">
        <v>14102</v>
      </c>
      <c r="M1556" s="7" t="s">
        <v>14103</v>
      </c>
      <c r="N1556" s="7" t="s">
        <v>14104</v>
      </c>
      <c r="O1556" s="7">
        <v>0.61099999999999999</v>
      </c>
      <c r="P1556" s="1" t="s">
        <v>14105</v>
      </c>
    </row>
    <row r="1557" spans="1:16" ht="33.4" x14ac:dyDescent="0.3">
      <c r="A1557" s="6" t="str">
        <f>HYPERLINK("https://www.ti.com/product/LM5146-Q1", "LM5146-Q1")</f>
        <v>LM5146-Q1</v>
      </c>
      <c r="B1557" s="5" t="s">
        <v>14106</v>
      </c>
      <c r="C1557" s="6" t="str">
        <f>HYPERLINK("https://www.ti.com/lit/gpn/LM5146-Q1", "PDF")</f>
        <v>PDF</v>
      </c>
      <c r="D1557" s="5" t="s">
        <v>14107</v>
      </c>
      <c r="E1557" s="5" t="s">
        <v>14108</v>
      </c>
      <c r="F1557" s="5" t="s">
        <v>14109</v>
      </c>
      <c r="G1557" s="5" t="s">
        <v>14110</v>
      </c>
      <c r="H1557" s="1" t="s">
        <v>14111</v>
      </c>
      <c r="I1557" s="5" t="s">
        <v>14112</v>
      </c>
      <c r="J1557" s="7">
        <v>20</v>
      </c>
      <c r="K1557" s="7">
        <v>15.75</v>
      </c>
      <c r="L1557" s="5" t="s">
        <v>14113</v>
      </c>
      <c r="M1557" s="7">
        <v>1</v>
      </c>
      <c r="N1557" s="7">
        <v>0.5</v>
      </c>
      <c r="O1557" s="7">
        <v>2.0390000000000001</v>
      </c>
      <c r="P1557" s="1" t="s">
        <v>14114</v>
      </c>
    </row>
    <row r="1558" spans="1:16" ht="33.4" x14ac:dyDescent="0.3">
      <c r="A1558" s="6" t="str">
        <f>HYPERLINK("https://www.ti.com/product/LMR36015", "LMR36015")</f>
        <v>LMR36015</v>
      </c>
      <c r="B1558" s="5" t="s">
        <v>14115</v>
      </c>
      <c r="C1558" s="6" t="str">
        <f>HYPERLINK("https://www.ti.com/lit/gpn/LMR36015", "PDF")</f>
        <v>PDF</v>
      </c>
      <c r="D1558" s="5" t="s">
        <v>14116</v>
      </c>
      <c r="E1558" s="5" t="s">
        <v>14117</v>
      </c>
      <c r="F1558" s="5" t="s">
        <v>14118</v>
      </c>
      <c r="G1558" s="5" t="s">
        <v>14119</v>
      </c>
      <c r="H1558" s="1" t="s">
        <v>14120</v>
      </c>
      <c r="I1558" s="5" t="s">
        <v>14121</v>
      </c>
      <c r="J1558" s="7">
        <v>12</v>
      </c>
      <c r="K1558" s="7">
        <v>6</v>
      </c>
      <c r="L1558" s="5" t="s">
        <v>14122</v>
      </c>
      <c r="M1558" s="7">
        <v>0.9</v>
      </c>
      <c r="N1558" s="7">
        <v>0.5</v>
      </c>
      <c r="O1558" s="7">
        <v>1.05</v>
      </c>
      <c r="P1558" s="1" t="s">
        <v>14123</v>
      </c>
    </row>
    <row r="1559" spans="1:16" ht="33.4" x14ac:dyDescent="0.3">
      <c r="A1559" s="6" t="str">
        <f>HYPERLINK("https://www.ti.com/product/LMR36015-Q1", "LMR36015-Q1")</f>
        <v>LMR36015-Q1</v>
      </c>
      <c r="B1559" s="5" t="s">
        <v>14124</v>
      </c>
      <c r="C1559" s="6" t="str">
        <f>HYPERLINK("https://www.ti.com/lit/gpn/LMR36015-Q1", "PDF")</f>
        <v>PDF</v>
      </c>
      <c r="D1559" s="5" t="s">
        <v>14125</v>
      </c>
      <c r="E1559" s="5" t="s">
        <v>14126</v>
      </c>
      <c r="F1559" s="5" t="s">
        <v>14127</v>
      </c>
      <c r="G1559" s="5" t="s">
        <v>14128</v>
      </c>
      <c r="H1559" s="1" t="s">
        <v>14129</v>
      </c>
      <c r="I1559" s="5" t="s">
        <v>14130</v>
      </c>
      <c r="J1559" s="7">
        <v>12</v>
      </c>
      <c r="K1559" s="7">
        <v>6</v>
      </c>
      <c r="L1559" s="5" t="s">
        <v>14131</v>
      </c>
      <c r="M1559" s="7">
        <v>0.9</v>
      </c>
      <c r="N1559" s="7">
        <v>0.5</v>
      </c>
      <c r="O1559" s="7">
        <v>1.2390000000000001</v>
      </c>
      <c r="P1559" s="1" t="s">
        <v>14132</v>
      </c>
    </row>
    <row r="1560" spans="1:16" ht="33.4" x14ac:dyDescent="0.3">
      <c r="A1560" s="6" t="str">
        <f>HYPERLINK("https://www.ti.com/product/ATL431LI", "ATL431LI")</f>
        <v>ATL431LI</v>
      </c>
      <c r="B1560" s="5" t="s">
        <v>14133</v>
      </c>
      <c r="C1560" s="6" t="str">
        <f>HYPERLINK("https://www.ti.com/lit/gpn/ATL431LI", "PDF")</f>
        <v>PDF</v>
      </c>
      <c r="D1560" s="5" t="s">
        <v>14134</v>
      </c>
      <c r="E1560" s="5" t="s">
        <v>14135</v>
      </c>
      <c r="F1560" s="5"/>
      <c r="G1560" s="5" t="s">
        <v>14136</v>
      </c>
      <c r="H1560" s="1" t="s">
        <v>14137</v>
      </c>
      <c r="I1560" s="5" t="s">
        <v>14138</v>
      </c>
      <c r="J1560" s="7" t="s">
        <v>14139</v>
      </c>
      <c r="K1560" s="7" t="s">
        <v>14140</v>
      </c>
      <c r="L1560" s="5" t="s">
        <v>14141</v>
      </c>
      <c r="M1560" s="7" t="s">
        <v>14142</v>
      </c>
      <c r="N1560" s="7" t="s">
        <v>14143</v>
      </c>
      <c r="O1560" s="7">
        <v>0.10199999999999999</v>
      </c>
      <c r="P1560" s="1" t="s">
        <v>14144</v>
      </c>
    </row>
    <row r="1561" spans="1:16" ht="17.05" x14ac:dyDescent="0.3">
      <c r="A1561" s="6" t="str">
        <f>HYPERLINK("https://www.ti.com/product/ATL432LI", "ATL432LI")</f>
        <v>ATL432LI</v>
      </c>
      <c r="B1561" s="5" t="s">
        <v>14145</v>
      </c>
      <c r="C1561" s="6" t="str">
        <f>HYPERLINK("https://www.ti.com/lit/gpn/ATL432LI", "PDF")</f>
        <v>PDF</v>
      </c>
      <c r="D1561" s="5" t="s">
        <v>14146</v>
      </c>
      <c r="E1561" s="5" t="s">
        <v>14147</v>
      </c>
      <c r="F1561" s="5"/>
      <c r="G1561" s="5" t="s">
        <v>14148</v>
      </c>
      <c r="H1561" s="1" t="s">
        <v>14149</v>
      </c>
      <c r="I1561" s="5" t="s">
        <v>14150</v>
      </c>
      <c r="J1561" s="7">
        <v>3</v>
      </c>
      <c r="K1561" s="7">
        <v>6.9203999999999999</v>
      </c>
      <c r="L1561" s="5" t="s">
        <v>14151</v>
      </c>
      <c r="M1561" s="7">
        <v>1.1200000000000001</v>
      </c>
      <c r="N1561" s="7">
        <v>0.96</v>
      </c>
      <c r="O1561" s="7">
        <v>8.2000000000000003E-2</v>
      </c>
      <c r="P1561" s="1" t="s">
        <v>14152</v>
      </c>
    </row>
    <row r="1562" spans="1:16" ht="33.4" x14ac:dyDescent="0.3">
      <c r="A1562" s="6" t="str">
        <f>HYPERLINK("https://www.ti.com/product/TL431LI", "TL431LI")</f>
        <v>TL431LI</v>
      </c>
      <c r="B1562" s="5" t="s">
        <v>14153</v>
      </c>
      <c r="C1562" s="6" t="str">
        <f>HYPERLINK("https://www.ti.com/lit/gpn/TL431LI", "PDF")</f>
        <v>PDF</v>
      </c>
      <c r="D1562" s="5" t="s">
        <v>14154</v>
      </c>
      <c r="E1562" s="5" t="s">
        <v>14155</v>
      </c>
      <c r="F1562" s="5"/>
      <c r="G1562" s="5" t="s">
        <v>14156</v>
      </c>
      <c r="H1562" s="1" t="s">
        <v>14157</v>
      </c>
      <c r="I1562" s="5" t="s">
        <v>14158</v>
      </c>
      <c r="J1562" s="7">
        <v>3</v>
      </c>
      <c r="K1562" s="7">
        <v>6.9203999999999999</v>
      </c>
      <c r="L1562" s="5" t="s">
        <v>14159</v>
      </c>
      <c r="M1562" s="7">
        <v>1.1200000000000001</v>
      </c>
      <c r="N1562" s="7">
        <v>0.96</v>
      </c>
      <c r="O1562" s="7">
        <v>5.5E-2</v>
      </c>
      <c r="P1562" s="1" t="s">
        <v>14160</v>
      </c>
    </row>
    <row r="1563" spans="1:16" ht="33.4" x14ac:dyDescent="0.3">
      <c r="A1563" s="6" t="str">
        <f>HYPERLINK("https://www.ti.com/product/TL432LI", "TL432LI")</f>
        <v>TL432LI</v>
      </c>
      <c r="B1563" s="5" t="s">
        <v>14161</v>
      </c>
      <c r="C1563" s="6" t="str">
        <f>HYPERLINK("https://www.ti.com/lit/gpn/TL432LI", "PDF")</f>
        <v>PDF</v>
      </c>
      <c r="D1563" s="5" t="s">
        <v>14162</v>
      </c>
      <c r="E1563" s="5" t="s">
        <v>14163</v>
      </c>
      <c r="F1563" s="5"/>
      <c r="G1563" s="5" t="s">
        <v>14164</v>
      </c>
      <c r="H1563" s="1" t="s">
        <v>14165</v>
      </c>
      <c r="I1563" s="5" t="s">
        <v>14166</v>
      </c>
      <c r="J1563" s="7">
        <v>3</v>
      </c>
      <c r="K1563" s="7">
        <v>6.9203999999999999</v>
      </c>
      <c r="L1563" s="5" t="s">
        <v>14167</v>
      </c>
      <c r="M1563" s="7">
        <v>1.1200000000000001</v>
      </c>
      <c r="N1563" s="7">
        <v>0.96</v>
      </c>
      <c r="O1563" s="7">
        <v>4.2999999999999997E-2</v>
      </c>
      <c r="P1563" s="1" t="s">
        <v>14168</v>
      </c>
    </row>
    <row r="1564" spans="1:16" ht="33.4" x14ac:dyDescent="0.3">
      <c r="A1564" s="6" t="str">
        <f>HYPERLINK("https://www.ti.com/product/LM5122ZA", "LM5122ZA")</f>
        <v>LM5122ZA</v>
      </c>
      <c r="B1564" s="5" t="s">
        <v>14169</v>
      </c>
      <c r="C1564" s="6" t="str">
        <f>HYPERLINK("https://www.ti.com/lit/gpn/LM5122ZA", "PDF")</f>
        <v>PDF</v>
      </c>
      <c r="D1564" s="5" t="s">
        <v>14170</v>
      </c>
      <c r="E1564" s="5" t="s">
        <v>14171</v>
      </c>
      <c r="F1564" s="5" t="s">
        <v>14172</v>
      </c>
      <c r="G1564" s="5" t="s">
        <v>14173</v>
      </c>
      <c r="H1564" s="1" t="s">
        <v>14174</v>
      </c>
      <c r="I1564" s="5" t="s">
        <v>14175</v>
      </c>
      <c r="J1564" s="7">
        <v>24</v>
      </c>
      <c r="K1564" s="7">
        <v>49.92</v>
      </c>
      <c r="L1564" s="5" t="s">
        <v>14176</v>
      </c>
      <c r="M1564" s="7">
        <v>1.2</v>
      </c>
      <c r="N1564" s="7">
        <v>0.65</v>
      </c>
      <c r="O1564" s="7">
        <v>2.0030000000000001</v>
      </c>
      <c r="P1564" s="1" t="s">
        <v>14177</v>
      </c>
    </row>
    <row r="1565" spans="1:16" ht="33.4" x14ac:dyDescent="0.3">
      <c r="A1565" s="6" t="str">
        <f>HYPERLINK("https://www.ti.com/product/LMR33620-Q1", "LMR33620-Q1")</f>
        <v>LMR33620-Q1</v>
      </c>
      <c r="B1565" s="5" t="s">
        <v>14178</v>
      </c>
      <c r="C1565" s="6" t="str">
        <f>HYPERLINK("https://www.ti.com/lit/gpn/LMR33620-Q1", "PDF")</f>
        <v>PDF</v>
      </c>
      <c r="D1565" s="5" t="s">
        <v>14179</v>
      </c>
      <c r="E1565" s="5" t="s">
        <v>14180</v>
      </c>
      <c r="F1565" s="5" t="s">
        <v>14181</v>
      </c>
      <c r="G1565" s="5" t="s">
        <v>14182</v>
      </c>
      <c r="H1565" s="1" t="s">
        <v>14183</v>
      </c>
      <c r="I1565" s="5" t="s">
        <v>14184</v>
      </c>
      <c r="J1565" s="7">
        <v>12</v>
      </c>
      <c r="K1565" s="7">
        <v>6</v>
      </c>
      <c r="L1565" s="5" t="s">
        <v>14185</v>
      </c>
      <c r="M1565" s="7">
        <v>0.9</v>
      </c>
      <c r="N1565" s="7">
        <v>0.5</v>
      </c>
      <c r="O1565" s="7">
        <v>0.96099999999999997</v>
      </c>
      <c r="P1565" s="1" t="s">
        <v>14186</v>
      </c>
    </row>
    <row r="1566" spans="1:16" ht="33.4" x14ac:dyDescent="0.3">
      <c r="A1566" s="6" t="str">
        <f>HYPERLINK("https://www.ti.com/product/LMR33630-Q1", "LMR33630-Q1")</f>
        <v>LMR33630-Q1</v>
      </c>
      <c r="B1566" s="5" t="s">
        <v>14187</v>
      </c>
      <c r="C1566" s="6" t="str">
        <f>HYPERLINK("https://www.ti.com/lit/gpn/LMR33630-Q1", "PDF")</f>
        <v>PDF</v>
      </c>
      <c r="D1566" s="5" t="s">
        <v>14188</v>
      </c>
      <c r="E1566" s="5" t="s">
        <v>14189</v>
      </c>
      <c r="F1566" s="5" t="s">
        <v>14190</v>
      </c>
      <c r="G1566" s="5" t="s">
        <v>14191</v>
      </c>
      <c r="H1566" s="1" t="s">
        <v>14192</v>
      </c>
      <c r="I1566" s="5" t="s">
        <v>14193</v>
      </c>
      <c r="J1566" s="7">
        <v>12</v>
      </c>
      <c r="K1566" s="7">
        <v>6</v>
      </c>
      <c r="L1566" s="5" t="s">
        <v>14194</v>
      </c>
      <c r="M1566" s="7">
        <v>0.9</v>
      </c>
      <c r="N1566" s="7">
        <v>0.5</v>
      </c>
      <c r="O1566" s="7">
        <v>1.3260000000000001</v>
      </c>
      <c r="P1566" s="1" t="s">
        <v>14195</v>
      </c>
    </row>
    <row r="1567" spans="1:16" ht="33.4" x14ac:dyDescent="0.3">
      <c r="A1567" s="6" t="str">
        <f>HYPERLINK("https://www.ti.com/product/LMR36006-Q1", "LMR36006-Q1")</f>
        <v>LMR36006-Q1</v>
      </c>
      <c r="B1567" s="5" t="s">
        <v>14196</v>
      </c>
      <c r="C1567" s="6" t="str">
        <f>HYPERLINK("https://www.ti.com/lit/gpn/LMR36006-Q1", "PDF")</f>
        <v>PDF</v>
      </c>
      <c r="D1567" s="5" t="s">
        <v>14197</v>
      </c>
      <c r="E1567" s="5" t="s">
        <v>14198</v>
      </c>
      <c r="F1567" s="5" t="s">
        <v>14199</v>
      </c>
      <c r="G1567" s="5" t="s">
        <v>14200</v>
      </c>
      <c r="H1567" s="1" t="s">
        <v>14201</v>
      </c>
      <c r="I1567" s="5" t="s">
        <v>14202</v>
      </c>
      <c r="J1567" s="7">
        <v>12</v>
      </c>
      <c r="K1567" s="7">
        <v>6</v>
      </c>
      <c r="L1567" s="5" t="s">
        <v>14203</v>
      </c>
      <c r="M1567" s="7">
        <v>0.9</v>
      </c>
      <c r="N1567" s="7">
        <v>0.5</v>
      </c>
      <c r="O1567" s="7">
        <v>1.08</v>
      </c>
      <c r="P1567" s="1" t="s">
        <v>14204</v>
      </c>
    </row>
    <row r="1568" spans="1:16" ht="33.4" x14ac:dyDescent="0.3">
      <c r="A1568" s="6" t="str">
        <f>HYPERLINK("https://www.ti.com/product/UCC28C45-Q1", "UCC28C45-Q1")</f>
        <v>UCC28C45-Q1</v>
      </c>
      <c r="B1568" s="5" t="s">
        <v>14205</v>
      </c>
      <c r="C1568" s="6" t="str">
        <f>HYPERLINK("https://www.ti.com/lit/gpn/UCC28C45-Q1", "PDF")</f>
        <v>PDF</v>
      </c>
      <c r="D1568" s="5" t="s">
        <v>14206</v>
      </c>
      <c r="E1568" s="5" t="s">
        <v>14207</v>
      </c>
      <c r="F1568" s="5" t="s">
        <v>14208</v>
      </c>
      <c r="G1568" s="5" t="s">
        <v>14209</v>
      </c>
      <c r="H1568" s="1" t="s">
        <v>14210</v>
      </c>
      <c r="I1568" s="5" t="s">
        <v>14211</v>
      </c>
      <c r="J1568" s="7">
        <v>8</v>
      </c>
      <c r="K1568" s="7">
        <v>29.4</v>
      </c>
      <c r="L1568" s="5" t="s">
        <v>14212</v>
      </c>
      <c r="M1568" s="7">
        <v>1.75</v>
      </c>
      <c r="N1568" s="7">
        <v>1.27</v>
      </c>
      <c r="O1568" s="7">
        <v>0.871</v>
      </c>
      <c r="P1568" s="1" t="s">
        <v>14213</v>
      </c>
    </row>
    <row r="1569" spans="1:16" ht="33.4" x14ac:dyDescent="0.3">
      <c r="A1569" s="6" t="str">
        <f>HYPERLINK("https://www.ti.com/product/TPS92515AHV-Q1", "TPS92515AHV-Q1")</f>
        <v>TPS92515AHV-Q1</v>
      </c>
      <c r="B1569" s="5" t="s">
        <v>14214</v>
      </c>
      <c r="C1569" s="6" t="str">
        <f>HYPERLINK("https://www.ti.com/lit/gpn/TPS92515AHV-Q1", "PDF")</f>
        <v>PDF</v>
      </c>
      <c r="D1569" s="5" t="s">
        <v>14215</v>
      </c>
      <c r="E1569" s="5" t="s">
        <v>14216</v>
      </c>
      <c r="F1569" s="5" t="s">
        <v>14217</v>
      </c>
      <c r="G1569" s="5" t="s">
        <v>14218</v>
      </c>
      <c r="H1569" s="1" t="s">
        <v>14219</v>
      </c>
      <c r="I1569" s="5" t="s">
        <v>14220</v>
      </c>
      <c r="J1569" s="7">
        <v>10</v>
      </c>
      <c r="K1569" s="7">
        <v>14.7</v>
      </c>
      <c r="L1569" s="5" t="s">
        <v>14221</v>
      </c>
      <c r="M1569" s="7">
        <v>1.1000000000000001</v>
      </c>
      <c r="N1569" s="7">
        <v>0.5</v>
      </c>
      <c r="O1569" s="7">
        <v>0.80700000000000005</v>
      </c>
      <c r="P1569" s="1" t="s">
        <v>14222</v>
      </c>
    </row>
    <row r="1570" spans="1:16" ht="33.4" x14ac:dyDescent="0.3">
      <c r="A1570" s="6" t="str">
        <f>HYPERLINK("https://www.ti.com/product/TPS7B70-Q1", "TPS7B70-Q1")</f>
        <v>TPS7B70-Q1</v>
      </c>
      <c r="B1570" s="5" t="s">
        <v>14223</v>
      </c>
      <c r="C1570" s="6" t="str">
        <f>HYPERLINK("https://www.ti.com/lit/gpn/TPS7B70-Q1", "PDF")</f>
        <v>PDF</v>
      </c>
      <c r="D1570" s="5" t="s">
        <v>14224</v>
      </c>
      <c r="E1570" s="5" t="s">
        <v>14225</v>
      </c>
      <c r="F1570" s="5"/>
      <c r="G1570" s="5" t="s">
        <v>14226</v>
      </c>
      <c r="H1570" s="1" t="s">
        <v>14227</v>
      </c>
      <c r="I1570" s="5" t="s">
        <v>14228</v>
      </c>
      <c r="J1570" s="7">
        <v>16</v>
      </c>
      <c r="K1570" s="7">
        <v>32</v>
      </c>
      <c r="L1570" s="5" t="s">
        <v>14229</v>
      </c>
      <c r="M1570" s="7">
        <v>1.2</v>
      </c>
      <c r="N1570" s="7">
        <v>0.65</v>
      </c>
      <c r="O1570" s="7">
        <v>0.747</v>
      </c>
      <c r="P1570" s="1" t="s">
        <v>14230</v>
      </c>
    </row>
    <row r="1571" spans="1:16" ht="33.4" x14ac:dyDescent="0.3">
      <c r="A1571" s="6" t="str">
        <f>HYPERLINK("https://www.ti.com/product/LP87564-Q1", "LP87564-Q1")</f>
        <v>LP87564-Q1</v>
      </c>
      <c r="B1571" s="5" t="s">
        <v>14231</v>
      </c>
      <c r="C1571" s="6" t="str">
        <f>HYPERLINK("https://www.ti.com/lit/gpn/LP87564-Q1", "PDF")</f>
        <v>PDF</v>
      </c>
      <c r="D1571" s="5" t="s">
        <v>14232</v>
      </c>
      <c r="E1571" s="5" t="s">
        <v>14233</v>
      </c>
      <c r="F1571" s="5"/>
      <c r="G1571" s="5" t="s">
        <v>14234</v>
      </c>
      <c r="H1571" s="1" t="s">
        <v>14235</v>
      </c>
      <c r="I1571" s="5" t="s">
        <v>14236</v>
      </c>
      <c r="J1571" s="7">
        <v>26</v>
      </c>
      <c r="K1571" s="7">
        <v>18</v>
      </c>
      <c r="L1571" s="5" t="s">
        <v>14237</v>
      </c>
      <c r="M1571" s="7">
        <v>0.9</v>
      </c>
      <c r="N1571" s="7">
        <v>0.5</v>
      </c>
      <c r="O1571" s="7">
        <v>2.5299999999999998</v>
      </c>
      <c r="P1571" s="1" t="s">
        <v>14238</v>
      </c>
    </row>
    <row r="1572" spans="1:16" ht="33.4" x14ac:dyDescent="0.3">
      <c r="A1572" s="6" t="str">
        <f>HYPERLINK("https://www.ti.com/product/LMZM33604", "LMZM33604")</f>
        <v>LMZM33604</v>
      </c>
      <c r="B1572" s="5" t="s">
        <v>14239</v>
      </c>
      <c r="C1572" s="6" t="str">
        <f>HYPERLINK("https://www.ti.com/lit/gpn/LMZM33604", "PDF")</f>
        <v>PDF</v>
      </c>
      <c r="D1572" s="5" t="s">
        <v>14240</v>
      </c>
      <c r="E1572" s="5" t="s">
        <v>14241</v>
      </c>
      <c r="F1572" s="5" t="s">
        <v>14242</v>
      </c>
      <c r="G1572" s="5" t="s">
        <v>14243</v>
      </c>
      <c r="H1572" s="1" t="s">
        <v>14244</v>
      </c>
      <c r="I1572" s="5" t="s">
        <v>14245</v>
      </c>
      <c r="J1572" s="7">
        <v>41</v>
      </c>
      <c r="K1572" s="7">
        <v>160</v>
      </c>
      <c r="L1572" s="5" t="s">
        <v>14246</v>
      </c>
      <c r="M1572" s="7">
        <v>4.0999999999999996</v>
      </c>
      <c r="N1572" s="7">
        <v>0.8</v>
      </c>
      <c r="O1572" s="7">
        <v>7.9</v>
      </c>
      <c r="P1572" s="1" t="s">
        <v>14247</v>
      </c>
    </row>
    <row r="1573" spans="1:16" ht="33.4" x14ac:dyDescent="0.3">
      <c r="A1573" s="6" t="str">
        <f>HYPERLINK("https://www.ti.com/product/LMZM33606", "LMZM33606")</f>
        <v>LMZM33606</v>
      </c>
      <c r="B1573" s="5" t="s">
        <v>14248</v>
      </c>
      <c r="C1573" s="6" t="str">
        <f>HYPERLINK("https://www.ti.com/lit/gpn/LMZM33606", "PDF")</f>
        <v>PDF</v>
      </c>
      <c r="D1573" s="5" t="s">
        <v>14249</v>
      </c>
      <c r="E1573" s="5" t="s">
        <v>14250</v>
      </c>
      <c r="F1573" s="5" t="s">
        <v>14251</v>
      </c>
      <c r="G1573" s="5" t="s">
        <v>14252</v>
      </c>
      <c r="H1573" s="1" t="s">
        <v>14253</v>
      </c>
      <c r="I1573" s="5" t="s">
        <v>14254</v>
      </c>
      <c r="J1573" s="7">
        <v>41</v>
      </c>
      <c r="K1573" s="7">
        <v>160</v>
      </c>
      <c r="L1573" s="5" t="s">
        <v>14255</v>
      </c>
      <c r="M1573" s="7">
        <v>4.0999999999999996</v>
      </c>
      <c r="N1573" s="7">
        <v>0.8</v>
      </c>
      <c r="O1573" s="7">
        <v>7.92</v>
      </c>
      <c r="P1573" s="1" t="s">
        <v>14256</v>
      </c>
    </row>
    <row r="1574" spans="1:16" ht="33.4" x14ac:dyDescent="0.3">
      <c r="A1574" s="6" t="str">
        <f>HYPERLINK("https://www.ti.com/product/TPS65216", "TPS65216")</f>
        <v>TPS65216</v>
      </c>
      <c r="B1574" s="5" t="s">
        <v>14257</v>
      </c>
      <c r="C1574" s="6" t="str">
        <f>HYPERLINK("https://www.ti.com/lit/gpn/TPS65216", "PDF")</f>
        <v>PDF</v>
      </c>
      <c r="D1574" s="5" t="s">
        <v>14258</v>
      </c>
      <c r="E1574" s="5" t="s">
        <v>14259</v>
      </c>
      <c r="F1574" s="5"/>
      <c r="G1574" s="5" t="s">
        <v>14260</v>
      </c>
      <c r="H1574" s="1" t="s">
        <v>14261</v>
      </c>
      <c r="I1574" s="5" t="s">
        <v>14262</v>
      </c>
      <c r="J1574" s="7">
        <v>48</v>
      </c>
      <c r="K1574" s="7">
        <v>36</v>
      </c>
      <c r="L1574" s="5" t="s">
        <v>14263</v>
      </c>
      <c r="M1574" s="7">
        <v>1</v>
      </c>
      <c r="N1574" s="7">
        <v>0.4</v>
      </c>
      <c r="O1574" s="7">
        <v>1.3</v>
      </c>
      <c r="P1574" s="1" t="s">
        <v>14264</v>
      </c>
    </row>
    <row r="1575" spans="1:16" ht="33.4" x14ac:dyDescent="0.3">
      <c r="A1575" s="6" t="str">
        <f>HYPERLINK("https://www.ti.com/product/REF34-Q1", "REF34-Q1")</f>
        <v>REF34-Q1</v>
      </c>
      <c r="B1575" s="5" t="s">
        <v>14265</v>
      </c>
      <c r="C1575" s="6" t="str">
        <f>HYPERLINK("https://www.ti.com/lit/gpn/REF34-Q1", "PDF")</f>
        <v>PDF</v>
      </c>
      <c r="D1575" s="5" t="s">
        <v>14266</v>
      </c>
      <c r="E1575" s="5" t="s">
        <v>14267</v>
      </c>
      <c r="F1575" s="5"/>
      <c r="G1575" s="5" t="s">
        <v>14268</v>
      </c>
      <c r="H1575" s="1" t="s">
        <v>14269</v>
      </c>
      <c r="I1575" s="5" t="s">
        <v>14270</v>
      </c>
      <c r="J1575" s="7" t="s">
        <v>14271</v>
      </c>
      <c r="K1575" s="7" t="s">
        <v>14272</v>
      </c>
      <c r="L1575" s="5" t="s">
        <v>14273</v>
      </c>
      <c r="M1575" s="7" t="s">
        <v>14274</v>
      </c>
      <c r="N1575" s="7" t="s">
        <v>14275</v>
      </c>
      <c r="O1575" s="7">
        <v>1.615</v>
      </c>
      <c r="P1575" s="1" t="s">
        <v>14276</v>
      </c>
    </row>
    <row r="1576" spans="1:16" ht="33.4" x14ac:dyDescent="0.3">
      <c r="A1576" s="6" t="str">
        <f>HYPERLINK("https://www.ti.com/product/LMG3411R070", "LMG3411R070")</f>
        <v>LMG3411R070</v>
      </c>
      <c r="B1576" s="5" t="s">
        <v>14277</v>
      </c>
      <c r="C1576" s="6" t="str">
        <f>HYPERLINK("https://www.ti.com/lit/gpn/LMG3411R070", "PDF")</f>
        <v>PDF</v>
      </c>
      <c r="D1576" s="5" t="s">
        <v>14278</v>
      </c>
      <c r="E1576" s="5" t="s">
        <v>14279</v>
      </c>
      <c r="F1576" s="5"/>
      <c r="G1576" s="5" t="s">
        <v>14280</v>
      </c>
      <c r="H1576" s="1" t="s">
        <v>14281</v>
      </c>
      <c r="I1576" s="5" t="s">
        <v>14282</v>
      </c>
      <c r="J1576" s="7">
        <v>32</v>
      </c>
      <c r="K1576" s="7">
        <v>64</v>
      </c>
      <c r="L1576" s="5" t="s">
        <v>14283</v>
      </c>
      <c r="M1576" s="7">
        <v>0.9</v>
      </c>
      <c r="N1576" s="7">
        <v>0.65</v>
      </c>
      <c r="O1576" s="7">
        <v>5.8</v>
      </c>
      <c r="P1576" s="1" t="s">
        <v>14284</v>
      </c>
    </row>
    <row r="1577" spans="1:16" ht="49.75" x14ac:dyDescent="0.3">
      <c r="A1577" s="6" t="str">
        <f>HYPERLINK("https://www.ti.com/product/TPS63805", "TPS63805")</f>
        <v>TPS63805</v>
      </c>
      <c r="B1577" s="5" t="s">
        <v>14285</v>
      </c>
      <c r="C1577" s="6" t="str">
        <f>HYPERLINK("https://www.ti.com/lit/gpn/TPS63805", "PDF")</f>
        <v>PDF</v>
      </c>
      <c r="D1577" s="5" t="s">
        <v>14286</v>
      </c>
      <c r="E1577" s="5" t="s">
        <v>14287</v>
      </c>
      <c r="F1577" s="5" t="s">
        <v>14288</v>
      </c>
      <c r="G1577" s="5" t="s">
        <v>14289</v>
      </c>
      <c r="H1577" s="1" t="s">
        <v>14290</v>
      </c>
      <c r="I1577" s="5" t="s">
        <v>14291</v>
      </c>
      <c r="J1577" s="7">
        <v>15</v>
      </c>
      <c r="K1577" s="7">
        <v>3.08</v>
      </c>
      <c r="L1577" s="5" t="s">
        <v>14292</v>
      </c>
      <c r="M1577" s="7">
        <v>0.625</v>
      </c>
      <c r="N1577" s="7">
        <v>0.4</v>
      </c>
      <c r="O1577" s="7">
        <v>1.0349999999999999</v>
      </c>
      <c r="P1577" s="1" t="s">
        <v>14293</v>
      </c>
    </row>
    <row r="1578" spans="1:16" ht="33.4" x14ac:dyDescent="0.3">
      <c r="A1578" s="6" t="str">
        <f>HYPERLINK("https://www.ti.com/product/UCC28064A", "UCC28064A")</f>
        <v>UCC28064A</v>
      </c>
      <c r="B1578" s="5" t="s">
        <v>14294</v>
      </c>
      <c r="C1578" s="6" t="str">
        <f>HYPERLINK("https://www.ti.com/lit/gpn/UCC28064A", "PDF")</f>
        <v>PDF</v>
      </c>
      <c r="D1578" s="5" t="s">
        <v>14295</v>
      </c>
      <c r="E1578" s="5" t="s">
        <v>14296</v>
      </c>
      <c r="F1578" s="5" t="s">
        <v>14297</v>
      </c>
      <c r="G1578" s="5" t="s">
        <v>14298</v>
      </c>
      <c r="H1578" s="1" t="s">
        <v>14299</v>
      </c>
      <c r="I1578" s="5" t="s">
        <v>14300</v>
      </c>
      <c r="J1578" s="7">
        <v>16</v>
      </c>
      <c r="K1578" s="7">
        <v>59.4</v>
      </c>
      <c r="L1578" s="5" t="s">
        <v>14301</v>
      </c>
      <c r="M1578" s="7">
        <v>1.75</v>
      </c>
      <c r="N1578" s="7">
        <v>1.27</v>
      </c>
      <c r="O1578" s="7">
        <v>0.92600000000000005</v>
      </c>
      <c r="P1578" s="1" t="s">
        <v>14302</v>
      </c>
    </row>
    <row r="1579" spans="1:16" ht="33.4" x14ac:dyDescent="0.3">
      <c r="A1579" s="6" t="str">
        <f>HYPERLINK("https://www.ti.com/product/LP5018", "LP5018")</f>
        <v>LP5018</v>
      </c>
      <c r="B1579" s="5" t="s">
        <v>14303</v>
      </c>
      <c r="C1579" s="6" t="str">
        <f>HYPERLINK("https://www.ti.com/lit/gpn/LP5018", "PDF")</f>
        <v>PDF</v>
      </c>
      <c r="D1579" s="5" t="s">
        <v>14304</v>
      </c>
      <c r="E1579" s="5" t="s">
        <v>14305</v>
      </c>
      <c r="F1579" s="5" t="s">
        <v>14306</v>
      </c>
      <c r="G1579" s="5" t="s">
        <v>14307</v>
      </c>
      <c r="H1579" s="1" t="s">
        <v>14308</v>
      </c>
      <c r="I1579" s="5" t="s">
        <v>14309</v>
      </c>
      <c r="J1579" s="7" t="s">
        <v>14310</v>
      </c>
      <c r="K1579" s="7" t="s">
        <v>14311</v>
      </c>
      <c r="L1579" s="5" t="s">
        <v>14312</v>
      </c>
      <c r="M1579" s="7" t="s">
        <v>14313</v>
      </c>
      <c r="N1579" s="7" t="s">
        <v>14314</v>
      </c>
      <c r="O1579" s="7">
        <v>0.51300000000000001</v>
      </c>
      <c r="P1579" s="1" t="s">
        <v>14315</v>
      </c>
    </row>
    <row r="1580" spans="1:16" ht="17.05" x14ac:dyDescent="0.3">
      <c r="A1580" s="6" t="str">
        <f>HYPERLINK("https://www.ti.com/product/LP5024", "LP5024")</f>
        <v>LP5024</v>
      </c>
      <c r="B1580" s="5" t="s">
        <v>14316</v>
      </c>
      <c r="C1580" s="6" t="str">
        <f>HYPERLINK("https://www.ti.com/lit/gpn/LP5024", "PDF")</f>
        <v>PDF</v>
      </c>
      <c r="D1580" s="5" t="s">
        <v>14317</v>
      </c>
      <c r="E1580" s="5" t="s">
        <v>14318</v>
      </c>
      <c r="F1580" s="5" t="s">
        <v>14319</v>
      </c>
      <c r="G1580" s="5" t="s">
        <v>14320</v>
      </c>
      <c r="H1580" s="1" t="s">
        <v>14321</v>
      </c>
      <c r="I1580" s="5" t="s">
        <v>14322</v>
      </c>
      <c r="J1580" s="7">
        <v>32</v>
      </c>
      <c r="K1580" s="7">
        <v>16</v>
      </c>
      <c r="L1580" s="5" t="s">
        <v>14323</v>
      </c>
      <c r="M1580" s="7">
        <v>1</v>
      </c>
      <c r="N1580" s="7">
        <v>0.4</v>
      </c>
      <c r="O1580" s="7">
        <v>0.57999999999999996</v>
      </c>
      <c r="P1580" s="1" t="s">
        <v>14324</v>
      </c>
    </row>
    <row r="1581" spans="1:16" ht="33.4" x14ac:dyDescent="0.3">
      <c r="A1581" s="6" t="str">
        <f>HYPERLINK("https://www.ti.com/product/TPS7A11", "TPS7A11")</f>
        <v>TPS7A11</v>
      </c>
      <c r="B1581" s="5" t="s">
        <v>14325</v>
      </c>
      <c r="C1581" s="6" t="str">
        <f>HYPERLINK("https://www.ti.com/lit/gpn/TPS7A11", "PDF")</f>
        <v>PDF</v>
      </c>
      <c r="D1581" s="5" t="s">
        <v>14326</v>
      </c>
      <c r="E1581" s="5" t="s">
        <v>14327</v>
      </c>
      <c r="F1581" s="5"/>
      <c r="G1581" s="5" t="s">
        <v>14328</v>
      </c>
      <c r="H1581" s="1" t="s">
        <v>14329</v>
      </c>
      <c r="I1581" s="5" t="s">
        <v>14330</v>
      </c>
      <c r="J1581" s="7" t="s">
        <v>14331</v>
      </c>
      <c r="K1581" s="7" t="s">
        <v>14332</v>
      </c>
      <c r="L1581" s="5" t="s">
        <v>14333</v>
      </c>
      <c r="M1581" s="7" t="s">
        <v>14334</v>
      </c>
      <c r="N1581" s="7" t="s">
        <v>14335</v>
      </c>
      <c r="O1581" s="7">
        <v>0.39300000000000002</v>
      </c>
      <c r="P1581" s="1" t="s">
        <v>14336</v>
      </c>
    </row>
    <row r="1582" spans="1:16" ht="33.4" x14ac:dyDescent="0.3">
      <c r="A1582" s="6" t="str">
        <f>HYPERLINK("https://www.ti.com/product/LM2775-Q1", "LM2775-Q1")</f>
        <v>LM2775-Q1</v>
      </c>
      <c r="B1582" s="5" t="s">
        <v>14337</v>
      </c>
      <c r="C1582" s="6" t="str">
        <f>HYPERLINK("https://www.ti.com/lit/gpn/LM2775-Q1", "PDF")</f>
        <v>PDF</v>
      </c>
      <c r="D1582" s="5" t="s">
        <v>14338</v>
      </c>
      <c r="E1582" s="5" t="s">
        <v>14339</v>
      </c>
      <c r="F1582" s="5"/>
      <c r="G1582" s="5" t="s">
        <v>14340</v>
      </c>
      <c r="H1582" s="1" t="s">
        <v>14341</v>
      </c>
      <c r="I1582" s="5" t="s">
        <v>14342</v>
      </c>
      <c r="J1582" s="7">
        <v>8</v>
      </c>
      <c r="K1582" s="7">
        <v>4</v>
      </c>
      <c r="L1582" s="5" t="s">
        <v>14343</v>
      </c>
      <c r="M1582" s="7">
        <v>0.8</v>
      </c>
      <c r="N1582" s="7">
        <v>0.5</v>
      </c>
      <c r="O1582" s="7">
        <v>0.73899999999999999</v>
      </c>
      <c r="P1582" s="1" t="s">
        <v>14344</v>
      </c>
    </row>
    <row r="1583" spans="1:16" ht="17.05" x14ac:dyDescent="0.3">
      <c r="A1583" s="6" t="str">
        <f>HYPERLINK("https://www.ti.com/product/LP8732-Q1", "LP8732-Q1")</f>
        <v>LP8732-Q1</v>
      </c>
      <c r="B1583" s="5" t="s">
        <v>14345</v>
      </c>
      <c r="C1583" s="6" t="str">
        <f>HYPERLINK("https://www.ti.com/lit/gpn/LP8732-Q1", "PDF")</f>
        <v>PDF</v>
      </c>
      <c r="D1583" s="5" t="s">
        <v>14346</v>
      </c>
      <c r="E1583" s="5" t="s">
        <v>14347</v>
      </c>
      <c r="F1583" s="5"/>
      <c r="G1583" s="5" t="s">
        <v>14348</v>
      </c>
      <c r="H1583" s="1" t="s">
        <v>14349</v>
      </c>
      <c r="I1583" s="5" t="s">
        <v>14350</v>
      </c>
      <c r="J1583" s="7">
        <v>28</v>
      </c>
      <c r="K1583" s="7">
        <v>25</v>
      </c>
      <c r="L1583" s="5" t="s">
        <v>14351</v>
      </c>
      <c r="M1583" s="7">
        <v>1</v>
      </c>
      <c r="N1583" s="7">
        <v>0.5</v>
      </c>
      <c r="O1583" s="7">
        <v>1.333</v>
      </c>
      <c r="P1583" s="1" t="s">
        <v>14352</v>
      </c>
    </row>
    <row r="1584" spans="1:16" ht="17.05" x14ac:dyDescent="0.3">
      <c r="A1584" s="6" t="str">
        <f>HYPERLINK("https://www.ti.com/product/LP8733-Q1", "LP8733-Q1")</f>
        <v>LP8733-Q1</v>
      </c>
      <c r="B1584" s="5" t="s">
        <v>14353</v>
      </c>
      <c r="C1584" s="6" t="str">
        <f>HYPERLINK("https://www.ti.com/lit/gpn/LP8733-Q1", "PDF")</f>
        <v>PDF</v>
      </c>
      <c r="D1584" s="5" t="s">
        <v>14354</v>
      </c>
      <c r="E1584" s="5" t="s">
        <v>14355</v>
      </c>
      <c r="F1584" s="5"/>
      <c r="G1584" s="5" t="s">
        <v>14356</v>
      </c>
      <c r="H1584" s="1" t="s">
        <v>14357</v>
      </c>
      <c r="I1584" s="5" t="s">
        <v>14358</v>
      </c>
      <c r="J1584" s="7">
        <v>28</v>
      </c>
      <c r="K1584" s="7">
        <v>25</v>
      </c>
      <c r="L1584" s="5" t="s">
        <v>14359</v>
      </c>
      <c r="M1584" s="7">
        <v>1</v>
      </c>
      <c r="N1584" s="7">
        <v>0.5</v>
      </c>
      <c r="O1584" s="7">
        <v>1.4490000000000001</v>
      </c>
      <c r="P1584" s="1" t="s">
        <v>14360</v>
      </c>
    </row>
    <row r="1585" spans="1:16" ht="33.4" x14ac:dyDescent="0.3">
      <c r="A1585" s="6" t="str">
        <f>HYPERLINK("https://www.ti.com/product/TPS23880", "TPS23880")</f>
        <v>TPS23880</v>
      </c>
      <c r="B1585" s="5" t="s">
        <v>14361</v>
      </c>
      <c r="C1585" s="6" t="str">
        <f>HYPERLINK("https://www.ti.com/lit/gpn/TPS23880", "PDF")</f>
        <v>PDF</v>
      </c>
      <c r="D1585" s="5" t="s">
        <v>14362</v>
      </c>
      <c r="E1585" s="5" t="s">
        <v>14363</v>
      </c>
      <c r="F1585" s="5"/>
      <c r="G1585" s="5" t="s">
        <v>14364</v>
      </c>
      <c r="H1585" s="1" t="s">
        <v>14365</v>
      </c>
      <c r="I1585" s="5" t="s">
        <v>14366</v>
      </c>
      <c r="J1585" s="7">
        <v>56</v>
      </c>
      <c r="K1585" s="7">
        <v>64</v>
      </c>
      <c r="L1585" s="5" t="s">
        <v>14367</v>
      </c>
      <c r="M1585" s="7">
        <v>1</v>
      </c>
      <c r="N1585" s="7">
        <v>0.5</v>
      </c>
      <c r="O1585" s="7">
        <v>4.25</v>
      </c>
      <c r="P1585" s="1" t="s">
        <v>14368</v>
      </c>
    </row>
    <row r="1586" spans="1:16" ht="33.4" x14ac:dyDescent="0.3">
      <c r="A1586" s="6" t="str">
        <f>HYPERLINK("https://www.ti.com/product/LM5176-Q1", "LM5176-Q1")</f>
        <v>LM5176-Q1</v>
      </c>
      <c r="B1586" s="5" t="s">
        <v>14369</v>
      </c>
      <c r="C1586" s="6" t="str">
        <f>HYPERLINK("https://www.ti.com/lit/gpn/LM5176-Q1", "PDF")</f>
        <v>PDF</v>
      </c>
      <c r="D1586" s="5" t="s">
        <v>14370</v>
      </c>
      <c r="E1586" s="5" t="s">
        <v>14371</v>
      </c>
      <c r="F1586" s="5" t="s">
        <v>14372</v>
      </c>
      <c r="G1586" s="5" t="s">
        <v>14373</v>
      </c>
      <c r="H1586" s="1" t="s">
        <v>14374</v>
      </c>
      <c r="I1586" s="5" t="s">
        <v>14375</v>
      </c>
      <c r="J1586" s="7">
        <v>28</v>
      </c>
      <c r="K1586" s="7">
        <v>62.08</v>
      </c>
      <c r="L1586" s="5" t="s">
        <v>14376</v>
      </c>
      <c r="M1586" s="7">
        <v>1.2</v>
      </c>
      <c r="N1586" s="7">
        <v>0.65</v>
      </c>
      <c r="O1586" s="7">
        <v>3.9340000000000002</v>
      </c>
      <c r="P1586" s="1" t="s">
        <v>14377</v>
      </c>
    </row>
    <row r="1587" spans="1:16" ht="66.150000000000006" x14ac:dyDescent="0.3">
      <c r="A1587" s="6" t="str">
        <f>HYPERLINK("https://www.ti.com/product/TPS7H2201-SP", "TPS7H2201-SP")</f>
        <v>TPS7H2201-SP</v>
      </c>
      <c r="B1587" s="5" t="s">
        <v>14378</v>
      </c>
      <c r="C1587" s="6" t="str">
        <f>HYPERLINK("https://www.ti.com/lit/gpn/TPS7H2201-SP", "PDF")</f>
        <v>PDF</v>
      </c>
      <c r="D1587" s="5" t="s">
        <v>14379</v>
      </c>
      <c r="E1587" s="5" t="s">
        <v>14380</v>
      </c>
      <c r="F1587" s="5"/>
      <c r="G1587" s="5" t="s">
        <v>14381</v>
      </c>
      <c r="H1587" s="1" t="s">
        <v>14382</v>
      </c>
      <c r="I1587" s="5" t="s">
        <v>14383</v>
      </c>
      <c r="J1587" s="7" t="s">
        <v>14384</v>
      </c>
      <c r="K1587" s="7" t="s">
        <v>14385</v>
      </c>
      <c r="L1587" s="5" t="s">
        <v>14386</v>
      </c>
      <c r="M1587" s="7" t="s">
        <v>14387</v>
      </c>
      <c r="N1587" s="7" t="s">
        <v>14388</v>
      </c>
      <c r="O1587" s="7">
        <v>1249.6179999999999</v>
      </c>
      <c r="P1587" s="1" t="s">
        <v>14389</v>
      </c>
    </row>
    <row r="1588" spans="1:16" ht="33.4" x14ac:dyDescent="0.3">
      <c r="A1588" s="6" t="str">
        <f>HYPERLINK("https://www.ti.com/product/UCD90320U", "UCD90320U")</f>
        <v>UCD90320U</v>
      </c>
      <c r="B1588" s="5" t="s">
        <v>14390</v>
      </c>
      <c r="C1588" s="6" t="str">
        <f>HYPERLINK("https://www.ti.com/lit/gpn/UCD90320U", "PDF")</f>
        <v>PDF</v>
      </c>
      <c r="D1588" s="5" t="s">
        <v>14391</v>
      </c>
      <c r="E1588" s="5" t="s">
        <v>14392</v>
      </c>
      <c r="F1588" s="5"/>
      <c r="G1588" s="5" t="s">
        <v>14393</v>
      </c>
      <c r="H1588" s="1" t="s">
        <v>14394</v>
      </c>
      <c r="I1588" s="5" t="s">
        <v>14395</v>
      </c>
      <c r="J1588" s="7">
        <v>169</v>
      </c>
      <c r="K1588" s="7">
        <v>144</v>
      </c>
      <c r="L1588" s="5" t="s">
        <v>14396</v>
      </c>
      <c r="M1588" s="7">
        <v>1.4</v>
      </c>
      <c r="N1588" s="7">
        <v>0.8</v>
      </c>
      <c r="O1588" s="7">
        <v>15.478999999999999</v>
      </c>
      <c r="P1588" s="1" t="s">
        <v>14397</v>
      </c>
    </row>
    <row r="1589" spans="1:16" ht="33.4" x14ac:dyDescent="0.3">
      <c r="A1589" s="6" t="str">
        <f>HYPERLINK("https://www.ti.com/product/TPS61281D", "TPS61281D")</f>
        <v>TPS61281D</v>
      </c>
      <c r="B1589" s="5" t="s">
        <v>14398</v>
      </c>
      <c r="C1589" s="6" t="str">
        <f>HYPERLINK("https://www.ti.com/lit/gpn/TPS61281D", "PDF")</f>
        <v>PDF</v>
      </c>
      <c r="D1589" s="5" t="s">
        <v>14399</v>
      </c>
      <c r="E1589" s="5" t="s">
        <v>14400</v>
      </c>
      <c r="F1589" s="5" t="s">
        <v>14401</v>
      </c>
      <c r="G1589" s="5" t="s">
        <v>14402</v>
      </c>
      <c r="H1589" s="1" t="s">
        <v>14403</v>
      </c>
      <c r="I1589" s="5" t="s">
        <v>14404</v>
      </c>
      <c r="J1589" s="7">
        <v>16</v>
      </c>
      <c r="K1589" s="7">
        <v>3.24</v>
      </c>
      <c r="L1589" s="5" t="s">
        <v>14405</v>
      </c>
      <c r="M1589" s="7">
        <v>0.625</v>
      </c>
      <c r="N1589" s="7">
        <v>0.4</v>
      </c>
      <c r="O1589" s="7">
        <v>0.53100000000000003</v>
      </c>
      <c r="P1589" s="1" t="s">
        <v>14406</v>
      </c>
    </row>
    <row r="1590" spans="1:16" ht="33.4" x14ac:dyDescent="0.3">
      <c r="A1590" s="6" t="str">
        <f>HYPERLINK("https://www.ti.com/product/TPS61282D", "TPS61282D")</f>
        <v>TPS61282D</v>
      </c>
      <c r="B1590" s="5" t="s">
        <v>14407</v>
      </c>
      <c r="C1590" s="6" t="str">
        <f>HYPERLINK("https://www.ti.com/lit/gpn/TPS61282D", "PDF")</f>
        <v>PDF</v>
      </c>
      <c r="D1590" s="5" t="s">
        <v>14408</v>
      </c>
      <c r="E1590" s="5" t="s">
        <v>14409</v>
      </c>
      <c r="F1590" s="5" t="s">
        <v>14410</v>
      </c>
      <c r="G1590" s="5" t="s">
        <v>14411</v>
      </c>
      <c r="H1590" s="1" t="s">
        <v>14412</v>
      </c>
      <c r="I1590" s="5" t="s">
        <v>14413</v>
      </c>
      <c r="J1590" s="7">
        <v>16</v>
      </c>
      <c r="K1590" s="7">
        <v>3.24</v>
      </c>
      <c r="L1590" s="5" t="s">
        <v>14414</v>
      </c>
      <c r="M1590" s="7">
        <v>0.625</v>
      </c>
      <c r="N1590" s="7">
        <v>0.4</v>
      </c>
      <c r="O1590" s="7">
        <v>0.53100000000000003</v>
      </c>
      <c r="P1590" s="1" t="s">
        <v>14415</v>
      </c>
    </row>
    <row r="1591" spans="1:16" ht="33.4" x14ac:dyDescent="0.3">
      <c r="A1591" s="6" t="str">
        <f>HYPERLINK("https://www.ti.com/product/UCC28951", "UCC28951")</f>
        <v>UCC28951</v>
      </c>
      <c r="B1591" s="5" t="s">
        <v>14416</v>
      </c>
      <c r="C1591" s="6" t="str">
        <f>HYPERLINK("https://www.ti.com/lit/gpn/UCC28951", "PDF")</f>
        <v>PDF</v>
      </c>
      <c r="D1591" s="5" t="s">
        <v>14417</v>
      </c>
      <c r="E1591" s="5" t="s">
        <v>14418</v>
      </c>
      <c r="F1591" s="5" t="s">
        <v>14419</v>
      </c>
      <c r="G1591" s="5" t="s">
        <v>14420</v>
      </c>
      <c r="H1591" s="1" t="s">
        <v>14421</v>
      </c>
      <c r="I1591" s="5" t="s">
        <v>14422</v>
      </c>
      <c r="J1591" s="7">
        <v>24</v>
      </c>
      <c r="K1591" s="7">
        <v>49.92</v>
      </c>
      <c r="L1591" s="5" t="s">
        <v>14423</v>
      </c>
      <c r="M1591" s="7">
        <v>1.2</v>
      </c>
      <c r="N1591" s="7">
        <v>0.65</v>
      </c>
      <c r="O1591" s="7">
        <v>2.657</v>
      </c>
      <c r="P1591" s="1" t="s">
        <v>14424</v>
      </c>
    </row>
    <row r="1592" spans="1:16" ht="33.4" x14ac:dyDescent="0.3">
      <c r="A1592" s="6" t="str">
        <f>HYPERLINK("https://www.ti.com/product/LM34936", "LM34936")</f>
        <v>LM34936</v>
      </c>
      <c r="B1592" s="5" t="s">
        <v>14425</v>
      </c>
      <c r="C1592" s="6" t="str">
        <f>HYPERLINK("https://www.ti.com/lit/gpn/LM34936", "PDF")</f>
        <v>PDF</v>
      </c>
      <c r="D1592" s="5" t="s">
        <v>14426</v>
      </c>
      <c r="E1592" s="5" t="s">
        <v>14427</v>
      </c>
      <c r="F1592" s="5" t="s">
        <v>14428</v>
      </c>
      <c r="G1592" s="5" t="s">
        <v>14429</v>
      </c>
      <c r="H1592" s="1" t="s">
        <v>14430</v>
      </c>
      <c r="I1592" s="5" t="s">
        <v>14431</v>
      </c>
      <c r="J1592" s="7">
        <v>28</v>
      </c>
      <c r="K1592" s="7">
        <v>20</v>
      </c>
      <c r="L1592" s="5" t="s">
        <v>14432</v>
      </c>
      <c r="M1592" s="7">
        <v>1</v>
      </c>
      <c r="N1592" s="7">
        <v>0.5</v>
      </c>
      <c r="O1592" s="7">
        <v>2.7589999999999999</v>
      </c>
      <c r="P1592" s="1" t="s">
        <v>14433</v>
      </c>
    </row>
    <row r="1593" spans="1:16" ht="17.05" x14ac:dyDescent="0.3">
      <c r="A1593" s="6" t="str">
        <f>HYPERLINK("https://www.ti.com/product/LMG3410R070", "LMG3410R070")</f>
        <v>LMG3410R070</v>
      </c>
      <c r="B1593" s="5" t="s">
        <v>14434</v>
      </c>
      <c r="C1593" s="6" t="str">
        <f>HYPERLINK("https://www.ti.com/lit/gpn/LMG3410R070", "PDF")</f>
        <v>PDF</v>
      </c>
      <c r="D1593" s="5" t="s">
        <v>14435</v>
      </c>
      <c r="E1593" s="5" t="s">
        <v>14436</v>
      </c>
      <c r="F1593" s="5"/>
      <c r="G1593" s="5" t="s">
        <v>14437</v>
      </c>
      <c r="H1593" s="1" t="s">
        <v>14438</v>
      </c>
      <c r="I1593" s="5" t="s">
        <v>14439</v>
      </c>
      <c r="J1593" s="7">
        <v>32</v>
      </c>
      <c r="K1593" s="7">
        <v>64</v>
      </c>
      <c r="L1593" s="5" t="s">
        <v>14440</v>
      </c>
      <c r="M1593" s="7">
        <v>0.9</v>
      </c>
      <c r="N1593" s="7">
        <v>0.65</v>
      </c>
      <c r="O1593" s="7">
        <v>5.8</v>
      </c>
      <c r="P1593" s="1" t="s">
        <v>14441</v>
      </c>
    </row>
    <row r="1594" spans="1:16" ht="33.4" x14ac:dyDescent="0.3">
      <c r="A1594" s="6" t="str">
        <f>HYPERLINK("https://www.ti.com/product/TLC6C5716-Q1", "TLC6C5716-Q1")</f>
        <v>TLC6C5716-Q1</v>
      </c>
      <c r="B1594" s="5" t="s">
        <v>14442</v>
      </c>
      <c r="C1594" s="6" t="str">
        <f>HYPERLINK("https://www.ti.com/lit/gpn/TLC6C5716-Q1", "PDF")</f>
        <v>PDF</v>
      </c>
      <c r="D1594" s="5" t="s">
        <v>14443</v>
      </c>
      <c r="E1594" s="5" t="s">
        <v>14444</v>
      </c>
      <c r="F1594" s="5" t="s">
        <v>14445</v>
      </c>
      <c r="G1594" s="5" t="s">
        <v>14446</v>
      </c>
      <c r="H1594" s="1" t="s">
        <v>14447</v>
      </c>
      <c r="I1594" s="5" t="s">
        <v>14448</v>
      </c>
      <c r="J1594" s="7">
        <v>38</v>
      </c>
      <c r="K1594" s="7">
        <v>101.25</v>
      </c>
      <c r="L1594" s="5" t="s">
        <v>14449</v>
      </c>
      <c r="M1594" s="7">
        <v>1.2</v>
      </c>
      <c r="N1594" s="7">
        <v>0.65</v>
      </c>
      <c r="O1594" s="7">
        <v>1.1599999999999999</v>
      </c>
      <c r="P1594" s="1" t="s">
        <v>14450</v>
      </c>
    </row>
    <row r="1595" spans="1:16" ht="33.4" x14ac:dyDescent="0.3">
      <c r="A1595" s="6" t="str">
        <f>HYPERLINK("https://www.ti.com/product/TLC6C5724-Q1", "TLC6C5724-Q1")</f>
        <v>TLC6C5724-Q1</v>
      </c>
      <c r="B1595" s="5" t="s">
        <v>14451</v>
      </c>
      <c r="C1595" s="6" t="str">
        <f>HYPERLINK("https://www.ti.com/lit/gpn/TLC6C5724-Q1", "PDF")</f>
        <v>PDF</v>
      </c>
      <c r="D1595" s="5" t="s">
        <v>14452</v>
      </c>
      <c r="E1595" s="5" t="s">
        <v>14453</v>
      </c>
      <c r="F1595" s="5" t="s">
        <v>14454</v>
      </c>
      <c r="G1595" s="5" t="s">
        <v>14455</v>
      </c>
      <c r="H1595" s="1" t="s">
        <v>14456</v>
      </c>
      <c r="I1595" s="5" t="s">
        <v>14457</v>
      </c>
      <c r="J1595" s="7">
        <v>38</v>
      </c>
      <c r="K1595" s="7">
        <v>101.25</v>
      </c>
      <c r="L1595" s="5" t="s">
        <v>14458</v>
      </c>
      <c r="M1595" s="7">
        <v>1.2</v>
      </c>
      <c r="N1595" s="7">
        <v>0.65</v>
      </c>
      <c r="O1595" s="7">
        <v>1.5169999999999999</v>
      </c>
      <c r="P1595" s="1" t="s">
        <v>14459</v>
      </c>
    </row>
    <row r="1596" spans="1:16" ht="33.4" x14ac:dyDescent="0.3">
      <c r="A1596" s="6" t="str">
        <f>HYPERLINK("https://www.ti.com/product/TPS62422-Q1", "TPS62422-Q1")</f>
        <v>TPS62422-Q1</v>
      </c>
      <c r="B1596" s="5" t="s">
        <v>14460</v>
      </c>
      <c r="C1596" s="6" t="str">
        <f>HYPERLINK("https://www.ti.com/lit/gpn/TPS62422-Q1", "PDF")</f>
        <v>PDF</v>
      </c>
      <c r="D1596" s="5" t="s">
        <v>14461</v>
      </c>
      <c r="E1596" s="5" t="s">
        <v>14462</v>
      </c>
      <c r="F1596" s="5" t="s">
        <v>14463</v>
      </c>
      <c r="G1596" s="5" t="s">
        <v>14464</v>
      </c>
      <c r="H1596" s="1" t="s">
        <v>14465</v>
      </c>
      <c r="I1596" s="5" t="s">
        <v>14466</v>
      </c>
      <c r="J1596" s="7">
        <v>10</v>
      </c>
      <c r="K1596" s="7">
        <v>9</v>
      </c>
      <c r="L1596" s="5" t="s">
        <v>14467</v>
      </c>
      <c r="M1596" s="7">
        <v>1</v>
      </c>
      <c r="N1596" s="7">
        <v>0.5</v>
      </c>
      <c r="O1596" s="7">
        <v>0.96399999999999997</v>
      </c>
      <c r="P1596" s="1" t="s">
        <v>14468</v>
      </c>
    </row>
    <row r="1597" spans="1:16" ht="33.4" x14ac:dyDescent="0.3">
      <c r="A1597" s="6" t="str">
        <f>HYPERLINK("https://www.ti.com/product/TPS62423-Q1", "TPS62423-Q1")</f>
        <v>TPS62423-Q1</v>
      </c>
      <c r="B1597" s="5" t="s">
        <v>14469</v>
      </c>
      <c r="C1597" s="6" t="str">
        <f>HYPERLINK("https://www.ti.com/lit/gpn/TPS62423-Q1", "PDF")</f>
        <v>PDF</v>
      </c>
      <c r="D1597" s="5" t="s">
        <v>14470</v>
      </c>
      <c r="E1597" s="5" t="s">
        <v>14471</v>
      </c>
      <c r="F1597" s="5" t="s">
        <v>14472</v>
      </c>
      <c r="G1597" s="5" t="s">
        <v>14473</v>
      </c>
      <c r="H1597" s="1" t="s">
        <v>14474</v>
      </c>
      <c r="I1597" s="5" t="s">
        <v>14475</v>
      </c>
      <c r="J1597" s="7">
        <v>10</v>
      </c>
      <c r="K1597" s="7">
        <v>9</v>
      </c>
      <c r="L1597" s="5" t="s">
        <v>14476</v>
      </c>
      <c r="M1597" s="7">
        <v>1</v>
      </c>
      <c r="N1597" s="7">
        <v>0.5</v>
      </c>
      <c r="O1597" s="7">
        <v>0.96399999999999997</v>
      </c>
      <c r="P1597" s="1" t="s">
        <v>14477</v>
      </c>
    </row>
    <row r="1598" spans="1:16" ht="33.4" x14ac:dyDescent="0.3">
      <c r="A1598" s="6" t="str">
        <f>HYPERLINK("https://www.ti.com/product/TPS62424-Q1", "TPS62424-Q1")</f>
        <v>TPS62424-Q1</v>
      </c>
      <c r="B1598" s="5" t="s">
        <v>14478</v>
      </c>
      <c r="C1598" s="6" t="str">
        <f>HYPERLINK("https://www.ti.com/lit/gpn/TPS62424-Q1", "PDF")</f>
        <v>PDF</v>
      </c>
      <c r="D1598" s="5" t="s">
        <v>14479</v>
      </c>
      <c r="E1598" s="5" t="s">
        <v>14480</v>
      </c>
      <c r="F1598" s="5" t="s">
        <v>14481</v>
      </c>
      <c r="G1598" s="5" t="s">
        <v>14482</v>
      </c>
      <c r="H1598" s="1" t="s">
        <v>14483</v>
      </c>
      <c r="I1598" s="5" t="s">
        <v>14484</v>
      </c>
      <c r="J1598" s="7">
        <v>10</v>
      </c>
      <c r="K1598" s="7">
        <v>9</v>
      </c>
      <c r="L1598" s="5" t="s">
        <v>14485</v>
      </c>
      <c r="M1598" s="7">
        <v>1</v>
      </c>
      <c r="N1598" s="7">
        <v>0.5</v>
      </c>
      <c r="O1598" s="7">
        <v>0.96399999999999997</v>
      </c>
      <c r="P1598" s="1" t="s">
        <v>14486</v>
      </c>
    </row>
    <row r="1599" spans="1:16" ht="33.4" x14ac:dyDescent="0.3">
      <c r="A1599" s="6" t="str">
        <f>HYPERLINK("https://www.ti.com/product/LP87565-Q1", "LP87565-Q1")</f>
        <v>LP87565-Q1</v>
      </c>
      <c r="B1599" s="5" t="s">
        <v>14487</v>
      </c>
      <c r="C1599" s="6" t="str">
        <f>HYPERLINK("https://www.ti.com/lit/gpn/LP87565-Q1", "PDF")</f>
        <v>PDF</v>
      </c>
      <c r="D1599" s="5" t="s">
        <v>14488</v>
      </c>
      <c r="E1599" s="5" t="s">
        <v>14489</v>
      </c>
      <c r="F1599" s="5"/>
      <c r="G1599" s="5" t="s">
        <v>14490</v>
      </c>
      <c r="H1599" s="1" t="s">
        <v>14491</v>
      </c>
      <c r="I1599" s="5" t="s">
        <v>14492</v>
      </c>
      <c r="J1599" s="7">
        <v>26</v>
      </c>
      <c r="K1599" s="7">
        <v>18</v>
      </c>
      <c r="L1599" s="5" t="s">
        <v>14493</v>
      </c>
      <c r="M1599" s="7">
        <v>0.9</v>
      </c>
      <c r="N1599" s="7">
        <v>0.5</v>
      </c>
      <c r="O1599" s="7">
        <v>2.1440000000000001</v>
      </c>
      <c r="P1599" s="1" t="s">
        <v>14494</v>
      </c>
    </row>
    <row r="1600" spans="1:16" ht="33.4" x14ac:dyDescent="0.3">
      <c r="A1600" s="6" t="str">
        <f>HYPERLINK("https://www.ti.com/product/TPS2662", "TPS2662")</f>
        <v>TPS2662</v>
      </c>
      <c r="B1600" s="5" t="s">
        <v>14495</v>
      </c>
      <c r="C1600" s="6" t="str">
        <f>HYPERLINK("https://www.ti.com/lit/gpn/TPS2662", "PDF")</f>
        <v>PDF</v>
      </c>
      <c r="D1600" s="5" t="s">
        <v>14496</v>
      </c>
      <c r="E1600" s="5" t="s">
        <v>14497</v>
      </c>
      <c r="F1600" s="5"/>
      <c r="G1600" s="5" t="s">
        <v>14498</v>
      </c>
      <c r="H1600" s="1" t="s">
        <v>14499</v>
      </c>
      <c r="I1600" s="5" t="s">
        <v>14500</v>
      </c>
      <c r="J1600" s="7">
        <v>10</v>
      </c>
      <c r="K1600" s="7">
        <v>9</v>
      </c>
      <c r="L1600" s="5" t="s">
        <v>14501</v>
      </c>
      <c r="M1600" s="7">
        <v>1</v>
      </c>
      <c r="N1600" s="7">
        <v>0.5</v>
      </c>
      <c r="O1600" s="7">
        <v>1.0349999999999999</v>
      </c>
      <c r="P1600" s="1" t="s">
        <v>14502</v>
      </c>
    </row>
    <row r="1601" spans="1:16" ht="33.4" x14ac:dyDescent="0.3">
      <c r="A1601" s="6" t="str">
        <f>HYPERLINK("https://www.ti.com/product/LP87702-Q1", "LP87702-Q1")</f>
        <v>LP87702-Q1</v>
      </c>
      <c r="B1601" s="5" t="s">
        <v>14503</v>
      </c>
      <c r="C1601" s="6" t="str">
        <f>HYPERLINK("https://www.ti.com/lit/gpn/LP87702-Q1", "PDF")</f>
        <v>PDF</v>
      </c>
      <c r="D1601" s="5" t="s">
        <v>14504</v>
      </c>
      <c r="E1601" s="5" t="s">
        <v>14505</v>
      </c>
      <c r="F1601" s="5"/>
      <c r="G1601" s="5" t="s">
        <v>14506</v>
      </c>
      <c r="H1601" s="1" t="s">
        <v>14507</v>
      </c>
      <c r="I1601" s="5" t="s">
        <v>14508</v>
      </c>
      <c r="J1601" s="7">
        <v>32</v>
      </c>
      <c r="K1601" s="7">
        <v>25</v>
      </c>
      <c r="L1601" s="5" t="s">
        <v>14509</v>
      </c>
      <c r="M1601" s="7">
        <v>1</v>
      </c>
      <c r="N1601" s="7">
        <v>0.5</v>
      </c>
      <c r="O1601" s="7">
        <v>1.877</v>
      </c>
      <c r="P1601" s="1" t="s">
        <v>14510</v>
      </c>
    </row>
    <row r="1602" spans="1:16" ht="17.05" x14ac:dyDescent="0.3">
      <c r="A1602" s="6" t="str">
        <f>HYPERLINK("https://www.ti.com/product/TPS3430", "TPS3430")</f>
        <v>TPS3430</v>
      </c>
      <c r="B1602" s="5" t="s">
        <v>14511</v>
      </c>
      <c r="C1602" s="6" t="str">
        <f>HYPERLINK("https://www.ti.com/lit/gpn/TPS3430", "PDF")</f>
        <v>PDF</v>
      </c>
      <c r="D1602" s="5" t="s">
        <v>14512</v>
      </c>
      <c r="E1602" s="5" t="s">
        <v>14513</v>
      </c>
      <c r="F1602" s="5"/>
      <c r="G1602" s="5" t="s">
        <v>14514</v>
      </c>
      <c r="H1602" s="1" t="s">
        <v>14515</v>
      </c>
      <c r="I1602" s="5" t="s">
        <v>14516</v>
      </c>
      <c r="J1602" s="7">
        <v>10</v>
      </c>
      <c r="K1602" s="7">
        <v>9</v>
      </c>
      <c r="L1602" s="5" t="s">
        <v>14517</v>
      </c>
      <c r="M1602" s="7">
        <v>1</v>
      </c>
      <c r="N1602" s="7">
        <v>0.5</v>
      </c>
      <c r="O1602" s="7">
        <v>0.77200000000000002</v>
      </c>
      <c r="P1602" s="1" t="s">
        <v>14518</v>
      </c>
    </row>
    <row r="1603" spans="1:16" ht="33.4" x14ac:dyDescent="0.3">
      <c r="A1603" s="6" t="str">
        <f>HYPERLINK("https://www.ti.com/product/TPS3430-Q1", "TPS3430-Q1")</f>
        <v>TPS3430-Q1</v>
      </c>
      <c r="B1603" s="5" t="s">
        <v>14519</v>
      </c>
      <c r="C1603" s="6" t="str">
        <f>HYPERLINK("https://www.ti.com/lit/gpn/TPS3430-Q1", "PDF")</f>
        <v>PDF</v>
      </c>
      <c r="D1603" s="5" t="s">
        <v>14520</v>
      </c>
      <c r="E1603" s="5" t="s">
        <v>14521</v>
      </c>
      <c r="F1603" s="5"/>
      <c r="G1603" s="5" t="s">
        <v>14522</v>
      </c>
      <c r="H1603" s="1" t="s">
        <v>14523</v>
      </c>
      <c r="I1603" s="5" t="s">
        <v>14524</v>
      </c>
      <c r="J1603" s="7">
        <v>10</v>
      </c>
      <c r="K1603" s="7">
        <v>9</v>
      </c>
      <c r="L1603" s="5" t="s">
        <v>14525</v>
      </c>
      <c r="M1603" s="7">
        <v>1</v>
      </c>
      <c r="N1603" s="7">
        <v>0.5</v>
      </c>
      <c r="O1603" s="7">
        <v>0.91100000000000003</v>
      </c>
      <c r="P1603" s="1" t="s">
        <v>14526</v>
      </c>
    </row>
    <row r="1604" spans="1:16" ht="17.05" x14ac:dyDescent="0.3">
      <c r="A1604" s="6" t="str">
        <f>HYPERLINK("https://www.ti.com/product/TPS3431", "TPS3431")</f>
        <v>TPS3431</v>
      </c>
      <c r="B1604" s="5" t="s">
        <v>14527</v>
      </c>
      <c r="C1604" s="6" t="str">
        <f>HYPERLINK("https://www.ti.com/lit/gpn/TPS3431", "PDF")</f>
        <v>PDF</v>
      </c>
      <c r="D1604" s="5" t="s">
        <v>14528</v>
      </c>
      <c r="E1604" s="5" t="s">
        <v>14529</v>
      </c>
      <c r="F1604" s="5"/>
      <c r="G1604" s="5" t="s">
        <v>14530</v>
      </c>
      <c r="H1604" s="1" t="s">
        <v>14531</v>
      </c>
      <c r="I1604" s="5" t="s">
        <v>14532</v>
      </c>
      <c r="J1604" s="7">
        <v>8</v>
      </c>
      <c r="K1604" s="7">
        <v>9</v>
      </c>
      <c r="L1604" s="5" t="s">
        <v>14533</v>
      </c>
      <c r="M1604" s="7">
        <v>1</v>
      </c>
      <c r="N1604" s="7">
        <v>0.65</v>
      </c>
      <c r="O1604" s="7">
        <v>0.66100000000000003</v>
      </c>
      <c r="P1604" s="1" t="s">
        <v>14534</v>
      </c>
    </row>
    <row r="1605" spans="1:16" ht="33.4" x14ac:dyDescent="0.3">
      <c r="A1605" s="6" t="str">
        <f>HYPERLINK("https://www.ti.com/product/TPS3431-Q1", "TPS3431-Q1")</f>
        <v>TPS3431-Q1</v>
      </c>
      <c r="B1605" s="5" t="s">
        <v>14535</v>
      </c>
      <c r="C1605" s="6" t="str">
        <f>HYPERLINK("https://www.ti.com/lit/gpn/TPS3431-Q1", "PDF")</f>
        <v>PDF</v>
      </c>
      <c r="D1605" s="5" t="s">
        <v>14536</v>
      </c>
      <c r="E1605" s="5" t="s">
        <v>14537</v>
      </c>
      <c r="F1605" s="5"/>
      <c r="G1605" s="5" t="s">
        <v>14538</v>
      </c>
      <c r="H1605" s="1" t="s">
        <v>14539</v>
      </c>
      <c r="I1605" s="5" t="s">
        <v>14540</v>
      </c>
      <c r="J1605" s="7">
        <v>8</v>
      </c>
      <c r="K1605" s="7">
        <v>9</v>
      </c>
      <c r="L1605" s="5" t="s">
        <v>14541</v>
      </c>
      <c r="M1605" s="7">
        <v>1</v>
      </c>
      <c r="N1605" s="7">
        <v>0.65</v>
      </c>
      <c r="O1605" s="7">
        <v>0.78</v>
      </c>
      <c r="P1605" s="1" t="s">
        <v>14542</v>
      </c>
    </row>
    <row r="1606" spans="1:16" ht="33.4" x14ac:dyDescent="0.3">
      <c r="A1606" s="6" t="str">
        <f>HYPERLINK("https://www.ti.com/product/TPS62800", "TPS62800")</f>
        <v>TPS62800</v>
      </c>
      <c r="B1606" s="5" t="s">
        <v>14543</v>
      </c>
      <c r="C1606" s="6" t="str">
        <f>HYPERLINK("https://www.ti.com/lit/gpn/TPS62800", "PDF")</f>
        <v>PDF</v>
      </c>
      <c r="D1606" s="5" t="s">
        <v>14544</v>
      </c>
      <c r="E1606" s="5" t="s">
        <v>14545</v>
      </c>
      <c r="F1606" s="5" t="s">
        <v>14546</v>
      </c>
      <c r="G1606" s="5" t="s">
        <v>14547</v>
      </c>
      <c r="H1606" s="1" t="s">
        <v>14548</v>
      </c>
      <c r="I1606" s="5" t="s">
        <v>14549</v>
      </c>
      <c r="J1606" s="7">
        <v>6</v>
      </c>
      <c r="K1606" s="7">
        <v>0.73499999999999999</v>
      </c>
      <c r="L1606" s="5" t="s">
        <v>14550</v>
      </c>
      <c r="M1606" s="7">
        <v>0.4</v>
      </c>
      <c r="N1606" s="7">
        <v>0.35</v>
      </c>
      <c r="O1606" s="7">
        <v>0.56799999999999995</v>
      </c>
      <c r="P1606" s="1" t="s">
        <v>14551</v>
      </c>
    </row>
    <row r="1607" spans="1:16" ht="33.4" x14ac:dyDescent="0.3">
      <c r="A1607" s="6" t="str">
        <f>HYPERLINK("https://www.ti.com/product/TPS650861", "TPS650861")</f>
        <v>TPS650861</v>
      </c>
      <c r="B1607" s="5" t="s">
        <v>14552</v>
      </c>
      <c r="C1607" s="6" t="str">
        <f>HYPERLINK("https://www.ti.com/lit/gpn/TPS650861", "PDF")</f>
        <v>PDF</v>
      </c>
      <c r="D1607" s="5" t="s">
        <v>14553</v>
      </c>
      <c r="E1607" s="5" t="s">
        <v>14554</v>
      </c>
      <c r="F1607" s="5"/>
      <c r="G1607" s="5" t="s">
        <v>14555</v>
      </c>
      <c r="H1607" s="1" t="s">
        <v>14556</v>
      </c>
      <c r="I1607" s="5" t="s">
        <v>14557</v>
      </c>
      <c r="J1607" s="7">
        <v>64</v>
      </c>
      <c r="K1607" s="7">
        <v>64</v>
      </c>
      <c r="L1607" s="5" t="s">
        <v>14558</v>
      </c>
      <c r="M1607" s="7">
        <v>1</v>
      </c>
      <c r="N1607" s="7">
        <v>0.4</v>
      </c>
      <c r="O1607" s="7">
        <v>4.5949999999999998</v>
      </c>
      <c r="P1607" s="1" t="s">
        <v>14559</v>
      </c>
    </row>
    <row r="1608" spans="1:16" ht="33.4" x14ac:dyDescent="0.3">
      <c r="A1608" s="6" t="str">
        <f>HYPERLINK("https://www.ti.com/product/TPS92612-Q1", "TPS92612-Q1")</f>
        <v>TPS92612-Q1</v>
      </c>
      <c r="B1608" s="5" t="s">
        <v>14560</v>
      </c>
      <c r="C1608" s="6" t="str">
        <f>HYPERLINK("https://www.ti.com/lit/gpn/TPS92612-Q1", "PDF")</f>
        <v>PDF</v>
      </c>
      <c r="D1608" s="5" t="s">
        <v>14561</v>
      </c>
      <c r="E1608" s="5" t="s">
        <v>14562</v>
      </c>
      <c r="F1608" s="5" t="s">
        <v>14563</v>
      </c>
      <c r="G1608" s="5" t="s">
        <v>14564</v>
      </c>
      <c r="H1608" s="1" t="s">
        <v>14565</v>
      </c>
      <c r="I1608" s="5" t="s">
        <v>14566</v>
      </c>
      <c r="J1608" s="7">
        <v>5</v>
      </c>
      <c r="K1608" s="7">
        <v>8.1199999999999992</v>
      </c>
      <c r="L1608" s="5" t="s">
        <v>14567</v>
      </c>
      <c r="M1608" s="7">
        <v>1.45</v>
      </c>
      <c r="N1608" s="7">
        <v>0.95</v>
      </c>
      <c r="O1608" s="7">
        <v>0.26400000000000001</v>
      </c>
      <c r="P1608" s="1" t="s">
        <v>14568</v>
      </c>
    </row>
    <row r="1609" spans="1:16" ht="33.4" x14ac:dyDescent="0.3">
      <c r="A1609" s="6" t="str">
        <f>HYPERLINK("https://www.ti.com/product/TPS92663-Q1", "TPS92663-Q1")</f>
        <v>TPS92663-Q1</v>
      </c>
      <c r="B1609" s="5" t="s">
        <v>14569</v>
      </c>
      <c r="C1609" s="6" t="str">
        <f>HYPERLINK("https://www.ti.com/lit/gpn/TPS92663-Q1", "PDF")</f>
        <v>PDF</v>
      </c>
      <c r="D1609" s="5" t="s">
        <v>14570</v>
      </c>
      <c r="E1609" s="5" t="s">
        <v>14571</v>
      </c>
      <c r="F1609" s="5" t="s">
        <v>14572</v>
      </c>
      <c r="G1609" s="5" t="s">
        <v>14573</v>
      </c>
      <c r="H1609" s="1" t="s">
        <v>14574</v>
      </c>
      <c r="I1609" s="5" t="s">
        <v>14575</v>
      </c>
      <c r="J1609" s="7">
        <v>24</v>
      </c>
      <c r="K1609" s="7">
        <v>49.92</v>
      </c>
      <c r="L1609" s="5" t="s">
        <v>14576</v>
      </c>
      <c r="M1609" s="7">
        <v>1.2</v>
      </c>
      <c r="N1609" s="7">
        <v>0.65</v>
      </c>
      <c r="O1609" s="7">
        <v>1.702</v>
      </c>
      <c r="P1609" s="1" t="s">
        <v>14577</v>
      </c>
    </row>
    <row r="1610" spans="1:16" ht="33.4" x14ac:dyDescent="0.3">
      <c r="A1610" s="6" t="str">
        <f>HYPERLINK("https://www.ti.com/product/TPS62802", "TPS62802")</f>
        <v>TPS62802</v>
      </c>
      <c r="B1610" s="5" t="s">
        <v>14578</v>
      </c>
      <c r="C1610" s="6" t="str">
        <f>HYPERLINK("https://www.ti.com/lit/gpn/TPS62802", "PDF")</f>
        <v>PDF</v>
      </c>
      <c r="D1610" s="5" t="s">
        <v>14579</v>
      </c>
      <c r="E1610" s="5" t="s">
        <v>14580</v>
      </c>
      <c r="F1610" s="5" t="s">
        <v>14581</v>
      </c>
      <c r="G1610" s="5" t="s">
        <v>14582</v>
      </c>
      <c r="H1610" s="1" t="s">
        <v>14583</v>
      </c>
      <c r="I1610" s="5" t="s">
        <v>14584</v>
      </c>
      <c r="J1610" s="7">
        <v>6</v>
      </c>
      <c r="K1610" s="7">
        <v>0.73499999999999999</v>
      </c>
      <c r="L1610" s="5" t="s">
        <v>14585</v>
      </c>
      <c r="M1610" s="7">
        <v>0.4</v>
      </c>
      <c r="N1610" s="7">
        <v>0.35</v>
      </c>
      <c r="O1610" s="7">
        <v>0.56799999999999995</v>
      </c>
      <c r="P1610" s="1" t="s">
        <v>14586</v>
      </c>
    </row>
    <row r="1611" spans="1:16" ht="49.75" x14ac:dyDescent="0.3">
      <c r="A1611" s="6" t="str">
        <f>HYPERLINK("https://www.ti.com/product/LMG1020", "LMG1020")</f>
        <v>LMG1020</v>
      </c>
      <c r="B1611" s="5" t="s">
        <v>14587</v>
      </c>
      <c r="C1611" s="6" t="str">
        <f>HYPERLINK("https://www.ti.com/lit/gpn/LMG1020", "PDF")</f>
        <v>PDF</v>
      </c>
      <c r="D1611" s="5" t="s">
        <v>14588</v>
      </c>
      <c r="E1611" s="5" t="s">
        <v>14589</v>
      </c>
      <c r="F1611" s="5"/>
      <c r="G1611" s="5" t="s">
        <v>14590</v>
      </c>
      <c r="H1611" s="1" t="s">
        <v>14591</v>
      </c>
      <c r="I1611" s="5" t="s">
        <v>14592</v>
      </c>
      <c r="J1611" s="7">
        <v>6</v>
      </c>
      <c r="K1611" s="7">
        <v>1.4000000000000001</v>
      </c>
      <c r="L1611" s="5" t="s">
        <v>14593</v>
      </c>
      <c r="M1611" s="7">
        <v>0.625</v>
      </c>
      <c r="N1611" s="7">
        <v>0.4</v>
      </c>
      <c r="O1611" s="7">
        <v>1.7250000000000001</v>
      </c>
      <c r="P1611" s="1" t="s">
        <v>14594</v>
      </c>
    </row>
    <row r="1612" spans="1:16" ht="49.75" x14ac:dyDescent="0.3">
      <c r="A1612" s="6" t="str">
        <f>HYPERLINK("https://www.ti.com/product/TPS7A10", "TPS7A10")</f>
        <v>TPS7A10</v>
      </c>
      <c r="B1612" s="5" t="s">
        <v>14595</v>
      </c>
      <c r="C1612" s="6" t="str">
        <f>HYPERLINK("https://www.ti.com/lit/gpn/TPS7A10", "PDF")</f>
        <v>PDF</v>
      </c>
      <c r="D1612" s="5" t="s">
        <v>14596</v>
      </c>
      <c r="E1612" s="5" t="s">
        <v>14597</v>
      </c>
      <c r="F1612" s="5"/>
      <c r="G1612" s="5" t="s">
        <v>14598</v>
      </c>
      <c r="H1612" s="1" t="s">
        <v>14599</v>
      </c>
      <c r="I1612" s="5" t="s">
        <v>14600</v>
      </c>
      <c r="J1612" s="7" t="s">
        <v>14601</v>
      </c>
      <c r="K1612" s="7" t="s">
        <v>14602</v>
      </c>
      <c r="L1612" s="5" t="s">
        <v>14603</v>
      </c>
      <c r="M1612" s="7" t="s">
        <v>14604</v>
      </c>
      <c r="N1612" s="7" t="s">
        <v>14605</v>
      </c>
      <c r="O1612" s="7">
        <v>0.161</v>
      </c>
      <c r="P1612" s="1" t="s">
        <v>14606</v>
      </c>
    </row>
    <row r="1613" spans="1:16" ht="17.05" x14ac:dyDescent="0.3">
      <c r="A1613" s="6" t="str">
        <f>HYPERLINK("https://www.ti.com/product/LP8758-E3", "LP8758-E3")</f>
        <v>LP8758-E3</v>
      </c>
      <c r="B1613" s="5" t="s">
        <v>14607</v>
      </c>
      <c r="C1613" s="6" t="str">
        <f>HYPERLINK("https://www.ti.com/lit/gpn/LP8758-E3", "PDF")</f>
        <v>PDF</v>
      </c>
      <c r="D1613" s="5" t="s">
        <v>14608</v>
      </c>
      <c r="E1613" s="5" t="s">
        <v>14609</v>
      </c>
      <c r="F1613" s="5"/>
      <c r="G1613" s="5" t="s">
        <v>14610</v>
      </c>
      <c r="H1613" s="1" t="s">
        <v>14611</v>
      </c>
      <c r="I1613" s="5" t="s">
        <v>14612</v>
      </c>
      <c r="J1613" s="7">
        <v>35</v>
      </c>
      <c r="K1613" s="7">
        <v>6.6</v>
      </c>
      <c r="L1613" s="5" t="s">
        <v>14613</v>
      </c>
      <c r="M1613" s="7">
        <v>0.625</v>
      </c>
      <c r="N1613" s="7">
        <v>0.4</v>
      </c>
      <c r="O1613" s="7">
        <v>2.5049999999999999</v>
      </c>
      <c r="P1613" s="1" t="s">
        <v>14614</v>
      </c>
    </row>
    <row r="1614" spans="1:16" ht="33.4" x14ac:dyDescent="0.3">
      <c r="A1614" s="6" t="str">
        <f>HYPERLINK("https://www.ti.com/product/HD3SS3202", "HD3SS3202")</f>
        <v>HD3SS3202</v>
      </c>
      <c r="B1614" s="5" t="s">
        <v>14615</v>
      </c>
      <c r="C1614" s="6" t="str">
        <f>HYPERLINK("https://www.ti.com/lit/gpn/HD3SS3202", "PDF")</f>
        <v>PDF</v>
      </c>
      <c r="D1614" s="5" t="s">
        <v>14616</v>
      </c>
      <c r="E1614" s="5" t="s">
        <v>14617</v>
      </c>
      <c r="F1614" s="5"/>
      <c r="G1614" s="5" t="s">
        <v>14618</v>
      </c>
      <c r="H1614" s="1" t="s">
        <v>14619</v>
      </c>
      <c r="I1614" s="5" t="s">
        <v>14620</v>
      </c>
      <c r="J1614" s="7">
        <v>16</v>
      </c>
      <c r="K1614" s="7">
        <v>4.68</v>
      </c>
      <c r="L1614" s="5" t="s">
        <v>14621</v>
      </c>
      <c r="M1614" s="7">
        <v>0.55000000000000004</v>
      </c>
      <c r="N1614" s="7">
        <v>0.4</v>
      </c>
      <c r="O1614" s="7">
        <v>0.57499999999999996</v>
      </c>
      <c r="P1614" s="1" t="s">
        <v>14622</v>
      </c>
    </row>
    <row r="1615" spans="1:16" ht="33.4" x14ac:dyDescent="0.3">
      <c r="A1615" s="6" t="str">
        <f>HYPERLINK("https://www.ti.com/product/TPS62823", "TPS62823")</f>
        <v>TPS62823</v>
      </c>
      <c r="B1615" s="5" t="s">
        <v>14623</v>
      </c>
      <c r="C1615" s="6" t="str">
        <f>HYPERLINK("https://www.ti.com/lit/gpn/TPS62823", "PDF")</f>
        <v>PDF</v>
      </c>
      <c r="D1615" s="5" t="s">
        <v>14624</v>
      </c>
      <c r="E1615" s="5" t="s">
        <v>14625</v>
      </c>
      <c r="F1615" s="5" t="s">
        <v>14626</v>
      </c>
      <c r="G1615" s="5" t="s">
        <v>14627</v>
      </c>
      <c r="H1615" s="1" t="s">
        <v>14628</v>
      </c>
      <c r="I1615" s="5" t="s">
        <v>14629</v>
      </c>
      <c r="J1615" s="7">
        <v>8</v>
      </c>
      <c r="K1615" s="7">
        <v>3</v>
      </c>
      <c r="L1615" s="5" t="s">
        <v>14630</v>
      </c>
      <c r="M1615" s="7">
        <v>1</v>
      </c>
      <c r="N1615" s="7">
        <v>0.5</v>
      </c>
      <c r="O1615" s="7">
        <v>0.46</v>
      </c>
      <c r="P1615" s="1" t="s">
        <v>14631</v>
      </c>
    </row>
    <row r="1616" spans="1:16" ht="33.4" x14ac:dyDescent="0.3">
      <c r="A1616" s="6" t="str">
        <f>HYPERLINK("https://www.ti.com/product/LM5036", "LM5036")</f>
        <v>LM5036</v>
      </c>
      <c r="B1616" s="5" t="s">
        <v>14632</v>
      </c>
      <c r="C1616" s="6" t="str">
        <f>HYPERLINK("https://www.ti.com/lit/gpn/LM5036", "PDF")</f>
        <v>PDF</v>
      </c>
      <c r="D1616" s="5" t="s">
        <v>14633</v>
      </c>
      <c r="E1616" s="5" t="s">
        <v>14634</v>
      </c>
      <c r="F1616" s="5" t="s">
        <v>14635</v>
      </c>
      <c r="G1616" s="5" t="s">
        <v>14636</v>
      </c>
      <c r="H1616" s="1" t="s">
        <v>14637</v>
      </c>
      <c r="I1616" s="5" t="s">
        <v>14638</v>
      </c>
      <c r="J1616" s="7">
        <v>28</v>
      </c>
      <c r="K1616" s="7">
        <v>25</v>
      </c>
      <c r="L1616" s="5" t="s">
        <v>14639</v>
      </c>
      <c r="M1616" s="7">
        <v>0.8</v>
      </c>
      <c r="N1616" s="7">
        <v>0.5</v>
      </c>
      <c r="O1616" s="7">
        <v>2.2309999999999999</v>
      </c>
      <c r="P1616" s="1" t="s">
        <v>14640</v>
      </c>
    </row>
    <row r="1617" spans="1:16" ht="33.4" x14ac:dyDescent="0.3">
      <c r="A1617" s="6" t="str">
        <f>HYPERLINK("https://www.ti.com/product/TPS1H200A-Q1", "TPS1H200A-Q1")</f>
        <v>TPS1H200A-Q1</v>
      </c>
      <c r="B1617" s="5" t="s">
        <v>14641</v>
      </c>
      <c r="C1617" s="6" t="str">
        <f>HYPERLINK("https://www.ti.com/lit/gpn/TPS1H200A-Q1", "PDF")</f>
        <v>PDF</v>
      </c>
      <c r="D1617" s="5" t="s">
        <v>14642</v>
      </c>
      <c r="E1617" s="5" t="s">
        <v>14643</v>
      </c>
      <c r="F1617" s="5"/>
      <c r="G1617" s="5" t="s">
        <v>14644</v>
      </c>
      <c r="H1617" s="1" t="s">
        <v>14645</v>
      </c>
      <c r="I1617" s="5" t="s">
        <v>14646</v>
      </c>
      <c r="J1617" s="7">
        <v>8</v>
      </c>
      <c r="K1617" s="7">
        <v>14.7</v>
      </c>
      <c r="L1617" s="5" t="s">
        <v>14647</v>
      </c>
      <c r="M1617" s="7">
        <v>1.1000000000000001</v>
      </c>
      <c r="N1617" s="7">
        <v>0.65</v>
      </c>
      <c r="O1617" s="7">
        <v>0.56699999999999995</v>
      </c>
      <c r="P1617" s="1" t="s">
        <v>14648</v>
      </c>
    </row>
    <row r="1618" spans="1:16" ht="33.4" x14ac:dyDescent="0.3">
      <c r="A1618" s="6" t="str">
        <f>HYPERLINK("https://www.ti.com/product/TPS62825", "TPS62825")</f>
        <v>TPS62825</v>
      </c>
      <c r="B1618" s="5" t="s">
        <v>14649</v>
      </c>
      <c r="C1618" s="6" t="str">
        <f>HYPERLINK("https://www.ti.com/lit/gpn/TPS62825", "PDF")</f>
        <v>PDF</v>
      </c>
      <c r="D1618" s="5" t="s">
        <v>14650</v>
      </c>
      <c r="E1618" s="5" t="s">
        <v>14651</v>
      </c>
      <c r="F1618" s="5" t="s">
        <v>14652</v>
      </c>
      <c r="G1618" s="5" t="s">
        <v>14653</v>
      </c>
      <c r="H1618" s="1" t="s">
        <v>14654</v>
      </c>
      <c r="I1618" s="5" t="s">
        <v>14655</v>
      </c>
      <c r="J1618" s="7">
        <v>6</v>
      </c>
      <c r="K1618" s="7">
        <v>2.25</v>
      </c>
      <c r="L1618" s="5" t="s">
        <v>14656</v>
      </c>
      <c r="M1618" s="7">
        <v>1</v>
      </c>
      <c r="N1618" s="7">
        <v>0.5</v>
      </c>
      <c r="O1618" s="7">
        <v>0.433</v>
      </c>
      <c r="P1618" s="1" t="s">
        <v>14657</v>
      </c>
    </row>
    <row r="1619" spans="1:16" ht="33.4" x14ac:dyDescent="0.3">
      <c r="A1619" s="6" t="str">
        <f>HYPERLINK("https://www.ti.com/product/TPS62826", "TPS62826")</f>
        <v>TPS62826</v>
      </c>
      <c r="B1619" s="5" t="s">
        <v>14658</v>
      </c>
      <c r="C1619" s="6" t="str">
        <f>HYPERLINK("https://www.ti.com/lit/gpn/TPS62826", "PDF")</f>
        <v>PDF</v>
      </c>
      <c r="D1619" s="5" t="s">
        <v>14659</v>
      </c>
      <c r="E1619" s="5" t="s">
        <v>14660</v>
      </c>
      <c r="F1619" s="5" t="s">
        <v>14661</v>
      </c>
      <c r="G1619" s="5" t="s">
        <v>14662</v>
      </c>
      <c r="H1619" s="1" t="s">
        <v>14663</v>
      </c>
      <c r="I1619" s="5" t="s">
        <v>14664</v>
      </c>
      <c r="J1619" s="7">
        <v>6</v>
      </c>
      <c r="K1619" s="7">
        <v>2.25</v>
      </c>
      <c r="L1619" s="5" t="s">
        <v>14665</v>
      </c>
      <c r="M1619" s="7">
        <v>1</v>
      </c>
      <c r="N1619" s="7">
        <v>0.5</v>
      </c>
      <c r="O1619" s="7">
        <v>0.5</v>
      </c>
      <c r="P1619" s="1" t="s">
        <v>14666</v>
      </c>
    </row>
    <row r="1620" spans="1:16" ht="17.05" x14ac:dyDescent="0.3">
      <c r="A1620" s="6" t="str">
        <f>HYPERLINK("https://www.ti.com/product/TPL7407LA-Q1", "TPL7407LA-Q1")</f>
        <v>TPL7407LA-Q1</v>
      </c>
      <c r="B1620" s="5" t="s">
        <v>14667</v>
      </c>
      <c r="C1620" s="6" t="str">
        <f>HYPERLINK("https://www.ti.com/lit/gpn/TPL7407LA-Q1", "PDF")</f>
        <v>PDF</v>
      </c>
      <c r="D1620" s="5" t="s">
        <v>14668</v>
      </c>
      <c r="E1620" s="5" t="s">
        <v>14669</v>
      </c>
      <c r="F1620" s="5"/>
      <c r="G1620" s="5" t="s">
        <v>14670</v>
      </c>
      <c r="H1620" s="1" t="s">
        <v>14671</v>
      </c>
      <c r="I1620" s="5" t="s">
        <v>14672</v>
      </c>
      <c r="J1620" s="7">
        <v>16</v>
      </c>
      <c r="K1620" s="7">
        <v>32</v>
      </c>
      <c r="L1620" s="5" t="s">
        <v>14673</v>
      </c>
      <c r="M1620" s="7">
        <v>1.2</v>
      </c>
      <c r="N1620" s="7">
        <v>0.65</v>
      </c>
      <c r="O1620" s="7">
        <v>0.20799999999999999</v>
      </c>
      <c r="P1620" s="1" t="s">
        <v>14674</v>
      </c>
    </row>
    <row r="1621" spans="1:16" ht="82.5" x14ac:dyDescent="0.3">
      <c r="A1621" s="6" t="str">
        <f>HYPERLINK("https://www.ti.com/product/TPS7A05", "TPS7A05")</f>
        <v>TPS7A05</v>
      </c>
      <c r="B1621" s="5" t="s">
        <v>14675</v>
      </c>
      <c r="C1621" s="6" t="str">
        <f>HYPERLINK("https://www.ti.com/lit/gpn/TPS7A05", "PDF")</f>
        <v>PDF</v>
      </c>
      <c r="D1621" s="5" t="s">
        <v>14676</v>
      </c>
      <c r="E1621" s="5" t="s">
        <v>14677</v>
      </c>
      <c r="F1621" s="5"/>
      <c r="G1621" s="5" t="s">
        <v>14678</v>
      </c>
      <c r="H1621" s="1" t="s">
        <v>14679</v>
      </c>
      <c r="I1621" s="5" t="s">
        <v>14680</v>
      </c>
      <c r="J1621" s="7" t="s">
        <v>14681</v>
      </c>
      <c r="K1621" s="7" t="s">
        <v>14682</v>
      </c>
      <c r="L1621" s="5" t="s">
        <v>14683</v>
      </c>
      <c r="M1621" s="7" t="s">
        <v>14684</v>
      </c>
      <c r="N1621" s="7" t="s">
        <v>14685</v>
      </c>
      <c r="O1621" s="7">
        <v>7.6999999999999999E-2</v>
      </c>
      <c r="P1621" s="1" t="s">
        <v>14686</v>
      </c>
    </row>
    <row r="1622" spans="1:16" ht="33.4" x14ac:dyDescent="0.3">
      <c r="A1622" s="6" t="str">
        <f>HYPERLINK("https://www.ti.com/product/LM51501-Q1", "LM51501-Q1")</f>
        <v>LM51501-Q1</v>
      </c>
      <c r="B1622" s="5" t="s">
        <v>14687</v>
      </c>
      <c r="C1622" s="6" t="str">
        <f>HYPERLINK("https://www.ti.com/lit/gpn/LM51501-Q1", "PDF")</f>
        <v>PDF</v>
      </c>
      <c r="D1622" s="5" t="s">
        <v>14688</v>
      </c>
      <c r="E1622" s="5" t="s">
        <v>14689</v>
      </c>
      <c r="F1622" s="5" t="s">
        <v>14690</v>
      </c>
      <c r="G1622" s="5" t="s">
        <v>14691</v>
      </c>
      <c r="H1622" s="1" t="s">
        <v>14692</v>
      </c>
      <c r="I1622" s="5" t="s">
        <v>14693</v>
      </c>
      <c r="J1622" s="7">
        <v>16</v>
      </c>
      <c r="K1622" s="7">
        <v>16</v>
      </c>
      <c r="L1622" s="5" t="s">
        <v>14694</v>
      </c>
      <c r="M1622" s="7">
        <v>0.8</v>
      </c>
      <c r="N1622" s="7">
        <v>0.65</v>
      </c>
      <c r="O1622" s="7">
        <v>0.88500000000000001</v>
      </c>
      <c r="P1622" s="1" t="s">
        <v>14695</v>
      </c>
    </row>
    <row r="1623" spans="1:16" ht="49.75" x14ac:dyDescent="0.3">
      <c r="A1623" s="6" t="str">
        <f>HYPERLINK("https://www.ti.com/product/TLV755P", "TLV755P")</f>
        <v>TLV755P</v>
      </c>
      <c r="B1623" s="5" t="s">
        <v>14696</v>
      </c>
      <c r="C1623" s="6" t="str">
        <f>HYPERLINK("https://www.ti.com/lit/gpn/TLV755P", "PDF")</f>
        <v>PDF</v>
      </c>
      <c r="D1623" s="5" t="s">
        <v>14697</v>
      </c>
      <c r="E1623" s="5" t="s">
        <v>14698</v>
      </c>
      <c r="F1623" s="5"/>
      <c r="G1623" s="5" t="s">
        <v>14699</v>
      </c>
      <c r="H1623" s="1" t="s">
        <v>14700</v>
      </c>
      <c r="I1623" s="5" t="s">
        <v>14701</v>
      </c>
      <c r="J1623" s="7" t="s">
        <v>14702</v>
      </c>
      <c r="K1623" s="7" t="s">
        <v>14703</v>
      </c>
      <c r="L1623" s="5" t="s">
        <v>14704</v>
      </c>
      <c r="M1623" s="7" t="s">
        <v>14705</v>
      </c>
      <c r="N1623" s="7" t="s">
        <v>14706</v>
      </c>
      <c r="O1623" s="7">
        <v>4.7E-2</v>
      </c>
      <c r="P1623" s="1" t="s">
        <v>14707</v>
      </c>
    </row>
    <row r="1624" spans="1:16" ht="33.4" x14ac:dyDescent="0.3">
      <c r="A1624" s="6" t="str">
        <f>HYPERLINK("https://www.ti.com/product/UCC28742", "UCC28742")</f>
        <v>UCC28742</v>
      </c>
      <c r="B1624" s="5" t="s">
        <v>14708</v>
      </c>
      <c r="C1624" s="6" t="str">
        <f>HYPERLINK("https://www.ti.com/lit/gpn/UCC28742", "PDF")</f>
        <v>PDF</v>
      </c>
      <c r="D1624" s="5" t="s">
        <v>14709</v>
      </c>
      <c r="E1624" s="5" t="s">
        <v>14710</v>
      </c>
      <c r="F1624" s="5" t="s">
        <v>14711</v>
      </c>
      <c r="G1624" s="5" t="s">
        <v>14712</v>
      </c>
      <c r="H1624" s="1" t="s">
        <v>14713</v>
      </c>
      <c r="I1624" s="5" t="s">
        <v>14714</v>
      </c>
      <c r="J1624" s="7">
        <v>6</v>
      </c>
      <c r="K1624" s="7">
        <v>8.1199999999999992</v>
      </c>
      <c r="L1624" s="5" t="s">
        <v>14715</v>
      </c>
      <c r="M1624" s="7">
        <v>1.45</v>
      </c>
      <c r="N1624" s="7">
        <v>0.95</v>
      </c>
      <c r="O1624" s="7">
        <v>0.27800000000000002</v>
      </c>
      <c r="P1624" s="1" t="s">
        <v>14716</v>
      </c>
    </row>
    <row r="1625" spans="1:16" ht="33.4" x14ac:dyDescent="0.3">
      <c r="A1625" s="6" t="str">
        <f>HYPERLINK("https://www.ti.com/product/TLV62568A", "TLV62568A")</f>
        <v>TLV62568A</v>
      </c>
      <c r="B1625" s="5" t="s">
        <v>14717</v>
      </c>
      <c r="C1625" s="6" t="str">
        <f>HYPERLINK("https://www.ti.com/lit/gpn/TLV62568A", "PDF")</f>
        <v>PDF</v>
      </c>
      <c r="D1625" s="5" t="s">
        <v>14718</v>
      </c>
      <c r="E1625" s="5" t="s">
        <v>14719</v>
      </c>
      <c r="F1625" s="5" t="s">
        <v>14720</v>
      </c>
      <c r="G1625" s="5" t="s">
        <v>14721</v>
      </c>
      <c r="H1625" s="1" t="s">
        <v>14722</v>
      </c>
      <c r="I1625" s="5" t="s">
        <v>14723</v>
      </c>
      <c r="J1625" s="7">
        <v>6</v>
      </c>
      <c r="K1625" s="7">
        <v>2.56</v>
      </c>
      <c r="L1625" s="5" t="s">
        <v>14724</v>
      </c>
      <c r="M1625" s="7">
        <v>0.6</v>
      </c>
      <c r="N1625" s="7">
        <v>0.5</v>
      </c>
      <c r="O1625" s="7">
        <v>7.4999999999999997E-2</v>
      </c>
      <c r="P1625" s="1" t="s">
        <v>14725</v>
      </c>
    </row>
    <row r="1626" spans="1:16" ht="33.4" x14ac:dyDescent="0.3">
      <c r="A1626" s="6" t="str">
        <f>HYPERLINK("https://www.ti.com/product/TLV62569A", "TLV62569A")</f>
        <v>TLV62569A</v>
      </c>
      <c r="B1626" s="5" t="s">
        <v>14726</v>
      </c>
      <c r="C1626" s="6" t="str">
        <f>HYPERLINK("https://www.ti.com/lit/gpn/TLV62569A", "PDF")</f>
        <v>PDF</v>
      </c>
      <c r="D1626" s="5" t="s">
        <v>14727</v>
      </c>
      <c r="E1626" s="5" t="s">
        <v>14728</v>
      </c>
      <c r="F1626" s="5" t="s">
        <v>14729</v>
      </c>
      <c r="G1626" s="5" t="s">
        <v>14730</v>
      </c>
      <c r="H1626" s="1" t="s">
        <v>14731</v>
      </c>
      <c r="I1626" s="5" t="s">
        <v>14732</v>
      </c>
      <c r="J1626" s="7">
        <v>6</v>
      </c>
      <c r="K1626" s="7">
        <v>2.56</v>
      </c>
      <c r="L1626" s="5" t="s">
        <v>14733</v>
      </c>
      <c r="M1626" s="7">
        <v>0.6</v>
      </c>
      <c r="N1626" s="7">
        <v>0.5</v>
      </c>
      <c r="O1626" s="7">
        <v>6.7000000000000004E-2</v>
      </c>
      <c r="P1626" s="1" t="s">
        <v>14734</v>
      </c>
    </row>
    <row r="1627" spans="1:16" ht="33.4" x14ac:dyDescent="0.3">
      <c r="A1627" s="6" t="str">
        <f>HYPERLINK("https://www.ti.com/product/TPS92611-Q1", "TPS92611-Q1")</f>
        <v>TPS92611-Q1</v>
      </c>
      <c r="B1627" s="5" t="s">
        <v>14735</v>
      </c>
      <c r="C1627" s="6" t="str">
        <f>HYPERLINK("https://www.ti.com/lit/gpn/TPS92611-Q1", "PDF")</f>
        <v>PDF</v>
      </c>
      <c r="D1627" s="5" t="s">
        <v>14736</v>
      </c>
      <c r="E1627" s="5" t="s">
        <v>14737</v>
      </c>
      <c r="F1627" s="5" t="s">
        <v>14738</v>
      </c>
      <c r="G1627" s="5" t="s">
        <v>14739</v>
      </c>
      <c r="H1627" s="1" t="s">
        <v>14740</v>
      </c>
      <c r="I1627" s="5" t="s">
        <v>14741</v>
      </c>
      <c r="J1627" s="7">
        <v>8</v>
      </c>
      <c r="K1627" s="7">
        <v>14.7</v>
      </c>
      <c r="L1627" s="5" t="s">
        <v>14742</v>
      </c>
      <c r="M1627" s="7">
        <v>1.1000000000000001</v>
      </c>
      <c r="N1627" s="7">
        <v>0.65</v>
      </c>
      <c r="O1627" s="7">
        <v>0.39600000000000002</v>
      </c>
      <c r="P1627" s="1" t="s">
        <v>14743</v>
      </c>
    </row>
    <row r="1628" spans="1:16" ht="33.4" x14ac:dyDescent="0.3">
      <c r="A1628" s="6" t="str">
        <f>HYPERLINK("https://www.ti.com/product/LV3842", "LV3842")</f>
        <v>LV3842</v>
      </c>
      <c r="B1628" s="5" t="s">
        <v>14744</v>
      </c>
      <c r="C1628" s="6" t="str">
        <f>HYPERLINK("https://www.ti.com/lit/gpn/LV3842", "PDF")</f>
        <v>PDF</v>
      </c>
      <c r="D1628" s="5" t="s">
        <v>14745</v>
      </c>
      <c r="E1628" s="5" t="s">
        <v>14746</v>
      </c>
      <c r="F1628" s="5" t="s">
        <v>14747</v>
      </c>
      <c r="G1628" s="5" t="s">
        <v>14748</v>
      </c>
      <c r="H1628" s="1" t="s">
        <v>14749</v>
      </c>
      <c r="I1628" s="5" t="s">
        <v>14750</v>
      </c>
      <c r="J1628" s="7">
        <v>6</v>
      </c>
      <c r="K1628" s="7">
        <v>8.1199999999999992</v>
      </c>
      <c r="L1628" s="5" t="s">
        <v>14751</v>
      </c>
      <c r="M1628" s="7">
        <v>1.45</v>
      </c>
      <c r="N1628" s="7">
        <v>0.95</v>
      </c>
      <c r="O1628" s="7">
        <v>0.27500000000000002</v>
      </c>
      <c r="P1628" s="1" t="s">
        <v>14752</v>
      </c>
    </row>
    <row r="1629" spans="1:16" ht="33.4" x14ac:dyDescent="0.3">
      <c r="A1629" s="6" t="str">
        <f>HYPERLINK("https://www.ti.com/product/TPS25221", "TPS25221")</f>
        <v>TPS25221</v>
      </c>
      <c r="B1629" s="5" t="s">
        <v>14753</v>
      </c>
      <c r="C1629" s="6" t="str">
        <f>HYPERLINK("https://www.ti.com/lit/gpn/TPS25221", "PDF")</f>
        <v>PDF</v>
      </c>
      <c r="D1629" s="5" t="s">
        <v>14754</v>
      </c>
      <c r="E1629" s="5" t="s">
        <v>14755</v>
      </c>
      <c r="F1629" s="5"/>
      <c r="G1629" s="5" t="s">
        <v>14756</v>
      </c>
      <c r="H1629" s="1" t="s">
        <v>14757</v>
      </c>
      <c r="I1629" s="5" t="s">
        <v>14758</v>
      </c>
      <c r="J1629" s="7">
        <v>6</v>
      </c>
      <c r="K1629" s="7" t="s">
        <v>14759</v>
      </c>
      <c r="L1629" s="5" t="s">
        <v>14760</v>
      </c>
      <c r="M1629" s="7" t="s">
        <v>14761</v>
      </c>
      <c r="N1629" s="7" t="s">
        <v>14762</v>
      </c>
      <c r="O1629" s="7">
        <v>0.13100000000000001</v>
      </c>
      <c r="P1629" s="1" t="s">
        <v>14763</v>
      </c>
    </row>
    <row r="1630" spans="1:16" ht="33.4" x14ac:dyDescent="0.3">
      <c r="A1630" s="6" t="str">
        <f>HYPERLINK("https://www.ti.com/product/TPS560430", "TPS560430")</f>
        <v>TPS560430</v>
      </c>
      <c r="B1630" s="5" t="s">
        <v>14764</v>
      </c>
      <c r="C1630" s="6" t="str">
        <f>HYPERLINK("https://www.ti.com/lit/gpn/TPS560430", "PDF")</f>
        <v>PDF</v>
      </c>
      <c r="D1630" s="5" t="s">
        <v>14765</v>
      </c>
      <c r="E1630" s="5" t="s">
        <v>14766</v>
      </c>
      <c r="F1630" s="5" t="s">
        <v>14767</v>
      </c>
      <c r="G1630" s="5" t="s">
        <v>14768</v>
      </c>
      <c r="H1630" s="1" t="s">
        <v>14769</v>
      </c>
      <c r="I1630" s="5" t="s">
        <v>14770</v>
      </c>
      <c r="J1630" s="7">
        <v>6</v>
      </c>
      <c r="K1630" s="7">
        <v>8.1199999999999992</v>
      </c>
      <c r="L1630" s="5" t="s">
        <v>14771</v>
      </c>
      <c r="M1630" s="7">
        <v>1.45</v>
      </c>
      <c r="N1630" s="7">
        <v>0.95</v>
      </c>
      <c r="O1630" s="7">
        <v>0.47099999999999997</v>
      </c>
      <c r="P1630" s="1" t="s">
        <v>14772</v>
      </c>
    </row>
    <row r="1631" spans="1:16" ht="33.4" x14ac:dyDescent="0.3">
      <c r="A1631" s="6" t="str">
        <f>HYPERLINK("https://www.ti.com/product/TPS62806", "TPS62806")</f>
        <v>TPS62806</v>
      </c>
      <c r="B1631" s="5" t="s">
        <v>14773</v>
      </c>
      <c r="C1631" s="6" t="str">
        <f>HYPERLINK("https://www.ti.com/lit/gpn/TPS62806", "PDF")</f>
        <v>PDF</v>
      </c>
      <c r="D1631" s="5" t="s">
        <v>14774</v>
      </c>
      <c r="E1631" s="5" t="s">
        <v>14775</v>
      </c>
      <c r="F1631" s="5" t="s">
        <v>14776</v>
      </c>
      <c r="G1631" s="5" t="s">
        <v>14777</v>
      </c>
      <c r="H1631" s="1" t="s">
        <v>14778</v>
      </c>
      <c r="I1631" s="5" t="s">
        <v>14779</v>
      </c>
      <c r="J1631" s="7">
        <v>6</v>
      </c>
      <c r="K1631" s="7">
        <v>0.73499999999999999</v>
      </c>
      <c r="L1631" s="5" t="s">
        <v>14780</v>
      </c>
      <c r="M1631" s="7">
        <v>0.4</v>
      </c>
      <c r="N1631" s="7">
        <v>0.35</v>
      </c>
      <c r="O1631" s="7">
        <v>0.435</v>
      </c>
      <c r="P1631" s="1" t="s">
        <v>14781</v>
      </c>
    </row>
    <row r="1632" spans="1:16" ht="33.4" x14ac:dyDescent="0.3">
      <c r="A1632" s="6" t="str">
        <f>HYPERLINK("https://www.ti.com/product/TPS62822", "TPS62822")</f>
        <v>TPS62822</v>
      </c>
      <c r="B1632" s="5" t="s">
        <v>14782</v>
      </c>
      <c r="C1632" s="6" t="str">
        <f>HYPERLINK("https://www.ti.com/lit/gpn/TPS62822", "PDF")</f>
        <v>PDF</v>
      </c>
      <c r="D1632" s="5" t="s">
        <v>14783</v>
      </c>
      <c r="E1632" s="5" t="s">
        <v>14784</v>
      </c>
      <c r="F1632" s="5" t="s">
        <v>14785</v>
      </c>
      <c r="G1632" s="5" t="s">
        <v>14786</v>
      </c>
      <c r="H1632" s="1" t="s">
        <v>14787</v>
      </c>
      <c r="I1632" s="5" t="s">
        <v>14788</v>
      </c>
      <c r="J1632" s="7">
        <v>8</v>
      </c>
      <c r="K1632" s="7">
        <v>3</v>
      </c>
      <c r="L1632" s="5" t="s">
        <v>14789</v>
      </c>
      <c r="M1632" s="7">
        <v>1</v>
      </c>
      <c r="N1632" s="7">
        <v>0.5</v>
      </c>
      <c r="O1632" s="7">
        <v>0.52500000000000002</v>
      </c>
      <c r="P1632" s="1" t="s">
        <v>14790</v>
      </c>
    </row>
    <row r="1633" spans="1:16" ht="33.4" x14ac:dyDescent="0.3">
      <c r="A1633" s="6" t="str">
        <f>HYPERLINK("https://www.ti.com/product/TPSM84209", "TPSM84209")</f>
        <v>TPSM84209</v>
      </c>
      <c r="B1633" s="5" t="s">
        <v>14791</v>
      </c>
      <c r="C1633" s="6" t="str">
        <f>HYPERLINK("https://www.ti.com/lit/gpn/TPSM84209", "PDF")</f>
        <v>PDF</v>
      </c>
      <c r="D1633" s="5" t="s">
        <v>14792</v>
      </c>
      <c r="E1633" s="5" t="s">
        <v>14793</v>
      </c>
      <c r="F1633" s="5" t="s">
        <v>14794</v>
      </c>
      <c r="G1633" s="5" t="s">
        <v>14795</v>
      </c>
      <c r="H1633" s="1" t="s">
        <v>14796</v>
      </c>
      <c r="I1633" s="5" t="s">
        <v>14797</v>
      </c>
      <c r="J1633" s="7">
        <v>9</v>
      </c>
      <c r="K1633" s="7">
        <v>18</v>
      </c>
      <c r="L1633" s="5" t="s">
        <v>14798</v>
      </c>
      <c r="M1633" s="7">
        <v>2.1</v>
      </c>
      <c r="N1633" s="7">
        <v>0.65</v>
      </c>
      <c r="O1633" s="7">
        <v>1.61</v>
      </c>
      <c r="P1633" s="1" t="s">
        <v>14799</v>
      </c>
    </row>
    <row r="1634" spans="1:16" ht="33.4" x14ac:dyDescent="0.3">
      <c r="A1634" s="6" t="str">
        <f>HYPERLINK("https://www.ti.com/product/LMZM23600", "LMZM23600")</f>
        <v>LMZM23600</v>
      </c>
      <c r="B1634" s="5" t="s">
        <v>14800</v>
      </c>
      <c r="C1634" s="6" t="str">
        <f>HYPERLINK("https://www.ti.com/lit/gpn/LMZM23600", "PDF")</f>
        <v>PDF</v>
      </c>
      <c r="D1634" s="5" t="s">
        <v>14801</v>
      </c>
      <c r="E1634" s="5" t="s">
        <v>14802</v>
      </c>
      <c r="F1634" s="5" t="s">
        <v>14803</v>
      </c>
      <c r="G1634" s="5" t="s">
        <v>14804</v>
      </c>
      <c r="H1634" s="1" t="s">
        <v>14805</v>
      </c>
      <c r="I1634" s="5" t="s">
        <v>14806</v>
      </c>
      <c r="J1634" s="7">
        <v>10</v>
      </c>
      <c r="K1634" s="7" t="s">
        <v>14807</v>
      </c>
      <c r="L1634" s="5" t="s">
        <v>14808</v>
      </c>
      <c r="M1634" s="7" t="s">
        <v>14809</v>
      </c>
      <c r="N1634" s="7" t="s">
        <v>14810</v>
      </c>
      <c r="O1634" s="7">
        <v>2.1829999999999998</v>
      </c>
      <c r="P1634" s="1" t="s">
        <v>14811</v>
      </c>
    </row>
    <row r="1635" spans="1:16" ht="33.4" x14ac:dyDescent="0.3">
      <c r="A1635" s="6" t="str">
        <f>HYPERLINK("https://www.ti.com/product/LMZM23601", "LMZM23601")</f>
        <v>LMZM23601</v>
      </c>
      <c r="B1635" s="5" t="s">
        <v>14812</v>
      </c>
      <c r="C1635" s="6" t="str">
        <f>HYPERLINK("https://www.ti.com/lit/gpn/LMZM23601", "PDF")</f>
        <v>PDF</v>
      </c>
      <c r="D1635" s="5" t="s">
        <v>14813</v>
      </c>
      <c r="E1635" s="5" t="s">
        <v>14814</v>
      </c>
      <c r="F1635" s="5" t="s">
        <v>14815</v>
      </c>
      <c r="G1635" s="5" t="s">
        <v>14816</v>
      </c>
      <c r="H1635" s="1" t="s">
        <v>14817</v>
      </c>
      <c r="I1635" s="5" t="s">
        <v>14818</v>
      </c>
      <c r="J1635" s="7">
        <v>10</v>
      </c>
      <c r="K1635" s="7" t="s">
        <v>14819</v>
      </c>
      <c r="L1635" s="5" t="s">
        <v>14820</v>
      </c>
      <c r="M1635" s="7" t="s">
        <v>14821</v>
      </c>
      <c r="N1635" s="7" t="s">
        <v>14822</v>
      </c>
      <c r="O1635" s="7">
        <v>2.6419999999999999</v>
      </c>
      <c r="P1635" s="1" t="s">
        <v>14823</v>
      </c>
    </row>
    <row r="1636" spans="1:16" ht="33.4" x14ac:dyDescent="0.3">
      <c r="A1636" s="6" t="str">
        <f>HYPERLINK("https://www.ti.com/product/TPS62147", "TPS62147")</f>
        <v>TPS62147</v>
      </c>
      <c r="B1636" s="5" t="s">
        <v>14824</v>
      </c>
      <c r="C1636" s="6" t="str">
        <f>HYPERLINK("https://www.ti.com/lit/gpn/TPS62147", "PDF")</f>
        <v>PDF</v>
      </c>
      <c r="D1636" s="5" t="s">
        <v>14825</v>
      </c>
      <c r="E1636" s="5" t="s">
        <v>14826</v>
      </c>
      <c r="F1636" s="5" t="s">
        <v>14827</v>
      </c>
      <c r="G1636" s="5" t="s">
        <v>14828</v>
      </c>
      <c r="H1636" s="1" t="s">
        <v>14829</v>
      </c>
      <c r="I1636" s="5" t="s">
        <v>14830</v>
      </c>
      <c r="J1636" s="7">
        <v>11</v>
      </c>
      <c r="K1636" s="7">
        <v>6</v>
      </c>
      <c r="L1636" s="5" t="s">
        <v>14831</v>
      </c>
      <c r="M1636" s="7">
        <v>1</v>
      </c>
      <c r="N1636" s="7">
        <v>0.5</v>
      </c>
      <c r="O1636" s="7">
        <v>0.65600000000000003</v>
      </c>
      <c r="P1636" s="1" t="s">
        <v>14832</v>
      </c>
    </row>
    <row r="1637" spans="1:16" ht="33.4" x14ac:dyDescent="0.3">
      <c r="A1637" s="6" t="str">
        <f>HYPERLINK("https://www.ti.com/product/TPS62148", "TPS62148")</f>
        <v>TPS62148</v>
      </c>
      <c r="B1637" s="5" t="s">
        <v>14833</v>
      </c>
      <c r="C1637" s="6" t="str">
        <f>HYPERLINK("https://www.ti.com/lit/gpn/TPS62148", "PDF")</f>
        <v>PDF</v>
      </c>
      <c r="D1637" s="5" t="s">
        <v>14834</v>
      </c>
      <c r="E1637" s="5" t="s">
        <v>14835</v>
      </c>
      <c r="F1637" s="5" t="s">
        <v>14836</v>
      </c>
      <c r="G1637" s="5" t="s">
        <v>14837</v>
      </c>
      <c r="H1637" s="1" t="s">
        <v>14838</v>
      </c>
      <c r="I1637" s="5" t="s">
        <v>14839</v>
      </c>
      <c r="J1637" s="7">
        <v>11</v>
      </c>
      <c r="K1637" s="7">
        <v>6</v>
      </c>
      <c r="L1637" s="5" t="s">
        <v>14840</v>
      </c>
      <c r="M1637" s="7">
        <v>1</v>
      </c>
      <c r="N1637" s="7">
        <v>0.5</v>
      </c>
      <c r="O1637" s="7">
        <v>0.65600000000000003</v>
      </c>
      <c r="P1637" s="1" t="s">
        <v>14841</v>
      </c>
    </row>
    <row r="1638" spans="1:16" ht="33.4" x14ac:dyDescent="0.3">
      <c r="A1638" s="6" t="str">
        <f>HYPERLINK("https://www.ti.com/product/TUSB1044", "TUSB1044")</f>
        <v>TUSB1044</v>
      </c>
      <c r="B1638" s="5" t="s">
        <v>14842</v>
      </c>
      <c r="C1638" s="6" t="str">
        <f>HYPERLINK("https://www.ti.com/lit/gpn/TUSB1044", "PDF")</f>
        <v>PDF</v>
      </c>
      <c r="D1638" s="5" t="s">
        <v>14843</v>
      </c>
      <c r="E1638" s="5" t="s">
        <v>14844</v>
      </c>
      <c r="F1638" s="5"/>
      <c r="G1638" s="5" t="s">
        <v>14845</v>
      </c>
      <c r="H1638" s="1" t="s">
        <v>14846</v>
      </c>
      <c r="I1638" s="5" t="s">
        <v>14847</v>
      </c>
      <c r="J1638" s="7">
        <v>40</v>
      </c>
      <c r="K1638" s="7">
        <v>24</v>
      </c>
      <c r="L1638" s="5" t="s">
        <v>14848</v>
      </c>
      <c r="M1638" s="7">
        <v>0.8</v>
      </c>
      <c r="N1638" s="7">
        <v>0.4</v>
      </c>
      <c r="O1638" s="7">
        <v>2.512</v>
      </c>
      <c r="P1638" s="1" t="s">
        <v>14849</v>
      </c>
    </row>
    <row r="1639" spans="1:16" ht="33.4" x14ac:dyDescent="0.3">
      <c r="A1639" s="6" t="str">
        <f>HYPERLINK("https://www.ti.com/product/TUSB1064", "TUSB1064")</f>
        <v>TUSB1064</v>
      </c>
      <c r="B1639" s="5" t="s">
        <v>14850</v>
      </c>
      <c r="C1639" s="6" t="str">
        <f>HYPERLINK("https://www.ti.com/lit/gpn/TUSB1064", "PDF")</f>
        <v>PDF</v>
      </c>
      <c r="D1639" s="5" t="s">
        <v>14851</v>
      </c>
      <c r="E1639" s="5" t="s">
        <v>14852</v>
      </c>
      <c r="F1639" s="5"/>
      <c r="G1639" s="5" t="s">
        <v>14853</v>
      </c>
      <c r="H1639" s="1" t="s">
        <v>14854</v>
      </c>
      <c r="I1639" s="5" t="s">
        <v>14855</v>
      </c>
      <c r="J1639" s="7">
        <v>40</v>
      </c>
      <c r="K1639" s="7">
        <v>24</v>
      </c>
      <c r="L1639" s="5" t="s">
        <v>14856</v>
      </c>
      <c r="M1639" s="7">
        <v>0.8</v>
      </c>
      <c r="N1639" s="7">
        <v>0.4</v>
      </c>
      <c r="O1639" s="7">
        <v>2.988</v>
      </c>
      <c r="P1639" s="1" t="s">
        <v>14857</v>
      </c>
    </row>
    <row r="1640" spans="1:16" ht="33.4" x14ac:dyDescent="0.3">
      <c r="A1640" s="6" t="str">
        <f>HYPERLINK("https://www.ti.com/product/UCC21222", "UCC21222")</f>
        <v>UCC21222</v>
      </c>
      <c r="B1640" s="5" t="s">
        <v>14858</v>
      </c>
      <c r="C1640" s="6" t="str">
        <f>HYPERLINK("https://www.ti.com/lit/gpn/UCC21222", "PDF")</f>
        <v>PDF</v>
      </c>
      <c r="D1640" s="5" t="s">
        <v>14859</v>
      </c>
      <c r="E1640" s="5" t="s">
        <v>14860</v>
      </c>
      <c r="F1640" s="5"/>
      <c r="G1640" s="5" t="s">
        <v>14861</v>
      </c>
      <c r="H1640" s="1" t="s">
        <v>14862</v>
      </c>
      <c r="I1640" s="5" t="s">
        <v>14863</v>
      </c>
      <c r="J1640" s="7">
        <v>16</v>
      </c>
      <c r="K1640" s="7">
        <v>59.4</v>
      </c>
      <c r="L1640" s="5" t="s">
        <v>14864</v>
      </c>
      <c r="M1640" s="7">
        <v>1.75</v>
      </c>
      <c r="N1640" s="7">
        <v>1.27</v>
      </c>
      <c r="O1640" s="7">
        <v>1.1499999999999999</v>
      </c>
      <c r="P1640" s="1" t="s">
        <v>14865</v>
      </c>
    </row>
    <row r="1641" spans="1:16" ht="17.05" x14ac:dyDescent="0.3">
      <c r="A1641" s="6" t="str">
        <f>HYPERLINK("https://www.ti.com/product/REF3440", "REF3440")</f>
        <v>REF3440</v>
      </c>
      <c r="B1641" s="5" t="s">
        <v>14866</v>
      </c>
      <c r="C1641" s="6" t="str">
        <f>HYPERLINK("https://www.ti.com/lit/gpn/REF3440", "PDF")</f>
        <v>PDF</v>
      </c>
      <c r="D1641" s="5" t="s">
        <v>14867</v>
      </c>
      <c r="E1641" s="5" t="s">
        <v>14868</v>
      </c>
      <c r="F1641" s="5"/>
      <c r="G1641" s="5" t="s">
        <v>14869</v>
      </c>
      <c r="H1641" s="1" t="s">
        <v>14870</v>
      </c>
      <c r="I1641" s="5" t="s">
        <v>14871</v>
      </c>
      <c r="J1641" s="7">
        <v>6</v>
      </c>
      <c r="K1641" s="7">
        <v>8.1199999999999992</v>
      </c>
      <c r="L1641" s="5" t="s">
        <v>14872</v>
      </c>
      <c r="M1641" s="7">
        <v>1.45</v>
      </c>
      <c r="N1641" s="7">
        <v>0.95</v>
      </c>
      <c r="O1641" s="7">
        <v>0.97899999999999998</v>
      </c>
      <c r="P1641" s="1" t="s">
        <v>14873</v>
      </c>
    </row>
    <row r="1642" spans="1:16" ht="17.05" x14ac:dyDescent="0.3">
      <c r="A1642" s="6" t="str">
        <f>HYPERLINK("https://www.ti.com/product/REF3450", "REF3450")</f>
        <v>REF3450</v>
      </c>
      <c r="B1642" s="5" t="s">
        <v>14874</v>
      </c>
      <c r="C1642" s="6" t="str">
        <f>HYPERLINK("https://www.ti.com/lit/gpn/REF3450", "PDF")</f>
        <v>PDF</v>
      </c>
      <c r="D1642" s="5" t="s">
        <v>14875</v>
      </c>
      <c r="E1642" s="5" t="s">
        <v>14876</v>
      </c>
      <c r="F1642" s="5"/>
      <c r="G1642" s="5" t="s">
        <v>14877</v>
      </c>
      <c r="H1642" s="1" t="s">
        <v>14878</v>
      </c>
      <c r="I1642" s="5" t="s">
        <v>14879</v>
      </c>
      <c r="J1642" s="7">
        <v>6</v>
      </c>
      <c r="K1642" s="7">
        <v>8.1199999999999992</v>
      </c>
      <c r="L1642" s="5" t="s">
        <v>14880</v>
      </c>
      <c r="M1642" s="7">
        <v>1.45</v>
      </c>
      <c r="N1642" s="7">
        <v>0.95</v>
      </c>
      <c r="O1642" s="7">
        <v>0.97899999999999998</v>
      </c>
      <c r="P1642" s="1" t="s">
        <v>14881</v>
      </c>
    </row>
    <row r="1643" spans="1:16" ht="33.4" x14ac:dyDescent="0.3">
      <c r="A1643" s="6" t="str">
        <f>HYPERLINK("https://www.ti.com/product/TPSM84624", "TPSM84624")</f>
        <v>TPSM84624</v>
      </c>
      <c r="B1643" s="5" t="s">
        <v>14882</v>
      </c>
      <c r="C1643" s="6" t="str">
        <f>HYPERLINK("https://www.ti.com/lit/gpn/TPSM84624", "PDF")</f>
        <v>PDF</v>
      </c>
      <c r="D1643" s="5" t="s">
        <v>14883</v>
      </c>
      <c r="E1643" s="5" t="s">
        <v>14884</v>
      </c>
      <c r="F1643" s="5" t="s">
        <v>14885</v>
      </c>
      <c r="G1643" s="5" t="s">
        <v>14886</v>
      </c>
      <c r="H1643" s="1" t="s">
        <v>14887</v>
      </c>
      <c r="I1643" s="5" t="s">
        <v>14888</v>
      </c>
      <c r="J1643" s="7">
        <v>24</v>
      </c>
      <c r="K1643" s="7">
        <v>56.25</v>
      </c>
      <c r="L1643" s="5" t="s">
        <v>14889</v>
      </c>
      <c r="M1643" s="7">
        <v>5.4</v>
      </c>
      <c r="N1643" s="7">
        <v>0.65</v>
      </c>
      <c r="O1643" s="7">
        <v>4.5999999999999996</v>
      </c>
      <c r="P1643" s="1" t="s">
        <v>14890</v>
      </c>
    </row>
    <row r="1644" spans="1:16" ht="33.4" x14ac:dyDescent="0.3">
      <c r="A1644" s="6" t="str">
        <f>HYPERLINK("https://www.ti.com/product/CSD86356Q5D", "CSD86356Q5D")</f>
        <v>CSD86356Q5D</v>
      </c>
      <c r="B1644" s="5" t="s">
        <v>14891</v>
      </c>
      <c r="C1644" s="6" t="str">
        <f>HYPERLINK("https://www.ti.com/lit/gpn/CSD86356Q5D", "PDF")</f>
        <v>PDF</v>
      </c>
      <c r="D1644" s="5" t="s">
        <v>14892</v>
      </c>
      <c r="E1644" s="5" t="s">
        <v>14893</v>
      </c>
      <c r="F1644" s="5"/>
      <c r="G1644" s="5" t="s">
        <v>14894</v>
      </c>
      <c r="H1644" s="1" t="s">
        <v>14895</v>
      </c>
      <c r="I1644" s="5" t="s">
        <v>14896</v>
      </c>
      <c r="J1644" s="7">
        <v>8</v>
      </c>
      <c r="K1644" s="7">
        <v>30</v>
      </c>
      <c r="L1644" s="5" t="s">
        <v>14897</v>
      </c>
      <c r="M1644" s="7">
        <v>1.05</v>
      </c>
      <c r="N1644" s="7">
        <v>1.27</v>
      </c>
      <c r="O1644" s="7">
        <v>0.53700000000000003</v>
      </c>
      <c r="P1644" s="1" t="s">
        <v>14898</v>
      </c>
    </row>
    <row r="1645" spans="1:16" ht="33.4" x14ac:dyDescent="0.3">
      <c r="A1645" s="6" t="str">
        <f>HYPERLINK("https://www.ti.com/product/LMR14010A", "LMR14010A")</f>
        <v>LMR14010A</v>
      </c>
      <c r="B1645" s="5" t="s">
        <v>14899</v>
      </c>
      <c r="C1645" s="6" t="str">
        <f>HYPERLINK("https://www.ti.com/lit/gpn/LMR14010A", "PDF")</f>
        <v>PDF</v>
      </c>
      <c r="D1645" s="5" t="s">
        <v>14900</v>
      </c>
      <c r="E1645" s="5" t="s">
        <v>14901</v>
      </c>
      <c r="F1645" s="5" t="s">
        <v>14902</v>
      </c>
      <c r="G1645" s="5" t="s">
        <v>14903</v>
      </c>
      <c r="H1645" s="1" t="s">
        <v>14904</v>
      </c>
      <c r="I1645" s="5" t="s">
        <v>14905</v>
      </c>
      <c r="J1645" s="7">
        <v>6</v>
      </c>
      <c r="K1645" s="7">
        <v>8.1199999999999992</v>
      </c>
      <c r="L1645" s="5" t="s">
        <v>14906</v>
      </c>
      <c r="M1645" s="7">
        <v>1.1000000000000001</v>
      </c>
      <c r="N1645" s="7">
        <v>0.95</v>
      </c>
      <c r="O1645" s="7">
        <v>0.52500000000000002</v>
      </c>
      <c r="P1645" s="1" t="s">
        <v>14907</v>
      </c>
    </row>
    <row r="1646" spans="1:16" ht="33.4" x14ac:dyDescent="0.3">
      <c r="A1646" s="6" t="str">
        <f>HYPERLINK("https://www.ti.com/product/TPS22810-Q1", "TPS22810-Q1")</f>
        <v>TPS22810-Q1</v>
      </c>
      <c r="B1646" s="5" t="s">
        <v>14908</v>
      </c>
      <c r="C1646" s="6" t="str">
        <f>HYPERLINK("https://www.ti.com/lit/gpn/TPS22810-Q1", "PDF")</f>
        <v>PDF</v>
      </c>
      <c r="D1646" s="5" t="s">
        <v>14909</v>
      </c>
      <c r="E1646" s="5" t="s">
        <v>14910</v>
      </c>
      <c r="F1646" s="5"/>
      <c r="G1646" s="5" t="s">
        <v>14911</v>
      </c>
      <c r="H1646" s="1" t="s">
        <v>14912</v>
      </c>
      <c r="I1646" s="5" t="s">
        <v>14913</v>
      </c>
      <c r="J1646" s="7">
        <v>6</v>
      </c>
      <c r="K1646" s="7">
        <v>8.1199999999999992</v>
      </c>
      <c r="L1646" s="5" t="s">
        <v>14914</v>
      </c>
      <c r="M1646" s="7">
        <v>1.45</v>
      </c>
      <c r="N1646" s="7">
        <v>0.95</v>
      </c>
      <c r="O1646" s="7">
        <v>0.20399999999999999</v>
      </c>
      <c r="P1646" s="1" t="s">
        <v>14915</v>
      </c>
    </row>
    <row r="1647" spans="1:16" ht="49.75" x14ac:dyDescent="0.3">
      <c r="A1647" s="6" t="str">
        <f>HYPERLINK("https://www.ti.com/product/TPSM82480", "TPSM82480")</f>
        <v>TPSM82480</v>
      </c>
      <c r="B1647" s="5" t="s">
        <v>14916</v>
      </c>
      <c r="C1647" s="6" t="str">
        <f>HYPERLINK("https://www.ti.com/lit/gpn/TPSM82480", "PDF")</f>
        <v>PDF</v>
      </c>
      <c r="D1647" s="5" t="s">
        <v>14917</v>
      </c>
      <c r="E1647" s="5" t="s">
        <v>14918</v>
      </c>
      <c r="F1647" s="5" t="s">
        <v>14919</v>
      </c>
      <c r="G1647" s="5" t="s">
        <v>14920</v>
      </c>
      <c r="H1647" s="1" t="s">
        <v>14921</v>
      </c>
      <c r="I1647" s="5" t="s">
        <v>14922</v>
      </c>
      <c r="J1647" s="7">
        <v>24</v>
      </c>
      <c r="K1647" s="7">
        <v>28.44</v>
      </c>
      <c r="L1647" s="5" t="s">
        <v>14923</v>
      </c>
      <c r="M1647" s="7">
        <v>1.55</v>
      </c>
      <c r="N1647" s="7">
        <v>0.5</v>
      </c>
      <c r="O1647" s="7">
        <v>2.645</v>
      </c>
      <c r="P1647" s="1" t="s">
        <v>14924</v>
      </c>
    </row>
    <row r="1648" spans="1:16" ht="33.4" x14ac:dyDescent="0.3">
      <c r="A1648" s="6" t="str">
        <f>HYPERLINK("https://www.ti.com/product/CSD86336Q3D", "CSD86336Q3D")</f>
        <v>CSD86336Q3D</v>
      </c>
      <c r="B1648" s="5" t="s">
        <v>14925</v>
      </c>
      <c r="C1648" s="6" t="str">
        <f>HYPERLINK("https://www.ti.com/lit/gpn/CSD86336Q3D", "PDF")</f>
        <v>PDF</v>
      </c>
      <c r="D1648" s="5" t="s">
        <v>14926</v>
      </c>
      <c r="E1648" s="5" t="s">
        <v>14927</v>
      </c>
      <c r="F1648" s="5"/>
      <c r="G1648" s="5" t="s">
        <v>14928</v>
      </c>
      <c r="H1648" s="1" t="s">
        <v>14929</v>
      </c>
      <c r="I1648" s="5" t="s">
        <v>14930</v>
      </c>
      <c r="J1648" s="7">
        <v>8</v>
      </c>
      <c r="K1648" s="7">
        <v>10.89</v>
      </c>
      <c r="L1648" s="5" t="s">
        <v>14931</v>
      </c>
      <c r="M1648" s="7">
        <v>1.05</v>
      </c>
      <c r="N1648" s="7">
        <v>0.65</v>
      </c>
      <c r="O1648" s="7">
        <v>0.432</v>
      </c>
      <c r="P1648" s="1" t="s">
        <v>14932</v>
      </c>
    </row>
    <row r="1649" spans="1:16" ht="33.4" x14ac:dyDescent="0.3">
      <c r="A1649" s="6" t="str">
        <f>HYPERLINK("https://www.ti.com/product/LP87521-Q1", "LP87521-Q1")</f>
        <v>LP87521-Q1</v>
      </c>
      <c r="B1649" s="5" t="s">
        <v>14933</v>
      </c>
      <c r="C1649" s="6" t="str">
        <f>HYPERLINK("https://www.ti.com/lit/gpn/LP87521-Q1", "PDF")</f>
        <v>PDF</v>
      </c>
      <c r="D1649" s="5" t="s">
        <v>14934</v>
      </c>
      <c r="E1649" s="5" t="s">
        <v>14935</v>
      </c>
      <c r="F1649" s="5"/>
      <c r="G1649" s="5" t="s">
        <v>14936</v>
      </c>
      <c r="H1649" s="1" t="s">
        <v>14937</v>
      </c>
      <c r="I1649" s="5" t="s">
        <v>14938</v>
      </c>
      <c r="J1649" s="7">
        <v>26</v>
      </c>
      <c r="K1649" s="7">
        <v>18</v>
      </c>
      <c r="L1649" s="5" t="s">
        <v>14939</v>
      </c>
      <c r="M1649" s="7">
        <v>0.9</v>
      </c>
      <c r="N1649" s="7">
        <v>0.5</v>
      </c>
      <c r="O1649" s="7">
        <v>2.1379999999999999</v>
      </c>
      <c r="P1649" s="1" t="s">
        <v>14940</v>
      </c>
    </row>
    <row r="1650" spans="1:16" ht="33.4" x14ac:dyDescent="0.3">
      <c r="A1650" s="6" t="str">
        <f>HYPERLINK("https://www.ti.com/product/UCC27511A", "UCC27511A")</f>
        <v>UCC27511A</v>
      </c>
      <c r="B1650" s="5" t="s">
        <v>14941</v>
      </c>
      <c r="C1650" s="6" t="str">
        <f>HYPERLINK("https://www.ti.com/lit/gpn/UCC27511A", "PDF")</f>
        <v>PDF</v>
      </c>
      <c r="D1650" s="5" t="s">
        <v>14942</v>
      </c>
      <c r="E1650" s="5" t="s">
        <v>14943</v>
      </c>
      <c r="F1650" s="5"/>
      <c r="G1650" s="5" t="s">
        <v>14944</v>
      </c>
      <c r="H1650" s="1" t="s">
        <v>14945</v>
      </c>
      <c r="I1650" s="5" t="s">
        <v>14946</v>
      </c>
      <c r="J1650" s="7">
        <v>6</v>
      </c>
      <c r="K1650" s="7">
        <v>8.1199999999999992</v>
      </c>
      <c r="L1650" s="5" t="s">
        <v>14947</v>
      </c>
      <c r="M1650" s="7">
        <v>1.45</v>
      </c>
      <c r="N1650" s="7">
        <v>0.95</v>
      </c>
      <c r="O1650" s="7">
        <v>0.34499999999999997</v>
      </c>
      <c r="P1650" s="1" t="s">
        <v>14948</v>
      </c>
    </row>
    <row r="1651" spans="1:16" ht="33.4" x14ac:dyDescent="0.3">
      <c r="A1651" s="6" t="str">
        <f>HYPERLINK("https://www.ti.com/product/LMR23615", "LMR23615")</f>
        <v>LMR23615</v>
      </c>
      <c r="B1651" s="5" t="s">
        <v>14949</v>
      </c>
      <c r="C1651" s="6" t="str">
        <f>HYPERLINK("https://www.ti.com/lit/gpn/LMR23615", "PDF")</f>
        <v>PDF</v>
      </c>
      <c r="D1651" s="5" t="s">
        <v>14950</v>
      </c>
      <c r="E1651" s="5" t="s">
        <v>14951</v>
      </c>
      <c r="F1651" s="5" t="s">
        <v>14952</v>
      </c>
      <c r="G1651" s="5" t="s">
        <v>14953</v>
      </c>
      <c r="H1651" s="1" t="s">
        <v>14954</v>
      </c>
      <c r="I1651" s="5" t="s">
        <v>14955</v>
      </c>
      <c r="J1651" s="7">
        <v>12</v>
      </c>
      <c r="K1651" s="7">
        <v>9</v>
      </c>
      <c r="L1651" s="5" t="s">
        <v>14956</v>
      </c>
      <c r="M1651" s="7">
        <v>0.8</v>
      </c>
      <c r="N1651" s="7">
        <v>0.5</v>
      </c>
      <c r="O1651" s="7">
        <v>1.5009999999999999</v>
      </c>
      <c r="P1651" s="1" t="s">
        <v>14957</v>
      </c>
    </row>
    <row r="1652" spans="1:16" ht="33.4" x14ac:dyDescent="0.3">
      <c r="A1652" s="6" t="str">
        <f>HYPERLINK("https://www.ti.com/product/LMR23615-Q1", "LMR23615-Q1")</f>
        <v>LMR23615-Q1</v>
      </c>
      <c r="B1652" s="5" t="s">
        <v>14958</v>
      </c>
      <c r="C1652" s="6" t="str">
        <f>HYPERLINK("https://www.ti.com/lit/gpn/LMR23615-Q1", "PDF")</f>
        <v>PDF</v>
      </c>
      <c r="D1652" s="5" t="s">
        <v>14959</v>
      </c>
      <c r="E1652" s="5" t="s">
        <v>14960</v>
      </c>
      <c r="F1652" s="5" t="s">
        <v>14961</v>
      </c>
      <c r="G1652" s="5" t="s">
        <v>14962</v>
      </c>
      <c r="H1652" s="1" t="s">
        <v>14963</v>
      </c>
      <c r="I1652" s="5" t="s">
        <v>14964</v>
      </c>
      <c r="J1652" s="7">
        <v>12</v>
      </c>
      <c r="K1652" s="7">
        <v>9</v>
      </c>
      <c r="L1652" s="5" t="s">
        <v>14965</v>
      </c>
      <c r="M1652" s="7">
        <v>0.8</v>
      </c>
      <c r="N1652" s="7">
        <v>0.5</v>
      </c>
      <c r="O1652" s="7">
        <v>1.7709999999999999</v>
      </c>
      <c r="P1652" s="1" t="s">
        <v>14966</v>
      </c>
    </row>
    <row r="1653" spans="1:16" ht="33.4" x14ac:dyDescent="0.3">
      <c r="A1653" s="6" t="str">
        <f>HYPERLINK("https://www.ti.com/product/TPS62243-Q1", "TPS62243-Q1")</f>
        <v>TPS62243-Q1</v>
      </c>
      <c r="B1653" s="5" t="s">
        <v>14967</v>
      </c>
      <c r="C1653" s="6" t="str">
        <f>HYPERLINK("https://www.ti.com/lit/gpn/TPS62243-Q1", "PDF")</f>
        <v>PDF</v>
      </c>
      <c r="D1653" s="5" t="s">
        <v>14968</v>
      </c>
      <c r="E1653" s="5" t="s">
        <v>14969</v>
      </c>
      <c r="F1653" s="5" t="s">
        <v>14970</v>
      </c>
      <c r="G1653" s="5" t="s">
        <v>14971</v>
      </c>
      <c r="H1653" s="1" t="s">
        <v>14972</v>
      </c>
      <c r="I1653" s="5" t="s">
        <v>14973</v>
      </c>
      <c r="J1653" s="7">
        <v>5</v>
      </c>
      <c r="K1653" s="7">
        <v>8.1199999999999992</v>
      </c>
      <c r="L1653" s="5" t="s">
        <v>14974</v>
      </c>
      <c r="M1653" s="7">
        <v>1.1000000000000001</v>
      </c>
      <c r="N1653" s="7">
        <v>0.95</v>
      </c>
      <c r="O1653" s="7">
        <v>0.53700000000000003</v>
      </c>
      <c r="P1653" s="1" t="s">
        <v>14975</v>
      </c>
    </row>
    <row r="1654" spans="1:16" ht="33.4" x14ac:dyDescent="0.3">
      <c r="A1654" s="6" t="str">
        <f>HYPERLINK("https://www.ti.com/product/TPS62244-Q1", "TPS62244-Q1")</f>
        <v>TPS62244-Q1</v>
      </c>
      <c r="B1654" s="5" t="s">
        <v>14976</v>
      </c>
      <c r="C1654" s="6" t="str">
        <f>HYPERLINK("https://www.ti.com/lit/gpn/TPS62244-Q1", "PDF")</f>
        <v>PDF</v>
      </c>
      <c r="D1654" s="5" t="s">
        <v>14977</v>
      </c>
      <c r="E1654" s="5" t="s">
        <v>14978</v>
      </c>
      <c r="F1654" s="5" t="s">
        <v>14979</v>
      </c>
      <c r="G1654" s="5" t="s">
        <v>14980</v>
      </c>
      <c r="H1654" s="1" t="s">
        <v>14981</v>
      </c>
      <c r="I1654" s="5" t="s">
        <v>14982</v>
      </c>
      <c r="J1654" s="7">
        <v>5</v>
      </c>
      <c r="K1654" s="7">
        <v>8.1199999999999992</v>
      </c>
      <c r="L1654" s="5" t="s">
        <v>14983</v>
      </c>
      <c r="M1654" s="7">
        <v>1.1000000000000001</v>
      </c>
      <c r="N1654" s="7">
        <v>0.95</v>
      </c>
      <c r="O1654" s="7">
        <v>0.53700000000000003</v>
      </c>
      <c r="P1654" s="1" t="s">
        <v>14984</v>
      </c>
    </row>
    <row r="1655" spans="1:16" ht="33.4" x14ac:dyDescent="0.3">
      <c r="A1655" s="6" t="str">
        <f>HYPERLINK("https://www.ti.com/product/LMZM33602", "LMZM33602")</f>
        <v>LMZM33602</v>
      </c>
      <c r="B1655" s="5" t="s">
        <v>14985</v>
      </c>
      <c r="C1655" s="6" t="str">
        <f>HYPERLINK("https://www.ti.com/lit/gpn/LMZM33602", "PDF")</f>
        <v>PDF</v>
      </c>
      <c r="D1655" s="5" t="s">
        <v>14986</v>
      </c>
      <c r="E1655" s="5" t="s">
        <v>14987</v>
      </c>
      <c r="F1655" s="5" t="s">
        <v>14988</v>
      </c>
      <c r="G1655" s="5" t="s">
        <v>14989</v>
      </c>
      <c r="H1655" s="1" t="s">
        <v>14990</v>
      </c>
      <c r="I1655" s="5" t="s">
        <v>14991</v>
      </c>
      <c r="J1655" s="7">
        <v>18</v>
      </c>
      <c r="K1655" s="7">
        <v>63</v>
      </c>
      <c r="L1655" s="5" t="s">
        <v>14992</v>
      </c>
      <c r="M1655" s="7">
        <v>4.0999999999999996</v>
      </c>
      <c r="N1655" s="7">
        <v>0.5</v>
      </c>
      <c r="O1655" s="7">
        <v>4.18</v>
      </c>
      <c r="P1655" s="1" t="s">
        <v>14993</v>
      </c>
    </row>
    <row r="1656" spans="1:16" ht="33.4" x14ac:dyDescent="0.3">
      <c r="A1656" s="6" t="str">
        <f>HYPERLINK("https://www.ti.com/product/LMZM33603", "LMZM33603")</f>
        <v>LMZM33603</v>
      </c>
      <c r="B1656" s="5" t="s">
        <v>14994</v>
      </c>
      <c r="C1656" s="6" t="str">
        <f>HYPERLINK("https://www.ti.com/lit/gpn/LMZM33603", "PDF")</f>
        <v>PDF</v>
      </c>
      <c r="D1656" s="5" t="s">
        <v>14995</v>
      </c>
      <c r="E1656" s="5" t="s">
        <v>14996</v>
      </c>
      <c r="F1656" s="5" t="s">
        <v>14997</v>
      </c>
      <c r="G1656" s="5" t="s">
        <v>14998</v>
      </c>
      <c r="H1656" s="1" t="s">
        <v>14999</v>
      </c>
      <c r="I1656" s="5" t="s">
        <v>15000</v>
      </c>
      <c r="J1656" s="7">
        <v>18</v>
      </c>
      <c r="K1656" s="7">
        <v>63</v>
      </c>
      <c r="L1656" s="5" t="s">
        <v>15001</v>
      </c>
      <c r="M1656" s="7">
        <v>4.0999999999999996</v>
      </c>
      <c r="N1656" s="7">
        <v>0.5</v>
      </c>
      <c r="O1656" s="7">
        <v>5.0599999999999996</v>
      </c>
      <c r="P1656" s="1" t="s">
        <v>15002</v>
      </c>
    </row>
    <row r="1657" spans="1:16" ht="33.4" x14ac:dyDescent="0.3">
      <c r="A1657" s="6" t="str">
        <f>HYPERLINK("https://www.ti.com/product/TPS62801", "TPS62801")</f>
        <v>TPS62801</v>
      </c>
      <c r="B1657" s="5" t="s">
        <v>15003</v>
      </c>
      <c r="C1657" s="6" t="str">
        <f>HYPERLINK("https://www.ti.com/lit/gpn/TPS62801", "PDF")</f>
        <v>PDF</v>
      </c>
      <c r="D1657" s="5" t="s">
        <v>15004</v>
      </c>
      <c r="E1657" s="5" t="s">
        <v>15005</v>
      </c>
      <c r="F1657" s="5" t="s">
        <v>15006</v>
      </c>
      <c r="G1657" s="5" t="s">
        <v>15007</v>
      </c>
      <c r="H1657" s="1" t="s">
        <v>15008</v>
      </c>
      <c r="I1657" s="5" t="s">
        <v>15009</v>
      </c>
      <c r="J1657" s="7">
        <v>6</v>
      </c>
      <c r="K1657" s="7">
        <v>0.73499999999999999</v>
      </c>
      <c r="L1657" s="5" t="s">
        <v>15010</v>
      </c>
      <c r="M1657" s="7">
        <v>0.4</v>
      </c>
      <c r="N1657" s="7">
        <v>0.35</v>
      </c>
      <c r="O1657" s="7">
        <v>0.56799999999999995</v>
      </c>
      <c r="P1657" s="1" t="s">
        <v>15011</v>
      </c>
    </row>
    <row r="1658" spans="1:16" ht="66.150000000000006" x14ac:dyDescent="0.3">
      <c r="A1658" s="6" t="str">
        <f>HYPERLINK("https://www.ti.com/product/TPS7B82-Q1", "TPS7B82-Q1")</f>
        <v>TPS7B82-Q1</v>
      </c>
      <c r="B1658" s="5" t="s">
        <v>15012</v>
      </c>
      <c r="C1658" s="6" t="str">
        <f>HYPERLINK("https://www.ti.com/lit/gpn/TPS7B82-Q1", "PDF")</f>
        <v>PDF</v>
      </c>
      <c r="D1658" s="5" t="s">
        <v>15013</v>
      </c>
      <c r="E1658" s="5" t="s">
        <v>15014</v>
      </c>
      <c r="F1658" s="5"/>
      <c r="G1658" s="5" t="s">
        <v>15015</v>
      </c>
      <c r="H1658" s="1" t="s">
        <v>15016</v>
      </c>
      <c r="I1658" s="5" t="s">
        <v>15017</v>
      </c>
      <c r="J1658" s="7" t="s">
        <v>15018</v>
      </c>
      <c r="K1658" s="7" t="s">
        <v>15019</v>
      </c>
      <c r="L1658" s="5" t="s">
        <v>15020</v>
      </c>
      <c r="M1658" s="7" t="s">
        <v>15021</v>
      </c>
      <c r="N1658" s="7" t="s">
        <v>15022</v>
      </c>
      <c r="O1658" s="7">
        <v>0.64200000000000002</v>
      </c>
      <c r="P1658" s="1" t="s">
        <v>15023</v>
      </c>
    </row>
    <row r="1659" spans="1:16" ht="33.4" x14ac:dyDescent="0.3">
      <c r="A1659" s="6" t="str">
        <f>HYPERLINK("https://www.ti.com/product/TPS7A52-Q1", "TPS7A52-Q1")</f>
        <v>TPS7A52-Q1</v>
      </c>
      <c r="B1659" s="5" t="s">
        <v>15024</v>
      </c>
      <c r="C1659" s="6" t="str">
        <f>HYPERLINK("https://www.ti.com/lit/gpn/TPS7A52-Q1", "PDF")</f>
        <v>PDF</v>
      </c>
      <c r="D1659" s="5" t="s">
        <v>15025</v>
      </c>
      <c r="E1659" s="5" t="s">
        <v>15026</v>
      </c>
      <c r="F1659" s="5"/>
      <c r="G1659" s="5" t="s">
        <v>15027</v>
      </c>
      <c r="H1659" s="1" t="s">
        <v>15028</v>
      </c>
      <c r="I1659" s="5" t="s">
        <v>15029</v>
      </c>
      <c r="J1659" s="7">
        <v>20</v>
      </c>
      <c r="K1659" s="7" t="s">
        <v>15030</v>
      </c>
      <c r="L1659" s="5" t="s">
        <v>15031</v>
      </c>
      <c r="M1659" s="7" t="s">
        <v>15032</v>
      </c>
      <c r="N1659" s="7">
        <v>0.5</v>
      </c>
      <c r="O1659" s="7">
        <v>2.214</v>
      </c>
      <c r="P1659" s="1" t="s">
        <v>15033</v>
      </c>
    </row>
    <row r="1660" spans="1:16" ht="33.4" x14ac:dyDescent="0.3">
      <c r="A1660" s="6" t="str">
        <f>HYPERLINK("https://www.ti.com/product/TPS7A53-Q1", "TPS7A53-Q1")</f>
        <v>TPS7A53-Q1</v>
      </c>
      <c r="B1660" s="5" t="s">
        <v>15034</v>
      </c>
      <c r="C1660" s="6" t="str">
        <f>HYPERLINK("https://www.ti.com/lit/gpn/TPS7A53-Q1", "PDF")</f>
        <v>PDF</v>
      </c>
      <c r="D1660" s="5" t="s">
        <v>15035</v>
      </c>
      <c r="E1660" s="5" t="s">
        <v>15036</v>
      </c>
      <c r="F1660" s="5"/>
      <c r="G1660" s="5" t="s">
        <v>15037</v>
      </c>
      <c r="H1660" s="1" t="s">
        <v>15038</v>
      </c>
      <c r="I1660" s="5" t="s">
        <v>15039</v>
      </c>
      <c r="J1660" s="7">
        <v>20</v>
      </c>
      <c r="K1660" s="7" t="s">
        <v>15040</v>
      </c>
      <c r="L1660" s="5" t="s">
        <v>15041</v>
      </c>
      <c r="M1660" s="7" t="s">
        <v>15042</v>
      </c>
      <c r="N1660" s="7">
        <v>0.5</v>
      </c>
      <c r="O1660" s="7">
        <v>2.1739999999999999</v>
      </c>
      <c r="P1660" s="1" t="s">
        <v>15043</v>
      </c>
    </row>
    <row r="1661" spans="1:16" ht="33.4" x14ac:dyDescent="0.3">
      <c r="A1661" s="6" t="str">
        <f>HYPERLINK("https://www.ti.com/product/TPS7A54-Q1", "TPS7A54-Q1")</f>
        <v>TPS7A54-Q1</v>
      </c>
      <c r="B1661" s="5" t="s">
        <v>15044</v>
      </c>
      <c r="C1661" s="6" t="str">
        <f>HYPERLINK("https://www.ti.com/lit/gpn/TPS7A54-Q1", "PDF")</f>
        <v>PDF</v>
      </c>
      <c r="D1661" s="5" t="s">
        <v>15045</v>
      </c>
      <c r="E1661" s="5" t="s">
        <v>15046</v>
      </c>
      <c r="F1661" s="5"/>
      <c r="G1661" s="5" t="s">
        <v>15047</v>
      </c>
      <c r="H1661" s="1" t="s">
        <v>15048</v>
      </c>
      <c r="I1661" s="5" t="s">
        <v>15049</v>
      </c>
      <c r="J1661" s="7">
        <v>20</v>
      </c>
      <c r="K1661" s="7">
        <v>12.25</v>
      </c>
      <c r="L1661" s="5" t="s">
        <v>15050</v>
      </c>
      <c r="M1661" s="7">
        <v>1</v>
      </c>
      <c r="N1661" s="7">
        <v>0.5</v>
      </c>
      <c r="O1661" s="7">
        <v>3.4209999999999998</v>
      </c>
      <c r="P1661" s="1" t="s">
        <v>15051</v>
      </c>
    </row>
    <row r="1662" spans="1:16" ht="33.4" x14ac:dyDescent="0.3">
      <c r="A1662" s="6" t="str">
        <f>HYPERLINK("https://www.ti.com/product/LMR33620", "LMR33620")</f>
        <v>LMR33620</v>
      </c>
      <c r="B1662" s="5" t="s">
        <v>15052</v>
      </c>
      <c r="C1662" s="6" t="str">
        <f>HYPERLINK("https://www.ti.com/lit/gpn/LMR33620", "PDF")</f>
        <v>PDF</v>
      </c>
      <c r="D1662" s="5" t="s">
        <v>15053</v>
      </c>
      <c r="E1662" s="5" t="s">
        <v>15054</v>
      </c>
      <c r="F1662" s="5" t="s">
        <v>15055</v>
      </c>
      <c r="G1662" s="5" t="s">
        <v>15056</v>
      </c>
      <c r="H1662" s="1" t="s">
        <v>15057</v>
      </c>
      <c r="I1662" s="5" t="s">
        <v>15058</v>
      </c>
      <c r="J1662" s="7" t="s">
        <v>15059</v>
      </c>
      <c r="K1662" s="7" t="s">
        <v>15060</v>
      </c>
      <c r="L1662" s="5" t="s">
        <v>15061</v>
      </c>
      <c r="M1662" s="7" t="s">
        <v>15062</v>
      </c>
      <c r="N1662" s="7" t="s">
        <v>15063</v>
      </c>
      <c r="O1662" s="7">
        <v>0.96699999999999997</v>
      </c>
      <c r="P1662" s="1" t="s">
        <v>15064</v>
      </c>
    </row>
    <row r="1663" spans="1:16" ht="33.4" x14ac:dyDescent="0.3">
      <c r="A1663" s="6" t="str">
        <f>HYPERLINK("https://www.ti.com/product/LMR33630", "LMR33630")</f>
        <v>LMR33630</v>
      </c>
      <c r="B1663" s="5" t="s">
        <v>15065</v>
      </c>
      <c r="C1663" s="6" t="str">
        <f>HYPERLINK("https://www.ti.com/lit/gpn/LMR33630", "PDF")</f>
        <v>PDF</v>
      </c>
      <c r="D1663" s="5" t="s">
        <v>15066</v>
      </c>
      <c r="E1663" s="5" t="s">
        <v>15067</v>
      </c>
      <c r="F1663" s="5" t="s">
        <v>15068</v>
      </c>
      <c r="G1663" s="5" t="s">
        <v>15069</v>
      </c>
      <c r="H1663" s="1" t="s">
        <v>15070</v>
      </c>
      <c r="I1663" s="5" t="s">
        <v>15071</v>
      </c>
      <c r="J1663" s="7" t="s">
        <v>15072</v>
      </c>
      <c r="K1663" s="7" t="s">
        <v>15073</v>
      </c>
      <c r="L1663" s="5" t="s">
        <v>15074</v>
      </c>
      <c r="M1663" s="7" t="s">
        <v>15075</v>
      </c>
      <c r="N1663" s="7" t="s">
        <v>15076</v>
      </c>
      <c r="O1663" s="7">
        <v>0.96399999999999997</v>
      </c>
      <c r="P1663" s="1" t="s">
        <v>15077</v>
      </c>
    </row>
    <row r="1664" spans="1:16" ht="33.4" x14ac:dyDescent="0.3">
      <c r="A1664" s="6" t="str">
        <f>HYPERLINK("https://www.ti.com/product/UCC21222-Q1", "UCC21222-Q1")</f>
        <v>UCC21222-Q1</v>
      </c>
      <c r="B1664" s="5" t="s">
        <v>15078</v>
      </c>
      <c r="C1664" s="6" t="str">
        <f>HYPERLINK("https://www.ti.com/lit/gpn/UCC21222-Q1", "PDF")</f>
        <v>PDF</v>
      </c>
      <c r="D1664" s="5" t="s">
        <v>15079</v>
      </c>
      <c r="E1664" s="5" t="s">
        <v>15080</v>
      </c>
      <c r="F1664" s="5"/>
      <c r="G1664" s="5" t="s">
        <v>15081</v>
      </c>
      <c r="H1664" s="1" t="s">
        <v>15082</v>
      </c>
      <c r="I1664" s="5" t="s">
        <v>15083</v>
      </c>
      <c r="J1664" s="7">
        <v>16</v>
      </c>
      <c r="K1664" s="7">
        <v>59.4</v>
      </c>
      <c r="L1664" s="5" t="s">
        <v>15084</v>
      </c>
      <c r="M1664" s="7">
        <v>1.75</v>
      </c>
      <c r="N1664" s="7">
        <v>1.27</v>
      </c>
      <c r="O1664" s="7">
        <v>1.357</v>
      </c>
      <c r="P1664" s="1" t="s">
        <v>15085</v>
      </c>
    </row>
    <row r="1665" spans="1:16" ht="33.4" x14ac:dyDescent="0.3">
      <c r="A1665" s="6" t="str">
        <f>HYPERLINK("https://www.ti.com/product/UCC28780", "UCC28780")</f>
        <v>UCC28780</v>
      </c>
      <c r="B1665" s="5" t="s">
        <v>15086</v>
      </c>
      <c r="C1665" s="6" t="str">
        <f>HYPERLINK("https://www.ti.com/lit/gpn/UCC28780", "PDF")</f>
        <v>PDF</v>
      </c>
      <c r="D1665" s="5" t="s">
        <v>15087</v>
      </c>
      <c r="E1665" s="5" t="s">
        <v>15088</v>
      </c>
      <c r="F1665" s="5" t="s">
        <v>15089</v>
      </c>
      <c r="G1665" s="5" t="s">
        <v>15090</v>
      </c>
      <c r="H1665" s="1" t="s">
        <v>15091</v>
      </c>
      <c r="I1665" s="5" t="s">
        <v>15092</v>
      </c>
      <c r="J1665" s="7">
        <v>16</v>
      </c>
      <c r="K1665" s="7" t="s">
        <v>15093</v>
      </c>
      <c r="L1665" s="5" t="s">
        <v>15094</v>
      </c>
      <c r="M1665" s="7" t="s">
        <v>15095</v>
      </c>
      <c r="N1665" s="7" t="s">
        <v>15096</v>
      </c>
      <c r="O1665" s="7">
        <v>0.70199999999999996</v>
      </c>
      <c r="P1665" s="1" t="s">
        <v>15097</v>
      </c>
    </row>
    <row r="1666" spans="1:16" ht="33.4" x14ac:dyDescent="0.3">
      <c r="A1666" s="6" t="str">
        <f>HYPERLINK("https://www.ti.com/product/TPS62821", "TPS62821")</f>
        <v>TPS62821</v>
      </c>
      <c r="B1666" s="5" t="s">
        <v>15098</v>
      </c>
      <c r="C1666" s="6" t="str">
        <f>HYPERLINK("https://www.ti.com/lit/gpn/TPS62821", "PDF")</f>
        <v>PDF</v>
      </c>
      <c r="D1666" s="5" t="s">
        <v>15099</v>
      </c>
      <c r="E1666" s="5" t="s">
        <v>15100</v>
      </c>
      <c r="F1666" s="5" t="s">
        <v>15101</v>
      </c>
      <c r="G1666" s="5" t="s">
        <v>15102</v>
      </c>
      <c r="H1666" s="1" t="s">
        <v>15103</v>
      </c>
      <c r="I1666" s="5" t="s">
        <v>15104</v>
      </c>
      <c r="J1666" s="7">
        <v>8</v>
      </c>
      <c r="K1666" s="7">
        <v>3</v>
      </c>
      <c r="L1666" s="5" t="s">
        <v>15105</v>
      </c>
      <c r="M1666" s="7">
        <v>1</v>
      </c>
      <c r="N1666" s="7">
        <v>0.5</v>
      </c>
      <c r="O1666" s="7">
        <v>0.45</v>
      </c>
      <c r="P1666" s="1" t="s">
        <v>15106</v>
      </c>
    </row>
    <row r="1667" spans="1:16" ht="33.4" x14ac:dyDescent="0.3">
      <c r="A1667" s="6" t="str">
        <f>HYPERLINK("https://www.ti.com/product/TPSM84424", "TPSM84424")</f>
        <v>TPSM84424</v>
      </c>
      <c r="B1667" s="5" t="s">
        <v>15107</v>
      </c>
      <c r="C1667" s="6" t="str">
        <f>HYPERLINK("https://www.ti.com/lit/gpn/TPSM84424", "PDF")</f>
        <v>PDF</v>
      </c>
      <c r="D1667" s="5" t="s">
        <v>15108</v>
      </c>
      <c r="E1667" s="5" t="s">
        <v>15109</v>
      </c>
      <c r="F1667" s="5" t="s">
        <v>15110</v>
      </c>
      <c r="G1667" s="5" t="s">
        <v>15111</v>
      </c>
      <c r="H1667" s="1" t="s">
        <v>15112</v>
      </c>
      <c r="I1667" s="5" t="s">
        <v>15113</v>
      </c>
      <c r="J1667" s="7">
        <v>24</v>
      </c>
      <c r="K1667" s="7">
        <v>56.25</v>
      </c>
      <c r="L1667" s="5" t="s">
        <v>15114</v>
      </c>
      <c r="M1667" s="7">
        <v>5.4</v>
      </c>
      <c r="N1667" s="7">
        <v>0.65</v>
      </c>
      <c r="O1667" s="7">
        <v>4.37</v>
      </c>
      <c r="P1667" s="1" t="s">
        <v>15115</v>
      </c>
    </row>
    <row r="1668" spans="1:16" ht="98.85" x14ac:dyDescent="0.3">
      <c r="A1668" s="6" t="str">
        <f>HYPERLINK("https://www.ti.com/product/UCC24612", "UCC24612")</f>
        <v>UCC24612</v>
      </c>
      <c r="B1668" s="5" t="s">
        <v>15116</v>
      </c>
      <c r="C1668" s="6" t="str">
        <f>HYPERLINK("https://www.ti.com/lit/gpn/UCC24612", "PDF")</f>
        <v>PDF</v>
      </c>
      <c r="D1668" s="5" t="s">
        <v>15117</v>
      </c>
      <c r="E1668" s="5" t="s">
        <v>15118</v>
      </c>
      <c r="F1668" s="5" t="s">
        <v>15119</v>
      </c>
      <c r="G1668" s="5" t="s">
        <v>15120</v>
      </c>
      <c r="H1668" s="1" t="s">
        <v>15121</v>
      </c>
      <c r="I1668" s="5" t="s">
        <v>15122</v>
      </c>
      <c r="J1668" s="7">
        <v>5</v>
      </c>
      <c r="K1668" s="7">
        <v>8.1199999999999992</v>
      </c>
      <c r="L1668" s="5" t="s">
        <v>15123</v>
      </c>
      <c r="M1668" s="7">
        <v>1.45</v>
      </c>
      <c r="N1668" s="7">
        <v>0.95</v>
      </c>
      <c r="O1668" s="7">
        <v>0.28599999999999998</v>
      </c>
      <c r="P1668" s="1" t="s">
        <v>15124</v>
      </c>
    </row>
    <row r="1669" spans="1:16" ht="33.4" x14ac:dyDescent="0.3">
      <c r="A1669" s="6" t="str">
        <f>HYPERLINK("https://www.ti.com/product/TPSM84824", "TPSM84824")</f>
        <v>TPSM84824</v>
      </c>
      <c r="B1669" s="5" t="s">
        <v>15125</v>
      </c>
      <c r="C1669" s="6" t="str">
        <f>HYPERLINK("https://www.ti.com/lit/gpn/TPSM84824", "PDF")</f>
        <v>PDF</v>
      </c>
      <c r="D1669" s="5" t="s">
        <v>15126</v>
      </c>
      <c r="E1669" s="5" t="s">
        <v>15127</v>
      </c>
      <c r="F1669" s="5" t="s">
        <v>15128</v>
      </c>
      <c r="G1669" s="5" t="s">
        <v>15129</v>
      </c>
      <c r="H1669" s="1" t="s">
        <v>15130</v>
      </c>
      <c r="I1669" s="5" t="s">
        <v>15131</v>
      </c>
      <c r="J1669" s="7">
        <v>24</v>
      </c>
      <c r="K1669" s="7">
        <v>56.25</v>
      </c>
      <c r="L1669" s="5" t="s">
        <v>15132</v>
      </c>
      <c r="M1669" s="7">
        <v>5.4</v>
      </c>
      <c r="N1669" s="7">
        <v>0.65</v>
      </c>
      <c r="O1669" s="7">
        <v>4.5</v>
      </c>
      <c r="P1669" s="1" t="s">
        <v>15133</v>
      </c>
    </row>
    <row r="1670" spans="1:16" ht="33.4" x14ac:dyDescent="0.3">
      <c r="A1670" s="6" t="str">
        <f>HYPERLINK("https://www.ti.com/product/TPS22917", "TPS22917")</f>
        <v>TPS22917</v>
      </c>
      <c r="B1670" s="5" t="s">
        <v>15134</v>
      </c>
      <c r="C1670" s="6" t="str">
        <f>HYPERLINK("https://www.ti.com/lit/gpn/TPS22917", "PDF")</f>
        <v>PDF</v>
      </c>
      <c r="D1670" s="5" t="s">
        <v>15135</v>
      </c>
      <c r="E1670" s="5" t="s">
        <v>15136</v>
      </c>
      <c r="F1670" s="5"/>
      <c r="G1670" s="5" t="s">
        <v>15137</v>
      </c>
      <c r="H1670" s="1" t="s">
        <v>15138</v>
      </c>
      <c r="I1670" s="5" t="s">
        <v>15139</v>
      </c>
      <c r="J1670" s="7">
        <v>6</v>
      </c>
      <c r="K1670" s="7">
        <v>8.1199999999999992</v>
      </c>
      <c r="L1670" s="5" t="s">
        <v>15140</v>
      </c>
      <c r="M1670" s="7">
        <v>1.45</v>
      </c>
      <c r="N1670" s="7">
        <v>0.95</v>
      </c>
      <c r="O1670" s="7">
        <v>0.13900000000000001</v>
      </c>
      <c r="P1670" s="1" t="s">
        <v>15141</v>
      </c>
    </row>
    <row r="1671" spans="1:16" ht="33.4" x14ac:dyDescent="0.3">
      <c r="A1671" s="6" t="str">
        <f>HYPERLINK("https://www.ti.com/product/TPS65268-Q1", "TPS65268-Q1")</f>
        <v>TPS65268-Q1</v>
      </c>
      <c r="B1671" s="5" t="s">
        <v>15142</v>
      </c>
      <c r="C1671" s="6" t="str">
        <f>HYPERLINK("https://www.ti.com/lit/gpn/TPS65268-Q1", "PDF")</f>
        <v>PDF</v>
      </c>
      <c r="D1671" s="5" t="s">
        <v>15143</v>
      </c>
      <c r="E1671" s="5" t="s">
        <v>15144</v>
      </c>
      <c r="F1671" s="5" t="s">
        <v>15145</v>
      </c>
      <c r="G1671" s="5" t="s">
        <v>15146</v>
      </c>
      <c r="H1671" s="1" t="s">
        <v>15147</v>
      </c>
      <c r="I1671" s="5" t="s">
        <v>15148</v>
      </c>
      <c r="J1671" s="7">
        <v>32</v>
      </c>
      <c r="K1671" s="7">
        <v>25</v>
      </c>
      <c r="L1671" s="5" t="s">
        <v>15149</v>
      </c>
      <c r="M1671" s="7">
        <v>1</v>
      </c>
      <c r="N1671" s="7">
        <v>0.5</v>
      </c>
      <c r="O1671" s="7">
        <v>1.9810000000000001</v>
      </c>
      <c r="P1671" s="1" t="s">
        <v>15150</v>
      </c>
    </row>
    <row r="1672" spans="1:16" ht="17.05" x14ac:dyDescent="0.3">
      <c r="A1672" s="6" t="str">
        <f>HYPERLINK("https://www.ti.com/product/TPSM846C24", "TPSM846C24")</f>
        <v>TPSM846C24</v>
      </c>
      <c r="B1672" s="5" t="s">
        <v>15151</v>
      </c>
      <c r="C1672" s="6" t="str">
        <f>HYPERLINK("https://www.ti.com/lit/gpn/TPSM846C24", "PDF")</f>
        <v>PDF</v>
      </c>
      <c r="D1672" s="5" t="s">
        <v>15152</v>
      </c>
      <c r="E1672" s="5" t="s">
        <v>15153</v>
      </c>
      <c r="F1672" s="5" t="s">
        <v>15154</v>
      </c>
      <c r="G1672" s="5" t="s">
        <v>15155</v>
      </c>
      <c r="H1672" s="1" t="s">
        <v>15156</v>
      </c>
      <c r="I1672" s="5" t="s">
        <v>15157</v>
      </c>
      <c r="J1672" s="7">
        <v>59</v>
      </c>
      <c r="K1672" s="7">
        <v>240</v>
      </c>
      <c r="L1672" s="5" t="s">
        <v>15158</v>
      </c>
      <c r="M1672" s="7">
        <v>6.4</v>
      </c>
      <c r="N1672" s="7">
        <v>0.8</v>
      </c>
      <c r="O1672" s="7">
        <v>17.149999999999999</v>
      </c>
      <c r="P1672" s="1" t="s">
        <v>15159</v>
      </c>
    </row>
    <row r="1673" spans="1:16" ht="17.05" x14ac:dyDescent="0.3">
      <c r="A1673" s="6" t="str">
        <f>HYPERLINK("https://www.ti.com/product/TPSM846C23", "TPSM846C23")</f>
        <v>TPSM846C23</v>
      </c>
      <c r="B1673" s="5" t="s">
        <v>15160</v>
      </c>
      <c r="C1673" s="6" t="str">
        <f>HYPERLINK("https://www.ti.com/lit/gpn/TPSM846C23", "PDF")</f>
        <v>PDF</v>
      </c>
      <c r="D1673" s="5" t="s">
        <v>15161</v>
      </c>
      <c r="E1673" s="5" t="s">
        <v>15162</v>
      </c>
      <c r="F1673" s="5" t="s">
        <v>15163</v>
      </c>
      <c r="G1673" s="5" t="s">
        <v>15164</v>
      </c>
      <c r="H1673" s="1" t="s">
        <v>15165</v>
      </c>
      <c r="I1673" s="5" t="s">
        <v>15166</v>
      </c>
      <c r="J1673" s="7">
        <v>59</v>
      </c>
      <c r="K1673" s="7">
        <v>240</v>
      </c>
      <c r="L1673" s="5" t="s">
        <v>15167</v>
      </c>
      <c r="M1673" s="7">
        <v>6.4</v>
      </c>
      <c r="N1673" s="7">
        <v>0.8</v>
      </c>
      <c r="O1673" s="7">
        <v>15.87</v>
      </c>
      <c r="P1673" s="1" t="s">
        <v>15168</v>
      </c>
    </row>
    <row r="1674" spans="1:16" ht="33.4" x14ac:dyDescent="0.3">
      <c r="A1674" s="6" t="str">
        <f>HYPERLINK("https://www.ti.com/product/TPS254900A-Q1", "TPS254900A-Q1")</f>
        <v>TPS254900A-Q1</v>
      </c>
      <c r="B1674" s="5" t="s">
        <v>15169</v>
      </c>
      <c r="C1674" s="6" t="str">
        <f>HYPERLINK("https://www.ti.com/lit/gpn/TPS254900A-Q1", "PDF")</f>
        <v>PDF</v>
      </c>
      <c r="D1674" s="5" t="s">
        <v>15170</v>
      </c>
      <c r="E1674" s="5" t="s">
        <v>15171</v>
      </c>
      <c r="F1674" s="5"/>
      <c r="G1674" s="5" t="s">
        <v>15172</v>
      </c>
      <c r="H1674" s="1" t="s">
        <v>15173</v>
      </c>
      <c r="I1674" s="5" t="s">
        <v>15174</v>
      </c>
      <c r="J1674" s="7">
        <v>20</v>
      </c>
      <c r="K1674" s="7">
        <v>12</v>
      </c>
      <c r="L1674" s="5" t="s">
        <v>15175</v>
      </c>
      <c r="M1674" s="7">
        <v>0.8</v>
      </c>
      <c r="N1674" s="7">
        <v>0.5</v>
      </c>
      <c r="O1674" s="7">
        <v>0.99099999999999999</v>
      </c>
      <c r="P1674" s="1" t="s">
        <v>15176</v>
      </c>
    </row>
    <row r="1675" spans="1:16" ht="49.75" x14ac:dyDescent="0.3">
      <c r="A1675" s="6" t="str">
        <f>HYPERLINK("https://www.ti.com/product/TPS61322", "TPS61322")</f>
        <v>TPS61322</v>
      </c>
      <c r="B1675" s="5" t="s">
        <v>15177</v>
      </c>
      <c r="C1675" s="6" t="str">
        <f>HYPERLINK("https://www.ti.com/lit/gpn/TPS61322", "PDF")</f>
        <v>PDF</v>
      </c>
      <c r="D1675" s="5" t="s">
        <v>15178</v>
      </c>
      <c r="E1675" s="5" t="s">
        <v>15179</v>
      </c>
      <c r="F1675" s="5" t="s">
        <v>15180</v>
      </c>
      <c r="G1675" s="5" t="s">
        <v>15181</v>
      </c>
      <c r="H1675" s="1" t="s">
        <v>15182</v>
      </c>
      <c r="I1675" s="5" t="s">
        <v>15183</v>
      </c>
      <c r="J1675" s="7" t="s">
        <v>15184</v>
      </c>
      <c r="K1675" s="7" t="s">
        <v>15185</v>
      </c>
      <c r="L1675" s="5" t="s">
        <v>15186</v>
      </c>
      <c r="M1675" s="7" t="s">
        <v>15187</v>
      </c>
      <c r="N1675" s="7" t="s">
        <v>15188</v>
      </c>
      <c r="O1675" s="7">
        <v>0.15</v>
      </c>
      <c r="P1675" s="1" t="s">
        <v>15189</v>
      </c>
    </row>
    <row r="1676" spans="1:16" ht="33.4" x14ac:dyDescent="0.3">
      <c r="A1676" s="6" t="str">
        <f>HYPERLINK("https://www.ti.com/product/UCC28056", "UCC28056")</f>
        <v>UCC28056</v>
      </c>
      <c r="B1676" s="5" t="s">
        <v>15190</v>
      </c>
      <c r="C1676" s="6" t="str">
        <f>HYPERLINK("https://www.ti.com/lit/gpn/UCC28056", "PDF")</f>
        <v>PDF</v>
      </c>
      <c r="D1676" s="5" t="s">
        <v>15191</v>
      </c>
      <c r="E1676" s="5" t="s">
        <v>15192</v>
      </c>
      <c r="F1676" s="5" t="s">
        <v>15193</v>
      </c>
      <c r="G1676" s="5" t="s">
        <v>15194</v>
      </c>
      <c r="H1676" s="1" t="s">
        <v>15195</v>
      </c>
      <c r="I1676" s="5" t="s">
        <v>15196</v>
      </c>
      <c r="J1676" s="7">
        <v>6</v>
      </c>
      <c r="K1676" s="7">
        <v>8.1199999999999992</v>
      </c>
      <c r="L1676" s="5" t="s">
        <v>15197</v>
      </c>
      <c r="M1676" s="7">
        <v>1.45</v>
      </c>
      <c r="N1676" s="7">
        <v>0.95</v>
      </c>
      <c r="O1676" s="7">
        <v>0.13800000000000001</v>
      </c>
      <c r="P1676" s="1" t="s">
        <v>15198</v>
      </c>
    </row>
    <row r="1677" spans="1:16" ht="33.4" x14ac:dyDescent="0.3">
      <c r="A1677" s="6" t="str">
        <f>HYPERLINK("https://www.ti.com/product/TPS65320D-Q1", "TPS65320D-Q1")</f>
        <v>TPS65320D-Q1</v>
      </c>
      <c r="B1677" s="5" t="s">
        <v>15199</v>
      </c>
      <c r="C1677" s="6" t="str">
        <f>HYPERLINK("https://www.ti.com/lit/gpn/TPS65320D-Q1", "PDF")</f>
        <v>PDF</v>
      </c>
      <c r="D1677" s="5" t="s">
        <v>15200</v>
      </c>
      <c r="E1677" s="5" t="s">
        <v>15201</v>
      </c>
      <c r="F1677" s="5"/>
      <c r="G1677" s="5" t="s">
        <v>15202</v>
      </c>
      <c r="H1677" s="1" t="s">
        <v>15203</v>
      </c>
      <c r="I1677" s="5" t="s">
        <v>15204</v>
      </c>
      <c r="J1677" s="7">
        <v>14</v>
      </c>
      <c r="K1677" s="7">
        <v>32</v>
      </c>
      <c r="L1677" s="5" t="s">
        <v>15205</v>
      </c>
      <c r="M1677" s="7">
        <v>1.2</v>
      </c>
      <c r="N1677" s="7">
        <v>0.65</v>
      </c>
      <c r="O1677" s="7">
        <v>0.86299999999999999</v>
      </c>
      <c r="P1677" s="1" t="s">
        <v>15206</v>
      </c>
    </row>
    <row r="1678" spans="1:16" ht="33.4" x14ac:dyDescent="0.3">
      <c r="A1678" s="6" t="str">
        <f>HYPERLINK("https://www.ti.com/product/TPS61280D", "TPS61280D")</f>
        <v>TPS61280D</v>
      </c>
      <c r="B1678" s="5" t="s">
        <v>15207</v>
      </c>
      <c r="C1678" s="6" t="str">
        <f>HYPERLINK("https://www.ti.com/lit/gpn/TPS61280D", "PDF")</f>
        <v>PDF</v>
      </c>
      <c r="D1678" s="5" t="s">
        <v>15208</v>
      </c>
      <c r="E1678" s="5" t="s">
        <v>15209</v>
      </c>
      <c r="F1678" s="5" t="s">
        <v>15210</v>
      </c>
      <c r="G1678" s="5" t="s">
        <v>15211</v>
      </c>
      <c r="H1678" s="1" t="s">
        <v>15212</v>
      </c>
      <c r="I1678" s="5" t="s">
        <v>15213</v>
      </c>
      <c r="J1678" s="7">
        <v>16</v>
      </c>
      <c r="K1678" s="7">
        <v>3.24</v>
      </c>
      <c r="L1678" s="5" t="s">
        <v>15214</v>
      </c>
      <c r="M1678" s="7">
        <v>0.625</v>
      </c>
      <c r="N1678" s="7">
        <v>0.4</v>
      </c>
      <c r="O1678" s="7">
        <v>0.53100000000000003</v>
      </c>
      <c r="P1678" s="1" t="s">
        <v>15215</v>
      </c>
    </row>
    <row r="1679" spans="1:16" ht="33.4" x14ac:dyDescent="0.3">
      <c r="A1679" s="6" t="str">
        <f>HYPERLINK("https://www.ti.com/product/TPS62097-Q1", "TPS62097-Q1")</f>
        <v>TPS62097-Q1</v>
      </c>
      <c r="B1679" s="5" t="s">
        <v>15216</v>
      </c>
      <c r="C1679" s="6" t="str">
        <f>HYPERLINK("https://www.ti.com/lit/gpn/TPS62097-Q1", "PDF")</f>
        <v>PDF</v>
      </c>
      <c r="D1679" s="5" t="s">
        <v>15217</v>
      </c>
      <c r="E1679" s="5" t="s">
        <v>15218</v>
      </c>
      <c r="F1679" s="5" t="s">
        <v>15219</v>
      </c>
      <c r="G1679" s="5" t="s">
        <v>15220</v>
      </c>
      <c r="H1679" s="1" t="s">
        <v>15221</v>
      </c>
      <c r="I1679" s="5" t="s">
        <v>15222</v>
      </c>
      <c r="J1679" s="7">
        <v>16</v>
      </c>
      <c r="K1679" s="7">
        <v>9</v>
      </c>
      <c r="L1679" s="5" t="s">
        <v>15223</v>
      </c>
      <c r="M1679" s="7">
        <v>1</v>
      </c>
      <c r="N1679" s="7">
        <v>0.5</v>
      </c>
      <c r="O1679" s="7">
        <v>0.84099999999999997</v>
      </c>
      <c r="P1679" s="1" t="s">
        <v>15224</v>
      </c>
    </row>
    <row r="1680" spans="1:16" ht="33.4" x14ac:dyDescent="0.3">
      <c r="A1680" s="6" t="str">
        <f>HYPERLINK("https://www.ti.com/product/UCC28634", "UCC28634")</f>
        <v>UCC28634</v>
      </c>
      <c r="B1680" s="5" t="s">
        <v>15225</v>
      </c>
      <c r="C1680" s="6" t="str">
        <f>HYPERLINK("https://www.ti.com/lit/gpn/UCC28634", "PDF")</f>
        <v>PDF</v>
      </c>
      <c r="D1680" s="5" t="s">
        <v>15226</v>
      </c>
      <c r="E1680" s="5" t="s">
        <v>15227</v>
      </c>
      <c r="F1680" s="5" t="s">
        <v>15228</v>
      </c>
      <c r="G1680" s="5" t="s">
        <v>15229</v>
      </c>
      <c r="H1680" s="1" t="s">
        <v>15230</v>
      </c>
      <c r="I1680" s="5" t="s">
        <v>15231</v>
      </c>
      <c r="J1680" s="7">
        <v>7</v>
      </c>
      <c r="K1680" s="7">
        <v>29.4</v>
      </c>
      <c r="L1680" s="5" t="s">
        <v>15232</v>
      </c>
      <c r="M1680" s="7">
        <v>1.75</v>
      </c>
      <c r="N1680" s="7">
        <v>1.27</v>
      </c>
      <c r="O1680" s="7">
        <v>0.94899999999999995</v>
      </c>
      <c r="P1680" s="1" t="s">
        <v>15233</v>
      </c>
    </row>
    <row r="1681" spans="1:16" ht="33.4" x14ac:dyDescent="0.3">
      <c r="A1681" s="6" t="str">
        <f>HYPERLINK("https://www.ti.com/product/TPS23523", "TPS23523")</f>
        <v>TPS23523</v>
      </c>
      <c r="B1681" s="5" t="s">
        <v>15234</v>
      </c>
      <c r="C1681" s="6" t="str">
        <f>HYPERLINK("https://www.ti.com/lit/gpn/TPS23523", "PDF")</f>
        <v>PDF</v>
      </c>
      <c r="D1681" s="5" t="s">
        <v>15235</v>
      </c>
      <c r="E1681" s="5" t="s">
        <v>15236</v>
      </c>
      <c r="F1681" s="5"/>
      <c r="G1681" s="5" t="s">
        <v>15237</v>
      </c>
      <c r="H1681" s="1" t="s">
        <v>15238</v>
      </c>
      <c r="I1681" s="5" t="s">
        <v>15239</v>
      </c>
      <c r="J1681" s="7">
        <v>16</v>
      </c>
      <c r="K1681" s="7">
        <v>32</v>
      </c>
      <c r="L1681" s="5" t="s">
        <v>15240</v>
      </c>
      <c r="M1681" s="7">
        <v>1.2</v>
      </c>
      <c r="N1681" s="7">
        <v>0.65</v>
      </c>
      <c r="O1681" s="7">
        <v>2.677</v>
      </c>
      <c r="P1681" s="1" t="s">
        <v>15241</v>
      </c>
    </row>
    <row r="1682" spans="1:16" ht="33.4" x14ac:dyDescent="0.3">
      <c r="A1682" s="6" t="str">
        <f>HYPERLINK("https://www.ti.com/product/TPS65680", "TPS65680")</f>
        <v>TPS65680</v>
      </c>
      <c r="B1682" s="5" t="s">
        <v>15242</v>
      </c>
      <c r="C1682" s="6" t="str">
        <f>HYPERLINK("https://www.ti.com/lit/gpn/TPS65680", "PDF")</f>
        <v>PDF</v>
      </c>
      <c r="D1682" s="5" t="s">
        <v>15243</v>
      </c>
      <c r="E1682" s="5" t="s">
        <v>15244</v>
      </c>
      <c r="F1682" s="5"/>
      <c r="G1682" s="5" t="s">
        <v>15245</v>
      </c>
      <c r="H1682" s="1" t="s">
        <v>15246</v>
      </c>
      <c r="I1682" s="5" t="s">
        <v>15247</v>
      </c>
      <c r="J1682" s="7">
        <v>32</v>
      </c>
      <c r="K1682" s="7">
        <v>16</v>
      </c>
      <c r="L1682" s="5" t="s">
        <v>15248</v>
      </c>
      <c r="M1682" s="7">
        <v>0.8</v>
      </c>
      <c r="N1682" s="7">
        <v>0.4</v>
      </c>
      <c r="O1682" s="7">
        <v>1.72</v>
      </c>
      <c r="P1682" s="1" t="s">
        <v>15249</v>
      </c>
    </row>
    <row r="1683" spans="1:16" ht="33.4" x14ac:dyDescent="0.3">
      <c r="A1683" s="6" t="str">
        <f>HYPERLINK("https://www.ti.com/product/TPS23521", "TPS23521")</f>
        <v>TPS23521</v>
      </c>
      <c r="B1683" s="5" t="s">
        <v>15250</v>
      </c>
      <c r="C1683" s="6" t="str">
        <f>HYPERLINK("https://www.ti.com/lit/gpn/TPS23521", "PDF")</f>
        <v>PDF</v>
      </c>
      <c r="D1683" s="5" t="s">
        <v>15251</v>
      </c>
      <c r="E1683" s="5" t="s">
        <v>15252</v>
      </c>
      <c r="F1683" s="5"/>
      <c r="G1683" s="5" t="s">
        <v>15253</v>
      </c>
      <c r="H1683" s="1" t="s">
        <v>15254</v>
      </c>
      <c r="I1683" s="5" t="s">
        <v>15255</v>
      </c>
      <c r="J1683" s="7">
        <v>16</v>
      </c>
      <c r="K1683" s="7">
        <v>32</v>
      </c>
      <c r="L1683" s="5" t="s">
        <v>15256</v>
      </c>
      <c r="M1683" s="7">
        <v>1.2</v>
      </c>
      <c r="N1683" s="7">
        <v>0.65</v>
      </c>
      <c r="O1683" s="7">
        <v>1.746</v>
      </c>
      <c r="P1683" s="1" t="s">
        <v>15257</v>
      </c>
    </row>
    <row r="1684" spans="1:16" ht="33.4" x14ac:dyDescent="0.3">
      <c r="A1684" s="6" t="str">
        <f>HYPERLINK("https://www.ti.com/product/LP873220-Q1", "LP873220-Q1")</f>
        <v>LP873220-Q1</v>
      </c>
      <c r="B1684" s="5" t="s">
        <v>15258</v>
      </c>
      <c r="C1684" s="6" t="str">
        <f>HYPERLINK("https://www.ti.com/lit/gpn/LP873220-Q1", "PDF")</f>
        <v>PDF</v>
      </c>
      <c r="D1684" s="5" t="s">
        <v>15259</v>
      </c>
      <c r="E1684" s="5" t="s">
        <v>15260</v>
      </c>
      <c r="F1684" s="5"/>
      <c r="G1684" s="5" t="s">
        <v>15261</v>
      </c>
      <c r="H1684" s="1" t="s">
        <v>15262</v>
      </c>
      <c r="I1684" s="5" t="s">
        <v>15263</v>
      </c>
      <c r="J1684" s="7">
        <v>28</v>
      </c>
      <c r="K1684" s="7">
        <v>25</v>
      </c>
      <c r="L1684" s="5" t="s">
        <v>15264</v>
      </c>
      <c r="M1684" s="7">
        <v>1</v>
      </c>
      <c r="N1684" s="7">
        <v>0.5</v>
      </c>
      <c r="O1684" s="7">
        <v>1.333</v>
      </c>
      <c r="P1684" s="1" t="s">
        <v>15265</v>
      </c>
    </row>
    <row r="1685" spans="1:16" ht="33.4" x14ac:dyDescent="0.3">
      <c r="A1685" s="6" t="str">
        <f>HYPERLINK("https://www.ti.com/product/LP873220", "LP873220")</f>
        <v>LP873220</v>
      </c>
      <c r="B1685" s="5" t="s">
        <v>15266</v>
      </c>
      <c r="C1685" s="6" t="str">
        <f>HYPERLINK("https://www.ti.com/lit/gpn/LP873220", "PDF")</f>
        <v>PDF</v>
      </c>
      <c r="D1685" s="5" t="s">
        <v>15267</v>
      </c>
      <c r="E1685" s="5" t="s">
        <v>15268</v>
      </c>
      <c r="F1685" s="5"/>
      <c r="G1685" s="5" t="s">
        <v>15269</v>
      </c>
      <c r="H1685" s="1" t="s">
        <v>15270</v>
      </c>
      <c r="I1685" s="5" t="s">
        <v>15271</v>
      </c>
      <c r="J1685" s="7">
        <v>28</v>
      </c>
      <c r="K1685" s="7">
        <v>25</v>
      </c>
      <c r="L1685" s="5" t="s">
        <v>15272</v>
      </c>
      <c r="M1685" s="7">
        <v>1</v>
      </c>
      <c r="N1685" s="7">
        <v>0.5</v>
      </c>
      <c r="O1685" s="7">
        <v>1.1299999999999999</v>
      </c>
      <c r="P1685" s="1" t="s">
        <v>15273</v>
      </c>
    </row>
    <row r="1686" spans="1:16" ht="33.4" x14ac:dyDescent="0.3">
      <c r="A1686" s="6" t="str">
        <f>HYPERLINK("https://www.ti.com/product/LP87332D", "LP87332D")</f>
        <v>LP87332D</v>
      </c>
      <c r="B1686" s="5" t="s">
        <v>15274</v>
      </c>
      <c r="C1686" s="6" t="str">
        <f>HYPERLINK("https://www.ti.com/lit/gpn/LP87332D", "PDF")</f>
        <v>PDF</v>
      </c>
      <c r="D1686" s="5" t="s">
        <v>15275</v>
      </c>
      <c r="E1686" s="5" t="s">
        <v>15276</v>
      </c>
      <c r="F1686" s="5"/>
      <c r="G1686" s="5" t="s">
        <v>15277</v>
      </c>
      <c r="H1686" s="1" t="s">
        <v>15278</v>
      </c>
      <c r="I1686" s="5" t="s">
        <v>15279</v>
      </c>
      <c r="J1686" s="7">
        <v>28</v>
      </c>
      <c r="K1686" s="7">
        <v>25</v>
      </c>
      <c r="L1686" s="5" t="s">
        <v>15280</v>
      </c>
      <c r="M1686" s="7">
        <v>1</v>
      </c>
      <c r="N1686" s="7">
        <v>0.5</v>
      </c>
      <c r="O1686" s="7">
        <v>1.123</v>
      </c>
      <c r="P1686" s="1" t="s">
        <v>15281</v>
      </c>
    </row>
    <row r="1687" spans="1:16" ht="33.4" x14ac:dyDescent="0.3">
      <c r="A1687" s="6" t="str">
        <f>HYPERLINK("https://www.ti.com/product/LP87332D-Q1", "LP87332D-Q1")</f>
        <v>LP87332D-Q1</v>
      </c>
      <c r="B1687" s="5" t="s">
        <v>15282</v>
      </c>
      <c r="C1687" s="6" t="str">
        <f>HYPERLINK("https://www.ti.com/lit/gpn/LP87332D-Q1", "PDF")</f>
        <v>PDF</v>
      </c>
      <c r="D1687" s="5" t="s">
        <v>15283</v>
      </c>
      <c r="E1687" s="5" t="s">
        <v>15284</v>
      </c>
      <c r="F1687" s="5"/>
      <c r="G1687" s="5" t="s">
        <v>15285</v>
      </c>
      <c r="H1687" s="1" t="s">
        <v>15286</v>
      </c>
      <c r="I1687" s="5" t="s">
        <v>15287</v>
      </c>
      <c r="J1687" s="7">
        <v>28</v>
      </c>
      <c r="K1687" s="7">
        <v>25</v>
      </c>
      <c r="L1687" s="5" t="s">
        <v>15288</v>
      </c>
      <c r="M1687" s="7">
        <v>1</v>
      </c>
      <c r="N1687" s="7">
        <v>0.5</v>
      </c>
      <c r="O1687" s="7">
        <v>1.4490000000000001</v>
      </c>
      <c r="P1687" s="1" t="s">
        <v>15289</v>
      </c>
    </row>
    <row r="1688" spans="1:16" ht="17.05" x14ac:dyDescent="0.3">
      <c r="A1688" s="6" t="str">
        <f>HYPERLINK("https://www.ti.com/product/REF3430", "REF3430")</f>
        <v>REF3430</v>
      </c>
      <c r="B1688" s="5" t="s">
        <v>15290</v>
      </c>
      <c r="C1688" s="6" t="str">
        <f>HYPERLINK("https://www.ti.com/lit/gpn/REF3430", "PDF")</f>
        <v>PDF</v>
      </c>
      <c r="D1688" s="5" t="s">
        <v>15291</v>
      </c>
      <c r="E1688" s="5" t="s">
        <v>15292</v>
      </c>
      <c r="F1688" s="5"/>
      <c r="G1688" s="5" t="s">
        <v>15293</v>
      </c>
      <c r="H1688" s="1" t="s">
        <v>15294</v>
      </c>
      <c r="I1688" s="5" t="s">
        <v>15295</v>
      </c>
      <c r="J1688" s="7">
        <v>6</v>
      </c>
      <c r="K1688" s="7">
        <v>8.1199999999999992</v>
      </c>
      <c r="L1688" s="5" t="s">
        <v>15296</v>
      </c>
      <c r="M1688" s="7">
        <v>1.45</v>
      </c>
      <c r="N1688" s="7">
        <v>0.95</v>
      </c>
      <c r="O1688" s="7">
        <v>0.97899999999999998</v>
      </c>
      <c r="P1688" s="1" t="s">
        <v>15297</v>
      </c>
    </row>
    <row r="1689" spans="1:16" ht="33.4" x14ac:dyDescent="0.3">
      <c r="A1689" s="6" t="str">
        <f>HYPERLINK("https://www.ti.com/product/LM73605-Q1", "LM73605-Q1")</f>
        <v>LM73605-Q1</v>
      </c>
      <c r="B1689" s="5" t="s">
        <v>15298</v>
      </c>
      <c r="C1689" s="6" t="str">
        <f>HYPERLINK("https://www.ti.com/lit/gpn/LM73605-Q1", "PDF")</f>
        <v>PDF</v>
      </c>
      <c r="D1689" s="5" t="s">
        <v>15299</v>
      </c>
      <c r="E1689" s="5" t="s">
        <v>15300</v>
      </c>
      <c r="F1689" s="5" t="s">
        <v>15301</v>
      </c>
      <c r="G1689" s="5" t="s">
        <v>15302</v>
      </c>
      <c r="H1689" s="1" t="s">
        <v>15303</v>
      </c>
      <c r="I1689" s="5" t="s">
        <v>15304</v>
      </c>
      <c r="J1689" s="7">
        <v>30</v>
      </c>
      <c r="K1689" s="7">
        <v>24</v>
      </c>
      <c r="L1689" s="5" t="s">
        <v>15305</v>
      </c>
      <c r="M1689" s="7">
        <v>0.8</v>
      </c>
      <c r="N1689" s="7">
        <v>0.5</v>
      </c>
      <c r="O1689" s="7">
        <v>2.8370000000000002</v>
      </c>
      <c r="P1689" s="1" t="s">
        <v>15306</v>
      </c>
    </row>
    <row r="1690" spans="1:16" ht="33.4" x14ac:dyDescent="0.3">
      <c r="A1690" s="6" t="str">
        <f>HYPERLINK("https://www.ti.com/product/LM73606-Q1", "LM73606-Q1")</f>
        <v>LM73606-Q1</v>
      </c>
      <c r="B1690" s="5" t="s">
        <v>15307</v>
      </c>
      <c r="C1690" s="6" t="str">
        <f>HYPERLINK("https://www.ti.com/lit/gpn/LM73606-Q1", "PDF")</f>
        <v>PDF</v>
      </c>
      <c r="D1690" s="5" t="s">
        <v>15308</v>
      </c>
      <c r="E1690" s="5" t="s">
        <v>15309</v>
      </c>
      <c r="F1690" s="5" t="s">
        <v>15310</v>
      </c>
      <c r="G1690" s="5" t="s">
        <v>15311</v>
      </c>
      <c r="H1690" s="1" t="s">
        <v>15312</v>
      </c>
      <c r="I1690" s="5" t="s">
        <v>15313</v>
      </c>
      <c r="J1690" s="7">
        <v>30</v>
      </c>
      <c r="K1690" s="7">
        <v>24</v>
      </c>
      <c r="L1690" s="5" t="s">
        <v>15314</v>
      </c>
      <c r="M1690" s="7">
        <v>0.8</v>
      </c>
      <c r="N1690" s="7">
        <v>0.5</v>
      </c>
      <c r="O1690" s="7">
        <v>3.2450000000000001</v>
      </c>
      <c r="P1690" s="1" t="s">
        <v>15315</v>
      </c>
    </row>
    <row r="1691" spans="1:16" ht="33.4" x14ac:dyDescent="0.3">
      <c r="A1691" s="6" t="str">
        <f>HYPERLINK("https://www.ti.com/product/LM76002-Q1", "LM76002-Q1")</f>
        <v>LM76002-Q1</v>
      </c>
      <c r="B1691" s="5" t="s">
        <v>15316</v>
      </c>
      <c r="C1691" s="6" t="str">
        <f>HYPERLINK("https://www.ti.com/lit/gpn/LM76002-Q1", "PDF")</f>
        <v>PDF</v>
      </c>
      <c r="D1691" s="5" t="s">
        <v>15317</v>
      </c>
      <c r="E1691" s="5" t="s">
        <v>15318</v>
      </c>
      <c r="F1691" s="5" t="s">
        <v>15319</v>
      </c>
      <c r="G1691" s="5" t="s">
        <v>15320</v>
      </c>
      <c r="H1691" s="1" t="s">
        <v>15321</v>
      </c>
      <c r="I1691" s="5" t="s">
        <v>15322</v>
      </c>
      <c r="J1691" s="7">
        <v>30</v>
      </c>
      <c r="K1691" s="7">
        <v>24</v>
      </c>
      <c r="L1691" s="5" t="s">
        <v>15323</v>
      </c>
      <c r="M1691" s="7">
        <v>0.8</v>
      </c>
      <c r="N1691" s="7">
        <v>0.5</v>
      </c>
      <c r="O1691" s="7">
        <v>2.2330000000000001</v>
      </c>
      <c r="P1691" s="1" t="s">
        <v>15324</v>
      </c>
    </row>
    <row r="1692" spans="1:16" ht="33.4" x14ac:dyDescent="0.3">
      <c r="A1692" s="6" t="str">
        <f>HYPERLINK("https://www.ti.com/product/LM76003-Q1", "LM76003-Q1")</f>
        <v>LM76003-Q1</v>
      </c>
      <c r="B1692" s="5" t="s">
        <v>15325</v>
      </c>
      <c r="C1692" s="6" t="str">
        <f>HYPERLINK("https://www.ti.com/lit/gpn/LM76003-Q1", "PDF")</f>
        <v>PDF</v>
      </c>
      <c r="D1692" s="5" t="s">
        <v>15326</v>
      </c>
      <c r="E1692" s="5" t="s">
        <v>15327</v>
      </c>
      <c r="F1692" s="5" t="s">
        <v>15328</v>
      </c>
      <c r="G1692" s="5" t="s">
        <v>15329</v>
      </c>
      <c r="H1692" s="1" t="s">
        <v>15330</v>
      </c>
      <c r="I1692" s="5" t="s">
        <v>15331</v>
      </c>
      <c r="J1692" s="7">
        <v>30</v>
      </c>
      <c r="K1692" s="7">
        <v>24</v>
      </c>
      <c r="L1692" s="5" t="s">
        <v>15332</v>
      </c>
      <c r="M1692" s="7">
        <v>0.8</v>
      </c>
      <c r="N1692" s="7">
        <v>0.5</v>
      </c>
      <c r="O1692" s="7">
        <v>2.2719999999999998</v>
      </c>
      <c r="P1692" s="1" t="s">
        <v>15333</v>
      </c>
    </row>
    <row r="1693" spans="1:16" ht="17.05" x14ac:dyDescent="0.3">
      <c r="A1693" s="6" t="str">
        <f>HYPERLINK("https://www.ti.com/product/REF3433", "REF3433")</f>
        <v>REF3433</v>
      </c>
      <c r="B1693" s="5" t="s">
        <v>15334</v>
      </c>
      <c r="C1693" s="6" t="str">
        <f>HYPERLINK("https://www.ti.com/lit/gpn/REF3433", "PDF")</f>
        <v>PDF</v>
      </c>
      <c r="D1693" s="5" t="s">
        <v>15335</v>
      </c>
      <c r="E1693" s="5" t="s">
        <v>15336</v>
      </c>
      <c r="F1693" s="5"/>
      <c r="G1693" s="5" t="s">
        <v>15337</v>
      </c>
      <c r="H1693" s="1" t="s">
        <v>15338</v>
      </c>
      <c r="I1693" s="5" t="s">
        <v>15339</v>
      </c>
      <c r="J1693" s="7">
        <v>6</v>
      </c>
      <c r="K1693" s="7">
        <v>8.1199999999999992</v>
      </c>
      <c r="L1693" s="5" t="s">
        <v>15340</v>
      </c>
      <c r="M1693" s="7">
        <v>1.45</v>
      </c>
      <c r="N1693" s="7">
        <v>0.95</v>
      </c>
      <c r="O1693" s="7">
        <v>0.97899999999999998</v>
      </c>
      <c r="P1693" s="1" t="s">
        <v>15341</v>
      </c>
    </row>
    <row r="1694" spans="1:16" ht="33.4" x14ac:dyDescent="0.3">
      <c r="A1694" s="6" t="str">
        <f>HYPERLINK("https://www.ti.com/product/TPS40345", "TPS40345")</f>
        <v>TPS40345</v>
      </c>
      <c r="B1694" s="5" t="s">
        <v>15342</v>
      </c>
      <c r="C1694" s="6" t="str">
        <f>HYPERLINK("https://www.ti.com/lit/gpn/TPS40345", "PDF")</f>
        <v>PDF</v>
      </c>
      <c r="D1694" s="5" t="s">
        <v>15343</v>
      </c>
      <c r="E1694" s="5" t="s">
        <v>15344</v>
      </c>
      <c r="F1694" s="5" t="s">
        <v>15345</v>
      </c>
      <c r="G1694" s="5" t="s">
        <v>15346</v>
      </c>
      <c r="H1694" s="1" t="s">
        <v>15347</v>
      </c>
      <c r="I1694" s="5" t="s">
        <v>15348</v>
      </c>
      <c r="J1694" s="7">
        <v>10</v>
      </c>
      <c r="K1694" s="7">
        <v>9</v>
      </c>
      <c r="L1694" s="5" t="s">
        <v>15349</v>
      </c>
      <c r="M1694" s="7">
        <v>1</v>
      </c>
      <c r="N1694" s="7">
        <v>0.5</v>
      </c>
      <c r="O1694" s="7">
        <v>0.83499999999999996</v>
      </c>
      <c r="P1694" s="1" t="s">
        <v>15350</v>
      </c>
    </row>
    <row r="1695" spans="1:16" ht="33.4" x14ac:dyDescent="0.3">
      <c r="A1695" s="6" t="str">
        <f>HYPERLINK("https://www.ti.com/product/LP87524J-Q1", "LP87524J-Q1")</f>
        <v>LP87524J-Q1</v>
      </c>
      <c r="B1695" s="5" t="s">
        <v>15351</v>
      </c>
      <c r="C1695" s="6" t="str">
        <f>HYPERLINK("https://www.ti.com/lit/gpn/LP87524J-Q1", "PDF")</f>
        <v>PDF</v>
      </c>
      <c r="D1695" s="5" t="s">
        <v>15352</v>
      </c>
      <c r="E1695" s="5" t="s">
        <v>15353</v>
      </c>
      <c r="F1695" s="5"/>
      <c r="G1695" s="5" t="s">
        <v>15354</v>
      </c>
      <c r="H1695" s="1" t="s">
        <v>15355</v>
      </c>
      <c r="I1695" s="5" t="s">
        <v>15356</v>
      </c>
      <c r="J1695" s="7">
        <v>26</v>
      </c>
      <c r="K1695" s="7">
        <v>18</v>
      </c>
      <c r="L1695" s="5" t="s">
        <v>15357</v>
      </c>
      <c r="M1695" s="7">
        <v>0.9</v>
      </c>
      <c r="N1695" s="7">
        <v>0.5</v>
      </c>
      <c r="O1695" s="7">
        <v>2.1379999999999999</v>
      </c>
      <c r="P1695" s="1" t="s">
        <v>15358</v>
      </c>
    </row>
    <row r="1696" spans="1:16" ht="33.4" x14ac:dyDescent="0.3">
      <c r="A1696" s="6" t="str">
        <f>HYPERLINK("https://www.ti.com/product/TPS53119", "TPS53119")</f>
        <v>TPS53119</v>
      </c>
      <c r="B1696" s="5" t="s">
        <v>15359</v>
      </c>
      <c r="C1696" s="6" t="str">
        <f>HYPERLINK("https://www.ti.com/lit/gpn/TPS53119", "PDF")</f>
        <v>PDF</v>
      </c>
      <c r="D1696" s="5" t="s">
        <v>15360</v>
      </c>
      <c r="E1696" s="5" t="s">
        <v>15361</v>
      </c>
      <c r="F1696" s="5" t="s">
        <v>15362</v>
      </c>
      <c r="G1696" s="5" t="s">
        <v>15363</v>
      </c>
      <c r="H1696" s="1" t="s">
        <v>15364</v>
      </c>
      <c r="I1696" s="5" t="s">
        <v>15365</v>
      </c>
      <c r="J1696" s="7">
        <v>16</v>
      </c>
      <c r="K1696" s="7">
        <v>9</v>
      </c>
      <c r="L1696" s="5" t="s">
        <v>15366</v>
      </c>
      <c r="M1696" s="7">
        <v>1</v>
      </c>
      <c r="N1696" s="7">
        <v>0.5</v>
      </c>
      <c r="O1696" s="7">
        <v>0.83499999999999996</v>
      </c>
      <c r="P1696" s="1" t="s">
        <v>15367</v>
      </c>
    </row>
    <row r="1697" spans="1:16" ht="82.5" x14ac:dyDescent="0.3">
      <c r="A1697" s="6" t="str">
        <f>HYPERLINK("https://www.ti.com/product/TPS62088", "TPS62088")</f>
        <v>TPS62088</v>
      </c>
      <c r="B1697" s="5" t="s">
        <v>15368</v>
      </c>
      <c r="C1697" s="6" t="str">
        <f>HYPERLINK("https://www.ti.com/lit/gpn/TPS62088", "PDF")</f>
        <v>PDF</v>
      </c>
      <c r="D1697" s="5" t="s">
        <v>15369</v>
      </c>
      <c r="E1697" s="5" t="s">
        <v>15370</v>
      </c>
      <c r="F1697" s="5" t="s">
        <v>15371</v>
      </c>
      <c r="G1697" s="5" t="s">
        <v>15372</v>
      </c>
      <c r="H1697" s="1" t="s">
        <v>15373</v>
      </c>
      <c r="I1697" s="5" t="s">
        <v>15374</v>
      </c>
      <c r="J1697" s="7">
        <v>6</v>
      </c>
      <c r="K1697" s="7" t="s">
        <v>15375</v>
      </c>
      <c r="L1697" s="5" t="s">
        <v>15376</v>
      </c>
      <c r="M1697" s="7" t="s">
        <v>15377</v>
      </c>
      <c r="N1697" s="7" t="s">
        <v>15378</v>
      </c>
      <c r="O1697" s="7">
        <v>0.64500000000000002</v>
      </c>
      <c r="P1697" s="1" t="s">
        <v>15379</v>
      </c>
    </row>
    <row r="1698" spans="1:16" ht="33.4" x14ac:dyDescent="0.3">
      <c r="A1698" s="6" t="str">
        <f>HYPERLINK("https://www.ti.com/product/TPS92610-Q1", "TPS92610-Q1")</f>
        <v>TPS92610-Q1</v>
      </c>
      <c r="B1698" s="5" t="s">
        <v>15380</v>
      </c>
      <c r="C1698" s="6" t="str">
        <f>HYPERLINK("https://www.ti.com/lit/gpn/TPS92610-Q1", "PDF")</f>
        <v>PDF</v>
      </c>
      <c r="D1698" s="5" t="s">
        <v>15381</v>
      </c>
      <c r="E1698" s="5" t="s">
        <v>15382</v>
      </c>
      <c r="F1698" s="5" t="s">
        <v>15383</v>
      </c>
      <c r="G1698" s="5" t="s">
        <v>15384</v>
      </c>
      <c r="H1698" s="1" t="s">
        <v>15385</v>
      </c>
      <c r="I1698" s="5" t="s">
        <v>15386</v>
      </c>
      <c r="J1698" s="7">
        <v>14</v>
      </c>
      <c r="K1698" s="7">
        <v>32</v>
      </c>
      <c r="L1698" s="5" t="s">
        <v>15387</v>
      </c>
      <c r="M1698" s="7">
        <v>1.2</v>
      </c>
      <c r="N1698" s="7">
        <v>0.65</v>
      </c>
      <c r="O1698" s="7">
        <v>0.50600000000000001</v>
      </c>
      <c r="P1698" s="1" t="s">
        <v>15388</v>
      </c>
    </row>
    <row r="1699" spans="1:16" ht="33.4" x14ac:dyDescent="0.3">
      <c r="A1699" s="6" t="str">
        <f>HYPERLINK("https://www.ti.com/product/TLV757P", "TLV757P")</f>
        <v>TLV757P</v>
      </c>
      <c r="B1699" s="5" t="s">
        <v>15389</v>
      </c>
      <c r="C1699" s="6" t="str">
        <f>HYPERLINK("https://www.ti.com/lit/gpn/TLV757P", "PDF")</f>
        <v>PDF</v>
      </c>
      <c r="D1699" s="5" t="s">
        <v>15390</v>
      </c>
      <c r="E1699" s="5" t="s">
        <v>15391</v>
      </c>
      <c r="F1699" s="5"/>
      <c r="G1699" s="5" t="s">
        <v>15392</v>
      </c>
      <c r="H1699" s="1" t="s">
        <v>15393</v>
      </c>
      <c r="I1699" s="5" t="s">
        <v>15394</v>
      </c>
      <c r="J1699" s="7" t="s">
        <v>15395</v>
      </c>
      <c r="K1699" s="7" t="s">
        <v>15396</v>
      </c>
      <c r="L1699" s="5" t="s">
        <v>15397</v>
      </c>
      <c r="M1699" s="7" t="s">
        <v>15398</v>
      </c>
      <c r="N1699" s="7" t="s">
        <v>15399</v>
      </c>
      <c r="O1699" s="7">
        <v>9.5000000000000001E-2</v>
      </c>
      <c r="P1699" s="1" t="s">
        <v>15400</v>
      </c>
    </row>
    <row r="1700" spans="1:16" ht="33.4" x14ac:dyDescent="0.3">
      <c r="A1700" s="6" t="str">
        <f>HYPERLINK("https://www.ti.com/product/TPS65321A-Q1", "TPS65321A-Q1")</f>
        <v>TPS65321A-Q1</v>
      </c>
      <c r="B1700" s="5" t="s">
        <v>15401</v>
      </c>
      <c r="C1700" s="6" t="str">
        <f>HYPERLINK("https://www.ti.com/lit/gpn/TPS65321A-Q1", "PDF")</f>
        <v>PDF</v>
      </c>
      <c r="D1700" s="5" t="s">
        <v>15402</v>
      </c>
      <c r="E1700" s="5" t="s">
        <v>15403</v>
      </c>
      <c r="F1700" s="5"/>
      <c r="G1700" s="5" t="s">
        <v>15404</v>
      </c>
      <c r="H1700" s="1" t="s">
        <v>15405</v>
      </c>
      <c r="I1700" s="5" t="s">
        <v>15406</v>
      </c>
      <c r="J1700" s="7">
        <v>14</v>
      </c>
      <c r="K1700" s="7">
        <v>32</v>
      </c>
      <c r="L1700" s="5" t="s">
        <v>15407</v>
      </c>
      <c r="M1700" s="7">
        <v>1.2</v>
      </c>
      <c r="N1700" s="7">
        <v>0.65</v>
      </c>
      <c r="O1700" s="7">
        <v>1.0129999999999999</v>
      </c>
      <c r="P1700" s="1" t="s">
        <v>15408</v>
      </c>
    </row>
    <row r="1701" spans="1:16" ht="33.4" x14ac:dyDescent="0.3">
      <c r="A1701" s="6" t="str">
        <f>HYPERLINK("https://www.ti.com/product/UCC21220", "UCC21220")</f>
        <v>UCC21220</v>
      </c>
      <c r="B1701" s="5" t="s">
        <v>15409</v>
      </c>
      <c r="C1701" s="6" t="str">
        <f>HYPERLINK("https://www.ti.com/lit/gpn/UCC21220", "PDF")</f>
        <v>PDF</v>
      </c>
      <c r="D1701" s="5" t="s">
        <v>15410</v>
      </c>
      <c r="E1701" s="5" t="s">
        <v>15411</v>
      </c>
      <c r="F1701" s="5"/>
      <c r="G1701" s="5" t="s">
        <v>15412</v>
      </c>
      <c r="H1701" s="1" t="s">
        <v>15413</v>
      </c>
      <c r="I1701" s="5" t="s">
        <v>15414</v>
      </c>
      <c r="J1701" s="7">
        <v>16</v>
      </c>
      <c r="K1701" s="7">
        <v>59.4</v>
      </c>
      <c r="L1701" s="5" t="s">
        <v>15415</v>
      </c>
      <c r="M1701" s="7">
        <v>1.75</v>
      </c>
      <c r="N1701" s="7">
        <v>1.27</v>
      </c>
      <c r="O1701" s="7">
        <v>1</v>
      </c>
      <c r="P1701" s="1" t="s">
        <v>15416</v>
      </c>
    </row>
    <row r="1702" spans="1:16" ht="33.4" x14ac:dyDescent="0.3">
      <c r="A1702" s="6" t="str">
        <f>HYPERLINK("https://www.ti.com/product/TLV742P", "TLV742P")</f>
        <v>TLV742P</v>
      </c>
      <c r="B1702" s="5" t="s">
        <v>15417</v>
      </c>
      <c r="C1702" s="6" t="str">
        <f>HYPERLINK("https://www.ti.com/lit/gpn/TLV742P", "PDF")</f>
        <v>PDF</v>
      </c>
      <c r="D1702" s="5" t="s">
        <v>15418</v>
      </c>
      <c r="E1702" s="5" t="s">
        <v>15419</v>
      </c>
      <c r="F1702" s="5"/>
      <c r="G1702" s="5" t="s">
        <v>15420</v>
      </c>
      <c r="H1702" s="1" t="s">
        <v>15421</v>
      </c>
      <c r="I1702" s="5" t="s">
        <v>15422</v>
      </c>
      <c r="J1702" s="7">
        <v>4</v>
      </c>
      <c r="K1702" s="7">
        <v>1</v>
      </c>
      <c r="L1702" s="5" t="s">
        <v>15423</v>
      </c>
      <c r="M1702" s="7">
        <v>0.4</v>
      </c>
      <c r="N1702" s="7">
        <v>0.65</v>
      </c>
      <c r="O1702" s="7">
        <v>3.5000000000000003E-2</v>
      </c>
      <c r="P1702" s="1" t="s">
        <v>15424</v>
      </c>
    </row>
    <row r="1703" spans="1:16" ht="33.4" x14ac:dyDescent="0.3">
      <c r="A1703" s="6" t="str">
        <f>HYPERLINK("https://www.ti.com/product/TPS25821", "TPS25821")</f>
        <v>TPS25821</v>
      </c>
      <c r="B1703" s="5" t="s">
        <v>15425</v>
      </c>
      <c r="C1703" s="6" t="str">
        <f>HYPERLINK("https://www.ti.com/lit/gpn/TPS25821", "PDF")</f>
        <v>PDF</v>
      </c>
      <c r="D1703" s="5" t="s">
        <v>15426</v>
      </c>
      <c r="E1703" s="5" t="s">
        <v>15427</v>
      </c>
      <c r="F1703" s="5"/>
      <c r="G1703" s="5" t="s">
        <v>15428</v>
      </c>
      <c r="H1703" s="1" t="s">
        <v>15429</v>
      </c>
      <c r="I1703" s="5" t="s">
        <v>15430</v>
      </c>
      <c r="J1703" s="7">
        <v>12</v>
      </c>
      <c r="K1703" s="7">
        <v>6</v>
      </c>
      <c r="L1703" s="5" t="s">
        <v>15431</v>
      </c>
      <c r="M1703" s="7">
        <v>0.8</v>
      </c>
      <c r="N1703" s="7">
        <v>0.5</v>
      </c>
      <c r="O1703" s="7">
        <v>0.42899999999999999</v>
      </c>
      <c r="P1703" s="1" t="s">
        <v>15432</v>
      </c>
    </row>
    <row r="1704" spans="1:16" ht="33.4" x14ac:dyDescent="0.3">
      <c r="A1704" s="6" t="str">
        <f>HYPERLINK("https://www.ti.com/product/TPS2595", "TPS2595")</f>
        <v>TPS2595</v>
      </c>
      <c r="B1704" s="5" t="s">
        <v>15433</v>
      </c>
      <c r="C1704" s="6" t="str">
        <f>HYPERLINK("https://www.ti.com/lit/gpn/TPS2595", "PDF")</f>
        <v>PDF</v>
      </c>
      <c r="D1704" s="5" t="s">
        <v>15434</v>
      </c>
      <c r="E1704" s="5" t="s">
        <v>15435</v>
      </c>
      <c r="F1704" s="5"/>
      <c r="G1704" s="5" t="s">
        <v>15436</v>
      </c>
      <c r="H1704" s="1" t="s">
        <v>15437</v>
      </c>
      <c r="I1704" s="5" t="s">
        <v>15438</v>
      </c>
      <c r="J1704" s="7">
        <v>8</v>
      </c>
      <c r="K1704" s="7">
        <v>4</v>
      </c>
      <c r="L1704" s="5" t="s">
        <v>15439</v>
      </c>
      <c r="M1704" s="7">
        <v>0.8</v>
      </c>
      <c r="N1704" s="7">
        <v>0.5</v>
      </c>
      <c r="O1704" s="7">
        <v>0.33900000000000002</v>
      </c>
      <c r="P1704" s="1" t="s">
        <v>15440</v>
      </c>
    </row>
    <row r="1705" spans="1:16" ht="33.4" x14ac:dyDescent="0.3">
      <c r="A1705" s="6" t="str">
        <f>HYPERLINK("https://www.ti.com/product/TLC6C5816-Q1", "TLC6C5816-Q1")</f>
        <v>TLC6C5816-Q1</v>
      </c>
      <c r="B1705" s="5" t="s">
        <v>15441</v>
      </c>
      <c r="C1705" s="6" t="str">
        <f>HYPERLINK("https://www.ti.com/lit/gpn/TLC6C5816-Q1", "PDF")</f>
        <v>PDF</v>
      </c>
      <c r="D1705" s="5" t="s">
        <v>15442</v>
      </c>
      <c r="E1705" s="5" t="s">
        <v>15443</v>
      </c>
      <c r="F1705" s="5" t="s">
        <v>15444</v>
      </c>
      <c r="G1705" s="5" t="s">
        <v>15445</v>
      </c>
      <c r="H1705" s="1" t="s">
        <v>15446</v>
      </c>
      <c r="I1705" s="5" t="s">
        <v>15447</v>
      </c>
      <c r="J1705" s="7">
        <v>28</v>
      </c>
      <c r="K1705" s="7">
        <v>62.08</v>
      </c>
      <c r="L1705" s="5" t="s">
        <v>15448</v>
      </c>
      <c r="M1705" s="7">
        <v>1.2</v>
      </c>
      <c r="N1705" s="7">
        <v>0.65</v>
      </c>
      <c r="O1705" s="7">
        <v>0.67700000000000005</v>
      </c>
      <c r="P1705" s="1" t="s">
        <v>15449</v>
      </c>
    </row>
    <row r="1706" spans="1:16" ht="33.4" x14ac:dyDescent="0.3">
      <c r="A1706" s="6" t="str">
        <f>HYPERLINK("https://www.ti.com/product/TPS92518", "TPS92518")</f>
        <v>TPS92518</v>
      </c>
      <c r="B1706" s="5" t="s">
        <v>15450</v>
      </c>
      <c r="C1706" s="6" t="str">
        <f>HYPERLINK("https://www.ti.com/lit/gpn/TPS92518", "PDF")</f>
        <v>PDF</v>
      </c>
      <c r="D1706" s="5" t="s">
        <v>15451</v>
      </c>
      <c r="E1706" s="5" t="s">
        <v>15452</v>
      </c>
      <c r="F1706" s="5" t="s">
        <v>15453</v>
      </c>
      <c r="G1706" s="5" t="s">
        <v>15454</v>
      </c>
      <c r="H1706" s="1" t="s">
        <v>15455</v>
      </c>
      <c r="I1706" s="5" t="s">
        <v>15456</v>
      </c>
      <c r="J1706" s="7">
        <v>24</v>
      </c>
      <c r="K1706" s="7">
        <v>49.92</v>
      </c>
      <c r="L1706" s="5" t="s">
        <v>15457</v>
      </c>
      <c r="M1706" s="7">
        <v>1.2</v>
      </c>
      <c r="N1706" s="7">
        <v>0.65</v>
      </c>
      <c r="O1706" s="7">
        <v>1.1659999999999999</v>
      </c>
      <c r="P1706" s="1" t="s">
        <v>15458</v>
      </c>
    </row>
    <row r="1707" spans="1:16" ht="33.4" x14ac:dyDescent="0.3">
      <c r="A1707" s="6" t="str">
        <f>HYPERLINK("https://www.ti.com/product/TPS92518HV", "TPS92518HV")</f>
        <v>TPS92518HV</v>
      </c>
      <c r="B1707" s="5" t="s">
        <v>15459</v>
      </c>
      <c r="C1707" s="6" t="str">
        <f>HYPERLINK("https://www.ti.com/lit/gpn/TPS92518HV", "PDF")</f>
        <v>PDF</v>
      </c>
      <c r="D1707" s="5" t="s">
        <v>15460</v>
      </c>
      <c r="E1707" s="5" t="s">
        <v>15461</v>
      </c>
      <c r="F1707" s="5" t="s">
        <v>15462</v>
      </c>
      <c r="G1707" s="5" t="s">
        <v>15463</v>
      </c>
      <c r="H1707" s="1" t="s">
        <v>15464</v>
      </c>
      <c r="I1707" s="5" t="s">
        <v>15465</v>
      </c>
      <c r="J1707" s="7">
        <v>24</v>
      </c>
      <c r="K1707" s="7">
        <v>49.92</v>
      </c>
      <c r="L1707" s="5" t="s">
        <v>15466</v>
      </c>
      <c r="M1707" s="7">
        <v>1.2</v>
      </c>
      <c r="N1707" s="7">
        <v>0.65</v>
      </c>
      <c r="O1707" s="7">
        <v>1.254</v>
      </c>
      <c r="P1707" s="1" t="s">
        <v>15467</v>
      </c>
    </row>
    <row r="1708" spans="1:16" ht="33.4" x14ac:dyDescent="0.3">
      <c r="A1708" s="6" t="str">
        <f>HYPERLINK("https://www.ti.com/product/TPS55160-Q1", "TPS55160-Q1")</f>
        <v>TPS55160-Q1</v>
      </c>
      <c r="B1708" s="5" t="s">
        <v>15468</v>
      </c>
      <c r="C1708" s="6" t="str">
        <f>HYPERLINK("https://www.ti.com/lit/gpn/TPS55160-Q1", "PDF")</f>
        <v>PDF</v>
      </c>
      <c r="D1708" s="5" t="s">
        <v>15469</v>
      </c>
      <c r="E1708" s="5" t="s">
        <v>15470</v>
      </c>
      <c r="F1708" s="5" t="s">
        <v>15471</v>
      </c>
      <c r="G1708" s="5" t="s">
        <v>15472</v>
      </c>
      <c r="H1708" s="1" t="s">
        <v>15473</v>
      </c>
      <c r="I1708" s="5" t="s">
        <v>15474</v>
      </c>
      <c r="J1708" s="7">
        <v>20</v>
      </c>
      <c r="K1708" s="7">
        <v>41.6</v>
      </c>
      <c r="L1708" s="5" t="s">
        <v>15475</v>
      </c>
      <c r="M1708" s="7">
        <v>1.2</v>
      </c>
      <c r="N1708" s="7">
        <v>0.65</v>
      </c>
      <c r="O1708" s="7">
        <v>3.22</v>
      </c>
      <c r="P1708" s="1" t="s">
        <v>15476</v>
      </c>
    </row>
    <row r="1709" spans="1:16" ht="33.4" x14ac:dyDescent="0.3">
      <c r="A1709" s="6" t="str">
        <f>HYPERLINK("https://www.ti.com/product/TPS55162-Q1", "TPS55162-Q1")</f>
        <v>TPS55162-Q1</v>
      </c>
      <c r="B1709" s="5" t="s">
        <v>15477</v>
      </c>
      <c r="C1709" s="6" t="str">
        <f>HYPERLINK("https://www.ti.com/lit/gpn/TPS55162-Q1", "PDF")</f>
        <v>PDF</v>
      </c>
      <c r="D1709" s="5" t="s">
        <v>15478</v>
      </c>
      <c r="E1709" s="5" t="s">
        <v>15479</v>
      </c>
      <c r="F1709" s="5" t="s">
        <v>15480</v>
      </c>
      <c r="G1709" s="5" t="s">
        <v>15481</v>
      </c>
      <c r="H1709" s="1" t="s">
        <v>15482</v>
      </c>
      <c r="I1709" s="5" t="s">
        <v>15483</v>
      </c>
      <c r="J1709" s="7">
        <v>20</v>
      </c>
      <c r="K1709" s="7">
        <v>41.6</v>
      </c>
      <c r="L1709" s="5" t="s">
        <v>15484</v>
      </c>
      <c r="M1709" s="7">
        <v>1.2</v>
      </c>
      <c r="N1709" s="7">
        <v>0.65</v>
      </c>
      <c r="O1709" s="7">
        <v>3.22</v>
      </c>
      <c r="P1709" s="1" t="s">
        <v>15485</v>
      </c>
    </row>
    <row r="1710" spans="1:16" ht="33.4" x14ac:dyDescent="0.3">
      <c r="A1710" s="6" t="str">
        <f>HYPERLINK("https://www.ti.com/product/TPS23525", "TPS23525")</f>
        <v>TPS23525</v>
      </c>
      <c r="B1710" s="5" t="s">
        <v>15486</v>
      </c>
      <c r="C1710" s="6" t="str">
        <f>HYPERLINK("https://www.ti.com/lit/gpn/TPS23525", "PDF")</f>
        <v>PDF</v>
      </c>
      <c r="D1710" s="5" t="s">
        <v>15487</v>
      </c>
      <c r="E1710" s="5" t="s">
        <v>15488</v>
      </c>
      <c r="F1710" s="5"/>
      <c r="G1710" s="5" t="s">
        <v>15489</v>
      </c>
      <c r="H1710" s="1" t="s">
        <v>15490</v>
      </c>
      <c r="I1710" s="5" t="s">
        <v>15491</v>
      </c>
      <c r="J1710" s="7">
        <v>16</v>
      </c>
      <c r="K1710" s="7">
        <v>32</v>
      </c>
      <c r="L1710" s="5" t="s">
        <v>15492</v>
      </c>
      <c r="M1710" s="7">
        <v>1.2</v>
      </c>
      <c r="N1710" s="7">
        <v>0.65</v>
      </c>
      <c r="O1710" s="7">
        <v>3.4910000000000001</v>
      </c>
      <c r="P1710" s="1" t="s">
        <v>15493</v>
      </c>
    </row>
    <row r="1711" spans="1:16" ht="33.4" x14ac:dyDescent="0.3">
      <c r="A1711" s="6" t="str">
        <f>HYPERLINK("https://www.ti.com/product/TPS55165-Q1", "TPS55165-Q1")</f>
        <v>TPS55165-Q1</v>
      </c>
      <c r="B1711" s="5" t="s">
        <v>15494</v>
      </c>
      <c r="C1711" s="6" t="str">
        <f>HYPERLINK("https://www.ti.com/lit/gpn/TPS55165-Q1", "PDF")</f>
        <v>PDF</v>
      </c>
      <c r="D1711" s="5" t="s">
        <v>15495</v>
      </c>
      <c r="E1711" s="5" t="s">
        <v>15496</v>
      </c>
      <c r="F1711" s="5" t="s">
        <v>15497</v>
      </c>
      <c r="G1711" s="5" t="s">
        <v>15498</v>
      </c>
      <c r="H1711" s="1" t="s">
        <v>15499</v>
      </c>
      <c r="I1711" s="5" t="s">
        <v>15500</v>
      </c>
      <c r="J1711" s="7">
        <v>20</v>
      </c>
      <c r="K1711" s="7">
        <v>41.6</v>
      </c>
      <c r="L1711" s="5" t="s">
        <v>15501</v>
      </c>
      <c r="M1711" s="7">
        <v>1.2</v>
      </c>
      <c r="N1711" s="7">
        <v>0.65</v>
      </c>
      <c r="O1711" s="7">
        <v>3.22</v>
      </c>
      <c r="P1711" s="1" t="s">
        <v>15502</v>
      </c>
    </row>
    <row r="1712" spans="1:16" ht="33.4" x14ac:dyDescent="0.3">
      <c r="A1712" s="6" t="str">
        <f>HYPERLINK("https://www.ti.com/product/TPS1H000-Q1", "TPS1H000-Q1")</f>
        <v>TPS1H000-Q1</v>
      </c>
      <c r="B1712" s="5" t="s">
        <v>15503</v>
      </c>
      <c r="C1712" s="6" t="str">
        <f>HYPERLINK("https://www.ti.com/lit/gpn/TPS1H000-Q1", "PDF")</f>
        <v>PDF</v>
      </c>
      <c r="D1712" s="5" t="s">
        <v>15504</v>
      </c>
      <c r="E1712" s="5" t="s">
        <v>15505</v>
      </c>
      <c r="F1712" s="5"/>
      <c r="G1712" s="5" t="s">
        <v>15506</v>
      </c>
      <c r="H1712" s="1" t="s">
        <v>15507</v>
      </c>
      <c r="I1712" s="5" t="s">
        <v>15508</v>
      </c>
      <c r="J1712" s="7">
        <v>8</v>
      </c>
      <c r="K1712" s="7">
        <v>14.7</v>
      </c>
      <c r="L1712" s="5" t="s">
        <v>15509</v>
      </c>
      <c r="M1712" s="7">
        <v>1.1000000000000001</v>
      </c>
      <c r="N1712" s="7">
        <v>0.65</v>
      </c>
      <c r="O1712" s="7">
        <v>0.46200000000000002</v>
      </c>
      <c r="P1712" s="1" t="s">
        <v>15510</v>
      </c>
    </row>
    <row r="1713" spans="1:16" ht="33.4" x14ac:dyDescent="0.3">
      <c r="A1713" s="6" t="str">
        <f>HYPERLINK("https://www.ti.com/product/TPS61085A-Q1", "TPS61085A-Q1")</f>
        <v>TPS61085A-Q1</v>
      </c>
      <c r="B1713" s="5" t="s">
        <v>15511</v>
      </c>
      <c r="C1713" s="6" t="str">
        <f>HYPERLINK("https://www.ti.com/lit/gpn/TPS61085A-Q1", "PDF")</f>
        <v>PDF</v>
      </c>
      <c r="D1713" s="5" t="s">
        <v>15512</v>
      </c>
      <c r="E1713" s="5" t="s">
        <v>15513</v>
      </c>
      <c r="F1713" s="5" t="s">
        <v>15514</v>
      </c>
      <c r="G1713" s="5" t="s">
        <v>15515</v>
      </c>
      <c r="H1713" s="1" t="s">
        <v>15516</v>
      </c>
      <c r="I1713" s="5" t="s">
        <v>15517</v>
      </c>
      <c r="J1713" s="7">
        <v>8</v>
      </c>
      <c r="K1713" s="7">
        <v>14.7</v>
      </c>
      <c r="L1713" s="5" t="s">
        <v>15518</v>
      </c>
      <c r="M1713" s="7">
        <v>1.1000000000000001</v>
      </c>
      <c r="N1713" s="7">
        <v>0.65</v>
      </c>
      <c r="O1713" s="7">
        <v>1.089</v>
      </c>
      <c r="P1713" s="1" t="s">
        <v>15519</v>
      </c>
    </row>
    <row r="1714" spans="1:16" ht="33.4" x14ac:dyDescent="0.3">
      <c r="A1714" s="6" t="str">
        <f>HYPERLINK("https://www.ti.com/product/TPS25820", "TPS25820")</f>
        <v>TPS25820</v>
      </c>
      <c r="B1714" s="5" t="s">
        <v>15520</v>
      </c>
      <c r="C1714" s="6" t="str">
        <f>HYPERLINK("https://www.ti.com/lit/gpn/TPS25820", "PDF")</f>
        <v>PDF</v>
      </c>
      <c r="D1714" s="5" t="s">
        <v>15521</v>
      </c>
      <c r="E1714" s="5" t="s">
        <v>15522</v>
      </c>
      <c r="F1714" s="5"/>
      <c r="G1714" s="5" t="s">
        <v>15523</v>
      </c>
      <c r="H1714" s="1" t="s">
        <v>15524</v>
      </c>
      <c r="I1714" s="5" t="s">
        <v>15525</v>
      </c>
      <c r="J1714" s="7">
        <v>12</v>
      </c>
      <c r="K1714" s="7">
        <v>6</v>
      </c>
      <c r="L1714" s="5" t="s">
        <v>15526</v>
      </c>
      <c r="M1714" s="7">
        <v>0.8</v>
      </c>
      <c r="N1714" s="7">
        <v>0.5</v>
      </c>
      <c r="O1714" s="7">
        <v>0.47199999999999998</v>
      </c>
      <c r="P1714" s="1" t="s">
        <v>15527</v>
      </c>
    </row>
    <row r="1715" spans="1:16" ht="33.4" x14ac:dyDescent="0.3">
      <c r="A1715" s="6" t="str">
        <f>HYPERLINK("https://www.ti.com/product/LP87522-Q1", "LP87522-Q1")</f>
        <v>LP87522-Q1</v>
      </c>
      <c r="B1715" s="5" t="s">
        <v>15528</v>
      </c>
      <c r="C1715" s="6" t="str">
        <f>HYPERLINK("https://www.ti.com/lit/gpn/LP87522-Q1", "PDF")</f>
        <v>PDF</v>
      </c>
      <c r="D1715" s="5" t="s">
        <v>15529</v>
      </c>
      <c r="E1715" s="5" t="s">
        <v>15530</v>
      </c>
      <c r="F1715" s="5"/>
      <c r="G1715" s="5" t="s">
        <v>15531</v>
      </c>
      <c r="H1715" s="1" t="s">
        <v>15532</v>
      </c>
      <c r="I1715" s="5" t="s">
        <v>15533</v>
      </c>
      <c r="J1715" s="7">
        <v>26</v>
      </c>
      <c r="K1715" s="7">
        <v>18</v>
      </c>
      <c r="L1715" s="5" t="s">
        <v>15534</v>
      </c>
      <c r="M1715" s="7">
        <v>0.9</v>
      </c>
      <c r="N1715" s="7">
        <v>0.5</v>
      </c>
      <c r="O1715" s="7">
        <v>2.1379999999999999</v>
      </c>
      <c r="P1715" s="1" t="s">
        <v>15535</v>
      </c>
    </row>
    <row r="1716" spans="1:16" ht="33.4" x14ac:dyDescent="0.3">
      <c r="A1716" s="6" t="str">
        <f>HYPERLINK("https://www.ti.com/product/TUSB1046A-DCI", "TUSB1046A-DCI")</f>
        <v>TUSB1046A-DCI</v>
      </c>
      <c r="B1716" s="5" t="s">
        <v>15536</v>
      </c>
      <c r="C1716" s="6" t="str">
        <f>HYPERLINK("https://www.ti.com/lit/gpn/TUSB1046A-DCI", "PDF")</f>
        <v>PDF</v>
      </c>
      <c r="D1716" s="5" t="s">
        <v>15537</v>
      </c>
      <c r="E1716" s="5" t="s">
        <v>15538</v>
      </c>
      <c r="F1716" s="5"/>
      <c r="G1716" s="5" t="s">
        <v>15539</v>
      </c>
      <c r="H1716" s="1" t="s">
        <v>15540</v>
      </c>
      <c r="I1716" s="5" t="s">
        <v>15541</v>
      </c>
      <c r="J1716" s="7">
        <v>40</v>
      </c>
      <c r="K1716" s="7">
        <v>24</v>
      </c>
      <c r="L1716" s="5" t="s">
        <v>15542</v>
      </c>
      <c r="M1716" s="7">
        <v>0.8</v>
      </c>
      <c r="N1716" s="7">
        <v>0.4</v>
      </c>
      <c r="O1716" s="7">
        <v>2.988</v>
      </c>
      <c r="P1716" s="1" t="s">
        <v>15543</v>
      </c>
    </row>
    <row r="1717" spans="1:16" ht="17.05" x14ac:dyDescent="0.3">
      <c r="A1717" s="6" t="str">
        <f>HYPERLINK("https://www.ti.com/product/TPS6508700", "TPS6508700")</f>
        <v>TPS6508700</v>
      </c>
      <c r="B1717" s="5" t="s">
        <v>15544</v>
      </c>
      <c r="C1717" s="6" t="str">
        <f>HYPERLINK("https://www.ti.com/lit/gpn/TPS6508700", "PDF")</f>
        <v>PDF</v>
      </c>
      <c r="D1717" s="5" t="s">
        <v>15545</v>
      </c>
      <c r="E1717" s="5" t="s">
        <v>15546</v>
      </c>
      <c r="F1717" s="5"/>
      <c r="G1717" s="5" t="s">
        <v>15547</v>
      </c>
      <c r="H1717" s="1" t="s">
        <v>15548</v>
      </c>
      <c r="I1717" s="5" t="s">
        <v>15549</v>
      </c>
      <c r="J1717" s="7">
        <v>64</v>
      </c>
      <c r="K1717" s="7">
        <v>64</v>
      </c>
      <c r="L1717" s="5" t="s">
        <v>15550</v>
      </c>
      <c r="M1717" s="7">
        <v>1</v>
      </c>
      <c r="N1717" s="7">
        <v>0.4</v>
      </c>
      <c r="O1717" s="7">
        <v>3.1190000000000002</v>
      </c>
      <c r="P1717" s="1" t="s">
        <v>15551</v>
      </c>
    </row>
    <row r="1718" spans="1:16" ht="17.05" x14ac:dyDescent="0.3">
      <c r="A1718" s="6" t="str">
        <f>HYPERLINK("https://www.ti.com/product/UCC27710", "UCC27710")</f>
        <v>UCC27710</v>
      </c>
      <c r="B1718" s="5" t="s">
        <v>15552</v>
      </c>
      <c r="C1718" s="6" t="str">
        <f>HYPERLINK("https://www.ti.com/lit/gpn/UCC27710", "PDF")</f>
        <v>PDF</v>
      </c>
      <c r="D1718" s="5" t="s">
        <v>15553</v>
      </c>
      <c r="E1718" s="5" t="s">
        <v>15554</v>
      </c>
      <c r="F1718" s="5"/>
      <c r="G1718" s="5" t="s">
        <v>15555</v>
      </c>
      <c r="H1718" s="1" t="s">
        <v>15556</v>
      </c>
      <c r="I1718" s="5" t="s">
        <v>15557</v>
      </c>
      <c r="J1718" s="7">
        <v>8</v>
      </c>
      <c r="K1718" s="7">
        <v>29.4</v>
      </c>
      <c r="L1718" s="5" t="s">
        <v>15558</v>
      </c>
      <c r="M1718" s="7">
        <v>1.75</v>
      </c>
      <c r="N1718" s="7">
        <v>1.27</v>
      </c>
      <c r="O1718" s="7">
        <v>0.5</v>
      </c>
      <c r="P1718" s="1" t="s">
        <v>15559</v>
      </c>
    </row>
    <row r="1719" spans="1:16" ht="33.4" x14ac:dyDescent="0.3">
      <c r="A1719" s="6" t="str">
        <f>HYPERLINK("https://www.ti.com/product/TUSB546A-DCI", "TUSB546A-DCI")</f>
        <v>TUSB546A-DCI</v>
      </c>
      <c r="B1719" s="5" t="s">
        <v>15560</v>
      </c>
      <c r="C1719" s="6" t="str">
        <f>HYPERLINK("https://www.ti.com/lit/gpn/TUSB546A-DCI", "PDF")</f>
        <v>PDF</v>
      </c>
      <c r="D1719" s="5" t="s">
        <v>15561</v>
      </c>
      <c r="E1719" s="5" t="s">
        <v>15562</v>
      </c>
      <c r="F1719" s="5"/>
      <c r="G1719" s="5" t="s">
        <v>15563</v>
      </c>
      <c r="H1719" s="1" t="s">
        <v>15564</v>
      </c>
      <c r="I1719" s="5" t="s">
        <v>15565</v>
      </c>
      <c r="J1719" s="7">
        <v>40</v>
      </c>
      <c r="K1719" s="7">
        <v>24</v>
      </c>
      <c r="L1719" s="5" t="s">
        <v>15566</v>
      </c>
      <c r="M1719" s="7">
        <v>0.8</v>
      </c>
      <c r="N1719" s="7">
        <v>0.4</v>
      </c>
      <c r="O1719" s="7">
        <v>2.3690000000000002</v>
      </c>
      <c r="P1719" s="1" t="s">
        <v>15567</v>
      </c>
    </row>
    <row r="1720" spans="1:16" ht="33.4" x14ac:dyDescent="0.3">
      <c r="A1720" s="6" t="str">
        <f>HYPERLINK("https://www.ti.com/product/LM76002", "LM76002")</f>
        <v>LM76002</v>
      </c>
      <c r="B1720" s="5" t="s">
        <v>15568</v>
      </c>
      <c r="C1720" s="6" t="str">
        <f>HYPERLINK("https://www.ti.com/lit/gpn/LM76002", "PDF")</f>
        <v>PDF</v>
      </c>
      <c r="D1720" s="5" t="s">
        <v>15569</v>
      </c>
      <c r="E1720" s="5" t="s">
        <v>15570</v>
      </c>
      <c r="F1720" s="5" t="s">
        <v>15571</v>
      </c>
      <c r="G1720" s="5" t="s">
        <v>15572</v>
      </c>
      <c r="H1720" s="1" t="s">
        <v>15573</v>
      </c>
      <c r="I1720" s="5" t="s">
        <v>15574</v>
      </c>
      <c r="J1720" s="7">
        <v>30</v>
      </c>
      <c r="K1720" s="7">
        <v>24</v>
      </c>
      <c r="L1720" s="5" t="s">
        <v>15575</v>
      </c>
      <c r="M1720" s="7">
        <v>0.8</v>
      </c>
      <c r="N1720" s="7">
        <v>0.5</v>
      </c>
      <c r="O1720" s="7">
        <v>1.8919999999999999</v>
      </c>
      <c r="P1720" s="1" t="s">
        <v>15576</v>
      </c>
    </row>
    <row r="1721" spans="1:16" ht="33.4" x14ac:dyDescent="0.3">
      <c r="A1721" s="6" t="str">
        <f>HYPERLINK("https://www.ti.com/product/LM76003", "LM76003")</f>
        <v>LM76003</v>
      </c>
      <c r="B1721" s="5" t="s">
        <v>15577</v>
      </c>
      <c r="C1721" s="6" t="str">
        <f>HYPERLINK("https://www.ti.com/lit/gpn/LM76003", "PDF")</f>
        <v>PDF</v>
      </c>
      <c r="D1721" s="5" t="s">
        <v>15578</v>
      </c>
      <c r="E1721" s="5" t="s">
        <v>15579</v>
      </c>
      <c r="F1721" s="5" t="s">
        <v>15580</v>
      </c>
      <c r="G1721" s="5" t="s">
        <v>15581</v>
      </c>
      <c r="H1721" s="1" t="s">
        <v>15582</v>
      </c>
      <c r="I1721" s="5" t="s">
        <v>15583</v>
      </c>
      <c r="J1721" s="7">
        <v>30</v>
      </c>
      <c r="K1721" s="7">
        <v>24</v>
      </c>
      <c r="L1721" s="5" t="s">
        <v>15584</v>
      </c>
      <c r="M1721" s="7">
        <v>0.8</v>
      </c>
      <c r="N1721" s="7">
        <v>0.5</v>
      </c>
      <c r="O1721" s="7">
        <v>1.925</v>
      </c>
      <c r="P1721" s="1" t="s">
        <v>15585</v>
      </c>
    </row>
    <row r="1722" spans="1:16" ht="33.4" x14ac:dyDescent="0.3">
      <c r="A1722" s="6" t="str">
        <f>HYPERLINK("https://www.ti.com/product/TPS65919-Q1", "TPS65919-Q1")</f>
        <v>TPS65919-Q1</v>
      </c>
      <c r="B1722" s="5" t="s">
        <v>15586</v>
      </c>
      <c r="C1722" s="6" t="str">
        <f>HYPERLINK("https://www.ti.com/lit/gpn/TPS65919-Q1", "PDF")</f>
        <v>PDF</v>
      </c>
      <c r="D1722" s="5" t="s">
        <v>15587</v>
      </c>
      <c r="E1722" s="5" t="s">
        <v>15588</v>
      </c>
      <c r="F1722" s="5"/>
      <c r="G1722" s="5" t="s">
        <v>15589</v>
      </c>
      <c r="H1722" s="1" t="s">
        <v>15590</v>
      </c>
      <c r="I1722" s="5" t="s">
        <v>15591</v>
      </c>
      <c r="J1722" s="7">
        <v>48</v>
      </c>
      <c r="K1722" s="7">
        <v>49</v>
      </c>
      <c r="L1722" s="5" t="s">
        <v>15592</v>
      </c>
      <c r="M1722" s="7">
        <v>1</v>
      </c>
      <c r="N1722" s="7">
        <v>0.5</v>
      </c>
      <c r="O1722" s="7">
        <v>4.8540000000000001</v>
      </c>
      <c r="P1722" s="1" t="s">
        <v>15593</v>
      </c>
    </row>
    <row r="1723" spans="1:16" ht="33.4" x14ac:dyDescent="0.3">
      <c r="A1723" s="6" t="str">
        <f>HYPERLINK("https://www.ti.com/product/UCC21520-Q1", "UCC21520-Q1")</f>
        <v>UCC21520-Q1</v>
      </c>
      <c r="B1723" s="5" t="s">
        <v>15594</v>
      </c>
      <c r="C1723" s="6" t="str">
        <f>HYPERLINK("https://www.ti.com/lit/gpn/UCC21520-Q1", "PDF")</f>
        <v>PDF</v>
      </c>
      <c r="D1723" s="5" t="s">
        <v>15595</v>
      </c>
      <c r="E1723" s="5" t="s">
        <v>15596</v>
      </c>
      <c r="F1723" s="5"/>
      <c r="G1723" s="5" t="s">
        <v>15597</v>
      </c>
      <c r="H1723" s="1" t="s">
        <v>15598</v>
      </c>
      <c r="I1723" s="5" t="s">
        <v>15599</v>
      </c>
      <c r="J1723" s="7">
        <v>16</v>
      </c>
      <c r="K1723" s="7">
        <v>106.09</v>
      </c>
      <c r="L1723" s="5" t="s">
        <v>15600</v>
      </c>
      <c r="M1723" s="7">
        <v>2.65</v>
      </c>
      <c r="N1723" s="7">
        <v>1.27</v>
      </c>
      <c r="O1723" s="7">
        <v>2.2130000000000001</v>
      </c>
      <c r="P1723" s="1" t="s">
        <v>15601</v>
      </c>
    </row>
    <row r="1724" spans="1:16" ht="33.4" x14ac:dyDescent="0.3">
      <c r="A1724" s="6" t="str">
        <f>HYPERLINK("https://www.ti.com/product/TPS2372", "TPS2372")</f>
        <v>TPS2372</v>
      </c>
      <c r="B1724" s="5" t="s">
        <v>15602</v>
      </c>
      <c r="C1724" s="6" t="str">
        <f>HYPERLINK("https://www.ti.com/lit/gpn/TPS2372", "PDF")</f>
        <v>PDF</v>
      </c>
      <c r="D1724" s="5" t="s">
        <v>15603</v>
      </c>
      <c r="E1724" s="5" t="s">
        <v>15604</v>
      </c>
      <c r="F1724" s="5"/>
      <c r="G1724" s="5" t="s">
        <v>15605</v>
      </c>
      <c r="H1724" s="1" t="s">
        <v>15606</v>
      </c>
      <c r="I1724" s="5" t="s">
        <v>15607</v>
      </c>
      <c r="J1724" s="7">
        <v>20</v>
      </c>
      <c r="K1724" s="7">
        <v>25</v>
      </c>
      <c r="L1724" s="5" t="s">
        <v>15608</v>
      </c>
      <c r="M1724" s="7">
        <v>1</v>
      </c>
      <c r="N1724" s="7">
        <v>0.65</v>
      </c>
      <c r="O1724" s="7">
        <v>1.196</v>
      </c>
      <c r="P1724" s="1" t="s">
        <v>15609</v>
      </c>
    </row>
    <row r="1725" spans="1:16" ht="33.4" x14ac:dyDescent="0.3">
      <c r="A1725" s="6" t="str">
        <f>HYPERLINK("https://www.ti.com/product/TPS92830-Q1", "TPS92830-Q1")</f>
        <v>TPS92830-Q1</v>
      </c>
      <c r="B1725" s="5" t="s">
        <v>15610</v>
      </c>
      <c r="C1725" s="6" t="str">
        <f>HYPERLINK("https://www.ti.com/lit/gpn/TPS92830-Q1", "PDF")</f>
        <v>PDF</v>
      </c>
      <c r="D1725" s="5" t="s">
        <v>15611</v>
      </c>
      <c r="E1725" s="5" t="s">
        <v>15612</v>
      </c>
      <c r="F1725" s="5" t="s">
        <v>15613</v>
      </c>
      <c r="G1725" s="5" t="s">
        <v>15614</v>
      </c>
      <c r="H1725" s="1" t="s">
        <v>15615</v>
      </c>
      <c r="I1725" s="5" t="s">
        <v>15616</v>
      </c>
      <c r="J1725" s="7">
        <v>28</v>
      </c>
      <c r="K1725" s="7">
        <v>62.08</v>
      </c>
      <c r="L1725" s="5" t="s">
        <v>15617</v>
      </c>
      <c r="M1725" s="7">
        <v>1.2</v>
      </c>
      <c r="N1725" s="7">
        <v>0.65</v>
      </c>
      <c r="O1725" s="7">
        <v>0.98399999999999999</v>
      </c>
      <c r="P1725" s="1" t="s">
        <v>15618</v>
      </c>
    </row>
    <row r="1726" spans="1:16" ht="33.4" x14ac:dyDescent="0.3">
      <c r="A1726" s="6" t="str">
        <f>HYPERLINK("https://www.ti.com/product/UCC28C43-Q1", "UCC28C43-Q1")</f>
        <v>UCC28C43-Q1</v>
      </c>
      <c r="B1726" s="5" t="s">
        <v>15619</v>
      </c>
      <c r="C1726" s="6" t="str">
        <f>HYPERLINK("https://www.ti.com/lit/gpn/UCC28C43-Q1", "PDF")</f>
        <v>PDF</v>
      </c>
      <c r="D1726" s="5" t="s">
        <v>15620</v>
      </c>
      <c r="E1726" s="5" t="s">
        <v>15621</v>
      </c>
      <c r="F1726" s="5" t="s">
        <v>15622</v>
      </c>
      <c r="G1726" s="5" t="s">
        <v>15623</v>
      </c>
      <c r="H1726" s="1" t="s">
        <v>15624</v>
      </c>
      <c r="I1726" s="5" t="s">
        <v>15625</v>
      </c>
      <c r="J1726" s="7">
        <v>8</v>
      </c>
      <c r="K1726" s="7">
        <v>29.4</v>
      </c>
      <c r="L1726" s="5" t="s">
        <v>15626</v>
      </c>
      <c r="M1726" s="7">
        <v>1.75</v>
      </c>
      <c r="N1726" s="7">
        <v>1.27</v>
      </c>
      <c r="O1726" s="7">
        <v>0.871</v>
      </c>
      <c r="P1726" s="1" t="s">
        <v>15627</v>
      </c>
    </row>
    <row r="1727" spans="1:16" ht="33.4" x14ac:dyDescent="0.3">
      <c r="A1727" s="6" t="str">
        <f>HYPERLINK("https://www.ti.com/product/LM5150-Q1", "LM5150-Q1")</f>
        <v>LM5150-Q1</v>
      </c>
      <c r="B1727" s="5" t="s">
        <v>15628</v>
      </c>
      <c r="C1727" s="6" t="str">
        <f>HYPERLINK("https://www.ti.com/lit/gpn/LM5150-Q1", "PDF")</f>
        <v>PDF</v>
      </c>
      <c r="D1727" s="5" t="s">
        <v>15629</v>
      </c>
      <c r="E1727" s="5" t="s">
        <v>15630</v>
      </c>
      <c r="F1727" s="5" t="s">
        <v>15631</v>
      </c>
      <c r="G1727" s="5" t="s">
        <v>15632</v>
      </c>
      <c r="H1727" s="1" t="s">
        <v>15633</v>
      </c>
      <c r="I1727" s="5" t="s">
        <v>15634</v>
      </c>
      <c r="J1727" s="7">
        <v>16</v>
      </c>
      <c r="K1727" s="7">
        <v>16</v>
      </c>
      <c r="L1727" s="5" t="s">
        <v>15635</v>
      </c>
      <c r="M1727" s="7">
        <v>0.8</v>
      </c>
      <c r="N1727" s="7">
        <v>0.65</v>
      </c>
      <c r="O1727" s="7">
        <v>0.88500000000000001</v>
      </c>
      <c r="P1727" s="1" t="s">
        <v>15636</v>
      </c>
    </row>
    <row r="1728" spans="1:16" ht="33.4" x14ac:dyDescent="0.3">
      <c r="A1728" s="6" t="str">
        <f>HYPERLINK("https://www.ti.com/product/TPS27S100", "TPS27S100")</f>
        <v>TPS27S100</v>
      </c>
      <c r="B1728" s="5" t="s">
        <v>15637</v>
      </c>
      <c r="C1728" s="6" t="str">
        <f>HYPERLINK("https://www.ti.com/lit/gpn/TPS27S100", "PDF")</f>
        <v>PDF</v>
      </c>
      <c r="D1728" s="5" t="s">
        <v>15638</v>
      </c>
      <c r="E1728" s="5" t="s">
        <v>15639</v>
      </c>
      <c r="F1728" s="5"/>
      <c r="G1728" s="5" t="s">
        <v>15640</v>
      </c>
      <c r="H1728" s="1" t="s">
        <v>15641</v>
      </c>
      <c r="I1728" s="5" t="s">
        <v>15642</v>
      </c>
      <c r="J1728" s="7" t="s">
        <v>15643</v>
      </c>
      <c r="K1728" s="7" t="s">
        <v>15644</v>
      </c>
      <c r="L1728" s="5" t="s">
        <v>15645</v>
      </c>
      <c r="M1728" s="7" t="s">
        <v>15646</v>
      </c>
      <c r="N1728" s="7" t="s">
        <v>15647</v>
      </c>
      <c r="O1728" s="7">
        <v>0.92900000000000005</v>
      </c>
      <c r="P1728" s="1" t="s">
        <v>15648</v>
      </c>
    </row>
    <row r="1729" spans="1:16" ht="33.4" x14ac:dyDescent="0.3">
      <c r="A1729" s="6" t="str">
        <f>HYPERLINK("https://www.ti.com/product/CSD25501F3", "CSD25501F3")</f>
        <v>CSD25501F3</v>
      </c>
      <c r="B1729" s="5" t="s">
        <v>15649</v>
      </c>
      <c r="C1729" s="6" t="str">
        <f>HYPERLINK("https://www.ti.com/lit/gpn/CSD25501F3", "PDF")</f>
        <v>PDF</v>
      </c>
      <c r="D1729" s="5" t="s">
        <v>15650</v>
      </c>
      <c r="E1729" s="5" t="s">
        <v>15651</v>
      </c>
      <c r="F1729" s="5"/>
      <c r="G1729" s="5" t="s">
        <v>15652</v>
      </c>
      <c r="H1729" s="1" t="s">
        <v>15653</v>
      </c>
      <c r="I1729" s="5" t="s">
        <v>15654</v>
      </c>
      <c r="J1729" s="7">
        <v>3</v>
      </c>
      <c r="K1729" s="7">
        <v>0.41399999999999998</v>
      </c>
      <c r="L1729" s="5" t="s">
        <v>15655</v>
      </c>
      <c r="M1729" s="7">
        <v>0.22</v>
      </c>
      <c r="N1729" s="7">
        <v>0.35</v>
      </c>
      <c r="O1729" s="7">
        <v>4.1000000000000002E-2</v>
      </c>
      <c r="P1729" s="1" t="s">
        <v>15656</v>
      </c>
    </row>
    <row r="1730" spans="1:16" ht="49.75" x14ac:dyDescent="0.3">
      <c r="A1730" s="6" t="str">
        <f>HYPERLINK("https://www.ti.com/product/TPS79901-EP", "TPS79901-EP")</f>
        <v>TPS79901-EP</v>
      </c>
      <c r="B1730" s="5" t="s">
        <v>15657</v>
      </c>
      <c r="C1730" s="6" t="str">
        <f>HYPERLINK("https://www.ti.com/lit/gpn/TPS79901-EP", "PDF")</f>
        <v>PDF</v>
      </c>
      <c r="D1730" s="5" t="s">
        <v>15658</v>
      </c>
      <c r="E1730" s="5" t="s">
        <v>15659</v>
      </c>
      <c r="F1730" s="5"/>
      <c r="G1730" s="5" t="s">
        <v>15660</v>
      </c>
      <c r="H1730" s="1" t="s">
        <v>15661</v>
      </c>
      <c r="I1730" s="5" t="s">
        <v>15662</v>
      </c>
      <c r="J1730" s="7">
        <v>6</v>
      </c>
      <c r="K1730" s="7">
        <v>4</v>
      </c>
      <c r="L1730" s="5" t="s">
        <v>15663</v>
      </c>
      <c r="M1730" s="7">
        <v>0.8</v>
      </c>
      <c r="N1730" s="7">
        <v>0.65</v>
      </c>
      <c r="O1730" s="7">
        <v>2.6480000000000001</v>
      </c>
      <c r="P1730" s="1" t="s">
        <v>15664</v>
      </c>
    </row>
    <row r="1731" spans="1:16" ht="33.4" x14ac:dyDescent="0.3">
      <c r="A1731" s="6" t="str">
        <f>HYPERLINK("https://www.ti.com/product/CSD18511KCS", "CSD18511KCS")</f>
        <v>CSD18511KCS</v>
      </c>
      <c r="B1731" s="5" t="s">
        <v>15665</v>
      </c>
      <c r="C1731" s="6" t="str">
        <f>HYPERLINK("https://www.ti.com/lit/gpn/CSD18511KCS", "PDF")</f>
        <v>PDF</v>
      </c>
      <c r="D1731" s="5" t="s">
        <v>15666</v>
      </c>
      <c r="E1731" s="5" t="s">
        <v>15667</v>
      </c>
      <c r="F1731" s="5"/>
      <c r="G1731" s="5" t="s">
        <v>15668</v>
      </c>
      <c r="H1731" s="1" t="s">
        <v>15669</v>
      </c>
      <c r="I1731" s="5" t="s">
        <v>15670</v>
      </c>
      <c r="J1731" s="7">
        <v>3</v>
      </c>
      <c r="K1731" s="7">
        <v>46.228000000000002</v>
      </c>
      <c r="L1731" s="5" t="s">
        <v>15671</v>
      </c>
      <c r="M1731" s="7">
        <v>4.7</v>
      </c>
      <c r="N1731" s="7">
        <v>2.54</v>
      </c>
      <c r="O1731" s="7">
        <v>0.47799999999999998</v>
      </c>
      <c r="P1731" s="1" t="s">
        <v>15672</v>
      </c>
    </row>
    <row r="1732" spans="1:16" ht="33.4" x14ac:dyDescent="0.3">
      <c r="A1732" s="6" t="str">
        <f>HYPERLINK("https://www.ti.com/product/CSD18511KTT", "CSD18511KTT")</f>
        <v>CSD18511KTT</v>
      </c>
      <c r="B1732" s="5" t="s">
        <v>15673</v>
      </c>
      <c r="C1732" s="6" t="str">
        <f>HYPERLINK("https://www.ti.com/lit/gpn/CSD18511KTT", "PDF")</f>
        <v>PDF</v>
      </c>
      <c r="D1732" s="5" t="s">
        <v>15674</v>
      </c>
      <c r="E1732" s="5" t="s">
        <v>15675</v>
      </c>
      <c r="F1732" s="5"/>
      <c r="G1732" s="5" t="s">
        <v>15676</v>
      </c>
      <c r="H1732" s="1" t="s">
        <v>15677</v>
      </c>
      <c r="I1732" s="5" t="s">
        <v>15678</v>
      </c>
      <c r="J1732" s="7">
        <v>2</v>
      </c>
      <c r="K1732" s="7">
        <v>153.416</v>
      </c>
      <c r="L1732" s="5" t="s">
        <v>15679</v>
      </c>
      <c r="M1732" s="7">
        <v>4.7</v>
      </c>
      <c r="N1732" s="7">
        <v>2.54</v>
      </c>
      <c r="O1732" s="7">
        <v>0.51800000000000002</v>
      </c>
      <c r="P1732" s="1" t="s">
        <v>15680</v>
      </c>
    </row>
    <row r="1733" spans="1:16" ht="17.05" x14ac:dyDescent="0.3">
      <c r="A1733" s="6" t="str">
        <f>HYPERLINK("https://www.ti.com/product/TPS22916", "TPS22916")</f>
        <v>TPS22916</v>
      </c>
      <c r="B1733" s="5" t="s">
        <v>15681</v>
      </c>
      <c r="C1733" s="6" t="str">
        <f>HYPERLINK("https://www.ti.com/lit/gpn/TPS22916", "PDF")</f>
        <v>PDF</v>
      </c>
      <c r="D1733" s="5" t="s">
        <v>15682</v>
      </c>
      <c r="E1733" s="5" t="s">
        <v>15683</v>
      </c>
      <c r="F1733" s="5"/>
      <c r="G1733" s="5" t="s">
        <v>15684</v>
      </c>
      <c r="H1733" s="1" t="s">
        <v>15685</v>
      </c>
      <c r="I1733" s="5" t="s">
        <v>15686</v>
      </c>
      <c r="J1733" s="7">
        <v>4</v>
      </c>
      <c r="K1733" s="7">
        <v>1</v>
      </c>
      <c r="L1733" s="5" t="s">
        <v>15687</v>
      </c>
      <c r="M1733" s="7">
        <v>0.5</v>
      </c>
      <c r="N1733" s="7">
        <v>0.4</v>
      </c>
      <c r="O1733" s="7">
        <v>0.16600000000000001</v>
      </c>
      <c r="P1733" s="1" t="s">
        <v>15688</v>
      </c>
    </row>
    <row r="1734" spans="1:16" ht="33.4" x14ac:dyDescent="0.3">
      <c r="A1734" s="6" t="str">
        <f>HYPERLINK("https://www.ti.com/product/LP87322E-Q1", "LP87322E-Q1")</f>
        <v>LP87322E-Q1</v>
      </c>
      <c r="B1734" s="5" t="s">
        <v>15689</v>
      </c>
      <c r="C1734" s="6" t="str">
        <f>HYPERLINK("https://www.ti.com/lit/gpn/LP87322E-Q1", "PDF")</f>
        <v>PDF</v>
      </c>
      <c r="D1734" s="5" t="s">
        <v>15690</v>
      </c>
      <c r="E1734" s="5" t="s">
        <v>15691</v>
      </c>
      <c r="F1734" s="5"/>
      <c r="G1734" s="5" t="s">
        <v>15692</v>
      </c>
      <c r="H1734" s="1" t="s">
        <v>15693</v>
      </c>
      <c r="I1734" s="5" t="s">
        <v>15694</v>
      </c>
      <c r="J1734" s="7">
        <v>28</v>
      </c>
      <c r="K1734" s="7">
        <v>25</v>
      </c>
      <c r="L1734" s="5" t="s">
        <v>15695</v>
      </c>
      <c r="M1734" s="7">
        <v>1</v>
      </c>
      <c r="N1734" s="7">
        <v>0.5</v>
      </c>
      <c r="O1734" s="7">
        <v>1.333</v>
      </c>
      <c r="P1734" s="1" t="s">
        <v>15696</v>
      </c>
    </row>
    <row r="1735" spans="1:16" ht="33.4" x14ac:dyDescent="0.3">
      <c r="A1735" s="6" t="str">
        <f>HYPERLINK("https://www.ti.com/product/LP87322F-Q1", "LP87322F-Q1")</f>
        <v>LP87322F-Q1</v>
      </c>
      <c r="B1735" s="5" t="s">
        <v>15697</v>
      </c>
      <c r="C1735" s="6" t="str">
        <f>HYPERLINK("https://www.ti.com/lit/gpn/LP87322F-Q1", "PDF")</f>
        <v>PDF</v>
      </c>
      <c r="D1735" s="5" t="s">
        <v>15698</v>
      </c>
      <c r="E1735" s="5" t="s">
        <v>15699</v>
      </c>
      <c r="F1735" s="5"/>
      <c r="G1735" s="5" t="s">
        <v>15700</v>
      </c>
      <c r="H1735" s="1" t="s">
        <v>15701</v>
      </c>
      <c r="I1735" s="5" t="s">
        <v>15702</v>
      </c>
      <c r="J1735" s="7">
        <v>28</v>
      </c>
      <c r="K1735" s="7">
        <v>25</v>
      </c>
      <c r="L1735" s="5" t="s">
        <v>15703</v>
      </c>
      <c r="M1735" s="7">
        <v>1</v>
      </c>
      <c r="N1735" s="7">
        <v>0.5</v>
      </c>
      <c r="O1735" s="7">
        <v>1.333</v>
      </c>
      <c r="P1735" s="1" t="s">
        <v>15704</v>
      </c>
    </row>
    <row r="1736" spans="1:16" ht="33.4" x14ac:dyDescent="0.3">
      <c r="A1736" s="6" t="str">
        <f>HYPERLINK("https://www.ti.com/product/LP87332A-Q1", "LP87332A-Q1")</f>
        <v>LP87332A-Q1</v>
      </c>
      <c r="B1736" s="5" t="s">
        <v>15705</v>
      </c>
      <c r="C1736" s="6" t="str">
        <f>HYPERLINK("https://www.ti.com/lit/gpn/LP87332A-Q1", "PDF")</f>
        <v>PDF</v>
      </c>
      <c r="D1736" s="5" t="s">
        <v>15706</v>
      </c>
      <c r="E1736" s="5" t="s">
        <v>15707</v>
      </c>
      <c r="F1736" s="5"/>
      <c r="G1736" s="5" t="s">
        <v>15708</v>
      </c>
      <c r="H1736" s="1" t="s">
        <v>15709</v>
      </c>
      <c r="I1736" s="5" t="s">
        <v>15710</v>
      </c>
      <c r="J1736" s="7">
        <v>28</v>
      </c>
      <c r="K1736" s="7">
        <v>25</v>
      </c>
      <c r="L1736" s="5" t="s">
        <v>15711</v>
      </c>
      <c r="M1736" s="7">
        <v>1</v>
      </c>
      <c r="N1736" s="7">
        <v>0.5</v>
      </c>
      <c r="O1736" s="7">
        <v>1.4490000000000001</v>
      </c>
      <c r="P1736" s="1" t="s">
        <v>15712</v>
      </c>
    </row>
    <row r="1737" spans="1:16" ht="17.05" x14ac:dyDescent="0.3">
      <c r="A1737" s="6" t="str">
        <f>HYPERLINK("https://www.ti.com/product/TPS22970", "TPS22970")</f>
        <v>TPS22970</v>
      </c>
      <c r="B1737" s="5" t="s">
        <v>15713</v>
      </c>
      <c r="C1737" s="6" t="str">
        <f>HYPERLINK("https://www.ti.com/lit/gpn/TPS22970", "PDF")</f>
        <v>PDF</v>
      </c>
      <c r="D1737" s="5" t="s">
        <v>15714</v>
      </c>
      <c r="E1737" s="5" t="s">
        <v>15715</v>
      </c>
      <c r="F1737" s="5"/>
      <c r="G1737" s="5" t="s">
        <v>15716</v>
      </c>
      <c r="H1737" s="1" t="s">
        <v>15717</v>
      </c>
      <c r="I1737" s="5" t="s">
        <v>15718</v>
      </c>
      <c r="J1737" s="7">
        <v>8</v>
      </c>
      <c r="K1737" s="7">
        <v>2.8125</v>
      </c>
      <c r="L1737" s="5" t="s">
        <v>15719</v>
      </c>
      <c r="M1737" s="7">
        <v>0.5</v>
      </c>
      <c r="N1737" s="7">
        <v>0.5</v>
      </c>
      <c r="O1737" s="7">
        <v>0.14399999999999999</v>
      </c>
      <c r="P1737" s="1" t="s">
        <v>15720</v>
      </c>
    </row>
    <row r="1738" spans="1:16" ht="33.4" x14ac:dyDescent="0.3">
      <c r="A1738" s="6" t="str">
        <f>HYPERLINK("https://www.ti.com/product/TPS63710", "TPS63710")</f>
        <v>TPS63710</v>
      </c>
      <c r="B1738" s="5" t="s">
        <v>15721</v>
      </c>
      <c r="C1738" s="6" t="str">
        <f>HYPERLINK("https://www.ti.com/lit/gpn/TPS63710", "PDF")</f>
        <v>PDF</v>
      </c>
      <c r="D1738" s="5" t="s">
        <v>15722</v>
      </c>
      <c r="E1738" s="5" t="s">
        <v>15723</v>
      </c>
      <c r="F1738" s="5" t="s">
        <v>15724</v>
      </c>
      <c r="G1738" s="5" t="s">
        <v>15725</v>
      </c>
      <c r="H1738" s="1" t="s">
        <v>15726</v>
      </c>
      <c r="I1738" s="5" t="s">
        <v>15727</v>
      </c>
      <c r="J1738" s="7">
        <v>12</v>
      </c>
      <c r="K1738" s="7">
        <v>9</v>
      </c>
      <c r="L1738" s="5" t="s">
        <v>15728</v>
      </c>
      <c r="M1738" s="7">
        <v>0.8</v>
      </c>
      <c r="N1738" s="7">
        <v>0.5</v>
      </c>
      <c r="O1738" s="7">
        <v>1.1120000000000001</v>
      </c>
      <c r="P1738" s="1" t="s">
        <v>15729</v>
      </c>
    </row>
    <row r="1739" spans="1:16" ht="33.4" x14ac:dyDescent="0.3">
      <c r="A1739" s="6" t="str">
        <f>HYPERLINK("https://www.ti.com/product/LM73605", "LM73605")</f>
        <v>LM73605</v>
      </c>
      <c r="B1739" s="5" t="s">
        <v>15730</v>
      </c>
      <c r="C1739" s="6" t="str">
        <f>HYPERLINK("https://www.ti.com/lit/gpn/LM73605", "PDF")</f>
        <v>PDF</v>
      </c>
      <c r="D1739" s="5" t="s">
        <v>15731</v>
      </c>
      <c r="E1739" s="5" t="s">
        <v>15732</v>
      </c>
      <c r="F1739" s="5" t="s">
        <v>15733</v>
      </c>
      <c r="G1739" s="5" t="s">
        <v>15734</v>
      </c>
      <c r="H1739" s="1" t="s">
        <v>15735</v>
      </c>
      <c r="I1739" s="5" t="s">
        <v>15736</v>
      </c>
      <c r="J1739" s="7">
        <v>30</v>
      </c>
      <c r="K1739" s="7">
        <v>24</v>
      </c>
      <c r="L1739" s="5" t="s">
        <v>15737</v>
      </c>
      <c r="M1739" s="7">
        <v>0.8</v>
      </c>
      <c r="N1739" s="7">
        <v>0.5</v>
      </c>
      <c r="O1739" s="7">
        <v>2.4039999999999999</v>
      </c>
      <c r="P1739" s="1" t="s">
        <v>15738</v>
      </c>
    </row>
    <row r="1740" spans="1:16" ht="33.4" x14ac:dyDescent="0.3">
      <c r="A1740" s="6" t="str">
        <f>HYPERLINK("https://www.ti.com/product/LM73606", "LM73606")</f>
        <v>LM73606</v>
      </c>
      <c r="B1740" s="5" t="s">
        <v>15739</v>
      </c>
      <c r="C1740" s="6" t="str">
        <f>HYPERLINK("https://www.ti.com/lit/gpn/LM73606", "PDF")</f>
        <v>PDF</v>
      </c>
      <c r="D1740" s="5" t="s">
        <v>15740</v>
      </c>
      <c r="E1740" s="5" t="s">
        <v>15741</v>
      </c>
      <c r="F1740" s="5" t="s">
        <v>15742</v>
      </c>
      <c r="G1740" s="5" t="s">
        <v>15743</v>
      </c>
      <c r="H1740" s="1" t="s">
        <v>15744</v>
      </c>
      <c r="I1740" s="5" t="s">
        <v>15745</v>
      </c>
      <c r="J1740" s="7">
        <v>30</v>
      </c>
      <c r="K1740" s="7">
        <v>24</v>
      </c>
      <c r="L1740" s="5" t="s">
        <v>15746</v>
      </c>
      <c r="M1740" s="7">
        <v>0.8</v>
      </c>
      <c r="N1740" s="7">
        <v>0.5</v>
      </c>
      <c r="O1740" s="7">
        <v>2.895</v>
      </c>
      <c r="P1740" s="1" t="s">
        <v>15747</v>
      </c>
    </row>
    <row r="1741" spans="1:16" ht="33.4" x14ac:dyDescent="0.3">
      <c r="A1741" s="6" t="str">
        <f>HYPERLINK("https://www.ti.com/product/TPS565208", "TPS565208")</f>
        <v>TPS565208</v>
      </c>
      <c r="B1741" s="5" t="s">
        <v>15748</v>
      </c>
      <c r="C1741" s="6" t="str">
        <f>HYPERLINK("https://www.ti.com/lit/gpn/TPS565208", "PDF")</f>
        <v>PDF</v>
      </c>
      <c r="D1741" s="5" t="s">
        <v>15749</v>
      </c>
      <c r="E1741" s="5" t="s">
        <v>15750</v>
      </c>
      <c r="F1741" s="5" t="s">
        <v>15751</v>
      </c>
      <c r="G1741" s="5" t="s">
        <v>15752</v>
      </c>
      <c r="H1741" s="1" t="s">
        <v>15753</v>
      </c>
      <c r="I1741" s="5" t="s">
        <v>15754</v>
      </c>
      <c r="J1741" s="7">
        <v>6</v>
      </c>
      <c r="K1741" s="7">
        <v>8.1199999999999992</v>
      </c>
      <c r="L1741" s="5" t="s">
        <v>15755</v>
      </c>
      <c r="M1741" s="7">
        <v>1.1000000000000001</v>
      </c>
      <c r="N1741" s="7">
        <v>0.95</v>
      </c>
      <c r="O1741" s="7">
        <v>0.48299999999999998</v>
      </c>
      <c r="P1741" s="1" t="s">
        <v>15756</v>
      </c>
    </row>
    <row r="1742" spans="1:16" ht="33.4" x14ac:dyDescent="0.3">
      <c r="A1742" s="6" t="str">
        <f>HYPERLINK("https://www.ti.com/product/TUSB564", "TUSB564")</f>
        <v>TUSB564</v>
      </c>
      <c r="B1742" s="5" t="s">
        <v>15757</v>
      </c>
      <c r="C1742" s="6" t="str">
        <f>HYPERLINK("https://www.ti.com/lit/gpn/TUSB564", "PDF")</f>
        <v>PDF</v>
      </c>
      <c r="D1742" s="5" t="s">
        <v>15758</v>
      </c>
      <c r="E1742" s="5" t="s">
        <v>15759</v>
      </c>
      <c r="F1742" s="5"/>
      <c r="G1742" s="5" t="s">
        <v>15760</v>
      </c>
      <c r="H1742" s="1" t="s">
        <v>15761</v>
      </c>
      <c r="I1742" s="5" t="s">
        <v>15762</v>
      </c>
      <c r="J1742" s="7">
        <v>40</v>
      </c>
      <c r="K1742" s="7">
        <v>24</v>
      </c>
      <c r="L1742" s="5" t="s">
        <v>15763</v>
      </c>
      <c r="M1742" s="7">
        <v>0.8</v>
      </c>
      <c r="N1742" s="7">
        <v>0.4</v>
      </c>
      <c r="O1742" s="7">
        <v>1.518</v>
      </c>
      <c r="P1742" s="1" t="s">
        <v>15764</v>
      </c>
    </row>
    <row r="1743" spans="1:16" ht="33.4" x14ac:dyDescent="0.3">
      <c r="A1743" s="6" t="str">
        <f>HYPERLINK("https://www.ti.com/product/LMS3655-Q1", "LMS3655-Q1")</f>
        <v>LMS3655-Q1</v>
      </c>
      <c r="B1743" s="5" t="s">
        <v>15765</v>
      </c>
      <c r="C1743" s="6" t="str">
        <f>HYPERLINK("https://www.ti.com/lit/gpn/LMS3655-Q1", "PDF")</f>
        <v>PDF</v>
      </c>
      <c r="D1743" s="5" t="s">
        <v>15766</v>
      </c>
      <c r="E1743" s="5" t="s">
        <v>15767</v>
      </c>
      <c r="F1743" s="5" t="s">
        <v>15768</v>
      </c>
      <c r="G1743" s="5" t="s">
        <v>15769</v>
      </c>
      <c r="H1743" s="1" t="s">
        <v>15770</v>
      </c>
      <c r="I1743" s="5" t="s">
        <v>15771</v>
      </c>
      <c r="J1743" s="7">
        <v>22</v>
      </c>
      <c r="K1743" s="7">
        <v>20</v>
      </c>
      <c r="L1743" s="5" t="s">
        <v>15772</v>
      </c>
      <c r="M1743" s="7">
        <v>0.9</v>
      </c>
      <c r="N1743" s="7">
        <v>0.5</v>
      </c>
      <c r="O1743" s="7">
        <v>3.1349999999999998</v>
      </c>
      <c r="P1743" s="1" t="s">
        <v>15773</v>
      </c>
    </row>
    <row r="1744" spans="1:16" ht="33.4" x14ac:dyDescent="0.3">
      <c r="A1744" s="6" t="str">
        <f>HYPERLINK("https://www.ti.com/product/LP5569", "LP5569")</f>
        <v>LP5569</v>
      </c>
      <c r="B1744" s="5" t="s">
        <v>15774</v>
      </c>
      <c r="C1744" s="6" t="str">
        <f>HYPERLINK("https://www.ti.com/lit/gpn/LP5569", "PDF")</f>
        <v>PDF</v>
      </c>
      <c r="D1744" s="5" t="s">
        <v>15775</v>
      </c>
      <c r="E1744" s="5" t="s">
        <v>15776</v>
      </c>
      <c r="F1744" s="5" t="s">
        <v>15777</v>
      </c>
      <c r="G1744" s="5" t="s">
        <v>15778</v>
      </c>
      <c r="H1744" s="1" t="s">
        <v>15779</v>
      </c>
      <c r="I1744" s="5" t="s">
        <v>15780</v>
      </c>
      <c r="J1744" s="7">
        <v>24</v>
      </c>
      <c r="K1744" s="7">
        <v>16</v>
      </c>
      <c r="L1744" s="5" t="s">
        <v>15781</v>
      </c>
      <c r="M1744" s="7">
        <v>0.8</v>
      </c>
      <c r="N1744" s="7">
        <v>0.5</v>
      </c>
      <c r="O1744" s="7">
        <v>0.79400000000000004</v>
      </c>
      <c r="P1744" s="1" t="s">
        <v>15782</v>
      </c>
    </row>
    <row r="1745" spans="1:16" ht="33.4" x14ac:dyDescent="0.3">
      <c r="A1745" s="6" t="str">
        <f>HYPERLINK("https://www.ti.com/product/CSD87503Q3E", "CSD87503Q3E")</f>
        <v>CSD87503Q3E</v>
      </c>
      <c r="B1745" s="5" t="s">
        <v>15783</v>
      </c>
      <c r="C1745" s="6" t="str">
        <f>HYPERLINK("https://www.ti.com/lit/gpn/CSD87503Q3E", "PDF")</f>
        <v>PDF</v>
      </c>
      <c r="D1745" s="5" t="s">
        <v>15784</v>
      </c>
      <c r="E1745" s="5" t="s">
        <v>15785</v>
      </c>
      <c r="F1745" s="5"/>
      <c r="G1745" s="5" t="s">
        <v>15786</v>
      </c>
      <c r="H1745" s="1" t="s">
        <v>15787</v>
      </c>
      <c r="I1745" s="5" t="s">
        <v>15788</v>
      </c>
      <c r="J1745" s="7">
        <v>8</v>
      </c>
      <c r="K1745" s="7">
        <v>10.89</v>
      </c>
      <c r="L1745" s="5" t="s">
        <v>15789</v>
      </c>
      <c r="M1745" s="7">
        <v>1.05</v>
      </c>
      <c r="N1745" s="7">
        <v>0.65</v>
      </c>
      <c r="O1745" s="7">
        <v>0.42499999999999999</v>
      </c>
      <c r="P1745" s="1" t="s">
        <v>15790</v>
      </c>
    </row>
    <row r="1746" spans="1:16" ht="33.4" x14ac:dyDescent="0.3">
      <c r="A1746" s="6" t="str">
        <f>HYPERLINK("https://www.ti.com/product/LMS3635-Q1", "LMS3635-Q1")</f>
        <v>LMS3635-Q1</v>
      </c>
      <c r="B1746" s="5" t="s">
        <v>15791</v>
      </c>
      <c r="C1746" s="6" t="str">
        <f>HYPERLINK("https://www.ti.com/lit/gpn/LMS3635-Q1", "PDF")</f>
        <v>PDF</v>
      </c>
      <c r="D1746" s="5" t="s">
        <v>15792</v>
      </c>
      <c r="E1746" s="5" t="s">
        <v>15793</v>
      </c>
      <c r="F1746" s="5" t="s">
        <v>15794</v>
      </c>
      <c r="G1746" s="5" t="s">
        <v>15795</v>
      </c>
      <c r="H1746" s="1" t="s">
        <v>15796</v>
      </c>
      <c r="I1746" s="5" t="s">
        <v>15797</v>
      </c>
      <c r="J1746" s="7">
        <v>22</v>
      </c>
      <c r="K1746" s="7">
        <v>20</v>
      </c>
      <c r="L1746" s="5" t="s">
        <v>15798</v>
      </c>
      <c r="M1746" s="7">
        <v>0.9</v>
      </c>
      <c r="N1746" s="7">
        <v>0.5</v>
      </c>
      <c r="O1746" s="7">
        <v>2.4119999999999999</v>
      </c>
      <c r="P1746" s="1" t="s">
        <v>15799</v>
      </c>
    </row>
    <row r="1747" spans="1:16" ht="17.05" x14ac:dyDescent="0.3">
      <c r="A1747" s="6" t="str">
        <f>HYPERLINK("https://www.ti.com/product/TPS659128", "TPS659128")</f>
        <v>TPS659128</v>
      </c>
      <c r="B1747" s="5" t="s">
        <v>15800</v>
      </c>
      <c r="C1747" s="6" t="str">
        <f>HYPERLINK("https://www.ti.com/lit/gpn/TPS659128", "PDF")</f>
        <v>PDF</v>
      </c>
      <c r="D1747" s="5" t="s">
        <v>15801</v>
      </c>
      <c r="E1747" s="5" t="s">
        <v>15802</v>
      </c>
      <c r="F1747" s="5"/>
      <c r="G1747" s="5" t="s">
        <v>15803</v>
      </c>
      <c r="H1747" s="1" t="s">
        <v>15804</v>
      </c>
      <c r="I1747" s="5" t="s">
        <v>15805</v>
      </c>
      <c r="J1747" s="7">
        <v>81</v>
      </c>
      <c r="K1747" s="7">
        <v>16</v>
      </c>
      <c r="L1747" s="5" t="s">
        <v>15806</v>
      </c>
      <c r="M1747" s="7">
        <v>0.625</v>
      </c>
      <c r="N1747" s="7">
        <v>0.4</v>
      </c>
      <c r="O1747" s="7">
        <v>3.036</v>
      </c>
      <c r="P1747" s="1" t="s">
        <v>15807</v>
      </c>
    </row>
    <row r="1748" spans="1:16" ht="33.4" x14ac:dyDescent="0.3">
      <c r="A1748" s="6" t="str">
        <f>HYPERLINK("https://www.ti.com/product/TPS7A39", "TPS7A39")</f>
        <v>TPS7A39</v>
      </c>
      <c r="B1748" s="5" t="s">
        <v>15808</v>
      </c>
      <c r="C1748" s="6" t="str">
        <f>HYPERLINK("https://www.ti.com/lit/gpn/TPS7A39", "PDF")</f>
        <v>PDF</v>
      </c>
      <c r="D1748" s="5" t="s">
        <v>15809</v>
      </c>
      <c r="E1748" s="5" t="s">
        <v>15810</v>
      </c>
      <c r="F1748" s="5"/>
      <c r="G1748" s="5" t="s">
        <v>15811</v>
      </c>
      <c r="H1748" s="1" t="s">
        <v>15812</v>
      </c>
      <c r="I1748" s="5" t="s">
        <v>15813</v>
      </c>
      <c r="J1748" s="7">
        <v>10</v>
      </c>
      <c r="K1748" s="7">
        <v>9</v>
      </c>
      <c r="L1748" s="5" t="s">
        <v>15814</v>
      </c>
      <c r="M1748" s="7">
        <v>0.8</v>
      </c>
      <c r="N1748" s="7">
        <v>0.5</v>
      </c>
      <c r="O1748" s="7">
        <v>2.226</v>
      </c>
      <c r="P1748" s="1" t="s">
        <v>15815</v>
      </c>
    </row>
    <row r="1749" spans="1:16" ht="33.4" x14ac:dyDescent="0.3">
      <c r="A1749" s="6" t="str">
        <f>HYPERLINK("https://www.ti.com/product/TPS565201", "TPS565201")</f>
        <v>TPS565201</v>
      </c>
      <c r="B1749" s="5" t="s">
        <v>15816</v>
      </c>
      <c r="C1749" s="6" t="str">
        <f>HYPERLINK("https://www.ti.com/lit/gpn/TPS565201", "PDF")</f>
        <v>PDF</v>
      </c>
      <c r="D1749" s="5" t="s">
        <v>15817</v>
      </c>
      <c r="E1749" s="5" t="s">
        <v>15818</v>
      </c>
      <c r="F1749" s="5" t="s">
        <v>15819</v>
      </c>
      <c r="G1749" s="5" t="s">
        <v>15820</v>
      </c>
      <c r="H1749" s="1" t="s">
        <v>15821</v>
      </c>
      <c r="I1749" s="5" t="s">
        <v>15822</v>
      </c>
      <c r="J1749" s="7">
        <v>6</v>
      </c>
      <c r="K1749" s="7">
        <v>8.1199999999999992</v>
      </c>
      <c r="L1749" s="5" t="s">
        <v>15823</v>
      </c>
      <c r="M1749" s="7">
        <v>1.1000000000000001</v>
      </c>
      <c r="N1749" s="7">
        <v>0.95</v>
      </c>
      <c r="O1749" s="7">
        <v>0.48299999999999998</v>
      </c>
      <c r="P1749" s="1" t="s">
        <v>15824</v>
      </c>
    </row>
    <row r="1750" spans="1:16" ht="33.4" x14ac:dyDescent="0.3">
      <c r="A1750" s="6" t="str">
        <f>HYPERLINK("https://www.ti.com/product/REF2125", "REF2125")</f>
        <v>REF2125</v>
      </c>
      <c r="B1750" s="5" t="s">
        <v>15825</v>
      </c>
      <c r="C1750" s="6" t="str">
        <f>HYPERLINK("https://www.ti.com/lit/gpn/REF2125", "PDF")</f>
        <v>PDF</v>
      </c>
      <c r="D1750" s="5" t="s">
        <v>15826</v>
      </c>
      <c r="E1750" s="5" t="s">
        <v>15827</v>
      </c>
      <c r="F1750" s="5"/>
      <c r="G1750" s="5" t="s">
        <v>15828</v>
      </c>
      <c r="H1750" s="1" t="s">
        <v>15829</v>
      </c>
      <c r="I1750" s="5" t="s">
        <v>15830</v>
      </c>
      <c r="J1750" s="7">
        <v>5</v>
      </c>
      <c r="K1750" s="7">
        <v>8.1199999999999992</v>
      </c>
      <c r="L1750" s="5" t="s">
        <v>15831</v>
      </c>
      <c r="M1750" s="7">
        <v>1.45</v>
      </c>
      <c r="N1750" s="7">
        <v>0.95</v>
      </c>
      <c r="O1750" s="7">
        <v>1.821</v>
      </c>
      <c r="P1750" s="1" t="s">
        <v>15832</v>
      </c>
    </row>
    <row r="1751" spans="1:16" ht="17.05" x14ac:dyDescent="0.3">
      <c r="A1751" s="6" t="str">
        <f>HYPERLINK("https://www.ti.com/product/REF3425", "REF3425")</f>
        <v>REF3425</v>
      </c>
      <c r="B1751" s="5" t="s">
        <v>15833</v>
      </c>
      <c r="C1751" s="6" t="str">
        <f>HYPERLINK("https://www.ti.com/lit/gpn/REF3425", "PDF")</f>
        <v>PDF</v>
      </c>
      <c r="D1751" s="5" t="s">
        <v>15834</v>
      </c>
      <c r="E1751" s="5" t="s">
        <v>15835</v>
      </c>
      <c r="F1751" s="5"/>
      <c r="G1751" s="5" t="s">
        <v>15836</v>
      </c>
      <c r="H1751" s="1" t="s">
        <v>15837</v>
      </c>
      <c r="I1751" s="5" t="s">
        <v>15838</v>
      </c>
      <c r="J1751" s="7">
        <v>6</v>
      </c>
      <c r="K1751" s="7">
        <v>8.1199999999999992</v>
      </c>
      <c r="L1751" s="5" t="s">
        <v>15839</v>
      </c>
      <c r="M1751" s="7">
        <v>1.45</v>
      </c>
      <c r="N1751" s="7">
        <v>0.95</v>
      </c>
      <c r="O1751" s="7">
        <v>0.97899999999999998</v>
      </c>
      <c r="P1751" s="1" t="s">
        <v>15840</v>
      </c>
    </row>
    <row r="1752" spans="1:16" ht="33.4" x14ac:dyDescent="0.3">
      <c r="A1752" s="6" t="str">
        <f>HYPERLINK("https://www.ti.com/product/TPS7A88-Q1", "TPS7A88-Q1")</f>
        <v>TPS7A88-Q1</v>
      </c>
      <c r="B1752" s="5" t="s">
        <v>15841</v>
      </c>
      <c r="C1752" s="6" t="str">
        <f>HYPERLINK("https://www.ti.com/lit/gpn/TPS7A88-Q1", "PDF")</f>
        <v>PDF</v>
      </c>
      <c r="D1752" s="5" t="s">
        <v>15842</v>
      </c>
      <c r="E1752" s="5" t="s">
        <v>15843</v>
      </c>
      <c r="F1752" s="5"/>
      <c r="G1752" s="5" t="s">
        <v>15844</v>
      </c>
      <c r="H1752" s="1" t="s">
        <v>15845</v>
      </c>
      <c r="I1752" s="5" t="s">
        <v>15846</v>
      </c>
      <c r="J1752" s="7">
        <v>20</v>
      </c>
      <c r="K1752" s="7">
        <v>16</v>
      </c>
      <c r="L1752" s="5" t="s">
        <v>15847</v>
      </c>
      <c r="M1752" s="7">
        <v>0.8</v>
      </c>
      <c r="N1752" s="7">
        <v>0.5</v>
      </c>
      <c r="O1752" s="7">
        <v>1.7709999999999999</v>
      </c>
      <c r="P1752" s="1" t="s">
        <v>15848</v>
      </c>
    </row>
    <row r="1753" spans="1:16" ht="33.4" x14ac:dyDescent="0.3">
      <c r="A1753" s="6" t="str">
        <f>HYPERLINK("https://www.ti.com/product/TLV62585", "TLV62585")</f>
        <v>TLV62585</v>
      </c>
      <c r="B1753" s="5" t="s">
        <v>15849</v>
      </c>
      <c r="C1753" s="6" t="str">
        <f>HYPERLINK("https://www.ti.com/lit/gpn/TLV62585", "PDF")</f>
        <v>PDF</v>
      </c>
      <c r="D1753" s="5" t="s">
        <v>15850</v>
      </c>
      <c r="E1753" s="5" t="s">
        <v>15851</v>
      </c>
      <c r="F1753" s="5" t="s">
        <v>15852</v>
      </c>
      <c r="G1753" s="5" t="s">
        <v>15853</v>
      </c>
      <c r="H1753" s="1" t="s">
        <v>15854</v>
      </c>
      <c r="I1753" s="5" t="s">
        <v>15855</v>
      </c>
      <c r="J1753" s="7" t="s">
        <v>15856</v>
      </c>
      <c r="K1753" s="7" t="s">
        <v>15857</v>
      </c>
      <c r="L1753" s="5" t="s">
        <v>15858</v>
      </c>
      <c r="M1753" s="7" t="s">
        <v>15859</v>
      </c>
      <c r="N1753" s="7">
        <v>0.5</v>
      </c>
      <c r="O1753" s="7">
        <v>9.5000000000000001E-2</v>
      </c>
      <c r="P1753" s="1" t="s">
        <v>15860</v>
      </c>
    </row>
    <row r="1754" spans="1:16" ht="33.4" x14ac:dyDescent="0.3">
      <c r="A1754" s="6" t="str">
        <f>HYPERLINK("https://www.ti.com/product/LV14360", "LV14360")</f>
        <v>LV14360</v>
      </c>
      <c r="B1754" s="5" t="s">
        <v>15861</v>
      </c>
      <c r="C1754" s="6" t="str">
        <f>HYPERLINK("https://www.ti.com/lit/gpn/LV14360", "PDF")</f>
        <v>PDF</v>
      </c>
      <c r="D1754" s="5" t="s">
        <v>15862</v>
      </c>
      <c r="E1754" s="5" t="s">
        <v>15863</v>
      </c>
      <c r="F1754" s="5" t="s">
        <v>15864</v>
      </c>
      <c r="G1754" s="5" t="s">
        <v>15865</v>
      </c>
      <c r="H1754" s="1" t="s">
        <v>15866</v>
      </c>
      <c r="I1754" s="5" t="s">
        <v>15867</v>
      </c>
      <c r="J1754" s="7">
        <v>8</v>
      </c>
      <c r="K1754" s="7">
        <v>29.4</v>
      </c>
      <c r="L1754" s="5" t="s">
        <v>15868</v>
      </c>
      <c r="M1754" s="7">
        <v>1.7</v>
      </c>
      <c r="N1754" s="7">
        <v>1.27</v>
      </c>
      <c r="O1754" s="7">
        <v>1.375</v>
      </c>
      <c r="P1754" s="1" t="s">
        <v>15869</v>
      </c>
    </row>
    <row r="1755" spans="1:16" ht="33.4" x14ac:dyDescent="0.3">
      <c r="A1755" s="6" t="str">
        <f>HYPERLINK("https://www.ti.com/product/TPS7A47-Q1", "TPS7A47-Q1")</f>
        <v>TPS7A47-Q1</v>
      </c>
      <c r="B1755" s="5" t="s">
        <v>15870</v>
      </c>
      <c r="C1755" s="6" t="str">
        <f>HYPERLINK("https://www.ti.com/lit/gpn/TPS7A47-Q1", "PDF")</f>
        <v>PDF</v>
      </c>
      <c r="D1755" s="5" t="s">
        <v>15871</v>
      </c>
      <c r="E1755" s="5" t="s">
        <v>15872</v>
      </c>
      <c r="F1755" s="5"/>
      <c r="G1755" s="5" t="s">
        <v>15873</v>
      </c>
      <c r="H1755" s="1" t="s">
        <v>15874</v>
      </c>
      <c r="I1755" s="5" t="s">
        <v>15875</v>
      </c>
      <c r="J1755" s="7">
        <v>20</v>
      </c>
      <c r="K1755" s="7">
        <v>25</v>
      </c>
      <c r="L1755" s="5" t="s">
        <v>15876</v>
      </c>
      <c r="M1755" s="7">
        <v>1</v>
      </c>
      <c r="N1755" s="7">
        <v>0.65</v>
      </c>
      <c r="O1755" s="7">
        <v>3.0339999999999998</v>
      </c>
      <c r="P1755" s="1" t="s">
        <v>15877</v>
      </c>
    </row>
    <row r="1756" spans="1:16" ht="17.05" x14ac:dyDescent="0.3">
      <c r="A1756" s="6" t="str">
        <f>HYPERLINK("https://www.ti.com/product/UCC27712-Q1", "UCC27712-Q1")</f>
        <v>UCC27712-Q1</v>
      </c>
      <c r="B1756" s="5" t="s">
        <v>15878</v>
      </c>
      <c r="C1756" s="6" t="str">
        <f>HYPERLINK("https://www.ti.com/lit/gpn/UCC27712-Q1", "PDF")</f>
        <v>PDF</v>
      </c>
      <c r="D1756" s="5" t="s">
        <v>15879</v>
      </c>
      <c r="E1756" s="5" t="s">
        <v>15880</v>
      </c>
      <c r="F1756" s="5"/>
      <c r="G1756" s="5" t="s">
        <v>15881</v>
      </c>
      <c r="H1756" s="1" t="s">
        <v>15882</v>
      </c>
      <c r="I1756" s="5" t="s">
        <v>15883</v>
      </c>
      <c r="J1756" s="7">
        <v>8</v>
      </c>
      <c r="K1756" s="7">
        <v>29.4</v>
      </c>
      <c r="L1756" s="5" t="s">
        <v>15884</v>
      </c>
      <c r="M1756" s="7">
        <v>1.75</v>
      </c>
      <c r="N1756" s="7">
        <v>1.27</v>
      </c>
      <c r="O1756" s="7">
        <v>0.81</v>
      </c>
      <c r="P1756" s="1" t="s">
        <v>15885</v>
      </c>
    </row>
    <row r="1757" spans="1:16" ht="33.4" x14ac:dyDescent="0.3">
      <c r="A1757" s="6" t="str">
        <f>HYPERLINK("https://www.ti.com/product/LM36011", "LM36011")</f>
        <v>LM36011</v>
      </c>
      <c r="B1757" s="5" t="s">
        <v>15886</v>
      </c>
      <c r="C1757" s="6" t="str">
        <f>HYPERLINK("https://www.ti.com/lit/gpn/LM36011", "PDF")</f>
        <v>PDF</v>
      </c>
      <c r="D1757" s="5" t="s">
        <v>15887</v>
      </c>
      <c r="E1757" s="5" t="s">
        <v>15888</v>
      </c>
      <c r="F1757" s="5" t="s">
        <v>15889</v>
      </c>
      <c r="G1757" s="5" t="s">
        <v>15890</v>
      </c>
      <c r="H1757" s="1" t="s">
        <v>15891</v>
      </c>
      <c r="I1757" s="5" t="s">
        <v>15892</v>
      </c>
      <c r="J1757" s="7">
        <v>8</v>
      </c>
      <c r="K1757" s="7">
        <v>1.2517750000000001</v>
      </c>
      <c r="L1757" s="5" t="s">
        <v>15893</v>
      </c>
      <c r="M1757" s="7">
        <v>0.5</v>
      </c>
      <c r="N1757" s="7">
        <v>0.35</v>
      </c>
      <c r="O1757" s="7">
        <v>0.25</v>
      </c>
      <c r="P1757" s="1" t="s">
        <v>15894</v>
      </c>
    </row>
    <row r="1758" spans="1:16" ht="33.4" x14ac:dyDescent="0.3">
      <c r="A1758" s="6" t="str">
        <f>HYPERLINK("https://www.ti.com/product/LMS3655", "LMS3655")</f>
        <v>LMS3655</v>
      </c>
      <c r="B1758" s="5" t="s">
        <v>15895</v>
      </c>
      <c r="C1758" s="6" t="str">
        <f>HYPERLINK("https://www.ti.com/lit/gpn/LMS3655", "PDF")</f>
        <v>PDF</v>
      </c>
      <c r="D1758" s="5" t="s">
        <v>15896</v>
      </c>
      <c r="E1758" s="5" t="s">
        <v>15897</v>
      </c>
      <c r="F1758" s="5" t="s">
        <v>15898</v>
      </c>
      <c r="G1758" s="5" t="s">
        <v>15899</v>
      </c>
      <c r="H1758" s="1" t="s">
        <v>15900</v>
      </c>
      <c r="I1758" s="5" t="s">
        <v>15901</v>
      </c>
      <c r="J1758" s="7">
        <v>22</v>
      </c>
      <c r="K1758" s="7">
        <v>20</v>
      </c>
      <c r="L1758" s="5" t="s">
        <v>15902</v>
      </c>
      <c r="M1758" s="7">
        <v>0.9</v>
      </c>
      <c r="N1758" s="7">
        <v>0.5</v>
      </c>
      <c r="O1758" s="7">
        <v>2.657</v>
      </c>
      <c r="P1758" s="1" t="s">
        <v>15903</v>
      </c>
    </row>
    <row r="1759" spans="1:16" ht="33.4" x14ac:dyDescent="0.3">
      <c r="A1759" s="6" t="str">
        <f>HYPERLINK("https://www.ti.com/product/LM36010", "LM36010")</f>
        <v>LM36010</v>
      </c>
      <c r="B1759" s="5" t="s">
        <v>15904</v>
      </c>
      <c r="C1759" s="6" t="str">
        <f>HYPERLINK("https://www.ti.com/lit/gpn/LM36010", "PDF")</f>
        <v>PDF</v>
      </c>
      <c r="D1759" s="5" t="s">
        <v>15905</v>
      </c>
      <c r="E1759" s="5" t="s">
        <v>15906</v>
      </c>
      <c r="F1759" s="5" t="s">
        <v>15907</v>
      </c>
      <c r="G1759" s="5" t="s">
        <v>15908</v>
      </c>
      <c r="H1759" s="1" t="s">
        <v>15909</v>
      </c>
      <c r="I1759" s="5" t="s">
        <v>15910</v>
      </c>
      <c r="J1759" s="7">
        <v>8</v>
      </c>
      <c r="K1759" s="7">
        <v>1.2517750000000001</v>
      </c>
      <c r="L1759" s="5" t="s">
        <v>15911</v>
      </c>
      <c r="M1759" s="7">
        <v>0.5</v>
      </c>
      <c r="N1759" s="7">
        <v>0.35</v>
      </c>
      <c r="O1759" s="7">
        <v>0.25</v>
      </c>
      <c r="P1759" s="1" t="s">
        <v>15912</v>
      </c>
    </row>
    <row r="1760" spans="1:16" ht="33.4" x14ac:dyDescent="0.3">
      <c r="A1760" s="6" t="str">
        <f>HYPERLINK("https://www.ti.com/product/TPS54424", "TPS54424")</f>
        <v>TPS54424</v>
      </c>
      <c r="B1760" s="5" t="s">
        <v>15913</v>
      </c>
      <c r="C1760" s="6" t="str">
        <f>HYPERLINK("https://www.ti.com/lit/gpn/TPS54424", "PDF")</f>
        <v>PDF</v>
      </c>
      <c r="D1760" s="5" t="s">
        <v>15914</v>
      </c>
      <c r="E1760" s="5" t="s">
        <v>15915</v>
      </c>
      <c r="F1760" s="5" t="s">
        <v>15916</v>
      </c>
      <c r="G1760" s="5" t="s">
        <v>15917</v>
      </c>
      <c r="H1760" s="1" t="s">
        <v>15918</v>
      </c>
      <c r="I1760" s="5" t="s">
        <v>15919</v>
      </c>
      <c r="J1760" s="7">
        <v>18</v>
      </c>
      <c r="K1760" s="7">
        <v>12.25</v>
      </c>
      <c r="L1760" s="5" t="s">
        <v>15920</v>
      </c>
      <c r="M1760" s="7">
        <v>1</v>
      </c>
      <c r="N1760" s="7">
        <v>0.5</v>
      </c>
      <c r="O1760" s="7">
        <v>1.113</v>
      </c>
      <c r="P1760" s="1" t="s">
        <v>15921</v>
      </c>
    </row>
    <row r="1761" spans="1:16" ht="49.75" x14ac:dyDescent="0.3">
      <c r="A1761" s="6" t="str">
        <f>HYPERLINK("https://www.ti.com/product/UCC5350", "UCC5350")</f>
        <v>UCC5350</v>
      </c>
      <c r="B1761" s="5" t="s">
        <v>15922</v>
      </c>
      <c r="C1761" s="6" t="str">
        <f>HYPERLINK("https://www.ti.com/lit/gpn/UCC5350", "PDF")</f>
        <v>PDF</v>
      </c>
      <c r="D1761" s="5" t="s">
        <v>15923</v>
      </c>
      <c r="E1761" s="5" t="s">
        <v>15924</v>
      </c>
      <c r="F1761" s="5"/>
      <c r="G1761" s="5" t="s">
        <v>15925</v>
      </c>
      <c r="H1761" s="1" t="s">
        <v>15926</v>
      </c>
      <c r="I1761" s="5" t="s">
        <v>15927</v>
      </c>
      <c r="J1761" s="7">
        <v>8</v>
      </c>
      <c r="K1761" s="7" t="s">
        <v>15928</v>
      </c>
      <c r="L1761" s="5" t="s">
        <v>15929</v>
      </c>
      <c r="M1761" s="7" t="s">
        <v>15930</v>
      </c>
      <c r="N1761" s="7">
        <v>1.27</v>
      </c>
      <c r="O1761" s="7">
        <v>0.81200000000000006</v>
      </c>
      <c r="P1761" s="1" t="s">
        <v>15931</v>
      </c>
    </row>
    <row r="1762" spans="1:16" ht="49.75" x14ac:dyDescent="0.3">
      <c r="A1762" s="6" t="str">
        <f>HYPERLINK("https://www.ti.com/product/UCC5390", "UCC5390")</f>
        <v>UCC5390</v>
      </c>
      <c r="B1762" s="5" t="s">
        <v>15932</v>
      </c>
      <c r="C1762" s="6" t="str">
        <f>HYPERLINK("https://www.ti.com/lit/gpn/UCC5390", "PDF")</f>
        <v>PDF</v>
      </c>
      <c r="D1762" s="5" t="s">
        <v>15933</v>
      </c>
      <c r="E1762" s="5" t="s">
        <v>15934</v>
      </c>
      <c r="F1762" s="5"/>
      <c r="G1762" s="5" t="s">
        <v>15935</v>
      </c>
      <c r="H1762" s="1" t="s">
        <v>15936</v>
      </c>
      <c r="I1762" s="5" t="s">
        <v>15937</v>
      </c>
      <c r="J1762" s="7">
        <v>8</v>
      </c>
      <c r="K1762" s="7" t="s">
        <v>15938</v>
      </c>
      <c r="L1762" s="5" t="s">
        <v>15939</v>
      </c>
      <c r="M1762" s="7" t="s">
        <v>15940</v>
      </c>
      <c r="N1762" s="7">
        <v>1.27</v>
      </c>
      <c r="O1762" s="7">
        <v>1.048</v>
      </c>
      <c r="P1762" s="1" t="s">
        <v>15941</v>
      </c>
    </row>
    <row r="1763" spans="1:16" ht="33.4" x14ac:dyDescent="0.3">
      <c r="A1763" s="6" t="str">
        <f>HYPERLINK("https://www.ti.com/product/TPS22971", "TPS22971")</f>
        <v>TPS22971</v>
      </c>
      <c r="B1763" s="5" t="s">
        <v>15942</v>
      </c>
      <c r="C1763" s="6" t="str">
        <f>HYPERLINK("https://www.ti.com/lit/gpn/TPS22971", "PDF")</f>
        <v>PDF</v>
      </c>
      <c r="D1763" s="5" t="s">
        <v>15943</v>
      </c>
      <c r="E1763" s="5" t="s">
        <v>15944</v>
      </c>
      <c r="F1763" s="5"/>
      <c r="G1763" s="5" t="s">
        <v>15945</v>
      </c>
      <c r="H1763" s="1" t="s">
        <v>15946</v>
      </c>
      <c r="I1763" s="5" t="s">
        <v>15947</v>
      </c>
      <c r="J1763" s="7">
        <v>8</v>
      </c>
      <c r="K1763" s="7">
        <v>2.8125</v>
      </c>
      <c r="L1763" s="5" t="s">
        <v>15948</v>
      </c>
      <c r="M1763" s="7">
        <v>0.5</v>
      </c>
      <c r="N1763" s="7">
        <v>0.5</v>
      </c>
      <c r="O1763" s="7">
        <v>0.14399999999999999</v>
      </c>
      <c r="P1763" s="1" t="s">
        <v>15949</v>
      </c>
    </row>
    <row r="1764" spans="1:16" ht="33.4" x14ac:dyDescent="0.3">
      <c r="A1764" s="6" t="str">
        <f>HYPERLINK("https://www.ti.com/product/TLV741P", "TLV741P")</f>
        <v>TLV741P</v>
      </c>
      <c r="B1764" s="5" t="s">
        <v>15950</v>
      </c>
      <c r="C1764" s="6" t="str">
        <f>HYPERLINK("https://www.ti.com/lit/gpn/TLV741P", "PDF")</f>
        <v>PDF</v>
      </c>
      <c r="D1764" s="5" t="s">
        <v>15951</v>
      </c>
      <c r="E1764" s="5" t="s">
        <v>15952</v>
      </c>
      <c r="F1764" s="5"/>
      <c r="G1764" s="5" t="s">
        <v>15953</v>
      </c>
      <c r="H1764" s="1" t="s">
        <v>15954</v>
      </c>
      <c r="I1764" s="5" t="s">
        <v>15955</v>
      </c>
      <c r="J1764" s="7" t="s">
        <v>15956</v>
      </c>
      <c r="K1764" s="7" t="s">
        <v>15957</v>
      </c>
      <c r="L1764" s="5" t="s">
        <v>15958</v>
      </c>
      <c r="M1764" s="7" t="s">
        <v>15959</v>
      </c>
      <c r="N1764" s="7" t="s">
        <v>15960</v>
      </c>
      <c r="O1764" s="7">
        <v>2.5999999999999999E-2</v>
      </c>
      <c r="P1764" s="1" t="s">
        <v>15961</v>
      </c>
    </row>
    <row r="1765" spans="1:16" ht="17.05" x14ac:dyDescent="0.3">
      <c r="A1765" s="6" t="str">
        <f>HYPERLINK("https://www.ti.com/product/TPS3710-Q1", "TPS3710-Q1")</f>
        <v>TPS3710-Q1</v>
      </c>
      <c r="B1765" s="5" t="s">
        <v>15962</v>
      </c>
      <c r="C1765" s="6" t="str">
        <f>HYPERLINK("https://www.ti.com/lit/gpn/TPS3710-Q1", "PDF")</f>
        <v>PDF</v>
      </c>
      <c r="D1765" s="5" t="s">
        <v>15963</v>
      </c>
      <c r="E1765" s="5" t="s">
        <v>15964</v>
      </c>
      <c r="F1765" s="5"/>
      <c r="G1765" s="5" t="s">
        <v>15965</v>
      </c>
      <c r="H1765" s="1" t="s">
        <v>15966</v>
      </c>
      <c r="I1765" s="5" t="s">
        <v>15967</v>
      </c>
      <c r="J1765" s="7">
        <v>6</v>
      </c>
      <c r="K1765" s="7">
        <v>2.25</v>
      </c>
      <c r="L1765" s="5" t="s">
        <v>15968</v>
      </c>
      <c r="M1765" s="7">
        <v>0.8</v>
      </c>
      <c r="N1765" s="7">
        <v>0.5</v>
      </c>
      <c r="O1765" s="7">
        <v>0.76800000000000002</v>
      </c>
      <c r="P1765" s="1" t="s">
        <v>15969</v>
      </c>
    </row>
    <row r="1766" spans="1:16" ht="33.4" x14ac:dyDescent="0.3">
      <c r="A1766" s="6" t="str">
        <f>HYPERLINK("https://www.ti.com/product/TPS2001D", "TPS2001D")</f>
        <v>TPS2001D</v>
      </c>
      <c r="B1766" s="5" t="s">
        <v>15970</v>
      </c>
      <c r="C1766" s="6" t="str">
        <f>HYPERLINK("https://www.ti.com/lit/gpn/TPS2001D", "PDF")</f>
        <v>PDF</v>
      </c>
      <c r="D1766" s="5" t="s">
        <v>15971</v>
      </c>
      <c r="E1766" s="5" t="s">
        <v>15972</v>
      </c>
      <c r="F1766" s="5"/>
      <c r="G1766" s="5" t="s">
        <v>15973</v>
      </c>
      <c r="H1766" s="1" t="s">
        <v>15974</v>
      </c>
      <c r="I1766" s="5" t="s">
        <v>15975</v>
      </c>
      <c r="J1766" s="7" t="s">
        <v>15976</v>
      </c>
      <c r="K1766" s="7" t="s">
        <v>15977</v>
      </c>
      <c r="L1766" s="5" t="s">
        <v>15978</v>
      </c>
      <c r="M1766" s="7" t="s">
        <v>15979</v>
      </c>
      <c r="N1766" s="7" t="s">
        <v>15980</v>
      </c>
      <c r="O1766" s="7">
        <v>0.11899999999999999</v>
      </c>
      <c r="P1766" s="1" t="s">
        <v>15981</v>
      </c>
    </row>
    <row r="1767" spans="1:16" ht="33.4" x14ac:dyDescent="0.3">
      <c r="A1767" s="6" t="str">
        <f>HYPERLINK("https://www.ti.com/product/TLV743P", "TLV743P")</f>
        <v>TLV743P</v>
      </c>
      <c r="B1767" s="5" t="s">
        <v>15982</v>
      </c>
      <c r="C1767" s="6" t="str">
        <f>HYPERLINK("https://www.ti.com/lit/gpn/TLV743P", "PDF")</f>
        <v>PDF</v>
      </c>
      <c r="D1767" s="5" t="s">
        <v>15983</v>
      </c>
      <c r="E1767" s="5" t="s">
        <v>15984</v>
      </c>
      <c r="F1767" s="5"/>
      <c r="G1767" s="5" t="s">
        <v>15985</v>
      </c>
      <c r="H1767" s="1" t="s">
        <v>15986</v>
      </c>
      <c r="I1767" s="5" t="s">
        <v>15987</v>
      </c>
      <c r="J1767" s="7" t="s">
        <v>15988</v>
      </c>
      <c r="K1767" s="7" t="s">
        <v>15989</v>
      </c>
      <c r="L1767" s="5" t="s">
        <v>15990</v>
      </c>
      <c r="M1767" s="7" t="s">
        <v>15991</v>
      </c>
      <c r="N1767" s="7" t="s">
        <v>15992</v>
      </c>
      <c r="O1767" s="7">
        <v>2.1999999999999999E-2</v>
      </c>
      <c r="P1767" s="1" t="s">
        <v>15993</v>
      </c>
    </row>
    <row r="1768" spans="1:16" ht="33.4" x14ac:dyDescent="0.3">
      <c r="A1768" s="6" t="str">
        <f>HYPERLINK("https://www.ti.com/product/CSD17318Q2", "CSD17318Q2")</f>
        <v>CSD17318Q2</v>
      </c>
      <c r="B1768" s="5" t="s">
        <v>15994</v>
      </c>
      <c r="C1768" s="6" t="str">
        <f>HYPERLINK("https://www.ti.com/lit/gpn/CSD17318Q2", "PDF")</f>
        <v>PDF</v>
      </c>
      <c r="D1768" s="5" t="s">
        <v>15995</v>
      </c>
      <c r="E1768" s="5" t="s">
        <v>15996</v>
      </c>
      <c r="F1768" s="5"/>
      <c r="G1768" s="5" t="s">
        <v>15997</v>
      </c>
      <c r="H1768" s="1" t="s">
        <v>15998</v>
      </c>
      <c r="I1768" s="5" t="s">
        <v>15999</v>
      </c>
      <c r="J1768" s="7">
        <v>6</v>
      </c>
      <c r="K1768" s="7">
        <v>4</v>
      </c>
      <c r="L1768" s="5" t="s">
        <v>16000</v>
      </c>
      <c r="M1768" s="7">
        <v>0.8</v>
      </c>
      <c r="N1768" s="7">
        <v>0.65</v>
      </c>
      <c r="O1768" s="7">
        <v>7.9000000000000001E-2</v>
      </c>
      <c r="P1768" s="1" t="s">
        <v>16001</v>
      </c>
    </row>
    <row r="1769" spans="1:16" ht="33.4" x14ac:dyDescent="0.3">
      <c r="A1769" s="6" t="str">
        <f>HYPERLINK("https://www.ti.com/product/TPSM84203", "TPSM84203")</f>
        <v>TPSM84203</v>
      </c>
      <c r="B1769" s="5" t="s">
        <v>16002</v>
      </c>
      <c r="C1769" s="6" t="str">
        <f>HYPERLINK("https://www.ti.com/lit/gpn/TPSM84203", "PDF")</f>
        <v>PDF</v>
      </c>
      <c r="D1769" s="5" t="s">
        <v>16003</v>
      </c>
      <c r="E1769" s="5" t="s">
        <v>16004</v>
      </c>
      <c r="F1769" s="5" t="s">
        <v>16005</v>
      </c>
      <c r="G1769" s="5" t="s">
        <v>16006</v>
      </c>
      <c r="H1769" s="1" t="s">
        <v>16007</v>
      </c>
      <c r="I1769" s="5" t="s">
        <v>16008</v>
      </c>
      <c r="J1769" s="7">
        <v>3</v>
      </c>
      <c r="K1769" s="7">
        <v>45.821599999999997</v>
      </c>
      <c r="L1769" s="5" t="s">
        <v>16009</v>
      </c>
      <c r="M1769" s="7">
        <v>11</v>
      </c>
      <c r="N1769" s="7">
        <v>2.54</v>
      </c>
      <c r="O1769" s="7">
        <v>2.31</v>
      </c>
      <c r="P1769" s="1" t="s">
        <v>16010</v>
      </c>
    </row>
    <row r="1770" spans="1:16" ht="33.4" x14ac:dyDescent="0.3">
      <c r="A1770" s="6" t="str">
        <f>HYPERLINK("https://www.ti.com/product/TPSM84205", "TPSM84205")</f>
        <v>TPSM84205</v>
      </c>
      <c r="B1770" s="5" t="s">
        <v>16011</v>
      </c>
      <c r="C1770" s="6" t="str">
        <f>HYPERLINK("https://www.ti.com/lit/gpn/TPSM84205", "PDF")</f>
        <v>PDF</v>
      </c>
      <c r="D1770" s="5" t="s">
        <v>16012</v>
      </c>
      <c r="E1770" s="5" t="s">
        <v>16013</v>
      </c>
      <c r="F1770" s="5" t="s">
        <v>16014</v>
      </c>
      <c r="G1770" s="5" t="s">
        <v>16015</v>
      </c>
      <c r="H1770" s="1" t="s">
        <v>16016</v>
      </c>
      <c r="I1770" s="5" t="s">
        <v>16017</v>
      </c>
      <c r="J1770" s="7">
        <v>3</v>
      </c>
      <c r="K1770" s="7">
        <v>45.821599999999997</v>
      </c>
      <c r="L1770" s="5" t="s">
        <v>16018</v>
      </c>
      <c r="M1770" s="7">
        <v>11</v>
      </c>
      <c r="N1770" s="7">
        <v>2.54</v>
      </c>
      <c r="O1770" s="7">
        <v>3.105</v>
      </c>
      <c r="P1770" s="1" t="s">
        <v>16019</v>
      </c>
    </row>
    <row r="1771" spans="1:16" ht="33.4" x14ac:dyDescent="0.3">
      <c r="A1771" s="6" t="str">
        <f>HYPERLINK("https://www.ti.com/product/TPSM84212", "TPSM84212")</f>
        <v>TPSM84212</v>
      </c>
      <c r="B1771" s="5" t="s">
        <v>16020</v>
      </c>
      <c r="C1771" s="6" t="str">
        <f>HYPERLINK("https://www.ti.com/lit/gpn/TPSM84212", "PDF")</f>
        <v>PDF</v>
      </c>
      <c r="D1771" s="5" t="s">
        <v>16021</v>
      </c>
      <c r="E1771" s="5" t="s">
        <v>16022</v>
      </c>
      <c r="F1771" s="5" t="s">
        <v>16023</v>
      </c>
      <c r="G1771" s="5" t="s">
        <v>16024</v>
      </c>
      <c r="H1771" s="1" t="s">
        <v>16025</v>
      </c>
      <c r="I1771" s="5" t="s">
        <v>16026</v>
      </c>
      <c r="J1771" s="7">
        <v>3</v>
      </c>
      <c r="K1771" s="7">
        <v>45.821599999999997</v>
      </c>
      <c r="L1771" s="5" t="s">
        <v>16027</v>
      </c>
      <c r="M1771" s="7">
        <v>11</v>
      </c>
      <c r="N1771" s="7">
        <v>2.54</v>
      </c>
      <c r="O1771" s="7">
        <v>3.1070000000000002</v>
      </c>
      <c r="P1771" s="1" t="s">
        <v>16028</v>
      </c>
    </row>
    <row r="1772" spans="1:16" ht="33.4" x14ac:dyDescent="0.3">
      <c r="A1772" s="6" t="str">
        <f>HYPERLINK("https://www.ti.com/product/CSD22205L", "CSD22205L")</f>
        <v>CSD22205L</v>
      </c>
      <c r="B1772" s="5" t="s">
        <v>16029</v>
      </c>
      <c r="C1772" s="6" t="str">
        <f>HYPERLINK("https://www.ti.com/lit/gpn/CSD22205L", "PDF")</f>
        <v>PDF</v>
      </c>
      <c r="D1772" s="5" t="s">
        <v>16030</v>
      </c>
      <c r="E1772" s="5" t="s">
        <v>16031</v>
      </c>
      <c r="F1772" s="5"/>
      <c r="G1772" s="5" t="s">
        <v>16032</v>
      </c>
      <c r="H1772" s="1" t="s">
        <v>16033</v>
      </c>
      <c r="I1772" s="5" t="s">
        <v>16034</v>
      </c>
      <c r="J1772" s="7">
        <v>4</v>
      </c>
      <c r="K1772" s="7">
        <v>1.3455999999999999</v>
      </c>
      <c r="L1772" s="5" t="s">
        <v>16035</v>
      </c>
      <c r="M1772" s="7">
        <v>0.36</v>
      </c>
      <c r="N1772" s="7">
        <v>0.35</v>
      </c>
      <c r="O1772" s="7">
        <v>0.125</v>
      </c>
      <c r="P1772" s="1" t="s">
        <v>16036</v>
      </c>
    </row>
    <row r="1773" spans="1:16" ht="17.05" x14ac:dyDescent="0.3">
      <c r="A1773" s="6" t="str">
        <f>HYPERLINK("https://www.ti.com/product/UCC27712", "UCC27712")</f>
        <v>UCC27712</v>
      </c>
      <c r="B1773" s="5" t="s">
        <v>16037</v>
      </c>
      <c r="C1773" s="6" t="str">
        <f>HYPERLINK("https://www.ti.com/lit/gpn/UCC27712", "PDF")</f>
        <v>PDF</v>
      </c>
      <c r="D1773" s="5" t="s">
        <v>16038</v>
      </c>
      <c r="E1773" s="5" t="s">
        <v>16039</v>
      </c>
      <c r="F1773" s="5"/>
      <c r="G1773" s="5" t="s">
        <v>16040</v>
      </c>
      <c r="H1773" s="1" t="s">
        <v>16041</v>
      </c>
      <c r="I1773" s="5" t="s">
        <v>16042</v>
      </c>
      <c r="J1773" s="7">
        <v>8</v>
      </c>
      <c r="K1773" s="7">
        <v>29.4</v>
      </c>
      <c r="L1773" s="5" t="s">
        <v>16043</v>
      </c>
      <c r="M1773" s="7">
        <v>1.75</v>
      </c>
      <c r="N1773" s="7">
        <v>1.27</v>
      </c>
      <c r="O1773" s="7">
        <v>0.67500000000000004</v>
      </c>
      <c r="P1773" s="1" t="s">
        <v>16044</v>
      </c>
    </row>
    <row r="1774" spans="1:16" ht="17.05" x14ac:dyDescent="0.3">
      <c r="A1774" s="6" t="str">
        <f>HYPERLINK("https://www.ti.com/product/DLPA1000", "DLPA1000")</f>
        <v>DLPA1000</v>
      </c>
      <c r="B1774" s="5" t="s">
        <v>16045</v>
      </c>
      <c r="C1774" s="6" t="str">
        <f>HYPERLINK("https://www.ti.com/lit/gpn/DLPA1000", "PDF")</f>
        <v>PDF</v>
      </c>
      <c r="D1774" s="5" t="s">
        <v>16046</v>
      </c>
      <c r="E1774" s="5" t="s">
        <v>16047</v>
      </c>
      <c r="F1774" s="5"/>
      <c r="G1774" s="5" t="s">
        <v>16048</v>
      </c>
      <c r="H1774" s="1" t="s">
        <v>16049</v>
      </c>
      <c r="I1774" s="5" t="s">
        <v>16050</v>
      </c>
      <c r="J1774" s="7">
        <v>49</v>
      </c>
      <c r="K1774" s="7">
        <v>9</v>
      </c>
      <c r="L1774" s="5" t="s">
        <v>16051</v>
      </c>
      <c r="M1774" s="7">
        <v>0.625</v>
      </c>
      <c r="N1774" s="7">
        <v>0.4</v>
      </c>
      <c r="O1774" s="7">
        <v>2.1150000000000002</v>
      </c>
      <c r="P1774" s="1" t="s">
        <v>16052</v>
      </c>
    </row>
    <row r="1775" spans="1:16" ht="33.4" x14ac:dyDescent="0.3">
      <c r="A1775" s="6" t="str">
        <f>HYPERLINK("https://www.ti.com/product/TPS543B20", "TPS543B20")</f>
        <v>TPS543B20</v>
      </c>
      <c r="B1775" s="5" t="s">
        <v>16053</v>
      </c>
      <c r="C1775" s="6" t="str">
        <f>HYPERLINK("https://www.ti.com/lit/gpn/TPS543B20", "PDF")</f>
        <v>PDF</v>
      </c>
      <c r="D1775" s="5" t="s">
        <v>16054</v>
      </c>
      <c r="E1775" s="5" t="s">
        <v>16055</v>
      </c>
      <c r="F1775" s="5" t="s">
        <v>16056</v>
      </c>
      <c r="G1775" s="5" t="s">
        <v>16057</v>
      </c>
      <c r="H1775" s="1" t="s">
        <v>16058</v>
      </c>
      <c r="I1775" s="5" t="s">
        <v>16059</v>
      </c>
      <c r="J1775" s="7">
        <v>40</v>
      </c>
      <c r="K1775" s="7">
        <v>35</v>
      </c>
      <c r="L1775" s="5" t="s">
        <v>16060</v>
      </c>
      <c r="M1775" s="7">
        <v>1.52</v>
      </c>
      <c r="N1775" s="7">
        <v>0.5</v>
      </c>
      <c r="O1775" s="7">
        <v>3.657</v>
      </c>
      <c r="P1775" s="1" t="s">
        <v>16061</v>
      </c>
    </row>
    <row r="1776" spans="1:16" ht="33.4" x14ac:dyDescent="0.3">
      <c r="A1776" s="6" t="str">
        <f>HYPERLINK("https://www.ti.com/product/TPS7A92", "TPS7A92")</f>
        <v>TPS7A92</v>
      </c>
      <c r="B1776" s="5" t="s">
        <v>16062</v>
      </c>
      <c r="C1776" s="6" t="str">
        <f>HYPERLINK("https://www.ti.com/lit/gpn/TPS7A92", "PDF")</f>
        <v>PDF</v>
      </c>
      <c r="D1776" s="5" t="s">
        <v>16063</v>
      </c>
      <c r="E1776" s="5" t="s">
        <v>16064</v>
      </c>
      <c r="F1776" s="5"/>
      <c r="G1776" s="5" t="s">
        <v>16065</v>
      </c>
      <c r="H1776" s="1" t="s">
        <v>16066</v>
      </c>
      <c r="I1776" s="5" t="s">
        <v>16067</v>
      </c>
      <c r="J1776" s="7">
        <v>10</v>
      </c>
      <c r="K1776" s="7">
        <v>6.25</v>
      </c>
      <c r="L1776" s="5" t="s">
        <v>16068</v>
      </c>
      <c r="M1776" s="7">
        <v>0.8</v>
      </c>
      <c r="N1776" s="7">
        <v>0.5</v>
      </c>
      <c r="O1776" s="7">
        <v>0.875</v>
      </c>
      <c r="P1776" s="1" t="s">
        <v>16069</v>
      </c>
    </row>
    <row r="1777" spans="1:16" ht="33.4" x14ac:dyDescent="0.3">
      <c r="A1777" s="6" t="str">
        <f>HYPERLINK("https://www.ti.com/product/UCC27212A-Q1", "UCC27212A-Q1")</f>
        <v>UCC27212A-Q1</v>
      </c>
      <c r="B1777" s="5" t="s">
        <v>16070</v>
      </c>
      <c r="C1777" s="6" t="str">
        <f>HYPERLINK("https://www.ti.com/lit/gpn/UCC27212A-Q1", "PDF")</f>
        <v>PDF</v>
      </c>
      <c r="D1777" s="5" t="s">
        <v>16071</v>
      </c>
      <c r="E1777" s="5" t="s">
        <v>16072</v>
      </c>
      <c r="F1777" s="5"/>
      <c r="G1777" s="5" t="s">
        <v>16073</v>
      </c>
      <c r="H1777" s="1" t="s">
        <v>16074</v>
      </c>
      <c r="I1777" s="5" t="s">
        <v>16075</v>
      </c>
      <c r="J1777" s="7">
        <v>8</v>
      </c>
      <c r="K1777" s="7">
        <v>29.4</v>
      </c>
      <c r="L1777" s="5" t="s">
        <v>16076</v>
      </c>
      <c r="M1777" s="7" t="s">
        <v>16077</v>
      </c>
      <c r="N1777" s="7">
        <v>1.27</v>
      </c>
      <c r="O1777" s="7">
        <v>0.76700000000000002</v>
      </c>
      <c r="P1777" s="1" t="s">
        <v>16078</v>
      </c>
    </row>
    <row r="1778" spans="1:16" ht="33.4" x14ac:dyDescent="0.3">
      <c r="A1778" s="6" t="str">
        <f>HYPERLINK("https://www.ti.com/product/UCC28730-Q1", "UCC28730-Q1")</f>
        <v>UCC28730-Q1</v>
      </c>
      <c r="B1778" s="5" t="s">
        <v>16079</v>
      </c>
      <c r="C1778" s="6" t="str">
        <f>HYPERLINK("https://www.ti.com/lit/gpn/UCC28730-Q1", "PDF")</f>
        <v>PDF</v>
      </c>
      <c r="D1778" s="5" t="s">
        <v>16080</v>
      </c>
      <c r="E1778" s="5" t="s">
        <v>16081</v>
      </c>
      <c r="F1778" s="5" t="s">
        <v>16082</v>
      </c>
      <c r="G1778" s="5" t="s">
        <v>16083</v>
      </c>
      <c r="H1778" s="1" t="s">
        <v>16084</v>
      </c>
      <c r="I1778" s="5" t="s">
        <v>16085</v>
      </c>
      <c r="J1778" s="7">
        <v>7</v>
      </c>
      <c r="K1778" s="7">
        <v>29.4</v>
      </c>
      <c r="L1778" s="5" t="s">
        <v>16086</v>
      </c>
      <c r="M1778" s="7">
        <v>1.75</v>
      </c>
      <c r="N1778" s="7">
        <v>1.27</v>
      </c>
      <c r="O1778" s="7">
        <v>0.60899999999999999</v>
      </c>
      <c r="P1778" s="1" t="s">
        <v>16087</v>
      </c>
    </row>
    <row r="1779" spans="1:16" ht="49.75" x14ac:dyDescent="0.3">
      <c r="A1779" s="6" t="str">
        <f>HYPERLINK("https://www.ti.com/product/TPS82140", "TPS82140")</f>
        <v>TPS82140</v>
      </c>
      <c r="B1779" s="5" t="s">
        <v>16088</v>
      </c>
      <c r="C1779" s="6" t="str">
        <f>HYPERLINK("https://www.ti.com/lit/gpn/TPS82140", "PDF")</f>
        <v>PDF</v>
      </c>
      <c r="D1779" s="5" t="s">
        <v>16089</v>
      </c>
      <c r="E1779" s="5" t="s">
        <v>16090</v>
      </c>
      <c r="F1779" s="5" t="s">
        <v>16091</v>
      </c>
      <c r="G1779" s="5" t="s">
        <v>16092</v>
      </c>
      <c r="H1779" s="1" t="s">
        <v>16093</v>
      </c>
      <c r="I1779" s="5" t="s">
        <v>16094</v>
      </c>
      <c r="J1779" s="7">
        <v>8</v>
      </c>
      <c r="K1779" s="7" t="s">
        <v>16095</v>
      </c>
      <c r="L1779" s="5" t="s">
        <v>16096</v>
      </c>
      <c r="M1779" s="7" t="s">
        <v>16097</v>
      </c>
      <c r="N1779" s="7" t="s">
        <v>16098</v>
      </c>
      <c r="O1779" s="7">
        <v>1.794</v>
      </c>
      <c r="P1779" s="1" t="s">
        <v>16099</v>
      </c>
    </row>
    <row r="1780" spans="1:16" ht="49.75" x14ac:dyDescent="0.3">
      <c r="A1780" s="6" t="str">
        <f>HYPERLINK("https://www.ti.com/product/TPS82150", "TPS82150")</f>
        <v>TPS82150</v>
      </c>
      <c r="B1780" s="5" t="s">
        <v>16100</v>
      </c>
      <c r="C1780" s="6" t="str">
        <f>HYPERLINK("https://www.ti.com/lit/gpn/TPS82150", "PDF")</f>
        <v>PDF</v>
      </c>
      <c r="D1780" s="5" t="s">
        <v>16101</v>
      </c>
      <c r="E1780" s="5" t="s">
        <v>16102</v>
      </c>
      <c r="F1780" s="5" t="s">
        <v>16103</v>
      </c>
      <c r="G1780" s="5" t="s">
        <v>16104</v>
      </c>
      <c r="H1780" s="1" t="s">
        <v>16105</v>
      </c>
      <c r="I1780" s="5" t="s">
        <v>16106</v>
      </c>
      <c r="J1780" s="7">
        <v>8</v>
      </c>
      <c r="K1780" s="7" t="s">
        <v>16107</v>
      </c>
      <c r="L1780" s="5" t="s">
        <v>16108</v>
      </c>
      <c r="M1780" s="7" t="s">
        <v>16109</v>
      </c>
      <c r="N1780" s="7" t="s">
        <v>16110</v>
      </c>
      <c r="O1780" s="7">
        <v>1.7250000000000001</v>
      </c>
      <c r="P1780" s="1" t="s">
        <v>16111</v>
      </c>
    </row>
    <row r="1781" spans="1:16" ht="33.4" x14ac:dyDescent="0.3">
      <c r="A1781" s="6" t="str">
        <f>HYPERLINK("https://www.ti.com/product/UCC27212", "UCC27212")</f>
        <v>UCC27212</v>
      </c>
      <c r="B1781" s="5" t="s">
        <v>16112</v>
      </c>
      <c r="C1781" s="6" t="str">
        <f>HYPERLINK("https://www.ti.com/lit/gpn/UCC27212", "PDF")</f>
        <v>PDF</v>
      </c>
      <c r="D1781" s="5" t="s">
        <v>16113</v>
      </c>
      <c r="E1781" s="5" t="s">
        <v>16114</v>
      </c>
      <c r="F1781" s="5"/>
      <c r="G1781" s="5" t="s">
        <v>16115</v>
      </c>
      <c r="H1781" s="1" t="s">
        <v>16116</v>
      </c>
      <c r="I1781" s="5" t="s">
        <v>16117</v>
      </c>
      <c r="J1781" s="7" t="s">
        <v>16118</v>
      </c>
      <c r="K1781" s="7" t="s">
        <v>16119</v>
      </c>
      <c r="L1781" s="5" t="s">
        <v>16120</v>
      </c>
      <c r="M1781" s="7" t="s">
        <v>16121</v>
      </c>
      <c r="N1781" s="7" t="s">
        <v>16122</v>
      </c>
      <c r="O1781" s="7">
        <v>0.65</v>
      </c>
      <c r="P1781" s="1" t="s">
        <v>16123</v>
      </c>
    </row>
    <row r="1782" spans="1:16" ht="33.4" x14ac:dyDescent="0.3">
      <c r="A1782" s="6" t="str">
        <f>HYPERLINK("https://www.ti.com/product/TPS53681", "TPS53681")</f>
        <v>TPS53681</v>
      </c>
      <c r="B1782" s="5" t="s">
        <v>16124</v>
      </c>
      <c r="C1782" s="6" t="str">
        <f>HYPERLINK("https://www.ti.com/lit/gpn/TPS53681", "PDF")</f>
        <v>PDF</v>
      </c>
      <c r="D1782" s="5" t="s">
        <v>16125</v>
      </c>
      <c r="E1782" s="5" t="s">
        <v>16126</v>
      </c>
      <c r="F1782" s="5" t="s">
        <v>16127</v>
      </c>
      <c r="G1782" s="5" t="s">
        <v>16128</v>
      </c>
      <c r="H1782" s="1" t="s">
        <v>16129</v>
      </c>
      <c r="I1782" s="5" t="s">
        <v>16130</v>
      </c>
      <c r="J1782" s="7">
        <v>40</v>
      </c>
      <c r="K1782" s="7">
        <v>25</v>
      </c>
      <c r="L1782" s="5" t="s">
        <v>16131</v>
      </c>
      <c r="M1782" s="7">
        <v>0.8</v>
      </c>
      <c r="N1782" s="7">
        <v>0.4</v>
      </c>
      <c r="O1782" s="7">
        <v>2.5649999999999999</v>
      </c>
      <c r="P1782" s="1" t="s">
        <v>16132</v>
      </c>
    </row>
    <row r="1783" spans="1:16" ht="33.4" x14ac:dyDescent="0.3">
      <c r="A1783" s="6" t="str">
        <f>HYPERLINK("https://www.ti.com/product/CSD22206W", "CSD22206W")</f>
        <v>CSD22206W</v>
      </c>
      <c r="B1783" s="5" t="s">
        <v>16133</v>
      </c>
      <c r="C1783" s="6" t="str">
        <f>HYPERLINK("https://www.ti.com/lit/gpn/CSD22206W", "PDF")</f>
        <v>PDF</v>
      </c>
      <c r="D1783" s="5" t="s">
        <v>16134</v>
      </c>
      <c r="E1783" s="5" t="s">
        <v>16135</v>
      </c>
      <c r="F1783" s="5"/>
      <c r="G1783" s="5" t="s">
        <v>16136</v>
      </c>
      <c r="H1783" s="1" t="s">
        <v>16137</v>
      </c>
      <c r="I1783" s="5" t="s">
        <v>16138</v>
      </c>
      <c r="J1783" s="7">
        <v>9</v>
      </c>
      <c r="K1783" s="7">
        <v>3.0625</v>
      </c>
      <c r="L1783" s="5" t="s">
        <v>16139</v>
      </c>
      <c r="M1783" s="7">
        <v>0.625</v>
      </c>
      <c r="N1783" s="7">
        <v>0.5</v>
      </c>
      <c r="O1783" s="7">
        <v>0.16800000000000001</v>
      </c>
      <c r="P1783" s="1" t="s">
        <v>16140</v>
      </c>
    </row>
    <row r="1784" spans="1:16" ht="33.4" x14ac:dyDescent="0.3">
      <c r="A1784" s="6" t="str">
        <f>HYPERLINK("https://www.ti.com/product/LM25145", "LM25145")</f>
        <v>LM25145</v>
      </c>
      <c r="B1784" s="5" t="s">
        <v>16141</v>
      </c>
      <c r="C1784" s="6" t="str">
        <f>HYPERLINK("https://www.ti.com/lit/gpn/LM25145", "PDF")</f>
        <v>PDF</v>
      </c>
      <c r="D1784" s="5" t="s">
        <v>16142</v>
      </c>
      <c r="E1784" s="5" t="s">
        <v>16143</v>
      </c>
      <c r="F1784" s="5" t="s">
        <v>16144</v>
      </c>
      <c r="G1784" s="5" t="s">
        <v>16145</v>
      </c>
      <c r="H1784" s="1" t="s">
        <v>16146</v>
      </c>
      <c r="I1784" s="5" t="s">
        <v>16147</v>
      </c>
      <c r="J1784" s="7">
        <v>20</v>
      </c>
      <c r="K1784" s="7">
        <v>15.75</v>
      </c>
      <c r="L1784" s="5" t="s">
        <v>16148</v>
      </c>
      <c r="M1784" s="7">
        <v>1</v>
      </c>
      <c r="N1784" s="7">
        <v>0.5</v>
      </c>
      <c r="O1784" s="7">
        <v>0.94899999999999995</v>
      </c>
      <c r="P1784" s="1" t="s">
        <v>16149</v>
      </c>
    </row>
    <row r="1785" spans="1:16" ht="33.4" x14ac:dyDescent="0.3">
      <c r="A1785" s="6" t="str">
        <f>HYPERLINK("https://www.ti.com/product/LP873222-Q1", "LP873222-Q1")</f>
        <v>LP873222-Q1</v>
      </c>
      <c r="B1785" s="5" t="s">
        <v>16150</v>
      </c>
      <c r="C1785" s="6" t="str">
        <f>HYPERLINK("https://www.ti.com/lit/gpn/LP873222-Q1", "PDF")</f>
        <v>PDF</v>
      </c>
      <c r="D1785" s="5" t="s">
        <v>16151</v>
      </c>
      <c r="E1785" s="5" t="s">
        <v>16152</v>
      </c>
      <c r="F1785" s="5"/>
      <c r="G1785" s="5" t="s">
        <v>16153</v>
      </c>
      <c r="H1785" s="1" t="s">
        <v>16154</v>
      </c>
      <c r="I1785" s="5" t="s">
        <v>16155</v>
      </c>
      <c r="J1785" s="7">
        <v>28</v>
      </c>
      <c r="K1785" s="7">
        <v>25</v>
      </c>
      <c r="L1785" s="5" t="s">
        <v>16156</v>
      </c>
      <c r="M1785" s="7">
        <v>1</v>
      </c>
      <c r="N1785" s="7">
        <v>0.5</v>
      </c>
      <c r="O1785" s="7">
        <v>1.333</v>
      </c>
      <c r="P1785" s="1" t="s">
        <v>16157</v>
      </c>
    </row>
    <row r="1786" spans="1:16" ht="33.4" x14ac:dyDescent="0.3">
      <c r="A1786" s="6" t="str">
        <f>HYPERLINK("https://www.ti.com/product/LP87332B-Q1", "LP87332B-Q1")</f>
        <v>LP87332B-Q1</v>
      </c>
      <c r="B1786" s="5" t="s">
        <v>16158</v>
      </c>
      <c r="C1786" s="6" t="str">
        <f>HYPERLINK("https://www.ti.com/lit/gpn/LP87332B-Q1", "PDF")</f>
        <v>PDF</v>
      </c>
      <c r="D1786" s="5" t="s">
        <v>16159</v>
      </c>
      <c r="E1786" s="5" t="s">
        <v>16160</v>
      </c>
      <c r="F1786" s="5"/>
      <c r="G1786" s="5" t="s">
        <v>16161</v>
      </c>
      <c r="H1786" s="1" t="s">
        <v>16162</v>
      </c>
      <c r="I1786" s="5" t="s">
        <v>16163</v>
      </c>
      <c r="J1786" s="7">
        <v>28</v>
      </c>
      <c r="K1786" s="7">
        <v>25</v>
      </c>
      <c r="L1786" s="5" t="s">
        <v>16164</v>
      </c>
      <c r="M1786" s="7">
        <v>1</v>
      </c>
      <c r="N1786" s="7">
        <v>0.5</v>
      </c>
      <c r="O1786" s="7">
        <v>1.4490000000000001</v>
      </c>
      <c r="P1786" s="1" t="s">
        <v>16165</v>
      </c>
    </row>
    <row r="1787" spans="1:16" ht="49.75" x14ac:dyDescent="0.3">
      <c r="A1787" s="6" t="str">
        <f>HYPERLINK("https://www.ti.com/product/UCC5310", "UCC5310")</f>
        <v>UCC5310</v>
      </c>
      <c r="B1787" s="5" t="s">
        <v>16166</v>
      </c>
      <c r="C1787" s="6" t="str">
        <f>HYPERLINK("https://www.ti.com/lit/gpn/UCC5310", "PDF")</f>
        <v>PDF</v>
      </c>
      <c r="D1787" s="5" t="s">
        <v>16167</v>
      </c>
      <c r="E1787" s="5" t="s">
        <v>16168</v>
      </c>
      <c r="F1787" s="5"/>
      <c r="G1787" s="5" t="s">
        <v>16169</v>
      </c>
      <c r="H1787" s="1" t="s">
        <v>16170</v>
      </c>
      <c r="I1787" s="5" t="s">
        <v>16171</v>
      </c>
      <c r="J1787" s="7">
        <v>8</v>
      </c>
      <c r="K1787" s="7" t="s">
        <v>16172</v>
      </c>
      <c r="L1787" s="5" t="s">
        <v>16173</v>
      </c>
      <c r="M1787" s="7" t="s">
        <v>16174</v>
      </c>
      <c r="N1787" s="7">
        <v>1.27</v>
      </c>
      <c r="O1787" s="7">
        <v>0.77500000000000002</v>
      </c>
      <c r="P1787" s="1" t="s">
        <v>16175</v>
      </c>
    </row>
    <row r="1788" spans="1:16" ht="49.75" x14ac:dyDescent="0.3">
      <c r="A1788" s="6" t="str">
        <f>HYPERLINK("https://www.ti.com/product/UCC5320", "UCC5320")</f>
        <v>UCC5320</v>
      </c>
      <c r="B1788" s="5" t="s">
        <v>16176</v>
      </c>
      <c r="C1788" s="6" t="str">
        <f>HYPERLINK("https://www.ti.com/lit/gpn/UCC5320", "PDF")</f>
        <v>PDF</v>
      </c>
      <c r="D1788" s="5" t="s">
        <v>16177</v>
      </c>
      <c r="E1788" s="5" t="s">
        <v>16178</v>
      </c>
      <c r="F1788" s="5"/>
      <c r="G1788" s="5" t="s">
        <v>16179</v>
      </c>
      <c r="H1788" s="1" t="s">
        <v>16180</v>
      </c>
      <c r="I1788" s="5" t="s">
        <v>16181</v>
      </c>
      <c r="J1788" s="7">
        <v>8</v>
      </c>
      <c r="K1788" s="7" t="s">
        <v>16182</v>
      </c>
      <c r="L1788" s="5" t="s">
        <v>16183</v>
      </c>
      <c r="M1788" s="7" t="s">
        <v>16184</v>
      </c>
      <c r="N1788" s="7">
        <v>1.27</v>
      </c>
      <c r="O1788" s="7">
        <v>0.80200000000000005</v>
      </c>
      <c r="P1788" s="1" t="s">
        <v>16185</v>
      </c>
    </row>
    <row r="1789" spans="1:16" ht="33.4" x14ac:dyDescent="0.3">
      <c r="A1789" s="6" t="str">
        <f>HYPERLINK("https://www.ti.com/product/TLV760", "TLV760")</f>
        <v>TLV760</v>
      </c>
      <c r="B1789" s="5" t="s">
        <v>16186</v>
      </c>
      <c r="C1789" s="6" t="str">
        <f>HYPERLINK("https://www.ti.com/lit/gpn/TLV760", "PDF")</f>
        <v>PDF</v>
      </c>
      <c r="D1789" s="5" t="s">
        <v>16187</v>
      </c>
      <c r="E1789" s="5" t="s">
        <v>16188</v>
      </c>
      <c r="F1789" s="5"/>
      <c r="G1789" s="5" t="s">
        <v>16189</v>
      </c>
      <c r="H1789" s="1" t="s">
        <v>16190</v>
      </c>
      <c r="I1789" s="5" t="s">
        <v>16191</v>
      </c>
      <c r="J1789" s="7">
        <v>3</v>
      </c>
      <c r="K1789" s="7">
        <v>6.9203999999999999</v>
      </c>
      <c r="L1789" s="5" t="s">
        <v>16192</v>
      </c>
      <c r="M1789" s="7">
        <v>1.1200000000000001</v>
      </c>
      <c r="N1789" s="7">
        <v>0.96</v>
      </c>
      <c r="O1789" s="7">
        <v>5.8999999999999997E-2</v>
      </c>
      <c r="P1789" s="1" t="s">
        <v>16193</v>
      </c>
    </row>
    <row r="1790" spans="1:16" ht="33.4" x14ac:dyDescent="0.3">
      <c r="A1790" s="6" t="str">
        <f>HYPERLINK("https://www.ti.com/product/TPS7A90", "TPS7A90")</f>
        <v>TPS7A90</v>
      </c>
      <c r="B1790" s="5" t="s">
        <v>16194</v>
      </c>
      <c r="C1790" s="6" t="str">
        <f>HYPERLINK("https://www.ti.com/lit/gpn/TPS7A90", "PDF")</f>
        <v>PDF</v>
      </c>
      <c r="D1790" s="5" t="s">
        <v>16195</v>
      </c>
      <c r="E1790" s="5" t="s">
        <v>16196</v>
      </c>
      <c r="F1790" s="5"/>
      <c r="G1790" s="5" t="s">
        <v>16197</v>
      </c>
      <c r="H1790" s="1" t="s">
        <v>16198</v>
      </c>
      <c r="I1790" s="5" t="s">
        <v>16199</v>
      </c>
      <c r="J1790" s="7">
        <v>10</v>
      </c>
      <c r="K1790" s="7">
        <v>6.25</v>
      </c>
      <c r="L1790" s="5" t="s">
        <v>16200</v>
      </c>
      <c r="M1790" s="7">
        <v>0.8</v>
      </c>
      <c r="N1790" s="7">
        <v>0.5</v>
      </c>
      <c r="O1790" s="7">
        <v>0.52500000000000002</v>
      </c>
      <c r="P1790" s="1" t="s">
        <v>16201</v>
      </c>
    </row>
    <row r="1791" spans="1:16" ht="17.05" x14ac:dyDescent="0.3">
      <c r="A1791" s="6" t="str">
        <f>HYPERLINK("https://www.ti.com/product/TPS2373", "TPS2373")</f>
        <v>TPS2373</v>
      </c>
      <c r="B1791" s="5" t="s">
        <v>16202</v>
      </c>
      <c r="C1791" s="6" t="str">
        <f>HYPERLINK("https://www.ti.com/lit/gpn/TPS2373", "PDF")</f>
        <v>PDF</v>
      </c>
      <c r="D1791" s="5" t="s">
        <v>16203</v>
      </c>
      <c r="E1791" s="5" t="s">
        <v>16204</v>
      </c>
      <c r="F1791" s="5"/>
      <c r="G1791" s="5" t="s">
        <v>16205</v>
      </c>
      <c r="H1791" s="1" t="s">
        <v>16206</v>
      </c>
      <c r="I1791" s="5" t="s">
        <v>16207</v>
      </c>
      <c r="J1791" s="7">
        <v>20</v>
      </c>
      <c r="K1791" s="7">
        <v>25</v>
      </c>
      <c r="L1791" s="5" t="s">
        <v>16208</v>
      </c>
      <c r="M1791" s="7">
        <v>1</v>
      </c>
      <c r="N1791" s="7">
        <v>0.65</v>
      </c>
      <c r="O1791" s="7">
        <v>1.1990000000000001</v>
      </c>
      <c r="P1791" s="1" t="s">
        <v>16209</v>
      </c>
    </row>
    <row r="1792" spans="1:16" ht="33.4" x14ac:dyDescent="0.3">
      <c r="A1792" s="6" t="str">
        <f>HYPERLINK("https://www.ti.com/product/TPS549B22", "TPS549B22")</f>
        <v>TPS549B22</v>
      </c>
      <c r="B1792" s="5" t="s">
        <v>16210</v>
      </c>
      <c r="C1792" s="6" t="str">
        <f>HYPERLINK("https://www.ti.com/lit/gpn/TPS549B22", "PDF")</f>
        <v>PDF</v>
      </c>
      <c r="D1792" s="5" t="s">
        <v>16211</v>
      </c>
      <c r="E1792" s="5" t="s">
        <v>16212</v>
      </c>
      <c r="F1792" s="5" t="s">
        <v>16213</v>
      </c>
      <c r="G1792" s="5" t="s">
        <v>16214</v>
      </c>
      <c r="H1792" s="1" t="s">
        <v>16215</v>
      </c>
      <c r="I1792" s="5" t="s">
        <v>16216</v>
      </c>
      <c r="J1792" s="7">
        <v>40</v>
      </c>
      <c r="K1792" s="7">
        <v>35</v>
      </c>
      <c r="L1792" s="5" t="s">
        <v>16217</v>
      </c>
      <c r="M1792" s="7">
        <v>1.52</v>
      </c>
      <c r="N1792" s="7">
        <v>0.5</v>
      </c>
      <c r="O1792" s="7">
        <v>4.6349999999999998</v>
      </c>
      <c r="P1792" s="1" t="s">
        <v>16218</v>
      </c>
    </row>
    <row r="1793" spans="1:16" ht="33.4" x14ac:dyDescent="0.3">
      <c r="A1793" s="6" t="str">
        <f>HYPERLINK("https://www.ti.com/product/TPS7A83A", "TPS7A83A")</f>
        <v>TPS7A83A</v>
      </c>
      <c r="B1793" s="5" t="s">
        <v>16219</v>
      </c>
      <c r="C1793" s="6" t="str">
        <f>HYPERLINK("https://www.ti.com/lit/gpn/TPS7A83A", "PDF")</f>
        <v>PDF</v>
      </c>
      <c r="D1793" s="5" t="s">
        <v>16220</v>
      </c>
      <c r="E1793" s="5" t="s">
        <v>16221</v>
      </c>
      <c r="F1793" s="5"/>
      <c r="G1793" s="5" t="s">
        <v>16222</v>
      </c>
      <c r="H1793" s="1" t="s">
        <v>16223</v>
      </c>
      <c r="I1793" s="5" t="s">
        <v>16224</v>
      </c>
      <c r="J1793" s="7">
        <v>20</v>
      </c>
      <c r="K1793" s="7" t="s">
        <v>16225</v>
      </c>
      <c r="L1793" s="5" t="s">
        <v>16226</v>
      </c>
      <c r="M1793" s="7">
        <v>1</v>
      </c>
      <c r="N1793" s="7" t="s">
        <v>16227</v>
      </c>
      <c r="O1793" s="7">
        <v>1.61</v>
      </c>
      <c r="P1793" s="1" t="s">
        <v>16228</v>
      </c>
    </row>
    <row r="1794" spans="1:16" ht="33.4" x14ac:dyDescent="0.3">
      <c r="A1794" s="6" t="str">
        <f>HYPERLINK("https://www.ti.com/product/LM5176", "LM5176")</f>
        <v>LM5176</v>
      </c>
      <c r="B1794" s="5" t="s">
        <v>16229</v>
      </c>
      <c r="C1794" s="6" t="str">
        <f>HYPERLINK("https://www.ti.com/lit/gpn/LM5176", "PDF")</f>
        <v>PDF</v>
      </c>
      <c r="D1794" s="5" t="s">
        <v>16230</v>
      </c>
      <c r="E1794" s="5" t="s">
        <v>16231</v>
      </c>
      <c r="F1794" s="5" t="s">
        <v>16232</v>
      </c>
      <c r="G1794" s="5" t="s">
        <v>16233</v>
      </c>
      <c r="H1794" s="1" t="s">
        <v>16234</v>
      </c>
      <c r="I1794" s="5" t="s">
        <v>16235</v>
      </c>
      <c r="J1794" s="7">
        <v>28</v>
      </c>
      <c r="K1794" s="7" t="s">
        <v>16236</v>
      </c>
      <c r="L1794" s="5" t="s">
        <v>16237</v>
      </c>
      <c r="M1794" s="7" t="s">
        <v>16238</v>
      </c>
      <c r="N1794" s="7" t="s">
        <v>16239</v>
      </c>
      <c r="O1794" s="7">
        <v>3.3340000000000001</v>
      </c>
      <c r="P1794" s="1" t="s">
        <v>16240</v>
      </c>
    </row>
    <row r="1795" spans="1:16" ht="33.4" x14ac:dyDescent="0.3">
      <c r="A1795" s="6" t="str">
        <f>HYPERLINK("https://www.ti.com/product/TPS54308", "TPS54308")</f>
        <v>TPS54308</v>
      </c>
      <c r="B1795" s="5" t="s">
        <v>16241</v>
      </c>
      <c r="C1795" s="6" t="str">
        <f>HYPERLINK("https://www.ti.com/lit/gpn/TPS54308", "PDF")</f>
        <v>PDF</v>
      </c>
      <c r="D1795" s="5" t="s">
        <v>16242</v>
      </c>
      <c r="E1795" s="5" t="s">
        <v>16243</v>
      </c>
      <c r="F1795" s="5" t="s">
        <v>16244</v>
      </c>
      <c r="G1795" s="5" t="s">
        <v>16245</v>
      </c>
      <c r="H1795" s="1" t="s">
        <v>16246</v>
      </c>
      <c r="I1795" s="5" t="s">
        <v>16247</v>
      </c>
      <c r="J1795" s="7">
        <v>6</v>
      </c>
      <c r="K1795" s="7">
        <v>8.1199999999999992</v>
      </c>
      <c r="L1795" s="5" t="s">
        <v>16248</v>
      </c>
      <c r="M1795" s="7">
        <v>1.1000000000000001</v>
      </c>
      <c r="N1795" s="7">
        <v>0.95</v>
      </c>
      <c r="O1795" s="7">
        <v>0.41399999999999998</v>
      </c>
      <c r="P1795" s="1" t="s">
        <v>16249</v>
      </c>
    </row>
    <row r="1796" spans="1:16" ht="33.4" x14ac:dyDescent="0.3">
      <c r="A1796" s="6" t="str">
        <f>HYPERLINK("https://www.ti.com/product/LM5145", "LM5145")</f>
        <v>LM5145</v>
      </c>
      <c r="B1796" s="5" t="s">
        <v>16250</v>
      </c>
      <c r="C1796" s="6" t="str">
        <f>HYPERLINK("https://www.ti.com/lit/gpn/LM5145", "PDF")</f>
        <v>PDF</v>
      </c>
      <c r="D1796" s="5" t="s">
        <v>16251</v>
      </c>
      <c r="E1796" s="5" t="s">
        <v>16252</v>
      </c>
      <c r="F1796" s="5" t="s">
        <v>16253</v>
      </c>
      <c r="G1796" s="5" t="s">
        <v>16254</v>
      </c>
      <c r="H1796" s="1" t="s">
        <v>16255</v>
      </c>
      <c r="I1796" s="5" t="s">
        <v>16256</v>
      </c>
      <c r="J1796" s="7">
        <v>20</v>
      </c>
      <c r="K1796" s="7">
        <v>15.75</v>
      </c>
      <c r="L1796" s="5" t="s">
        <v>16257</v>
      </c>
      <c r="M1796" s="7">
        <v>1</v>
      </c>
      <c r="N1796" s="7">
        <v>0.5</v>
      </c>
      <c r="O1796" s="7">
        <v>1.3839999999999999</v>
      </c>
      <c r="P1796" s="1" t="s">
        <v>16258</v>
      </c>
    </row>
    <row r="1797" spans="1:16" ht="33.4" x14ac:dyDescent="0.3">
      <c r="A1797" s="6" t="str">
        <f>HYPERLINK("https://www.ti.com/product/TPS7A85A", "TPS7A85A")</f>
        <v>TPS7A85A</v>
      </c>
      <c r="B1797" s="5" t="s">
        <v>16259</v>
      </c>
      <c r="C1797" s="6" t="str">
        <f>HYPERLINK("https://www.ti.com/lit/gpn/TPS7A85A", "PDF")</f>
        <v>PDF</v>
      </c>
      <c r="D1797" s="5" t="s">
        <v>16260</v>
      </c>
      <c r="E1797" s="5" t="s">
        <v>16261</v>
      </c>
      <c r="F1797" s="5"/>
      <c r="G1797" s="5" t="s">
        <v>16262</v>
      </c>
      <c r="H1797" s="1" t="s">
        <v>16263</v>
      </c>
      <c r="I1797" s="5" t="s">
        <v>16264</v>
      </c>
      <c r="J1797" s="7">
        <v>20</v>
      </c>
      <c r="K1797" s="7">
        <v>12.25</v>
      </c>
      <c r="L1797" s="5" t="s">
        <v>16265</v>
      </c>
      <c r="M1797" s="7">
        <v>1</v>
      </c>
      <c r="N1797" s="7">
        <v>0.5</v>
      </c>
      <c r="O1797" s="7">
        <v>2.8180000000000001</v>
      </c>
      <c r="P1797" s="1" t="s">
        <v>16266</v>
      </c>
    </row>
    <row r="1798" spans="1:16" ht="33.4" x14ac:dyDescent="0.3">
      <c r="A1798" s="6" t="str">
        <f>HYPERLINK("https://www.ti.com/product/TPS92662-Q1", "TPS92662-Q1")</f>
        <v>TPS92662-Q1</v>
      </c>
      <c r="B1798" s="5" t="s">
        <v>16267</v>
      </c>
      <c r="C1798" s="6" t="str">
        <f>HYPERLINK("https://www.ti.com/lit/gpn/TPS92662-Q1", "PDF")</f>
        <v>PDF</v>
      </c>
      <c r="D1798" s="5" t="s">
        <v>16268</v>
      </c>
      <c r="E1798" s="5" t="s">
        <v>16269</v>
      </c>
      <c r="F1798" s="5" t="s">
        <v>16270</v>
      </c>
      <c r="G1798" s="5" t="s">
        <v>16271</v>
      </c>
      <c r="H1798" s="1" t="s">
        <v>16272</v>
      </c>
      <c r="I1798" s="5" t="s">
        <v>16273</v>
      </c>
      <c r="J1798" s="7">
        <v>48</v>
      </c>
      <c r="K1798" s="7">
        <v>81</v>
      </c>
      <c r="L1798" s="5" t="s">
        <v>16274</v>
      </c>
      <c r="M1798" s="7">
        <v>1.2</v>
      </c>
      <c r="N1798" s="7">
        <v>0.5</v>
      </c>
      <c r="O1798" s="7">
        <v>3.238</v>
      </c>
      <c r="P1798" s="1" t="s">
        <v>16275</v>
      </c>
    </row>
    <row r="1799" spans="1:16" ht="33.4" x14ac:dyDescent="0.3">
      <c r="A1799" s="6" t="str">
        <f>HYPERLINK("https://www.ti.com/product/TPS65218D0", "TPS65218D0")</f>
        <v>TPS65218D0</v>
      </c>
      <c r="B1799" s="5" t="s">
        <v>16276</v>
      </c>
      <c r="C1799" s="6" t="str">
        <f>HYPERLINK("https://www.ti.com/lit/gpn/TPS65218D0", "PDF")</f>
        <v>PDF</v>
      </c>
      <c r="D1799" s="5" t="s">
        <v>16277</v>
      </c>
      <c r="E1799" s="5" t="s">
        <v>16278</v>
      </c>
      <c r="F1799" s="5"/>
      <c r="G1799" s="5" t="s">
        <v>16279</v>
      </c>
      <c r="H1799" s="1" t="s">
        <v>16280</v>
      </c>
      <c r="I1799" s="5" t="s">
        <v>16281</v>
      </c>
      <c r="J1799" s="7">
        <v>48</v>
      </c>
      <c r="K1799" s="7" t="s">
        <v>16282</v>
      </c>
      <c r="L1799" s="5" t="s">
        <v>16283</v>
      </c>
      <c r="M1799" s="7" t="s">
        <v>16284</v>
      </c>
      <c r="N1799" s="7" t="s">
        <v>16285</v>
      </c>
      <c r="O1799" s="7">
        <v>1.9139999999999999</v>
      </c>
      <c r="P1799" s="1" t="s">
        <v>16286</v>
      </c>
    </row>
    <row r="1800" spans="1:16" ht="33.4" x14ac:dyDescent="0.3">
      <c r="A1800" s="6" t="str">
        <f>HYPERLINK("https://www.ti.com/product/TPS92518-Q1", "TPS92518-Q1")</f>
        <v>TPS92518-Q1</v>
      </c>
      <c r="B1800" s="5" t="s">
        <v>16287</v>
      </c>
      <c r="C1800" s="6" t="str">
        <f>HYPERLINK("https://www.ti.com/lit/gpn/TPS92518-Q1", "PDF")</f>
        <v>PDF</v>
      </c>
      <c r="D1800" s="5" t="s">
        <v>16288</v>
      </c>
      <c r="E1800" s="5" t="s">
        <v>16289</v>
      </c>
      <c r="F1800" s="5" t="s">
        <v>16290</v>
      </c>
      <c r="G1800" s="5" t="s">
        <v>16291</v>
      </c>
      <c r="H1800" s="1" t="s">
        <v>16292</v>
      </c>
      <c r="I1800" s="5" t="s">
        <v>16293</v>
      </c>
      <c r="J1800" s="7">
        <v>24</v>
      </c>
      <c r="K1800" s="7">
        <v>49.92</v>
      </c>
      <c r="L1800" s="5" t="s">
        <v>16294</v>
      </c>
      <c r="M1800" s="7">
        <v>1.2</v>
      </c>
      <c r="N1800" s="7">
        <v>0.65</v>
      </c>
      <c r="O1800" s="7">
        <v>1.254</v>
      </c>
      <c r="P1800" s="1" t="s">
        <v>16295</v>
      </c>
    </row>
    <row r="1801" spans="1:16" ht="33.4" x14ac:dyDescent="0.3">
      <c r="A1801" s="6" t="str">
        <f>HYPERLINK("https://www.ti.com/product/TPS92518HV-Q1", "TPS92518HV-Q1")</f>
        <v>TPS92518HV-Q1</v>
      </c>
      <c r="B1801" s="5" t="s">
        <v>16296</v>
      </c>
      <c r="C1801" s="6" t="str">
        <f>HYPERLINK("https://www.ti.com/lit/gpn/TPS92518HV-Q1", "PDF")</f>
        <v>PDF</v>
      </c>
      <c r="D1801" s="5" t="s">
        <v>16297</v>
      </c>
      <c r="E1801" s="5" t="s">
        <v>16298</v>
      </c>
      <c r="F1801" s="5" t="s">
        <v>16299</v>
      </c>
      <c r="G1801" s="5" t="s">
        <v>16300</v>
      </c>
      <c r="H1801" s="1" t="s">
        <v>16301</v>
      </c>
      <c r="I1801" s="5" t="s">
        <v>16302</v>
      </c>
      <c r="J1801" s="7">
        <v>24</v>
      </c>
      <c r="K1801" s="7">
        <v>49.92</v>
      </c>
      <c r="L1801" s="5" t="s">
        <v>16303</v>
      </c>
      <c r="M1801" s="7">
        <v>1.2</v>
      </c>
      <c r="N1801" s="7">
        <v>0.65</v>
      </c>
      <c r="O1801" s="7">
        <v>1.347</v>
      </c>
      <c r="P1801" s="1" t="s">
        <v>16304</v>
      </c>
    </row>
    <row r="1802" spans="1:16" ht="33.4" x14ac:dyDescent="0.3">
      <c r="A1802" s="6" t="str">
        <f>HYPERLINK("https://www.ti.com/product/TPS2547", "TPS2547")</f>
        <v>TPS2547</v>
      </c>
      <c r="B1802" s="5" t="s">
        <v>16305</v>
      </c>
      <c r="C1802" s="6" t="str">
        <f>HYPERLINK("https://www.ti.com/lit/gpn/TPS2547", "PDF")</f>
        <v>PDF</v>
      </c>
      <c r="D1802" s="5" t="s">
        <v>16306</v>
      </c>
      <c r="E1802" s="5" t="s">
        <v>16307</v>
      </c>
      <c r="F1802" s="5"/>
      <c r="G1802" s="5" t="s">
        <v>16308</v>
      </c>
      <c r="H1802" s="1" t="s">
        <v>16309</v>
      </c>
      <c r="I1802" s="5" t="s">
        <v>16310</v>
      </c>
      <c r="J1802" s="7">
        <v>16</v>
      </c>
      <c r="K1802" s="7">
        <v>9</v>
      </c>
      <c r="L1802" s="5" t="s">
        <v>16311</v>
      </c>
      <c r="M1802" s="7">
        <v>0.8</v>
      </c>
      <c r="N1802" s="7">
        <v>0.5</v>
      </c>
      <c r="O1802" s="7">
        <v>0.41399999999999998</v>
      </c>
      <c r="P1802" s="1" t="s">
        <v>16312</v>
      </c>
    </row>
    <row r="1803" spans="1:16" ht="33.4" x14ac:dyDescent="0.3">
      <c r="A1803" s="6" t="str">
        <f>HYPERLINK("https://www.ti.com/product/TPS65263-1Q1", "TPS65263-1Q1")</f>
        <v>TPS65263-1Q1</v>
      </c>
      <c r="B1803" s="5" t="s">
        <v>16313</v>
      </c>
      <c r="C1803" s="6" t="str">
        <f>HYPERLINK("https://www.ti.com/lit/gpn/TPS65263-1Q1", "PDF")</f>
        <v>PDF</v>
      </c>
      <c r="D1803" s="5" t="s">
        <v>16314</v>
      </c>
      <c r="E1803" s="5" t="s">
        <v>16315</v>
      </c>
      <c r="F1803" s="5" t="s">
        <v>16316</v>
      </c>
      <c r="G1803" s="5" t="s">
        <v>16317</v>
      </c>
      <c r="H1803" s="1" t="s">
        <v>16318</v>
      </c>
      <c r="I1803" s="5" t="s">
        <v>16319</v>
      </c>
      <c r="J1803" s="7">
        <v>32</v>
      </c>
      <c r="K1803" s="7">
        <v>25</v>
      </c>
      <c r="L1803" s="5" t="s">
        <v>16320</v>
      </c>
      <c r="M1803" s="7">
        <v>1</v>
      </c>
      <c r="N1803" s="7">
        <v>0.5</v>
      </c>
      <c r="O1803" s="7">
        <v>2.0099999999999998</v>
      </c>
      <c r="P1803" s="1" t="s">
        <v>16321</v>
      </c>
    </row>
    <row r="1804" spans="1:16" ht="33.4" x14ac:dyDescent="0.3">
      <c r="A1804" s="6" t="str">
        <f>HYPERLINK("https://www.ti.com/product/LP8863-Q1", "LP8863-Q1")</f>
        <v>LP8863-Q1</v>
      </c>
      <c r="B1804" s="5" t="s">
        <v>16322</v>
      </c>
      <c r="C1804" s="6" t="str">
        <f>HYPERLINK("https://www.ti.com/lit/gpn/LP8863-Q1", "PDF")</f>
        <v>PDF</v>
      </c>
      <c r="D1804" s="5" t="s">
        <v>16323</v>
      </c>
      <c r="E1804" s="5" t="s">
        <v>16324</v>
      </c>
      <c r="F1804" s="5" t="s">
        <v>16325</v>
      </c>
      <c r="G1804" s="5" t="s">
        <v>16326</v>
      </c>
      <c r="H1804" s="1" t="s">
        <v>16327</v>
      </c>
      <c r="I1804" s="5" t="s">
        <v>16328</v>
      </c>
      <c r="J1804" s="7">
        <v>38</v>
      </c>
      <c r="K1804" s="7">
        <v>62.08</v>
      </c>
      <c r="L1804" s="5" t="s">
        <v>16329</v>
      </c>
      <c r="M1804" s="7">
        <v>1.2</v>
      </c>
      <c r="N1804" s="7">
        <v>0.5</v>
      </c>
      <c r="O1804" s="7">
        <v>1.923</v>
      </c>
      <c r="P1804" s="1" t="s">
        <v>16330</v>
      </c>
    </row>
    <row r="1805" spans="1:16" ht="33.4" x14ac:dyDescent="0.3">
      <c r="A1805" s="6" t="str">
        <f>HYPERLINK("https://www.ti.com/product/TPL7407LA", "TPL7407LA")</f>
        <v>TPL7407LA</v>
      </c>
      <c r="B1805" s="5" t="s">
        <v>16331</v>
      </c>
      <c r="C1805" s="6" t="str">
        <f>HYPERLINK("https://www.ti.com/lit/gpn/TPL7407LA", "PDF")</f>
        <v>PDF</v>
      </c>
      <c r="D1805" s="5" t="s">
        <v>16332</v>
      </c>
      <c r="E1805" s="5" t="s">
        <v>16333</v>
      </c>
      <c r="F1805" s="5"/>
      <c r="G1805" s="5" t="s">
        <v>16334</v>
      </c>
      <c r="H1805" s="1" t="s">
        <v>16335</v>
      </c>
      <c r="I1805" s="5" t="s">
        <v>16336</v>
      </c>
      <c r="J1805" s="7">
        <v>16</v>
      </c>
      <c r="K1805" s="7" t="s">
        <v>16337</v>
      </c>
      <c r="L1805" s="5" t="s">
        <v>16338</v>
      </c>
      <c r="M1805" s="7" t="s">
        <v>16339</v>
      </c>
      <c r="N1805" s="7" t="s">
        <v>16340</v>
      </c>
      <c r="O1805" s="7">
        <v>0.17599999999999999</v>
      </c>
      <c r="P1805" s="1" t="s">
        <v>16341</v>
      </c>
    </row>
    <row r="1806" spans="1:16" ht="33.4" x14ac:dyDescent="0.3">
      <c r="A1806" s="6" t="str">
        <f>HYPERLINK("https://www.ti.com/product/UCC20225", "UCC20225")</f>
        <v>UCC20225</v>
      </c>
      <c r="B1806" s="5" t="s">
        <v>16342</v>
      </c>
      <c r="C1806" s="6" t="str">
        <f>HYPERLINK("https://www.ti.com/lit/gpn/UCC20225", "PDF")</f>
        <v>PDF</v>
      </c>
      <c r="D1806" s="5" t="s">
        <v>16343</v>
      </c>
      <c r="E1806" s="5" t="s">
        <v>16344</v>
      </c>
      <c r="F1806" s="5"/>
      <c r="G1806" s="5" t="s">
        <v>16345</v>
      </c>
      <c r="H1806" s="1" t="s">
        <v>16346</v>
      </c>
      <c r="I1806" s="5" t="s">
        <v>16347</v>
      </c>
      <c r="J1806" s="7">
        <v>13</v>
      </c>
      <c r="K1806" s="7">
        <v>25</v>
      </c>
      <c r="L1806" s="5" t="s">
        <v>16348</v>
      </c>
      <c r="M1806" s="7">
        <v>1</v>
      </c>
      <c r="N1806" s="7">
        <v>0.65</v>
      </c>
      <c r="O1806" s="7">
        <v>1.7490000000000001</v>
      </c>
      <c r="P1806" s="1" t="s">
        <v>16349</v>
      </c>
    </row>
    <row r="1807" spans="1:16" ht="49.75" x14ac:dyDescent="0.3">
      <c r="A1807" s="6" t="str">
        <f>HYPERLINK("https://www.ti.com/product/DCPA10505", "DCPA10505")</f>
        <v>DCPA10505</v>
      </c>
      <c r="B1807" s="5" t="s">
        <v>16350</v>
      </c>
      <c r="C1807" s="6" t="str">
        <f>HYPERLINK("https://www.ti.com/lit/gpn/DCPA10505", "PDF")</f>
        <v>PDF</v>
      </c>
      <c r="D1807" s="5" t="s">
        <v>16351</v>
      </c>
      <c r="E1807" s="5" t="s">
        <v>16352</v>
      </c>
      <c r="F1807" s="5" t="s">
        <v>16353</v>
      </c>
      <c r="G1807" s="5" t="s">
        <v>16354</v>
      </c>
      <c r="H1807" s="1" t="s">
        <v>16355</v>
      </c>
      <c r="I1807" s="5" t="s">
        <v>16356</v>
      </c>
      <c r="J1807" s="7">
        <v>7</v>
      </c>
      <c r="K1807" s="7" t="s">
        <v>16357</v>
      </c>
      <c r="L1807" s="5" t="s">
        <v>16358</v>
      </c>
      <c r="M1807" s="7">
        <v>5.33</v>
      </c>
      <c r="N1807" s="7">
        <v>2.54</v>
      </c>
      <c r="O1807" s="7">
        <v>7.02</v>
      </c>
      <c r="P1807" s="1" t="s">
        <v>16359</v>
      </c>
    </row>
    <row r="1808" spans="1:16" ht="49.75" x14ac:dyDescent="0.3">
      <c r="A1808" s="6" t="str">
        <f>HYPERLINK("https://www.ti.com/product/DCPA10505D", "DCPA10505D")</f>
        <v>DCPA10505D</v>
      </c>
      <c r="B1808" s="5" t="s">
        <v>16360</v>
      </c>
      <c r="C1808" s="6" t="str">
        <f>HYPERLINK("https://www.ti.com/lit/gpn/DCPA10505D", "PDF")</f>
        <v>PDF</v>
      </c>
      <c r="D1808" s="5" t="s">
        <v>16361</v>
      </c>
      <c r="E1808" s="5" t="s">
        <v>16362</v>
      </c>
      <c r="F1808" s="5" t="s">
        <v>16363</v>
      </c>
      <c r="G1808" s="5" t="s">
        <v>16364</v>
      </c>
      <c r="H1808" s="1" t="s">
        <v>16365</v>
      </c>
      <c r="I1808" s="5" t="s">
        <v>16366</v>
      </c>
      <c r="J1808" s="7">
        <v>7</v>
      </c>
      <c r="K1808" s="7" t="s">
        <v>16367</v>
      </c>
      <c r="L1808" s="5" t="s">
        <v>16368</v>
      </c>
      <c r="M1808" s="7">
        <v>5.33</v>
      </c>
      <c r="N1808" s="7">
        <v>2.54</v>
      </c>
      <c r="O1808" s="7">
        <v>5.8079999999999998</v>
      </c>
      <c r="P1808" s="1" t="s">
        <v>16369</v>
      </c>
    </row>
    <row r="1809" spans="1:16" ht="49.75" x14ac:dyDescent="0.3">
      <c r="A1809" s="6" t="str">
        <f>HYPERLINK("https://www.ti.com/product/DCPA10512", "DCPA10512")</f>
        <v>DCPA10512</v>
      </c>
      <c r="B1809" s="5" t="s">
        <v>16370</v>
      </c>
      <c r="C1809" s="6" t="str">
        <f>HYPERLINK("https://www.ti.com/lit/gpn/DCPA10512", "PDF")</f>
        <v>PDF</v>
      </c>
      <c r="D1809" s="5" t="s">
        <v>16371</v>
      </c>
      <c r="E1809" s="5" t="s">
        <v>16372</v>
      </c>
      <c r="F1809" s="5" t="s">
        <v>16373</v>
      </c>
      <c r="G1809" s="5" t="s">
        <v>16374</v>
      </c>
      <c r="H1809" s="1" t="s">
        <v>16375</v>
      </c>
      <c r="I1809" s="5" t="s">
        <v>16376</v>
      </c>
      <c r="J1809" s="7">
        <v>7</v>
      </c>
      <c r="K1809" s="7" t="s">
        <v>16377</v>
      </c>
      <c r="L1809" s="5" t="s">
        <v>16378</v>
      </c>
      <c r="M1809" s="7">
        <v>5.33</v>
      </c>
      <c r="N1809" s="7">
        <v>2.54</v>
      </c>
      <c r="O1809" s="7">
        <v>11.27</v>
      </c>
      <c r="P1809" s="1" t="s">
        <v>16379</v>
      </c>
    </row>
    <row r="1810" spans="1:16" ht="49.75" x14ac:dyDescent="0.3">
      <c r="A1810" s="6" t="str">
        <f>HYPERLINK("https://www.ti.com/product/DCPA10512D", "DCPA10512D")</f>
        <v>DCPA10512D</v>
      </c>
      <c r="B1810" s="5" t="s">
        <v>16380</v>
      </c>
      <c r="C1810" s="6" t="str">
        <f>HYPERLINK("https://www.ti.com/lit/gpn/DCPA10512D", "PDF")</f>
        <v>PDF</v>
      </c>
      <c r="D1810" s="5" t="s">
        <v>16381</v>
      </c>
      <c r="E1810" s="5" t="s">
        <v>16382</v>
      </c>
      <c r="F1810" s="5" t="s">
        <v>16383</v>
      </c>
      <c r="G1810" s="5" t="s">
        <v>16384</v>
      </c>
      <c r="H1810" s="1" t="s">
        <v>16385</v>
      </c>
      <c r="I1810" s="5" t="s">
        <v>16386</v>
      </c>
      <c r="J1810" s="7">
        <v>7</v>
      </c>
      <c r="K1810" s="7" t="s">
        <v>16387</v>
      </c>
      <c r="L1810" s="5" t="s">
        <v>16388</v>
      </c>
      <c r="M1810" s="7">
        <v>5.33</v>
      </c>
      <c r="N1810" s="7">
        <v>2.54</v>
      </c>
      <c r="O1810" s="7">
        <v>5.98</v>
      </c>
      <c r="P1810" s="1" t="s">
        <v>16389</v>
      </c>
    </row>
    <row r="1811" spans="1:16" ht="49.75" x14ac:dyDescent="0.3">
      <c r="A1811" s="6" t="str">
        <f>HYPERLINK("https://www.ti.com/product/DCPA10515", "DCPA10515")</f>
        <v>DCPA10515</v>
      </c>
      <c r="B1811" s="5" t="s">
        <v>16390</v>
      </c>
      <c r="C1811" s="6" t="str">
        <f>HYPERLINK("https://www.ti.com/lit/gpn/DCPA10515", "PDF")</f>
        <v>PDF</v>
      </c>
      <c r="D1811" s="5" t="s">
        <v>16391</v>
      </c>
      <c r="E1811" s="5" t="s">
        <v>16392</v>
      </c>
      <c r="F1811" s="5" t="s">
        <v>16393</v>
      </c>
      <c r="G1811" s="5" t="s">
        <v>16394</v>
      </c>
      <c r="H1811" s="1" t="s">
        <v>16395</v>
      </c>
      <c r="I1811" s="5" t="s">
        <v>16396</v>
      </c>
      <c r="J1811" s="7">
        <v>7</v>
      </c>
      <c r="K1811" s="7" t="s">
        <v>16397</v>
      </c>
      <c r="L1811" s="5" t="s">
        <v>16398</v>
      </c>
      <c r="M1811" s="7">
        <v>5.33</v>
      </c>
      <c r="N1811" s="7">
        <v>2.54</v>
      </c>
      <c r="O1811" s="7">
        <v>6.82</v>
      </c>
      <c r="P1811" s="1" t="s">
        <v>16399</v>
      </c>
    </row>
    <row r="1812" spans="1:16" ht="49.75" x14ac:dyDescent="0.3">
      <c r="A1812" s="6" t="str">
        <f>HYPERLINK("https://www.ti.com/product/DCPA10515D", "DCPA10515D")</f>
        <v>DCPA10515D</v>
      </c>
      <c r="B1812" s="5" t="s">
        <v>16400</v>
      </c>
      <c r="C1812" s="6" t="str">
        <f>HYPERLINK("https://www.ti.com/lit/gpn/DCPA10515D", "PDF")</f>
        <v>PDF</v>
      </c>
      <c r="D1812" s="5" t="s">
        <v>16401</v>
      </c>
      <c r="E1812" s="5" t="s">
        <v>16402</v>
      </c>
      <c r="F1812" s="5" t="s">
        <v>16403</v>
      </c>
      <c r="G1812" s="5" t="s">
        <v>16404</v>
      </c>
      <c r="H1812" s="1" t="s">
        <v>16405</v>
      </c>
      <c r="I1812" s="5" t="s">
        <v>16406</v>
      </c>
      <c r="J1812" s="7">
        <v>7</v>
      </c>
      <c r="K1812" s="7" t="s">
        <v>16407</v>
      </c>
      <c r="L1812" s="5" t="s">
        <v>16408</v>
      </c>
      <c r="M1812" s="7">
        <v>5.33</v>
      </c>
      <c r="N1812" s="7">
        <v>2.54</v>
      </c>
      <c r="O1812" s="7">
        <v>6.0380000000000003</v>
      </c>
      <c r="P1812" s="1" t="s">
        <v>16409</v>
      </c>
    </row>
    <row r="1813" spans="1:16" ht="33.4" x14ac:dyDescent="0.3">
      <c r="A1813" s="6" t="str">
        <f>HYPERLINK("https://www.ti.com/product/TUSB544", "TUSB544")</f>
        <v>TUSB544</v>
      </c>
      <c r="B1813" s="5" t="s">
        <v>16410</v>
      </c>
      <c r="C1813" s="6" t="str">
        <f>HYPERLINK("https://www.ti.com/lit/gpn/TUSB544", "PDF")</f>
        <v>PDF</v>
      </c>
      <c r="D1813" s="5" t="s">
        <v>16411</v>
      </c>
      <c r="E1813" s="5" t="s">
        <v>16412</v>
      </c>
      <c r="F1813" s="5"/>
      <c r="G1813" s="5" t="s">
        <v>16413</v>
      </c>
      <c r="H1813" s="1" t="s">
        <v>16414</v>
      </c>
      <c r="I1813" s="5" t="s">
        <v>16415</v>
      </c>
      <c r="J1813" s="7">
        <v>40</v>
      </c>
      <c r="K1813" s="7">
        <v>24</v>
      </c>
      <c r="L1813" s="5" t="s">
        <v>16416</v>
      </c>
      <c r="M1813" s="7">
        <v>0.8</v>
      </c>
      <c r="N1813" s="7">
        <v>0.4</v>
      </c>
      <c r="O1813" s="7">
        <v>2.645</v>
      </c>
      <c r="P1813" s="1" t="s">
        <v>16417</v>
      </c>
    </row>
    <row r="1814" spans="1:16" ht="33.4" x14ac:dyDescent="0.3">
      <c r="A1814" s="6" t="str">
        <f>HYPERLINK("https://www.ti.com/product/TPS561201", "TPS561201")</f>
        <v>TPS561201</v>
      </c>
      <c r="B1814" s="5" t="s">
        <v>16418</v>
      </c>
      <c r="C1814" s="6" t="str">
        <f>HYPERLINK("https://www.ti.com/lit/gpn/TPS561201", "PDF")</f>
        <v>PDF</v>
      </c>
      <c r="D1814" s="5" t="s">
        <v>16419</v>
      </c>
      <c r="E1814" s="5" t="s">
        <v>16420</v>
      </c>
      <c r="F1814" s="5" t="s">
        <v>16421</v>
      </c>
      <c r="G1814" s="5" t="s">
        <v>16422</v>
      </c>
      <c r="H1814" s="1" t="s">
        <v>16423</v>
      </c>
      <c r="I1814" s="5" t="s">
        <v>16424</v>
      </c>
      <c r="J1814" s="7">
        <v>6</v>
      </c>
      <c r="K1814" s="7">
        <v>8.1199999999999992</v>
      </c>
      <c r="L1814" s="5" t="s">
        <v>16425</v>
      </c>
      <c r="M1814" s="7">
        <v>1.1000000000000001</v>
      </c>
      <c r="N1814" s="7">
        <v>0.95</v>
      </c>
      <c r="O1814" s="7">
        <v>0.19800000000000001</v>
      </c>
      <c r="P1814" s="1" t="s">
        <v>16426</v>
      </c>
    </row>
    <row r="1815" spans="1:16" ht="33.4" x14ac:dyDescent="0.3">
      <c r="A1815" s="6" t="str">
        <f>HYPERLINK("https://www.ti.com/product/TPS561208", "TPS561208")</f>
        <v>TPS561208</v>
      </c>
      <c r="B1815" s="5" t="s">
        <v>16427</v>
      </c>
      <c r="C1815" s="6" t="str">
        <f>HYPERLINK("https://www.ti.com/lit/gpn/TPS561208", "PDF")</f>
        <v>PDF</v>
      </c>
      <c r="D1815" s="5" t="s">
        <v>16428</v>
      </c>
      <c r="E1815" s="5" t="s">
        <v>16429</v>
      </c>
      <c r="F1815" s="5" t="s">
        <v>16430</v>
      </c>
      <c r="G1815" s="5" t="s">
        <v>16431</v>
      </c>
      <c r="H1815" s="1" t="s">
        <v>16432</v>
      </c>
      <c r="I1815" s="5" t="s">
        <v>16433</v>
      </c>
      <c r="J1815" s="7">
        <v>6</v>
      </c>
      <c r="K1815" s="7">
        <v>8.1199999999999992</v>
      </c>
      <c r="L1815" s="5" t="s">
        <v>16434</v>
      </c>
      <c r="M1815" s="7">
        <v>1.1000000000000001</v>
      </c>
      <c r="N1815" s="7">
        <v>0.95</v>
      </c>
      <c r="O1815" s="7">
        <v>0.182</v>
      </c>
      <c r="P1815" s="1" t="s">
        <v>16435</v>
      </c>
    </row>
    <row r="1816" spans="1:16" ht="33.4" x14ac:dyDescent="0.3">
      <c r="A1816" s="6" t="str">
        <f>HYPERLINK("https://www.ti.com/product/UCC21225A", "UCC21225A")</f>
        <v>UCC21225A</v>
      </c>
      <c r="B1816" s="5" t="s">
        <v>16436</v>
      </c>
      <c r="C1816" s="6" t="str">
        <f>HYPERLINK("https://www.ti.com/lit/gpn/UCC21225A", "PDF")</f>
        <v>PDF</v>
      </c>
      <c r="D1816" s="5" t="s">
        <v>16437</v>
      </c>
      <c r="E1816" s="5" t="s">
        <v>16438</v>
      </c>
      <c r="F1816" s="5"/>
      <c r="G1816" s="5" t="s">
        <v>16439</v>
      </c>
      <c r="H1816" s="1" t="s">
        <v>16440</v>
      </c>
      <c r="I1816" s="5" t="s">
        <v>16441</v>
      </c>
      <c r="J1816" s="7">
        <v>13</v>
      </c>
      <c r="K1816" s="7">
        <v>25</v>
      </c>
      <c r="L1816" s="5" t="s">
        <v>16442</v>
      </c>
      <c r="M1816" s="7">
        <v>1</v>
      </c>
      <c r="N1816" s="7">
        <v>0.65</v>
      </c>
      <c r="O1816" s="7">
        <v>1.7490000000000001</v>
      </c>
      <c r="P1816" s="1" t="s">
        <v>16443</v>
      </c>
    </row>
    <row r="1817" spans="1:16" ht="33.4" x14ac:dyDescent="0.3">
      <c r="A1817" s="6" t="str">
        <f>HYPERLINK("https://www.ti.com/product/TLV61046A", "TLV61046A")</f>
        <v>TLV61046A</v>
      </c>
      <c r="B1817" s="5" t="s">
        <v>16444</v>
      </c>
      <c r="C1817" s="6" t="str">
        <f>HYPERLINK("https://www.ti.com/lit/gpn/TLV61046A", "PDF")</f>
        <v>PDF</v>
      </c>
      <c r="D1817" s="5" t="s">
        <v>16445</v>
      </c>
      <c r="E1817" s="5" t="s">
        <v>16446</v>
      </c>
      <c r="F1817" s="5" t="s">
        <v>16447</v>
      </c>
      <c r="G1817" s="5" t="s">
        <v>16448</v>
      </c>
      <c r="H1817" s="1" t="s">
        <v>16449</v>
      </c>
      <c r="I1817" s="5" t="s">
        <v>16450</v>
      </c>
      <c r="J1817" s="7">
        <v>6</v>
      </c>
      <c r="K1817" s="7">
        <v>8.1199999999999992</v>
      </c>
      <c r="L1817" s="5" t="s">
        <v>16451</v>
      </c>
      <c r="M1817" s="7">
        <v>1.45</v>
      </c>
      <c r="N1817" s="7">
        <v>0.95</v>
      </c>
      <c r="O1817" s="7">
        <v>0.42799999999999999</v>
      </c>
      <c r="P1817" s="1" t="s">
        <v>16452</v>
      </c>
    </row>
    <row r="1818" spans="1:16" ht="33.4" x14ac:dyDescent="0.3">
      <c r="A1818" s="6" t="str">
        <f>HYPERLINK("https://www.ti.com/product/TPS61096A", "TPS61096A")</f>
        <v>TPS61096A</v>
      </c>
      <c r="B1818" s="5" t="s">
        <v>16453</v>
      </c>
      <c r="C1818" s="6" t="str">
        <f>HYPERLINK("https://www.ti.com/lit/gpn/TPS61096A", "PDF")</f>
        <v>PDF</v>
      </c>
      <c r="D1818" s="5" t="s">
        <v>16454</v>
      </c>
      <c r="E1818" s="5" t="s">
        <v>16455</v>
      </c>
      <c r="F1818" s="5" t="s">
        <v>16456</v>
      </c>
      <c r="G1818" s="5" t="s">
        <v>16457</v>
      </c>
      <c r="H1818" s="1" t="s">
        <v>16458</v>
      </c>
      <c r="I1818" s="5" t="s">
        <v>16459</v>
      </c>
      <c r="J1818" s="7">
        <v>12</v>
      </c>
      <c r="K1818" s="7">
        <v>6</v>
      </c>
      <c r="L1818" s="5" t="s">
        <v>16460</v>
      </c>
      <c r="M1818" s="7">
        <v>0.8</v>
      </c>
      <c r="N1818" s="7">
        <v>0.5</v>
      </c>
      <c r="O1818" s="7">
        <v>0.53400000000000003</v>
      </c>
      <c r="P1818" s="1" t="s">
        <v>16461</v>
      </c>
    </row>
    <row r="1819" spans="1:16" ht="33.4" x14ac:dyDescent="0.3">
      <c r="A1819" s="6" t="str">
        <f>HYPERLINK("https://www.ti.com/product/TPS65381A-Q1", "TPS65381A-Q1")</f>
        <v>TPS65381A-Q1</v>
      </c>
      <c r="B1819" s="5" t="s">
        <v>16462</v>
      </c>
      <c r="C1819" s="6" t="str">
        <f>HYPERLINK("https://www.ti.com/lit/gpn/TPS65381A-Q1", "PDF")</f>
        <v>PDF</v>
      </c>
      <c r="D1819" s="5" t="s">
        <v>16463</v>
      </c>
      <c r="E1819" s="5" t="s">
        <v>16464</v>
      </c>
      <c r="F1819" s="5"/>
      <c r="G1819" s="5" t="s">
        <v>16465</v>
      </c>
      <c r="H1819" s="1" t="s">
        <v>16466</v>
      </c>
      <c r="I1819" s="5" t="s">
        <v>16467</v>
      </c>
      <c r="J1819" s="7">
        <v>32</v>
      </c>
      <c r="K1819" s="7">
        <v>89.1</v>
      </c>
      <c r="L1819" s="5" t="s">
        <v>16468</v>
      </c>
      <c r="M1819" s="7">
        <v>1.2</v>
      </c>
      <c r="N1819" s="7">
        <v>0.65</v>
      </c>
      <c r="O1819" s="7">
        <v>2.5310000000000001</v>
      </c>
      <c r="P1819" s="1" t="s">
        <v>16469</v>
      </c>
    </row>
    <row r="1820" spans="1:16" ht="33.4" x14ac:dyDescent="0.3">
      <c r="A1820" s="6" t="str">
        <f>HYPERLINK("https://www.ti.com/product/CSD88584Q5DC", "CSD88584Q5DC")</f>
        <v>CSD88584Q5DC</v>
      </c>
      <c r="B1820" s="5" t="s">
        <v>16470</v>
      </c>
      <c r="C1820" s="6" t="str">
        <f>HYPERLINK("https://www.ti.com/lit/gpn/CSD88584Q5DC", "PDF")</f>
        <v>PDF</v>
      </c>
      <c r="D1820" s="5" t="s">
        <v>16471</v>
      </c>
      <c r="E1820" s="5" t="s">
        <v>16472</v>
      </c>
      <c r="F1820" s="5"/>
      <c r="G1820" s="5" t="s">
        <v>16473</v>
      </c>
      <c r="H1820" s="1" t="s">
        <v>16474</v>
      </c>
      <c r="I1820" s="5" t="s">
        <v>16475</v>
      </c>
      <c r="J1820" s="7">
        <v>22</v>
      </c>
      <c r="K1820" s="7">
        <v>30</v>
      </c>
      <c r="L1820" s="5" t="s">
        <v>16476</v>
      </c>
      <c r="M1820" s="7">
        <v>0.9</v>
      </c>
      <c r="N1820" s="7">
        <v>0.5</v>
      </c>
      <c r="O1820" s="7">
        <v>1.355</v>
      </c>
      <c r="P1820" s="1" t="s">
        <v>16477</v>
      </c>
    </row>
    <row r="1821" spans="1:16" ht="33.4" x14ac:dyDescent="0.3">
      <c r="A1821" s="6" t="str">
        <f>HYPERLINK("https://www.ti.com/product/CSD88599Q5DC", "CSD88599Q5DC")</f>
        <v>CSD88599Q5DC</v>
      </c>
      <c r="B1821" s="5" t="s">
        <v>16478</v>
      </c>
      <c r="C1821" s="6" t="str">
        <f>HYPERLINK("https://www.ti.com/lit/gpn/CSD88599Q5DC", "PDF")</f>
        <v>PDF</v>
      </c>
      <c r="D1821" s="5" t="s">
        <v>16479</v>
      </c>
      <c r="E1821" s="5" t="s">
        <v>16480</v>
      </c>
      <c r="F1821" s="5"/>
      <c r="G1821" s="5" t="s">
        <v>16481</v>
      </c>
      <c r="H1821" s="1" t="s">
        <v>16482</v>
      </c>
      <c r="I1821" s="5" t="s">
        <v>16483</v>
      </c>
      <c r="J1821" s="7">
        <v>22</v>
      </c>
      <c r="K1821" s="7">
        <v>30</v>
      </c>
      <c r="L1821" s="5" t="s">
        <v>16484</v>
      </c>
      <c r="M1821" s="7">
        <v>0.9</v>
      </c>
      <c r="N1821" s="7">
        <v>0.5</v>
      </c>
      <c r="O1821" s="7">
        <v>1.5</v>
      </c>
      <c r="P1821" s="1" t="s">
        <v>16485</v>
      </c>
    </row>
    <row r="1822" spans="1:16" ht="33.4" x14ac:dyDescent="0.3">
      <c r="A1822" s="6" t="str">
        <f>HYPERLINK("https://www.ti.com/product/TPS7A84A", "TPS7A84A")</f>
        <v>TPS7A84A</v>
      </c>
      <c r="B1822" s="5" t="s">
        <v>16486</v>
      </c>
      <c r="C1822" s="6" t="str">
        <f>HYPERLINK("https://www.ti.com/lit/gpn/TPS7A84A", "PDF")</f>
        <v>PDF</v>
      </c>
      <c r="D1822" s="5" t="s">
        <v>16487</v>
      </c>
      <c r="E1822" s="5" t="s">
        <v>16488</v>
      </c>
      <c r="F1822" s="5"/>
      <c r="G1822" s="5" t="s">
        <v>16489</v>
      </c>
      <c r="H1822" s="1" t="s">
        <v>16490</v>
      </c>
      <c r="I1822" s="5" t="s">
        <v>16491</v>
      </c>
      <c r="J1822" s="7">
        <v>20</v>
      </c>
      <c r="K1822" s="7">
        <v>12.25</v>
      </c>
      <c r="L1822" s="5" t="s">
        <v>16492</v>
      </c>
      <c r="M1822" s="7">
        <v>1</v>
      </c>
      <c r="N1822" s="7">
        <v>0.5</v>
      </c>
      <c r="O1822" s="7">
        <v>1.925</v>
      </c>
      <c r="P1822" s="1" t="s">
        <v>16493</v>
      </c>
    </row>
    <row r="1823" spans="1:16" ht="33.4" x14ac:dyDescent="0.3">
      <c r="A1823" s="6" t="str">
        <f>HYPERLINK("https://www.ti.com/product/LP87524B-Q1", "LP87524B-Q1")</f>
        <v>LP87524B-Q1</v>
      </c>
      <c r="B1823" s="5" t="s">
        <v>16494</v>
      </c>
      <c r="C1823" s="6" t="str">
        <f>HYPERLINK("https://www.ti.com/lit/gpn/LP87524B-Q1", "PDF")</f>
        <v>PDF</v>
      </c>
      <c r="D1823" s="5" t="s">
        <v>16495</v>
      </c>
      <c r="E1823" s="5" t="s">
        <v>16496</v>
      </c>
      <c r="F1823" s="5"/>
      <c r="G1823" s="5" t="s">
        <v>16497</v>
      </c>
      <c r="H1823" s="1" t="s">
        <v>16498</v>
      </c>
      <c r="I1823" s="5" t="s">
        <v>16499</v>
      </c>
      <c r="J1823" s="7">
        <v>26</v>
      </c>
      <c r="K1823" s="7">
        <v>18</v>
      </c>
      <c r="L1823" s="5" t="s">
        <v>16500</v>
      </c>
      <c r="M1823" s="7">
        <v>0.9</v>
      </c>
      <c r="N1823" s="7">
        <v>0.5</v>
      </c>
      <c r="O1823" s="7">
        <v>2.1379999999999999</v>
      </c>
      <c r="P1823" s="1" t="s">
        <v>16501</v>
      </c>
    </row>
    <row r="1824" spans="1:16" ht="33.4" x14ac:dyDescent="0.3">
      <c r="A1824" s="6" t="str">
        <f>HYPERLINK("https://www.ti.com/product/TPS25810A-Q1", "TPS25810A-Q1")</f>
        <v>TPS25810A-Q1</v>
      </c>
      <c r="B1824" s="5" t="s">
        <v>16502</v>
      </c>
      <c r="C1824" s="6" t="str">
        <f>HYPERLINK("https://www.ti.com/lit/gpn/TPS25810A-Q1", "PDF")</f>
        <v>PDF</v>
      </c>
      <c r="D1824" s="5" t="s">
        <v>16503</v>
      </c>
      <c r="E1824" s="5" t="s">
        <v>16504</v>
      </c>
      <c r="F1824" s="5"/>
      <c r="G1824" s="5" t="s">
        <v>16505</v>
      </c>
      <c r="H1824" s="1" t="s">
        <v>16506</v>
      </c>
      <c r="I1824" s="5" t="s">
        <v>16507</v>
      </c>
      <c r="J1824" s="7">
        <v>20</v>
      </c>
      <c r="K1824" s="7">
        <v>12</v>
      </c>
      <c r="L1824" s="5" t="s">
        <v>16508</v>
      </c>
      <c r="M1824" s="7">
        <v>0.8</v>
      </c>
      <c r="N1824" s="7">
        <v>0.5</v>
      </c>
      <c r="O1824" s="7">
        <v>0.77400000000000002</v>
      </c>
      <c r="P1824" s="1" t="s">
        <v>16509</v>
      </c>
    </row>
    <row r="1825" spans="1:16" ht="33.4" x14ac:dyDescent="0.3">
      <c r="A1825" s="6" t="str">
        <f>HYPERLINK("https://www.ti.com/product/UCC27524A1-Q1", "UCC27524A1-Q1")</f>
        <v>UCC27524A1-Q1</v>
      </c>
      <c r="B1825" s="5" t="s">
        <v>16510</v>
      </c>
      <c r="C1825" s="6" t="str">
        <f>HYPERLINK("https://www.ti.com/lit/gpn/UCC27524A1-Q1", "PDF")</f>
        <v>PDF</v>
      </c>
      <c r="D1825" s="5" t="s">
        <v>16511</v>
      </c>
      <c r="E1825" s="5" t="s">
        <v>16512</v>
      </c>
      <c r="F1825" s="5"/>
      <c r="G1825" s="5" t="s">
        <v>16513</v>
      </c>
      <c r="H1825" s="1" t="s">
        <v>16514</v>
      </c>
      <c r="I1825" s="5" t="s">
        <v>16515</v>
      </c>
      <c r="J1825" s="7">
        <v>8</v>
      </c>
      <c r="K1825" s="7">
        <v>14.7</v>
      </c>
      <c r="L1825" s="5" t="s">
        <v>16516</v>
      </c>
      <c r="M1825" s="7">
        <v>1.1000000000000001</v>
      </c>
      <c r="N1825" s="7">
        <v>0.65</v>
      </c>
      <c r="O1825" s="7">
        <v>0.625</v>
      </c>
      <c r="P1825" s="1" t="s">
        <v>16517</v>
      </c>
    </row>
    <row r="1826" spans="1:16" ht="33.4" x14ac:dyDescent="0.3">
      <c r="A1826" s="6" t="str">
        <f>HYPERLINK("https://www.ti.com/product/LMG1205", "LMG1205")</f>
        <v>LMG1205</v>
      </c>
      <c r="B1826" s="5" t="s">
        <v>16518</v>
      </c>
      <c r="C1826" s="6" t="str">
        <f>HYPERLINK("https://www.ti.com/lit/gpn/LMG1205", "PDF")</f>
        <v>PDF</v>
      </c>
      <c r="D1826" s="5" t="s">
        <v>16519</v>
      </c>
      <c r="E1826" s="5" t="s">
        <v>16520</v>
      </c>
      <c r="F1826" s="5"/>
      <c r="G1826" s="5" t="s">
        <v>16521</v>
      </c>
      <c r="H1826" s="1" t="s">
        <v>16522</v>
      </c>
      <c r="I1826" s="5" t="s">
        <v>16523</v>
      </c>
      <c r="J1826" s="7">
        <v>12</v>
      </c>
      <c r="K1826" s="7">
        <v>3.24</v>
      </c>
      <c r="L1826" s="5" t="s">
        <v>16524</v>
      </c>
      <c r="M1826" s="7">
        <v>0.67500000000000004</v>
      </c>
      <c r="N1826" s="7">
        <v>0.4</v>
      </c>
      <c r="O1826" s="7">
        <v>1.375</v>
      </c>
      <c r="P1826" s="1" t="s">
        <v>16525</v>
      </c>
    </row>
    <row r="1827" spans="1:16" ht="33.4" x14ac:dyDescent="0.3">
      <c r="A1827" s="6" t="str">
        <f>HYPERLINK("https://www.ti.com/product/REF31-Q1", "REF31-Q1")</f>
        <v>REF31-Q1</v>
      </c>
      <c r="B1827" s="5" t="s">
        <v>16526</v>
      </c>
      <c r="C1827" s="6" t="str">
        <f>HYPERLINK("https://www.ti.com/lit/gpn/REF31-Q1", "PDF")</f>
        <v>PDF</v>
      </c>
      <c r="D1827" s="5" t="s">
        <v>16527</v>
      </c>
      <c r="E1827" s="5" t="s">
        <v>16528</v>
      </c>
      <c r="F1827" s="5"/>
      <c r="G1827" s="5" t="s">
        <v>16529</v>
      </c>
      <c r="H1827" s="1" t="s">
        <v>16530</v>
      </c>
      <c r="I1827" s="5" t="s">
        <v>16531</v>
      </c>
      <c r="J1827" s="7">
        <v>3</v>
      </c>
      <c r="K1827" s="7">
        <v>6.9203999999999999</v>
      </c>
      <c r="L1827" s="5" t="s">
        <v>16532</v>
      </c>
      <c r="M1827" s="7">
        <v>1.1200000000000001</v>
      </c>
      <c r="N1827" s="7">
        <v>0.96</v>
      </c>
      <c r="O1827" s="7">
        <v>1.401</v>
      </c>
      <c r="P1827" s="1" t="s">
        <v>16533</v>
      </c>
    </row>
    <row r="1828" spans="1:16" ht="33.4" x14ac:dyDescent="0.3">
      <c r="A1828" s="6" t="str">
        <f>HYPERLINK("https://www.ti.com/product/CSD87313DMS", "CSD87313DMS")</f>
        <v>CSD87313DMS</v>
      </c>
      <c r="B1828" s="5" t="s">
        <v>16534</v>
      </c>
      <c r="C1828" s="6" t="str">
        <f>HYPERLINK("https://www.ti.com/lit/gpn/CSD87313DMS", "PDF")</f>
        <v>PDF</v>
      </c>
      <c r="D1828" s="5" t="s">
        <v>16535</v>
      </c>
      <c r="E1828" s="5" t="s">
        <v>16536</v>
      </c>
      <c r="F1828" s="5"/>
      <c r="G1828" s="5" t="s">
        <v>16537</v>
      </c>
      <c r="H1828" s="1" t="s">
        <v>16538</v>
      </c>
      <c r="I1828" s="5" t="s">
        <v>16539</v>
      </c>
      <c r="J1828" s="7">
        <v>8</v>
      </c>
      <c r="K1828" s="7">
        <v>10.89</v>
      </c>
      <c r="L1828" s="5" t="s">
        <v>16540</v>
      </c>
      <c r="M1828" s="7">
        <v>0.8</v>
      </c>
      <c r="N1828" s="7">
        <v>0.65</v>
      </c>
      <c r="O1828" s="7">
        <v>0.46</v>
      </c>
      <c r="P1828" s="1" t="s">
        <v>16541</v>
      </c>
    </row>
    <row r="1829" spans="1:16" ht="33.4" x14ac:dyDescent="0.3">
      <c r="A1829" s="6" t="str">
        <f>HYPERLINK("https://www.ti.com/product/TPS543C20", "TPS543C20")</f>
        <v>TPS543C20</v>
      </c>
      <c r="B1829" s="5" t="s">
        <v>16542</v>
      </c>
      <c r="C1829" s="6" t="str">
        <f>HYPERLINK("https://www.ti.com/lit/gpn/TPS543C20", "PDF")</f>
        <v>PDF</v>
      </c>
      <c r="D1829" s="5" t="s">
        <v>16543</v>
      </c>
      <c r="E1829" s="5" t="s">
        <v>16544</v>
      </c>
      <c r="F1829" s="5" t="s">
        <v>16545</v>
      </c>
      <c r="G1829" s="5" t="s">
        <v>16546</v>
      </c>
      <c r="H1829" s="1" t="s">
        <v>16547</v>
      </c>
      <c r="I1829" s="5" t="s">
        <v>16548</v>
      </c>
      <c r="J1829" s="7">
        <v>40</v>
      </c>
      <c r="K1829" s="7">
        <v>35</v>
      </c>
      <c r="L1829" s="5" t="s">
        <v>16549</v>
      </c>
      <c r="M1829" s="7">
        <v>1.52</v>
      </c>
      <c r="N1829" s="7">
        <v>0.5</v>
      </c>
      <c r="O1829" s="7">
        <v>4.9800000000000004</v>
      </c>
      <c r="P1829" s="1" t="s">
        <v>16550</v>
      </c>
    </row>
    <row r="1830" spans="1:16" ht="33.4" x14ac:dyDescent="0.3">
      <c r="A1830" s="6" t="str">
        <f>HYPERLINK("https://www.ti.com/product/TPS57112C-Q1", "TPS57112C-Q1")</f>
        <v>TPS57112C-Q1</v>
      </c>
      <c r="B1830" s="5" t="s">
        <v>16551</v>
      </c>
      <c r="C1830" s="6" t="str">
        <f>HYPERLINK("https://www.ti.com/lit/gpn/TPS57112C-Q1", "PDF")</f>
        <v>PDF</v>
      </c>
      <c r="D1830" s="5" t="s">
        <v>16552</v>
      </c>
      <c r="E1830" s="5" t="s">
        <v>16553</v>
      </c>
      <c r="F1830" s="5" t="s">
        <v>16554</v>
      </c>
      <c r="G1830" s="5" t="s">
        <v>16555</v>
      </c>
      <c r="H1830" s="1" t="s">
        <v>16556</v>
      </c>
      <c r="I1830" s="5" t="s">
        <v>16557</v>
      </c>
      <c r="J1830" s="7">
        <v>16</v>
      </c>
      <c r="K1830" s="7">
        <v>9</v>
      </c>
      <c r="L1830" s="5" t="s">
        <v>16558</v>
      </c>
      <c r="M1830" s="7">
        <v>0.8</v>
      </c>
      <c r="N1830" s="7">
        <v>0.5</v>
      </c>
      <c r="O1830" s="7">
        <v>0.83499999999999996</v>
      </c>
      <c r="P1830" s="1" t="s">
        <v>16559</v>
      </c>
    </row>
    <row r="1831" spans="1:16" ht="82.5" x14ac:dyDescent="0.3">
      <c r="A1831" s="6" t="str">
        <f>HYPERLINK("https://www.ti.com/product/TPS61253A", "TPS61253A")</f>
        <v>TPS61253A</v>
      </c>
      <c r="B1831" s="5" t="s">
        <v>16560</v>
      </c>
      <c r="C1831" s="6" t="str">
        <f>HYPERLINK("https://www.ti.com/lit/gpn/TPS61253A", "PDF")</f>
        <v>PDF</v>
      </c>
      <c r="D1831" s="5" t="s">
        <v>16561</v>
      </c>
      <c r="E1831" s="5" t="s">
        <v>16562</v>
      </c>
      <c r="F1831" s="5" t="s">
        <v>16563</v>
      </c>
      <c r="G1831" s="5" t="s">
        <v>16564</v>
      </c>
      <c r="H1831" s="1" t="s">
        <v>16565</v>
      </c>
      <c r="I1831" s="5" t="s">
        <v>16566</v>
      </c>
      <c r="J1831" s="7">
        <v>9</v>
      </c>
      <c r="K1831" s="7">
        <v>1.9600000000000002</v>
      </c>
      <c r="L1831" s="5" t="s">
        <v>16567</v>
      </c>
      <c r="M1831" s="7">
        <v>0.625</v>
      </c>
      <c r="N1831" s="7">
        <v>0.4</v>
      </c>
      <c r="O1831" s="7">
        <v>0.46300000000000002</v>
      </c>
      <c r="P1831" s="1" t="s">
        <v>16568</v>
      </c>
    </row>
    <row r="1832" spans="1:16" ht="33.4" x14ac:dyDescent="0.3">
      <c r="A1832" s="6" t="str">
        <f>HYPERLINK("https://www.ti.com/product/TPS3851-Q1", "TPS3851-Q1")</f>
        <v>TPS3851-Q1</v>
      </c>
      <c r="B1832" s="5" t="s">
        <v>16569</v>
      </c>
      <c r="C1832" s="6" t="str">
        <f>HYPERLINK("https://www.ti.com/lit/gpn/TPS3851-Q1", "PDF")</f>
        <v>PDF</v>
      </c>
      <c r="D1832" s="5" t="s">
        <v>16570</v>
      </c>
      <c r="E1832" s="5" t="s">
        <v>16571</v>
      </c>
      <c r="F1832" s="5"/>
      <c r="G1832" s="5" t="s">
        <v>16572</v>
      </c>
      <c r="H1832" s="1" t="s">
        <v>16573</v>
      </c>
      <c r="I1832" s="5" t="s">
        <v>16574</v>
      </c>
      <c r="J1832" s="7">
        <v>8</v>
      </c>
      <c r="K1832" s="7">
        <v>9</v>
      </c>
      <c r="L1832" s="5" t="s">
        <v>16575</v>
      </c>
      <c r="M1832" s="7">
        <v>1</v>
      </c>
      <c r="N1832" s="7">
        <v>0.65</v>
      </c>
      <c r="O1832" s="7">
        <v>0.85399999999999998</v>
      </c>
      <c r="P1832" s="1" t="s">
        <v>16576</v>
      </c>
    </row>
    <row r="1833" spans="1:16" ht="33.4" x14ac:dyDescent="0.3">
      <c r="A1833" s="6" t="str">
        <f>HYPERLINK("https://www.ti.com/product/TPS7B63-Q1", "TPS7B63-Q1")</f>
        <v>TPS7B63-Q1</v>
      </c>
      <c r="B1833" s="5" t="s">
        <v>16577</v>
      </c>
      <c r="C1833" s="6" t="str">
        <f>HYPERLINK("https://www.ti.com/lit/gpn/TPS7B63-Q1", "PDF")</f>
        <v>PDF</v>
      </c>
      <c r="D1833" s="5" t="s">
        <v>16578</v>
      </c>
      <c r="E1833" s="5" t="s">
        <v>16579</v>
      </c>
      <c r="F1833" s="5"/>
      <c r="G1833" s="5" t="s">
        <v>16580</v>
      </c>
      <c r="H1833" s="1" t="s">
        <v>16581</v>
      </c>
      <c r="I1833" s="5" t="s">
        <v>16582</v>
      </c>
      <c r="J1833" s="7">
        <v>16</v>
      </c>
      <c r="K1833" s="7">
        <v>32</v>
      </c>
      <c r="L1833" s="5" t="s">
        <v>16583</v>
      </c>
      <c r="M1833" s="7">
        <v>1.2</v>
      </c>
      <c r="N1833" s="7">
        <v>0.65</v>
      </c>
      <c r="O1833" s="7">
        <v>0.68799999999999994</v>
      </c>
      <c r="P1833" s="1" t="s">
        <v>16584</v>
      </c>
    </row>
    <row r="1834" spans="1:16" ht="33.4" x14ac:dyDescent="0.3">
      <c r="A1834" s="6" t="str">
        <f>HYPERLINK("https://www.ti.com/product/TPS62136", "TPS62136")</f>
        <v>TPS62136</v>
      </c>
      <c r="B1834" s="5" t="s">
        <v>16585</v>
      </c>
      <c r="C1834" s="6" t="str">
        <f>HYPERLINK("https://www.ti.com/lit/gpn/TPS62136", "PDF")</f>
        <v>PDF</v>
      </c>
      <c r="D1834" s="5" t="s">
        <v>16586</v>
      </c>
      <c r="E1834" s="5" t="s">
        <v>16587</v>
      </c>
      <c r="F1834" s="5" t="s">
        <v>16588</v>
      </c>
      <c r="G1834" s="5" t="s">
        <v>16589</v>
      </c>
      <c r="H1834" s="1" t="s">
        <v>16590</v>
      </c>
      <c r="I1834" s="5" t="s">
        <v>16591</v>
      </c>
      <c r="J1834" s="7">
        <v>11</v>
      </c>
      <c r="K1834" s="7">
        <v>6</v>
      </c>
      <c r="L1834" s="5" t="s">
        <v>16592</v>
      </c>
      <c r="M1834" s="7">
        <v>1</v>
      </c>
      <c r="N1834" s="7">
        <v>0.5</v>
      </c>
      <c r="O1834" s="7">
        <v>0.76300000000000001</v>
      </c>
      <c r="P1834" s="1" t="s">
        <v>16593</v>
      </c>
    </row>
    <row r="1835" spans="1:16" ht="33.4" x14ac:dyDescent="0.3">
      <c r="A1835" s="6" t="str">
        <f>HYPERLINK("https://www.ti.com/product/TLV703", "TLV703")</f>
        <v>TLV703</v>
      </c>
      <c r="B1835" s="5" t="s">
        <v>16594</v>
      </c>
      <c r="C1835" s="6" t="str">
        <f>HYPERLINK("https://www.ti.com/lit/gpn/TLV703", "PDF")</f>
        <v>PDF</v>
      </c>
      <c r="D1835" s="5" t="s">
        <v>16595</v>
      </c>
      <c r="E1835" s="5" t="s">
        <v>16596</v>
      </c>
      <c r="F1835" s="5"/>
      <c r="G1835" s="5" t="s">
        <v>16597</v>
      </c>
      <c r="H1835" s="1" t="s">
        <v>16598</v>
      </c>
      <c r="I1835" s="5" t="s">
        <v>16599</v>
      </c>
      <c r="J1835" s="7">
        <v>5</v>
      </c>
      <c r="K1835" s="7">
        <v>8.1199999999999992</v>
      </c>
      <c r="L1835" s="5" t="s">
        <v>16600</v>
      </c>
      <c r="M1835" s="7">
        <v>1.45</v>
      </c>
      <c r="N1835" s="7">
        <v>0.95</v>
      </c>
      <c r="O1835" s="7">
        <v>6.2E-2</v>
      </c>
      <c r="P1835" s="1" t="s">
        <v>16601</v>
      </c>
    </row>
    <row r="1836" spans="1:16" ht="17.05" x14ac:dyDescent="0.3">
      <c r="A1836" s="6" t="str">
        <f>HYPERLINK("https://www.ti.com/product/DRV8703D-Q1", "DRV8703D-Q1")</f>
        <v>DRV8703D-Q1</v>
      </c>
      <c r="B1836" s="5" t="s">
        <v>16602</v>
      </c>
      <c r="C1836" s="6" t="str">
        <f>HYPERLINK("https://www.ti.com/lit/gpn/DRV8703D-Q1", "PDF")</f>
        <v>PDF</v>
      </c>
      <c r="D1836" s="5" t="s">
        <v>16603</v>
      </c>
      <c r="E1836" s="5" t="s">
        <v>16604</v>
      </c>
      <c r="F1836" s="5" t="s">
        <v>16605</v>
      </c>
      <c r="G1836" s="5" t="s">
        <v>16606</v>
      </c>
      <c r="H1836" s="1" t="s">
        <v>16607</v>
      </c>
      <c r="I1836" s="5" t="s">
        <v>16608</v>
      </c>
      <c r="J1836" s="7">
        <v>32</v>
      </c>
      <c r="K1836" s="7">
        <v>25</v>
      </c>
      <c r="L1836" s="5" t="s">
        <v>16609</v>
      </c>
      <c r="M1836" s="7">
        <v>1</v>
      </c>
      <c r="N1836" s="7">
        <v>0.5</v>
      </c>
      <c r="O1836" s="7">
        <v>1.103</v>
      </c>
      <c r="P1836" s="1" t="s">
        <v>16610</v>
      </c>
    </row>
    <row r="1837" spans="1:16" ht="33.4" x14ac:dyDescent="0.3">
      <c r="A1837" s="6" t="str">
        <f>HYPERLINK("https://www.ti.com/product/LP87525-Q1", "LP87525-Q1")</f>
        <v>LP87525-Q1</v>
      </c>
      <c r="B1837" s="5" t="s">
        <v>16611</v>
      </c>
      <c r="C1837" s="6" t="str">
        <f>HYPERLINK("https://www.ti.com/lit/gpn/LP87525-Q1", "PDF")</f>
        <v>PDF</v>
      </c>
      <c r="D1837" s="5" t="s">
        <v>16612</v>
      </c>
      <c r="E1837" s="5" t="s">
        <v>16613</v>
      </c>
      <c r="F1837" s="5"/>
      <c r="G1837" s="5" t="s">
        <v>16614</v>
      </c>
      <c r="H1837" s="1" t="s">
        <v>16615</v>
      </c>
      <c r="I1837" s="5" t="s">
        <v>16616</v>
      </c>
      <c r="J1837" s="7">
        <v>26</v>
      </c>
      <c r="K1837" s="7">
        <v>18</v>
      </c>
      <c r="L1837" s="5" t="s">
        <v>16617</v>
      </c>
      <c r="M1837" s="7">
        <v>0.9</v>
      </c>
      <c r="N1837" s="7">
        <v>0.5</v>
      </c>
      <c r="O1837" s="7">
        <v>2.1379999999999999</v>
      </c>
      <c r="P1837" s="1" t="s">
        <v>16618</v>
      </c>
    </row>
    <row r="1838" spans="1:16" ht="33.4" x14ac:dyDescent="0.3">
      <c r="A1838" s="6" t="str">
        <f>HYPERLINK("https://www.ti.com/product/TPS53627", "TPS53627")</f>
        <v>TPS53627</v>
      </c>
      <c r="B1838" s="5" t="s">
        <v>16619</v>
      </c>
      <c r="C1838" s="6" t="str">
        <f>HYPERLINK("https://www.ti.com/lit/gpn/TPS53627", "PDF")</f>
        <v>PDF</v>
      </c>
      <c r="D1838" s="5" t="s">
        <v>16620</v>
      </c>
      <c r="E1838" s="5" t="s">
        <v>16621</v>
      </c>
      <c r="F1838" s="5" t="s">
        <v>16622</v>
      </c>
      <c r="G1838" s="5" t="s">
        <v>16623</v>
      </c>
      <c r="H1838" s="1" t="s">
        <v>16624</v>
      </c>
      <c r="I1838" s="5" t="s">
        <v>16625</v>
      </c>
      <c r="J1838" s="7">
        <v>32</v>
      </c>
      <c r="K1838" s="7">
        <v>16</v>
      </c>
      <c r="L1838" s="5" t="s">
        <v>16626</v>
      </c>
      <c r="M1838" s="7">
        <v>1</v>
      </c>
      <c r="N1838" s="7">
        <v>0.4</v>
      </c>
      <c r="O1838" s="7">
        <v>2.3929999999999998</v>
      </c>
      <c r="P1838" s="1" t="s">
        <v>16627</v>
      </c>
    </row>
    <row r="1839" spans="1:16" ht="33.4" x14ac:dyDescent="0.3">
      <c r="A1839" s="6" t="str">
        <f>HYPERLINK("https://www.ti.com/product/CSD18510Q5B", "CSD18510Q5B")</f>
        <v>CSD18510Q5B</v>
      </c>
      <c r="B1839" s="5" t="s">
        <v>16628</v>
      </c>
      <c r="C1839" s="6" t="str">
        <f>HYPERLINK("https://www.ti.com/lit/gpn/CSD18510Q5B", "PDF")</f>
        <v>PDF</v>
      </c>
      <c r="D1839" s="5" t="s">
        <v>16629</v>
      </c>
      <c r="E1839" s="5" t="s">
        <v>16630</v>
      </c>
      <c r="F1839" s="5"/>
      <c r="G1839" s="5" t="s">
        <v>16631</v>
      </c>
      <c r="H1839" s="1" t="s">
        <v>16632</v>
      </c>
      <c r="I1839" s="5" t="s">
        <v>16633</v>
      </c>
      <c r="J1839" s="7">
        <v>8</v>
      </c>
      <c r="K1839" s="7">
        <v>30</v>
      </c>
      <c r="L1839" s="5" t="s">
        <v>16634</v>
      </c>
      <c r="M1839" s="7">
        <v>1</v>
      </c>
      <c r="N1839" s="7">
        <v>1.27</v>
      </c>
      <c r="O1839" s="7">
        <v>0.68</v>
      </c>
      <c r="P1839" s="1" t="s">
        <v>16635</v>
      </c>
    </row>
    <row r="1840" spans="1:16" ht="17.05" x14ac:dyDescent="0.3">
      <c r="A1840" s="6" t="str">
        <f>HYPERLINK("https://www.ti.com/product/TPS54201", "TPS54201")</f>
        <v>TPS54201</v>
      </c>
      <c r="B1840" s="5" t="s">
        <v>16636</v>
      </c>
      <c r="C1840" s="6" t="str">
        <f>HYPERLINK("https://www.ti.com/lit/gpn/TPS54201", "PDF")</f>
        <v>PDF</v>
      </c>
      <c r="D1840" s="5" t="s">
        <v>16637</v>
      </c>
      <c r="E1840" s="5" t="s">
        <v>16638</v>
      </c>
      <c r="F1840" s="5" t="s">
        <v>16639</v>
      </c>
      <c r="G1840" s="5" t="s">
        <v>16640</v>
      </c>
      <c r="H1840" s="1" t="s">
        <v>16641</v>
      </c>
      <c r="I1840" s="5" t="s">
        <v>16642</v>
      </c>
      <c r="J1840" s="7">
        <v>6</v>
      </c>
      <c r="K1840" s="7">
        <v>8.1199999999999992</v>
      </c>
      <c r="L1840" s="5" t="s">
        <v>16643</v>
      </c>
      <c r="M1840" s="7">
        <v>1.1000000000000001</v>
      </c>
      <c r="N1840" s="7">
        <v>0.95</v>
      </c>
      <c r="O1840" s="7">
        <v>0.50600000000000001</v>
      </c>
      <c r="P1840" s="1" t="s">
        <v>16644</v>
      </c>
    </row>
    <row r="1841" spans="1:16" ht="17.05" x14ac:dyDescent="0.3">
      <c r="A1841" s="6" t="str">
        <f>HYPERLINK("https://www.ti.com/product/LM5113-Q1", "LM5113-Q1")</f>
        <v>LM5113-Q1</v>
      </c>
      <c r="B1841" s="5" t="s">
        <v>16645</v>
      </c>
      <c r="C1841" s="6" t="str">
        <f>HYPERLINK("https://www.ti.com/lit/gpn/LM5113-Q1", "PDF")</f>
        <v>PDF</v>
      </c>
      <c r="D1841" s="5" t="s">
        <v>16646</v>
      </c>
      <c r="E1841" s="5" t="s">
        <v>16647</v>
      </c>
      <c r="F1841" s="5"/>
      <c r="G1841" s="5" t="s">
        <v>16648</v>
      </c>
      <c r="H1841" s="1" t="s">
        <v>16649</v>
      </c>
      <c r="I1841" s="5" t="s">
        <v>16650</v>
      </c>
      <c r="J1841" s="7">
        <v>10</v>
      </c>
      <c r="K1841" s="7">
        <v>16</v>
      </c>
      <c r="L1841" s="5" t="s">
        <v>16651</v>
      </c>
      <c r="M1841" s="7">
        <v>0.8</v>
      </c>
      <c r="N1841" s="7">
        <v>0.8</v>
      </c>
      <c r="O1841" s="7">
        <v>1.7809999999999999</v>
      </c>
      <c r="P1841" s="1" t="s">
        <v>16652</v>
      </c>
    </row>
    <row r="1842" spans="1:16" ht="49.75" x14ac:dyDescent="0.3">
      <c r="A1842" s="6" t="str">
        <f>HYPERLINK("https://www.ti.com/product/TPS92692", "TPS92692")</f>
        <v>TPS92692</v>
      </c>
      <c r="B1842" s="5" t="s">
        <v>16653</v>
      </c>
      <c r="C1842" s="6" t="str">
        <f>HYPERLINK("https://www.ti.com/lit/gpn/TPS92692", "PDF")</f>
        <v>PDF</v>
      </c>
      <c r="D1842" s="5" t="s">
        <v>16654</v>
      </c>
      <c r="E1842" s="5" t="s">
        <v>16655</v>
      </c>
      <c r="F1842" s="5" t="s">
        <v>16656</v>
      </c>
      <c r="G1842" s="5" t="s">
        <v>16657</v>
      </c>
      <c r="H1842" s="1" t="s">
        <v>16658</v>
      </c>
      <c r="I1842" s="5" t="s">
        <v>16659</v>
      </c>
      <c r="J1842" s="7">
        <v>20</v>
      </c>
      <c r="K1842" s="7">
        <v>41.6</v>
      </c>
      <c r="L1842" s="5" t="s">
        <v>16660</v>
      </c>
      <c r="M1842" s="7">
        <v>1.2</v>
      </c>
      <c r="N1842" s="7">
        <v>0.65</v>
      </c>
      <c r="O1842" s="7">
        <v>1.042</v>
      </c>
      <c r="P1842" s="1" t="s">
        <v>16661</v>
      </c>
    </row>
    <row r="1843" spans="1:16" ht="98.85" x14ac:dyDescent="0.3">
      <c r="A1843" s="6" t="str">
        <f>HYPERLINK("https://www.ti.com/product/TPS92692-Q1", "TPS92692-Q1")</f>
        <v>TPS92692-Q1</v>
      </c>
      <c r="B1843" s="5" t="s">
        <v>16662</v>
      </c>
      <c r="C1843" s="6" t="str">
        <f>HYPERLINK("https://www.ti.com/lit/gpn/TPS92692-Q1", "PDF")</f>
        <v>PDF</v>
      </c>
      <c r="D1843" s="5" t="s">
        <v>16663</v>
      </c>
      <c r="E1843" s="5" t="s">
        <v>16664</v>
      </c>
      <c r="F1843" s="5" t="s">
        <v>16665</v>
      </c>
      <c r="G1843" s="5" t="s">
        <v>16666</v>
      </c>
      <c r="H1843" s="1" t="s">
        <v>16667</v>
      </c>
      <c r="I1843" s="5" t="s">
        <v>16668</v>
      </c>
      <c r="J1843" s="7">
        <v>20</v>
      </c>
      <c r="K1843" s="7">
        <v>41.6</v>
      </c>
      <c r="L1843" s="5" t="s">
        <v>16669</v>
      </c>
      <c r="M1843" s="7">
        <v>1.2</v>
      </c>
      <c r="N1843" s="7">
        <v>0.65</v>
      </c>
      <c r="O1843" s="7">
        <v>1.127</v>
      </c>
      <c r="P1843" s="1" t="s">
        <v>16670</v>
      </c>
    </row>
    <row r="1844" spans="1:16" ht="33.4" x14ac:dyDescent="0.3">
      <c r="A1844" s="6" t="str">
        <f>HYPERLINK("https://www.ti.com/product/CSD18510KCS", "CSD18510KCS")</f>
        <v>CSD18510KCS</v>
      </c>
      <c r="B1844" s="5" t="s">
        <v>16671</v>
      </c>
      <c r="C1844" s="6" t="str">
        <f>HYPERLINK("https://www.ti.com/lit/gpn/CSD18510KCS", "PDF")</f>
        <v>PDF</v>
      </c>
      <c r="D1844" s="5" t="s">
        <v>16672</v>
      </c>
      <c r="E1844" s="5" t="s">
        <v>16673</v>
      </c>
      <c r="F1844" s="5"/>
      <c r="G1844" s="5" t="s">
        <v>16674</v>
      </c>
      <c r="H1844" s="1" t="s">
        <v>16675</v>
      </c>
      <c r="I1844" s="5" t="s">
        <v>16676</v>
      </c>
      <c r="J1844" s="7">
        <v>3</v>
      </c>
      <c r="K1844" s="7">
        <v>46.228000000000002</v>
      </c>
      <c r="L1844" s="5" t="s">
        <v>16677</v>
      </c>
      <c r="M1844" s="7">
        <v>4.7</v>
      </c>
      <c r="N1844" s="7">
        <v>2.54</v>
      </c>
      <c r="O1844" s="7">
        <v>0.65</v>
      </c>
      <c r="P1844" s="1" t="s">
        <v>16678</v>
      </c>
    </row>
    <row r="1845" spans="1:16" ht="33.4" x14ac:dyDescent="0.3">
      <c r="A1845" s="6" t="str">
        <f>HYPERLINK("https://www.ti.com/product/TPS3890-Q1", "TPS3890-Q1")</f>
        <v>TPS3890-Q1</v>
      </c>
      <c r="B1845" s="5" t="s">
        <v>16679</v>
      </c>
      <c r="C1845" s="6" t="str">
        <f>HYPERLINK("https://www.ti.com/lit/gpn/TPS3890-Q1", "PDF")</f>
        <v>PDF</v>
      </c>
      <c r="D1845" s="5" t="s">
        <v>16680</v>
      </c>
      <c r="E1845" s="5" t="s">
        <v>16681</v>
      </c>
      <c r="F1845" s="5"/>
      <c r="G1845" s="5" t="s">
        <v>16682</v>
      </c>
      <c r="H1845" s="1" t="s">
        <v>16683</v>
      </c>
      <c r="I1845" s="5" t="s">
        <v>16684</v>
      </c>
      <c r="J1845" s="7">
        <v>6</v>
      </c>
      <c r="K1845" s="7">
        <v>2.25</v>
      </c>
      <c r="L1845" s="5" t="s">
        <v>16685</v>
      </c>
      <c r="M1845" s="7">
        <v>0.8</v>
      </c>
      <c r="N1845" s="7">
        <v>0.5</v>
      </c>
      <c r="O1845" s="7">
        <v>0.71499999999999997</v>
      </c>
      <c r="P1845" s="1" t="s">
        <v>16686</v>
      </c>
    </row>
    <row r="1846" spans="1:16" ht="33.4" x14ac:dyDescent="0.3">
      <c r="A1846" s="6" t="str">
        <f>HYPERLINK("https://www.ti.com/product/LM25141", "LM25141")</f>
        <v>LM25141</v>
      </c>
      <c r="B1846" s="5" t="s">
        <v>16687</v>
      </c>
      <c r="C1846" s="6" t="str">
        <f>HYPERLINK("https://www.ti.com/lit/gpn/LM25141", "PDF")</f>
        <v>PDF</v>
      </c>
      <c r="D1846" s="5" t="s">
        <v>16688</v>
      </c>
      <c r="E1846" s="5" t="s">
        <v>16689</v>
      </c>
      <c r="F1846" s="5" t="s">
        <v>16690</v>
      </c>
      <c r="G1846" s="5" t="s">
        <v>16691</v>
      </c>
      <c r="H1846" s="1" t="s">
        <v>16692</v>
      </c>
      <c r="I1846" s="5" t="s">
        <v>16693</v>
      </c>
      <c r="J1846" s="7">
        <v>24</v>
      </c>
      <c r="K1846" s="7">
        <v>16</v>
      </c>
      <c r="L1846" s="5" t="s">
        <v>16694</v>
      </c>
      <c r="M1846" s="7">
        <v>1</v>
      </c>
      <c r="N1846" s="7">
        <v>0.5</v>
      </c>
      <c r="O1846" s="7">
        <v>0.96699999999999997</v>
      </c>
      <c r="P1846" s="1" t="s">
        <v>16695</v>
      </c>
    </row>
    <row r="1847" spans="1:16" ht="33.4" x14ac:dyDescent="0.3">
      <c r="A1847" s="6" t="str">
        <f>HYPERLINK("https://www.ti.com/product/LM5141", "LM5141")</f>
        <v>LM5141</v>
      </c>
      <c r="B1847" s="5" t="s">
        <v>16696</v>
      </c>
      <c r="C1847" s="6" t="str">
        <f>HYPERLINK("https://www.ti.com/lit/gpn/LM5141", "PDF")</f>
        <v>PDF</v>
      </c>
      <c r="D1847" s="5" t="s">
        <v>16697</v>
      </c>
      <c r="E1847" s="5" t="s">
        <v>16698</v>
      </c>
      <c r="F1847" s="5" t="s">
        <v>16699</v>
      </c>
      <c r="G1847" s="5" t="s">
        <v>16700</v>
      </c>
      <c r="H1847" s="1" t="s">
        <v>16701</v>
      </c>
      <c r="I1847" s="5" t="s">
        <v>16702</v>
      </c>
      <c r="J1847" s="7">
        <v>24</v>
      </c>
      <c r="K1847" s="7">
        <v>16</v>
      </c>
      <c r="L1847" s="5" t="s">
        <v>16703</v>
      </c>
      <c r="M1847" s="7">
        <v>1</v>
      </c>
      <c r="N1847" s="7">
        <v>0.5</v>
      </c>
      <c r="O1847" s="7">
        <v>2.032</v>
      </c>
      <c r="P1847" s="1" t="s">
        <v>16704</v>
      </c>
    </row>
    <row r="1848" spans="1:16" ht="33.4" x14ac:dyDescent="0.3">
      <c r="A1848" s="6" t="str">
        <f>HYPERLINK("https://www.ti.com/product/TPS54560B-Q1", "TPS54560B-Q1")</f>
        <v>TPS54560B-Q1</v>
      </c>
      <c r="B1848" s="5" t="s">
        <v>16705</v>
      </c>
      <c r="C1848" s="6" t="str">
        <f>HYPERLINK("https://www.ti.com/lit/gpn/TPS54560B-Q1", "PDF")</f>
        <v>PDF</v>
      </c>
      <c r="D1848" s="5" t="s">
        <v>16706</v>
      </c>
      <c r="E1848" s="5" t="s">
        <v>16707</v>
      </c>
      <c r="F1848" s="5" t="s">
        <v>16708</v>
      </c>
      <c r="G1848" s="5" t="s">
        <v>16709</v>
      </c>
      <c r="H1848" s="1" t="s">
        <v>16710</v>
      </c>
      <c r="I1848" s="5" t="s">
        <v>16711</v>
      </c>
      <c r="J1848" s="7">
        <v>8</v>
      </c>
      <c r="K1848" s="7">
        <v>29.4</v>
      </c>
      <c r="L1848" s="5" t="s">
        <v>16712</v>
      </c>
      <c r="M1848" s="7">
        <v>1.7</v>
      </c>
      <c r="N1848" s="7">
        <v>1.27</v>
      </c>
      <c r="O1848" s="7">
        <v>2.7589999999999999</v>
      </c>
      <c r="P1848" s="1" t="s">
        <v>16713</v>
      </c>
    </row>
    <row r="1849" spans="1:16" ht="17.05" x14ac:dyDescent="0.3">
      <c r="A1849" s="6" t="str">
        <f>HYPERLINK("https://www.ti.com/product/LMG5200", "LMG5200")</f>
        <v>LMG5200</v>
      </c>
      <c r="B1849" s="5" t="s">
        <v>16714</v>
      </c>
      <c r="C1849" s="6" t="str">
        <f>HYPERLINK("https://www.ti.com/lit/gpn/LMG5200", "PDF")</f>
        <v>PDF</v>
      </c>
      <c r="D1849" s="5" t="s">
        <v>16715</v>
      </c>
      <c r="E1849" s="5" t="s">
        <v>16716</v>
      </c>
      <c r="F1849" s="5"/>
      <c r="G1849" s="5" t="s">
        <v>16717</v>
      </c>
      <c r="H1849" s="1" t="s">
        <v>16718</v>
      </c>
      <c r="I1849" s="5" t="s">
        <v>16719</v>
      </c>
      <c r="J1849" s="7">
        <v>9</v>
      </c>
      <c r="K1849" s="7">
        <v>48</v>
      </c>
      <c r="L1849" s="5" t="s">
        <v>16720</v>
      </c>
      <c r="M1849" s="7">
        <v>2</v>
      </c>
      <c r="N1849" s="7">
        <v>1</v>
      </c>
      <c r="O1849" s="7">
        <v>5.72</v>
      </c>
      <c r="P1849" s="1" t="s">
        <v>16721</v>
      </c>
    </row>
    <row r="1850" spans="1:16" ht="33.4" x14ac:dyDescent="0.3">
      <c r="A1850" s="6" t="str">
        <f>HYPERLINK("https://www.ti.com/product/TPS61178", "TPS61178")</f>
        <v>TPS61178</v>
      </c>
      <c r="B1850" s="5" t="s">
        <v>16722</v>
      </c>
      <c r="C1850" s="6" t="str">
        <f>HYPERLINK("https://www.ti.com/lit/gpn/TPS61178", "PDF")</f>
        <v>PDF</v>
      </c>
      <c r="D1850" s="5" t="s">
        <v>16723</v>
      </c>
      <c r="E1850" s="5" t="s">
        <v>16724</v>
      </c>
      <c r="F1850" s="5" t="s">
        <v>16725</v>
      </c>
      <c r="G1850" s="5" t="s">
        <v>16726</v>
      </c>
      <c r="H1850" s="1" t="s">
        <v>16727</v>
      </c>
      <c r="I1850" s="5" t="s">
        <v>16728</v>
      </c>
      <c r="J1850" s="7">
        <v>13</v>
      </c>
      <c r="K1850" s="7">
        <v>10.5</v>
      </c>
      <c r="L1850" s="5" t="s">
        <v>16729</v>
      </c>
      <c r="M1850" s="7">
        <v>1</v>
      </c>
      <c r="N1850" s="7">
        <v>0.5</v>
      </c>
      <c r="O1850" s="7">
        <v>1.0349999999999999</v>
      </c>
      <c r="P1850" s="1" t="s">
        <v>16730</v>
      </c>
    </row>
    <row r="1851" spans="1:16" ht="33.4" x14ac:dyDescent="0.3">
      <c r="A1851" s="6" t="str">
        <f>HYPERLINK("https://www.ti.com/product/LM25141-Q1", "LM25141-Q1")</f>
        <v>LM25141-Q1</v>
      </c>
      <c r="B1851" s="5" t="s">
        <v>16731</v>
      </c>
      <c r="C1851" s="6" t="str">
        <f>HYPERLINK("https://www.ti.com/lit/gpn/LM25141-Q1", "PDF")</f>
        <v>PDF</v>
      </c>
      <c r="D1851" s="5" t="s">
        <v>16732</v>
      </c>
      <c r="E1851" s="5" t="s">
        <v>16733</v>
      </c>
      <c r="F1851" s="5" t="s">
        <v>16734</v>
      </c>
      <c r="G1851" s="5" t="s">
        <v>16735</v>
      </c>
      <c r="H1851" s="1" t="s">
        <v>16736</v>
      </c>
      <c r="I1851" s="5" t="s">
        <v>16737</v>
      </c>
      <c r="J1851" s="7">
        <v>24</v>
      </c>
      <c r="K1851" s="7">
        <v>16</v>
      </c>
      <c r="L1851" s="5" t="s">
        <v>16738</v>
      </c>
      <c r="M1851" s="7">
        <v>1</v>
      </c>
      <c r="N1851" s="7">
        <v>0.5</v>
      </c>
      <c r="O1851" s="7">
        <v>1.6830000000000001</v>
      </c>
      <c r="P1851" s="1" t="s">
        <v>16739</v>
      </c>
    </row>
    <row r="1852" spans="1:16" ht="33.4" x14ac:dyDescent="0.3">
      <c r="A1852" s="6" t="str">
        <f>HYPERLINK("https://www.ti.com/product/TPS3852-Q1", "TPS3852-Q1")</f>
        <v>TPS3852-Q1</v>
      </c>
      <c r="B1852" s="5" t="s">
        <v>16740</v>
      </c>
      <c r="C1852" s="6" t="str">
        <f>HYPERLINK("https://www.ti.com/lit/gpn/TPS3852-Q1", "PDF")</f>
        <v>PDF</v>
      </c>
      <c r="D1852" s="5" t="s">
        <v>16741</v>
      </c>
      <c r="E1852" s="5" t="s">
        <v>16742</v>
      </c>
      <c r="F1852" s="5"/>
      <c r="G1852" s="5" t="s">
        <v>16743</v>
      </c>
      <c r="H1852" s="1" t="s">
        <v>16744</v>
      </c>
      <c r="I1852" s="5" t="s">
        <v>16745</v>
      </c>
      <c r="J1852" s="7">
        <v>8</v>
      </c>
      <c r="K1852" s="7">
        <v>9</v>
      </c>
      <c r="L1852" s="5" t="s">
        <v>16746</v>
      </c>
      <c r="M1852" s="7">
        <v>1</v>
      </c>
      <c r="N1852" s="7">
        <v>0.65</v>
      </c>
      <c r="O1852" s="7">
        <v>0.91100000000000003</v>
      </c>
      <c r="P1852" s="1" t="s">
        <v>16747</v>
      </c>
    </row>
    <row r="1853" spans="1:16" ht="33.4" x14ac:dyDescent="0.3">
      <c r="A1853" s="6" t="str">
        <f>HYPERLINK("https://www.ti.com/product/TPS6213013A-Q1", "TPS6213013A-Q1")</f>
        <v>TPS6213013A-Q1</v>
      </c>
      <c r="B1853" s="5" t="s">
        <v>16748</v>
      </c>
      <c r="C1853" s="6" t="str">
        <f>HYPERLINK("https://www.ti.com/lit/gpn/TPS6213013A-Q1", "PDF")</f>
        <v>PDF</v>
      </c>
      <c r="D1853" s="5" t="s">
        <v>16749</v>
      </c>
      <c r="E1853" s="5" t="s">
        <v>16750</v>
      </c>
      <c r="F1853" s="5" t="s">
        <v>16751</v>
      </c>
      <c r="G1853" s="5" t="s">
        <v>16752</v>
      </c>
      <c r="H1853" s="1" t="s">
        <v>16753</v>
      </c>
      <c r="I1853" s="5" t="s">
        <v>16754</v>
      </c>
      <c r="J1853" s="7">
        <v>16</v>
      </c>
      <c r="K1853" s="7">
        <v>9</v>
      </c>
      <c r="L1853" s="5" t="s">
        <v>16755</v>
      </c>
      <c r="M1853" s="7">
        <v>1</v>
      </c>
      <c r="N1853" s="7">
        <v>0.5</v>
      </c>
      <c r="O1853" s="7">
        <v>0.997</v>
      </c>
      <c r="P1853" s="1" t="s">
        <v>16756</v>
      </c>
    </row>
    <row r="1854" spans="1:16" ht="17.05" x14ac:dyDescent="0.3">
      <c r="A1854" s="6" t="str">
        <f>HYPERLINK("https://www.ti.com/product/TPS650864", "TPS650864")</f>
        <v>TPS650864</v>
      </c>
      <c r="B1854" s="5" t="s">
        <v>16757</v>
      </c>
      <c r="C1854" s="6" t="str">
        <f>HYPERLINK("https://www.ti.com/lit/gpn/TPS650864", "PDF")</f>
        <v>PDF</v>
      </c>
      <c r="D1854" s="5" t="s">
        <v>16758</v>
      </c>
      <c r="E1854" s="5" t="s">
        <v>16759</v>
      </c>
      <c r="F1854" s="5"/>
      <c r="G1854" s="5" t="s">
        <v>16760</v>
      </c>
      <c r="H1854" s="1" t="s">
        <v>16761</v>
      </c>
      <c r="I1854" s="5" t="s">
        <v>16762</v>
      </c>
      <c r="J1854" s="7">
        <v>64</v>
      </c>
      <c r="K1854" s="7">
        <v>64</v>
      </c>
      <c r="L1854" s="5" t="s">
        <v>16763</v>
      </c>
      <c r="M1854" s="7">
        <v>1</v>
      </c>
      <c r="N1854" s="7">
        <v>0.4</v>
      </c>
      <c r="O1854" s="7">
        <v>4.4560000000000004</v>
      </c>
      <c r="P1854" s="1" t="s">
        <v>16764</v>
      </c>
    </row>
    <row r="1855" spans="1:16" ht="82.5" x14ac:dyDescent="0.3">
      <c r="A1855" s="6" t="str">
        <f>HYPERLINK("https://www.ti.com/product/LM7800", "LM7800")</f>
        <v>LM7800</v>
      </c>
      <c r="B1855" s="5" t="s">
        <v>16765</v>
      </c>
      <c r="C1855" s="6" t="str">
        <f>HYPERLINK("https://www.ti.com/lit/gpn/LM7800", "PDF")</f>
        <v>PDF</v>
      </c>
      <c r="D1855" s="5" t="s">
        <v>16766</v>
      </c>
      <c r="E1855" s="5" t="s">
        <v>16767</v>
      </c>
      <c r="F1855" s="5"/>
      <c r="G1855" s="5" t="s">
        <v>16768</v>
      </c>
      <c r="H1855" s="1" t="s">
        <v>16769</v>
      </c>
      <c r="I1855" s="5" t="s">
        <v>16770</v>
      </c>
      <c r="J1855" s="7" t="s">
        <v>16771</v>
      </c>
      <c r="K1855" s="7" t="s">
        <v>16772</v>
      </c>
      <c r="L1855" s="5" t="s">
        <v>16773</v>
      </c>
      <c r="M1855" s="7" t="s">
        <v>16774</v>
      </c>
      <c r="N1855" s="7" t="s">
        <v>16775</v>
      </c>
      <c r="O1855" s="7">
        <v>0.503</v>
      </c>
      <c r="P1855" s="1" t="s">
        <v>16776</v>
      </c>
    </row>
    <row r="1856" spans="1:16" ht="33.4" x14ac:dyDescent="0.3">
      <c r="A1856" s="6" t="str">
        <f>HYPERLINK("https://www.ti.com/product/TPS54340B-Q1", "TPS54340B-Q1")</f>
        <v>TPS54340B-Q1</v>
      </c>
      <c r="B1856" s="5" t="s">
        <v>16777</v>
      </c>
      <c r="C1856" s="6" t="str">
        <f>HYPERLINK("https://www.ti.com/lit/gpn/TPS54340B-Q1", "PDF")</f>
        <v>PDF</v>
      </c>
      <c r="D1856" s="5" t="s">
        <v>16778</v>
      </c>
      <c r="E1856" s="5" t="s">
        <v>16779</v>
      </c>
      <c r="F1856" s="5" t="s">
        <v>16780</v>
      </c>
      <c r="G1856" s="5" t="s">
        <v>16781</v>
      </c>
      <c r="H1856" s="1" t="s">
        <v>16782</v>
      </c>
      <c r="I1856" s="5" t="s">
        <v>16783</v>
      </c>
      <c r="J1856" s="7">
        <v>8</v>
      </c>
      <c r="K1856" s="7">
        <v>29.4</v>
      </c>
      <c r="L1856" s="5" t="s">
        <v>16784</v>
      </c>
      <c r="M1856" s="7">
        <v>1.7</v>
      </c>
      <c r="N1856" s="7">
        <v>1.27</v>
      </c>
      <c r="O1856" s="7">
        <v>2.1419999999999999</v>
      </c>
      <c r="P1856" s="1" t="s">
        <v>16785</v>
      </c>
    </row>
    <row r="1857" spans="1:16" ht="33.4" x14ac:dyDescent="0.3">
      <c r="A1857" s="6" t="str">
        <f>HYPERLINK("https://www.ti.com/product/TPS54360B-Q1", "TPS54360B-Q1")</f>
        <v>TPS54360B-Q1</v>
      </c>
      <c r="B1857" s="5" t="s">
        <v>16786</v>
      </c>
      <c r="C1857" s="6" t="str">
        <f>HYPERLINK("https://www.ti.com/lit/gpn/TPS54360B-Q1", "PDF")</f>
        <v>PDF</v>
      </c>
      <c r="D1857" s="5" t="s">
        <v>16787</v>
      </c>
      <c r="E1857" s="5" t="s">
        <v>16788</v>
      </c>
      <c r="F1857" s="5" t="s">
        <v>16789</v>
      </c>
      <c r="G1857" s="5" t="s">
        <v>16790</v>
      </c>
      <c r="H1857" s="1" t="s">
        <v>16791</v>
      </c>
      <c r="I1857" s="5" t="s">
        <v>16792</v>
      </c>
      <c r="J1857" s="7">
        <v>8</v>
      </c>
      <c r="K1857" s="7">
        <v>29.4</v>
      </c>
      <c r="L1857" s="5" t="s">
        <v>16793</v>
      </c>
      <c r="M1857" s="7">
        <v>1.7</v>
      </c>
      <c r="N1857" s="7">
        <v>1.27</v>
      </c>
      <c r="O1857" s="7">
        <v>2.1579999999999999</v>
      </c>
      <c r="P1857" s="1" t="s">
        <v>16794</v>
      </c>
    </row>
    <row r="1858" spans="1:16" ht="33.4" x14ac:dyDescent="0.3">
      <c r="A1858" s="6" t="str">
        <f>HYPERLINK("https://www.ti.com/product/TPS54540B-Q1", "TPS54540B-Q1")</f>
        <v>TPS54540B-Q1</v>
      </c>
      <c r="B1858" s="5" t="s">
        <v>16795</v>
      </c>
      <c r="C1858" s="6" t="str">
        <f>HYPERLINK("https://www.ti.com/lit/gpn/TPS54540B-Q1", "PDF")</f>
        <v>PDF</v>
      </c>
      <c r="D1858" s="5" t="s">
        <v>16796</v>
      </c>
      <c r="E1858" s="5" t="s">
        <v>16797</v>
      </c>
      <c r="F1858" s="5" t="s">
        <v>16798</v>
      </c>
      <c r="G1858" s="5" t="s">
        <v>16799</v>
      </c>
      <c r="H1858" s="1" t="s">
        <v>16800</v>
      </c>
      <c r="I1858" s="5" t="s">
        <v>16801</v>
      </c>
      <c r="J1858" s="7">
        <v>8</v>
      </c>
      <c r="K1858" s="7">
        <v>29.4</v>
      </c>
      <c r="L1858" s="5" t="s">
        <v>16802</v>
      </c>
      <c r="M1858" s="7">
        <v>1.7</v>
      </c>
      <c r="N1858" s="7">
        <v>1.27</v>
      </c>
      <c r="O1858" s="7">
        <v>2.2989999999999999</v>
      </c>
      <c r="P1858" s="1" t="s">
        <v>16803</v>
      </c>
    </row>
    <row r="1859" spans="1:16" ht="82.5" x14ac:dyDescent="0.3">
      <c r="A1859" s="6" t="str">
        <f>HYPERLINK("https://www.ti.com/product/TPS61256C", "TPS61256C")</f>
        <v>TPS61256C</v>
      </c>
      <c r="B1859" s="5" t="s">
        <v>16804</v>
      </c>
      <c r="C1859" s="6" t="str">
        <f>HYPERLINK("https://www.ti.com/lit/gpn/TPS61256C", "PDF")</f>
        <v>PDF</v>
      </c>
      <c r="D1859" s="5" t="s">
        <v>16805</v>
      </c>
      <c r="E1859" s="5" t="s">
        <v>16806</v>
      </c>
      <c r="F1859" s="5" t="s">
        <v>16807</v>
      </c>
      <c r="G1859" s="5" t="s">
        <v>16808</v>
      </c>
      <c r="H1859" s="1" t="s">
        <v>16809</v>
      </c>
      <c r="I1859" s="5" t="s">
        <v>16810</v>
      </c>
      <c r="J1859" s="7">
        <v>9</v>
      </c>
      <c r="K1859" s="7">
        <v>1.9600000000000002</v>
      </c>
      <c r="L1859" s="5" t="s">
        <v>16811</v>
      </c>
      <c r="M1859" s="7">
        <v>0.625</v>
      </c>
      <c r="N1859" s="7">
        <v>0.4</v>
      </c>
      <c r="O1859" s="7">
        <v>0.41799999999999998</v>
      </c>
      <c r="P1859" s="1" t="s">
        <v>16812</v>
      </c>
    </row>
    <row r="1860" spans="1:16" ht="33.4" x14ac:dyDescent="0.3">
      <c r="A1860" s="6" t="str">
        <f>HYPERLINK("https://www.ti.com/product/TPS3850-Q1", "TPS3850-Q1")</f>
        <v>TPS3850-Q1</v>
      </c>
      <c r="B1860" s="5" t="s">
        <v>16813</v>
      </c>
      <c r="C1860" s="6" t="str">
        <f>HYPERLINK("https://www.ti.com/lit/gpn/TPS3850-Q1", "PDF")</f>
        <v>PDF</v>
      </c>
      <c r="D1860" s="5" t="s">
        <v>16814</v>
      </c>
      <c r="E1860" s="5" t="s">
        <v>16815</v>
      </c>
      <c r="F1860" s="5"/>
      <c r="G1860" s="5" t="s">
        <v>16816</v>
      </c>
      <c r="H1860" s="1" t="s">
        <v>16817</v>
      </c>
      <c r="I1860" s="5" t="s">
        <v>16818</v>
      </c>
      <c r="J1860" s="7">
        <v>10</v>
      </c>
      <c r="K1860" s="7">
        <v>9</v>
      </c>
      <c r="L1860" s="5" t="s">
        <v>16819</v>
      </c>
      <c r="M1860" s="7">
        <v>1</v>
      </c>
      <c r="N1860" s="7">
        <v>0.5</v>
      </c>
      <c r="O1860" s="7">
        <v>0.97599999999999998</v>
      </c>
      <c r="P1860" s="1" t="s">
        <v>16820</v>
      </c>
    </row>
    <row r="1861" spans="1:16" ht="49.75" x14ac:dyDescent="0.3">
      <c r="A1861" s="6" t="str">
        <f>HYPERLINK("https://www.ti.com/product/TPS7A4701-EP", "TPS7A4701-EP")</f>
        <v>TPS7A4701-EP</v>
      </c>
      <c r="B1861" s="5" t="s">
        <v>16821</v>
      </c>
      <c r="C1861" s="6" t="str">
        <f>HYPERLINK("https://www.ti.com/lit/gpn/TPS7A4701-EP", "PDF")</f>
        <v>PDF</v>
      </c>
      <c r="D1861" s="5" t="s">
        <v>16822</v>
      </c>
      <c r="E1861" s="5" t="s">
        <v>16823</v>
      </c>
      <c r="F1861" s="5"/>
      <c r="G1861" s="5" t="s">
        <v>16824</v>
      </c>
      <c r="H1861" s="1" t="s">
        <v>16825</v>
      </c>
      <c r="I1861" s="5" t="s">
        <v>16826</v>
      </c>
      <c r="J1861" s="7">
        <v>20</v>
      </c>
      <c r="K1861" s="7">
        <v>25</v>
      </c>
      <c r="L1861" s="5" t="s">
        <v>16827</v>
      </c>
      <c r="M1861" s="7">
        <v>1</v>
      </c>
      <c r="N1861" s="7">
        <v>0.65</v>
      </c>
      <c r="O1861" s="7">
        <v>6.6210000000000004</v>
      </c>
      <c r="P1861" s="1" t="s">
        <v>16828</v>
      </c>
    </row>
    <row r="1862" spans="1:16" ht="33.4" x14ac:dyDescent="0.3">
      <c r="A1862" s="6" t="str">
        <f>HYPERLINK("https://www.ti.com/product/TPS568215OA", "TPS568215OA")</f>
        <v>TPS568215OA</v>
      </c>
      <c r="B1862" s="5" t="s">
        <v>16829</v>
      </c>
      <c r="C1862" s="6" t="str">
        <f>HYPERLINK("https://www.ti.com/lit/gpn/TPS568215OA", "PDF")</f>
        <v>PDF</v>
      </c>
      <c r="D1862" s="5" t="s">
        <v>16830</v>
      </c>
      <c r="E1862" s="5" t="s">
        <v>16831</v>
      </c>
      <c r="F1862" s="5" t="s">
        <v>16832</v>
      </c>
      <c r="G1862" s="5" t="s">
        <v>16833</v>
      </c>
      <c r="H1862" s="1" t="s">
        <v>16834</v>
      </c>
      <c r="I1862" s="5" t="s">
        <v>16835</v>
      </c>
      <c r="J1862" s="7">
        <v>18</v>
      </c>
      <c r="K1862" s="7">
        <v>12.25</v>
      </c>
      <c r="L1862" s="5" t="s">
        <v>16836</v>
      </c>
      <c r="M1862" s="7">
        <v>1</v>
      </c>
      <c r="N1862" s="7">
        <v>0.5</v>
      </c>
      <c r="O1862" s="7">
        <v>1.1879999999999999</v>
      </c>
      <c r="P1862" s="1" t="s">
        <v>16837</v>
      </c>
    </row>
    <row r="1863" spans="1:16" ht="49.75" x14ac:dyDescent="0.3">
      <c r="A1863" s="6" t="str">
        <f>HYPERLINK("https://www.ti.com/product/TPS62672", "TPS62672")</f>
        <v>TPS62672</v>
      </c>
      <c r="B1863" s="5" t="s">
        <v>16838</v>
      </c>
      <c r="C1863" s="6" t="str">
        <f>HYPERLINK("https://www.ti.com/lit/gpn/TPS62672", "PDF")</f>
        <v>PDF</v>
      </c>
      <c r="D1863" s="5" t="s">
        <v>16839</v>
      </c>
      <c r="E1863" s="5" t="s">
        <v>16840</v>
      </c>
      <c r="F1863" s="5" t="s">
        <v>16841</v>
      </c>
      <c r="G1863" s="5" t="s">
        <v>16842</v>
      </c>
      <c r="H1863" s="1" t="s">
        <v>16843</v>
      </c>
      <c r="I1863" s="5" t="s">
        <v>16844</v>
      </c>
      <c r="J1863" s="7">
        <v>6</v>
      </c>
      <c r="K1863" s="7">
        <v>1.4000000000000001</v>
      </c>
      <c r="L1863" s="5" t="s">
        <v>16845</v>
      </c>
      <c r="M1863" s="7">
        <v>0.4</v>
      </c>
      <c r="N1863" s="7">
        <v>0.4</v>
      </c>
      <c r="O1863" s="7">
        <v>0.48099999999999998</v>
      </c>
      <c r="P1863" s="1" t="s">
        <v>16846</v>
      </c>
    </row>
    <row r="1864" spans="1:16" ht="33.4" x14ac:dyDescent="0.3">
      <c r="A1864" s="6" t="str">
        <f>HYPERLINK("https://www.ti.com/product/TPS548B22", "TPS548B22")</f>
        <v>TPS548B22</v>
      </c>
      <c r="B1864" s="5" t="s">
        <v>16847</v>
      </c>
      <c r="C1864" s="6" t="str">
        <f>HYPERLINK("https://www.ti.com/lit/gpn/TPS548B22", "PDF")</f>
        <v>PDF</v>
      </c>
      <c r="D1864" s="5" t="s">
        <v>16848</v>
      </c>
      <c r="E1864" s="5" t="s">
        <v>16849</v>
      </c>
      <c r="F1864" s="5" t="s">
        <v>16850</v>
      </c>
      <c r="G1864" s="5" t="s">
        <v>16851</v>
      </c>
      <c r="H1864" s="1" t="s">
        <v>16852</v>
      </c>
      <c r="I1864" s="5" t="s">
        <v>16853</v>
      </c>
      <c r="J1864" s="7">
        <v>40</v>
      </c>
      <c r="K1864" s="7">
        <v>35</v>
      </c>
      <c r="L1864" s="5" t="s">
        <v>16854</v>
      </c>
      <c r="M1864" s="7">
        <v>1.52</v>
      </c>
      <c r="N1864" s="7">
        <v>0.5</v>
      </c>
      <c r="O1864" s="7">
        <v>3.5649999999999999</v>
      </c>
      <c r="P1864" s="1" t="s">
        <v>16855</v>
      </c>
    </row>
    <row r="1865" spans="1:16" ht="33.4" x14ac:dyDescent="0.3">
      <c r="A1865" s="6" t="str">
        <f>HYPERLINK("https://www.ti.com/product/TPS65235-1", "TPS65235-1")</f>
        <v>TPS65235-1</v>
      </c>
      <c r="B1865" s="5" t="s">
        <v>16856</v>
      </c>
      <c r="C1865" s="6" t="str">
        <f>HYPERLINK("https://www.ti.com/lit/gpn/TPS65235-1", "PDF")</f>
        <v>PDF</v>
      </c>
      <c r="D1865" s="5" t="s">
        <v>16857</v>
      </c>
      <c r="E1865" s="5" t="s">
        <v>16858</v>
      </c>
      <c r="F1865" s="5" t="s">
        <v>16859</v>
      </c>
      <c r="G1865" s="5" t="s">
        <v>16860</v>
      </c>
      <c r="H1865" s="1" t="s">
        <v>16861</v>
      </c>
      <c r="I1865" s="5" t="s">
        <v>16862</v>
      </c>
      <c r="J1865" s="7">
        <v>20</v>
      </c>
      <c r="K1865" s="7">
        <v>9</v>
      </c>
      <c r="L1865" s="5" t="s">
        <v>16863</v>
      </c>
      <c r="M1865" s="7">
        <v>0.8</v>
      </c>
      <c r="N1865" s="7">
        <v>0.4</v>
      </c>
      <c r="O1865" s="7">
        <v>0.72899999999999998</v>
      </c>
      <c r="P1865" s="1" t="s">
        <v>16864</v>
      </c>
    </row>
    <row r="1866" spans="1:16" ht="49.75" x14ac:dyDescent="0.3">
      <c r="A1866" s="6" t="str">
        <f>HYPERLINK("https://www.ti.com/product/TPS54260-EP", "TPS54260-EP")</f>
        <v>TPS54260-EP</v>
      </c>
      <c r="B1866" s="5" t="s">
        <v>16865</v>
      </c>
      <c r="C1866" s="6" t="str">
        <f>HYPERLINK("https://www.ti.com/lit/gpn/TPS54260-EP", "PDF")</f>
        <v>PDF</v>
      </c>
      <c r="D1866" s="5" t="s">
        <v>16866</v>
      </c>
      <c r="E1866" s="5" t="s">
        <v>16867</v>
      </c>
      <c r="F1866" s="5" t="s">
        <v>16868</v>
      </c>
      <c r="G1866" s="5" t="s">
        <v>16869</v>
      </c>
      <c r="H1866" s="1" t="s">
        <v>16870</v>
      </c>
      <c r="I1866" s="5" t="s">
        <v>16871</v>
      </c>
      <c r="J1866" s="7">
        <v>10</v>
      </c>
      <c r="K1866" s="7" t="s">
        <v>16872</v>
      </c>
      <c r="L1866" s="5" t="s">
        <v>16873</v>
      </c>
      <c r="M1866" s="7" t="s">
        <v>16874</v>
      </c>
      <c r="N1866" s="7">
        <v>0.5</v>
      </c>
      <c r="O1866" s="7">
        <v>4.5540000000000003</v>
      </c>
      <c r="P1866" s="1" t="s">
        <v>16875</v>
      </c>
    </row>
    <row r="1867" spans="1:16" ht="33.4" x14ac:dyDescent="0.3">
      <c r="A1867" s="6" t="str">
        <f>HYPERLINK("https://www.ti.com/product/CSD18512Q5B", "CSD18512Q5B")</f>
        <v>CSD18512Q5B</v>
      </c>
      <c r="B1867" s="5" t="s">
        <v>16876</v>
      </c>
      <c r="C1867" s="6" t="str">
        <f>HYPERLINK("https://www.ti.com/lit/gpn/CSD18512Q5B", "PDF")</f>
        <v>PDF</v>
      </c>
      <c r="D1867" s="5" t="s">
        <v>16877</v>
      </c>
      <c r="E1867" s="5" t="s">
        <v>16878</v>
      </c>
      <c r="F1867" s="5"/>
      <c r="G1867" s="5" t="s">
        <v>16879</v>
      </c>
      <c r="H1867" s="1" t="s">
        <v>16880</v>
      </c>
      <c r="I1867" s="5" t="s">
        <v>16881</v>
      </c>
      <c r="J1867" s="7">
        <v>8</v>
      </c>
      <c r="K1867" s="7">
        <v>30</v>
      </c>
      <c r="L1867" s="5" t="s">
        <v>16882</v>
      </c>
      <c r="M1867" s="7">
        <v>1</v>
      </c>
      <c r="N1867" s="7">
        <v>1.27</v>
      </c>
      <c r="O1867" s="7">
        <v>0.53200000000000003</v>
      </c>
      <c r="P1867" s="1" t="s">
        <v>16883</v>
      </c>
    </row>
    <row r="1868" spans="1:16" ht="49.75" x14ac:dyDescent="0.3">
      <c r="A1868" s="6" t="str">
        <f>HYPERLINK("https://www.ti.com/product/ISO5852S-EP", "ISO5852S-EP")</f>
        <v>ISO5852S-EP</v>
      </c>
      <c r="B1868" s="5" t="s">
        <v>16884</v>
      </c>
      <c r="C1868" s="6" t="str">
        <f>HYPERLINK("https://www.ti.com/lit/gpn/ISO5852S-EP", "PDF")</f>
        <v>PDF</v>
      </c>
      <c r="D1868" s="5" t="s">
        <v>16885</v>
      </c>
      <c r="E1868" s="5" t="s">
        <v>16886</v>
      </c>
      <c r="F1868" s="5"/>
      <c r="G1868" s="5" t="s">
        <v>16887</v>
      </c>
      <c r="H1868" s="1" t="s">
        <v>16888</v>
      </c>
      <c r="I1868" s="5" t="s">
        <v>16889</v>
      </c>
      <c r="J1868" s="7">
        <v>16</v>
      </c>
      <c r="K1868" s="7">
        <v>106.09</v>
      </c>
      <c r="L1868" s="5" t="s">
        <v>16890</v>
      </c>
      <c r="M1868" s="7">
        <v>2.65</v>
      </c>
      <c r="N1868" s="7">
        <v>1.27</v>
      </c>
      <c r="O1868" s="7">
        <v>6.6749999999999998</v>
      </c>
      <c r="P1868" s="1" t="s">
        <v>16891</v>
      </c>
    </row>
    <row r="1869" spans="1:16" ht="49.75" x14ac:dyDescent="0.3">
      <c r="A1869" s="6" t="str">
        <f>HYPERLINK("https://www.ti.com/product/TPS54262-EP", "TPS54262-EP")</f>
        <v>TPS54262-EP</v>
      </c>
      <c r="B1869" s="5" t="s">
        <v>16892</v>
      </c>
      <c r="C1869" s="6" t="str">
        <f>HYPERLINK("https://www.ti.com/lit/gpn/TPS54262-EP", "PDF")</f>
        <v>PDF</v>
      </c>
      <c r="D1869" s="5" t="s">
        <v>16893</v>
      </c>
      <c r="E1869" s="5" t="s">
        <v>16894</v>
      </c>
      <c r="F1869" s="5" t="s">
        <v>16895</v>
      </c>
      <c r="G1869" s="5" t="s">
        <v>16896</v>
      </c>
      <c r="H1869" s="1" t="s">
        <v>16897</v>
      </c>
      <c r="I1869" s="5" t="s">
        <v>16898</v>
      </c>
      <c r="J1869" s="7">
        <v>20</v>
      </c>
      <c r="K1869" s="7">
        <v>41.6</v>
      </c>
      <c r="L1869" s="5" t="s">
        <v>16899</v>
      </c>
      <c r="M1869" s="7">
        <v>1.2</v>
      </c>
      <c r="N1869" s="7">
        <v>0.65</v>
      </c>
      <c r="O1869" s="7">
        <v>4.5140000000000002</v>
      </c>
      <c r="P1869" s="1" t="s">
        <v>16900</v>
      </c>
    </row>
    <row r="1870" spans="1:16" ht="33.4" x14ac:dyDescent="0.3">
      <c r="A1870" s="6" t="str">
        <f>HYPERLINK("https://www.ti.com/product/TPS22810", "TPS22810")</f>
        <v>TPS22810</v>
      </c>
      <c r="B1870" s="5" t="s">
        <v>16901</v>
      </c>
      <c r="C1870" s="6" t="str">
        <f>HYPERLINK("https://www.ti.com/lit/gpn/TPS22810", "PDF")</f>
        <v>PDF</v>
      </c>
      <c r="D1870" s="5" t="s">
        <v>16902</v>
      </c>
      <c r="E1870" s="5" t="s">
        <v>16903</v>
      </c>
      <c r="F1870" s="5"/>
      <c r="G1870" s="5" t="s">
        <v>16904</v>
      </c>
      <c r="H1870" s="1" t="s">
        <v>16905</v>
      </c>
      <c r="I1870" s="5" t="s">
        <v>16906</v>
      </c>
      <c r="J1870" s="7">
        <v>6</v>
      </c>
      <c r="K1870" s="7" t="s">
        <v>16907</v>
      </c>
      <c r="L1870" s="5" t="s">
        <v>16908</v>
      </c>
      <c r="M1870" s="7" t="s">
        <v>16909</v>
      </c>
      <c r="N1870" s="7" t="s">
        <v>16910</v>
      </c>
      <c r="O1870" s="7">
        <v>0.17299999999999999</v>
      </c>
      <c r="P1870" s="1" t="s">
        <v>16911</v>
      </c>
    </row>
    <row r="1871" spans="1:16" ht="33.4" x14ac:dyDescent="0.3">
      <c r="A1871" s="6" t="str">
        <f>HYPERLINK("https://www.ti.com/product/TPSM84A21", "TPSM84A21")</f>
        <v>TPSM84A21</v>
      </c>
      <c r="B1871" s="5" t="s">
        <v>16912</v>
      </c>
      <c r="C1871" s="6" t="str">
        <f>HYPERLINK("https://www.ti.com/lit/gpn/TPSM84A21", "PDF")</f>
        <v>PDF</v>
      </c>
      <c r="D1871" s="5" t="s">
        <v>16913</v>
      </c>
      <c r="E1871" s="5" t="s">
        <v>16914</v>
      </c>
      <c r="F1871" s="5" t="s">
        <v>16915</v>
      </c>
      <c r="G1871" s="5" t="s">
        <v>16916</v>
      </c>
      <c r="H1871" s="1" t="s">
        <v>16917</v>
      </c>
      <c r="I1871" s="5" t="s">
        <v>16918</v>
      </c>
      <c r="J1871" s="7">
        <v>20</v>
      </c>
      <c r="K1871" s="7">
        <v>135</v>
      </c>
      <c r="L1871" s="5" t="s">
        <v>16919</v>
      </c>
      <c r="M1871" s="7">
        <v>2.2999999999999998</v>
      </c>
      <c r="N1871" s="7">
        <v>1</v>
      </c>
      <c r="O1871" s="7">
        <v>5.75</v>
      </c>
      <c r="P1871" s="1" t="s">
        <v>16920</v>
      </c>
    </row>
    <row r="1872" spans="1:16" ht="33.4" x14ac:dyDescent="0.3">
      <c r="A1872" s="6" t="str">
        <f>HYPERLINK("https://www.ti.com/product/TPSM84A22", "TPSM84A22")</f>
        <v>TPSM84A22</v>
      </c>
      <c r="B1872" s="5" t="s">
        <v>16921</v>
      </c>
      <c r="C1872" s="6" t="str">
        <f>HYPERLINK("https://www.ti.com/lit/gpn/TPSM84A22", "PDF")</f>
        <v>PDF</v>
      </c>
      <c r="D1872" s="5" t="s">
        <v>16922</v>
      </c>
      <c r="E1872" s="5" t="s">
        <v>16923</v>
      </c>
      <c r="F1872" s="5" t="s">
        <v>16924</v>
      </c>
      <c r="G1872" s="5" t="s">
        <v>16925</v>
      </c>
      <c r="H1872" s="1" t="s">
        <v>16926</v>
      </c>
      <c r="I1872" s="5" t="s">
        <v>16927</v>
      </c>
      <c r="J1872" s="7">
        <v>20</v>
      </c>
      <c r="K1872" s="7">
        <v>135</v>
      </c>
      <c r="L1872" s="5" t="s">
        <v>16928</v>
      </c>
      <c r="M1872" s="7">
        <v>2.2999999999999998</v>
      </c>
      <c r="N1872" s="7">
        <v>1</v>
      </c>
      <c r="O1872" s="7">
        <v>8.1</v>
      </c>
      <c r="P1872" s="1" t="s">
        <v>16929</v>
      </c>
    </row>
    <row r="1873" spans="1:16" ht="33.4" x14ac:dyDescent="0.3">
      <c r="A1873" s="6" t="str">
        <f>HYPERLINK("https://www.ti.com/product/LMR23625-Q1", "LMR23625-Q1")</f>
        <v>LMR23625-Q1</v>
      </c>
      <c r="B1873" s="5" t="s">
        <v>16930</v>
      </c>
      <c r="C1873" s="6" t="str">
        <f>HYPERLINK("https://www.ti.com/lit/gpn/LMR23625-Q1", "PDF")</f>
        <v>PDF</v>
      </c>
      <c r="D1873" s="5" t="s">
        <v>16931</v>
      </c>
      <c r="E1873" s="5" t="s">
        <v>16932</v>
      </c>
      <c r="F1873" s="5" t="s">
        <v>16933</v>
      </c>
      <c r="G1873" s="5" t="s">
        <v>16934</v>
      </c>
      <c r="H1873" s="1" t="s">
        <v>16935</v>
      </c>
      <c r="I1873" s="5" t="s">
        <v>16936</v>
      </c>
      <c r="J1873" s="7" t="s">
        <v>16937</v>
      </c>
      <c r="K1873" s="7" t="s">
        <v>16938</v>
      </c>
      <c r="L1873" s="5" t="s">
        <v>16939</v>
      </c>
      <c r="M1873" s="7" t="s">
        <v>16940</v>
      </c>
      <c r="N1873" s="7" t="s">
        <v>16941</v>
      </c>
      <c r="O1873" s="7">
        <v>1.619</v>
      </c>
      <c r="P1873" s="1" t="s">
        <v>16942</v>
      </c>
    </row>
    <row r="1874" spans="1:16" ht="33.4" x14ac:dyDescent="0.3">
      <c r="A1874" s="6" t="str">
        <f>HYPERLINK("https://www.ti.com/product/TPS63027", "TPS63027")</f>
        <v>TPS63027</v>
      </c>
      <c r="B1874" s="5" t="s">
        <v>16943</v>
      </c>
      <c r="C1874" s="6" t="str">
        <f>HYPERLINK("https://www.ti.com/lit/gpn/TPS63027", "PDF")</f>
        <v>PDF</v>
      </c>
      <c r="D1874" s="5" t="s">
        <v>16944</v>
      </c>
      <c r="E1874" s="5" t="s">
        <v>16945</v>
      </c>
      <c r="F1874" s="5" t="s">
        <v>16946</v>
      </c>
      <c r="G1874" s="5" t="s">
        <v>16947</v>
      </c>
      <c r="H1874" s="1" t="s">
        <v>16948</v>
      </c>
      <c r="I1874" s="5" t="s">
        <v>16949</v>
      </c>
      <c r="J1874" s="7">
        <v>25</v>
      </c>
      <c r="K1874" s="7">
        <v>4.84</v>
      </c>
      <c r="L1874" s="5" t="s">
        <v>16950</v>
      </c>
      <c r="M1874" s="7">
        <v>0.625</v>
      </c>
      <c r="N1874" s="7">
        <v>0.4</v>
      </c>
      <c r="O1874" s="7">
        <v>0.92</v>
      </c>
      <c r="P1874" s="1" t="s">
        <v>16951</v>
      </c>
    </row>
    <row r="1875" spans="1:16" ht="33.4" x14ac:dyDescent="0.3">
      <c r="A1875" s="6" t="str">
        <f>HYPERLINK("https://www.ti.com/product/LM5166", "LM5166")</f>
        <v>LM5166</v>
      </c>
      <c r="B1875" s="5" t="s">
        <v>16952</v>
      </c>
      <c r="C1875" s="6" t="str">
        <f>HYPERLINK("https://www.ti.com/lit/gpn/LM5166", "PDF")</f>
        <v>PDF</v>
      </c>
      <c r="D1875" s="5" t="s">
        <v>16953</v>
      </c>
      <c r="E1875" s="5" t="s">
        <v>16954</v>
      </c>
      <c r="F1875" s="5" t="s">
        <v>16955</v>
      </c>
      <c r="G1875" s="5" t="s">
        <v>16956</v>
      </c>
      <c r="H1875" s="1" t="s">
        <v>16957</v>
      </c>
      <c r="I1875" s="5" t="s">
        <v>16958</v>
      </c>
      <c r="J1875" s="7">
        <v>10</v>
      </c>
      <c r="K1875" s="7">
        <v>9</v>
      </c>
      <c r="L1875" s="5" t="s">
        <v>16959</v>
      </c>
      <c r="M1875" s="7">
        <v>1</v>
      </c>
      <c r="N1875" s="7">
        <v>0.5</v>
      </c>
      <c r="O1875" s="7">
        <v>1.538</v>
      </c>
      <c r="P1875" s="1" t="s">
        <v>16960</v>
      </c>
    </row>
    <row r="1876" spans="1:16" ht="33.4" x14ac:dyDescent="0.3">
      <c r="A1876" s="6" t="str">
        <f>HYPERLINK("https://www.ti.com/product/LMR23610-Q1", "LMR23610-Q1")</f>
        <v>LMR23610-Q1</v>
      </c>
      <c r="B1876" s="5" t="s">
        <v>16961</v>
      </c>
      <c r="C1876" s="6" t="str">
        <f>HYPERLINK("https://www.ti.com/lit/gpn/LMR23610-Q1", "PDF")</f>
        <v>PDF</v>
      </c>
      <c r="D1876" s="5" t="s">
        <v>16962</v>
      </c>
      <c r="E1876" s="5" t="s">
        <v>16963</v>
      </c>
      <c r="F1876" s="5" t="s">
        <v>16964</v>
      </c>
      <c r="G1876" s="5" t="s">
        <v>16965</v>
      </c>
      <c r="H1876" s="1" t="s">
        <v>16966</v>
      </c>
      <c r="I1876" s="5" t="s">
        <v>16967</v>
      </c>
      <c r="J1876" s="7">
        <v>8</v>
      </c>
      <c r="K1876" s="7">
        <v>29.4</v>
      </c>
      <c r="L1876" s="5" t="s">
        <v>16968</v>
      </c>
      <c r="M1876" s="7">
        <v>1.7</v>
      </c>
      <c r="N1876" s="7">
        <v>1.27</v>
      </c>
      <c r="O1876" s="7">
        <v>1.621</v>
      </c>
      <c r="P1876" s="1" t="s">
        <v>16969</v>
      </c>
    </row>
    <row r="1877" spans="1:16" ht="33.4" x14ac:dyDescent="0.3">
      <c r="A1877" s="6" t="str">
        <f>HYPERLINK("https://www.ti.com/product/LMR23630-Q1", "LMR23630-Q1")</f>
        <v>LMR23630-Q1</v>
      </c>
      <c r="B1877" s="5" t="s">
        <v>16970</v>
      </c>
      <c r="C1877" s="6" t="str">
        <f>HYPERLINK("https://www.ti.com/lit/gpn/LMR23630-Q1", "PDF")</f>
        <v>PDF</v>
      </c>
      <c r="D1877" s="5" t="s">
        <v>16971</v>
      </c>
      <c r="E1877" s="5" t="s">
        <v>16972</v>
      </c>
      <c r="F1877" s="5" t="s">
        <v>16973</v>
      </c>
      <c r="G1877" s="5" t="s">
        <v>16974</v>
      </c>
      <c r="H1877" s="1" t="s">
        <v>16975</v>
      </c>
      <c r="I1877" s="5" t="s">
        <v>16976</v>
      </c>
      <c r="J1877" s="7" t="s">
        <v>16977</v>
      </c>
      <c r="K1877" s="7" t="s">
        <v>16978</v>
      </c>
      <c r="L1877" s="5" t="s">
        <v>16979</v>
      </c>
      <c r="M1877" s="7" t="s">
        <v>16980</v>
      </c>
      <c r="N1877" s="7" t="s">
        <v>16981</v>
      </c>
      <c r="O1877" s="7">
        <v>1.7050000000000001</v>
      </c>
      <c r="P1877" s="1" t="s">
        <v>16982</v>
      </c>
    </row>
    <row r="1878" spans="1:16" ht="33.4" x14ac:dyDescent="0.3">
      <c r="A1878" s="6" t="str">
        <f>HYPERLINK("https://www.ti.com/product/LP87524-Q1", "LP87524-Q1")</f>
        <v>LP87524-Q1</v>
      </c>
      <c r="B1878" s="5" t="s">
        <v>16983</v>
      </c>
      <c r="C1878" s="6" t="str">
        <f>HYPERLINK("https://www.ti.com/lit/gpn/LP87524-Q1", "PDF")</f>
        <v>PDF</v>
      </c>
      <c r="D1878" s="5" t="s">
        <v>16984</v>
      </c>
      <c r="E1878" s="5" t="s">
        <v>16985</v>
      </c>
      <c r="F1878" s="5"/>
      <c r="G1878" s="5" t="s">
        <v>16986</v>
      </c>
      <c r="H1878" s="1" t="s">
        <v>16987</v>
      </c>
      <c r="I1878" s="5" t="s">
        <v>16988</v>
      </c>
      <c r="J1878" s="7">
        <v>26</v>
      </c>
      <c r="K1878" s="7">
        <v>18</v>
      </c>
      <c r="L1878" s="5" t="s">
        <v>16989</v>
      </c>
      <c r="M1878" s="7">
        <v>0.9</v>
      </c>
      <c r="N1878" s="7">
        <v>0.5</v>
      </c>
      <c r="O1878" s="7">
        <v>2.1379999999999999</v>
      </c>
      <c r="P1878" s="1" t="s">
        <v>16990</v>
      </c>
    </row>
    <row r="1879" spans="1:16" ht="33.4" x14ac:dyDescent="0.3">
      <c r="A1879" s="6" t="str">
        <f>HYPERLINK("https://www.ti.com/product/CSD18543Q3A", "CSD18543Q3A")</f>
        <v>CSD18543Q3A</v>
      </c>
      <c r="B1879" s="5" t="s">
        <v>16991</v>
      </c>
      <c r="C1879" s="6" t="str">
        <f>HYPERLINK("https://www.ti.com/lit/gpn/CSD18543Q3A", "PDF")</f>
        <v>PDF</v>
      </c>
      <c r="D1879" s="5" t="s">
        <v>16992</v>
      </c>
      <c r="E1879" s="5" t="s">
        <v>16993</v>
      </c>
      <c r="F1879" s="5"/>
      <c r="G1879" s="5" t="s">
        <v>16994</v>
      </c>
      <c r="H1879" s="1" t="s">
        <v>16995</v>
      </c>
      <c r="I1879" s="5" t="s">
        <v>16996</v>
      </c>
      <c r="J1879" s="7">
        <v>8</v>
      </c>
      <c r="K1879" s="7">
        <v>10.89</v>
      </c>
      <c r="L1879" s="5" t="s">
        <v>16997</v>
      </c>
      <c r="M1879" s="7">
        <v>0.9</v>
      </c>
      <c r="N1879" s="7">
        <v>0.65</v>
      </c>
      <c r="O1879" s="7">
        <v>0.20899999999999999</v>
      </c>
      <c r="P1879" s="1" t="s">
        <v>16998</v>
      </c>
    </row>
    <row r="1880" spans="1:16" ht="49.75" x14ac:dyDescent="0.3">
      <c r="A1880" s="6" t="str">
        <f>HYPERLINK("https://www.ti.com/product/TLV62568", "TLV62568")</f>
        <v>TLV62568</v>
      </c>
      <c r="B1880" s="5" t="s">
        <v>16999</v>
      </c>
      <c r="C1880" s="6" t="str">
        <f>HYPERLINK("https://www.ti.com/lit/gpn/TLV62568", "PDF")</f>
        <v>PDF</v>
      </c>
      <c r="D1880" s="5" t="s">
        <v>17000</v>
      </c>
      <c r="E1880" s="5" t="s">
        <v>17001</v>
      </c>
      <c r="F1880" s="5" t="s">
        <v>17002</v>
      </c>
      <c r="G1880" s="5" t="s">
        <v>17003</v>
      </c>
      <c r="H1880" s="1" t="s">
        <v>17004</v>
      </c>
      <c r="I1880" s="5" t="s">
        <v>17005</v>
      </c>
      <c r="J1880" s="7" t="s">
        <v>17006</v>
      </c>
      <c r="K1880" s="7" t="s">
        <v>17007</v>
      </c>
      <c r="L1880" s="5" t="s">
        <v>17008</v>
      </c>
      <c r="M1880" s="7" t="s">
        <v>17009</v>
      </c>
      <c r="N1880" s="7" t="s">
        <v>17010</v>
      </c>
      <c r="O1880" s="7">
        <v>7.4999999999999997E-2</v>
      </c>
      <c r="P1880" s="1" t="s">
        <v>17011</v>
      </c>
    </row>
    <row r="1881" spans="1:16" ht="33.4" x14ac:dyDescent="0.3">
      <c r="A1881" s="6" t="str">
        <f>HYPERLINK("https://www.ti.com/product/TPS7A91", "TPS7A91")</f>
        <v>TPS7A91</v>
      </c>
      <c r="B1881" s="5" t="s">
        <v>17012</v>
      </c>
      <c r="C1881" s="6" t="str">
        <f>HYPERLINK("https://www.ti.com/lit/gpn/TPS7A91", "PDF")</f>
        <v>PDF</v>
      </c>
      <c r="D1881" s="5" t="s">
        <v>17013</v>
      </c>
      <c r="E1881" s="5" t="s">
        <v>17014</v>
      </c>
      <c r="F1881" s="5"/>
      <c r="G1881" s="5" t="s">
        <v>17015</v>
      </c>
      <c r="H1881" s="1" t="s">
        <v>17016</v>
      </c>
      <c r="I1881" s="5" t="s">
        <v>17017</v>
      </c>
      <c r="J1881" s="7">
        <v>10</v>
      </c>
      <c r="K1881" s="7">
        <v>6.25</v>
      </c>
      <c r="L1881" s="5" t="s">
        <v>17018</v>
      </c>
      <c r="M1881" s="7">
        <v>0.8</v>
      </c>
      <c r="N1881" s="7">
        <v>0.5</v>
      </c>
      <c r="O1881" s="7">
        <v>0.78700000000000003</v>
      </c>
      <c r="P1881" s="1" t="s">
        <v>17019</v>
      </c>
    </row>
    <row r="1882" spans="1:16" ht="33.4" x14ac:dyDescent="0.3">
      <c r="A1882" s="6" t="str">
        <f>HYPERLINK("https://www.ti.com/product/CSD18510KTT", "CSD18510KTT")</f>
        <v>CSD18510KTT</v>
      </c>
      <c r="B1882" s="5" t="s">
        <v>17020</v>
      </c>
      <c r="C1882" s="6" t="str">
        <f>HYPERLINK("https://www.ti.com/lit/gpn/CSD18510KTT", "PDF")</f>
        <v>PDF</v>
      </c>
      <c r="D1882" s="5" t="s">
        <v>17021</v>
      </c>
      <c r="E1882" s="5" t="s">
        <v>17022</v>
      </c>
      <c r="F1882" s="5"/>
      <c r="G1882" s="5" t="s">
        <v>17023</v>
      </c>
      <c r="H1882" s="1" t="s">
        <v>17024</v>
      </c>
      <c r="I1882" s="5" t="s">
        <v>17025</v>
      </c>
      <c r="J1882" s="7">
        <v>2</v>
      </c>
      <c r="K1882" s="7">
        <v>153.416</v>
      </c>
      <c r="L1882" s="5" t="s">
        <v>17026</v>
      </c>
      <c r="M1882" s="7">
        <v>4.7</v>
      </c>
      <c r="N1882" s="7">
        <v>2.54</v>
      </c>
      <c r="O1882" s="7">
        <v>0.7</v>
      </c>
      <c r="P1882" s="1" t="s">
        <v>17027</v>
      </c>
    </row>
    <row r="1883" spans="1:16" ht="33.4" x14ac:dyDescent="0.3">
      <c r="A1883" s="6" t="str">
        <f>HYPERLINK("https://www.ti.com/product/CSD18511Q5A", "CSD18511Q5A")</f>
        <v>CSD18511Q5A</v>
      </c>
      <c r="B1883" s="5" t="s">
        <v>17028</v>
      </c>
      <c r="C1883" s="6" t="str">
        <f>HYPERLINK("https://www.ti.com/lit/gpn/CSD18511Q5A", "PDF")</f>
        <v>PDF</v>
      </c>
      <c r="D1883" s="5" t="s">
        <v>17029</v>
      </c>
      <c r="E1883" s="5" t="s">
        <v>17030</v>
      </c>
      <c r="F1883" s="5"/>
      <c r="G1883" s="5" t="s">
        <v>17031</v>
      </c>
      <c r="H1883" s="1" t="s">
        <v>17032</v>
      </c>
      <c r="I1883" s="5" t="s">
        <v>17033</v>
      </c>
      <c r="J1883" s="7">
        <v>8</v>
      </c>
      <c r="K1883" s="7">
        <v>29.4</v>
      </c>
      <c r="L1883" s="5" t="s">
        <v>17034</v>
      </c>
      <c r="M1883" s="7">
        <v>1.1000000000000001</v>
      </c>
      <c r="N1883" s="7">
        <v>1.27</v>
      </c>
      <c r="O1883" s="7">
        <v>0.318</v>
      </c>
      <c r="P1883" s="1" t="s">
        <v>17035</v>
      </c>
    </row>
    <row r="1884" spans="1:16" ht="33.4" x14ac:dyDescent="0.3">
      <c r="A1884" s="6" t="str">
        <f>HYPERLINK("https://www.ti.com/product/CSD18513Q5A", "CSD18513Q5A")</f>
        <v>CSD18513Q5A</v>
      </c>
      <c r="B1884" s="5" t="s">
        <v>17036</v>
      </c>
      <c r="C1884" s="6" t="str">
        <f>HYPERLINK("https://www.ti.com/lit/gpn/CSD18513Q5A", "PDF")</f>
        <v>PDF</v>
      </c>
      <c r="D1884" s="5" t="s">
        <v>17037</v>
      </c>
      <c r="E1884" s="5" t="s">
        <v>17038</v>
      </c>
      <c r="F1884" s="5"/>
      <c r="G1884" s="5" t="s">
        <v>17039</v>
      </c>
      <c r="H1884" s="1" t="s">
        <v>17040</v>
      </c>
      <c r="I1884" s="5" t="s">
        <v>17041</v>
      </c>
      <c r="J1884" s="7">
        <v>8</v>
      </c>
      <c r="K1884" s="7">
        <v>29.4</v>
      </c>
      <c r="L1884" s="5" t="s">
        <v>17042</v>
      </c>
      <c r="M1884" s="7">
        <v>1.1000000000000001</v>
      </c>
      <c r="N1884" s="7">
        <v>1.27</v>
      </c>
      <c r="O1884" s="7">
        <v>0.26400000000000001</v>
      </c>
      <c r="P1884" s="1" t="s">
        <v>17043</v>
      </c>
    </row>
    <row r="1885" spans="1:16" ht="33.4" x14ac:dyDescent="0.3">
      <c r="A1885" s="6" t="str">
        <f>HYPERLINK("https://www.ti.com/product/CSD18514Q5A", "CSD18514Q5A")</f>
        <v>CSD18514Q5A</v>
      </c>
      <c r="B1885" s="5" t="s">
        <v>17044</v>
      </c>
      <c r="C1885" s="6" t="str">
        <f>HYPERLINK("https://www.ti.com/lit/gpn/CSD18514Q5A", "PDF")</f>
        <v>PDF</v>
      </c>
      <c r="D1885" s="5" t="s">
        <v>17045</v>
      </c>
      <c r="E1885" s="5" t="s">
        <v>17046</v>
      </c>
      <c r="F1885" s="5"/>
      <c r="G1885" s="5" t="s">
        <v>17047</v>
      </c>
      <c r="H1885" s="1" t="s">
        <v>17048</v>
      </c>
      <c r="I1885" s="5" t="s">
        <v>17049</v>
      </c>
      <c r="J1885" s="7">
        <v>8</v>
      </c>
      <c r="K1885" s="7">
        <v>29.4</v>
      </c>
      <c r="L1885" s="5" t="s">
        <v>17050</v>
      </c>
      <c r="M1885" s="7">
        <v>1.1000000000000001</v>
      </c>
      <c r="N1885" s="7">
        <v>1.27</v>
      </c>
      <c r="O1885" s="7">
        <v>0.221</v>
      </c>
      <c r="P1885" s="1" t="s">
        <v>17051</v>
      </c>
    </row>
    <row r="1886" spans="1:16" ht="49.75" x14ac:dyDescent="0.3">
      <c r="A1886" s="6" t="str">
        <f>HYPERLINK("https://www.ti.com/product/TLV62569", "TLV62569")</f>
        <v>TLV62569</v>
      </c>
      <c r="B1886" s="5" t="s">
        <v>17052</v>
      </c>
      <c r="C1886" s="6" t="str">
        <f>HYPERLINK("https://www.ti.com/lit/gpn/TLV62569", "PDF")</f>
        <v>PDF</v>
      </c>
      <c r="D1886" s="5" t="s">
        <v>17053</v>
      </c>
      <c r="E1886" s="5" t="s">
        <v>17054</v>
      </c>
      <c r="F1886" s="5" t="s">
        <v>17055</v>
      </c>
      <c r="G1886" s="5" t="s">
        <v>17056</v>
      </c>
      <c r="H1886" s="1" t="s">
        <v>17057</v>
      </c>
      <c r="I1886" s="5" t="s">
        <v>17058</v>
      </c>
      <c r="J1886" s="7" t="s">
        <v>17059</v>
      </c>
      <c r="K1886" s="7" t="s">
        <v>17060</v>
      </c>
      <c r="L1886" s="5" t="s">
        <v>17061</v>
      </c>
      <c r="M1886" s="7" t="s">
        <v>17062</v>
      </c>
      <c r="N1886" s="7" t="s">
        <v>17063</v>
      </c>
      <c r="O1886" s="7">
        <v>6.7000000000000004E-2</v>
      </c>
      <c r="P1886" s="1" t="s">
        <v>17064</v>
      </c>
    </row>
    <row r="1887" spans="1:16" ht="33.4" x14ac:dyDescent="0.3">
      <c r="A1887" s="6" t="str">
        <f>HYPERLINK("https://www.ti.com/product/LM53603", "LM53603")</f>
        <v>LM53603</v>
      </c>
      <c r="B1887" s="5" t="s">
        <v>17065</v>
      </c>
      <c r="C1887" s="6" t="str">
        <f>HYPERLINK("https://www.ti.com/lit/gpn/LM53603", "PDF")</f>
        <v>PDF</v>
      </c>
      <c r="D1887" s="5" t="s">
        <v>17066</v>
      </c>
      <c r="E1887" s="5" t="s">
        <v>17067</v>
      </c>
      <c r="F1887" s="5" t="s">
        <v>17068</v>
      </c>
      <c r="G1887" s="5" t="s">
        <v>17069</v>
      </c>
      <c r="H1887" s="1" t="s">
        <v>17070</v>
      </c>
      <c r="I1887" s="5" t="s">
        <v>17071</v>
      </c>
      <c r="J1887" s="7">
        <v>16</v>
      </c>
      <c r="K1887" s="7">
        <v>32</v>
      </c>
      <c r="L1887" s="5" t="s">
        <v>17072</v>
      </c>
      <c r="M1887" s="7">
        <v>1.2</v>
      </c>
      <c r="N1887" s="7">
        <v>0.65</v>
      </c>
      <c r="O1887" s="7">
        <v>2.141</v>
      </c>
      <c r="P1887" s="1" t="s">
        <v>17073</v>
      </c>
    </row>
    <row r="1888" spans="1:16" ht="33.4" x14ac:dyDescent="0.3">
      <c r="A1888" s="6" t="str">
        <f>HYPERLINK("https://www.ti.com/product/TPS3852", "TPS3852")</f>
        <v>TPS3852</v>
      </c>
      <c r="B1888" s="5" t="s">
        <v>17074</v>
      </c>
      <c r="C1888" s="6" t="str">
        <f>HYPERLINK("https://www.ti.com/lit/gpn/TPS3852", "PDF")</f>
        <v>PDF</v>
      </c>
      <c r="D1888" s="5" t="s">
        <v>17075</v>
      </c>
      <c r="E1888" s="5" t="s">
        <v>17076</v>
      </c>
      <c r="F1888" s="5"/>
      <c r="G1888" s="5" t="s">
        <v>17077</v>
      </c>
      <c r="H1888" s="1" t="s">
        <v>17078</v>
      </c>
      <c r="I1888" s="5" t="s">
        <v>17079</v>
      </c>
      <c r="J1888" s="7">
        <v>8</v>
      </c>
      <c r="K1888" s="7">
        <v>9</v>
      </c>
      <c r="L1888" s="5" t="s">
        <v>17080</v>
      </c>
      <c r="M1888" s="7">
        <v>1</v>
      </c>
      <c r="N1888" s="7">
        <v>0.65</v>
      </c>
      <c r="O1888" s="7">
        <v>0.77200000000000002</v>
      </c>
      <c r="P1888" s="1" t="s">
        <v>17081</v>
      </c>
    </row>
    <row r="1889" spans="1:16" ht="33.4" x14ac:dyDescent="0.3">
      <c r="A1889" s="6" t="str">
        <f>HYPERLINK("https://www.ti.com/product/TPS2065D", "TPS2065D")</f>
        <v>TPS2065D</v>
      </c>
      <c r="B1889" s="5" t="s">
        <v>17082</v>
      </c>
      <c r="C1889" s="6" t="str">
        <f>HYPERLINK("https://www.ti.com/lit/gpn/TPS2065D", "PDF")</f>
        <v>PDF</v>
      </c>
      <c r="D1889" s="5" t="s">
        <v>17083</v>
      </c>
      <c r="E1889" s="5" t="s">
        <v>17084</v>
      </c>
      <c r="F1889" s="5"/>
      <c r="G1889" s="5" t="s">
        <v>17085</v>
      </c>
      <c r="H1889" s="1" t="s">
        <v>17086</v>
      </c>
      <c r="I1889" s="5" t="s">
        <v>17087</v>
      </c>
      <c r="J1889" s="7">
        <v>5</v>
      </c>
      <c r="K1889" s="7">
        <v>8.1199999999999992</v>
      </c>
      <c r="L1889" s="5" t="s">
        <v>17088</v>
      </c>
      <c r="M1889" s="7">
        <v>1.45</v>
      </c>
      <c r="N1889" s="7">
        <v>0.95</v>
      </c>
      <c r="O1889" s="7">
        <v>0.23499999999999999</v>
      </c>
      <c r="P1889" s="1" t="s">
        <v>17089</v>
      </c>
    </row>
    <row r="1890" spans="1:16" ht="33.4" x14ac:dyDescent="0.3">
      <c r="A1890" s="6" t="str">
        <f>HYPERLINK("https://www.ti.com/product/TPS2069D", "TPS2069D")</f>
        <v>TPS2069D</v>
      </c>
      <c r="B1890" s="5" t="s">
        <v>17090</v>
      </c>
      <c r="C1890" s="6" t="str">
        <f>HYPERLINK("https://www.ti.com/lit/gpn/TPS2069D", "PDF")</f>
        <v>PDF</v>
      </c>
      <c r="D1890" s="5" t="s">
        <v>17091</v>
      </c>
      <c r="E1890" s="5" t="s">
        <v>17092</v>
      </c>
      <c r="F1890" s="5"/>
      <c r="G1890" s="5" t="s">
        <v>17093</v>
      </c>
      <c r="H1890" s="1" t="s">
        <v>17094</v>
      </c>
      <c r="I1890" s="5" t="s">
        <v>17095</v>
      </c>
      <c r="J1890" s="7">
        <v>5</v>
      </c>
      <c r="K1890" s="7">
        <v>8.1199999999999992</v>
      </c>
      <c r="L1890" s="5" t="s">
        <v>17096</v>
      </c>
      <c r="M1890" s="7">
        <v>1.45</v>
      </c>
      <c r="N1890" s="7">
        <v>0.95</v>
      </c>
      <c r="O1890" s="7">
        <v>0.19600000000000001</v>
      </c>
      <c r="P1890" s="1" t="s">
        <v>17097</v>
      </c>
    </row>
    <row r="1891" spans="1:16" ht="33.4" x14ac:dyDescent="0.3">
      <c r="A1891" s="6" t="str">
        <f>HYPERLINK("https://www.ti.com/product/TPS62162-Q1", "TPS62162-Q1")</f>
        <v>TPS62162-Q1</v>
      </c>
      <c r="B1891" s="5" t="s">
        <v>17098</v>
      </c>
      <c r="C1891" s="6" t="str">
        <f>HYPERLINK("https://www.ti.com/lit/gpn/TPS62162-Q1", "PDF")</f>
        <v>PDF</v>
      </c>
      <c r="D1891" s="5" t="s">
        <v>17099</v>
      </c>
      <c r="E1891" s="5" t="s">
        <v>17100</v>
      </c>
      <c r="F1891" s="5" t="s">
        <v>17101</v>
      </c>
      <c r="G1891" s="5" t="s">
        <v>17102</v>
      </c>
      <c r="H1891" s="1" t="s">
        <v>17103</v>
      </c>
      <c r="I1891" s="5" t="s">
        <v>17104</v>
      </c>
      <c r="J1891" s="7">
        <v>8</v>
      </c>
      <c r="K1891" s="7">
        <v>4</v>
      </c>
      <c r="L1891" s="5" t="s">
        <v>17105</v>
      </c>
      <c r="M1891" s="7">
        <v>0.8</v>
      </c>
      <c r="N1891" s="7">
        <v>0.5</v>
      </c>
      <c r="O1891" s="7">
        <v>0.65800000000000003</v>
      </c>
      <c r="P1891" s="1" t="s">
        <v>17106</v>
      </c>
    </row>
    <row r="1892" spans="1:16" ht="33.4" x14ac:dyDescent="0.3">
      <c r="A1892" s="6" t="str">
        <f>HYPERLINK("https://www.ti.com/product/TPS7B68-Q1", "TPS7B68-Q1")</f>
        <v>TPS7B68-Q1</v>
      </c>
      <c r="B1892" s="5" t="s">
        <v>17107</v>
      </c>
      <c r="C1892" s="6" t="str">
        <f>HYPERLINK("https://www.ti.com/lit/gpn/TPS7B68-Q1", "PDF")</f>
        <v>PDF</v>
      </c>
      <c r="D1892" s="5" t="s">
        <v>17108</v>
      </c>
      <c r="E1892" s="5" t="s">
        <v>17109</v>
      </c>
      <c r="F1892" s="5"/>
      <c r="G1892" s="5" t="s">
        <v>17110</v>
      </c>
      <c r="H1892" s="1" t="s">
        <v>17111</v>
      </c>
      <c r="I1892" s="5" t="s">
        <v>17112</v>
      </c>
      <c r="J1892" s="7">
        <v>28</v>
      </c>
      <c r="K1892" s="7">
        <v>62.08</v>
      </c>
      <c r="L1892" s="5" t="s">
        <v>17113</v>
      </c>
      <c r="M1892" s="7">
        <v>1.2</v>
      </c>
      <c r="N1892" s="7">
        <v>0.65</v>
      </c>
      <c r="O1892" s="7">
        <v>0.81699999999999995</v>
      </c>
      <c r="P1892" s="1" t="s">
        <v>17114</v>
      </c>
    </row>
    <row r="1893" spans="1:16" ht="33.4" x14ac:dyDescent="0.3">
      <c r="A1893" s="6" t="str">
        <f>HYPERLINK("https://www.ti.com/product/TPS22976", "TPS22976")</f>
        <v>TPS22976</v>
      </c>
      <c r="B1893" s="5" t="s">
        <v>17115</v>
      </c>
      <c r="C1893" s="6" t="str">
        <f>HYPERLINK("https://www.ti.com/lit/gpn/TPS22976", "PDF")</f>
        <v>PDF</v>
      </c>
      <c r="D1893" s="5" t="s">
        <v>17116</v>
      </c>
      <c r="E1893" s="5" t="s">
        <v>17117</v>
      </c>
      <c r="F1893" s="5"/>
      <c r="G1893" s="5" t="s">
        <v>17118</v>
      </c>
      <c r="H1893" s="1" t="s">
        <v>17119</v>
      </c>
      <c r="I1893" s="5" t="s">
        <v>17120</v>
      </c>
      <c r="J1893" s="7">
        <v>14</v>
      </c>
      <c r="K1893" s="7">
        <v>6</v>
      </c>
      <c r="L1893" s="5" t="s">
        <v>17121</v>
      </c>
      <c r="M1893" s="7">
        <v>0.8</v>
      </c>
      <c r="N1893" s="7">
        <v>0.4</v>
      </c>
      <c r="O1893" s="7">
        <v>0.17399999999999999</v>
      </c>
      <c r="P1893" s="1" t="s">
        <v>17122</v>
      </c>
    </row>
    <row r="1894" spans="1:16" ht="33.4" x14ac:dyDescent="0.3">
      <c r="A1894" s="6" t="str">
        <f>HYPERLINK("https://www.ti.com/product/TPS562210A", "TPS562210A")</f>
        <v>TPS562210A</v>
      </c>
      <c r="B1894" s="5" t="s">
        <v>17123</v>
      </c>
      <c r="C1894" s="6" t="str">
        <f>HYPERLINK("https://www.ti.com/lit/gpn/TPS562210A", "PDF")</f>
        <v>PDF</v>
      </c>
      <c r="D1894" s="5" t="s">
        <v>17124</v>
      </c>
      <c r="E1894" s="5" t="s">
        <v>17125</v>
      </c>
      <c r="F1894" s="5" t="s">
        <v>17126</v>
      </c>
      <c r="G1894" s="5" t="s">
        <v>17127</v>
      </c>
      <c r="H1894" s="1" t="s">
        <v>17128</v>
      </c>
      <c r="I1894" s="5" t="s">
        <v>17129</v>
      </c>
      <c r="J1894" s="7">
        <v>8</v>
      </c>
      <c r="K1894" s="7">
        <v>8.1199999999999992</v>
      </c>
      <c r="L1894" s="5" t="s">
        <v>17130</v>
      </c>
      <c r="M1894" s="7">
        <v>1.1000000000000001</v>
      </c>
      <c r="N1894" s="7">
        <v>0.65</v>
      </c>
      <c r="O1894" s="7">
        <v>0.5</v>
      </c>
      <c r="P1894" s="1" t="s">
        <v>17131</v>
      </c>
    </row>
    <row r="1895" spans="1:16" ht="33.4" x14ac:dyDescent="0.3">
      <c r="A1895" s="6" t="str">
        <f>HYPERLINK("https://www.ti.com/product/TPS562219A", "TPS562219A")</f>
        <v>TPS562219A</v>
      </c>
      <c r="B1895" s="5" t="s">
        <v>17132</v>
      </c>
      <c r="C1895" s="6" t="str">
        <f>HYPERLINK("https://www.ti.com/lit/gpn/TPS562219A", "PDF")</f>
        <v>PDF</v>
      </c>
      <c r="D1895" s="5" t="s">
        <v>17133</v>
      </c>
      <c r="E1895" s="5" t="s">
        <v>17134</v>
      </c>
      <c r="F1895" s="5" t="s">
        <v>17135</v>
      </c>
      <c r="G1895" s="5" t="s">
        <v>17136</v>
      </c>
      <c r="H1895" s="1" t="s">
        <v>17137</v>
      </c>
      <c r="I1895" s="5" t="s">
        <v>17138</v>
      </c>
      <c r="J1895" s="7">
        <v>8</v>
      </c>
      <c r="K1895" s="7">
        <v>8.1199999999999992</v>
      </c>
      <c r="L1895" s="5" t="s">
        <v>17139</v>
      </c>
      <c r="M1895" s="7">
        <v>1.1000000000000001</v>
      </c>
      <c r="N1895" s="7">
        <v>0.65</v>
      </c>
      <c r="O1895" s="7">
        <v>0.5</v>
      </c>
      <c r="P1895" s="1" t="s">
        <v>17140</v>
      </c>
    </row>
    <row r="1896" spans="1:16" ht="33.4" x14ac:dyDescent="0.3">
      <c r="A1896" s="6" t="str">
        <f>HYPERLINK("https://www.ti.com/product/TPS563210A", "TPS563210A")</f>
        <v>TPS563210A</v>
      </c>
      <c r="B1896" s="5" t="s">
        <v>17141</v>
      </c>
      <c r="C1896" s="6" t="str">
        <f>HYPERLINK("https://www.ti.com/lit/gpn/TPS563210A", "PDF")</f>
        <v>PDF</v>
      </c>
      <c r="D1896" s="5" t="s">
        <v>17142</v>
      </c>
      <c r="E1896" s="5" t="s">
        <v>17143</v>
      </c>
      <c r="F1896" s="5" t="s">
        <v>17144</v>
      </c>
      <c r="G1896" s="5" t="s">
        <v>17145</v>
      </c>
      <c r="H1896" s="1" t="s">
        <v>17146</v>
      </c>
      <c r="I1896" s="5" t="s">
        <v>17147</v>
      </c>
      <c r="J1896" s="7">
        <v>8</v>
      </c>
      <c r="K1896" s="7">
        <v>8.1199999999999992</v>
      </c>
      <c r="L1896" s="5" t="s">
        <v>17148</v>
      </c>
      <c r="M1896" s="7">
        <v>1.1000000000000001</v>
      </c>
      <c r="N1896" s="7">
        <v>0.65</v>
      </c>
      <c r="O1896" s="7">
        <v>0.55700000000000005</v>
      </c>
      <c r="P1896" s="1" t="s">
        <v>17149</v>
      </c>
    </row>
    <row r="1897" spans="1:16" ht="33.4" x14ac:dyDescent="0.3">
      <c r="A1897" s="6" t="str">
        <f>HYPERLINK("https://www.ti.com/product/TPS563219A", "TPS563219A")</f>
        <v>TPS563219A</v>
      </c>
      <c r="B1897" s="5" t="s">
        <v>17150</v>
      </c>
      <c r="C1897" s="6" t="str">
        <f>HYPERLINK("https://www.ti.com/lit/gpn/TPS563219A", "PDF")</f>
        <v>PDF</v>
      </c>
      <c r="D1897" s="5" t="s">
        <v>17151</v>
      </c>
      <c r="E1897" s="5" t="s">
        <v>17152</v>
      </c>
      <c r="F1897" s="5" t="s">
        <v>17153</v>
      </c>
      <c r="G1897" s="5" t="s">
        <v>17154</v>
      </c>
      <c r="H1897" s="1" t="s">
        <v>17155</v>
      </c>
      <c r="I1897" s="5" t="s">
        <v>17156</v>
      </c>
      <c r="J1897" s="7">
        <v>8</v>
      </c>
      <c r="K1897" s="7">
        <v>8.1199999999999992</v>
      </c>
      <c r="L1897" s="5" t="s">
        <v>17157</v>
      </c>
      <c r="M1897" s="7">
        <v>1.1000000000000001</v>
      </c>
      <c r="N1897" s="7">
        <v>0.65</v>
      </c>
      <c r="O1897" s="7">
        <v>0.60499999999999998</v>
      </c>
      <c r="P1897" s="1" t="s">
        <v>17158</v>
      </c>
    </row>
    <row r="1898" spans="1:16" ht="33.4" x14ac:dyDescent="0.3">
      <c r="A1898" s="6" t="str">
        <f>HYPERLINK("https://www.ti.com/product/TPS25810-Q1", "TPS25810-Q1")</f>
        <v>TPS25810-Q1</v>
      </c>
      <c r="B1898" s="5" t="s">
        <v>17159</v>
      </c>
      <c r="C1898" s="6" t="str">
        <f>HYPERLINK("https://www.ti.com/lit/gpn/TPS25810-Q1", "PDF")</f>
        <v>PDF</v>
      </c>
      <c r="D1898" s="5" t="s">
        <v>17160</v>
      </c>
      <c r="E1898" s="5" t="s">
        <v>17161</v>
      </c>
      <c r="F1898" s="5"/>
      <c r="G1898" s="5" t="s">
        <v>17162</v>
      </c>
      <c r="H1898" s="1" t="s">
        <v>17163</v>
      </c>
      <c r="I1898" s="5" t="s">
        <v>17164</v>
      </c>
      <c r="J1898" s="7">
        <v>20</v>
      </c>
      <c r="K1898" s="7">
        <v>12</v>
      </c>
      <c r="L1898" s="5" t="s">
        <v>17165</v>
      </c>
      <c r="M1898" s="7">
        <v>0.8</v>
      </c>
      <c r="N1898" s="7">
        <v>0.5</v>
      </c>
      <c r="O1898" s="7">
        <v>0.89200000000000002</v>
      </c>
      <c r="P1898" s="1" t="s">
        <v>17166</v>
      </c>
    </row>
    <row r="1899" spans="1:16" ht="33.4" x14ac:dyDescent="0.3">
      <c r="A1899" s="6" t="str">
        <f>HYPERLINK("https://www.ti.com/product/TPS2H000-Q1", "TPS2H000-Q1")</f>
        <v>TPS2H000-Q1</v>
      </c>
      <c r="B1899" s="5" t="s">
        <v>17167</v>
      </c>
      <c r="C1899" s="6" t="str">
        <f>HYPERLINK("https://www.ti.com/lit/gpn/TPS2H000-Q1", "PDF")</f>
        <v>PDF</v>
      </c>
      <c r="D1899" s="5" t="s">
        <v>17168</v>
      </c>
      <c r="E1899" s="5" t="s">
        <v>17169</v>
      </c>
      <c r="F1899" s="5"/>
      <c r="G1899" s="5" t="s">
        <v>17170</v>
      </c>
      <c r="H1899" s="1" t="s">
        <v>17171</v>
      </c>
      <c r="I1899" s="5" t="s">
        <v>17172</v>
      </c>
      <c r="J1899" s="7">
        <v>16</v>
      </c>
      <c r="K1899" s="7">
        <v>32</v>
      </c>
      <c r="L1899" s="5" t="s">
        <v>17173</v>
      </c>
      <c r="M1899" s="7">
        <v>1.2</v>
      </c>
      <c r="N1899" s="7">
        <v>0.65</v>
      </c>
      <c r="O1899" s="7">
        <v>0.58499999999999996</v>
      </c>
      <c r="P1899" s="1" t="s">
        <v>17174</v>
      </c>
    </row>
    <row r="1900" spans="1:16" ht="33.4" x14ac:dyDescent="0.3">
      <c r="A1900" s="6" t="str">
        <f>HYPERLINK("https://www.ti.com/product/TPS54824", "TPS54824")</f>
        <v>TPS54824</v>
      </c>
      <c r="B1900" s="5" t="s">
        <v>17175</v>
      </c>
      <c r="C1900" s="6" t="str">
        <f>HYPERLINK("https://www.ti.com/lit/gpn/TPS54824", "PDF")</f>
        <v>PDF</v>
      </c>
      <c r="D1900" s="5" t="s">
        <v>17176</v>
      </c>
      <c r="E1900" s="5" t="s">
        <v>17177</v>
      </c>
      <c r="F1900" s="5" t="s">
        <v>17178</v>
      </c>
      <c r="G1900" s="5" t="s">
        <v>17179</v>
      </c>
      <c r="H1900" s="1" t="s">
        <v>17180</v>
      </c>
      <c r="I1900" s="5" t="s">
        <v>17181</v>
      </c>
      <c r="J1900" s="7">
        <v>18</v>
      </c>
      <c r="K1900" s="7">
        <v>12.25</v>
      </c>
      <c r="L1900" s="5" t="s">
        <v>17182</v>
      </c>
      <c r="M1900" s="7">
        <v>1</v>
      </c>
      <c r="N1900" s="7">
        <v>0.5</v>
      </c>
      <c r="O1900" s="7">
        <v>2.153</v>
      </c>
      <c r="P1900" s="1" t="s">
        <v>17183</v>
      </c>
    </row>
    <row r="1901" spans="1:16" ht="33.4" x14ac:dyDescent="0.3">
      <c r="A1901" s="6" t="str">
        <f>HYPERLINK("https://www.ti.com/product/LM5170-Q1", "LM5170-Q1")</f>
        <v>LM5170-Q1</v>
      </c>
      <c r="B1901" s="5" t="s">
        <v>17184</v>
      </c>
      <c r="C1901" s="6" t="str">
        <f>HYPERLINK("https://www.ti.com/lit/gpn/LM5170-Q1", "PDF")</f>
        <v>PDF</v>
      </c>
      <c r="D1901" s="5" t="s">
        <v>17185</v>
      </c>
      <c r="E1901" s="5" t="s">
        <v>17186</v>
      </c>
      <c r="F1901" s="5" t="s">
        <v>17187</v>
      </c>
      <c r="G1901" s="5" t="s">
        <v>17188</v>
      </c>
      <c r="H1901" s="1" t="s">
        <v>17189</v>
      </c>
      <c r="I1901" s="5" t="s">
        <v>17190</v>
      </c>
      <c r="J1901" s="7">
        <v>48</v>
      </c>
      <c r="K1901" s="7">
        <v>81</v>
      </c>
      <c r="L1901" s="5" t="s">
        <v>17191</v>
      </c>
      <c r="M1901" s="7">
        <v>1.2</v>
      </c>
      <c r="N1901" s="7">
        <v>0.5</v>
      </c>
      <c r="O1901" s="7">
        <v>5.9109999999999996</v>
      </c>
      <c r="P1901" s="1" t="s">
        <v>17192</v>
      </c>
    </row>
    <row r="1902" spans="1:16" ht="17.05" x14ac:dyDescent="0.3">
      <c r="A1902" s="6" t="str">
        <f>HYPERLINK("https://www.ti.com/product/TPS3851", "TPS3851")</f>
        <v>TPS3851</v>
      </c>
      <c r="B1902" s="5" t="s">
        <v>17193</v>
      </c>
      <c r="C1902" s="6" t="str">
        <f>HYPERLINK("https://www.ti.com/lit/gpn/TPS3851", "PDF")</f>
        <v>PDF</v>
      </c>
      <c r="D1902" s="5" t="s">
        <v>17194</v>
      </c>
      <c r="E1902" s="5" t="s">
        <v>17195</v>
      </c>
      <c r="F1902" s="5"/>
      <c r="G1902" s="5" t="s">
        <v>17196</v>
      </c>
      <c r="H1902" s="1" t="s">
        <v>17197</v>
      </c>
      <c r="I1902" s="5" t="s">
        <v>17198</v>
      </c>
      <c r="J1902" s="7">
        <v>8</v>
      </c>
      <c r="K1902" s="7">
        <v>9</v>
      </c>
      <c r="L1902" s="5" t="s">
        <v>17199</v>
      </c>
      <c r="M1902" s="7">
        <v>1</v>
      </c>
      <c r="N1902" s="7">
        <v>0.65</v>
      </c>
      <c r="O1902" s="7">
        <v>0.48799999999999999</v>
      </c>
      <c r="P1902" s="1" t="s">
        <v>17200</v>
      </c>
    </row>
    <row r="1903" spans="1:16" ht="33.4" x14ac:dyDescent="0.3">
      <c r="A1903" s="6" t="str">
        <f>HYPERLINK("https://www.ti.com/product/TPS53622", "TPS53622")</f>
        <v>TPS53622</v>
      </c>
      <c r="B1903" s="5" t="s">
        <v>17201</v>
      </c>
      <c r="C1903" s="6" t="str">
        <f>HYPERLINK("https://www.ti.com/lit/gpn/TPS53622", "PDF")</f>
        <v>PDF</v>
      </c>
      <c r="D1903" s="5" t="s">
        <v>17202</v>
      </c>
      <c r="E1903" s="5" t="s">
        <v>17203</v>
      </c>
      <c r="F1903" s="5" t="s">
        <v>17204</v>
      </c>
      <c r="G1903" s="5" t="s">
        <v>17205</v>
      </c>
      <c r="H1903" s="1" t="s">
        <v>17206</v>
      </c>
      <c r="I1903" s="5" t="s">
        <v>17207</v>
      </c>
      <c r="J1903" s="7">
        <v>40</v>
      </c>
      <c r="K1903" s="7">
        <v>25</v>
      </c>
      <c r="L1903" s="5" t="s">
        <v>17208</v>
      </c>
      <c r="M1903" s="7">
        <v>0.8</v>
      </c>
      <c r="N1903" s="7">
        <v>0.4</v>
      </c>
      <c r="O1903" s="7">
        <v>2.1280000000000001</v>
      </c>
      <c r="P1903" s="1" t="s">
        <v>17209</v>
      </c>
    </row>
    <row r="1904" spans="1:16" ht="33.4" x14ac:dyDescent="0.3">
      <c r="A1904" s="6" t="str">
        <f>HYPERLINK("https://www.ti.com/product/TPS53659", "TPS53659")</f>
        <v>TPS53659</v>
      </c>
      <c r="B1904" s="5" t="s">
        <v>17210</v>
      </c>
      <c r="C1904" s="6" t="str">
        <f>HYPERLINK("https://www.ti.com/lit/gpn/TPS53659", "PDF")</f>
        <v>PDF</v>
      </c>
      <c r="D1904" s="5" t="s">
        <v>17211</v>
      </c>
      <c r="E1904" s="5" t="s">
        <v>17212</v>
      </c>
      <c r="F1904" s="5" t="s">
        <v>17213</v>
      </c>
      <c r="G1904" s="5" t="s">
        <v>17214</v>
      </c>
      <c r="H1904" s="1" t="s">
        <v>17215</v>
      </c>
      <c r="I1904" s="5" t="s">
        <v>17216</v>
      </c>
      <c r="J1904" s="7">
        <v>40</v>
      </c>
      <c r="K1904" s="7">
        <v>25</v>
      </c>
      <c r="L1904" s="5" t="s">
        <v>17217</v>
      </c>
      <c r="M1904" s="7">
        <v>0.8</v>
      </c>
      <c r="N1904" s="7">
        <v>0.4</v>
      </c>
      <c r="O1904" s="7">
        <v>1.5640000000000001</v>
      </c>
      <c r="P1904" s="1" t="s">
        <v>17218</v>
      </c>
    </row>
    <row r="1905" spans="1:16" ht="33.4" x14ac:dyDescent="0.3">
      <c r="A1905" s="6" t="str">
        <f>HYPERLINK("https://www.ti.com/product/TPS53679", "TPS53679")</f>
        <v>TPS53679</v>
      </c>
      <c r="B1905" s="5" t="s">
        <v>17219</v>
      </c>
      <c r="C1905" s="6" t="str">
        <f>HYPERLINK("https://www.ti.com/lit/gpn/TPS53679", "PDF")</f>
        <v>PDF</v>
      </c>
      <c r="D1905" s="5" t="s">
        <v>17220</v>
      </c>
      <c r="E1905" s="5" t="s">
        <v>17221</v>
      </c>
      <c r="F1905" s="5" t="s">
        <v>17222</v>
      </c>
      <c r="G1905" s="5" t="s">
        <v>17223</v>
      </c>
      <c r="H1905" s="1" t="s">
        <v>17224</v>
      </c>
      <c r="I1905" s="5" t="s">
        <v>17225</v>
      </c>
      <c r="J1905" s="7">
        <v>40</v>
      </c>
      <c r="K1905" s="7">
        <v>25</v>
      </c>
      <c r="L1905" s="5" t="s">
        <v>17226</v>
      </c>
      <c r="M1905" s="7">
        <v>0.8</v>
      </c>
      <c r="N1905" s="7">
        <v>0.4</v>
      </c>
      <c r="O1905" s="7">
        <v>2.093</v>
      </c>
      <c r="P1905" s="1" t="s">
        <v>17227</v>
      </c>
    </row>
    <row r="1906" spans="1:16" ht="49.75" x14ac:dyDescent="0.3">
      <c r="A1906" s="6" t="str">
        <f>HYPERLINK("https://www.ti.com/product/TPS65132S", "TPS65132S")</f>
        <v>TPS65132S</v>
      </c>
      <c r="B1906" s="5" t="s">
        <v>17228</v>
      </c>
      <c r="C1906" s="6" t="str">
        <f>HYPERLINK("https://www.ti.com/lit/gpn/TPS65132S", "PDF")</f>
        <v>PDF</v>
      </c>
      <c r="D1906" s="5" t="s">
        <v>17229</v>
      </c>
      <c r="E1906" s="5" t="s">
        <v>17230</v>
      </c>
      <c r="F1906" s="5" t="s">
        <v>17231</v>
      </c>
      <c r="G1906" s="5" t="s">
        <v>17232</v>
      </c>
      <c r="H1906" s="1" t="s">
        <v>17233</v>
      </c>
      <c r="I1906" s="5" t="s">
        <v>17234</v>
      </c>
      <c r="J1906" s="7">
        <v>15</v>
      </c>
      <c r="K1906" s="7">
        <v>3.08</v>
      </c>
      <c r="L1906" s="5" t="s">
        <v>17235</v>
      </c>
      <c r="M1906" s="7">
        <v>0.625</v>
      </c>
      <c r="N1906" s="7">
        <v>0.4</v>
      </c>
      <c r="O1906" s="7">
        <v>0.60699999999999998</v>
      </c>
      <c r="P1906" s="1" t="s">
        <v>17236</v>
      </c>
    </row>
    <row r="1907" spans="1:16" ht="17.05" x14ac:dyDescent="0.3">
      <c r="A1907" s="6" t="str">
        <f>HYPERLINK("https://www.ti.com/product/TPS54200", "TPS54200")</f>
        <v>TPS54200</v>
      </c>
      <c r="B1907" s="5" t="s">
        <v>17237</v>
      </c>
      <c r="C1907" s="6" t="str">
        <f>HYPERLINK("https://www.ti.com/lit/gpn/TPS54200", "PDF")</f>
        <v>PDF</v>
      </c>
      <c r="D1907" s="5" t="s">
        <v>17238</v>
      </c>
      <c r="E1907" s="5" t="s">
        <v>17239</v>
      </c>
      <c r="F1907" s="5" t="s">
        <v>17240</v>
      </c>
      <c r="G1907" s="5" t="s">
        <v>17241</v>
      </c>
      <c r="H1907" s="1" t="s">
        <v>17242</v>
      </c>
      <c r="I1907" s="5" t="s">
        <v>17243</v>
      </c>
      <c r="J1907" s="7">
        <v>6</v>
      </c>
      <c r="K1907" s="7">
        <v>8.1199999999999992</v>
      </c>
      <c r="L1907" s="5" t="s">
        <v>17244</v>
      </c>
      <c r="M1907" s="7">
        <v>1.1000000000000001</v>
      </c>
      <c r="N1907" s="7">
        <v>0.95</v>
      </c>
      <c r="O1907" s="7">
        <v>0.50600000000000001</v>
      </c>
      <c r="P1907" s="1" t="s">
        <v>17245</v>
      </c>
    </row>
    <row r="1908" spans="1:16" ht="33.4" x14ac:dyDescent="0.3">
      <c r="A1908" s="6" t="str">
        <f>HYPERLINK("https://www.ti.com/product/UCC20520", "UCC20520")</f>
        <v>UCC20520</v>
      </c>
      <c r="B1908" s="5" t="s">
        <v>17246</v>
      </c>
      <c r="C1908" s="6" t="str">
        <f>HYPERLINK("https://www.ti.com/lit/gpn/UCC20520", "PDF")</f>
        <v>PDF</v>
      </c>
      <c r="D1908" s="5" t="s">
        <v>17247</v>
      </c>
      <c r="E1908" s="5" t="s">
        <v>17248</v>
      </c>
      <c r="F1908" s="5"/>
      <c r="G1908" s="5" t="s">
        <v>17249</v>
      </c>
      <c r="H1908" s="1" t="s">
        <v>17250</v>
      </c>
      <c r="I1908" s="5" t="s">
        <v>17251</v>
      </c>
      <c r="J1908" s="7">
        <v>16</v>
      </c>
      <c r="K1908" s="7">
        <v>106.09</v>
      </c>
      <c r="L1908" s="5" t="s">
        <v>17252</v>
      </c>
      <c r="M1908" s="7">
        <v>2.65</v>
      </c>
      <c r="N1908" s="7">
        <v>1.27</v>
      </c>
      <c r="O1908" s="7">
        <v>1.875</v>
      </c>
      <c r="P1908" s="1" t="s">
        <v>17253</v>
      </c>
    </row>
    <row r="1909" spans="1:16" ht="33.4" x14ac:dyDescent="0.3">
      <c r="A1909" s="6" t="str">
        <f>HYPERLINK("https://www.ti.com/product/TPS3850", "TPS3850")</f>
        <v>TPS3850</v>
      </c>
      <c r="B1909" s="5" t="s">
        <v>17254</v>
      </c>
      <c r="C1909" s="6" t="str">
        <f>HYPERLINK("https://www.ti.com/lit/gpn/TPS3850", "PDF")</f>
        <v>PDF</v>
      </c>
      <c r="D1909" s="5" t="s">
        <v>17255</v>
      </c>
      <c r="E1909" s="5" t="s">
        <v>17256</v>
      </c>
      <c r="F1909" s="5"/>
      <c r="G1909" s="5" t="s">
        <v>17257</v>
      </c>
      <c r="H1909" s="1" t="s">
        <v>17258</v>
      </c>
      <c r="I1909" s="5" t="s">
        <v>17259</v>
      </c>
      <c r="J1909" s="7">
        <v>10</v>
      </c>
      <c r="K1909" s="7">
        <v>9</v>
      </c>
      <c r="L1909" s="5" t="s">
        <v>17260</v>
      </c>
      <c r="M1909" s="7">
        <v>1</v>
      </c>
      <c r="N1909" s="7">
        <v>0.5</v>
      </c>
      <c r="O1909" s="7">
        <v>0.82699999999999996</v>
      </c>
      <c r="P1909" s="1" t="s">
        <v>17261</v>
      </c>
    </row>
    <row r="1910" spans="1:16" ht="33.4" x14ac:dyDescent="0.3">
      <c r="A1910" s="6" t="str">
        <f>HYPERLINK("https://www.ti.com/product/TPS568215", "TPS568215")</f>
        <v>TPS568215</v>
      </c>
      <c r="B1910" s="5" t="s">
        <v>17262</v>
      </c>
      <c r="C1910" s="6" t="str">
        <f>HYPERLINK("https://www.ti.com/lit/gpn/TPS568215", "PDF")</f>
        <v>PDF</v>
      </c>
      <c r="D1910" s="5" t="s">
        <v>17263</v>
      </c>
      <c r="E1910" s="5" t="s">
        <v>17264</v>
      </c>
      <c r="F1910" s="5" t="s">
        <v>17265</v>
      </c>
      <c r="G1910" s="5" t="s">
        <v>17266</v>
      </c>
      <c r="H1910" s="1" t="s">
        <v>17267</v>
      </c>
      <c r="I1910" s="5" t="s">
        <v>17268</v>
      </c>
      <c r="J1910" s="7">
        <v>18</v>
      </c>
      <c r="K1910" s="7">
        <v>12.25</v>
      </c>
      <c r="L1910" s="5" t="s">
        <v>17269</v>
      </c>
      <c r="M1910" s="7">
        <v>1</v>
      </c>
      <c r="N1910" s="7">
        <v>0.5</v>
      </c>
      <c r="O1910" s="7">
        <v>1.1879999999999999</v>
      </c>
      <c r="P1910" s="1" t="s">
        <v>17270</v>
      </c>
    </row>
    <row r="1911" spans="1:16" ht="33.4" x14ac:dyDescent="0.3">
      <c r="A1911" s="6" t="str">
        <f>HYPERLINK("https://www.ti.com/product/TPS4H000-Q1", "TPS4H000-Q1")</f>
        <v>TPS4H000-Q1</v>
      </c>
      <c r="B1911" s="5" t="s">
        <v>17271</v>
      </c>
      <c r="C1911" s="6" t="str">
        <f>HYPERLINK("https://www.ti.com/lit/gpn/TPS4H000-Q1", "PDF")</f>
        <v>PDF</v>
      </c>
      <c r="D1911" s="5" t="s">
        <v>17272</v>
      </c>
      <c r="E1911" s="5" t="s">
        <v>17273</v>
      </c>
      <c r="F1911" s="5"/>
      <c r="G1911" s="5" t="s">
        <v>17274</v>
      </c>
      <c r="H1911" s="1" t="s">
        <v>17275</v>
      </c>
      <c r="I1911" s="5" t="s">
        <v>17276</v>
      </c>
      <c r="J1911" s="7">
        <v>20</v>
      </c>
      <c r="K1911" s="7">
        <v>41.6</v>
      </c>
      <c r="L1911" s="5" t="s">
        <v>17277</v>
      </c>
      <c r="M1911" s="7">
        <v>1.2</v>
      </c>
      <c r="N1911" s="7">
        <v>0.65</v>
      </c>
      <c r="O1911" s="7">
        <v>0.88900000000000001</v>
      </c>
      <c r="P1911" s="1" t="s">
        <v>17278</v>
      </c>
    </row>
    <row r="1912" spans="1:16" ht="33.4" x14ac:dyDescent="0.3">
      <c r="A1912" s="6" t="str">
        <f>HYPERLINK("https://www.ti.com/product/UCC21521", "UCC21521")</f>
        <v>UCC21521</v>
      </c>
      <c r="B1912" s="5" t="s">
        <v>17279</v>
      </c>
      <c r="C1912" s="6" t="str">
        <f>HYPERLINK("https://www.ti.com/lit/gpn/UCC21521", "PDF")</f>
        <v>PDF</v>
      </c>
      <c r="D1912" s="5" t="s">
        <v>17280</v>
      </c>
      <c r="E1912" s="5" t="s">
        <v>17281</v>
      </c>
      <c r="F1912" s="5"/>
      <c r="G1912" s="5" t="s">
        <v>17282</v>
      </c>
      <c r="H1912" s="1" t="s">
        <v>17283</v>
      </c>
      <c r="I1912" s="5" t="s">
        <v>17284</v>
      </c>
      <c r="J1912" s="7">
        <v>16</v>
      </c>
      <c r="K1912" s="7">
        <v>106.09</v>
      </c>
      <c r="L1912" s="5" t="s">
        <v>17285</v>
      </c>
      <c r="M1912" s="7">
        <v>2.65</v>
      </c>
      <c r="N1912" s="7">
        <v>1.27</v>
      </c>
      <c r="O1912" s="7">
        <v>1.875</v>
      </c>
      <c r="P1912" s="1" t="s">
        <v>17286</v>
      </c>
    </row>
    <row r="1913" spans="1:16" ht="33.4" x14ac:dyDescent="0.3">
      <c r="A1913" s="6" t="str">
        <f>HYPERLINK("https://www.ti.com/product/CSD13380F3", "CSD13380F3")</f>
        <v>CSD13380F3</v>
      </c>
      <c r="B1913" s="5" t="s">
        <v>17287</v>
      </c>
      <c r="C1913" s="6" t="str">
        <f>HYPERLINK("https://www.ti.com/lit/gpn/CSD13380F3", "PDF")</f>
        <v>PDF</v>
      </c>
      <c r="D1913" s="5" t="s">
        <v>17288</v>
      </c>
      <c r="E1913" s="5" t="s">
        <v>17289</v>
      </c>
      <c r="F1913" s="5"/>
      <c r="G1913" s="5" t="s">
        <v>17290</v>
      </c>
      <c r="H1913" s="1" t="s">
        <v>17291</v>
      </c>
      <c r="I1913" s="5" t="s">
        <v>17292</v>
      </c>
      <c r="J1913" s="7">
        <v>3</v>
      </c>
      <c r="K1913" s="7">
        <v>0.41399999999999998</v>
      </c>
      <c r="L1913" s="5" t="s">
        <v>17293</v>
      </c>
      <c r="M1913" s="7">
        <v>0.36</v>
      </c>
      <c r="N1913" s="7">
        <v>0.35</v>
      </c>
      <c r="O1913" s="7">
        <v>3.5000000000000003E-2</v>
      </c>
      <c r="P1913" s="1" t="s">
        <v>17294</v>
      </c>
    </row>
    <row r="1914" spans="1:16" ht="33.4" x14ac:dyDescent="0.3">
      <c r="A1914" s="6" t="str">
        <f>HYPERLINK("https://www.ti.com/product/CSD13385F5", "CSD13385F5")</f>
        <v>CSD13385F5</v>
      </c>
      <c r="B1914" s="5" t="s">
        <v>17295</v>
      </c>
      <c r="C1914" s="6" t="str">
        <f>HYPERLINK("https://www.ti.com/lit/gpn/CSD13385F5", "PDF")</f>
        <v>PDF</v>
      </c>
      <c r="D1914" s="5" t="s">
        <v>17296</v>
      </c>
      <c r="E1914" s="5" t="s">
        <v>17297</v>
      </c>
      <c r="F1914" s="5"/>
      <c r="G1914" s="5" t="s">
        <v>17298</v>
      </c>
      <c r="H1914" s="1" t="s">
        <v>17299</v>
      </c>
      <c r="I1914" s="5" t="s">
        <v>17300</v>
      </c>
      <c r="J1914" s="7">
        <v>3</v>
      </c>
      <c r="K1914" s="7">
        <v>1.0876999999999999</v>
      </c>
      <c r="L1914" s="5" t="s">
        <v>17301</v>
      </c>
      <c r="M1914" s="7">
        <v>0.36</v>
      </c>
      <c r="N1914" s="7">
        <v>0.5</v>
      </c>
      <c r="O1914" s="7">
        <v>6.9000000000000006E-2</v>
      </c>
      <c r="P1914" s="1" t="s">
        <v>17302</v>
      </c>
    </row>
    <row r="1915" spans="1:16" ht="33.4" x14ac:dyDescent="0.3">
      <c r="A1915" s="6" t="str">
        <f>HYPERLINK("https://www.ti.com/product/CSD17585F5", "CSD17585F5")</f>
        <v>CSD17585F5</v>
      </c>
      <c r="B1915" s="5" t="s">
        <v>17303</v>
      </c>
      <c r="C1915" s="6" t="str">
        <f>HYPERLINK("https://www.ti.com/lit/gpn/CSD17585F5", "PDF")</f>
        <v>PDF</v>
      </c>
      <c r="D1915" s="5" t="s">
        <v>17304</v>
      </c>
      <c r="E1915" s="5" t="s">
        <v>17305</v>
      </c>
      <c r="F1915" s="5"/>
      <c r="G1915" s="5" t="s">
        <v>17306</v>
      </c>
      <c r="H1915" s="1" t="s">
        <v>17307</v>
      </c>
      <c r="I1915" s="5" t="s">
        <v>17308</v>
      </c>
      <c r="J1915" s="7">
        <v>3</v>
      </c>
      <c r="K1915" s="7">
        <v>1.0876999999999999</v>
      </c>
      <c r="L1915" s="5" t="s">
        <v>17309</v>
      </c>
      <c r="M1915" s="7">
        <v>0.36</v>
      </c>
      <c r="N1915" s="7">
        <v>0.5</v>
      </c>
      <c r="O1915" s="7">
        <v>6.9000000000000006E-2</v>
      </c>
      <c r="P1915" s="1" t="s">
        <v>17310</v>
      </c>
    </row>
    <row r="1916" spans="1:16" ht="33.4" x14ac:dyDescent="0.3">
      <c r="A1916" s="6" t="str">
        <f>HYPERLINK("https://www.ti.com/product/TPS65266-1", "TPS65266-1")</f>
        <v>TPS65266-1</v>
      </c>
      <c r="B1916" s="5" t="s">
        <v>17311</v>
      </c>
      <c r="C1916" s="6" t="str">
        <f>HYPERLINK("https://www.ti.com/lit/gpn/TPS65266-1", "PDF")</f>
        <v>PDF</v>
      </c>
      <c r="D1916" s="5" t="s">
        <v>17312</v>
      </c>
      <c r="E1916" s="5" t="s">
        <v>17313</v>
      </c>
      <c r="F1916" s="5" t="s">
        <v>17314</v>
      </c>
      <c r="G1916" s="5" t="s">
        <v>17315</v>
      </c>
      <c r="H1916" s="1" t="s">
        <v>17316</v>
      </c>
      <c r="I1916" s="5" t="s">
        <v>17317</v>
      </c>
      <c r="J1916" s="7">
        <v>32</v>
      </c>
      <c r="K1916" s="7">
        <v>25</v>
      </c>
      <c r="L1916" s="5" t="s">
        <v>17318</v>
      </c>
      <c r="M1916" s="7">
        <v>1</v>
      </c>
      <c r="N1916" s="7">
        <v>0.5</v>
      </c>
      <c r="O1916" s="7">
        <v>1.615</v>
      </c>
      <c r="P1916" s="1" t="s">
        <v>17319</v>
      </c>
    </row>
    <row r="1917" spans="1:16" ht="33.4" x14ac:dyDescent="0.3">
      <c r="A1917" s="6" t="str">
        <f>HYPERLINK("https://www.ti.com/product/UCC28951-Q1", "UCC28951-Q1")</f>
        <v>UCC28951-Q1</v>
      </c>
      <c r="B1917" s="5" t="s">
        <v>17320</v>
      </c>
      <c r="C1917" s="6" t="str">
        <f>HYPERLINK("https://www.ti.com/lit/gpn/UCC28951-Q1", "PDF")</f>
        <v>PDF</v>
      </c>
      <c r="D1917" s="5" t="s">
        <v>17321</v>
      </c>
      <c r="E1917" s="5" t="s">
        <v>17322</v>
      </c>
      <c r="F1917" s="5" t="s">
        <v>17323</v>
      </c>
      <c r="G1917" s="5" t="s">
        <v>17324</v>
      </c>
      <c r="H1917" s="1" t="s">
        <v>17325</v>
      </c>
      <c r="I1917" s="5" t="s">
        <v>17326</v>
      </c>
      <c r="J1917" s="7">
        <v>24</v>
      </c>
      <c r="K1917" s="7">
        <v>49.92</v>
      </c>
      <c r="L1917" s="5" t="s">
        <v>17327</v>
      </c>
      <c r="M1917" s="7">
        <v>1.2</v>
      </c>
      <c r="N1917" s="7">
        <v>0.65</v>
      </c>
      <c r="O1917" s="7">
        <v>3.1349999999999998</v>
      </c>
      <c r="P1917" s="1" t="s">
        <v>17328</v>
      </c>
    </row>
    <row r="1918" spans="1:16" ht="33.4" x14ac:dyDescent="0.3">
      <c r="A1918" s="6" t="str">
        <f>HYPERLINK("https://www.ti.com/product/TPS2549", "TPS2549")</f>
        <v>TPS2549</v>
      </c>
      <c r="B1918" s="5" t="s">
        <v>17329</v>
      </c>
      <c r="C1918" s="6" t="str">
        <f>HYPERLINK("https://www.ti.com/lit/gpn/TPS2549", "PDF")</f>
        <v>PDF</v>
      </c>
      <c r="D1918" s="5" t="s">
        <v>17330</v>
      </c>
      <c r="E1918" s="5" t="s">
        <v>17331</v>
      </c>
      <c r="F1918" s="5"/>
      <c r="G1918" s="5" t="s">
        <v>17332</v>
      </c>
      <c r="H1918" s="1" t="s">
        <v>17333</v>
      </c>
      <c r="I1918" s="5" t="s">
        <v>17334</v>
      </c>
      <c r="J1918" s="7">
        <v>16</v>
      </c>
      <c r="K1918" s="7">
        <v>9</v>
      </c>
      <c r="L1918" s="5" t="s">
        <v>17335</v>
      </c>
      <c r="M1918" s="7">
        <v>0.8</v>
      </c>
      <c r="N1918" s="7">
        <v>0.5</v>
      </c>
      <c r="O1918" s="7">
        <v>0.57999999999999996</v>
      </c>
      <c r="P1918" s="1" t="s">
        <v>17336</v>
      </c>
    </row>
    <row r="1919" spans="1:16" ht="33.4" x14ac:dyDescent="0.3">
      <c r="A1919" s="6" t="str">
        <f>HYPERLINK("https://www.ti.com/product/LM53602", "LM53602")</f>
        <v>LM53602</v>
      </c>
      <c r="B1919" s="5" t="s">
        <v>17337</v>
      </c>
      <c r="C1919" s="6" t="str">
        <f>HYPERLINK("https://www.ti.com/lit/gpn/LM53602", "PDF")</f>
        <v>PDF</v>
      </c>
      <c r="D1919" s="5" t="s">
        <v>17338</v>
      </c>
      <c r="E1919" s="5" t="s">
        <v>17339</v>
      </c>
      <c r="F1919" s="5" t="s">
        <v>17340</v>
      </c>
      <c r="G1919" s="5" t="s">
        <v>17341</v>
      </c>
      <c r="H1919" s="1" t="s">
        <v>17342</v>
      </c>
      <c r="I1919" s="5" t="s">
        <v>17343</v>
      </c>
      <c r="J1919" s="7">
        <v>16</v>
      </c>
      <c r="K1919" s="7">
        <v>32</v>
      </c>
      <c r="L1919" s="5" t="s">
        <v>17344</v>
      </c>
      <c r="M1919" s="7">
        <v>1.2</v>
      </c>
      <c r="N1919" s="7">
        <v>0.65</v>
      </c>
      <c r="O1919" s="7">
        <v>2.0329999999999999</v>
      </c>
      <c r="P1919" s="1" t="s">
        <v>17345</v>
      </c>
    </row>
    <row r="1920" spans="1:16" ht="17.05" x14ac:dyDescent="0.3">
      <c r="A1920" s="6" t="str">
        <f>HYPERLINK("https://www.ti.com/product/UCD9090A", "UCD9090A")</f>
        <v>UCD9090A</v>
      </c>
      <c r="B1920" s="5" t="s">
        <v>17346</v>
      </c>
      <c r="C1920" s="6" t="str">
        <f>HYPERLINK("https://www.ti.com/lit/gpn/UCD9090A", "PDF")</f>
        <v>PDF</v>
      </c>
      <c r="D1920" s="5" t="s">
        <v>17347</v>
      </c>
      <c r="E1920" s="5" t="s">
        <v>17348</v>
      </c>
      <c r="F1920" s="5"/>
      <c r="G1920" s="5" t="s">
        <v>17349</v>
      </c>
      <c r="H1920" s="1" t="s">
        <v>17350</v>
      </c>
      <c r="I1920" s="5" t="s">
        <v>17351</v>
      </c>
      <c r="J1920" s="7">
        <v>48</v>
      </c>
      <c r="K1920" s="7">
        <v>49</v>
      </c>
      <c r="L1920" s="5" t="s">
        <v>17352</v>
      </c>
      <c r="M1920" s="7">
        <v>1</v>
      </c>
      <c r="N1920" s="7">
        <v>0.5</v>
      </c>
      <c r="O1920" s="7">
        <v>4.008</v>
      </c>
      <c r="P1920" s="1" t="s">
        <v>17353</v>
      </c>
    </row>
    <row r="1921" spans="1:16" ht="17.05" x14ac:dyDescent="0.3">
      <c r="A1921" s="6" t="str">
        <f>HYPERLINK("https://www.ti.com/product/TPS65916", "TPS65916")</f>
        <v>TPS65916</v>
      </c>
      <c r="B1921" s="5" t="s">
        <v>17354</v>
      </c>
      <c r="C1921" s="6" t="str">
        <f>HYPERLINK("https://www.ti.com/lit/gpn/TPS65916", "PDF")</f>
        <v>PDF</v>
      </c>
      <c r="D1921" s="5" t="s">
        <v>17355</v>
      </c>
      <c r="E1921" s="5" t="s">
        <v>17356</v>
      </c>
      <c r="F1921" s="5"/>
      <c r="G1921" s="5" t="s">
        <v>17357</v>
      </c>
      <c r="H1921" s="1" t="s">
        <v>17358</v>
      </c>
      <c r="I1921" s="5" t="s">
        <v>17359</v>
      </c>
      <c r="J1921" s="7">
        <v>48</v>
      </c>
      <c r="K1921" s="7">
        <v>49</v>
      </c>
      <c r="L1921" s="5" t="s">
        <v>17360</v>
      </c>
      <c r="M1921" s="7">
        <v>1</v>
      </c>
      <c r="N1921" s="7">
        <v>0.5</v>
      </c>
      <c r="O1921" s="7">
        <v>4.4530000000000003</v>
      </c>
      <c r="P1921" s="1" t="s">
        <v>17361</v>
      </c>
    </row>
    <row r="1922" spans="1:16" ht="33.4" x14ac:dyDescent="0.3">
      <c r="A1922" s="6" t="str">
        <f>HYPERLINK("https://www.ti.com/product/CSD17581Q3A", "CSD17581Q3A")</f>
        <v>CSD17581Q3A</v>
      </c>
      <c r="B1922" s="5" t="s">
        <v>17362</v>
      </c>
      <c r="C1922" s="6" t="str">
        <f>HYPERLINK("https://www.ti.com/lit/gpn/CSD17581Q3A", "PDF")</f>
        <v>PDF</v>
      </c>
      <c r="D1922" s="5" t="s">
        <v>17363</v>
      </c>
      <c r="E1922" s="5" t="s">
        <v>17364</v>
      </c>
      <c r="F1922" s="5"/>
      <c r="G1922" s="5" t="s">
        <v>17365</v>
      </c>
      <c r="H1922" s="1" t="s">
        <v>17366</v>
      </c>
      <c r="I1922" s="5" t="s">
        <v>17367</v>
      </c>
      <c r="J1922" s="7">
        <v>8</v>
      </c>
      <c r="K1922" s="7">
        <v>10.89</v>
      </c>
      <c r="L1922" s="5" t="s">
        <v>17368</v>
      </c>
      <c r="M1922" s="7">
        <v>0.9</v>
      </c>
      <c r="N1922" s="7">
        <v>0.65</v>
      </c>
      <c r="O1922" s="7">
        <v>0.182</v>
      </c>
      <c r="P1922" s="1" t="s">
        <v>17369</v>
      </c>
    </row>
    <row r="1923" spans="1:16" ht="33.4" x14ac:dyDescent="0.3">
      <c r="A1923" s="6" t="str">
        <f>HYPERLINK("https://www.ti.com/product/TPS7A19", "TPS7A19")</f>
        <v>TPS7A19</v>
      </c>
      <c r="B1923" s="5" t="s">
        <v>17370</v>
      </c>
      <c r="C1923" s="6" t="str">
        <f>HYPERLINK("https://www.ti.com/lit/gpn/TPS7A19", "PDF")</f>
        <v>PDF</v>
      </c>
      <c r="D1923" s="5" t="s">
        <v>17371</v>
      </c>
      <c r="E1923" s="5" t="s">
        <v>17372</v>
      </c>
      <c r="F1923" s="5"/>
      <c r="G1923" s="5" t="s">
        <v>17373</v>
      </c>
      <c r="H1923" s="1" t="s">
        <v>17374</v>
      </c>
      <c r="I1923" s="5" t="s">
        <v>17375</v>
      </c>
      <c r="J1923" s="7">
        <v>8</v>
      </c>
      <c r="K1923" s="7">
        <v>9</v>
      </c>
      <c r="L1923" s="5" t="s">
        <v>17376</v>
      </c>
      <c r="M1923" s="7">
        <v>1</v>
      </c>
      <c r="N1923" s="7">
        <v>0.65</v>
      </c>
      <c r="O1923" s="7">
        <v>0.60099999999999998</v>
      </c>
      <c r="P1923" s="1" t="s">
        <v>17377</v>
      </c>
    </row>
    <row r="1924" spans="1:16" ht="33.4" x14ac:dyDescent="0.3">
      <c r="A1924" s="6" t="str">
        <f>HYPERLINK("https://www.ti.com/product/LM27762", "LM27762")</f>
        <v>LM27762</v>
      </c>
      <c r="B1924" s="5" t="s">
        <v>17378</v>
      </c>
      <c r="C1924" s="6" t="str">
        <f>HYPERLINK("https://www.ti.com/lit/gpn/LM27762", "PDF")</f>
        <v>PDF</v>
      </c>
      <c r="D1924" s="5" t="s">
        <v>17379</v>
      </c>
      <c r="E1924" s="5" t="s">
        <v>17380</v>
      </c>
      <c r="F1924" s="5"/>
      <c r="G1924" s="5" t="s">
        <v>17381</v>
      </c>
      <c r="H1924" s="1" t="s">
        <v>17382</v>
      </c>
      <c r="I1924" s="5" t="s">
        <v>17383</v>
      </c>
      <c r="J1924" s="7">
        <v>12</v>
      </c>
      <c r="K1924" s="7">
        <v>6</v>
      </c>
      <c r="L1924" s="5" t="s">
        <v>17384</v>
      </c>
      <c r="M1924" s="7">
        <v>0.8</v>
      </c>
      <c r="N1924" s="7">
        <v>0.5</v>
      </c>
      <c r="O1924" s="7">
        <v>0.75900000000000001</v>
      </c>
      <c r="P1924" s="1" t="s">
        <v>17385</v>
      </c>
    </row>
    <row r="1925" spans="1:16" ht="33.4" x14ac:dyDescent="0.3">
      <c r="A1925" s="6" t="str">
        <f>HYPERLINK("https://www.ti.com/product/TPS254900-Q1", "TPS254900-Q1")</f>
        <v>TPS254900-Q1</v>
      </c>
      <c r="B1925" s="5" t="s">
        <v>17386</v>
      </c>
      <c r="C1925" s="6" t="str">
        <f>HYPERLINK("https://www.ti.com/lit/gpn/TPS254900-Q1", "PDF")</f>
        <v>PDF</v>
      </c>
      <c r="D1925" s="5" t="s">
        <v>17387</v>
      </c>
      <c r="E1925" s="5" t="s">
        <v>17388</v>
      </c>
      <c r="F1925" s="5"/>
      <c r="G1925" s="5" t="s">
        <v>17389</v>
      </c>
      <c r="H1925" s="1" t="s">
        <v>17390</v>
      </c>
      <c r="I1925" s="5" t="s">
        <v>17391</v>
      </c>
      <c r="J1925" s="7">
        <v>20</v>
      </c>
      <c r="K1925" s="7">
        <v>12</v>
      </c>
      <c r="L1925" s="5" t="s">
        <v>17392</v>
      </c>
      <c r="M1925" s="7">
        <v>0.8</v>
      </c>
      <c r="N1925" s="7">
        <v>0.5</v>
      </c>
      <c r="O1925" s="7">
        <v>1.589</v>
      </c>
      <c r="P1925" s="1" t="s">
        <v>17393</v>
      </c>
    </row>
    <row r="1926" spans="1:16" ht="33.4" x14ac:dyDescent="0.3">
      <c r="A1926" s="6" t="str">
        <f>HYPERLINK("https://www.ti.com/product/TPS62171-Q1", "TPS62171-Q1")</f>
        <v>TPS62171-Q1</v>
      </c>
      <c r="B1926" s="5" t="s">
        <v>17394</v>
      </c>
      <c r="C1926" s="6" t="str">
        <f>HYPERLINK("https://www.ti.com/lit/gpn/TPS62171-Q1", "PDF")</f>
        <v>PDF</v>
      </c>
      <c r="D1926" s="5" t="s">
        <v>17395</v>
      </c>
      <c r="E1926" s="5" t="s">
        <v>17396</v>
      </c>
      <c r="F1926" s="5" t="s">
        <v>17397</v>
      </c>
      <c r="G1926" s="5" t="s">
        <v>17398</v>
      </c>
      <c r="H1926" s="1" t="s">
        <v>17399</v>
      </c>
      <c r="I1926" s="5" t="s">
        <v>17400</v>
      </c>
      <c r="J1926" s="7">
        <v>8</v>
      </c>
      <c r="K1926" s="7">
        <v>4</v>
      </c>
      <c r="L1926" s="5" t="s">
        <v>17401</v>
      </c>
      <c r="M1926" s="7">
        <v>0.8</v>
      </c>
      <c r="N1926" s="7">
        <v>0.5</v>
      </c>
      <c r="O1926" s="7">
        <v>0.54300000000000004</v>
      </c>
      <c r="P1926" s="1" t="s">
        <v>17402</v>
      </c>
    </row>
    <row r="1927" spans="1:16" ht="17.05" x14ac:dyDescent="0.3">
      <c r="A1927" s="6" t="str">
        <f>HYPERLINK("https://www.ti.com/product/UCD90320", "UCD90320")</f>
        <v>UCD90320</v>
      </c>
      <c r="B1927" s="5" t="s">
        <v>17403</v>
      </c>
      <c r="C1927" s="6" t="str">
        <f>HYPERLINK("https://www.ti.com/lit/gpn/UCD90320", "PDF")</f>
        <v>PDF</v>
      </c>
      <c r="D1927" s="5" t="s">
        <v>17404</v>
      </c>
      <c r="E1927" s="5" t="s">
        <v>17405</v>
      </c>
      <c r="F1927" s="5"/>
      <c r="G1927" s="5" t="s">
        <v>17406</v>
      </c>
      <c r="H1927" s="1" t="s">
        <v>17407</v>
      </c>
      <c r="I1927" s="5" t="s">
        <v>17408</v>
      </c>
      <c r="J1927" s="7">
        <v>169</v>
      </c>
      <c r="K1927" s="7">
        <v>144</v>
      </c>
      <c r="L1927" s="5" t="s">
        <v>17409</v>
      </c>
      <c r="M1927" s="7">
        <v>1.4</v>
      </c>
      <c r="N1927" s="7">
        <v>0.8</v>
      </c>
      <c r="O1927" s="7">
        <v>13.46</v>
      </c>
      <c r="P1927" s="1" t="s">
        <v>17410</v>
      </c>
    </row>
    <row r="1928" spans="1:16" ht="33.4" x14ac:dyDescent="0.3">
      <c r="A1928" s="6" t="str">
        <f>HYPERLINK("https://www.ti.com/product/ISO5451-Q1", "ISO5451-Q1")</f>
        <v>ISO5451-Q1</v>
      </c>
      <c r="B1928" s="5" t="s">
        <v>17411</v>
      </c>
      <c r="C1928" s="6" t="str">
        <f>HYPERLINK("https://www.ti.com/lit/gpn/ISO5451-Q1", "PDF")</f>
        <v>PDF</v>
      </c>
      <c r="D1928" s="5" t="s">
        <v>17412</v>
      </c>
      <c r="E1928" s="5" t="s">
        <v>17413</v>
      </c>
      <c r="F1928" s="5"/>
      <c r="G1928" s="5" t="s">
        <v>17414</v>
      </c>
      <c r="H1928" s="1" t="s">
        <v>17415</v>
      </c>
      <c r="I1928" s="5" t="s">
        <v>17416</v>
      </c>
      <c r="J1928" s="7">
        <v>16</v>
      </c>
      <c r="K1928" s="7">
        <v>106.09</v>
      </c>
      <c r="L1928" s="5" t="s">
        <v>17417</v>
      </c>
      <c r="M1928" s="7">
        <v>2.65</v>
      </c>
      <c r="N1928" s="7">
        <v>1.27</v>
      </c>
      <c r="O1928" s="7">
        <v>2.0129999999999999</v>
      </c>
      <c r="P1928" s="1" t="s">
        <v>17418</v>
      </c>
    </row>
    <row r="1929" spans="1:16" ht="33.4" x14ac:dyDescent="0.3">
      <c r="A1929" s="6" t="str">
        <f>HYPERLINK("https://www.ti.com/product/ISO5452-Q1", "ISO5452-Q1")</f>
        <v>ISO5452-Q1</v>
      </c>
      <c r="B1929" s="5" t="s">
        <v>17419</v>
      </c>
      <c r="C1929" s="6" t="str">
        <f>HYPERLINK("https://www.ti.com/lit/gpn/ISO5452-Q1", "PDF")</f>
        <v>PDF</v>
      </c>
      <c r="D1929" s="5" t="s">
        <v>17420</v>
      </c>
      <c r="E1929" s="5" t="s">
        <v>17421</v>
      </c>
      <c r="F1929" s="5"/>
      <c r="G1929" s="5" t="s">
        <v>17422</v>
      </c>
      <c r="H1929" s="1" t="s">
        <v>17423</v>
      </c>
      <c r="I1929" s="5" t="s">
        <v>17424</v>
      </c>
      <c r="J1929" s="7">
        <v>16</v>
      </c>
      <c r="K1929" s="7">
        <v>106.09</v>
      </c>
      <c r="L1929" s="5" t="s">
        <v>17425</v>
      </c>
      <c r="M1929" s="7">
        <v>2.65</v>
      </c>
      <c r="N1929" s="7">
        <v>1.27</v>
      </c>
      <c r="O1929" s="7">
        <v>2.444</v>
      </c>
      <c r="P1929" s="1" t="s">
        <v>17426</v>
      </c>
    </row>
    <row r="1930" spans="1:16" ht="33.4" x14ac:dyDescent="0.3">
      <c r="A1930" s="6" t="str">
        <f>HYPERLINK("https://www.ti.com/product/ISO5851-Q1", "ISO5851-Q1")</f>
        <v>ISO5851-Q1</v>
      </c>
      <c r="B1930" s="5" t="s">
        <v>17427</v>
      </c>
      <c r="C1930" s="6" t="str">
        <f>HYPERLINK("https://www.ti.com/lit/gpn/ISO5851-Q1", "PDF")</f>
        <v>PDF</v>
      </c>
      <c r="D1930" s="5" t="s">
        <v>17428</v>
      </c>
      <c r="E1930" s="5" t="s">
        <v>17429</v>
      </c>
      <c r="F1930" s="5"/>
      <c r="G1930" s="5" t="s">
        <v>17430</v>
      </c>
      <c r="H1930" s="1" t="s">
        <v>17431</v>
      </c>
      <c r="I1930" s="5" t="s">
        <v>17432</v>
      </c>
      <c r="J1930" s="7">
        <v>16</v>
      </c>
      <c r="K1930" s="7">
        <v>106.09</v>
      </c>
      <c r="L1930" s="5" t="s">
        <v>17433</v>
      </c>
      <c r="M1930" s="7">
        <v>2.65</v>
      </c>
      <c r="N1930" s="7">
        <v>1.27</v>
      </c>
      <c r="O1930" s="7">
        <v>3.01</v>
      </c>
      <c r="P1930" s="1" t="s">
        <v>17434</v>
      </c>
    </row>
    <row r="1931" spans="1:16" ht="33.4" x14ac:dyDescent="0.3">
      <c r="A1931" s="6" t="str">
        <f>HYPERLINK("https://www.ti.com/product/ISO5852S-Q1", "ISO5852S-Q1")</f>
        <v>ISO5852S-Q1</v>
      </c>
      <c r="B1931" s="5" t="s">
        <v>17435</v>
      </c>
      <c r="C1931" s="6" t="str">
        <f>HYPERLINK("https://www.ti.com/lit/gpn/ISO5852S-Q1", "PDF")</f>
        <v>PDF</v>
      </c>
      <c r="D1931" s="5" t="s">
        <v>17436</v>
      </c>
      <c r="E1931" s="5" t="s">
        <v>17437</v>
      </c>
      <c r="F1931" s="5"/>
      <c r="G1931" s="5" t="s">
        <v>17438</v>
      </c>
      <c r="H1931" s="1" t="s">
        <v>17439</v>
      </c>
      <c r="I1931" s="5" t="s">
        <v>17440</v>
      </c>
      <c r="J1931" s="7">
        <v>16</v>
      </c>
      <c r="K1931" s="7">
        <v>106.09</v>
      </c>
      <c r="L1931" s="5" t="s">
        <v>17441</v>
      </c>
      <c r="M1931" s="7">
        <v>2.65</v>
      </c>
      <c r="N1931" s="7">
        <v>1.27</v>
      </c>
      <c r="O1931" s="7">
        <v>2.855</v>
      </c>
      <c r="P1931" s="1" t="s">
        <v>17442</v>
      </c>
    </row>
    <row r="1932" spans="1:16" ht="33.4" x14ac:dyDescent="0.3">
      <c r="A1932" s="6" t="str">
        <f>HYPERLINK("https://www.ti.com/product/TLV62084A", "TLV62084A")</f>
        <v>TLV62084A</v>
      </c>
      <c r="B1932" s="5" t="s">
        <v>17443</v>
      </c>
      <c r="C1932" s="6" t="str">
        <f>HYPERLINK("https://www.ti.com/lit/gpn/TLV62084A", "PDF")</f>
        <v>PDF</v>
      </c>
      <c r="D1932" s="5" t="s">
        <v>17444</v>
      </c>
      <c r="E1932" s="5" t="s">
        <v>17445</v>
      </c>
      <c r="F1932" s="5" t="s">
        <v>17446</v>
      </c>
      <c r="G1932" s="5" t="s">
        <v>17447</v>
      </c>
      <c r="H1932" s="1" t="s">
        <v>17448</v>
      </c>
      <c r="I1932" s="5" t="s">
        <v>17449</v>
      </c>
      <c r="J1932" s="7">
        <v>8</v>
      </c>
      <c r="K1932" s="7">
        <v>4</v>
      </c>
      <c r="L1932" s="5" t="s">
        <v>17450</v>
      </c>
      <c r="M1932" s="7">
        <v>0.8</v>
      </c>
      <c r="N1932" s="7">
        <v>0.5</v>
      </c>
      <c r="O1932" s="7">
        <v>0.13200000000000001</v>
      </c>
      <c r="P1932" s="1" t="s">
        <v>17451</v>
      </c>
    </row>
    <row r="1933" spans="1:16" ht="33.4" x14ac:dyDescent="0.3">
      <c r="A1933" s="6" t="str">
        <f>HYPERLINK("https://www.ti.com/product/TPS53667", "TPS53667")</f>
        <v>TPS53667</v>
      </c>
      <c r="B1933" s="5" t="s">
        <v>17452</v>
      </c>
      <c r="C1933" s="6" t="str">
        <f>HYPERLINK("https://www.ti.com/lit/gpn/TPS53667", "PDF")</f>
        <v>PDF</v>
      </c>
      <c r="D1933" s="5" t="s">
        <v>17453</v>
      </c>
      <c r="E1933" s="5" t="s">
        <v>17454</v>
      </c>
      <c r="F1933" s="5" t="s">
        <v>17455</v>
      </c>
      <c r="G1933" s="5" t="s">
        <v>17456</v>
      </c>
      <c r="H1933" s="1" t="s">
        <v>17457</v>
      </c>
      <c r="I1933" s="5" t="s">
        <v>17458</v>
      </c>
      <c r="J1933" s="7">
        <v>40</v>
      </c>
      <c r="K1933" s="7">
        <v>36</v>
      </c>
      <c r="L1933" s="5" t="s">
        <v>17459</v>
      </c>
      <c r="M1933" s="7">
        <v>0.8</v>
      </c>
      <c r="N1933" s="7">
        <v>0.5</v>
      </c>
      <c r="O1933" s="7">
        <v>2.7639999999999998</v>
      </c>
      <c r="P1933" s="1" t="s">
        <v>17460</v>
      </c>
    </row>
    <row r="1934" spans="1:16" ht="33.4" x14ac:dyDescent="0.3">
      <c r="A1934" s="6" t="str">
        <f>HYPERLINK("https://www.ti.com/product/UCD90160A", "UCD90160A")</f>
        <v>UCD90160A</v>
      </c>
      <c r="B1934" s="5" t="s">
        <v>17461</v>
      </c>
      <c r="C1934" s="6" t="str">
        <f>HYPERLINK("https://www.ti.com/lit/gpn/UCD90160A", "PDF")</f>
        <v>PDF</v>
      </c>
      <c r="D1934" s="5" t="s">
        <v>17462</v>
      </c>
      <c r="E1934" s="5" t="s">
        <v>17463</v>
      </c>
      <c r="F1934" s="5"/>
      <c r="G1934" s="5" t="s">
        <v>17464</v>
      </c>
      <c r="H1934" s="1" t="s">
        <v>17465</v>
      </c>
      <c r="I1934" s="5" t="s">
        <v>17466</v>
      </c>
      <c r="J1934" s="7">
        <v>64</v>
      </c>
      <c r="K1934" s="7">
        <v>81</v>
      </c>
      <c r="L1934" s="5" t="s">
        <v>17467</v>
      </c>
      <c r="M1934" s="7">
        <v>1</v>
      </c>
      <c r="N1934" s="7">
        <v>0.5</v>
      </c>
      <c r="O1934" s="7">
        <v>6.274</v>
      </c>
      <c r="P1934" s="1" t="s">
        <v>17468</v>
      </c>
    </row>
    <row r="1935" spans="1:16" ht="33.4" x14ac:dyDescent="0.3">
      <c r="A1935" s="6" t="str">
        <f>HYPERLINK("https://www.ti.com/product/TPS2552D", "TPS2552D")</f>
        <v>TPS2552D</v>
      </c>
      <c r="B1935" s="5" t="s">
        <v>17469</v>
      </c>
      <c r="C1935" s="6" t="str">
        <f>HYPERLINK("https://www.ti.com/lit/gpn/TPS2552D", "PDF")</f>
        <v>PDF</v>
      </c>
      <c r="D1935" s="5" t="s">
        <v>17470</v>
      </c>
      <c r="E1935" s="5" t="s">
        <v>17471</v>
      </c>
      <c r="F1935" s="5"/>
      <c r="G1935" s="5" t="s">
        <v>17472</v>
      </c>
      <c r="H1935" s="1" t="s">
        <v>17473</v>
      </c>
      <c r="I1935" s="5" t="s">
        <v>17474</v>
      </c>
      <c r="J1935" s="7">
        <v>6</v>
      </c>
      <c r="K1935" s="7">
        <v>8.1199999999999992</v>
      </c>
      <c r="L1935" s="5" t="s">
        <v>17475</v>
      </c>
      <c r="M1935" s="7">
        <v>1.45</v>
      </c>
      <c r="N1935" s="7">
        <v>0.95</v>
      </c>
      <c r="O1935" s="7">
        <v>0.125</v>
      </c>
      <c r="P1935" s="1" t="s">
        <v>17476</v>
      </c>
    </row>
    <row r="1936" spans="1:16" ht="33.4" x14ac:dyDescent="0.3">
      <c r="A1936" s="6" t="str">
        <f>HYPERLINK("https://www.ti.com/product/TPS2553D", "TPS2553D")</f>
        <v>TPS2553D</v>
      </c>
      <c r="B1936" s="5" t="s">
        <v>17477</v>
      </c>
      <c r="C1936" s="6" t="str">
        <f>HYPERLINK("https://www.ti.com/lit/gpn/TPS2553D", "PDF")</f>
        <v>PDF</v>
      </c>
      <c r="D1936" s="5" t="s">
        <v>17478</v>
      </c>
      <c r="E1936" s="5" t="s">
        <v>17479</v>
      </c>
      <c r="F1936" s="5"/>
      <c r="G1936" s="5" t="s">
        <v>17480</v>
      </c>
      <c r="H1936" s="1" t="s">
        <v>17481</v>
      </c>
      <c r="I1936" s="5" t="s">
        <v>17482</v>
      </c>
      <c r="J1936" s="7">
        <v>6</v>
      </c>
      <c r="K1936" s="7">
        <v>8.1199999999999992</v>
      </c>
      <c r="L1936" s="5" t="s">
        <v>17483</v>
      </c>
      <c r="M1936" s="7">
        <v>1.45</v>
      </c>
      <c r="N1936" s="7">
        <v>0.95</v>
      </c>
      <c r="O1936" s="7">
        <v>0.26500000000000001</v>
      </c>
      <c r="P1936" s="1" t="s">
        <v>17484</v>
      </c>
    </row>
    <row r="1937" spans="1:16" ht="33.4" x14ac:dyDescent="0.3">
      <c r="A1937" s="6" t="str">
        <f>HYPERLINK("https://www.ti.com/product/REF6225", "REF6225")</f>
        <v>REF6225</v>
      </c>
      <c r="B1937" s="5" t="s">
        <v>17485</v>
      </c>
      <c r="C1937" s="6" t="str">
        <f>HYPERLINK("https://www.ti.com/lit/gpn/REF6225", "PDF")</f>
        <v>PDF</v>
      </c>
      <c r="D1937" s="5" t="s">
        <v>17486</v>
      </c>
      <c r="E1937" s="5" t="s">
        <v>17487</v>
      </c>
      <c r="F1937" s="5"/>
      <c r="G1937" s="5" t="s">
        <v>17488</v>
      </c>
      <c r="H1937" s="1" t="s">
        <v>17489</v>
      </c>
      <c r="I1937" s="5" t="s">
        <v>17490</v>
      </c>
      <c r="J1937" s="7">
        <v>8</v>
      </c>
      <c r="K1937" s="7">
        <v>14.7</v>
      </c>
      <c r="L1937" s="5" t="s">
        <v>17491</v>
      </c>
      <c r="M1937" s="7">
        <v>1.1000000000000001</v>
      </c>
      <c r="N1937" s="7">
        <v>0.65</v>
      </c>
      <c r="O1937" s="7">
        <v>3.8570000000000002</v>
      </c>
      <c r="P1937" s="1" t="s">
        <v>17492</v>
      </c>
    </row>
    <row r="1938" spans="1:16" ht="33.4" x14ac:dyDescent="0.3">
      <c r="A1938" s="6" t="str">
        <f>HYPERLINK("https://www.ti.com/product/REF6230", "REF6230")</f>
        <v>REF6230</v>
      </c>
      <c r="B1938" s="5" t="s">
        <v>17493</v>
      </c>
      <c r="C1938" s="6" t="str">
        <f>HYPERLINK("https://www.ti.com/lit/gpn/REF6230", "PDF")</f>
        <v>PDF</v>
      </c>
      <c r="D1938" s="5" t="s">
        <v>17494</v>
      </c>
      <c r="E1938" s="5" t="s">
        <v>17495</v>
      </c>
      <c r="F1938" s="5"/>
      <c r="G1938" s="5" t="s">
        <v>17496</v>
      </c>
      <c r="H1938" s="1" t="s">
        <v>17497</v>
      </c>
      <c r="I1938" s="5" t="s">
        <v>17498</v>
      </c>
      <c r="J1938" s="7">
        <v>8</v>
      </c>
      <c r="K1938" s="7">
        <v>14.7</v>
      </c>
      <c r="L1938" s="5" t="s">
        <v>17499</v>
      </c>
      <c r="M1938" s="7">
        <v>1.1000000000000001</v>
      </c>
      <c r="N1938" s="7">
        <v>0.65</v>
      </c>
      <c r="O1938" s="7">
        <v>3.8570000000000002</v>
      </c>
      <c r="P1938" s="1" t="s">
        <v>17500</v>
      </c>
    </row>
    <row r="1939" spans="1:16" ht="33.4" x14ac:dyDescent="0.3">
      <c r="A1939" s="6" t="str">
        <f>HYPERLINK("https://www.ti.com/product/REF6233", "REF6233")</f>
        <v>REF6233</v>
      </c>
      <c r="B1939" s="5" t="s">
        <v>17501</v>
      </c>
      <c r="C1939" s="6" t="str">
        <f>HYPERLINK("https://www.ti.com/lit/gpn/REF6233", "PDF")</f>
        <v>PDF</v>
      </c>
      <c r="D1939" s="5" t="s">
        <v>17502</v>
      </c>
      <c r="E1939" s="5" t="s">
        <v>17503</v>
      </c>
      <c r="F1939" s="5"/>
      <c r="G1939" s="5" t="s">
        <v>17504</v>
      </c>
      <c r="H1939" s="1" t="s">
        <v>17505</v>
      </c>
      <c r="I1939" s="5" t="s">
        <v>17506</v>
      </c>
      <c r="J1939" s="7">
        <v>8</v>
      </c>
      <c r="K1939" s="7">
        <v>14.7</v>
      </c>
      <c r="L1939" s="5" t="s">
        <v>17507</v>
      </c>
      <c r="M1939" s="7">
        <v>1.1000000000000001</v>
      </c>
      <c r="N1939" s="7">
        <v>0.65</v>
      </c>
      <c r="O1939" s="7">
        <v>3.8570000000000002</v>
      </c>
      <c r="P1939" s="1" t="s">
        <v>17508</v>
      </c>
    </row>
    <row r="1940" spans="1:16" ht="33.4" x14ac:dyDescent="0.3">
      <c r="A1940" s="6" t="str">
        <f>HYPERLINK("https://www.ti.com/product/REF6241", "REF6241")</f>
        <v>REF6241</v>
      </c>
      <c r="B1940" s="5" t="s">
        <v>17509</v>
      </c>
      <c r="C1940" s="6" t="str">
        <f>HYPERLINK("https://www.ti.com/lit/gpn/REF6241", "PDF")</f>
        <v>PDF</v>
      </c>
      <c r="D1940" s="5" t="s">
        <v>17510</v>
      </c>
      <c r="E1940" s="5" t="s">
        <v>17511</v>
      </c>
      <c r="F1940" s="5"/>
      <c r="G1940" s="5" t="s">
        <v>17512</v>
      </c>
      <c r="H1940" s="1" t="s">
        <v>17513</v>
      </c>
      <c r="I1940" s="5" t="s">
        <v>17514</v>
      </c>
      <c r="J1940" s="7">
        <v>8</v>
      </c>
      <c r="K1940" s="7">
        <v>14.7</v>
      </c>
      <c r="L1940" s="5" t="s">
        <v>17515</v>
      </c>
      <c r="M1940" s="7">
        <v>1.1000000000000001</v>
      </c>
      <c r="N1940" s="7">
        <v>0.65</v>
      </c>
      <c r="O1940" s="7">
        <v>3.8570000000000002</v>
      </c>
      <c r="P1940" s="1" t="s">
        <v>17516</v>
      </c>
    </row>
    <row r="1941" spans="1:16" ht="33.4" x14ac:dyDescent="0.3">
      <c r="A1941" s="6" t="str">
        <f>HYPERLINK("https://www.ti.com/product/REF6245", "REF6245")</f>
        <v>REF6245</v>
      </c>
      <c r="B1941" s="5" t="s">
        <v>17517</v>
      </c>
      <c r="C1941" s="6" t="str">
        <f>HYPERLINK("https://www.ti.com/lit/gpn/REF6245", "PDF")</f>
        <v>PDF</v>
      </c>
      <c r="D1941" s="5" t="s">
        <v>17518</v>
      </c>
      <c r="E1941" s="5" t="s">
        <v>17519</v>
      </c>
      <c r="F1941" s="5"/>
      <c r="G1941" s="5" t="s">
        <v>17520</v>
      </c>
      <c r="H1941" s="1" t="s">
        <v>17521</v>
      </c>
      <c r="I1941" s="5" t="s">
        <v>17522</v>
      </c>
      <c r="J1941" s="7">
        <v>8</v>
      </c>
      <c r="K1941" s="7">
        <v>14.7</v>
      </c>
      <c r="L1941" s="5" t="s">
        <v>17523</v>
      </c>
      <c r="M1941" s="7">
        <v>1.1000000000000001</v>
      </c>
      <c r="N1941" s="7">
        <v>0.65</v>
      </c>
      <c r="O1941" s="7">
        <v>3.8570000000000002</v>
      </c>
      <c r="P1941" s="1" t="s">
        <v>17524</v>
      </c>
    </row>
    <row r="1942" spans="1:16" ht="33.4" x14ac:dyDescent="0.3">
      <c r="A1942" s="6" t="str">
        <f>HYPERLINK("https://www.ti.com/product/REF6250", "REF6250")</f>
        <v>REF6250</v>
      </c>
      <c r="B1942" s="5" t="s">
        <v>17525</v>
      </c>
      <c r="C1942" s="6" t="str">
        <f>HYPERLINK("https://www.ti.com/lit/gpn/REF6250", "PDF")</f>
        <v>PDF</v>
      </c>
      <c r="D1942" s="5" t="s">
        <v>17526</v>
      </c>
      <c r="E1942" s="5" t="s">
        <v>17527</v>
      </c>
      <c r="F1942" s="5"/>
      <c r="G1942" s="5" t="s">
        <v>17528</v>
      </c>
      <c r="H1942" s="1" t="s">
        <v>17529</v>
      </c>
      <c r="I1942" s="5" t="s">
        <v>17530</v>
      </c>
      <c r="J1942" s="7">
        <v>8</v>
      </c>
      <c r="K1942" s="7">
        <v>14.7</v>
      </c>
      <c r="L1942" s="5" t="s">
        <v>17531</v>
      </c>
      <c r="M1942" s="7">
        <v>1.1000000000000001</v>
      </c>
      <c r="N1942" s="7">
        <v>0.65</v>
      </c>
      <c r="O1942" s="7">
        <v>3.8570000000000002</v>
      </c>
      <c r="P1942" s="1" t="s">
        <v>17532</v>
      </c>
    </row>
    <row r="1943" spans="1:16" ht="33.4" x14ac:dyDescent="0.3">
      <c r="A1943" s="6" t="str">
        <f>HYPERLINK("https://www.ti.com/product/TPS62135", "TPS62135")</f>
        <v>TPS62135</v>
      </c>
      <c r="B1943" s="5" t="s">
        <v>17533</v>
      </c>
      <c r="C1943" s="6" t="str">
        <f>HYPERLINK("https://www.ti.com/lit/gpn/TPS62135", "PDF")</f>
        <v>PDF</v>
      </c>
      <c r="D1943" s="5" t="s">
        <v>17534</v>
      </c>
      <c r="E1943" s="5" t="s">
        <v>17535</v>
      </c>
      <c r="F1943" s="5" t="s">
        <v>17536</v>
      </c>
      <c r="G1943" s="5" t="s">
        <v>17537</v>
      </c>
      <c r="H1943" s="1" t="s">
        <v>17538</v>
      </c>
      <c r="I1943" s="5" t="s">
        <v>17539</v>
      </c>
      <c r="J1943" s="7">
        <v>11</v>
      </c>
      <c r="K1943" s="7">
        <v>6</v>
      </c>
      <c r="L1943" s="5" t="s">
        <v>17540</v>
      </c>
      <c r="M1943" s="7">
        <v>1</v>
      </c>
      <c r="N1943" s="7">
        <v>0.5</v>
      </c>
      <c r="O1943" s="7">
        <v>0.76300000000000001</v>
      </c>
      <c r="P1943" s="1" t="s">
        <v>17541</v>
      </c>
    </row>
    <row r="1944" spans="1:16" ht="33.4" x14ac:dyDescent="0.3">
      <c r="A1944" s="6" t="str">
        <f>HYPERLINK("https://www.ti.com/product/TPS546C23", "TPS546C23")</f>
        <v>TPS546C23</v>
      </c>
      <c r="B1944" s="5" t="s">
        <v>17542</v>
      </c>
      <c r="C1944" s="6" t="str">
        <f>HYPERLINK("https://www.ti.com/lit/gpn/TPS546C23", "PDF")</f>
        <v>PDF</v>
      </c>
      <c r="D1944" s="5" t="s">
        <v>17543</v>
      </c>
      <c r="E1944" s="5" t="s">
        <v>17544</v>
      </c>
      <c r="F1944" s="5" t="s">
        <v>17545</v>
      </c>
      <c r="G1944" s="5" t="s">
        <v>17546</v>
      </c>
      <c r="H1944" s="1" t="s">
        <v>17547</v>
      </c>
      <c r="I1944" s="5" t="s">
        <v>17548</v>
      </c>
      <c r="J1944" s="7">
        <v>40</v>
      </c>
      <c r="K1944" s="7">
        <v>35</v>
      </c>
      <c r="L1944" s="5" t="s">
        <v>17549</v>
      </c>
      <c r="M1944" s="7">
        <v>1.52</v>
      </c>
      <c r="N1944" s="7">
        <v>0.5</v>
      </c>
      <c r="O1944" s="7">
        <v>4.5270000000000001</v>
      </c>
      <c r="P1944" s="1" t="s">
        <v>17550</v>
      </c>
    </row>
    <row r="1945" spans="1:16" ht="33.4" x14ac:dyDescent="0.3">
      <c r="A1945" s="6" t="str">
        <f>HYPERLINK("https://www.ti.com/product/LM5141-Q1", "LM5141-Q1")</f>
        <v>LM5141-Q1</v>
      </c>
      <c r="B1945" s="5" t="s">
        <v>17551</v>
      </c>
      <c r="C1945" s="6" t="str">
        <f>HYPERLINK("https://www.ti.com/lit/gpn/LM5141-Q1", "PDF")</f>
        <v>PDF</v>
      </c>
      <c r="D1945" s="5" t="s">
        <v>17552</v>
      </c>
      <c r="E1945" s="5" t="s">
        <v>17553</v>
      </c>
      <c r="F1945" s="5" t="s">
        <v>17554</v>
      </c>
      <c r="G1945" s="5" t="s">
        <v>17555</v>
      </c>
      <c r="H1945" s="1" t="s">
        <v>17556</v>
      </c>
      <c r="I1945" s="5" t="s">
        <v>17557</v>
      </c>
      <c r="J1945" s="7">
        <v>24</v>
      </c>
      <c r="K1945" s="7">
        <v>16</v>
      </c>
      <c r="L1945" s="5" t="s">
        <v>17558</v>
      </c>
      <c r="M1945" s="7">
        <v>1</v>
      </c>
      <c r="N1945" s="7">
        <v>0.5</v>
      </c>
      <c r="O1945" s="7">
        <v>2.3980000000000001</v>
      </c>
      <c r="P1945" s="1" t="s">
        <v>17559</v>
      </c>
    </row>
    <row r="1946" spans="1:16" ht="66.150000000000006" x14ac:dyDescent="0.3">
      <c r="A1946" s="6" t="str">
        <f>HYPERLINK("https://www.ti.com/product/TPS61099", "TPS61099")</f>
        <v>TPS61099</v>
      </c>
      <c r="B1946" s="5" t="s">
        <v>17560</v>
      </c>
      <c r="C1946" s="6" t="str">
        <f>HYPERLINK("https://www.ti.com/lit/gpn/TPS61099", "PDF")</f>
        <v>PDF</v>
      </c>
      <c r="D1946" s="5" t="s">
        <v>17561</v>
      </c>
      <c r="E1946" s="5" t="s">
        <v>17562</v>
      </c>
      <c r="F1946" s="5" t="s">
        <v>17563</v>
      </c>
      <c r="G1946" s="5" t="s">
        <v>17564</v>
      </c>
      <c r="H1946" s="1" t="s">
        <v>17565</v>
      </c>
      <c r="I1946" s="5" t="s">
        <v>17566</v>
      </c>
      <c r="J1946" s="7">
        <v>6</v>
      </c>
      <c r="K1946" s="7" t="s">
        <v>17567</v>
      </c>
      <c r="L1946" s="5" t="s">
        <v>17568</v>
      </c>
      <c r="M1946" s="7" t="s">
        <v>17569</v>
      </c>
      <c r="N1946" s="7" t="s">
        <v>17570</v>
      </c>
      <c r="O1946" s="7">
        <v>0.57499999999999996</v>
      </c>
      <c r="P1946" s="1" t="s">
        <v>17571</v>
      </c>
    </row>
    <row r="1947" spans="1:16" ht="33.4" x14ac:dyDescent="0.3">
      <c r="A1947" s="6" t="str">
        <f>HYPERLINK("https://www.ti.com/product/CSD17581Q5A", "CSD17581Q5A")</f>
        <v>CSD17581Q5A</v>
      </c>
      <c r="B1947" s="5" t="s">
        <v>17572</v>
      </c>
      <c r="C1947" s="6" t="str">
        <f>HYPERLINK("https://www.ti.com/lit/gpn/CSD17581Q5A", "PDF")</f>
        <v>PDF</v>
      </c>
      <c r="D1947" s="5" t="s">
        <v>17573</v>
      </c>
      <c r="E1947" s="5" t="s">
        <v>17574</v>
      </c>
      <c r="F1947" s="5"/>
      <c r="G1947" s="5" t="s">
        <v>17575</v>
      </c>
      <c r="H1947" s="1" t="s">
        <v>17576</v>
      </c>
      <c r="I1947" s="5" t="s">
        <v>17577</v>
      </c>
      <c r="J1947" s="7">
        <v>8</v>
      </c>
      <c r="K1947" s="7">
        <v>29.4</v>
      </c>
      <c r="L1947" s="5" t="s">
        <v>17578</v>
      </c>
      <c r="M1947" s="7">
        <v>1.1000000000000001</v>
      </c>
      <c r="N1947" s="7">
        <v>1.27</v>
      </c>
      <c r="O1947" s="7">
        <v>0.19900000000000001</v>
      </c>
      <c r="P1947" s="1" t="s">
        <v>17579</v>
      </c>
    </row>
    <row r="1948" spans="1:16" ht="33.4" x14ac:dyDescent="0.3">
      <c r="A1948" s="6" t="str">
        <f>HYPERLINK("https://www.ti.com/product/LM5161", "LM5161")</f>
        <v>LM5161</v>
      </c>
      <c r="B1948" s="5" t="s">
        <v>17580</v>
      </c>
      <c r="C1948" s="6" t="str">
        <f>HYPERLINK("https://www.ti.com/lit/gpn/LM5161", "PDF")</f>
        <v>PDF</v>
      </c>
      <c r="D1948" s="5" t="s">
        <v>17581</v>
      </c>
      <c r="E1948" s="5" t="s">
        <v>17582</v>
      </c>
      <c r="F1948" s="5" t="s">
        <v>17583</v>
      </c>
      <c r="G1948" s="5" t="s">
        <v>17584</v>
      </c>
      <c r="H1948" s="1" t="s">
        <v>17585</v>
      </c>
      <c r="I1948" s="5" t="s">
        <v>17586</v>
      </c>
      <c r="J1948" s="7">
        <v>14</v>
      </c>
      <c r="K1948" s="7">
        <v>32</v>
      </c>
      <c r="L1948" s="5" t="s">
        <v>17587</v>
      </c>
      <c r="M1948" s="7">
        <v>1.2</v>
      </c>
      <c r="N1948" s="7">
        <v>0.65</v>
      </c>
      <c r="O1948" s="7">
        <v>2.0030000000000001</v>
      </c>
      <c r="P1948" s="1" t="s">
        <v>17588</v>
      </c>
    </row>
    <row r="1949" spans="1:16" ht="33.4" x14ac:dyDescent="0.3">
      <c r="A1949" s="6" t="str">
        <f>HYPERLINK("https://www.ti.com/product/LM5161-Q1", "LM5161-Q1")</f>
        <v>LM5161-Q1</v>
      </c>
      <c r="B1949" s="5" t="s">
        <v>17589</v>
      </c>
      <c r="C1949" s="6" t="str">
        <f>HYPERLINK("https://www.ti.com/lit/gpn/LM5161-Q1", "PDF")</f>
        <v>PDF</v>
      </c>
      <c r="D1949" s="5" t="s">
        <v>17590</v>
      </c>
      <c r="E1949" s="5" t="s">
        <v>17591</v>
      </c>
      <c r="F1949" s="5" t="s">
        <v>17592</v>
      </c>
      <c r="G1949" s="5" t="s">
        <v>17593</v>
      </c>
      <c r="H1949" s="1" t="s">
        <v>17594</v>
      </c>
      <c r="I1949" s="5" t="s">
        <v>17595</v>
      </c>
      <c r="J1949" s="7">
        <v>14</v>
      </c>
      <c r="K1949" s="7">
        <v>32</v>
      </c>
      <c r="L1949" s="5" t="s">
        <v>17596</v>
      </c>
      <c r="M1949" s="7">
        <v>1.2</v>
      </c>
      <c r="N1949" s="7">
        <v>0.65</v>
      </c>
      <c r="O1949" s="7">
        <v>2.3639999999999999</v>
      </c>
      <c r="P1949" s="1" t="s">
        <v>17597</v>
      </c>
    </row>
    <row r="1950" spans="1:16" ht="33.4" x14ac:dyDescent="0.3">
      <c r="A1950" s="6" t="str">
        <f>HYPERLINK("https://www.ti.com/product/TPS2660", "TPS2660")</f>
        <v>TPS2660</v>
      </c>
      <c r="B1950" s="5" t="s">
        <v>17598</v>
      </c>
      <c r="C1950" s="6" t="str">
        <f>HYPERLINK("https://www.ti.com/lit/gpn/TPS2660", "PDF")</f>
        <v>PDF</v>
      </c>
      <c r="D1950" s="5" t="s">
        <v>17599</v>
      </c>
      <c r="E1950" s="5" t="s">
        <v>17600</v>
      </c>
      <c r="F1950" s="5"/>
      <c r="G1950" s="5" t="s">
        <v>17601</v>
      </c>
      <c r="H1950" s="1" t="s">
        <v>17602</v>
      </c>
      <c r="I1950" s="5" t="s">
        <v>17603</v>
      </c>
      <c r="J1950" s="7" t="s">
        <v>17604</v>
      </c>
      <c r="K1950" s="7" t="s">
        <v>17605</v>
      </c>
      <c r="L1950" s="5" t="s">
        <v>17606</v>
      </c>
      <c r="M1950" s="7" t="s">
        <v>17607</v>
      </c>
      <c r="N1950" s="7" t="s">
        <v>17608</v>
      </c>
      <c r="O1950" s="7">
        <v>1.323</v>
      </c>
      <c r="P1950" s="1" t="s">
        <v>17609</v>
      </c>
    </row>
    <row r="1951" spans="1:16" ht="33.4" x14ac:dyDescent="0.3">
      <c r="A1951" s="6" t="str">
        <f>HYPERLINK("https://www.ti.com/product/TPS546C20A", "TPS546C20A")</f>
        <v>TPS546C20A</v>
      </c>
      <c r="B1951" s="5" t="s">
        <v>17610</v>
      </c>
      <c r="C1951" s="6" t="str">
        <f>HYPERLINK("https://www.ti.com/lit/gpn/TPS546C20A", "PDF")</f>
        <v>PDF</v>
      </c>
      <c r="D1951" s="5" t="s">
        <v>17611</v>
      </c>
      <c r="E1951" s="5" t="s">
        <v>17612</v>
      </c>
      <c r="F1951" s="5" t="s">
        <v>17613</v>
      </c>
      <c r="G1951" s="5" t="s">
        <v>17614</v>
      </c>
      <c r="H1951" s="1" t="s">
        <v>17615</v>
      </c>
      <c r="I1951" s="5" t="s">
        <v>17616</v>
      </c>
      <c r="J1951" s="7">
        <v>40</v>
      </c>
      <c r="K1951" s="7">
        <v>35</v>
      </c>
      <c r="L1951" s="5" t="s">
        <v>17617</v>
      </c>
      <c r="M1951" s="7">
        <v>1.52</v>
      </c>
      <c r="N1951" s="7">
        <v>0.5</v>
      </c>
      <c r="O1951" s="7">
        <v>5.1870000000000003</v>
      </c>
      <c r="P1951" s="1" t="s">
        <v>17618</v>
      </c>
    </row>
    <row r="1952" spans="1:16" ht="33.4" x14ac:dyDescent="0.3">
      <c r="A1952" s="6" t="str">
        <f>HYPERLINK("https://www.ti.com/product/TPS548D21", "TPS548D21")</f>
        <v>TPS548D21</v>
      </c>
      <c r="B1952" s="5" t="s">
        <v>17619</v>
      </c>
      <c r="C1952" s="6" t="str">
        <f>HYPERLINK("https://www.ti.com/lit/gpn/TPS548D21", "PDF")</f>
        <v>PDF</v>
      </c>
      <c r="D1952" s="5" t="s">
        <v>17620</v>
      </c>
      <c r="E1952" s="5" t="s">
        <v>17621</v>
      </c>
      <c r="F1952" s="5" t="s">
        <v>17622</v>
      </c>
      <c r="G1952" s="5" t="s">
        <v>17623</v>
      </c>
      <c r="H1952" s="1" t="s">
        <v>17624</v>
      </c>
      <c r="I1952" s="5" t="s">
        <v>17625</v>
      </c>
      <c r="J1952" s="7">
        <v>40</v>
      </c>
      <c r="K1952" s="7">
        <v>35</v>
      </c>
      <c r="L1952" s="5" t="s">
        <v>17626</v>
      </c>
      <c r="M1952" s="7">
        <v>1.52</v>
      </c>
      <c r="N1952" s="7">
        <v>0.5</v>
      </c>
      <c r="O1952" s="7">
        <v>4.2089999999999996</v>
      </c>
      <c r="P1952" s="1" t="s">
        <v>17627</v>
      </c>
    </row>
    <row r="1953" spans="1:16" ht="33.4" x14ac:dyDescent="0.3">
      <c r="A1953" s="6" t="str">
        <f>HYPERLINK("https://www.ti.com/product/TPS549D22", "TPS549D22")</f>
        <v>TPS549D22</v>
      </c>
      <c r="B1953" s="5" t="s">
        <v>17628</v>
      </c>
      <c r="C1953" s="6" t="str">
        <f>HYPERLINK("https://www.ti.com/lit/gpn/TPS549D22", "PDF")</f>
        <v>PDF</v>
      </c>
      <c r="D1953" s="5" t="s">
        <v>17629</v>
      </c>
      <c r="E1953" s="5" t="s">
        <v>17630</v>
      </c>
      <c r="F1953" s="5" t="s">
        <v>17631</v>
      </c>
      <c r="G1953" s="5" t="s">
        <v>17632</v>
      </c>
      <c r="H1953" s="1" t="s">
        <v>17633</v>
      </c>
      <c r="I1953" s="5" t="s">
        <v>17634</v>
      </c>
      <c r="J1953" s="7">
        <v>40</v>
      </c>
      <c r="K1953" s="7">
        <v>35</v>
      </c>
      <c r="L1953" s="5" t="s">
        <v>17635</v>
      </c>
      <c r="M1953" s="7">
        <v>1.52</v>
      </c>
      <c r="N1953" s="7">
        <v>0.5</v>
      </c>
      <c r="O1953" s="7">
        <v>5.0880000000000001</v>
      </c>
      <c r="P1953" s="1" t="s">
        <v>17636</v>
      </c>
    </row>
    <row r="1954" spans="1:16" ht="33.4" x14ac:dyDescent="0.3">
      <c r="A1954" s="6" t="str">
        <f>HYPERLINK("https://www.ti.com/product/CSD23285F5", "CSD23285F5")</f>
        <v>CSD23285F5</v>
      </c>
      <c r="B1954" s="5" t="s">
        <v>17637</v>
      </c>
      <c r="C1954" s="6" t="str">
        <f>HYPERLINK("https://www.ti.com/lit/gpn/CSD23285F5", "PDF")</f>
        <v>PDF</v>
      </c>
      <c r="D1954" s="5" t="s">
        <v>17638</v>
      </c>
      <c r="E1954" s="5" t="s">
        <v>17639</v>
      </c>
      <c r="F1954" s="5"/>
      <c r="G1954" s="5" t="s">
        <v>17640</v>
      </c>
      <c r="H1954" s="1" t="s">
        <v>17641</v>
      </c>
      <c r="I1954" s="5" t="s">
        <v>17642</v>
      </c>
      <c r="J1954" s="7">
        <v>3</v>
      </c>
      <c r="K1954" s="7">
        <v>1.0876999999999999</v>
      </c>
      <c r="L1954" s="5" t="s">
        <v>17643</v>
      </c>
      <c r="M1954" s="7">
        <v>0.36</v>
      </c>
      <c r="N1954" s="7">
        <v>0.5</v>
      </c>
      <c r="O1954" s="7">
        <v>7.4999999999999997E-2</v>
      </c>
      <c r="P1954" s="1" t="s">
        <v>17644</v>
      </c>
    </row>
    <row r="1955" spans="1:16" ht="33.4" x14ac:dyDescent="0.3">
      <c r="A1955" s="6" t="str">
        <f>HYPERLINK("https://www.ti.com/product/TPS61230A", "TPS61230A")</f>
        <v>TPS61230A</v>
      </c>
      <c r="B1955" s="5" t="s">
        <v>17645</v>
      </c>
      <c r="C1955" s="6" t="str">
        <f>HYPERLINK("https://www.ti.com/lit/gpn/TPS61230A", "PDF")</f>
        <v>PDF</v>
      </c>
      <c r="D1955" s="5" t="s">
        <v>17646</v>
      </c>
      <c r="E1955" s="5" t="s">
        <v>17647</v>
      </c>
      <c r="F1955" s="5" t="s">
        <v>17648</v>
      </c>
      <c r="G1955" s="5" t="s">
        <v>17649</v>
      </c>
      <c r="H1955" s="1" t="s">
        <v>17650</v>
      </c>
      <c r="I1955" s="5" t="s">
        <v>17651</v>
      </c>
      <c r="J1955" s="7">
        <v>7</v>
      </c>
      <c r="K1955" s="7">
        <v>4</v>
      </c>
      <c r="L1955" s="5" t="s">
        <v>17652</v>
      </c>
      <c r="M1955" s="7">
        <v>1</v>
      </c>
      <c r="N1955" s="7">
        <v>0.5</v>
      </c>
      <c r="O1955" s="7">
        <v>0.75700000000000001</v>
      </c>
      <c r="P1955" s="1" t="s">
        <v>17653</v>
      </c>
    </row>
    <row r="1956" spans="1:16" ht="33.4" x14ac:dyDescent="0.3">
      <c r="A1956" s="6" t="str">
        <f>HYPERLINK("https://www.ti.com/product/TPS2H160-Q1", "TPS2H160-Q1")</f>
        <v>TPS2H160-Q1</v>
      </c>
      <c r="B1956" s="5" t="s">
        <v>17654</v>
      </c>
      <c r="C1956" s="6" t="str">
        <f>HYPERLINK("https://www.ti.com/lit/gpn/TPS2H160-Q1", "PDF")</f>
        <v>PDF</v>
      </c>
      <c r="D1956" s="5" t="s">
        <v>17655</v>
      </c>
      <c r="E1956" s="5" t="s">
        <v>17656</v>
      </c>
      <c r="F1956" s="5"/>
      <c r="G1956" s="5" t="s">
        <v>17657</v>
      </c>
      <c r="H1956" s="1" t="s">
        <v>17658</v>
      </c>
      <c r="I1956" s="5" t="s">
        <v>17659</v>
      </c>
      <c r="J1956" s="7">
        <v>16</v>
      </c>
      <c r="K1956" s="7">
        <v>32</v>
      </c>
      <c r="L1956" s="5" t="s">
        <v>17660</v>
      </c>
      <c r="M1956" s="7">
        <v>1.2</v>
      </c>
      <c r="N1956" s="7">
        <v>0.65</v>
      </c>
      <c r="O1956" s="7">
        <v>0.70099999999999996</v>
      </c>
      <c r="P1956" s="1" t="s">
        <v>17661</v>
      </c>
    </row>
    <row r="1957" spans="1:16" ht="33.4" x14ac:dyDescent="0.3">
      <c r="A1957" s="6" t="str">
        <f>HYPERLINK("https://www.ti.com/product/TLV733P-Q1", "TLV733P-Q1")</f>
        <v>TLV733P-Q1</v>
      </c>
      <c r="B1957" s="5" t="s">
        <v>17662</v>
      </c>
      <c r="C1957" s="6" t="str">
        <f>HYPERLINK("https://www.ti.com/lit/gpn/TLV733P-Q1", "PDF")</f>
        <v>PDF</v>
      </c>
      <c r="D1957" s="5" t="s">
        <v>17663</v>
      </c>
      <c r="E1957" s="5" t="s">
        <v>17664</v>
      </c>
      <c r="F1957" s="5"/>
      <c r="G1957" s="5" t="s">
        <v>17665</v>
      </c>
      <c r="H1957" s="1" t="s">
        <v>17666</v>
      </c>
      <c r="I1957" s="5" t="s">
        <v>17667</v>
      </c>
      <c r="J1957" s="7" t="s">
        <v>17668</v>
      </c>
      <c r="K1957" s="7" t="s">
        <v>17669</v>
      </c>
      <c r="L1957" s="5" t="s">
        <v>17670</v>
      </c>
      <c r="M1957" s="7" t="s">
        <v>17671</v>
      </c>
      <c r="N1957" s="7" t="s">
        <v>17672</v>
      </c>
      <c r="O1957" s="7">
        <v>0.13600000000000001</v>
      </c>
      <c r="P1957" s="1" t="s">
        <v>17673</v>
      </c>
    </row>
    <row r="1958" spans="1:16" ht="33.4" x14ac:dyDescent="0.3">
      <c r="A1958" s="6" t="str">
        <f>HYPERLINK("https://www.ti.com/product/TUSB1046-DCI", "TUSB1046-DCI")</f>
        <v>TUSB1046-DCI</v>
      </c>
      <c r="B1958" s="5" t="s">
        <v>17674</v>
      </c>
      <c r="C1958" s="6" t="str">
        <f>HYPERLINK("https://www.ti.com/lit/gpn/TUSB1046-DCI", "PDF")</f>
        <v>PDF</v>
      </c>
      <c r="D1958" s="5" t="s">
        <v>17675</v>
      </c>
      <c r="E1958" s="5" t="s">
        <v>17676</v>
      </c>
      <c r="F1958" s="5"/>
      <c r="G1958" s="5" t="s">
        <v>17677</v>
      </c>
      <c r="H1958" s="1" t="s">
        <v>17678</v>
      </c>
      <c r="I1958" s="5" t="s">
        <v>17679</v>
      </c>
      <c r="J1958" s="7">
        <v>40</v>
      </c>
      <c r="K1958" s="7">
        <v>24</v>
      </c>
      <c r="L1958" s="5" t="s">
        <v>17680</v>
      </c>
      <c r="M1958" s="7">
        <v>0.8</v>
      </c>
      <c r="N1958" s="7">
        <v>0.4</v>
      </c>
      <c r="O1958" s="7">
        <v>2.988</v>
      </c>
      <c r="P1958" s="1" t="s">
        <v>17681</v>
      </c>
    </row>
    <row r="1959" spans="1:16" ht="33.4" x14ac:dyDescent="0.3">
      <c r="A1959" s="6" t="str">
        <f>HYPERLINK("https://www.ti.com/product/TPS92515", "TPS92515")</f>
        <v>TPS92515</v>
      </c>
      <c r="B1959" s="5" t="s">
        <v>17682</v>
      </c>
      <c r="C1959" s="6" t="str">
        <f>HYPERLINK("https://www.ti.com/lit/gpn/TPS92515", "PDF")</f>
        <v>PDF</v>
      </c>
      <c r="D1959" s="5" t="s">
        <v>17683</v>
      </c>
      <c r="E1959" s="5" t="s">
        <v>17684</v>
      </c>
      <c r="F1959" s="5" t="s">
        <v>17685</v>
      </c>
      <c r="G1959" s="5" t="s">
        <v>17686</v>
      </c>
      <c r="H1959" s="1" t="s">
        <v>17687</v>
      </c>
      <c r="I1959" s="5" t="s">
        <v>17688</v>
      </c>
      <c r="J1959" s="7">
        <v>10</v>
      </c>
      <c r="K1959" s="7">
        <v>14.7</v>
      </c>
      <c r="L1959" s="5" t="s">
        <v>17689</v>
      </c>
      <c r="M1959" s="7">
        <v>1.1000000000000001</v>
      </c>
      <c r="N1959" s="7">
        <v>0.5</v>
      </c>
      <c r="O1959" s="7">
        <v>0.80700000000000005</v>
      </c>
      <c r="P1959" s="1" t="s">
        <v>17690</v>
      </c>
    </row>
    <row r="1960" spans="1:16" ht="33.4" x14ac:dyDescent="0.3">
      <c r="A1960" s="6" t="str">
        <f>HYPERLINK("https://www.ti.com/product/TPS92515-Q1", "TPS92515-Q1")</f>
        <v>TPS92515-Q1</v>
      </c>
      <c r="B1960" s="5" t="s">
        <v>17691</v>
      </c>
      <c r="C1960" s="6" t="str">
        <f>HYPERLINK("https://www.ti.com/lit/gpn/TPS92515-Q1", "PDF")</f>
        <v>PDF</v>
      </c>
      <c r="D1960" s="5" t="s">
        <v>17692</v>
      </c>
      <c r="E1960" s="5" t="s">
        <v>17693</v>
      </c>
      <c r="F1960" s="5" t="s">
        <v>17694</v>
      </c>
      <c r="G1960" s="5" t="s">
        <v>17695</v>
      </c>
      <c r="H1960" s="1" t="s">
        <v>17696</v>
      </c>
      <c r="I1960" s="5" t="s">
        <v>17697</v>
      </c>
      <c r="J1960" s="7">
        <v>10</v>
      </c>
      <c r="K1960" s="7">
        <v>14.7</v>
      </c>
      <c r="L1960" s="5" t="s">
        <v>17698</v>
      </c>
      <c r="M1960" s="7">
        <v>1.1000000000000001</v>
      </c>
      <c r="N1960" s="7">
        <v>0.5</v>
      </c>
      <c r="O1960" s="7">
        <v>0.91500000000000004</v>
      </c>
      <c r="P1960" s="1" t="s">
        <v>17699</v>
      </c>
    </row>
    <row r="1961" spans="1:16" ht="33.4" x14ac:dyDescent="0.3">
      <c r="A1961" s="6" t="str">
        <f>HYPERLINK("https://www.ti.com/product/TPS92515HV", "TPS92515HV")</f>
        <v>TPS92515HV</v>
      </c>
      <c r="B1961" s="5" t="s">
        <v>17700</v>
      </c>
      <c r="C1961" s="6" t="str">
        <f>HYPERLINK("https://www.ti.com/lit/gpn/TPS92515HV", "PDF")</f>
        <v>PDF</v>
      </c>
      <c r="D1961" s="5" t="s">
        <v>17701</v>
      </c>
      <c r="E1961" s="5" t="s">
        <v>17702</v>
      </c>
      <c r="F1961" s="5" t="s">
        <v>17703</v>
      </c>
      <c r="G1961" s="5" t="s">
        <v>17704</v>
      </c>
      <c r="H1961" s="1" t="s">
        <v>17705</v>
      </c>
      <c r="I1961" s="5" t="s">
        <v>17706</v>
      </c>
      <c r="J1961" s="7">
        <v>10</v>
      </c>
      <c r="K1961" s="7">
        <v>14.7</v>
      </c>
      <c r="L1961" s="5" t="s">
        <v>17707</v>
      </c>
      <c r="M1961" s="7">
        <v>1.1000000000000001</v>
      </c>
      <c r="N1961" s="7">
        <v>0.5</v>
      </c>
      <c r="O1961" s="7">
        <v>0.91500000000000004</v>
      </c>
      <c r="P1961" s="1" t="s">
        <v>17708</v>
      </c>
    </row>
    <row r="1962" spans="1:16" ht="33.4" x14ac:dyDescent="0.3">
      <c r="A1962" s="6" t="str">
        <f>HYPERLINK("https://www.ti.com/product/TPS92515HV-Q1", "TPS92515HV-Q1")</f>
        <v>TPS92515HV-Q1</v>
      </c>
      <c r="B1962" s="5" t="s">
        <v>17709</v>
      </c>
      <c r="C1962" s="6" t="str">
        <f>HYPERLINK("https://www.ti.com/lit/gpn/TPS92515HV-Q1", "PDF")</f>
        <v>PDF</v>
      </c>
      <c r="D1962" s="5" t="s">
        <v>17710</v>
      </c>
      <c r="E1962" s="5" t="s">
        <v>17711</v>
      </c>
      <c r="F1962" s="5" t="s">
        <v>17712</v>
      </c>
      <c r="G1962" s="5" t="s">
        <v>17713</v>
      </c>
      <c r="H1962" s="1" t="s">
        <v>17714</v>
      </c>
      <c r="I1962" s="5" t="s">
        <v>17715</v>
      </c>
      <c r="J1962" s="7">
        <v>10</v>
      </c>
      <c r="K1962" s="7">
        <v>14.7</v>
      </c>
      <c r="L1962" s="5" t="s">
        <v>17716</v>
      </c>
      <c r="M1962" s="7">
        <v>1.1000000000000001</v>
      </c>
      <c r="N1962" s="7">
        <v>0.5</v>
      </c>
      <c r="O1962" s="7">
        <v>1.0069999999999999</v>
      </c>
      <c r="P1962" s="1" t="s">
        <v>17717</v>
      </c>
    </row>
    <row r="1963" spans="1:16" ht="33.4" x14ac:dyDescent="0.3">
      <c r="A1963" s="6" t="str">
        <f>HYPERLINK("https://www.ti.com/product/CSD25485F5", "CSD25485F5")</f>
        <v>CSD25485F5</v>
      </c>
      <c r="B1963" s="5" t="s">
        <v>17718</v>
      </c>
      <c r="C1963" s="6" t="str">
        <f>HYPERLINK("https://www.ti.com/lit/gpn/CSD25485F5", "PDF")</f>
        <v>PDF</v>
      </c>
      <c r="D1963" s="5" t="s">
        <v>17719</v>
      </c>
      <c r="E1963" s="5" t="s">
        <v>17720</v>
      </c>
      <c r="F1963" s="5"/>
      <c r="G1963" s="5" t="s">
        <v>17721</v>
      </c>
      <c r="H1963" s="1" t="s">
        <v>17722</v>
      </c>
      <c r="I1963" s="5" t="s">
        <v>17723</v>
      </c>
      <c r="J1963" s="7">
        <v>3</v>
      </c>
      <c r="K1963" s="7">
        <v>1.0876999999999999</v>
      </c>
      <c r="L1963" s="5" t="s">
        <v>17724</v>
      </c>
      <c r="M1963" s="7">
        <v>0.36</v>
      </c>
      <c r="N1963" s="7">
        <v>0.5</v>
      </c>
      <c r="O1963" s="7">
        <v>7.4999999999999997E-2</v>
      </c>
      <c r="P1963" s="1" t="s">
        <v>17725</v>
      </c>
    </row>
    <row r="1964" spans="1:16" ht="33.4" x14ac:dyDescent="0.3">
      <c r="A1964" s="6" t="str">
        <f>HYPERLINK("https://www.ti.com/product/TPS54116-Q1", "TPS54116-Q1")</f>
        <v>TPS54116-Q1</v>
      </c>
      <c r="B1964" s="5" t="s">
        <v>17726</v>
      </c>
      <c r="C1964" s="6" t="str">
        <f>HYPERLINK("https://www.ti.com/lit/gpn/TPS54116-Q1", "PDF")</f>
        <v>PDF</v>
      </c>
      <c r="D1964" s="5" t="s">
        <v>17727</v>
      </c>
      <c r="E1964" s="5" t="s">
        <v>17728</v>
      </c>
      <c r="F1964" s="5"/>
      <c r="G1964" s="5" t="s">
        <v>17729</v>
      </c>
      <c r="H1964" s="1" t="s">
        <v>17730</v>
      </c>
      <c r="I1964" s="5" t="s">
        <v>17731</v>
      </c>
      <c r="J1964" s="7">
        <v>24</v>
      </c>
      <c r="K1964" s="7">
        <v>16</v>
      </c>
      <c r="L1964" s="5" t="s">
        <v>17732</v>
      </c>
      <c r="M1964" s="7">
        <v>0.8</v>
      </c>
      <c r="N1964" s="7">
        <v>0.5</v>
      </c>
      <c r="O1964" s="7">
        <v>2.5299999999999998</v>
      </c>
      <c r="P1964" s="1" t="s">
        <v>17733</v>
      </c>
    </row>
    <row r="1965" spans="1:16" ht="33.4" x14ac:dyDescent="0.3">
      <c r="A1965" s="6" t="str">
        <f>HYPERLINK("https://www.ti.com/product/TPS63070", "TPS63070")</f>
        <v>TPS63070</v>
      </c>
      <c r="B1965" s="5" t="s">
        <v>17734</v>
      </c>
      <c r="C1965" s="6" t="str">
        <f>HYPERLINK("https://www.ti.com/lit/gpn/TPS63070", "PDF")</f>
        <v>PDF</v>
      </c>
      <c r="D1965" s="5" t="s">
        <v>17735</v>
      </c>
      <c r="E1965" s="5" t="s">
        <v>17736</v>
      </c>
      <c r="F1965" s="5" t="s">
        <v>17737</v>
      </c>
      <c r="G1965" s="5" t="s">
        <v>17738</v>
      </c>
      <c r="H1965" s="1" t="s">
        <v>17739</v>
      </c>
      <c r="I1965" s="5" t="s">
        <v>17740</v>
      </c>
      <c r="J1965" s="7">
        <v>15</v>
      </c>
      <c r="K1965" s="7">
        <v>7.5</v>
      </c>
      <c r="L1965" s="5" t="s">
        <v>17741</v>
      </c>
      <c r="M1965" s="7">
        <v>1</v>
      </c>
      <c r="N1965" s="7">
        <v>0.5</v>
      </c>
      <c r="O1965" s="7">
        <v>1.1579999999999999</v>
      </c>
      <c r="P1965" s="1" t="s">
        <v>17742</v>
      </c>
    </row>
    <row r="1966" spans="1:16" ht="33.4" x14ac:dyDescent="0.3">
      <c r="A1966" s="6" t="str">
        <f>HYPERLINK("https://www.ti.com/product/TUSB546-DCI", "TUSB546-DCI")</f>
        <v>TUSB546-DCI</v>
      </c>
      <c r="B1966" s="5" t="s">
        <v>17743</v>
      </c>
      <c r="C1966" s="6" t="str">
        <f>HYPERLINK("https://www.ti.com/lit/gpn/TUSB546-DCI", "PDF")</f>
        <v>PDF</v>
      </c>
      <c r="D1966" s="5" t="s">
        <v>17744</v>
      </c>
      <c r="E1966" s="5" t="s">
        <v>17745</v>
      </c>
      <c r="F1966" s="5"/>
      <c r="G1966" s="5" t="s">
        <v>17746</v>
      </c>
      <c r="H1966" s="1" t="s">
        <v>17747</v>
      </c>
      <c r="I1966" s="5" t="s">
        <v>17748</v>
      </c>
      <c r="J1966" s="7">
        <v>40</v>
      </c>
      <c r="K1966" s="7">
        <v>24</v>
      </c>
      <c r="L1966" s="5" t="s">
        <v>17749</v>
      </c>
      <c r="M1966" s="7">
        <v>0.8</v>
      </c>
      <c r="N1966" s="7">
        <v>0.4</v>
      </c>
      <c r="O1966" s="7">
        <v>2.21</v>
      </c>
      <c r="P1966" s="1" t="s">
        <v>17750</v>
      </c>
    </row>
    <row r="1967" spans="1:16" ht="33.4" x14ac:dyDescent="0.3">
      <c r="A1967" s="6" t="str">
        <f>HYPERLINK("https://www.ti.com/product/TPS54335-2A", "TPS54335-2A")</f>
        <v>TPS54335-2A</v>
      </c>
      <c r="B1967" s="5" t="s">
        <v>17751</v>
      </c>
      <c r="C1967" s="6" t="str">
        <f>HYPERLINK("https://www.ti.com/lit/gpn/TPS54335-2A", "PDF")</f>
        <v>PDF</v>
      </c>
      <c r="D1967" s="5" t="s">
        <v>17752</v>
      </c>
      <c r="E1967" s="5" t="s">
        <v>17753</v>
      </c>
      <c r="F1967" s="5" t="s">
        <v>17754</v>
      </c>
      <c r="G1967" s="5" t="s">
        <v>17755</v>
      </c>
      <c r="H1967" s="1" t="s">
        <v>17756</v>
      </c>
      <c r="I1967" s="5" t="s">
        <v>17757</v>
      </c>
      <c r="J1967" s="7">
        <v>10</v>
      </c>
      <c r="K1967" s="7">
        <v>9</v>
      </c>
      <c r="L1967" s="5" t="s">
        <v>17758</v>
      </c>
      <c r="M1967" s="7">
        <v>1</v>
      </c>
      <c r="N1967" s="7">
        <v>0.5</v>
      </c>
      <c r="O1967" s="7">
        <v>0.76300000000000001</v>
      </c>
      <c r="P1967" s="1" t="s">
        <v>17759</v>
      </c>
    </row>
    <row r="1968" spans="1:16" ht="33.4" x14ac:dyDescent="0.3">
      <c r="A1968" s="6" t="str">
        <f>HYPERLINK("https://www.ti.com/product/TPS7A87", "TPS7A87")</f>
        <v>TPS7A87</v>
      </c>
      <c r="B1968" s="5" t="s">
        <v>17760</v>
      </c>
      <c r="C1968" s="6" t="str">
        <f>HYPERLINK("https://www.ti.com/lit/gpn/TPS7A87", "PDF")</f>
        <v>PDF</v>
      </c>
      <c r="D1968" s="5" t="s">
        <v>17761</v>
      </c>
      <c r="E1968" s="5" t="s">
        <v>17762</v>
      </c>
      <c r="F1968" s="5"/>
      <c r="G1968" s="5" t="s">
        <v>17763</v>
      </c>
      <c r="H1968" s="1" t="s">
        <v>17764</v>
      </c>
      <c r="I1968" s="5" t="s">
        <v>17765</v>
      </c>
      <c r="J1968" s="7">
        <v>20</v>
      </c>
      <c r="K1968" s="7">
        <v>16</v>
      </c>
      <c r="L1968" s="5" t="s">
        <v>17766</v>
      </c>
      <c r="M1968" s="7">
        <v>0.8</v>
      </c>
      <c r="N1968" s="7">
        <v>0.5</v>
      </c>
      <c r="O1968" s="7">
        <v>0.78700000000000003</v>
      </c>
      <c r="P1968" s="1" t="s">
        <v>17767</v>
      </c>
    </row>
    <row r="1969" spans="1:16" ht="33.4" x14ac:dyDescent="0.3">
      <c r="A1969" s="6" t="str">
        <f>HYPERLINK("https://www.ti.com/product/TPS7A89", "TPS7A89")</f>
        <v>TPS7A89</v>
      </c>
      <c r="B1969" s="5" t="s">
        <v>17768</v>
      </c>
      <c r="C1969" s="6" t="str">
        <f>HYPERLINK("https://www.ti.com/lit/gpn/TPS7A89", "PDF")</f>
        <v>PDF</v>
      </c>
      <c r="D1969" s="5" t="s">
        <v>17769</v>
      </c>
      <c r="E1969" s="5" t="s">
        <v>17770</v>
      </c>
      <c r="F1969" s="5"/>
      <c r="G1969" s="5" t="s">
        <v>17771</v>
      </c>
      <c r="H1969" s="1" t="s">
        <v>17772</v>
      </c>
      <c r="I1969" s="5" t="s">
        <v>17773</v>
      </c>
      <c r="J1969" s="7">
        <v>20</v>
      </c>
      <c r="K1969" s="7">
        <v>16</v>
      </c>
      <c r="L1969" s="5" t="s">
        <v>17774</v>
      </c>
      <c r="M1969" s="7">
        <v>0.8</v>
      </c>
      <c r="N1969" s="7">
        <v>0.5</v>
      </c>
      <c r="O1969" s="7">
        <v>1.61</v>
      </c>
      <c r="P1969" s="1" t="s">
        <v>17775</v>
      </c>
    </row>
    <row r="1970" spans="1:16" ht="33.4" x14ac:dyDescent="0.3">
      <c r="A1970" s="6" t="str">
        <f>HYPERLINK("https://www.ti.com/product/UCD3138128A", "UCD3138128A")</f>
        <v>UCD3138128A</v>
      </c>
      <c r="B1970" s="5" t="s">
        <v>17776</v>
      </c>
      <c r="C1970" s="6" t="str">
        <f>HYPERLINK("https://www.ti.com/lit/gpn/UCD3138128A", "PDF")</f>
        <v>PDF</v>
      </c>
      <c r="D1970" s="5" t="s">
        <v>17777</v>
      </c>
      <c r="E1970" s="5" t="s">
        <v>17778</v>
      </c>
      <c r="F1970" s="5"/>
      <c r="G1970" s="5" t="s">
        <v>17779</v>
      </c>
      <c r="H1970" s="1" t="s">
        <v>17780</v>
      </c>
      <c r="I1970" s="5" t="s">
        <v>17781</v>
      </c>
      <c r="J1970" s="7">
        <v>80</v>
      </c>
      <c r="K1970" s="7">
        <v>196</v>
      </c>
      <c r="L1970" s="5" t="s">
        <v>17782</v>
      </c>
      <c r="M1970" s="7">
        <v>1.2</v>
      </c>
      <c r="N1970" s="7">
        <v>0.5</v>
      </c>
      <c r="O1970" s="7">
        <v>12.455</v>
      </c>
      <c r="P1970" s="1" t="s">
        <v>17783</v>
      </c>
    </row>
    <row r="1971" spans="1:16" ht="33.4" x14ac:dyDescent="0.3">
      <c r="A1971" s="6" t="str">
        <f>HYPERLINK("https://www.ti.com/product/TPS54388C-Q1", "TPS54388C-Q1")</f>
        <v>TPS54388C-Q1</v>
      </c>
      <c r="B1971" s="5" t="s">
        <v>17784</v>
      </c>
      <c r="C1971" s="6" t="str">
        <f>HYPERLINK("https://www.ti.com/lit/gpn/TPS54388C-Q1", "PDF")</f>
        <v>PDF</v>
      </c>
      <c r="D1971" s="5" t="s">
        <v>17785</v>
      </c>
      <c r="E1971" s="5" t="s">
        <v>17786</v>
      </c>
      <c r="F1971" s="5" t="s">
        <v>17787</v>
      </c>
      <c r="G1971" s="5" t="s">
        <v>17788</v>
      </c>
      <c r="H1971" s="1" t="s">
        <v>17789</v>
      </c>
      <c r="I1971" s="5" t="s">
        <v>17790</v>
      </c>
      <c r="J1971" s="7">
        <v>16</v>
      </c>
      <c r="K1971" s="7">
        <v>9</v>
      </c>
      <c r="L1971" s="5" t="s">
        <v>17791</v>
      </c>
      <c r="M1971" s="7">
        <v>0.8</v>
      </c>
      <c r="N1971" s="7">
        <v>0.5</v>
      </c>
      <c r="O1971" s="7">
        <v>0.94899999999999995</v>
      </c>
      <c r="P1971" s="1" t="s">
        <v>17792</v>
      </c>
    </row>
    <row r="1972" spans="1:16" ht="33.4" x14ac:dyDescent="0.3">
      <c r="A1972" s="6" t="str">
        <f>HYPERLINK("https://www.ti.com/product/TPS57114C-Q1", "TPS57114C-Q1")</f>
        <v>TPS57114C-Q1</v>
      </c>
      <c r="B1972" s="5" t="s">
        <v>17793</v>
      </c>
      <c r="C1972" s="6" t="str">
        <f>HYPERLINK("https://www.ti.com/lit/gpn/TPS57114C-Q1", "PDF")</f>
        <v>PDF</v>
      </c>
      <c r="D1972" s="5" t="s">
        <v>17794</v>
      </c>
      <c r="E1972" s="5" t="s">
        <v>17795</v>
      </c>
      <c r="F1972" s="5" t="s">
        <v>17796</v>
      </c>
      <c r="G1972" s="5" t="s">
        <v>17797</v>
      </c>
      <c r="H1972" s="1" t="s">
        <v>17798</v>
      </c>
      <c r="I1972" s="5" t="s">
        <v>17799</v>
      </c>
      <c r="J1972" s="7">
        <v>16</v>
      </c>
      <c r="K1972" s="7">
        <v>9</v>
      </c>
      <c r="L1972" s="5" t="s">
        <v>17800</v>
      </c>
      <c r="M1972" s="7">
        <v>0.8</v>
      </c>
      <c r="N1972" s="7">
        <v>0.5</v>
      </c>
      <c r="O1972" s="7">
        <v>1.2649999999999999</v>
      </c>
      <c r="P1972" s="1" t="s">
        <v>17801</v>
      </c>
    </row>
    <row r="1973" spans="1:16" ht="33.4" x14ac:dyDescent="0.3">
      <c r="A1973" s="6" t="str">
        <f>HYPERLINK("https://www.ti.com/product/TPS22918-Q1", "TPS22918-Q1")</f>
        <v>TPS22918-Q1</v>
      </c>
      <c r="B1973" s="5" t="s">
        <v>17802</v>
      </c>
      <c r="C1973" s="6" t="str">
        <f>HYPERLINK("https://www.ti.com/lit/gpn/TPS22918-Q1", "PDF")</f>
        <v>PDF</v>
      </c>
      <c r="D1973" s="5" t="s">
        <v>17803</v>
      </c>
      <c r="E1973" s="5" t="s">
        <v>17804</v>
      </c>
      <c r="F1973" s="5"/>
      <c r="G1973" s="5" t="s">
        <v>17805</v>
      </c>
      <c r="H1973" s="1" t="s">
        <v>17806</v>
      </c>
      <c r="I1973" s="5" t="s">
        <v>17807</v>
      </c>
      <c r="J1973" s="7">
        <v>6</v>
      </c>
      <c r="K1973" s="7">
        <v>8.1199999999999992</v>
      </c>
      <c r="L1973" s="5" t="s">
        <v>17808</v>
      </c>
      <c r="M1973" s="7">
        <v>1.45</v>
      </c>
      <c r="N1973" s="7">
        <v>0.95</v>
      </c>
      <c r="O1973" s="7">
        <v>0.21099999999999999</v>
      </c>
      <c r="P1973" s="1" t="s">
        <v>17809</v>
      </c>
    </row>
    <row r="1974" spans="1:16" ht="33.4" x14ac:dyDescent="0.3">
      <c r="A1974" s="6" t="str">
        <f>HYPERLINK("https://www.ti.com/product/TPS3779-Q1", "TPS3779-Q1")</f>
        <v>TPS3779-Q1</v>
      </c>
      <c r="B1974" s="5" t="s">
        <v>17810</v>
      </c>
      <c r="C1974" s="6" t="str">
        <f>HYPERLINK("https://www.ti.com/lit/gpn/TPS3779-Q1", "PDF")</f>
        <v>PDF</v>
      </c>
      <c r="D1974" s="5" t="s">
        <v>17811</v>
      </c>
      <c r="E1974" s="5" t="s">
        <v>17812</v>
      </c>
      <c r="F1974" s="5"/>
      <c r="G1974" s="5" t="s">
        <v>17813</v>
      </c>
      <c r="H1974" s="1" t="s">
        <v>17814</v>
      </c>
      <c r="I1974" s="5" t="s">
        <v>17815</v>
      </c>
      <c r="J1974" s="7">
        <v>6</v>
      </c>
      <c r="K1974" s="7">
        <v>8.1199999999999992</v>
      </c>
      <c r="L1974" s="5" t="s">
        <v>17816</v>
      </c>
      <c r="M1974" s="7">
        <v>1.45</v>
      </c>
      <c r="N1974" s="7">
        <v>0.95</v>
      </c>
      <c r="O1974" s="7">
        <v>0.76800000000000002</v>
      </c>
      <c r="P1974" s="1" t="s">
        <v>17817</v>
      </c>
    </row>
    <row r="1975" spans="1:16" ht="33.4" x14ac:dyDescent="0.3">
      <c r="A1975" s="6" t="str">
        <f>HYPERLINK("https://www.ti.com/product/TPS3780-Q1", "TPS3780-Q1")</f>
        <v>TPS3780-Q1</v>
      </c>
      <c r="B1975" s="5" t="s">
        <v>17818</v>
      </c>
      <c r="C1975" s="6" t="str">
        <f>HYPERLINK("https://www.ti.com/lit/gpn/TPS3780-Q1", "PDF")</f>
        <v>PDF</v>
      </c>
      <c r="D1975" s="5" t="s">
        <v>17819</v>
      </c>
      <c r="E1975" s="5" t="s">
        <v>17820</v>
      </c>
      <c r="F1975" s="5"/>
      <c r="G1975" s="5" t="s">
        <v>17821</v>
      </c>
      <c r="H1975" s="1" t="s">
        <v>17822</v>
      </c>
      <c r="I1975" s="5" t="s">
        <v>17823</v>
      </c>
      <c r="J1975" s="7">
        <v>6</v>
      </c>
      <c r="K1975" s="7">
        <v>8.1199999999999992</v>
      </c>
      <c r="L1975" s="5" t="s">
        <v>17824</v>
      </c>
      <c r="M1975" s="7">
        <v>1.45</v>
      </c>
      <c r="N1975" s="7">
        <v>0.95</v>
      </c>
      <c r="O1975" s="7">
        <v>0.76800000000000002</v>
      </c>
      <c r="P1975" s="1" t="s">
        <v>17825</v>
      </c>
    </row>
    <row r="1976" spans="1:16" ht="33.4" x14ac:dyDescent="0.3">
      <c r="A1976" s="6" t="str">
        <f>HYPERLINK("https://www.ti.com/product/CSD19538Q2", "CSD19538Q2")</f>
        <v>CSD19538Q2</v>
      </c>
      <c r="B1976" s="5" t="s">
        <v>17826</v>
      </c>
      <c r="C1976" s="6" t="str">
        <f>HYPERLINK("https://www.ti.com/lit/gpn/CSD19538Q2", "PDF")</f>
        <v>PDF</v>
      </c>
      <c r="D1976" s="5" t="s">
        <v>17827</v>
      </c>
      <c r="E1976" s="5" t="s">
        <v>17828</v>
      </c>
      <c r="F1976" s="5"/>
      <c r="G1976" s="5" t="s">
        <v>17829</v>
      </c>
      <c r="H1976" s="1" t="s">
        <v>17830</v>
      </c>
      <c r="I1976" s="5" t="s">
        <v>17831</v>
      </c>
      <c r="J1976" s="7">
        <v>6</v>
      </c>
      <c r="K1976" s="7">
        <v>4</v>
      </c>
      <c r="L1976" s="5" t="s">
        <v>17832</v>
      </c>
      <c r="M1976" s="7">
        <v>0.8</v>
      </c>
      <c r="N1976" s="7">
        <v>0.65</v>
      </c>
      <c r="O1976" s="7">
        <v>0.11</v>
      </c>
      <c r="P1976" s="1" t="s">
        <v>17833</v>
      </c>
    </row>
    <row r="1977" spans="1:16" ht="33.4" x14ac:dyDescent="0.3">
      <c r="A1977" s="6" t="str">
        <f>HYPERLINK("https://www.ti.com/product/TPS22990", "TPS22990")</f>
        <v>TPS22990</v>
      </c>
      <c r="B1977" s="5" t="s">
        <v>17834</v>
      </c>
      <c r="C1977" s="6" t="str">
        <f>HYPERLINK("https://www.ti.com/lit/gpn/TPS22990", "PDF")</f>
        <v>PDF</v>
      </c>
      <c r="D1977" s="5" t="s">
        <v>17835</v>
      </c>
      <c r="E1977" s="5" t="s">
        <v>17836</v>
      </c>
      <c r="F1977" s="5"/>
      <c r="G1977" s="5" t="s">
        <v>17837</v>
      </c>
      <c r="H1977" s="1" t="s">
        <v>17838</v>
      </c>
      <c r="I1977" s="5" t="s">
        <v>17839</v>
      </c>
      <c r="J1977" s="7">
        <v>10</v>
      </c>
      <c r="K1977" s="7">
        <v>6</v>
      </c>
      <c r="L1977" s="5" t="s">
        <v>17840</v>
      </c>
      <c r="M1977" s="7">
        <v>0.8</v>
      </c>
      <c r="N1977" s="7">
        <v>0.5</v>
      </c>
      <c r="O1977" s="7">
        <v>0.29899999999999999</v>
      </c>
      <c r="P1977" s="1" t="s">
        <v>17841</v>
      </c>
    </row>
    <row r="1978" spans="1:16" ht="33.4" x14ac:dyDescent="0.3">
      <c r="A1978" s="6" t="str">
        <f>HYPERLINK("https://www.ti.com/product/LMR23610", "LMR23610")</f>
        <v>LMR23610</v>
      </c>
      <c r="B1978" s="5" t="s">
        <v>17842</v>
      </c>
      <c r="C1978" s="6" t="str">
        <f>HYPERLINK("https://www.ti.com/lit/gpn/LMR23610", "PDF")</f>
        <v>PDF</v>
      </c>
      <c r="D1978" s="5" t="s">
        <v>17843</v>
      </c>
      <c r="E1978" s="5" t="s">
        <v>17844</v>
      </c>
      <c r="F1978" s="5" t="s">
        <v>17845</v>
      </c>
      <c r="G1978" s="5" t="s">
        <v>17846</v>
      </c>
      <c r="H1978" s="1" t="s">
        <v>17847</v>
      </c>
      <c r="I1978" s="5" t="s">
        <v>17848</v>
      </c>
      <c r="J1978" s="7">
        <v>8</v>
      </c>
      <c r="K1978" s="7">
        <v>29.4</v>
      </c>
      <c r="L1978" s="5" t="s">
        <v>17849</v>
      </c>
      <c r="M1978" s="7">
        <v>1.7</v>
      </c>
      <c r="N1978" s="7">
        <v>1.27</v>
      </c>
      <c r="O1978" s="7">
        <v>1.3740000000000001</v>
      </c>
      <c r="P1978" s="1" t="s">
        <v>17850</v>
      </c>
    </row>
    <row r="1979" spans="1:16" ht="33.4" x14ac:dyDescent="0.3">
      <c r="A1979" s="6" t="str">
        <f>HYPERLINK("https://www.ti.com/product/LMR23625", "LMR23625")</f>
        <v>LMR23625</v>
      </c>
      <c r="B1979" s="5" t="s">
        <v>17851</v>
      </c>
      <c r="C1979" s="6" t="str">
        <f>HYPERLINK("https://www.ti.com/lit/gpn/LMR23625", "PDF")</f>
        <v>PDF</v>
      </c>
      <c r="D1979" s="5" t="s">
        <v>17852</v>
      </c>
      <c r="E1979" s="5" t="s">
        <v>17853</v>
      </c>
      <c r="F1979" s="5" t="s">
        <v>17854</v>
      </c>
      <c r="G1979" s="5" t="s">
        <v>17855</v>
      </c>
      <c r="H1979" s="1" t="s">
        <v>17856</v>
      </c>
      <c r="I1979" s="5" t="s">
        <v>17857</v>
      </c>
      <c r="J1979" s="7" t="s">
        <v>17858</v>
      </c>
      <c r="K1979" s="7" t="s">
        <v>17859</v>
      </c>
      <c r="L1979" s="5" t="s">
        <v>17860</v>
      </c>
      <c r="M1979" s="7" t="s">
        <v>17861</v>
      </c>
      <c r="N1979" s="7" t="s">
        <v>17862</v>
      </c>
      <c r="O1979" s="7">
        <v>1.3720000000000001</v>
      </c>
      <c r="P1979" s="1" t="s">
        <v>17863</v>
      </c>
    </row>
    <row r="1980" spans="1:16" ht="33.4" x14ac:dyDescent="0.3">
      <c r="A1980" s="6" t="str">
        <f>HYPERLINK("https://www.ti.com/product/LMR23630", "LMR23630")</f>
        <v>LMR23630</v>
      </c>
      <c r="B1980" s="5" t="s">
        <v>17864</v>
      </c>
      <c r="C1980" s="6" t="str">
        <f>HYPERLINK("https://www.ti.com/lit/gpn/LMR23630", "PDF")</f>
        <v>PDF</v>
      </c>
      <c r="D1980" s="5" t="s">
        <v>17865</v>
      </c>
      <c r="E1980" s="5" t="s">
        <v>17866</v>
      </c>
      <c r="F1980" s="5" t="s">
        <v>17867</v>
      </c>
      <c r="G1980" s="5" t="s">
        <v>17868</v>
      </c>
      <c r="H1980" s="1" t="s">
        <v>17869</v>
      </c>
      <c r="I1980" s="5" t="s">
        <v>17870</v>
      </c>
      <c r="J1980" s="7" t="s">
        <v>17871</v>
      </c>
      <c r="K1980" s="7" t="s">
        <v>17872</v>
      </c>
      <c r="L1980" s="5" t="s">
        <v>17873</v>
      </c>
      <c r="M1980" s="7" t="s">
        <v>17874</v>
      </c>
      <c r="N1980" s="7" t="s">
        <v>17875</v>
      </c>
      <c r="O1980" s="7">
        <v>1.4450000000000001</v>
      </c>
      <c r="P1980" s="1" t="s">
        <v>17876</v>
      </c>
    </row>
    <row r="1981" spans="1:16" ht="49.75" x14ac:dyDescent="0.3">
      <c r="A1981" s="6" t="str">
        <f>HYPERLINK("https://www.ti.com/product/TPS51200-EP", "TPS51200-EP")</f>
        <v>TPS51200-EP</v>
      </c>
      <c r="B1981" s="5" t="s">
        <v>17877</v>
      </c>
      <c r="C1981" s="6" t="str">
        <f>HYPERLINK("https://www.ti.com/lit/gpn/TPS51200-EP", "PDF")</f>
        <v>PDF</v>
      </c>
      <c r="D1981" s="5" t="s">
        <v>17878</v>
      </c>
      <c r="E1981" s="5" t="s">
        <v>17879</v>
      </c>
      <c r="F1981" s="5"/>
      <c r="G1981" s="5" t="s">
        <v>17880</v>
      </c>
      <c r="H1981" s="1" t="s">
        <v>17881</v>
      </c>
      <c r="I1981" s="5" t="s">
        <v>17882</v>
      </c>
      <c r="J1981" s="7">
        <v>10</v>
      </c>
      <c r="K1981" s="7">
        <v>9</v>
      </c>
      <c r="L1981" s="5" t="s">
        <v>17883</v>
      </c>
      <c r="M1981" s="7">
        <v>1</v>
      </c>
      <c r="N1981" s="7">
        <v>0.5</v>
      </c>
      <c r="O1981" s="7">
        <v>5.8650000000000002</v>
      </c>
      <c r="P1981" s="1" t="s">
        <v>17884</v>
      </c>
    </row>
    <row r="1982" spans="1:16" ht="33.4" x14ac:dyDescent="0.3">
      <c r="A1982" s="6" t="str">
        <f>HYPERLINK("https://www.ti.com/product/TPS61235P", "TPS61235P")</f>
        <v>TPS61235P</v>
      </c>
      <c r="B1982" s="5" t="s">
        <v>17885</v>
      </c>
      <c r="C1982" s="6" t="str">
        <f>HYPERLINK("https://www.ti.com/lit/gpn/TPS61235P", "PDF")</f>
        <v>PDF</v>
      </c>
      <c r="D1982" s="5" t="s">
        <v>17886</v>
      </c>
      <c r="E1982" s="5" t="s">
        <v>17887</v>
      </c>
      <c r="F1982" s="5" t="s">
        <v>17888</v>
      </c>
      <c r="G1982" s="5" t="s">
        <v>17889</v>
      </c>
      <c r="H1982" s="1" t="s">
        <v>17890</v>
      </c>
      <c r="I1982" s="5" t="s">
        <v>17891</v>
      </c>
      <c r="J1982" s="7">
        <v>9</v>
      </c>
      <c r="K1982" s="7">
        <v>6.25</v>
      </c>
      <c r="L1982" s="5" t="s">
        <v>17892</v>
      </c>
      <c r="M1982" s="7">
        <v>1</v>
      </c>
      <c r="N1982" s="7">
        <v>0.5</v>
      </c>
      <c r="O1982" s="7">
        <v>0.86799999999999999</v>
      </c>
      <c r="P1982" s="1" t="s">
        <v>17893</v>
      </c>
    </row>
    <row r="1983" spans="1:16" ht="33.4" x14ac:dyDescent="0.3">
      <c r="A1983" s="6" t="str">
        <f>HYPERLINK("https://www.ti.com/product/TPS61236P", "TPS61236P")</f>
        <v>TPS61236P</v>
      </c>
      <c r="B1983" s="5" t="s">
        <v>17894</v>
      </c>
      <c r="C1983" s="6" t="str">
        <f>HYPERLINK("https://www.ti.com/lit/gpn/TPS61236P", "PDF")</f>
        <v>PDF</v>
      </c>
      <c r="D1983" s="5" t="s">
        <v>17895</v>
      </c>
      <c r="E1983" s="5" t="s">
        <v>17896</v>
      </c>
      <c r="F1983" s="5" t="s">
        <v>17897</v>
      </c>
      <c r="G1983" s="5" t="s">
        <v>17898</v>
      </c>
      <c r="H1983" s="1" t="s">
        <v>17899</v>
      </c>
      <c r="I1983" s="5" t="s">
        <v>17900</v>
      </c>
      <c r="J1983" s="7">
        <v>9</v>
      </c>
      <c r="K1983" s="7">
        <v>6.25</v>
      </c>
      <c r="L1983" s="5" t="s">
        <v>17901</v>
      </c>
      <c r="M1983" s="7">
        <v>1</v>
      </c>
      <c r="N1983" s="7">
        <v>0.5</v>
      </c>
      <c r="O1983" s="7">
        <v>0.86799999999999999</v>
      </c>
      <c r="P1983" s="1" t="s">
        <v>17902</v>
      </c>
    </row>
    <row r="1984" spans="1:16" ht="33.4" x14ac:dyDescent="0.3">
      <c r="A1984" s="6" t="str">
        <f>HYPERLINK("https://www.ti.com/product/TPS22975", "TPS22975")</f>
        <v>TPS22975</v>
      </c>
      <c r="B1984" s="5" t="s">
        <v>17903</v>
      </c>
      <c r="C1984" s="6" t="str">
        <f>HYPERLINK("https://www.ti.com/lit/gpn/TPS22975", "PDF")</f>
        <v>PDF</v>
      </c>
      <c r="D1984" s="5" t="s">
        <v>17904</v>
      </c>
      <c r="E1984" s="5" t="s">
        <v>17905</v>
      </c>
      <c r="F1984" s="5"/>
      <c r="G1984" s="5" t="s">
        <v>17906</v>
      </c>
      <c r="H1984" s="1" t="s">
        <v>17907</v>
      </c>
      <c r="I1984" s="5" t="s">
        <v>17908</v>
      </c>
      <c r="J1984" s="7">
        <v>8</v>
      </c>
      <c r="K1984" s="7">
        <v>4</v>
      </c>
      <c r="L1984" s="5" t="s">
        <v>17909</v>
      </c>
      <c r="M1984" s="7">
        <v>0.8</v>
      </c>
      <c r="N1984" s="7">
        <v>0.5</v>
      </c>
      <c r="O1984" s="7">
        <v>0.125</v>
      </c>
      <c r="P1984" s="1" t="s">
        <v>17910</v>
      </c>
    </row>
    <row r="1985" spans="1:16" ht="33.4" x14ac:dyDescent="0.3">
      <c r="A1985" s="6" t="str">
        <f>HYPERLINK("https://www.ti.com/product/UCC21520", "UCC21520")</f>
        <v>UCC21520</v>
      </c>
      <c r="B1985" s="5" t="s">
        <v>17911</v>
      </c>
      <c r="C1985" s="6" t="str">
        <f>HYPERLINK("https://www.ti.com/lit/gpn/UCC21520", "PDF")</f>
        <v>PDF</v>
      </c>
      <c r="D1985" s="5" t="s">
        <v>17912</v>
      </c>
      <c r="E1985" s="5" t="s">
        <v>17913</v>
      </c>
      <c r="F1985" s="5"/>
      <c r="G1985" s="5" t="s">
        <v>17914</v>
      </c>
      <c r="H1985" s="1" t="s">
        <v>17915</v>
      </c>
      <c r="I1985" s="5" t="s">
        <v>17916</v>
      </c>
      <c r="J1985" s="7">
        <v>16</v>
      </c>
      <c r="K1985" s="7">
        <v>106.09</v>
      </c>
      <c r="L1985" s="5" t="s">
        <v>17917</v>
      </c>
      <c r="M1985" s="7">
        <v>2.65</v>
      </c>
      <c r="N1985" s="7">
        <v>1.27</v>
      </c>
      <c r="O1985" s="7">
        <v>1.875</v>
      </c>
      <c r="P1985" s="1" t="s">
        <v>17918</v>
      </c>
    </row>
    <row r="1986" spans="1:16" ht="33.4" x14ac:dyDescent="0.3">
      <c r="A1986" s="6" t="str">
        <f>HYPERLINK("https://www.ti.com/product/REF6125", "REF6125")</f>
        <v>REF6125</v>
      </c>
      <c r="B1986" s="5" t="s">
        <v>17919</v>
      </c>
      <c r="C1986" s="6" t="str">
        <f>HYPERLINK("https://www.ti.com/lit/gpn/REF6125", "PDF")</f>
        <v>PDF</v>
      </c>
      <c r="D1986" s="5" t="s">
        <v>17920</v>
      </c>
      <c r="E1986" s="5" t="s">
        <v>17921</v>
      </c>
      <c r="F1986" s="5"/>
      <c r="G1986" s="5" t="s">
        <v>17922</v>
      </c>
      <c r="H1986" s="1" t="s">
        <v>17923</v>
      </c>
      <c r="I1986" s="5" t="s">
        <v>17924</v>
      </c>
      <c r="J1986" s="7">
        <v>8</v>
      </c>
      <c r="K1986" s="7">
        <v>14.7</v>
      </c>
      <c r="L1986" s="5" t="s">
        <v>17925</v>
      </c>
      <c r="M1986" s="7">
        <v>1.1000000000000001</v>
      </c>
      <c r="N1986" s="7">
        <v>0.65</v>
      </c>
      <c r="O1986" s="7">
        <v>2.3809999999999998</v>
      </c>
      <c r="P1986" s="1" t="s">
        <v>17926</v>
      </c>
    </row>
    <row r="1987" spans="1:16" ht="33.4" x14ac:dyDescent="0.3">
      <c r="A1987" s="6" t="str">
        <f>HYPERLINK("https://www.ti.com/product/REF6130", "REF6130")</f>
        <v>REF6130</v>
      </c>
      <c r="B1987" s="5" t="s">
        <v>17927</v>
      </c>
      <c r="C1987" s="6" t="str">
        <f>HYPERLINK("https://www.ti.com/lit/gpn/REF6130", "PDF")</f>
        <v>PDF</v>
      </c>
      <c r="D1987" s="5" t="s">
        <v>17928</v>
      </c>
      <c r="E1987" s="5" t="s">
        <v>17929</v>
      </c>
      <c r="F1987" s="5"/>
      <c r="G1987" s="5" t="s">
        <v>17930</v>
      </c>
      <c r="H1987" s="1" t="s">
        <v>17931</v>
      </c>
      <c r="I1987" s="5" t="s">
        <v>17932</v>
      </c>
      <c r="J1987" s="7">
        <v>8</v>
      </c>
      <c r="K1987" s="7">
        <v>14.7</v>
      </c>
      <c r="L1987" s="5" t="s">
        <v>17933</v>
      </c>
      <c r="M1987" s="7">
        <v>1.1000000000000001</v>
      </c>
      <c r="N1987" s="7">
        <v>0.65</v>
      </c>
      <c r="O1987" s="7">
        <v>2.2530000000000001</v>
      </c>
      <c r="P1987" s="1" t="s">
        <v>17934</v>
      </c>
    </row>
    <row r="1988" spans="1:16" ht="33.4" x14ac:dyDescent="0.3">
      <c r="A1988" s="6" t="str">
        <f>HYPERLINK("https://www.ti.com/product/REF6133", "REF6133")</f>
        <v>REF6133</v>
      </c>
      <c r="B1988" s="5" t="s">
        <v>17935</v>
      </c>
      <c r="C1988" s="6" t="str">
        <f>HYPERLINK("https://www.ti.com/lit/gpn/REF6133", "PDF")</f>
        <v>PDF</v>
      </c>
      <c r="D1988" s="5" t="s">
        <v>17936</v>
      </c>
      <c r="E1988" s="5" t="s">
        <v>17937</v>
      </c>
      <c r="F1988" s="5"/>
      <c r="G1988" s="5" t="s">
        <v>17938</v>
      </c>
      <c r="H1988" s="1" t="s">
        <v>17939</v>
      </c>
      <c r="I1988" s="5" t="s">
        <v>17940</v>
      </c>
      <c r="J1988" s="7">
        <v>8</v>
      </c>
      <c r="K1988" s="7">
        <v>14.7</v>
      </c>
      <c r="L1988" s="5" t="s">
        <v>17941</v>
      </c>
      <c r="M1988" s="7">
        <v>1.1000000000000001</v>
      </c>
      <c r="N1988" s="7">
        <v>0.65</v>
      </c>
      <c r="O1988" s="7">
        <v>2.2050000000000001</v>
      </c>
      <c r="P1988" s="1" t="s">
        <v>17942</v>
      </c>
    </row>
    <row r="1989" spans="1:16" ht="33.4" x14ac:dyDescent="0.3">
      <c r="A1989" s="6" t="str">
        <f>HYPERLINK("https://www.ti.com/product/REF6025", "REF6025")</f>
        <v>REF6025</v>
      </c>
      <c r="B1989" s="5" t="s">
        <v>17943</v>
      </c>
      <c r="C1989" s="6" t="str">
        <f>HYPERLINK("https://www.ti.com/lit/gpn/REF6025", "PDF")</f>
        <v>PDF</v>
      </c>
      <c r="D1989" s="5" t="s">
        <v>17944</v>
      </c>
      <c r="E1989" s="5" t="s">
        <v>17945</v>
      </c>
      <c r="F1989" s="5"/>
      <c r="G1989" s="5" t="s">
        <v>17946</v>
      </c>
      <c r="H1989" s="1" t="s">
        <v>17947</v>
      </c>
      <c r="I1989" s="5" t="s">
        <v>17948</v>
      </c>
      <c r="J1989" s="7">
        <v>8</v>
      </c>
      <c r="K1989" s="7">
        <v>14.7</v>
      </c>
      <c r="L1989" s="5" t="s">
        <v>17949</v>
      </c>
      <c r="M1989" s="7">
        <v>1.1000000000000001</v>
      </c>
      <c r="N1989" s="7">
        <v>0.65</v>
      </c>
      <c r="O1989" s="7">
        <v>3.0190000000000001</v>
      </c>
      <c r="P1989" s="1" t="s">
        <v>17950</v>
      </c>
    </row>
    <row r="1990" spans="1:16" ht="33.4" x14ac:dyDescent="0.3">
      <c r="A1990" s="6" t="str">
        <f>HYPERLINK("https://www.ti.com/product/REF6030", "REF6030")</f>
        <v>REF6030</v>
      </c>
      <c r="B1990" s="5" t="s">
        <v>17951</v>
      </c>
      <c r="C1990" s="6" t="str">
        <f>HYPERLINK("https://www.ti.com/lit/gpn/REF6030", "PDF")</f>
        <v>PDF</v>
      </c>
      <c r="D1990" s="5" t="s">
        <v>17952</v>
      </c>
      <c r="E1990" s="5" t="s">
        <v>17953</v>
      </c>
      <c r="F1990" s="5"/>
      <c r="G1990" s="5" t="s">
        <v>17954</v>
      </c>
      <c r="H1990" s="1" t="s">
        <v>17955</v>
      </c>
      <c r="I1990" s="5" t="s">
        <v>17956</v>
      </c>
      <c r="J1990" s="7">
        <v>8</v>
      </c>
      <c r="K1990" s="7">
        <v>14.7</v>
      </c>
      <c r="L1990" s="5" t="s">
        <v>17957</v>
      </c>
      <c r="M1990" s="7">
        <v>1.1000000000000001</v>
      </c>
      <c r="N1990" s="7">
        <v>0.65</v>
      </c>
      <c r="O1990" s="7">
        <v>3.1150000000000002</v>
      </c>
      <c r="P1990" s="1" t="s">
        <v>17958</v>
      </c>
    </row>
    <row r="1991" spans="1:16" ht="33.4" x14ac:dyDescent="0.3">
      <c r="A1991" s="6" t="str">
        <f>HYPERLINK("https://www.ti.com/product/REF6033", "REF6033")</f>
        <v>REF6033</v>
      </c>
      <c r="B1991" s="5" t="s">
        <v>17959</v>
      </c>
      <c r="C1991" s="6" t="str">
        <f>HYPERLINK("https://www.ti.com/lit/gpn/REF6033", "PDF")</f>
        <v>PDF</v>
      </c>
      <c r="D1991" s="5" t="s">
        <v>17960</v>
      </c>
      <c r="E1991" s="5" t="s">
        <v>17961</v>
      </c>
      <c r="F1991" s="5"/>
      <c r="G1991" s="5" t="s">
        <v>17962</v>
      </c>
      <c r="H1991" s="1" t="s">
        <v>17963</v>
      </c>
      <c r="I1991" s="5" t="s">
        <v>17964</v>
      </c>
      <c r="J1991" s="7">
        <v>8</v>
      </c>
      <c r="K1991" s="7">
        <v>14.7</v>
      </c>
      <c r="L1991" s="5" t="s">
        <v>17965</v>
      </c>
      <c r="M1991" s="7">
        <v>1.1000000000000001</v>
      </c>
      <c r="N1991" s="7">
        <v>0.65</v>
      </c>
      <c r="O1991" s="7">
        <v>3.306</v>
      </c>
      <c r="P1991" s="1" t="s">
        <v>17966</v>
      </c>
    </row>
    <row r="1992" spans="1:16" ht="33.4" x14ac:dyDescent="0.3">
      <c r="A1992" s="6" t="str">
        <f>HYPERLINK("https://www.ti.com/product/REF6041", "REF6041")</f>
        <v>REF6041</v>
      </c>
      <c r="B1992" s="5" t="s">
        <v>17967</v>
      </c>
      <c r="C1992" s="6" t="str">
        <f>HYPERLINK("https://www.ti.com/lit/gpn/REF6041", "PDF")</f>
        <v>PDF</v>
      </c>
      <c r="D1992" s="5" t="s">
        <v>17968</v>
      </c>
      <c r="E1992" s="5" t="s">
        <v>17969</v>
      </c>
      <c r="F1992" s="5"/>
      <c r="G1992" s="5" t="s">
        <v>17970</v>
      </c>
      <c r="H1992" s="1" t="s">
        <v>17971</v>
      </c>
      <c r="I1992" s="5" t="s">
        <v>17972</v>
      </c>
      <c r="J1992" s="7">
        <v>8</v>
      </c>
      <c r="K1992" s="7">
        <v>14.7</v>
      </c>
      <c r="L1992" s="5" t="s">
        <v>17973</v>
      </c>
      <c r="M1992" s="7">
        <v>1.1000000000000001</v>
      </c>
      <c r="N1992" s="7">
        <v>0.65</v>
      </c>
      <c r="O1992" s="7">
        <v>2.9039999999999999</v>
      </c>
      <c r="P1992" s="1" t="s">
        <v>17974</v>
      </c>
    </row>
    <row r="1993" spans="1:16" ht="33.4" x14ac:dyDescent="0.3">
      <c r="A1993" s="6" t="str">
        <f>HYPERLINK("https://www.ti.com/product/REF6045", "REF6045")</f>
        <v>REF6045</v>
      </c>
      <c r="B1993" s="5" t="s">
        <v>17975</v>
      </c>
      <c r="C1993" s="6" t="str">
        <f>HYPERLINK("https://www.ti.com/lit/gpn/REF6045", "PDF")</f>
        <v>PDF</v>
      </c>
      <c r="D1993" s="5" t="s">
        <v>17976</v>
      </c>
      <c r="E1993" s="5" t="s">
        <v>17977</v>
      </c>
      <c r="F1993" s="5"/>
      <c r="G1993" s="5" t="s">
        <v>17978</v>
      </c>
      <c r="H1993" s="1" t="s">
        <v>17979</v>
      </c>
      <c r="I1993" s="5" t="s">
        <v>17980</v>
      </c>
      <c r="J1993" s="7">
        <v>8</v>
      </c>
      <c r="K1993" s="7">
        <v>14.7</v>
      </c>
      <c r="L1993" s="5" t="s">
        <v>17981</v>
      </c>
      <c r="M1993" s="7">
        <v>1.1000000000000001</v>
      </c>
      <c r="N1993" s="7">
        <v>0.65</v>
      </c>
      <c r="O1993" s="7">
        <v>3.1339999999999999</v>
      </c>
      <c r="P1993" s="1" t="s">
        <v>17982</v>
      </c>
    </row>
    <row r="1994" spans="1:16" ht="33.4" x14ac:dyDescent="0.3">
      <c r="A1994" s="6" t="str">
        <f>HYPERLINK("https://www.ti.com/product/REF6050", "REF6050")</f>
        <v>REF6050</v>
      </c>
      <c r="B1994" s="5" t="s">
        <v>17983</v>
      </c>
      <c r="C1994" s="6" t="str">
        <f>HYPERLINK("https://www.ti.com/lit/gpn/REF6050", "PDF")</f>
        <v>PDF</v>
      </c>
      <c r="D1994" s="5" t="s">
        <v>17984</v>
      </c>
      <c r="E1994" s="5" t="s">
        <v>17985</v>
      </c>
      <c r="F1994" s="5"/>
      <c r="G1994" s="5" t="s">
        <v>17986</v>
      </c>
      <c r="H1994" s="1" t="s">
        <v>17987</v>
      </c>
      <c r="I1994" s="5" t="s">
        <v>17988</v>
      </c>
      <c r="J1994" s="7">
        <v>8</v>
      </c>
      <c r="K1994" s="7">
        <v>14.7</v>
      </c>
      <c r="L1994" s="5" t="s">
        <v>17989</v>
      </c>
      <c r="M1994" s="7">
        <v>1.1000000000000001</v>
      </c>
      <c r="N1994" s="7">
        <v>0.65</v>
      </c>
      <c r="O1994" s="7">
        <v>3.149</v>
      </c>
      <c r="P1994" s="1" t="s">
        <v>17990</v>
      </c>
    </row>
    <row r="1995" spans="1:16" ht="33.4" x14ac:dyDescent="0.3">
      <c r="A1995" s="6" t="str">
        <f>HYPERLINK("https://www.ti.com/product/REF6141", "REF6141")</f>
        <v>REF6141</v>
      </c>
      <c r="B1995" s="5" t="s">
        <v>17991</v>
      </c>
      <c r="C1995" s="6" t="str">
        <f>HYPERLINK("https://www.ti.com/lit/gpn/REF6141", "PDF")</f>
        <v>PDF</v>
      </c>
      <c r="D1995" s="5" t="s">
        <v>17992</v>
      </c>
      <c r="E1995" s="5" t="s">
        <v>17993</v>
      </c>
      <c r="F1995" s="5"/>
      <c r="G1995" s="5" t="s">
        <v>17994</v>
      </c>
      <c r="H1995" s="1" t="s">
        <v>17995</v>
      </c>
      <c r="I1995" s="5" t="s">
        <v>17996</v>
      </c>
      <c r="J1995" s="7">
        <v>8</v>
      </c>
      <c r="K1995" s="7">
        <v>14.7</v>
      </c>
      <c r="L1995" s="5" t="s">
        <v>17997</v>
      </c>
      <c r="M1995" s="7">
        <v>1.1000000000000001</v>
      </c>
      <c r="N1995" s="7">
        <v>0.65</v>
      </c>
      <c r="O1995" s="7">
        <v>2.3580000000000001</v>
      </c>
      <c r="P1995" s="1" t="s">
        <v>17998</v>
      </c>
    </row>
    <row r="1996" spans="1:16" ht="33.4" x14ac:dyDescent="0.3">
      <c r="A1996" s="6" t="str">
        <f>HYPERLINK("https://www.ti.com/product/REF6145", "REF6145")</f>
        <v>REF6145</v>
      </c>
      <c r="B1996" s="5" t="s">
        <v>17999</v>
      </c>
      <c r="C1996" s="6" t="str">
        <f>HYPERLINK("https://www.ti.com/lit/gpn/REF6145", "PDF")</f>
        <v>PDF</v>
      </c>
      <c r="D1996" s="5" t="s">
        <v>18000</v>
      </c>
      <c r="E1996" s="5" t="s">
        <v>18001</v>
      </c>
      <c r="F1996" s="5"/>
      <c r="G1996" s="5" t="s">
        <v>18002</v>
      </c>
      <c r="H1996" s="1" t="s">
        <v>18003</v>
      </c>
      <c r="I1996" s="5" t="s">
        <v>18004</v>
      </c>
      <c r="J1996" s="7">
        <v>8</v>
      </c>
      <c r="K1996" s="7">
        <v>14.7</v>
      </c>
      <c r="L1996" s="5" t="s">
        <v>18005</v>
      </c>
      <c r="M1996" s="7">
        <v>1.1000000000000001</v>
      </c>
      <c r="N1996" s="7">
        <v>0.65</v>
      </c>
      <c r="O1996" s="7">
        <v>2.2050000000000001</v>
      </c>
      <c r="P1996" s="1" t="s">
        <v>18006</v>
      </c>
    </row>
    <row r="1997" spans="1:16" ht="33.4" x14ac:dyDescent="0.3">
      <c r="A1997" s="6" t="str">
        <f>HYPERLINK("https://www.ti.com/product/REF6150", "REF6150")</f>
        <v>REF6150</v>
      </c>
      <c r="B1997" s="5" t="s">
        <v>18007</v>
      </c>
      <c r="C1997" s="6" t="str">
        <f>HYPERLINK("https://www.ti.com/lit/gpn/REF6150", "PDF")</f>
        <v>PDF</v>
      </c>
      <c r="D1997" s="5" t="s">
        <v>18008</v>
      </c>
      <c r="E1997" s="5" t="s">
        <v>18009</v>
      </c>
      <c r="F1997" s="5"/>
      <c r="G1997" s="5" t="s">
        <v>18010</v>
      </c>
      <c r="H1997" s="1" t="s">
        <v>18011</v>
      </c>
      <c r="I1997" s="5" t="s">
        <v>18012</v>
      </c>
      <c r="J1997" s="7">
        <v>8</v>
      </c>
      <c r="K1997" s="7">
        <v>14.7</v>
      </c>
      <c r="L1997" s="5" t="s">
        <v>18013</v>
      </c>
      <c r="M1997" s="7">
        <v>1.1000000000000001</v>
      </c>
      <c r="N1997" s="7">
        <v>0.65</v>
      </c>
      <c r="O1997" s="7">
        <v>2.2050000000000001</v>
      </c>
      <c r="P1997" s="1" t="s">
        <v>18014</v>
      </c>
    </row>
    <row r="1998" spans="1:16" ht="33.4" x14ac:dyDescent="0.3">
      <c r="A1998" s="6" t="str">
        <f>HYPERLINK("https://www.ti.com/product/TPS53626", "TPS53626")</f>
        <v>TPS53626</v>
      </c>
      <c r="B1998" s="5" t="s">
        <v>18015</v>
      </c>
      <c r="C1998" s="6" t="str">
        <f>HYPERLINK("https://www.ti.com/lit/gpn/TPS53626", "PDF")</f>
        <v>PDF</v>
      </c>
      <c r="D1998" s="5" t="s">
        <v>18016</v>
      </c>
      <c r="E1998" s="5" t="s">
        <v>18017</v>
      </c>
      <c r="F1998" s="5" t="s">
        <v>18018</v>
      </c>
      <c r="G1998" s="5" t="s">
        <v>18019</v>
      </c>
      <c r="H1998" s="1" t="s">
        <v>18020</v>
      </c>
      <c r="I1998" s="5" t="s">
        <v>18021</v>
      </c>
      <c r="J1998" s="7">
        <v>32</v>
      </c>
      <c r="K1998" s="7">
        <v>16</v>
      </c>
      <c r="L1998" s="5" t="s">
        <v>18022</v>
      </c>
      <c r="M1998" s="7">
        <v>1</v>
      </c>
      <c r="N1998" s="7">
        <v>0.4</v>
      </c>
      <c r="O1998" s="7">
        <v>1.139</v>
      </c>
      <c r="P1998" s="1" t="s">
        <v>18023</v>
      </c>
    </row>
    <row r="1999" spans="1:16" ht="33.4" x14ac:dyDescent="0.3">
      <c r="A1999" s="6" t="str">
        <f>HYPERLINK("https://www.ti.com/product/TPS54302", "TPS54302")</f>
        <v>TPS54302</v>
      </c>
      <c r="B1999" s="5" t="s">
        <v>18024</v>
      </c>
      <c r="C1999" s="6" t="str">
        <f>HYPERLINK("https://www.ti.com/lit/gpn/TPS54302", "PDF")</f>
        <v>PDF</v>
      </c>
      <c r="D1999" s="5" t="s">
        <v>18025</v>
      </c>
      <c r="E1999" s="5" t="s">
        <v>18026</v>
      </c>
      <c r="F1999" s="5" t="s">
        <v>18027</v>
      </c>
      <c r="G1999" s="5" t="s">
        <v>18028</v>
      </c>
      <c r="H1999" s="1" t="s">
        <v>18029</v>
      </c>
      <c r="I1999" s="5" t="s">
        <v>18030</v>
      </c>
      <c r="J1999" s="7">
        <v>6</v>
      </c>
      <c r="K1999" s="7">
        <v>8.1199999999999992</v>
      </c>
      <c r="L1999" s="5" t="s">
        <v>18031</v>
      </c>
      <c r="M1999" s="7">
        <v>1.1000000000000001</v>
      </c>
      <c r="N1999" s="7">
        <v>0.95</v>
      </c>
      <c r="O1999" s="7">
        <v>0.45</v>
      </c>
      <c r="P1999" s="1" t="s">
        <v>18032</v>
      </c>
    </row>
    <row r="2000" spans="1:16" ht="33.4" x14ac:dyDescent="0.3">
      <c r="A2000" s="6" t="str">
        <f>HYPERLINK("https://www.ti.com/product/TPS53632G", "TPS53632G")</f>
        <v>TPS53632G</v>
      </c>
      <c r="B2000" s="5" t="s">
        <v>18033</v>
      </c>
      <c r="C2000" s="6" t="str">
        <f>HYPERLINK("https://www.ti.com/lit/gpn/TPS53632G", "PDF")</f>
        <v>PDF</v>
      </c>
      <c r="D2000" s="5" t="s">
        <v>18034</v>
      </c>
      <c r="E2000" s="5" t="s">
        <v>18035</v>
      </c>
      <c r="F2000" s="5" t="s">
        <v>18036</v>
      </c>
      <c r="G2000" s="5" t="s">
        <v>18037</v>
      </c>
      <c r="H2000" s="1" t="s">
        <v>18038</v>
      </c>
      <c r="I2000" s="5" t="s">
        <v>18039</v>
      </c>
      <c r="J2000" s="7">
        <v>32</v>
      </c>
      <c r="K2000" s="7">
        <v>16</v>
      </c>
      <c r="L2000" s="5" t="s">
        <v>18040</v>
      </c>
      <c r="M2000" s="7">
        <v>1</v>
      </c>
      <c r="N2000" s="7">
        <v>0.4</v>
      </c>
      <c r="O2000" s="7">
        <v>3.3</v>
      </c>
      <c r="P2000" s="1" t="s">
        <v>18041</v>
      </c>
    </row>
    <row r="2001" spans="1:16" ht="33.4" x14ac:dyDescent="0.3">
      <c r="A2001" s="6" t="str">
        <f>HYPERLINK("https://www.ti.com/product/TPS61021A", "TPS61021A")</f>
        <v>TPS61021A</v>
      </c>
      <c r="B2001" s="5" t="s">
        <v>18042</v>
      </c>
      <c r="C2001" s="6" t="str">
        <f>HYPERLINK("https://www.ti.com/lit/gpn/TPS61021A", "PDF")</f>
        <v>PDF</v>
      </c>
      <c r="D2001" s="5" t="s">
        <v>18043</v>
      </c>
      <c r="E2001" s="5" t="s">
        <v>18044</v>
      </c>
      <c r="F2001" s="5" t="s">
        <v>18045</v>
      </c>
      <c r="G2001" s="5" t="s">
        <v>18046</v>
      </c>
      <c r="H2001" s="1" t="s">
        <v>18047</v>
      </c>
      <c r="I2001" s="5" t="s">
        <v>18048</v>
      </c>
      <c r="J2001" s="7">
        <v>8</v>
      </c>
      <c r="K2001" s="7">
        <v>4</v>
      </c>
      <c r="L2001" s="5" t="s">
        <v>18049</v>
      </c>
      <c r="M2001" s="7">
        <v>0.8</v>
      </c>
      <c r="N2001" s="7">
        <v>0.5</v>
      </c>
      <c r="O2001" s="7">
        <v>0.48399999999999999</v>
      </c>
      <c r="P2001" s="1" t="s">
        <v>18050</v>
      </c>
    </row>
    <row r="2002" spans="1:16" ht="33.4" x14ac:dyDescent="0.3">
      <c r="A2002" s="6" t="str">
        <f>HYPERLINK("https://www.ti.com/product/TLV627432", "TLV627432")</f>
        <v>TLV627432</v>
      </c>
      <c r="B2002" s="5" t="s">
        <v>18051</v>
      </c>
      <c r="C2002" s="6" t="str">
        <f>HYPERLINK("https://www.ti.com/lit/gpn/TLV627432", "PDF")</f>
        <v>PDF</v>
      </c>
      <c r="D2002" s="5" t="s">
        <v>18052</v>
      </c>
      <c r="E2002" s="5" t="s">
        <v>18053</v>
      </c>
      <c r="F2002" s="5" t="s">
        <v>18054</v>
      </c>
      <c r="G2002" s="5" t="s">
        <v>18055</v>
      </c>
      <c r="H2002" s="1" t="s">
        <v>18056</v>
      </c>
      <c r="I2002" s="5" t="s">
        <v>18057</v>
      </c>
      <c r="J2002" s="7">
        <v>8</v>
      </c>
      <c r="K2002" s="7">
        <v>1.8</v>
      </c>
      <c r="L2002" s="5" t="s">
        <v>18058</v>
      </c>
      <c r="M2002" s="7">
        <v>0.5</v>
      </c>
      <c r="N2002" s="7">
        <v>0.4</v>
      </c>
      <c r="O2002" s="7">
        <v>0.26500000000000001</v>
      </c>
      <c r="P2002" s="1" t="s">
        <v>18059</v>
      </c>
    </row>
    <row r="2003" spans="1:16" ht="33.4" x14ac:dyDescent="0.3">
      <c r="A2003" s="6" t="str">
        <f>HYPERLINK("https://www.ti.com/product/TPS560200-Q1", "TPS560200-Q1")</f>
        <v>TPS560200-Q1</v>
      </c>
      <c r="B2003" s="5" t="s">
        <v>18060</v>
      </c>
      <c r="C2003" s="6" t="str">
        <f>HYPERLINK("https://www.ti.com/lit/gpn/TPS560200-Q1", "PDF")</f>
        <v>PDF</v>
      </c>
      <c r="D2003" s="5" t="s">
        <v>18061</v>
      </c>
      <c r="E2003" s="5" t="s">
        <v>18062</v>
      </c>
      <c r="F2003" s="5" t="s">
        <v>18063</v>
      </c>
      <c r="G2003" s="5" t="s">
        <v>18064</v>
      </c>
      <c r="H2003" s="1" t="s">
        <v>18065</v>
      </c>
      <c r="I2003" s="5" t="s">
        <v>18066</v>
      </c>
      <c r="J2003" s="7">
        <v>8</v>
      </c>
      <c r="K2003" s="7">
        <v>14.7</v>
      </c>
      <c r="L2003" s="5" t="s">
        <v>18067</v>
      </c>
      <c r="M2003" s="7">
        <v>1.1000000000000001</v>
      </c>
      <c r="N2003" s="7">
        <v>0.65</v>
      </c>
      <c r="O2003" s="7">
        <v>0.623</v>
      </c>
      <c r="P2003" s="1" t="s">
        <v>18068</v>
      </c>
    </row>
    <row r="2004" spans="1:16" ht="33.4" x14ac:dyDescent="0.3">
      <c r="A2004" s="6" t="str">
        <f>HYPERLINK("https://www.ti.com/product/TPS25940-Q1", "TPS25940-Q1")</f>
        <v>TPS25940-Q1</v>
      </c>
      <c r="B2004" s="5" t="s">
        <v>18069</v>
      </c>
      <c r="C2004" s="6" t="str">
        <f>HYPERLINK("https://www.ti.com/lit/gpn/TPS25940-Q1", "PDF")</f>
        <v>PDF</v>
      </c>
      <c r="D2004" s="5" t="s">
        <v>18070</v>
      </c>
      <c r="E2004" s="5" t="s">
        <v>18071</v>
      </c>
      <c r="F2004" s="5"/>
      <c r="G2004" s="5" t="s">
        <v>18072</v>
      </c>
      <c r="H2004" s="1" t="s">
        <v>18073</v>
      </c>
      <c r="I2004" s="5" t="s">
        <v>18074</v>
      </c>
      <c r="J2004" s="7">
        <v>20</v>
      </c>
      <c r="K2004" s="7">
        <v>12</v>
      </c>
      <c r="L2004" s="5" t="s">
        <v>18075</v>
      </c>
      <c r="M2004" s="7">
        <v>0.8</v>
      </c>
      <c r="N2004" s="7">
        <v>0.5</v>
      </c>
      <c r="O2004" s="7">
        <v>0.98099999999999998</v>
      </c>
      <c r="P2004" s="1" t="s">
        <v>18076</v>
      </c>
    </row>
    <row r="2005" spans="1:16" ht="82.5" x14ac:dyDescent="0.3">
      <c r="A2005" s="6" t="str">
        <f>HYPERLINK("https://www.ti.com/product/TPS612592", "TPS612592")</f>
        <v>TPS612592</v>
      </c>
      <c r="B2005" s="5" t="s">
        <v>18077</v>
      </c>
      <c r="C2005" s="6" t="str">
        <f>HYPERLINK("https://www.ti.com/lit/gpn/TPS612592", "PDF")</f>
        <v>PDF</v>
      </c>
      <c r="D2005" s="5" t="s">
        <v>18078</v>
      </c>
      <c r="E2005" s="5" t="s">
        <v>18079</v>
      </c>
      <c r="F2005" s="5" t="s">
        <v>18080</v>
      </c>
      <c r="G2005" s="5" t="s">
        <v>18081</v>
      </c>
      <c r="H2005" s="1" t="s">
        <v>18082</v>
      </c>
      <c r="I2005" s="5" t="s">
        <v>18083</v>
      </c>
      <c r="J2005" s="7">
        <v>9</v>
      </c>
      <c r="K2005" s="7">
        <v>1.9600000000000002</v>
      </c>
      <c r="L2005" s="5" t="s">
        <v>18084</v>
      </c>
      <c r="M2005" s="7">
        <v>0.625</v>
      </c>
      <c r="N2005" s="7">
        <v>0.4</v>
      </c>
      <c r="O2005" s="7">
        <v>0.41799999999999998</v>
      </c>
      <c r="P2005" s="1" t="s">
        <v>18085</v>
      </c>
    </row>
    <row r="2006" spans="1:16" ht="17.05" x14ac:dyDescent="0.3">
      <c r="A2006" s="6" t="str">
        <f>HYPERLINK("https://www.ti.com/product/TLC6C5912", "TLC6C5912")</f>
        <v>TLC6C5912</v>
      </c>
      <c r="B2006" s="5" t="s">
        <v>18086</v>
      </c>
      <c r="C2006" s="6" t="str">
        <f>HYPERLINK("https://www.ti.com/lit/gpn/TLC6C5912", "PDF")</f>
        <v>PDF</v>
      </c>
      <c r="D2006" s="5" t="s">
        <v>18087</v>
      </c>
      <c r="E2006" s="5" t="s">
        <v>18088</v>
      </c>
      <c r="F2006" s="5" t="s">
        <v>18089</v>
      </c>
      <c r="G2006" s="5" t="s">
        <v>18090</v>
      </c>
      <c r="H2006" s="1" t="s">
        <v>18091</v>
      </c>
      <c r="I2006" s="5" t="s">
        <v>18092</v>
      </c>
      <c r="J2006" s="7">
        <v>20</v>
      </c>
      <c r="K2006" s="7">
        <v>41.6</v>
      </c>
      <c r="L2006" s="5" t="s">
        <v>18093</v>
      </c>
      <c r="M2006" s="7">
        <v>1.2</v>
      </c>
      <c r="N2006" s="7">
        <v>0.65</v>
      </c>
      <c r="O2006" s="7">
        <v>0.57599999999999996</v>
      </c>
      <c r="P2006" s="1" t="s">
        <v>18094</v>
      </c>
    </row>
    <row r="2007" spans="1:16" ht="17.05" x14ac:dyDescent="0.3">
      <c r="A2007" s="6" t="str">
        <f>HYPERLINK("https://www.ti.com/product/TLC6C598", "TLC6C598")</f>
        <v>TLC6C598</v>
      </c>
      <c r="B2007" s="5" t="s">
        <v>18095</v>
      </c>
      <c r="C2007" s="6" t="str">
        <f>HYPERLINK("https://www.ti.com/lit/gpn/TLC6C598", "PDF")</f>
        <v>PDF</v>
      </c>
      <c r="D2007" s="5" t="s">
        <v>18096</v>
      </c>
      <c r="E2007" s="5" t="s">
        <v>18097</v>
      </c>
      <c r="F2007" s="5" t="s">
        <v>18098</v>
      </c>
      <c r="G2007" s="5" t="s">
        <v>18099</v>
      </c>
      <c r="H2007" s="1" t="s">
        <v>18100</v>
      </c>
      <c r="I2007" s="5" t="s">
        <v>18101</v>
      </c>
      <c r="J2007" s="7">
        <v>16</v>
      </c>
      <c r="K2007" s="7">
        <v>32</v>
      </c>
      <c r="L2007" s="5" t="s">
        <v>18102</v>
      </c>
      <c r="M2007" s="7">
        <v>1.2</v>
      </c>
      <c r="N2007" s="7">
        <v>0.65</v>
      </c>
      <c r="O2007" s="7">
        <v>0.36099999999999999</v>
      </c>
      <c r="P2007" s="1" t="s">
        <v>18103</v>
      </c>
    </row>
    <row r="2008" spans="1:16" ht="33.4" x14ac:dyDescent="0.3">
      <c r="A2008" s="6" t="str">
        <f>HYPERLINK("https://www.ti.com/product/TPS7B69", "TPS7B69")</f>
        <v>TPS7B69</v>
      </c>
      <c r="B2008" s="5" t="s">
        <v>18104</v>
      </c>
      <c r="C2008" s="6" t="str">
        <f>HYPERLINK("https://www.ti.com/lit/gpn/TPS7B69", "PDF")</f>
        <v>PDF</v>
      </c>
      <c r="D2008" s="5" t="s">
        <v>18105</v>
      </c>
      <c r="E2008" s="5" t="s">
        <v>18106</v>
      </c>
      <c r="F2008" s="5"/>
      <c r="G2008" s="5" t="s">
        <v>18107</v>
      </c>
      <c r="H2008" s="1" t="s">
        <v>18108</v>
      </c>
      <c r="I2008" s="5" t="s">
        <v>18109</v>
      </c>
      <c r="J2008" s="7">
        <v>5</v>
      </c>
      <c r="K2008" s="7">
        <v>8.1199999999999992</v>
      </c>
      <c r="L2008" s="5" t="s">
        <v>18110</v>
      </c>
      <c r="M2008" s="7">
        <v>1.45</v>
      </c>
      <c r="N2008" s="7">
        <v>0.95</v>
      </c>
      <c r="O2008" s="7">
        <v>0.32800000000000001</v>
      </c>
      <c r="P2008" s="1" t="s">
        <v>18111</v>
      </c>
    </row>
    <row r="2009" spans="1:16" ht="33.4" x14ac:dyDescent="0.3">
      <c r="A2009" s="6" t="str">
        <f>HYPERLINK("https://www.ti.com/product/TPS4H160-Q1", "TPS4H160-Q1")</f>
        <v>TPS4H160-Q1</v>
      </c>
      <c r="B2009" s="5" t="s">
        <v>18112</v>
      </c>
      <c r="C2009" s="6" t="str">
        <f>HYPERLINK("https://www.ti.com/lit/gpn/TPS4H160-Q1", "PDF")</f>
        <v>PDF</v>
      </c>
      <c r="D2009" s="5" t="s">
        <v>18113</v>
      </c>
      <c r="E2009" s="5" t="s">
        <v>18114</v>
      </c>
      <c r="F2009" s="5"/>
      <c r="G2009" s="5" t="s">
        <v>18115</v>
      </c>
      <c r="H2009" s="1" t="s">
        <v>18116</v>
      </c>
      <c r="I2009" s="5" t="s">
        <v>18117</v>
      </c>
      <c r="J2009" s="7">
        <v>28</v>
      </c>
      <c r="K2009" s="7">
        <v>62.08</v>
      </c>
      <c r="L2009" s="5" t="s">
        <v>18118</v>
      </c>
      <c r="M2009" s="7">
        <v>1.2</v>
      </c>
      <c r="N2009" s="7">
        <v>0.65</v>
      </c>
      <c r="O2009" s="7">
        <v>1.23</v>
      </c>
      <c r="P2009" s="1" t="s">
        <v>18119</v>
      </c>
    </row>
    <row r="2010" spans="1:16" ht="33.4" x14ac:dyDescent="0.3">
      <c r="A2010" s="6" t="str">
        <f>HYPERLINK("https://www.ti.com/product/TPS3890", "TPS3890")</f>
        <v>TPS3890</v>
      </c>
      <c r="B2010" s="5" t="s">
        <v>18120</v>
      </c>
      <c r="C2010" s="6" t="str">
        <f>HYPERLINK("https://www.ti.com/lit/gpn/TPS3890", "PDF")</f>
        <v>PDF</v>
      </c>
      <c r="D2010" s="5" t="s">
        <v>18121</v>
      </c>
      <c r="E2010" s="5" t="s">
        <v>18122</v>
      </c>
      <c r="F2010" s="5"/>
      <c r="G2010" s="5" t="s">
        <v>18123</v>
      </c>
      <c r="H2010" s="1" t="s">
        <v>18124</v>
      </c>
      <c r="I2010" s="5" t="s">
        <v>18125</v>
      </c>
      <c r="J2010" s="7">
        <v>6</v>
      </c>
      <c r="K2010" s="7">
        <v>2.25</v>
      </c>
      <c r="L2010" s="5" t="s">
        <v>18126</v>
      </c>
      <c r="M2010" s="7">
        <v>0.8</v>
      </c>
      <c r="N2010" s="7">
        <v>0.5</v>
      </c>
      <c r="O2010" s="7">
        <v>0.60599999999999998</v>
      </c>
      <c r="P2010" s="1" t="s">
        <v>18127</v>
      </c>
    </row>
    <row r="2011" spans="1:16" ht="33.4" x14ac:dyDescent="0.3">
      <c r="A2011" s="6" t="str">
        <f>HYPERLINK("https://www.ti.com/product/TPS7B4254-Q1", "TPS7B4254-Q1")</f>
        <v>TPS7B4254-Q1</v>
      </c>
      <c r="B2011" s="5" t="s">
        <v>18128</v>
      </c>
      <c r="C2011" s="6" t="str">
        <f>HYPERLINK("https://www.ti.com/lit/gpn/TPS7B4254-Q1", "PDF")</f>
        <v>PDF</v>
      </c>
      <c r="D2011" s="5" t="s">
        <v>18129</v>
      </c>
      <c r="E2011" s="5" t="s">
        <v>18130</v>
      </c>
      <c r="F2011" s="5"/>
      <c r="G2011" s="5" t="s">
        <v>18131</v>
      </c>
      <c r="H2011" s="1" t="s">
        <v>18132</v>
      </c>
      <c r="I2011" s="5" t="s">
        <v>18133</v>
      </c>
      <c r="J2011" s="7">
        <v>8</v>
      </c>
      <c r="K2011" s="7">
        <v>29.4</v>
      </c>
      <c r="L2011" s="5" t="s">
        <v>18134</v>
      </c>
      <c r="M2011" s="7">
        <v>1.7</v>
      </c>
      <c r="N2011" s="7">
        <v>1.27</v>
      </c>
      <c r="O2011" s="7">
        <v>0.80800000000000005</v>
      </c>
      <c r="P2011" s="1" t="s">
        <v>18135</v>
      </c>
    </row>
    <row r="2012" spans="1:16" ht="33.4" x14ac:dyDescent="0.3">
      <c r="A2012" s="6" t="str">
        <f>HYPERLINK("https://www.ti.com/product/LMR16010", "LMR16010")</f>
        <v>LMR16010</v>
      </c>
      <c r="B2012" s="5" t="s">
        <v>18136</v>
      </c>
      <c r="C2012" s="6" t="str">
        <f>HYPERLINK("https://www.ti.com/lit/gpn/LMR16010", "PDF")</f>
        <v>PDF</v>
      </c>
      <c r="D2012" s="5" t="s">
        <v>18137</v>
      </c>
      <c r="E2012" s="5" t="s">
        <v>18138</v>
      </c>
      <c r="F2012" s="5" t="s">
        <v>18139</v>
      </c>
      <c r="G2012" s="5" t="s">
        <v>18140</v>
      </c>
      <c r="H2012" s="1" t="s">
        <v>18141</v>
      </c>
      <c r="I2012" s="5" t="s">
        <v>18142</v>
      </c>
      <c r="J2012" s="7">
        <v>8</v>
      </c>
      <c r="K2012" s="7">
        <v>29.4</v>
      </c>
      <c r="L2012" s="5" t="s">
        <v>18143</v>
      </c>
      <c r="M2012" s="7">
        <v>1.7</v>
      </c>
      <c r="N2012" s="7">
        <v>1.27</v>
      </c>
      <c r="O2012" s="7">
        <v>1.5029999999999999</v>
      </c>
      <c r="P2012" s="1" t="s">
        <v>18144</v>
      </c>
    </row>
    <row r="2013" spans="1:16" ht="33.4" x14ac:dyDescent="0.3">
      <c r="A2013" s="6" t="str">
        <f>HYPERLINK("https://www.ti.com/product/LMR16020", "LMR16020")</f>
        <v>LMR16020</v>
      </c>
      <c r="B2013" s="5" t="s">
        <v>18145</v>
      </c>
      <c r="C2013" s="6" t="str">
        <f>HYPERLINK("https://www.ti.com/lit/gpn/LMR16020", "PDF")</f>
        <v>PDF</v>
      </c>
      <c r="D2013" s="5" t="s">
        <v>18146</v>
      </c>
      <c r="E2013" s="5" t="s">
        <v>18147</v>
      </c>
      <c r="F2013" s="5" t="s">
        <v>18148</v>
      </c>
      <c r="G2013" s="5" t="s">
        <v>18149</v>
      </c>
      <c r="H2013" s="1" t="s">
        <v>18150</v>
      </c>
      <c r="I2013" s="5" t="s">
        <v>18151</v>
      </c>
      <c r="J2013" s="7">
        <v>8</v>
      </c>
      <c r="K2013" s="7">
        <v>29.4</v>
      </c>
      <c r="L2013" s="5" t="s">
        <v>18152</v>
      </c>
      <c r="M2013" s="7">
        <v>1.7</v>
      </c>
      <c r="N2013" s="7">
        <v>1.27</v>
      </c>
      <c r="O2013" s="7">
        <v>1.748</v>
      </c>
      <c r="P2013" s="1" t="s">
        <v>18153</v>
      </c>
    </row>
    <row r="2014" spans="1:16" ht="33.4" x14ac:dyDescent="0.3">
      <c r="A2014" s="6" t="str">
        <f>HYPERLINK("https://www.ti.com/product/LMR16030", "LMR16030")</f>
        <v>LMR16030</v>
      </c>
      <c r="B2014" s="5" t="s">
        <v>18154</v>
      </c>
      <c r="C2014" s="6" t="str">
        <f>HYPERLINK("https://www.ti.com/lit/gpn/LMR16030", "PDF")</f>
        <v>PDF</v>
      </c>
      <c r="D2014" s="5" t="s">
        <v>18155</v>
      </c>
      <c r="E2014" s="5" t="s">
        <v>18156</v>
      </c>
      <c r="F2014" s="5" t="s">
        <v>18157</v>
      </c>
      <c r="G2014" s="5" t="s">
        <v>18158</v>
      </c>
      <c r="H2014" s="1" t="s">
        <v>18159</v>
      </c>
      <c r="I2014" s="5" t="s">
        <v>18160</v>
      </c>
      <c r="J2014" s="7">
        <v>8</v>
      </c>
      <c r="K2014" s="7">
        <v>29.4</v>
      </c>
      <c r="L2014" s="5" t="s">
        <v>18161</v>
      </c>
      <c r="M2014" s="7">
        <v>1.7</v>
      </c>
      <c r="N2014" s="7">
        <v>1.27</v>
      </c>
      <c r="O2014" s="7">
        <v>1.67</v>
      </c>
      <c r="P2014" s="1" t="s">
        <v>18162</v>
      </c>
    </row>
    <row r="2015" spans="1:16" ht="33.4" x14ac:dyDescent="0.3">
      <c r="A2015" s="6" t="str">
        <f>HYPERLINK("https://www.ti.com/product/CSD19538Q3A", "CSD19538Q3A")</f>
        <v>CSD19538Q3A</v>
      </c>
      <c r="B2015" s="5" t="s">
        <v>18163</v>
      </c>
      <c r="C2015" s="6" t="str">
        <f>HYPERLINK("https://www.ti.com/lit/gpn/CSD19538Q3A", "PDF")</f>
        <v>PDF</v>
      </c>
      <c r="D2015" s="5" t="s">
        <v>18164</v>
      </c>
      <c r="E2015" s="5" t="s">
        <v>18165</v>
      </c>
      <c r="F2015" s="5"/>
      <c r="G2015" s="5" t="s">
        <v>18166</v>
      </c>
      <c r="H2015" s="1" t="s">
        <v>18167</v>
      </c>
      <c r="I2015" s="5" t="s">
        <v>18168</v>
      </c>
      <c r="J2015" s="7">
        <v>8</v>
      </c>
      <c r="K2015" s="7">
        <v>10.89</v>
      </c>
      <c r="L2015" s="5" t="s">
        <v>18169</v>
      </c>
      <c r="M2015" s="7">
        <v>0.9</v>
      </c>
      <c r="N2015" s="7">
        <v>0.65</v>
      </c>
      <c r="O2015" s="7">
        <v>0.152</v>
      </c>
      <c r="P2015" s="1" t="s">
        <v>18170</v>
      </c>
    </row>
    <row r="2016" spans="1:16" ht="33.4" x14ac:dyDescent="0.3">
      <c r="A2016" s="6" t="str">
        <f>HYPERLINK("https://www.ti.com/product/LM53635-Q1", "LM53635-Q1")</f>
        <v>LM53635-Q1</v>
      </c>
      <c r="B2016" s="5" t="s">
        <v>18171</v>
      </c>
      <c r="C2016" s="6" t="str">
        <f>HYPERLINK("https://www.ti.com/lit/gpn/LM53635-Q1", "PDF")</f>
        <v>PDF</v>
      </c>
      <c r="D2016" s="5" t="s">
        <v>18172</v>
      </c>
      <c r="E2016" s="5" t="s">
        <v>18173</v>
      </c>
      <c r="F2016" s="5" t="s">
        <v>18174</v>
      </c>
      <c r="G2016" s="5" t="s">
        <v>18175</v>
      </c>
      <c r="H2016" s="1" t="s">
        <v>18176</v>
      </c>
      <c r="I2016" s="5" t="s">
        <v>18177</v>
      </c>
      <c r="J2016" s="7">
        <v>22</v>
      </c>
      <c r="K2016" s="7">
        <v>20</v>
      </c>
      <c r="L2016" s="5" t="s">
        <v>18178</v>
      </c>
      <c r="M2016" s="7">
        <v>0.9</v>
      </c>
      <c r="N2016" s="7">
        <v>0.5</v>
      </c>
      <c r="O2016" s="7">
        <v>2.7839999999999998</v>
      </c>
      <c r="P2016" s="1" t="s">
        <v>18179</v>
      </c>
    </row>
    <row r="2017" spans="1:16" ht="33.4" x14ac:dyDescent="0.3">
      <c r="A2017" s="6" t="str">
        <f>HYPERLINK("https://www.ti.com/product/LM53625-Q1", "LM53625-Q1")</f>
        <v>LM53625-Q1</v>
      </c>
      <c r="B2017" s="5" t="s">
        <v>18180</v>
      </c>
      <c r="C2017" s="6" t="str">
        <f>HYPERLINK("https://www.ti.com/lit/gpn/LM53625-Q1", "PDF")</f>
        <v>PDF</v>
      </c>
      <c r="D2017" s="5" t="s">
        <v>18181</v>
      </c>
      <c r="E2017" s="5" t="s">
        <v>18182</v>
      </c>
      <c r="F2017" s="5" t="s">
        <v>18183</v>
      </c>
      <c r="G2017" s="5" t="s">
        <v>18184</v>
      </c>
      <c r="H2017" s="1" t="s">
        <v>18185</v>
      </c>
      <c r="I2017" s="5" t="s">
        <v>18186</v>
      </c>
      <c r="J2017" s="7">
        <v>22</v>
      </c>
      <c r="K2017" s="7">
        <v>20</v>
      </c>
      <c r="L2017" s="5" t="s">
        <v>18187</v>
      </c>
      <c r="M2017" s="7">
        <v>0.9</v>
      </c>
      <c r="N2017" s="7">
        <v>0.5</v>
      </c>
      <c r="O2017" s="7">
        <v>2.3839999999999999</v>
      </c>
      <c r="P2017" s="1" t="s">
        <v>18188</v>
      </c>
    </row>
    <row r="2018" spans="1:16" ht="33.4" x14ac:dyDescent="0.3">
      <c r="A2018" s="6" t="str">
        <f>HYPERLINK("https://www.ti.com/product/CSD18541F5", "CSD18541F5")</f>
        <v>CSD18541F5</v>
      </c>
      <c r="B2018" s="5" t="s">
        <v>18189</v>
      </c>
      <c r="C2018" s="6" t="str">
        <f>HYPERLINK("https://www.ti.com/lit/gpn/CSD18541F5", "PDF")</f>
        <v>PDF</v>
      </c>
      <c r="D2018" s="5" t="s">
        <v>18190</v>
      </c>
      <c r="E2018" s="5" t="s">
        <v>18191</v>
      </c>
      <c r="F2018" s="5"/>
      <c r="G2018" s="5" t="s">
        <v>18192</v>
      </c>
      <c r="H2018" s="1" t="s">
        <v>18193</v>
      </c>
      <c r="I2018" s="5" t="s">
        <v>18194</v>
      </c>
      <c r="J2018" s="7">
        <v>3</v>
      </c>
      <c r="K2018" s="7">
        <v>1.0876999999999999</v>
      </c>
      <c r="L2018" s="5" t="s">
        <v>18195</v>
      </c>
      <c r="M2018" s="7">
        <v>0.36</v>
      </c>
      <c r="N2018" s="7">
        <v>0.5</v>
      </c>
      <c r="O2018" s="7">
        <v>6.4000000000000001E-2</v>
      </c>
      <c r="P2018" s="1" t="s">
        <v>18196</v>
      </c>
    </row>
    <row r="2019" spans="1:16" ht="33.4" x14ac:dyDescent="0.3">
      <c r="A2019" s="6" t="str">
        <f>HYPERLINK("https://www.ti.com/product/LP5912-Q1", "LP5912-Q1")</f>
        <v>LP5912-Q1</v>
      </c>
      <c r="B2019" s="5" t="s">
        <v>18197</v>
      </c>
      <c r="C2019" s="6" t="str">
        <f>HYPERLINK("https://www.ti.com/lit/gpn/LP5912-Q1", "PDF")</f>
        <v>PDF</v>
      </c>
      <c r="D2019" s="5" t="s">
        <v>18198</v>
      </c>
      <c r="E2019" s="5" t="s">
        <v>18199</v>
      </c>
      <c r="F2019" s="5"/>
      <c r="G2019" s="5" t="s">
        <v>18200</v>
      </c>
      <c r="H2019" s="1" t="s">
        <v>18201</v>
      </c>
      <c r="I2019" s="5" t="s">
        <v>18202</v>
      </c>
      <c r="J2019" s="7">
        <v>6</v>
      </c>
      <c r="K2019" s="7">
        <v>4</v>
      </c>
      <c r="L2019" s="5" t="s">
        <v>18203</v>
      </c>
      <c r="M2019" s="7">
        <v>0.8</v>
      </c>
      <c r="N2019" s="7">
        <v>0.65</v>
      </c>
      <c r="O2019" s="7">
        <v>0.47899999999999998</v>
      </c>
      <c r="P2019" s="1" t="s">
        <v>18204</v>
      </c>
    </row>
    <row r="2020" spans="1:16" ht="33.4" x14ac:dyDescent="0.3">
      <c r="A2020" s="6" t="str">
        <f>HYPERLINK("https://www.ti.com/product/TPS564201", "TPS564201")</f>
        <v>TPS564201</v>
      </c>
      <c r="B2020" s="5" t="s">
        <v>18205</v>
      </c>
      <c r="C2020" s="6" t="str">
        <f>HYPERLINK("https://www.ti.com/lit/gpn/TPS564201", "PDF")</f>
        <v>PDF</v>
      </c>
      <c r="D2020" s="5" t="s">
        <v>18206</v>
      </c>
      <c r="E2020" s="5" t="s">
        <v>18207</v>
      </c>
      <c r="F2020" s="5" t="s">
        <v>18208</v>
      </c>
      <c r="G2020" s="5" t="s">
        <v>18209</v>
      </c>
      <c r="H2020" s="1" t="s">
        <v>18210</v>
      </c>
      <c r="I2020" s="5" t="s">
        <v>18211</v>
      </c>
      <c r="J2020" s="7">
        <v>6</v>
      </c>
      <c r="K2020" s="7">
        <v>8.1199999999999992</v>
      </c>
      <c r="L2020" s="5" t="s">
        <v>18212</v>
      </c>
      <c r="M2020" s="7">
        <v>1.1000000000000001</v>
      </c>
      <c r="N2020" s="7">
        <v>0.95</v>
      </c>
      <c r="O2020" s="7">
        <v>0.44</v>
      </c>
      <c r="P2020" s="1" t="s">
        <v>18213</v>
      </c>
    </row>
    <row r="2021" spans="1:16" ht="33.4" x14ac:dyDescent="0.3">
      <c r="A2021" s="6" t="str">
        <f>HYPERLINK("https://www.ti.com/product/CSD15380F3", "CSD15380F3")</f>
        <v>CSD15380F3</v>
      </c>
      <c r="B2021" s="5" t="s">
        <v>18214</v>
      </c>
      <c r="C2021" s="6" t="str">
        <f>HYPERLINK("https://www.ti.com/lit/gpn/CSD15380F3", "PDF")</f>
        <v>PDF</v>
      </c>
      <c r="D2021" s="5" t="s">
        <v>18215</v>
      </c>
      <c r="E2021" s="5" t="s">
        <v>18216</v>
      </c>
      <c r="F2021" s="5"/>
      <c r="G2021" s="5" t="s">
        <v>18217</v>
      </c>
      <c r="H2021" s="1" t="s">
        <v>18218</v>
      </c>
      <c r="I2021" s="5" t="s">
        <v>18219</v>
      </c>
      <c r="J2021" s="7">
        <v>3</v>
      </c>
      <c r="K2021" s="7">
        <v>0.41399999999999998</v>
      </c>
      <c r="L2021" s="5" t="s">
        <v>18220</v>
      </c>
      <c r="M2021" s="7">
        <v>0.36</v>
      </c>
      <c r="N2021" s="7">
        <v>0.35</v>
      </c>
      <c r="O2021" s="7">
        <v>3.2000000000000001E-2</v>
      </c>
      <c r="P2021" s="1" t="s">
        <v>18221</v>
      </c>
    </row>
    <row r="2022" spans="1:16" ht="33.4" x14ac:dyDescent="0.3">
      <c r="A2022" s="6" t="str">
        <f>HYPERLINK("https://www.ti.com/product/TPS54202H", "TPS54202H")</f>
        <v>TPS54202H</v>
      </c>
      <c r="B2022" s="5" t="s">
        <v>18222</v>
      </c>
      <c r="C2022" s="6" t="str">
        <f>HYPERLINK("https://www.ti.com/lit/gpn/TPS54202H", "PDF")</f>
        <v>PDF</v>
      </c>
      <c r="D2022" s="5" t="s">
        <v>18223</v>
      </c>
      <c r="E2022" s="5" t="s">
        <v>18224</v>
      </c>
      <c r="F2022" s="5" t="s">
        <v>18225</v>
      </c>
      <c r="G2022" s="5" t="s">
        <v>18226</v>
      </c>
      <c r="H2022" s="1" t="s">
        <v>18227</v>
      </c>
      <c r="I2022" s="5" t="s">
        <v>18228</v>
      </c>
      <c r="J2022" s="7">
        <v>6</v>
      </c>
      <c r="K2022" s="7">
        <v>8.1199999999999992</v>
      </c>
      <c r="L2022" s="5" t="s">
        <v>18229</v>
      </c>
      <c r="M2022" s="7">
        <v>1.1000000000000001</v>
      </c>
      <c r="N2022" s="7">
        <v>0.95</v>
      </c>
      <c r="O2022" s="7">
        <v>0.4</v>
      </c>
      <c r="P2022" s="1" t="s">
        <v>18230</v>
      </c>
    </row>
    <row r="2023" spans="1:16" ht="33.4" x14ac:dyDescent="0.3">
      <c r="A2023" s="6" t="str">
        <f>HYPERLINK("https://www.ti.com/product/TPS548D22", "TPS548D22")</f>
        <v>TPS548D22</v>
      </c>
      <c r="B2023" s="5" t="s">
        <v>18231</v>
      </c>
      <c r="C2023" s="6" t="str">
        <f>HYPERLINK("https://www.ti.com/lit/gpn/TPS548D22", "PDF")</f>
        <v>PDF</v>
      </c>
      <c r="D2023" s="5" t="s">
        <v>18232</v>
      </c>
      <c r="E2023" s="5" t="s">
        <v>18233</v>
      </c>
      <c r="F2023" s="5" t="s">
        <v>18234</v>
      </c>
      <c r="G2023" s="5" t="s">
        <v>18235</v>
      </c>
      <c r="H2023" s="1" t="s">
        <v>18236</v>
      </c>
      <c r="I2023" s="5" t="s">
        <v>18237</v>
      </c>
      <c r="J2023" s="7">
        <v>40</v>
      </c>
      <c r="K2023" s="7">
        <v>35</v>
      </c>
      <c r="L2023" s="5" t="s">
        <v>18238</v>
      </c>
      <c r="M2023" s="7">
        <v>1.52</v>
      </c>
      <c r="N2023" s="7">
        <v>0.5</v>
      </c>
      <c r="O2023" s="7">
        <v>4.2089999999999996</v>
      </c>
      <c r="P2023" s="1" t="s">
        <v>18239</v>
      </c>
    </row>
    <row r="2024" spans="1:16" ht="33.4" x14ac:dyDescent="0.3">
      <c r="A2024" s="6" t="str">
        <f>HYPERLINK("https://www.ti.com/product/LMZ34202", "LMZ34202")</f>
        <v>LMZ34202</v>
      </c>
      <c r="B2024" s="5" t="s">
        <v>18240</v>
      </c>
      <c r="C2024" s="6" t="str">
        <f>HYPERLINK("https://www.ti.com/lit/gpn/LMZ34202", "PDF")</f>
        <v>PDF</v>
      </c>
      <c r="D2024" s="5" t="s">
        <v>18241</v>
      </c>
      <c r="E2024" s="5" t="s">
        <v>18242</v>
      </c>
      <c r="F2024" s="5" t="s">
        <v>18243</v>
      </c>
      <c r="G2024" s="5" t="s">
        <v>18244</v>
      </c>
      <c r="H2024" s="1" t="s">
        <v>18245</v>
      </c>
      <c r="I2024" s="5" t="s">
        <v>18246</v>
      </c>
      <c r="J2024" s="7">
        <v>43</v>
      </c>
      <c r="K2024" s="7">
        <v>100</v>
      </c>
      <c r="L2024" s="5" t="s">
        <v>18247</v>
      </c>
      <c r="M2024" s="7">
        <v>4.4000000000000004</v>
      </c>
      <c r="N2024" s="7">
        <v>0.8</v>
      </c>
      <c r="O2024" s="7">
        <v>4.7759999999999998</v>
      </c>
      <c r="P2024" s="1" t="s">
        <v>18248</v>
      </c>
    </row>
    <row r="2025" spans="1:16" ht="33.4" x14ac:dyDescent="0.3">
      <c r="A2025" s="6" t="str">
        <f>HYPERLINK("https://www.ti.com/product/TPS610987", "TPS610987")</f>
        <v>TPS610987</v>
      </c>
      <c r="B2025" s="5" t="s">
        <v>18249</v>
      </c>
      <c r="C2025" s="6" t="str">
        <f>HYPERLINK("https://www.ti.com/lit/gpn/TPS610987", "PDF")</f>
        <v>PDF</v>
      </c>
      <c r="D2025" s="5" t="s">
        <v>18250</v>
      </c>
      <c r="E2025" s="5" t="s">
        <v>18251</v>
      </c>
      <c r="F2025" s="5" t="s">
        <v>18252</v>
      </c>
      <c r="G2025" s="5" t="s">
        <v>18253</v>
      </c>
      <c r="H2025" s="1" t="s">
        <v>18254</v>
      </c>
      <c r="I2025" s="5" t="s">
        <v>18255</v>
      </c>
      <c r="J2025" s="7">
        <v>6</v>
      </c>
      <c r="K2025" s="7">
        <v>2.25</v>
      </c>
      <c r="L2025" s="5" t="s">
        <v>18256</v>
      </c>
      <c r="M2025" s="7">
        <v>0.8</v>
      </c>
      <c r="N2025" s="7">
        <v>0.5</v>
      </c>
      <c r="O2025" s="7">
        <v>0.55300000000000005</v>
      </c>
      <c r="P2025" s="1" t="s">
        <v>18257</v>
      </c>
    </row>
    <row r="2026" spans="1:16" ht="33.4" x14ac:dyDescent="0.3">
      <c r="A2026" s="6" t="str">
        <f>HYPERLINK("https://www.ti.com/product/TPS61089", "TPS61089")</f>
        <v>TPS61089</v>
      </c>
      <c r="B2026" s="5" t="s">
        <v>18258</v>
      </c>
      <c r="C2026" s="6" t="str">
        <f>HYPERLINK("https://www.ti.com/lit/gpn/TPS61089", "PDF")</f>
        <v>PDF</v>
      </c>
      <c r="D2026" s="5" t="s">
        <v>18259</v>
      </c>
      <c r="E2026" s="5" t="s">
        <v>18260</v>
      </c>
      <c r="F2026" s="5" t="s">
        <v>18261</v>
      </c>
      <c r="G2026" s="5" t="s">
        <v>18262</v>
      </c>
      <c r="H2026" s="1" t="s">
        <v>18263</v>
      </c>
      <c r="I2026" s="5" t="s">
        <v>18264</v>
      </c>
      <c r="J2026" s="7">
        <v>11</v>
      </c>
      <c r="K2026" s="7">
        <v>5</v>
      </c>
      <c r="L2026" s="5" t="s">
        <v>18265</v>
      </c>
      <c r="M2026" s="7">
        <v>1</v>
      </c>
      <c r="N2026" s="7">
        <v>0.5</v>
      </c>
      <c r="O2026" s="7">
        <v>1.012</v>
      </c>
      <c r="P2026" s="1" t="s">
        <v>18266</v>
      </c>
    </row>
    <row r="2027" spans="1:16" ht="33.4" x14ac:dyDescent="0.3">
      <c r="A2027" s="6" t="str">
        <f>HYPERLINK("https://www.ti.com/product/TPS54A20", "TPS54A20")</f>
        <v>TPS54A20</v>
      </c>
      <c r="B2027" s="5" t="s">
        <v>18267</v>
      </c>
      <c r="C2027" s="6" t="str">
        <f>HYPERLINK("https://www.ti.com/lit/gpn/TPS54A20", "PDF")</f>
        <v>PDF</v>
      </c>
      <c r="D2027" s="5" t="s">
        <v>18268</v>
      </c>
      <c r="E2027" s="5" t="s">
        <v>18269</v>
      </c>
      <c r="F2027" s="5" t="s">
        <v>18270</v>
      </c>
      <c r="G2027" s="5" t="s">
        <v>18271</v>
      </c>
      <c r="H2027" s="1" t="s">
        <v>18272</v>
      </c>
      <c r="I2027" s="5" t="s">
        <v>18273</v>
      </c>
      <c r="J2027" s="7">
        <v>20</v>
      </c>
      <c r="K2027" s="7">
        <v>14</v>
      </c>
      <c r="L2027" s="5" t="s">
        <v>18274</v>
      </c>
      <c r="M2027" s="7">
        <v>1</v>
      </c>
      <c r="N2027" s="7">
        <v>0.5</v>
      </c>
      <c r="O2027" s="7">
        <v>3.5419999999999998</v>
      </c>
      <c r="P2027" s="1" t="s">
        <v>18275</v>
      </c>
    </row>
    <row r="2028" spans="1:16" ht="33.4" x14ac:dyDescent="0.3">
      <c r="A2028" s="6" t="str">
        <f>HYPERLINK("https://www.ti.com/product/LP5912", "LP5912")</f>
        <v>LP5912</v>
      </c>
      <c r="B2028" s="5" t="s">
        <v>18276</v>
      </c>
      <c r="C2028" s="6" t="str">
        <f>HYPERLINK("https://www.ti.com/lit/gpn/LP5912", "PDF")</f>
        <v>PDF</v>
      </c>
      <c r="D2028" s="5" t="s">
        <v>18277</v>
      </c>
      <c r="E2028" s="5" t="s">
        <v>18278</v>
      </c>
      <c r="F2028" s="5"/>
      <c r="G2028" s="5" t="s">
        <v>18279</v>
      </c>
      <c r="H2028" s="1" t="s">
        <v>18280</v>
      </c>
      <c r="I2028" s="5" t="s">
        <v>18281</v>
      </c>
      <c r="J2028" s="7">
        <v>6</v>
      </c>
      <c r="K2028" s="7">
        <v>4</v>
      </c>
      <c r="L2028" s="5" t="s">
        <v>18282</v>
      </c>
      <c r="M2028" s="7">
        <v>0.8</v>
      </c>
      <c r="N2028" s="7">
        <v>0.65</v>
      </c>
      <c r="O2028" s="7">
        <v>0.40400000000000003</v>
      </c>
      <c r="P2028" s="1" t="s">
        <v>18283</v>
      </c>
    </row>
    <row r="2029" spans="1:16" ht="33.4" x14ac:dyDescent="0.3">
      <c r="A2029" s="6" t="str">
        <f>HYPERLINK("https://www.ti.com/product/LM5175-Q1", "LM5175-Q1")</f>
        <v>LM5175-Q1</v>
      </c>
      <c r="B2029" s="5" t="s">
        <v>18284</v>
      </c>
      <c r="C2029" s="6" t="str">
        <f>HYPERLINK("https://www.ti.com/lit/gpn/LM5175-Q1", "PDF")</f>
        <v>PDF</v>
      </c>
      <c r="D2029" s="5" t="s">
        <v>18285</v>
      </c>
      <c r="E2029" s="5" t="s">
        <v>18286</v>
      </c>
      <c r="F2029" s="5" t="s">
        <v>18287</v>
      </c>
      <c r="G2029" s="5" t="s">
        <v>18288</v>
      </c>
      <c r="H2029" s="1" t="s">
        <v>18289</v>
      </c>
      <c r="I2029" s="5" t="s">
        <v>18290</v>
      </c>
      <c r="J2029" s="7">
        <v>28</v>
      </c>
      <c r="K2029" s="7">
        <v>62.08</v>
      </c>
      <c r="L2029" s="5" t="s">
        <v>18291</v>
      </c>
      <c r="M2029" s="7">
        <v>1.2</v>
      </c>
      <c r="N2029" s="7">
        <v>0.65</v>
      </c>
      <c r="O2029" s="7">
        <v>4.0720000000000001</v>
      </c>
      <c r="P2029" s="1" t="s">
        <v>18292</v>
      </c>
    </row>
    <row r="2030" spans="1:16" ht="17.05" x14ac:dyDescent="0.3">
      <c r="A2030" s="6" t="str">
        <f>HYPERLINK("https://www.ti.com/product/TLC59116-Q1", "TLC59116-Q1")</f>
        <v>TLC59116-Q1</v>
      </c>
      <c r="B2030" s="5" t="s">
        <v>18293</v>
      </c>
      <c r="C2030" s="6" t="str">
        <f>HYPERLINK("https://www.ti.com/lit/gpn/TLC59116-Q1", "PDF")</f>
        <v>PDF</v>
      </c>
      <c r="D2030" s="5" t="s">
        <v>18294</v>
      </c>
      <c r="E2030" s="5" t="s">
        <v>18295</v>
      </c>
      <c r="F2030" s="5" t="s">
        <v>18296</v>
      </c>
      <c r="G2030" s="5" t="s">
        <v>18297</v>
      </c>
      <c r="H2030" s="1" t="s">
        <v>18298</v>
      </c>
      <c r="I2030" s="5" t="s">
        <v>18299</v>
      </c>
      <c r="J2030" s="7">
        <v>28</v>
      </c>
      <c r="K2030" s="7">
        <v>62.08</v>
      </c>
      <c r="L2030" s="5" t="s">
        <v>18300</v>
      </c>
      <c r="M2030" s="7">
        <v>1.2</v>
      </c>
      <c r="N2030" s="7">
        <v>0.65</v>
      </c>
      <c r="O2030" s="7">
        <v>0.96799999999999997</v>
      </c>
      <c r="P2030" s="1" t="s">
        <v>18301</v>
      </c>
    </row>
    <row r="2031" spans="1:16" ht="33.4" x14ac:dyDescent="0.3">
      <c r="A2031" s="6" t="str">
        <f>HYPERLINK("https://www.ti.com/product/TPS54202", "TPS54202")</f>
        <v>TPS54202</v>
      </c>
      <c r="B2031" s="5" t="s">
        <v>18302</v>
      </c>
      <c r="C2031" s="6" t="str">
        <f>HYPERLINK("https://www.ti.com/lit/gpn/TPS54202", "PDF")</f>
        <v>PDF</v>
      </c>
      <c r="D2031" s="5" t="s">
        <v>18303</v>
      </c>
      <c r="E2031" s="5" t="s">
        <v>18304</v>
      </c>
      <c r="F2031" s="5" t="s">
        <v>18305</v>
      </c>
      <c r="G2031" s="5" t="s">
        <v>18306</v>
      </c>
      <c r="H2031" s="1" t="s">
        <v>18307</v>
      </c>
      <c r="I2031" s="5" t="s">
        <v>18308</v>
      </c>
      <c r="J2031" s="7">
        <v>6</v>
      </c>
      <c r="K2031" s="7">
        <v>8.1199999999999992</v>
      </c>
      <c r="L2031" s="5" t="s">
        <v>18309</v>
      </c>
      <c r="M2031" s="7">
        <v>1.1000000000000001</v>
      </c>
      <c r="N2031" s="7">
        <v>0.95</v>
      </c>
      <c r="O2031" s="7">
        <v>0.4</v>
      </c>
      <c r="P2031" s="1" t="s">
        <v>18310</v>
      </c>
    </row>
    <row r="2032" spans="1:16" ht="33.4" x14ac:dyDescent="0.3">
      <c r="A2032" s="6" t="str">
        <f>HYPERLINK("https://www.ti.com/product/CSD23280F3", "CSD23280F3")</f>
        <v>CSD23280F3</v>
      </c>
      <c r="B2032" s="5" t="s">
        <v>18311</v>
      </c>
      <c r="C2032" s="6" t="str">
        <f>HYPERLINK("https://www.ti.com/lit/gpn/CSD23280F3", "PDF")</f>
        <v>PDF</v>
      </c>
      <c r="D2032" s="5" t="s">
        <v>18312</v>
      </c>
      <c r="E2032" s="5" t="s">
        <v>18313</v>
      </c>
      <c r="F2032" s="5"/>
      <c r="G2032" s="5" t="s">
        <v>18314</v>
      </c>
      <c r="H2032" s="1" t="s">
        <v>18315</v>
      </c>
      <c r="I2032" s="5" t="s">
        <v>18316</v>
      </c>
      <c r="J2032" s="7">
        <v>3</v>
      </c>
      <c r="K2032" s="7">
        <v>0.41399999999999998</v>
      </c>
      <c r="L2032" s="5" t="s">
        <v>18317</v>
      </c>
      <c r="M2032" s="7">
        <v>0.36</v>
      </c>
      <c r="N2032" s="7">
        <v>0.35</v>
      </c>
      <c r="O2032" s="7">
        <v>3.5000000000000003E-2</v>
      </c>
      <c r="P2032" s="1" t="s">
        <v>18318</v>
      </c>
    </row>
    <row r="2033" spans="1:16" ht="33.4" x14ac:dyDescent="0.3">
      <c r="A2033" s="6" t="str">
        <f>HYPERLINK("https://www.ti.com/product/CSD17382F4", "CSD17382F4")</f>
        <v>CSD17382F4</v>
      </c>
      <c r="B2033" s="5" t="s">
        <v>18319</v>
      </c>
      <c r="C2033" s="6" t="str">
        <f>HYPERLINK("https://www.ti.com/lit/gpn/CSD17382F4", "PDF")</f>
        <v>PDF</v>
      </c>
      <c r="D2033" s="5" t="s">
        <v>18320</v>
      </c>
      <c r="E2033" s="5" t="s">
        <v>18321</v>
      </c>
      <c r="F2033" s="5"/>
      <c r="G2033" s="5" t="s">
        <v>18322</v>
      </c>
      <c r="H2033" s="1" t="s">
        <v>18323</v>
      </c>
      <c r="I2033" s="5" t="s">
        <v>18324</v>
      </c>
      <c r="J2033" s="7">
        <v>3</v>
      </c>
      <c r="K2033" s="7">
        <v>0.65722499999999995</v>
      </c>
      <c r="L2033" s="5" t="s">
        <v>18325</v>
      </c>
      <c r="M2033" s="7">
        <v>0.36</v>
      </c>
      <c r="N2033" s="7">
        <v>0.35</v>
      </c>
      <c r="O2033" s="7">
        <v>4.7E-2</v>
      </c>
      <c r="P2033" s="1" t="s">
        <v>18326</v>
      </c>
    </row>
    <row r="2034" spans="1:16" ht="33.4" x14ac:dyDescent="0.3">
      <c r="A2034" s="6" t="str">
        <f>HYPERLINK("https://www.ti.com/product/CSD25480F3", "CSD25480F3")</f>
        <v>CSD25480F3</v>
      </c>
      <c r="B2034" s="5" t="s">
        <v>18327</v>
      </c>
      <c r="C2034" s="6" t="str">
        <f>HYPERLINK("https://www.ti.com/lit/gpn/CSD25480F3", "PDF")</f>
        <v>PDF</v>
      </c>
      <c r="D2034" s="5" t="s">
        <v>18328</v>
      </c>
      <c r="E2034" s="5" t="s">
        <v>18329</v>
      </c>
      <c r="F2034" s="5"/>
      <c r="G2034" s="5" t="s">
        <v>18330</v>
      </c>
      <c r="H2034" s="1" t="s">
        <v>18331</v>
      </c>
      <c r="I2034" s="5" t="s">
        <v>18332</v>
      </c>
      <c r="J2034" s="7">
        <v>3</v>
      </c>
      <c r="K2034" s="7">
        <v>0.41399999999999998</v>
      </c>
      <c r="L2034" s="5" t="s">
        <v>18333</v>
      </c>
      <c r="M2034" s="7">
        <v>0.36</v>
      </c>
      <c r="N2034" s="7">
        <v>0.35</v>
      </c>
      <c r="O2034" s="7">
        <v>3.5000000000000003E-2</v>
      </c>
      <c r="P2034" s="1" t="s">
        <v>18334</v>
      </c>
    </row>
    <row r="2035" spans="1:16" ht="33.4" x14ac:dyDescent="0.3">
      <c r="A2035" s="6" t="str">
        <f>HYPERLINK("https://www.ti.com/product/CSD18542KTT", "CSD18542KTT")</f>
        <v>CSD18542KTT</v>
      </c>
      <c r="B2035" s="5" t="s">
        <v>18335</v>
      </c>
      <c r="C2035" s="6" t="str">
        <f>HYPERLINK("https://www.ti.com/lit/gpn/CSD18542KTT", "PDF")</f>
        <v>PDF</v>
      </c>
      <c r="D2035" s="5" t="s">
        <v>18336</v>
      </c>
      <c r="E2035" s="5" t="s">
        <v>18337</v>
      </c>
      <c r="F2035" s="5"/>
      <c r="G2035" s="5" t="s">
        <v>18338</v>
      </c>
      <c r="H2035" s="1" t="s">
        <v>18339</v>
      </c>
      <c r="I2035" s="5" t="s">
        <v>18340</v>
      </c>
      <c r="J2035" s="7">
        <v>2</v>
      </c>
      <c r="K2035" s="7">
        <v>153.416</v>
      </c>
      <c r="L2035" s="5" t="s">
        <v>18341</v>
      </c>
      <c r="M2035" s="7">
        <v>4.7</v>
      </c>
      <c r="N2035" s="7">
        <v>2.54</v>
      </c>
      <c r="O2035" s="7">
        <v>0.745</v>
      </c>
      <c r="P2035" s="1" t="s">
        <v>18342</v>
      </c>
    </row>
    <row r="2036" spans="1:16" ht="33.4" x14ac:dyDescent="0.3">
      <c r="A2036" s="6" t="str">
        <f>HYPERLINK("https://www.ti.com/product/CSD18535KTT", "CSD18535KTT")</f>
        <v>CSD18535KTT</v>
      </c>
      <c r="B2036" s="5" t="s">
        <v>18343</v>
      </c>
      <c r="C2036" s="6" t="str">
        <f>HYPERLINK("https://www.ti.com/lit/gpn/CSD18535KTT", "PDF")</f>
        <v>PDF</v>
      </c>
      <c r="D2036" s="5" t="s">
        <v>18344</v>
      </c>
      <c r="E2036" s="5" t="s">
        <v>18345</v>
      </c>
      <c r="F2036" s="5"/>
      <c r="G2036" s="5" t="s">
        <v>18346</v>
      </c>
      <c r="H2036" s="1" t="s">
        <v>18347</v>
      </c>
      <c r="I2036" s="5" t="s">
        <v>18348</v>
      </c>
      <c r="J2036" s="7">
        <v>2</v>
      </c>
      <c r="K2036" s="7">
        <v>153.416</v>
      </c>
      <c r="L2036" s="5" t="s">
        <v>18349</v>
      </c>
      <c r="M2036" s="7">
        <v>4.7</v>
      </c>
      <c r="N2036" s="7">
        <v>2.54</v>
      </c>
      <c r="O2036" s="7">
        <v>1.077</v>
      </c>
      <c r="P2036" s="1" t="s">
        <v>18350</v>
      </c>
    </row>
    <row r="2037" spans="1:16" ht="33.4" x14ac:dyDescent="0.3">
      <c r="A2037" s="6" t="str">
        <f>HYPERLINK("https://www.ti.com/product/CSD18536KTT", "CSD18536KTT")</f>
        <v>CSD18536KTT</v>
      </c>
      <c r="B2037" s="5" t="s">
        <v>18351</v>
      </c>
      <c r="C2037" s="6" t="str">
        <f>HYPERLINK("https://www.ti.com/lit/gpn/CSD18536KTT", "PDF")</f>
        <v>PDF</v>
      </c>
      <c r="D2037" s="5" t="s">
        <v>18352</v>
      </c>
      <c r="E2037" s="5" t="s">
        <v>18353</v>
      </c>
      <c r="F2037" s="5"/>
      <c r="G2037" s="5" t="s">
        <v>18354</v>
      </c>
      <c r="H2037" s="1" t="s">
        <v>18355</v>
      </c>
      <c r="I2037" s="5" t="s">
        <v>18356</v>
      </c>
      <c r="J2037" s="7">
        <v>2</v>
      </c>
      <c r="K2037" s="7">
        <v>153.416</v>
      </c>
      <c r="L2037" s="5" t="s">
        <v>18357</v>
      </c>
      <c r="M2037" s="7">
        <v>4.7</v>
      </c>
      <c r="N2037" s="7">
        <v>2.54</v>
      </c>
      <c r="O2037" s="7">
        <v>1.595</v>
      </c>
      <c r="P2037" s="1" t="s">
        <v>18358</v>
      </c>
    </row>
    <row r="2038" spans="1:16" ht="33.4" x14ac:dyDescent="0.3">
      <c r="A2038" s="6" t="str">
        <f>HYPERLINK("https://www.ti.com/product/TPS564208", "TPS564208")</f>
        <v>TPS564208</v>
      </c>
      <c r="B2038" s="5" t="s">
        <v>18359</v>
      </c>
      <c r="C2038" s="6" t="str">
        <f>HYPERLINK("https://www.ti.com/lit/gpn/TPS564208", "PDF")</f>
        <v>PDF</v>
      </c>
      <c r="D2038" s="5" t="s">
        <v>18360</v>
      </c>
      <c r="E2038" s="5" t="s">
        <v>18361</v>
      </c>
      <c r="F2038" s="5" t="s">
        <v>18362</v>
      </c>
      <c r="G2038" s="5" t="s">
        <v>18363</v>
      </c>
      <c r="H2038" s="1" t="s">
        <v>18364</v>
      </c>
      <c r="I2038" s="5" t="s">
        <v>18365</v>
      </c>
      <c r="J2038" s="7">
        <v>6</v>
      </c>
      <c r="K2038" s="7">
        <v>8.1199999999999992</v>
      </c>
      <c r="L2038" s="5" t="s">
        <v>18366</v>
      </c>
      <c r="M2038" s="7">
        <v>1.1000000000000001</v>
      </c>
      <c r="N2038" s="7">
        <v>0.95</v>
      </c>
      <c r="O2038" s="7">
        <v>0.44</v>
      </c>
      <c r="P2038" s="1" t="s">
        <v>18367</v>
      </c>
    </row>
    <row r="2039" spans="1:16" ht="33.4" x14ac:dyDescent="0.3">
      <c r="A2039" s="6" t="str">
        <f>HYPERLINK("https://www.ti.com/product/TLV62095", "TLV62095")</f>
        <v>TLV62095</v>
      </c>
      <c r="B2039" s="5" t="s">
        <v>18368</v>
      </c>
      <c r="C2039" s="6" t="str">
        <f>HYPERLINK("https://www.ti.com/lit/gpn/TLV62095", "PDF")</f>
        <v>PDF</v>
      </c>
      <c r="D2039" s="5" t="s">
        <v>18369</v>
      </c>
      <c r="E2039" s="5" t="s">
        <v>18370</v>
      </c>
      <c r="F2039" s="5" t="s">
        <v>18371</v>
      </c>
      <c r="G2039" s="5" t="s">
        <v>18372</v>
      </c>
      <c r="H2039" s="1" t="s">
        <v>18373</v>
      </c>
      <c r="I2039" s="5" t="s">
        <v>18374</v>
      </c>
      <c r="J2039" s="7">
        <v>16</v>
      </c>
      <c r="K2039" s="7">
        <v>9</v>
      </c>
      <c r="L2039" s="5" t="s">
        <v>18375</v>
      </c>
      <c r="M2039" s="7">
        <v>1</v>
      </c>
      <c r="N2039" s="7">
        <v>0.5</v>
      </c>
      <c r="O2039" s="7">
        <v>0.70799999999999996</v>
      </c>
      <c r="P2039" s="1" t="s">
        <v>18376</v>
      </c>
    </row>
    <row r="2040" spans="1:16" ht="33.4" x14ac:dyDescent="0.3">
      <c r="A2040" s="6" t="str">
        <f>HYPERLINK("https://www.ti.com/product/TPS62770", "TPS62770")</f>
        <v>TPS62770</v>
      </c>
      <c r="B2040" s="5" t="s">
        <v>18377</v>
      </c>
      <c r="C2040" s="6" t="str">
        <f>HYPERLINK("https://www.ti.com/lit/gpn/TPS62770", "PDF")</f>
        <v>PDF</v>
      </c>
      <c r="D2040" s="5" t="s">
        <v>18378</v>
      </c>
      <c r="E2040" s="5" t="s">
        <v>18379</v>
      </c>
      <c r="F2040" s="5" t="s">
        <v>18380</v>
      </c>
      <c r="G2040" s="5" t="s">
        <v>18381</v>
      </c>
      <c r="H2040" s="1" t="s">
        <v>18382</v>
      </c>
      <c r="I2040" s="5" t="s">
        <v>18383</v>
      </c>
      <c r="J2040" s="7">
        <v>16</v>
      </c>
      <c r="K2040" s="7">
        <v>3.24</v>
      </c>
      <c r="L2040" s="5" t="s">
        <v>18384</v>
      </c>
      <c r="M2040" s="7">
        <v>0.5</v>
      </c>
      <c r="N2040" s="7">
        <v>0.4</v>
      </c>
      <c r="O2040" s="7">
        <v>0.83499999999999996</v>
      </c>
      <c r="P2040" s="1" t="s">
        <v>18385</v>
      </c>
    </row>
    <row r="2041" spans="1:16" ht="33.4" x14ac:dyDescent="0.3">
      <c r="A2041" s="6" t="str">
        <f>HYPERLINK("https://www.ti.com/product/LM5165", "LM5165")</f>
        <v>LM5165</v>
      </c>
      <c r="B2041" s="5" t="s">
        <v>18386</v>
      </c>
      <c r="C2041" s="6" t="str">
        <f>HYPERLINK("https://www.ti.com/lit/gpn/LM5165", "PDF")</f>
        <v>PDF</v>
      </c>
      <c r="D2041" s="5" t="s">
        <v>18387</v>
      </c>
      <c r="E2041" s="5" t="s">
        <v>18388</v>
      </c>
      <c r="F2041" s="5" t="s">
        <v>18389</v>
      </c>
      <c r="G2041" s="5" t="s">
        <v>18390</v>
      </c>
      <c r="H2041" s="1" t="s">
        <v>18391</v>
      </c>
      <c r="I2041" s="5" t="s">
        <v>18392</v>
      </c>
      <c r="J2041" s="7">
        <v>10</v>
      </c>
      <c r="K2041" s="7">
        <v>9</v>
      </c>
      <c r="L2041" s="5" t="s">
        <v>18393</v>
      </c>
      <c r="M2041" s="7">
        <v>1</v>
      </c>
      <c r="N2041" s="7">
        <v>0.5</v>
      </c>
      <c r="O2041" s="7">
        <v>1.425</v>
      </c>
      <c r="P2041" s="1" t="s">
        <v>18394</v>
      </c>
    </row>
    <row r="2042" spans="1:16" ht="33.4" x14ac:dyDescent="0.3">
      <c r="A2042" s="6" t="str">
        <f>HYPERLINK("https://www.ti.com/product/LM5165-Q1", "LM5165-Q1")</f>
        <v>LM5165-Q1</v>
      </c>
      <c r="B2042" s="5" t="s">
        <v>18395</v>
      </c>
      <c r="C2042" s="6" t="str">
        <f>HYPERLINK("https://www.ti.com/lit/gpn/LM5165-Q1", "PDF")</f>
        <v>PDF</v>
      </c>
      <c r="D2042" s="5" t="s">
        <v>18396</v>
      </c>
      <c r="E2042" s="5" t="s">
        <v>18397</v>
      </c>
      <c r="F2042" s="5" t="s">
        <v>18398</v>
      </c>
      <c r="G2042" s="5" t="s">
        <v>18399</v>
      </c>
      <c r="H2042" s="1" t="s">
        <v>18400</v>
      </c>
      <c r="I2042" s="5" t="s">
        <v>18401</v>
      </c>
      <c r="J2042" s="7">
        <v>10</v>
      </c>
      <c r="K2042" s="7" t="s">
        <v>18402</v>
      </c>
      <c r="L2042" s="5" t="s">
        <v>18403</v>
      </c>
      <c r="M2042" s="7" t="s">
        <v>18404</v>
      </c>
      <c r="N2042" s="7">
        <v>0.5</v>
      </c>
      <c r="O2042" s="7">
        <v>1.623</v>
      </c>
      <c r="P2042" s="1" t="s">
        <v>18405</v>
      </c>
    </row>
    <row r="2043" spans="1:16" ht="33.4" x14ac:dyDescent="0.3">
      <c r="A2043" s="6" t="str">
        <f>HYPERLINK("https://www.ti.com/product/TPS22918", "TPS22918")</f>
        <v>TPS22918</v>
      </c>
      <c r="B2043" s="5" t="s">
        <v>18406</v>
      </c>
      <c r="C2043" s="6" t="str">
        <f>HYPERLINK("https://www.ti.com/lit/gpn/TPS22918", "PDF")</f>
        <v>PDF</v>
      </c>
      <c r="D2043" s="5" t="s">
        <v>18407</v>
      </c>
      <c r="E2043" s="5" t="s">
        <v>18408</v>
      </c>
      <c r="F2043" s="5"/>
      <c r="G2043" s="5" t="s">
        <v>18409</v>
      </c>
      <c r="H2043" s="1" t="s">
        <v>18410</v>
      </c>
      <c r="I2043" s="5" t="s">
        <v>18411</v>
      </c>
      <c r="J2043" s="7">
        <v>6</v>
      </c>
      <c r="K2043" s="7">
        <v>8.1199999999999992</v>
      </c>
      <c r="L2043" s="5" t="s">
        <v>18412</v>
      </c>
      <c r="M2043" s="7">
        <v>1.45</v>
      </c>
      <c r="N2043" s="7">
        <v>0.95</v>
      </c>
      <c r="O2043" s="7">
        <v>0.15</v>
      </c>
      <c r="P2043" s="1" t="s">
        <v>18413</v>
      </c>
    </row>
    <row r="2044" spans="1:16" ht="17.05" x14ac:dyDescent="0.3">
      <c r="A2044" s="6" t="str">
        <f>HYPERLINK("https://www.ti.com/product/BQ500101", "BQ500101")</f>
        <v>BQ500101</v>
      </c>
      <c r="B2044" s="5" t="s">
        <v>18414</v>
      </c>
      <c r="C2044" s="6" t="str">
        <f>HYPERLINK("https://www.ti.com/lit/gpn/BQ500101", "PDF")</f>
        <v>PDF</v>
      </c>
      <c r="D2044" s="5" t="s">
        <v>18415</v>
      </c>
      <c r="E2044" s="5" t="s">
        <v>18416</v>
      </c>
      <c r="F2044" s="5"/>
      <c r="G2044" s="5" t="s">
        <v>18417</v>
      </c>
      <c r="H2044" s="1" t="s">
        <v>18418</v>
      </c>
      <c r="I2044" s="5" t="s">
        <v>18419</v>
      </c>
      <c r="J2044" s="7">
        <v>8</v>
      </c>
      <c r="K2044" s="7">
        <v>15.75</v>
      </c>
      <c r="L2044" s="5" t="s">
        <v>18420</v>
      </c>
      <c r="M2044" s="7">
        <v>1</v>
      </c>
      <c r="N2044" s="7">
        <v>0.4</v>
      </c>
      <c r="O2044" s="7">
        <v>0.67700000000000005</v>
      </c>
      <c r="P2044" s="1" t="s">
        <v>18421</v>
      </c>
    </row>
    <row r="2045" spans="1:16" ht="33.4" x14ac:dyDescent="0.3">
      <c r="A2045" s="6" t="str">
        <f>HYPERLINK("https://www.ti.com/product/CSD87355Q5D", "CSD87355Q5D")</f>
        <v>CSD87355Q5D</v>
      </c>
      <c r="B2045" s="5" t="s">
        <v>18422</v>
      </c>
      <c r="C2045" s="6" t="str">
        <f>HYPERLINK("https://www.ti.com/lit/gpn/CSD87355Q5D", "PDF")</f>
        <v>PDF</v>
      </c>
      <c r="D2045" s="5" t="s">
        <v>18423</v>
      </c>
      <c r="E2045" s="5" t="s">
        <v>18424</v>
      </c>
      <c r="F2045" s="5"/>
      <c r="G2045" s="5" t="s">
        <v>18425</v>
      </c>
      <c r="H2045" s="1" t="s">
        <v>18426</v>
      </c>
      <c r="I2045" s="5" t="s">
        <v>18427</v>
      </c>
      <c r="J2045" s="7">
        <v>8</v>
      </c>
      <c r="K2045" s="7">
        <v>30</v>
      </c>
      <c r="L2045" s="5" t="s">
        <v>18428</v>
      </c>
      <c r="M2045" s="7">
        <v>1.6</v>
      </c>
      <c r="N2045" s="7">
        <v>1.27</v>
      </c>
      <c r="O2045" s="7">
        <v>0.77</v>
      </c>
      <c r="P2045" s="1" t="s">
        <v>18429</v>
      </c>
    </row>
    <row r="2046" spans="1:16" ht="49.75" x14ac:dyDescent="0.3">
      <c r="A2046" s="6" t="str">
        <f>HYPERLINK("https://www.ti.com/product/LM36272", "LM36272")</f>
        <v>LM36272</v>
      </c>
      <c r="B2046" s="5" t="s">
        <v>18430</v>
      </c>
      <c r="C2046" s="6" t="str">
        <f>HYPERLINK("https://www.ti.com/lit/gpn/LM36272", "PDF")</f>
        <v>PDF</v>
      </c>
      <c r="D2046" s="5" t="s">
        <v>18431</v>
      </c>
      <c r="E2046" s="5" t="s">
        <v>18432</v>
      </c>
      <c r="F2046" s="5" t="s">
        <v>18433</v>
      </c>
      <c r="G2046" s="5" t="s">
        <v>18434</v>
      </c>
      <c r="H2046" s="1" t="s">
        <v>18435</v>
      </c>
      <c r="I2046" s="5" t="s">
        <v>18436</v>
      </c>
      <c r="J2046" s="7">
        <v>24</v>
      </c>
      <c r="K2046" s="7">
        <v>4.68</v>
      </c>
      <c r="L2046" s="5" t="s">
        <v>18437</v>
      </c>
      <c r="M2046" s="7">
        <v>0.625</v>
      </c>
      <c r="N2046" s="7">
        <v>0.4</v>
      </c>
      <c r="O2046" s="7">
        <v>0.95699999999999996</v>
      </c>
      <c r="P2046" s="1" t="s">
        <v>18438</v>
      </c>
    </row>
    <row r="2047" spans="1:16" ht="49.75" x14ac:dyDescent="0.3">
      <c r="A2047" s="6" t="str">
        <f>HYPERLINK("https://www.ti.com/product/LM36273", "LM36273")</f>
        <v>LM36273</v>
      </c>
      <c r="B2047" s="5" t="s">
        <v>18439</v>
      </c>
      <c r="C2047" s="6" t="str">
        <f>HYPERLINK("https://www.ti.com/lit/gpn/LM36273", "PDF")</f>
        <v>PDF</v>
      </c>
      <c r="D2047" s="5" t="s">
        <v>18440</v>
      </c>
      <c r="E2047" s="5" t="s">
        <v>18441</v>
      </c>
      <c r="F2047" s="5" t="s">
        <v>18442</v>
      </c>
      <c r="G2047" s="5" t="s">
        <v>18443</v>
      </c>
      <c r="H2047" s="1" t="s">
        <v>18444</v>
      </c>
      <c r="I2047" s="5" t="s">
        <v>18445</v>
      </c>
      <c r="J2047" s="7">
        <v>24</v>
      </c>
      <c r="K2047" s="7">
        <v>4.68</v>
      </c>
      <c r="L2047" s="5" t="s">
        <v>18446</v>
      </c>
      <c r="M2047" s="7">
        <v>0.625</v>
      </c>
      <c r="N2047" s="7">
        <v>0.4</v>
      </c>
      <c r="O2047" s="7">
        <v>0.40300000000000002</v>
      </c>
      <c r="P2047" s="1" t="s">
        <v>18447</v>
      </c>
    </row>
    <row r="2048" spans="1:16" ht="49.75" x14ac:dyDescent="0.3">
      <c r="A2048" s="6" t="str">
        <f>HYPERLINK("https://www.ti.com/product/LM36274", "LM36274")</f>
        <v>LM36274</v>
      </c>
      <c r="B2048" s="5" t="s">
        <v>18448</v>
      </c>
      <c r="C2048" s="6" t="str">
        <f>HYPERLINK("https://www.ti.com/lit/gpn/LM36274", "PDF")</f>
        <v>PDF</v>
      </c>
      <c r="D2048" s="5" t="s">
        <v>18449</v>
      </c>
      <c r="E2048" s="5" t="s">
        <v>18450</v>
      </c>
      <c r="F2048" s="5" t="s">
        <v>18451</v>
      </c>
      <c r="G2048" s="5" t="s">
        <v>18452</v>
      </c>
      <c r="H2048" s="1" t="s">
        <v>18453</v>
      </c>
      <c r="I2048" s="5" t="s">
        <v>18454</v>
      </c>
      <c r="J2048" s="7">
        <v>24</v>
      </c>
      <c r="K2048" s="7">
        <v>4.68</v>
      </c>
      <c r="L2048" s="5" t="s">
        <v>18455</v>
      </c>
      <c r="M2048" s="7">
        <v>0.625</v>
      </c>
      <c r="N2048" s="7">
        <v>0.4</v>
      </c>
      <c r="O2048" s="7">
        <v>0.46</v>
      </c>
      <c r="P2048" s="1" t="s">
        <v>18456</v>
      </c>
    </row>
    <row r="2049" spans="1:16" ht="33.4" x14ac:dyDescent="0.3">
      <c r="A2049" s="6" t="str">
        <f>HYPERLINK("https://www.ti.com/product/TPS56C215", "TPS56C215")</f>
        <v>TPS56C215</v>
      </c>
      <c r="B2049" s="5" t="s">
        <v>18457</v>
      </c>
      <c r="C2049" s="6" t="str">
        <f>HYPERLINK("https://www.ti.com/lit/gpn/TPS56C215", "PDF")</f>
        <v>PDF</v>
      </c>
      <c r="D2049" s="5" t="s">
        <v>18458</v>
      </c>
      <c r="E2049" s="5" t="s">
        <v>18459</v>
      </c>
      <c r="F2049" s="5" t="s">
        <v>18460</v>
      </c>
      <c r="G2049" s="5" t="s">
        <v>18461</v>
      </c>
      <c r="H2049" s="1" t="s">
        <v>18462</v>
      </c>
      <c r="I2049" s="5" t="s">
        <v>18463</v>
      </c>
      <c r="J2049" s="7">
        <v>18</v>
      </c>
      <c r="K2049" s="7">
        <v>12.25</v>
      </c>
      <c r="L2049" s="5" t="s">
        <v>18464</v>
      </c>
      <c r="M2049" s="7">
        <v>1</v>
      </c>
      <c r="N2049" s="7">
        <v>0.5</v>
      </c>
      <c r="O2049" s="7">
        <v>1.25</v>
      </c>
      <c r="P2049" s="1" t="s">
        <v>18465</v>
      </c>
    </row>
    <row r="2050" spans="1:16" ht="33.4" x14ac:dyDescent="0.3">
      <c r="A2050" s="6" t="str">
        <f>HYPERLINK("https://www.ti.com/product/CSD19505KTT", "CSD19505KTT")</f>
        <v>CSD19505KTT</v>
      </c>
      <c r="B2050" s="5" t="s">
        <v>18466</v>
      </c>
      <c r="C2050" s="6" t="str">
        <f>HYPERLINK("https://www.ti.com/lit/gpn/CSD19505KTT", "PDF")</f>
        <v>PDF</v>
      </c>
      <c r="D2050" s="5" t="s">
        <v>18467</v>
      </c>
      <c r="E2050" s="5" t="s">
        <v>18468</v>
      </c>
      <c r="F2050" s="5"/>
      <c r="G2050" s="5" t="s">
        <v>18469</v>
      </c>
      <c r="H2050" s="1" t="s">
        <v>18470</v>
      </c>
      <c r="I2050" s="5" t="s">
        <v>18471</v>
      </c>
      <c r="J2050" s="7">
        <v>2</v>
      </c>
      <c r="K2050" s="7">
        <v>153.416</v>
      </c>
      <c r="L2050" s="5" t="s">
        <v>18472</v>
      </c>
      <c r="M2050" s="7">
        <v>4.7</v>
      </c>
      <c r="N2050" s="7">
        <v>2.54</v>
      </c>
      <c r="O2050" s="7">
        <v>1.1180000000000001</v>
      </c>
      <c r="P2050" s="1" t="s">
        <v>18473</v>
      </c>
    </row>
    <row r="2051" spans="1:16" ht="33.4" x14ac:dyDescent="0.3">
      <c r="A2051" s="6" t="str">
        <f>HYPERLINK("https://www.ti.com/product/CSD19506KTT", "CSD19506KTT")</f>
        <v>CSD19506KTT</v>
      </c>
      <c r="B2051" s="5" t="s">
        <v>18474</v>
      </c>
      <c r="C2051" s="6" t="str">
        <f>HYPERLINK("https://www.ti.com/lit/gpn/CSD19506KTT", "PDF")</f>
        <v>PDF</v>
      </c>
      <c r="D2051" s="5" t="s">
        <v>18475</v>
      </c>
      <c r="E2051" s="5" t="s">
        <v>18476</v>
      </c>
      <c r="F2051" s="5"/>
      <c r="G2051" s="5" t="s">
        <v>18477</v>
      </c>
      <c r="H2051" s="1" t="s">
        <v>18478</v>
      </c>
      <c r="I2051" s="5" t="s">
        <v>18479</v>
      </c>
      <c r="J2051" s="7">
        <v>2</v>
      </c>
      <c r="K2051" s="7">
        <v>153.416</v>
      </c>
      <c r="L2051" s="5" t="s">
        <v>18480</v>
      </c>
      <c r="M2051" s="7">
        <v>4.7</v>
      </c>
      <c r="N2051" s="7">
        <v>2.54</v>
      </c>
      <c r="O2051" s="7">
        <v>1.659</v>
      </c>
      <c r="P2051" s="1" t="s">
        <v>18481</v>
      </c>
    </row>
    <row r="2052" spans="1:16" ht="33.4" x14ac:dyDescent="0.3">
      <c r="A2052" s="6" t="str">
        <f>HYPERLINK("https://www.ti.com/product/LM5022-Q1", "LM5022-Q1")</f>
        <v>LM5022-Q1</v>
      </c>
      <c r="B2052" s="5" t="s">
        <v>18482</v>
      </c>
      <c r="C2052" s="6" t="str">
        <f>HYPERLINK("https://www.ti.com/lit/gpn/LM5022-Q1", "PDF")</f>
        <v>PDF</v>
      </c>
      <c r="D2052" s="5" t="s">
        <v>18483</v>
      </c>
      <c r="E2052" s="5" t="s">
        <v>18484</v>
      </c>
      <c r="F2052" s="5" t="s">
        <v>18485</v>
      </c>
      <c r="G2052" s="5" t="s">
        <v>18486</v>
      </c>
      <c r="H2052" s="1" t="s">
        <v>18487</v>
      </c>
      <c r="I2052" s="5" t="s">
        <v>18488</v>
      </c>
      <c r="J2052" s="7">
        <v>10</v>
      </c>
      <c r="K2052" s="7">
        <v>14.7</v>
      </c>
      <c r="L2052" s="5" t="s">
        <v>18489</v>
      </c>
      <c r="M2052" s="7">
        <v>1.1000000000000001</v>
      </c>
      <c r="N2052" s="7">
        <v>0.5</v>
      </c>
      <c r="O2052" s="7">
        <v>1.0469999999999999</v>
      </c>
      <c r="P2052" s="1" t="s">
        <v>18490</v>
      </c>
    </row>
    <row r="2053" spans="1:16" ht="33.4" x14ac:dyDescent="0.3">
      <c r="A2053" s="6" t="str">
        <f>HYPERLINK("https://www.ti.com/product/UCC24636", "UCC24636")</f>
        <v>UCC24636</v>
      </c>
      <c r="B2053" s="5" t="s">
        <v>18491</v>
      </c>
      <c r="C2053" s="6" t="str">
        <f>HYPERLINK("https://www.ti.com/lit/gpn/UCC24636", "PDF")</f>
        <v>PDF</v>
      </c>
      <c r="D2053" s="5" t="s">
        <v>18492</v>
      </c>
      <c r="E2053" s="5" t="s">
        <v>18493</v>
      </c>
      <c r="F2053" s="5" t="s">
        <v>18494</v>
      </c>
      <c r="G2053" s="5" t="s">
        <v>18495</v>
      </c>
      <c r="H2053" s="1" t="s">
        <v>18496</v>
      </c>
      <c r="I2053" s="5" t="s">
        <v>18497</v>
      </c>
      <c r="J2053" s="7">
        <v>6</v>
      </c>
      <c r="K2053" s="7">
        <v>8.1199999999999992</v>
      </c>
      <c r="L2053" s="5" t="s">
        <v>18498</v>
      </c>
      <c r="M2053" s="7">
        <v>1.45</v>
      </c>
      <c r="N2053" s="7">
        <v>0.95</v>
      </c>
      <c r="O2053" s="7">
        <v>0.48399999999999999</v>
      </c>
      <c r="P2053" s="1" t="s">
        <v>18499</v>
      </c>
    </row>
    <row r="2054" spans="1:16" ht="33.4" x14ac:dyDescent="0.3">
      <c r="A2054" s="6" t="str">
        <f>HYPERLINK("https://www.ti.com/product/TPS65177A", "TPS65177A")</f>
        <v>TPS65177A</v>
      </c>
      <c r="B2054" s="5" t="s">
        <v>18500</v>
      </c>
      <c r="C2054" s="6" t="str">
        <f>HYPERLINK("https://www.ti.com/lit/gpn/TPS65177A", "PDF")</f>
        <v>PDF</v>
      </c>
      <c r="D2054" s="5" t="s">
        <v>18501</v>
      </c>
      <c r="E2054" s="5" t="s">
        <v>18502</v>
      </c>
      <c r="F2054" s="5" t="s">
        <v>18503</v>
      </c>
      <c r="G2054" s="5" t="s">
        <v>18504</v>
      </c>
      <c r="H2054" s="1" t="s">
        <v>18505</v>
      </c>
      <c r="I2054" s="5" t="s">
        <v>18506</v>
      </c>
      <c r="J2054" s="7">
        <v>40</v>
      </c>
      <c r="K2054" s="7">
        <v>36</v>
      </c>
      <c r="L2054" s="5" t="s">
        <v>18507</v>
      </c>
      <c r="M2054" s="7">
        <v>1</v>
      </c>
      <c r="N2054" s="7">
        <v>0.5</v>
      </c>
      <c r="O2054" s="7">
        <v>0.46</v>
      </c>
      <c r="P2054" s="1" t="s">
        <v>18508</v>
      </c>
    </row>
    <row r="2055" spans="1:16" ht="33.4" x14ac:dyDescent="0.3">
      <c r="A2055" s="6" t="str">
        <f>HYPERLINK("https://www.ti.com/product/TUSB542", "TUSB542")</f>
        <v>TUSB542</v>
      </c>
      <c r="B2055" s="5" t="s">
        <v>18509</v>
      </c>
      <c r="C2055" s="6" t="str">
        <f>HYPERLINK("https://www.ti.com/lit/gpn/TUSB542", "PDF")</f>
        <v>PDF</v>
      </c>
      <c r="D2055" s="5" t="s">
        <v>18510</v>
      </c>
      <c r="E2055" s="5" t="s">
        <v>18511</v>
      </c>
      <c r="F2055" s="5"/>
      <c r="G2055" s="5" t="s">
        <v>18512</v>
      </c>
      <c r="H2055" s="1" t="s">
        <v>18513</v>
      </c>
      <c r="I2055" s="5" t="s">
        <v>18514</v>
      </c>
      <c r="J2055" s="7">
        <v>18</v>
      </c>
      <c r="K2055" s="7">
        <v>4.8</v>
      </c>
      <c r="L2055" s="5" t="s">
        <v>18515</v>
      </c>
      <c r="M2055" s="7">
        <v>0.4</v>
      </c>
      <c r="N2055" s="7">
        <v>0.4</v>
      </c>
      <c r="O2055" s="7">
        <v>1.786</v>
      </c>
      <c r="P2055" s="1" t="s">
        <v>18516</v>
      </c>
    </row>
    <row r="2056" spans="1:16" ht="33.4" x14ac:dyDescent="0.3">
      <c r="A2056" s="6" t="str">
        <f>HYPERLINK("https://www.ti.com/product/UCC28704", "UCC28704")</f>
        <v>UCC28704</v>
      </c>
      <c r="B2056" s="5" t="s">
        <v>18517</v>
      </c>
      <c r="C2056" s="6" t="str">
        <f>HYPERLINK("https://www.ti.com/lit/gpn/UCC28704", "PDF")</f>
        <v>PDF</v>
      </c>
      <c r="D2056" s="5" t="s">
        <v>18518</v>
      </c>
      <c r="E2056" s="5" t="s">
        <v>18519</v>
      </c>
      <c r="F2056" s="5" t="s">
        <v>18520</v>
      </c>
      <c r="G2056" s="5" t="s">
        <v>18521</v>
      </c>
      <c r="H2056" s="1" t="s">
        <v>18522</v>
      </c>
      <c r="I2056" s="5" t="s">
        <v>18523</v>
      </c>
      <c r="J2056" s="7">
        <v>6</v>
      </c>
      <c r="K2056" s="7">
        <v>8.1199999999999992</v>
      </c>
      <c r="L2056" s="5" t="s">
        <v>18524</v>
      </c>
      <c r="M2056" s="7">
        <v>1.45</v>
      </c>
      <c r="N2056" s="7">
        <v>0.95</v>
      </c>
      <c r="O2056" s="7">
        <v>0.38</v>
      </c>
      <c r="P2056" s="1" t="s">
        <v>18525</v>
      </c>
    </row>
    <row r="2057" spans="1:16" ht="49.75" x14ac:dyDescent="0.3">
      <c r="A2057" s="6" t="str">
        <f>HYPERLINK("https://www.ti.com/product/TPS82130", "TPS82130")</f>
        <v>TPS82130</v>
      </c>
      <c r="B2057" s="5" t="s">
        <v>18526</v>
      </c>
      <c r="C2057" s="6" t="str">
        <f>HYPERLINK("https://www.ti.com/lit/gpn/TPS82130", "PDF")</f>
        <v>PDF</v>
      </c>
      <c r="D2057" s="5" t="s">
        <v>18527</v>
      </c>
      <c r="E2057" s="5" t="s">
        <v>18528</v>
      </c>
      <c r="F2057" s="5" t="s">
        <v>18529</v>
      </c>
      <c r="G2057" s="5" t="s">
        <v>18530</v>
      </c>
      <c r="H2057" s="1" t="s">
        <v>18531</v>
      </c>
      <c r="I2057" s="5" t="s">
        <v>18532</v>
      </c>
      <c r="J2057" s="7">
        <v>8</v>
      </c>
      <c r="K2057" s="7" t="s">
        <v>18533</v>
      </c>
      <c r="L2057" s="5" t="s">
        <v>18534</v>
      </c>
      <c r="M2057" s="7" t="s">
        <v>18535</v>
      </c>
      <c r="N2057" s="7" t="s">
        <v>18536</v>
      </c>
      <c r="O2057" s="7">
        <v>1.6850000000000001</v>
      </c>
      <c r="P2057" s="1" t="s">
        <v>18537</v>
      </c>
    </row>
    <row r="2058" spans="1:16" ht="33.4" x14ac:dyDescent="0.3">
      <c r="A2058" s="6" t="str">
        <f>HYPERLINK("https://www.ti.com/product/CSD87335Q3D", "CSD87335Q3D")</f>
        <v>CSD87335Q3D</v>
      </c>
      <c r="B2058" s="5" t="s">
        <v>18538</v>
      </c>
      <c r="C2058" s="6" t="str">
        <f>HYPERLINK("https://www.ti.com/lit/gpn/CSD87335Q3D", "PDF")</f>
        <v>PDF</v>
      </c>
      <c r="D2058" s="5" t="s">
        <v>18539</v>
      </c>
      <c r="E2058" s="5" t="s">
        <v>18540</v>
      </c>
      <c r="F2058" s="5"/>
      <c r="G2058" s="5" t="s">
        <v>18541</v>
      </c>
      <c r="H2058" s="1" t="s">
        <v>18542</v>
      </c>
      <c r="I2058" s="5" t="s">
        <v>18543</v>
      </c>
      <c r="J2058" s="7">
        <v>8</v>
      </c>
      <c r="K2058" s="7">
        <v>10.89</v>
      </c>
      <c r="L2058" s="5" t="s">
        <v>18544</v>
      </c>
      <c r="M2058" s="7">
        <v>1.6</v>
      </c>
      <c r="N2058" s="7">
        <v>0.65</v>
      </c>
      <c r="O2058" s="7">
        <v>0.46200000000000002</v>
      </c>
      <c r="P2058" s="1" t="s">
        <v>18545</v>
      </c>
    </row>
    <row r="2059" spans="1:16" ht="33.4" x14ac:dyDescent="0.3">
      <c r="A2059" s="6" t="str">
        <f>HYPERLINK("https://www.ti.com/product/CSD95472Q5MC", "CSD95472Q5MC")</f>
        <v>CSD95472Q5MC</v>
      </c>
      <c r="B2059" s="5" t="s">
        <v>18546</v>
      </c>
      <c r="C2059" s="6" t="str">
        <f>HYPERLINK("https://www.ti.com/lit/gpn/CSD95472Q5MC", "PDF")</f>
        <v>PDF</v>
      </c>
      <c r="D2059" s="5" t="s">
        <v>18547</v>
      </c>
      <c r="E2059" s="5" t="s">
        <v>18548</v>
      </c>
      <c r="F2059" s="5"/>
      <c r="G2059" s="5" t="s">
        <v>18549</v>
      </c>
      <c r="H2059" s="1" t="s">
        <v>18550</v>
      </c>
      <c r="I2059" s="5" t="s">
        <v>18551</v>
      </c>
      <c r="J2059" s="7">
        <v>12</v>
      </c>
      <c r="K2059" s="7">
        <v>30</v>
      </c>
      <c r="L2059" s="5" t="s">
        <v>18552</v>
      </c>
      <c r="M2059" s="7">
        <v>1.05</v>
      </c>
      <c r="N2059" s="7">
        <v>0.5</v>
      </c>
      <c r="O2059" s="7">
        <v>2.3879999999999999</v>
      </c>
      <c r="P2059" s="1" t="s">
        <v>18553</v>
      </c>
    </row>
    <row r="2060" spans="1:16" ht="49.75" x14ac:dyDescent="0.3">
      <c r="A2060" s="6" t="str">
        <f>HYPERLINK("https://www.ti.com/product/LM36922H", "LM36922H")</f>
        <v>LM36922H</v>
      </c>
      <c r="B2060" s="5" t="s">
        <v>18554</v>
      </c>
      <c r="C2060" s="6" t="str">
        <f>HYPERLINK("https://www.ti.com/lit/gpn/LM36922H", "PDF")</f>
        <v>PDF</v>
      </c>
      <c r="D2060" s="5" t="s">
        <v>18555</v>
      </c>
      <c r="E2060" s="5" t="s">
        <v>18556</v>
      </c>
      <c r="F2060" s="5" t="s">
        <v>18557</v>
      </c>
      <c r="G2060" s="5" t="s">
        <v>18558</v>
      </c>
      <c r="H2060" s="1" t="s">
        <v>18559</v>
      </c>
      <c r="I2060" s="5" t="s">
        <v>18560</v>
      </c>
      <c r="J2060" s="7">
        <v>12</v>
      </c>
      <c r="K2060" s="7">
        <v>2.52</v>
      </c>
      <c r="L2060" s="5" t="s">
        <v>18561</v>
      </c>
      <c r="M2060" s="7">
        <v>0.625</v>
      </c>
      <c r="N2060" s="7">
        <v>0.4</v>
      </c>
      <c r="O2060" s="7">
        <v>0.45700000000000002</v>
      </c>
      <c r="P2060" s="1" t="s">
        <v>18562</v>
      </c>
    </row>
    <row r="2061" spans="1:16" ht="49.75" x14ac:dyDescent="0.3">
      <c r="A2061" s="6" t="str">
        <f>HYPERLINK("https://www.ti.com/product/LM36923H", "LM36923H")</f>
        <v>LM36923H</v>
      </c>
      <c r="B2061" s="5" t="s">
        <v>18563</v>
      </c>
      <c r="C2061" s="6" t="str">
        <f>HYPERLINK("https://www.ti.com/lit/gpn/LM36923H", "PDF")</f>
        <v>PDF</v>
      </c>
      <c r="D2061" s="5" t="s">
        <v>18564</v>
      </c>
      <c r="E2061" s="5" t="s">
        <v>18565</v>
      </c>
      <c r="F2061" s="5" t="s">
        <v>18566</v>
      </c>
      <c r="G2061" s="5" t="s">
        <v>18567</v>
      </c>
      <c r="H2061" s="1" t="s">
        <v>18568</v>
      </c>
      <c r="I2061" s="5" t="s">
        <v>18569</v>
      </c>
      <c r="J2061" s="7">
        <v>12</v>
      </c>
      <c r="K2061" s="7">
        <v>2.52</v>
      </c>
      <c r="L2061" s="5" t="s">
        <v>18570</v>
      </c>
      <c r="M2061" s="7">
        <v>0.625</v>
      </c>
      <c r="N2061" s="7">
        <v>0.4</v>
      </c>
      <c r="O2061" s="7">
        <v>0.69299999999999995</v>
      </c>
      <c r="P2061" s="1" t="s">
        <v>18571</v>
      </c>
    </row>
    <row r="2062" spans="1:16" ht="33.4" x14ac:dyDescent="0.3">
      <c r="A2062" s="6" t="str">
        <f>HYPERLINK("https://www.ti.com/product/TPS720-Q1", "TPS720-Q1")</f>
        <v>TPS720-Q1</v>
      </c>
      <c r="B2062" s="5" t="s">
        <v>18572</v>
      </c>
      <c r="C2062" s="6" t="str">
        <f>HYPERLINK("https://www.ti.com/lit/gpn/TPS720-Q1", "PDF")</f>
        <v>PDF</v>
      </c>
      <c r="D2062" s="5" t="s">
        <v>18573</v>
      </c>
      <c r="E2062" s="5" t="s">
        <v>18574</v>
      </c>
      <c r="F2062" s="5"/>
      <c r="G2062" s="5" t="s">
        <v>18575</v>
      </c>
      <c r="H2062" s="1" t="s">
        <v>18576</v>
      </c>
      <c r="I2062" s="5" t="s">
        <v>18577</v>
      </c>
      <c r="J2062" s="7">
        <v>6</v>
      </c>
      <c r="K2062" s="7">
        <v>4</v>
      </c>
      <c r="L2062" s="5" t="s">
        <v>18578</v>
      </c>
      <c r="M2062" s="7">
        <v>0.8</v>
      </c>
      <c r="N2062" s="7">
        <v>0.65</v>
      </c>
      <c r="O2062" s="7">
        <v>0.39300000000000002</v>
      </c>
      <c r="P2062" s="1" t="s">
        <v>18579</v>
      </c>
    </row>
    <row r="2063" spans="1:16" ht="49.75" x14ac:dyDescent="0.3">
      <c r="A2063" s="6" t="str">
        <f>HYPERLINK("https://www.ti.com/product/TPS62480", "TPS62480")</f>
        <v>TPS62480</v>
      </c>
      <c r="B2063" s="5" t="s">
        <v>18580</v>
      </c>
      <c r="C2063" s="6" t="str">
        <f>HYPERLINK("https://www.ti.com/lit/gpn/TPS62480", "PDF")</f>
        <v>PDF</v>
      </c>
      <c r="D2063" s="5" t="s">
        <v>18581</v>
      </c>
      <c r="E2063" s="5" t="s">
        <v>18582</v>
      </c>
      <c r="F2063" s="5" t="s">
        <v>18583</v>
      </c>
      <c r="G2063" s="5" t="s">
        <v>18584</v>
      </c>
      <c r="H2063" s="1" t="s">
        <v>18585</v>
      </c>
      <c r="I2063" s="5" t="s">
        <v>18586</v>
      </c>
      <c r="J2063" s="7">
        <v>16</v>
      </c>
      <c r="K2063" s="7">
        <v>7.5</v>
      </c>
      <c r="L2063" s="5" t="s">
        <v>18587</v>
      </c>
      <c r="M2063" s="7">
        <v>1</v>
      </c>
      <c r="N2063" s="7">
        <v>0.5</v>
      </c>
      <c r="O2063" s="7">
        <v>1.206</v>
      </c>
      <c r="P2063" s="1" t="s">
        <v>18588</v>
      </c>
    </row>
    <row r="2064" spans="1:16" ht="33.4" x14ac:dyDescent="0.3">
      <c r="A2064" s="6" t="str">
        <f>HYPERLINK("https://www.ti.com/product/LM27761", "LM27761")</f>
        <v>LM27761</v>
      </c>
      <c r="B2064" s="5" t="s">
        <v>18589</v>
      </c>
      <c r="C2064" s="6" t="str">
        <f>HYPERLINK("https://www.ti.com/lit/gpn/LM27761", "PDF")</f>
        <v>PDF</v>
      </c>
      <c r="D2064" s="5" t="s">
        <v>18590</v>
      </c>
      <c r="E2064" s="5" t="s">
        <v>18591</v>
      </c>
      <c r="F2064" s="5"/>
      <c r="G2064" s="5" t="s">
        <v>18592</v>
      </c>
      <c r="H2064" s="1" t="s">
        <v>18593</v>
      </c>
      <c r="I2064" s="5" t="s">
        <v>18594</v>
      </c>
      <c r="J2064" s="7">
        <v>8</v>
      </c>
      <c r="K2064" s="7">
        <v>4</v>
      </c>
      <c r="L2064" s="5" t="s">
        <v>18595</v>
      </c>
      <c r="M2064" s="7">
        <v>0.8</v>
      </c>
      <c r="N2064" s="7">
        <v>0.5</v>
      </c>
      <c r="O2064" s="7">
        <v>0.55200000000000005</v>
      </c>
      <c r="P2064" s="1" t="s">
        <v>18596</v>
      </c>
    </row>
    <row r="2065" spans="1:16" ht="33.4" x14ac:dyDescent="0.3">
      <c r="A2065" s="6" t="str">
        <f>HYPERLINK("https://www.ti.com/product/TPS7A85", "TPS7A85")</f>
        <v>TPS7A85</v>
      </c>
      <c r="B2065" s="5" t="s">
        <v>18597</v>
      </c>
      <c r="C2065" s="6" t="str">
        <f>HYPERLINK("https://www.ti.com/lit/gpn/TPS7A85", "PDF")</f>
        <v>PDF</v>
      </c>
      <c r="D2065" s="5" t="s">
        <v>18598</v>
      </c>
      <c r="E2065" s="5" t="s">
        <v>18599</v>
      </c>
      <c r="F2065" s="5"/>
      <c r="G2065" s="5" t="s">
        <v>18600</v>
      </c>
      <c r="H2065" s="1" t="s">
        <v>18601</v>
      </c>
      <c r="I2065" s="5" t="s">
        <v>18602</v>
      </c>
      <c r="J2065" s="7">
        <v>20</v>
      </c>
      <c r="K2065" s="7">
        <v>12.25</v>
      </c>
      <c r="L2065" s="5" t="s">
        <v>18603</v>
      </c>
      <c r="M2065" s="7">
        <v>1</v>
      </c>
      <c r="N2065" s="7">
        <v>0.5</v>
      </c>
      <c r="O2065" s="7">
        <v>3.22</v>
      </c>
      <c r="P2065" s="1" t="s">
        <v>18604</v>
      </c>
    </row>
    <row r="2066" spans="1:16" ht="33.4" x14ac:dyDescent="0.3">
      <c r="A2066" s="6" t="str">
        <f>HYPERLINK("https://www.ti.com/product/TPS61194", "TPS61194")</f>
        <v>TPS61194</v>
      </c>
      <c r="B2066" s="5" t="s">
        <v>18605</v>
      </c>
      <c r="C2066" s="6" t="str">
        <f>HYPERLINK("https://www.ti.com/lit/gpn/TPS61194", "PDF")</f>
        <v>PDF</v>
      </c>
      <c r="D2066" s="5" t="s">
        <v>18606</v>
      </c>
      <c r="E2066" s="5" t="s">
        <v>18607</v>
      </c>
      <c r="F2066" s="5" t="s">
        <v>18608</v>
      </c>
      <c r="G2066" s="5" t="s">
        <v>18609</v>
      </c>
      <c r="H2066" s="1" t="s">
        <v>18610</v>
      </c>
      <c r="I2066" s="5" t="s">
        <v>18611</v>
      </c>
      <c r="J2066" s="7">
        <v>20</v>
      </c>
      <c r="K2066" s="7">
        <v>41.6</v>
      </c>
      <c r="L2066" s="5" t="s">
        <v>18612</v>
      </c>
      <c r="M2066" s="7">
        <v>1.2</v>
      </c>
      <c r="N2066" s="7">
        <v>0.65</v>
      </c>
      <c r="O2066" s="7">
        <v>0.91100000000000003</v>
      </c>
      <c r="P2066" s="1" t="s">
        <v>18613</v>
      </c>
    </row>
    <row r="2067" spans="1:16" ht="33.4" x14ac:dyDescent="0.3">
      <c r="A2067" s="6" t="str">
        <f>HYPERLINK("https://www.ti.com/product/TPS61194-Q1", "TPS61194-Q1")</f>
        <v>TPS61194-Q1</v>
      </c>
      <c r="B2067" s="5" t="s">
        <v>18614</v>
      </c>
      <c r="C2067" s="6" t="str">
        <f>HYPERLINK("https://www.ti.com/lit/gpn/TPS61194-Q1", "PDF")</f>
        <v>PDF</v>
      </c>
      <c r="D2067" s="5" t="s">
        <v>18615</v>
      </c>
      <c r="E2067" s="5" t="s">
        <v>18616</v>
      </c>
      <c r="F2067" s="5" t="s">
        <v>18617</v>
      </c>
      <c r="G2067" s="5" t="s">
        <v>18618</v>
      </c>
      <c r="H2067" s="1" t="s">
        <v>18619</v>
      </c>
      <c r="I2067" s="5" t="s">
        <v>18620</v>
      </c>
      <c r="J2067" s="7">
        <v>20</v>
      </c>
      <c r="K2067" s="7">
        <v>41.6</v>
      </c>
      <c r="L2067" s="5" t="s">
        <v>18621</v>
      </c>
      <c r="M2067" s="7">
        <v>1.2</v>
      </c>
      <c r="N2067" s="7">
        <v>0.65</v>
      </c>
      <c r="O2067" s="7">
        <v>1.075</v>
      </c>
      <c r="P2067" s="1" t="s">
        <v>18622</v>
      </c>
    </row>
    <row r="2068" spans="1:16" ht="33.4" x14ac:dyDescent="0.3">
      <c r="A2068" s="6" t="str">
        <f>HYPERLINK("https://www.ti.com/product/TPS562208", "TPS562208")</f>
        <v>TPS562208</v>
      </c>
      <c r="B2068" s="5" t="s">
        <v>18623</v>
      </c>
      <c r="C2068" s="6" t="str">
        <f>HYPERLINK("https://www.ti.com/lit/gpn/TPS562208", "PDF")</f>
        <v>PDF</v>
      </c>
      <c r="D2068" s="5" t="s">
        <v>18624</v>
      </c>
      <c r="E2068" s="5" t="s">
        <v>18625</v>
      </c>
      <c r="F2068" s="5" t="s">
        <v>18626</v>
      </c>
      <c r="G2068" s="5" t="s">
        <v>18627</v>
      </c>
      <c r="H2068" s="1" t="s">
        <v>18628</v>
      </c>
      <c r="I2068" s="5" t="s">
        <v>18629</v>
      </c>
      <c r="J2068" s="7">
        <v>6</v>
      </c>
      <c r="K2068" s="7">
        <v>8.1199999999999992</v>
      </c>
      <c r="L2068" s="5" t="s">
        <v>18630</v>
      </c>
      <c r="M2068" s="7">
        <v>1.1000000000000001</v>
      </c>
      <c r="N2068" s="7">
        <v>0.95</v>
      </c>
      <c r="O2068" s="7">
        <v>0.115</v>
      </c>
      <c r="P2068" s="1" t="s">
        <v>18631</v>
      </c>
    </row>
    <row r="2069" spans="1:16" ht="33.4" x14ac:dyDescent="0.3">
      <c r="A2069" s="6" t="str">
        <f>HYPERLINK("https://www.ti.com/product/LM5140-Q1", "LM5140-Q1")</f>
        <v>LM5140-Q1</v>
      </c>
      <c r="B2069" s="5" t="s">
        <v>18632</v>
      </c>
      <c r="C2069" s="6" t="str">
        <f>HYPERLINK("https://www.ti.com/lit/gpn/LM5140-Q1", "PDF")</f>
        <v>PDF</v>
      </c>
      <c r="D2069" s="5" t="s">
        <v>18633</v>
      </c>
      <c r="E2069" s="5" t="s">
        <v>18634</v>
      </c>
      <c r="F2069" s="5" t="s">
        <v>18635</v>
      </c>
      <c r="G2069" s="5" t="s">
        <v>18636</v>
      </c>
      <c r="H2069" s="1" t="s">
        <v>18637</v>
      </c>
      <c r="I2069" s="5" t="s">
        <v>18638</v>
      </c>
      <c r="J2069" s="7">
        <v>40</v>
      </c>
      <c r="K2069" s="7">
        <v>36</v>
      </c>
      <c r="L2069" s="5" t="s">
        <v>18639</v>
      </c>
      <c r="M2069" s="7">
        <v>0.9</v>
      </c>
      <c r="N2069" s="7">
        <v>0.5</v>
      </c>
      <c r="O2069" s="7">
        <v>6.9009999999999998</v>
      </c>
      <c r="P2069" s="1" t="s">
        <v>18640</v>
      </c>
    </row>
    <row r="2070" spans="1:16" ht="33.4" x14ac:dyDescent="0.3">
      <c r="A2070" s="6" t="str">
        <f>HYPERLINK("https://www.ti.com/product/TPS7A6650H-Q1", "TPS7A6650H-Q1")</f>
        <v>TPS7A6650H-Q1</v>
      </c>
      <c r="B2070" s="5" t="s">
        <v>18641</v>
      </c>
      <c r="C2070" s="6" t="str">
        <f>HYPERLINK("https://www.ti.com/lit/gpn/TPS7A6650H-Q1", "PDF")</f>
        <v>PDF</v>
      </c>
      <c r="D2070" s="5" t="s">
        <v>18642</v>
      </c>
      <c r="E2070" s="5" t="s">
        <v>18643</v>
      </c>
      <c r="F2070" s="5"/>
      <c r="G2070" s="5" t="s">
        <v>18644</v>
      </c>
      <c r="H2070" s="1" t="s">
        <v>18645</v>
      </c>
      <c r="I2070" s="5" t="s">
        <v>18646</v>
      </c>
      <c r="J2070" s="7">
        <v>8</v>
      </c>
      <c r="K2070" s="7">
        <v>14.7</v>
      </c>
      <c r="L2070" s="5" t="s">
        <v>18647</v>
      </c>
      <c r="M2070" s="7">
        <v>1.1000000000000001</v>
      </c>
      <c r="N2070" s="7">
        <v>0.65</v>
      </c>
      <c r="O2070" s="7">
        <v>1.5449999999999999</v>
      </c>
      <c r="P2070" s="1" t="s">
        <v>18648</v>
      </c>
    </row>
    <row r="2071" spans="1:16" ht="17.05" x14ac:dyDescent="0.3">
      <c r="A2071" s="6" t="str">
        <f>HYPERLINK("https://www.ti.com/product/LP8758-E0", "LP8758-E0")</f>
        <v>LP8758-E0</v>
      </c>
      <c r="B2071" s="5" t="s">
        <v>18649</v>
      </c>
      <c r="C2071" s="6" t="str">
        <f>HYPERLINK("https://www.ti.com/lit/gpn/LP8758-E0", "PDF")</f>
        <v>PDF</v>
      </c>
      <c r="D2071" s="5" t="s">
        <v>18650</v>
      </c>
      <c r="E2071" s="5" t="s">
        <v>18651</v>
      </c>
      <c r="F2071" s="5"/>
      <c r="G2071" s="5" t="s">
        <v>18652</v>
      </c>
      <c r="H2071" s="1" t="s">
        <v>18653</v>
      </c>
      <c r="I2071" s="5" t="s">
        <v>18654</v>
      </c>
      <c r="J2071" s="7">
        <v>35</v>
      </c>
      <c r="K2071" s="7">
        <v>6.6</v>
      </c>
      <c r="L2071" s="5" t="s">
        <v>18655</v>
      </c>
      <c r="M2071" s="7">
        <v>0.625</v>
      </c>
      <c r="N2071" s="7">
        <v>0.4</v>
      </c>
      <c r="O2071" s="7">
        <v>2.5049999999999999</v>
      </c>
      <c r="P2071" s="1" t="s">
        <v>18656</v>
      </c>
    </row>
    <row r="2072" spans="1:16" ht="33.4" x14ac:dyDescent="0.3">
      <c r="A2072" s="6" t="str">
        <f>HYPERLINK("https://www.ti.com/product/TPS563208", "TPS563208")</f>
        <v>TPS563208</v>
      </c>
      <c r="B2072" s="5" t="s">
        <v>18657</v>
      </c>
      <c r="C2072" s="6" t="str">
        <f>HYPERLINK("https://www.ti.com/lit/gpn/TPS563208", "PDF")</f>
        <v>PDF</v>
      </c>
      <c r="D2072" s="5" t="s">
        <v>18658</v>
      </c>
      <c r="E2072" s="5" t="s">
        <v>18659</v>
      </c>
      <c r="F2072" s="5" t="s">
        <v>18660</v>
      </c>
      <c r="G2072" s="5" t="s">
        <v>18661</v>
      </c>
      <c r="H2072" s="1" t="s">
        <v>18662</v>
      </c>
      <c r="I2072" s="5" t="s">
        <v>18663</v>
      </c>
      <c r="J2072" s="7">
        <v>6</v>
      </c>
      <c r="K2072" s="7">
        <v>8.1199999999999992</v>
      </c>
      <c r="L2072" s="5" t="s">
        <v>18664</v>
      </c>
      <c r="M2072" s="7">
        <v>1.1000000000000001</v>
      </c>
      <c r="N2072" s="7">
        <v>0.95</v>
      </c>
      <c r="O2072" s="7">
        <v>0.127</v>
      </c>
      <c r="P2072" s="1" t="s">
        <v>18665</v>
      </c>
    </row>
    <row r="2073" spans="1:16" ht="33.4" x14ac:dyDescent="0.3">
      <c r="A2073" s="6" t="str">
        <f>HYPERLINK("https://www.ti.com/product/TLC59582", "TLC59582")</f>
        <v>TLC59582</v>
      </c>
      <c r="B2073" s="5" t="s">
        <v>18666</v>
      </c>
      <c r="C2073" s="6" t="str">
        <f>HYPERLINK("https://www.ti.com/lit/gpn/TLC59582", "PDF")</f>
        <v>PDF</v>
      </c>
      <c r="D2073" s="5" t="s">
        <v>18667</v>
      </c>
      <c r="E2073" s="5" t="s">
        <v>18668</v>
      </c>
      <c r="F2073" s="5"/>
      <c r="G2073" s="5" t="s">
        <v>18669</v>
      </c>
      <c r="H2073" s="1" t="s">
        <v>18670</v>
      </c>
      <c r="I2073" s="5" t="s">
        <v>18671</v>
      </c>
      <c r="J2073" s="7">
        <v>56</v>
      </c>
      <c r="K2073" s="7">
        <v>64</v>
      </c>
      <c r="L2073" s="5" t="s">
        <v>18672</v>
      </c>
      <c r="M2073" s="7">
        <v>1</v>
      </c>
      <c r="N2073" s="7">
        <v>0.5</v>
      </c>
      <c r="O2073" s="7">
        <v>2.8330000000000002</v>
      </c>
      <c r="P2073" s="1" t="s">
        <v>18673</v>
      </c>
    </row>
    <row r="2074" spans="1:16" ht="33.4" x14ac:dyDescent="0.3">
      <c r="A2074" s="6" t="str">
        <f>HYPERLINK("https://www.ti.com/product/UCD3138064A", "UCD3138064A")</f>
        <v>UCD3138064A</v>
      </c>
      <c r="B2074" s="5" t="s">
        <v>18674</v>
      </c>
      <c r="C2074" s="6" t="str">
        <f>HYPERLINK("https://www.ti.com/lit/gpn/UCD3138064A", "PDF")</f>
        <v>PDF</v>
      </c>
      <c r="D2074" s="5" t="s">
        <v>18675</v>
      </c>
      <c r="E2074" s="5" t="s">
        <v>18676</v>
      </c>
      <c r="F2074" s="5"/>
      <c r="G2074" s="5" t="s">
        <v>18677</v>
      </c>
      <c r="H2074" s="1" t="s">
        <v>18678</v>
      </c>
      <c r="I2074" s="5" t="s">
        <v>18679</v>
      </c>
      <c r="J2074" s="7">
        <v>64</v>
      </c>
      <c r="K2074" s="7">
        <v>81</v>
      </c>
      <c r="L2074" s="5" t="s">
        <v>18680</v>
      </c>
      <c r="M2074" s="7">
        <v>1</v>
      </c>
      <c r="N2074" s="7">
        <v>0.5</v>
      </c>
      <c r="O2074" s="7">
        <v>5.8419999999999996</v>
      </c>
      <c r="P2074" s="1" t="s">
        <v>18681</v>
      </c>
    </row>
    <row r="2075" spans="1:16" ht="33.4" x14ac:dyDescent="0.3">
      <c r="A2075" s="6" t="str">
        <f>HYPERLINK("https://www.ti.com/product/UCC27211A-Q1", "UCC27211A-Q1")</f>
        <v>UCC27211A-Q1</v>
      </c>
      <c r="B2075" s="5" t="s">
        <v>18682</v>
      </c>
      <c r="C2075" s="6" t="str">
        <f>HYPERLINK("https://www.ti.com/lit/gpn/UCC27211A-Q1", "PDF")</f>
        <v>PDF</v>
      </c>
      <c r="D2075" s="5" t="s">
        <v>18683</v>
      </c>
      <c r="E2075" s="5" t="s">
        <v>18684</v>
      </c>
      <c r="F2075" s="5"/>
      <c r="G2075" s="5" t="s">
        <v>18685</v>
      </c>
      <c r="H2075" s="1" t="s">
        <v>18686</v>
      </c>
      <c r="I2075" s="5" t="s">
        <v>18687</v>
      </c>
      <c r="J2075" s="7">
        <v>8</v>
      </c>
      <c r="K2075" s="7">
        <v>29.4</v>
      </c>
      <c r="L2075" s="5" t="s">
        <v>18688</v>
      </c>
      <c r="M2075" s="7" t="s">
        <v>18689</v>
      </c>
      <c r="N2075" s="7">
        <v>1.27</v>
      </c>
      <c r="O2075" s="7">
        <v>0.97699999999999998</v>
      </c>
      <c r="P2075" s="1" t="s">
        <v>18690</v>
      </c>
    </row>
    <row r="2076" spans="1:16" ht="33.4" x14ac:dyDescent="0.3">
      <c r="A2076" s="6" t="str">
        <f>HYPERLINK("https://www.ti.com/product/TPS7A84", "TPS7A84")</f>
        <v>TPS7A84</v>
      </c>
      <c r="B2076" s="5" t="s">
        <v>18691</v>
      </c>
      <c r="C2076" s="6" t="str">
        <f>HYPERLINK("https://www.ti.com/lit/gpn/TPS7A84", "PDF")</f>
        <v>PDF</v>
      </c>
      <c r="D2076" s="5" t="s">
        <v>18692</v>
      </c>
      <c r="E2076" s="5" t="s">
        <v>18693</v>
      </c>
      <c r="F2076" s="5"/>
      <c r="G2076" s="5" t="s">
        <v>18694</v>
      </c>
      <c r="H2076" s="1" t="s">
        <v>18695</v>
      </c>
      <c r="I2076" s="5" t="s">
        <v>18696</v>
      </c>
      <c r="J2076" s="7">
        <v>20</v>
      </c>
      <c r="K2076" s="7">
        <v>12.25</v>
      </c>
      <c r="L2076" s="5" t="s">
        <v>18697</v>
      </c>
      <c r="M2076" s="7">
        <v>1</v>
      </c>
      <c r="N2076" s="7">
        <v>0.5</v>
      </c>
      <c r="O2076" s="7">
        <v>2.415</v>
      </c>
      <c r="P2076" s="1" t="s">
        <v>18698</v>
      </c>
    </row>
    <row r="2077" spans="1:16" ht="33.4" x14ac:dyDescent="0.3">
      <c r="A2077" s="6" t="str">
        <f>HYPERLINK("https://www.ti.com/product/TPS610985", "TPS610985")</f>
        <v>TPS610985</v>
      </c>
      <c r="B2077" s="5" t="s">
        <v>18699</v>
      </c>
      <c r="C2077" s="6" t="str">
        <f>HYPERLINK("https://www.ti.com/lit/gpn/TPS610985", "PDF")</f>
        <v>PDF</v>
      </c>
      <c r="D2077" s="5" t="s">
        <v>18700</v>
      </c>
      <c r="E2077" s="5" t="s">
        <v>18701</v>
      </c>
      <c r="F2077" s="5" t="s">
        <v>18702</v>
      </c>
      <c r="G2077" s="5" t="s">
        <v>18703</v>
      </c>
      <c r="H2077" s="1" t="s">
        <v>18704</v>
      </c>
      <c r="I2077" s="5" t="s">
        <v>18705</v>
      </c>
      <c r="J2077" s="7">
        <v>6</v>
      </c>
      <c r="K2077" s="7">
        <v>2.25</v>
      </c>
      <c r="L2077" s="5" t="s">
        <v>18706</v>
      </c>
      <c r="M2077" s="7">
        <v>0.8</v>
      </c>
      <c r="N2077" s="7">
        <v>0.5</v>
      </c>
      <c r="O2077" s="7">
        <v>0.55300000000000005</v>
      </c>
      <c r="P2077" s="1" t="s">
        <v>18707</v>
      </c>
    </row>
    <row r="2078" spans="1:16" ht="33.4" x14ac:dyDescent="0.3">
      <c r="A2078" s="6" t="str">
        <f>HYPERLINK("https://www.ti.com/product/TPS610986", "TPS610986")</f>
        <v>TPS610986</v>
      </c>
      <c r="B2078" s="5" t="s">
        <v>18708</v>
      </c>
      <c r="C2078" s="6" t="str">
        <f>HYPERLINK("https://www.ti.com/lit/gpn/TPS610986", "PDF")</f>
        <v>PDF</v>
      </c>
      <c r="D2078" s="5" t="s">
        <v>18709</v>
      </c>
      <c r="E2078" s="5" t="s">
        <v>18710</v>
      </c>
      <c r="F2078" s="5" t="s">
        <v>18711</v>
      </c>
      <c r="G2078" s="5" t="s">
        <v>18712</v>
      </c>
      <c r="H2078" s="1" t="s">
        <v>18713</v>
      </c>
      <c r="I2078" s="5" t="s">
        <v>18714</v>
      </c>
      <c r="J2078" s="7">
        <v>6</v>
      </c>
      <c r="K2078" s="7">
        <v>2.25</v>
      </c>
      <c r="L2078" s="5" t="s">
        <v>18715</v>
      </c>
      <c r="M2078" s="7">
        <v>0.8</v>
      </c>
      <c r="N2078" s="7">
        <v>0.5</v>
      </c>
      <c r="O2078" s="7">
        <v>0.55300000000000005</v>
      </c>
      <c r="P2078" s="1" t="s">
        <v>18716</v>
      </c>
    </row>
    <row r="2079" spans="1:16" ht="33.4" x14ac:dyDescent="0.3">
      <c r="A2079" s="6" t="str">
        <f>HYPERLINK("https://www.ti.com/product/LMR14020-Q1", "LMR14020-Q1")</f>
        <v>LMR14020-Q1</v>
      </c>
      <c r="B2079" s="5" t="s">
        <v>18717</v>
      </c>
      <c r="C2079" s="6" t="str">
        <f>HYPERLINK("https://www.ti.com/lit/gpn/LMR14020-Q1", "PDF")</f>
        <v>PDF</v>
      </c>
      <c r="D2079" s="5" t="s">
        <v>18718</v>
      </c>
      <c r="E2079" s="5" t="s">
        <v>18719</v>
      </c>
      <c r="F2079" s="5" t="s">
        <v>18720</v>
      </c>
      <c r="G2079" s="5" t="s">
        <v>18721</v>
      </c>
      <c r="H2079" s="1" t="s">
        <v>18722</v>
      </c>
      <c r="I2079" s="5" t="s">
        <v>18723</v>
      </c>
      <c r="J2079" s="7" t="s">
        <v>18724</v>
      </c>
      <c r="K2079" s="7" t="s">
        <v>18725</v>
      </c>
      <c r="L2079" s="5" t="s">
        <v>18726</v>
      </c>
      <c r="M2079" s="7" t="s">
        <v>18727</v>
      </c>
      <c r="N2079" s="7" t="s">
        <v>18728</v>
      </c>
      <c r="O2079" s="7">
        <v>1.29</v>
      </c>
      <c r="P2079" s="1" t="s">
        <v>18729</v>
      </c>
    </row>
    <row r="2080" spans="1:16" ht="33.4" x14ac:dyDescent="0.3">
      <c r="A2080" s="6" t="str">
        <f>HYPERLINK("https://www.ti.com/product/LMR14030-Q1", "LMR14030-Q1")</f>
        <v>LMR14030-Q1</v>
      </c>
      <c r="B2080" s="5" t="s">
        <v>18730</v>
      </c>
      <c r="C2080" s="6" t="str">
        <f>HYPERLINK("https://www.ti.com/lit/gpn/LMR14030-Q1", "PDF")</f>
        <v>PDF</v>
      </c>
      <c r="D2080" s="5" t="s">
        <v>18731</v>
      </c>
      <c r="E2080" s="5" t="s">
        <v>18732</v>
      </c>
      <c r="F2080" s="5" t="s">
        <v>18733</v>
      </c>
      <c r="G2080" s="5" t="s">
        <v>18734</v>
      </c>
      <c r="H2080" s="1" t="s">
        <v>18735</v>
      </c>
      <c r="I2080" s="5" t="s">
        <v>18736</v>
      </c>
      <c r="J2080" s="7" t="s">
        <v>18737</v>
      </c>
      <c r="K2080" s="7" t="s">
        <v>18738</v>
      </c>
      <c r="L2080" s="5" t="s">
        <v>18739</v>
      </c>
      <c r="M2080" s="7" t="s">
        <v>18740</v>
      </c>
      <c r="N2080" s="7" t="s">
        <v>18741</v>
      </c>
      <c r="O2080" s="7">
        <v>1.423</v>
      </c>
      <c r="P2080" s="1" t="s">
        <v>18742</v>
      </c>
    </row>
    <row r="2081" spans="1:16" ht="33.4" x14ac:dyDescent="0.3">
      <c r="A2081" s="6" t="str">
        <f>HYPERLINK("https://www.ti.com/product/LMR14050-Q1", "LMR14050-Q1")</f>
        <v>LMR14050-Q1</v>
      </c>
      <c r="B2081" s="5" t="s">
        <v>18743</v>
      </c>
      <c r="C2081" s="6" t="str">
        <f>HYPERLINK("https://www.ti.com/lit/gpn/LMR14050-Q1", "PDF")</f>
        <v>PDF</v>
      </c>
      <c r="D2081" s="5" t="s">
        <v>18744</v>
      </c>
      <c r="E2081" s="5" t="s">
        <v>18745</v>
      </c>
      <c r="F2081" s="5" t="s">
        <v>18746</v>
      </c>
      <c r="G2081" s="5" t="s">
        <v>18747</v>
      </c>
      <c r="H2081" s="1" t="s">
        <v>18748</v>
      </c>
      <c r="I2081" s="5" t="s">
        <v>18749</v>
      </c>
      <c r="J2081" s="7" t="s">
        <v>18750</v>
      </c>
      <c r="K2081" s="7" t="s">
        <v>18751</v>
      </c>
      <c r="L2081" s="5" t="s">
        <v>18752</v>
      </c>
      <c r="M2081" s="7" t="s">
        <v>18753</v>
      </c>
      <c r="N2081" s="7" t="s">
        <v>18754</v>
      </c>
      <c r="O2081" s="7">
        <v>1.4990000000000001</v>
      </c>
      <c r="P2081" s="1" t="s">
        <v>18755</v>
      </c>
    </row>
    <row r="2082" spans="1:16" ht="33.4" x14ac:dyDescent="0.3">
      <c r="A2082" s="6" t="str">
        <f>HYPERLINK("https://www.ti.com/product/TPS2559-Q1", "TPS2559-Q1")</f>
        <v>TPS2559-Q1</v>
      </c>
      <c r="B2082" s="5" t="s">
        <v>18756</v>
      </c>
      <c r="C2082" s="6" t="str">
        <f>HYPERLINK("https://www.ti.com/lit/gpn/TPS2559-Q1", "PDF")</f>
        <v>PDF</v>
      </c>
      <c r="D2082" s="5" t="s">
        <v>18757</v>
      </c>
      <c r="E2082" s="5" t="s">
        <v>18758</v>
      </c>
      <c r="F2082" s="5"/>
      <c r="G2082" s="5" t="s">
        <v>18759</v>
      </c>
      <c r="H2082" s="1" t="s">
        <v>18760</v>
      </c>
      <c r="I2082" s="5" t="s">
        <v>18761</v>
      </c>
      <c r="J2082" s="7">
        <v>10</v>
      </c>
      <c r="K2082" s="7">
        <v>9</v>
      </c>
      <c r="L2082" s="5" t="s">
        <v>18762</v>
      </c>
      <c r="M2082" s="7">
        <v>1</v>
      </c>
      <c r="N2082" s="7">
        <v>0.5</v>
      </c>
      <c r="O2082" s="7">
        <v>0.78800000000000003</v>
      </c>
      <c r="P2082" s="1" t="s">
        <v>18763</v>
      </c>
    </row>
    <row r="2083" spans="1:16" ht="33.4" x14ac:dyDescent="0.3">
      <c r="A2083" s="6" t="str">
        <f>HYPERLINK("https://www.ti.com/product/TPS7B7701-Q1", "TPS7B7701-Q1")</f>
        <v>TPS7B7701-Q1</v>
      </c>
      <c r="B2083" s="5" t="s">
        <v>18764</v>
      </c>
      <c r="C2083" s="6" t="str">
        <f>HYPERLINK("https://www.ti.com/lit/gpn/TPS7B7701-Q1", "PDF")</f>
        <v>PDF</v>
      </c>
      <c r="D2083" s="5" t="s">
        <v>18765</v>
      </c>
      <c r="E2083" s="5" t="s">
        <v>18766</v>
      </c>
      <c r="F2083" s="5"/>
      <c r="G2083" s="5" t="s">
        <v>18767</v>
      </c>
      <c r="H2083" s="1" t="s">
        <v>18768</v>
      </c>
      <c r="I2083" s="5" t="s">
        <v>18769</v>
      </c>
      <c r="J2083" s="7">
        <v>16</v>
      </c>
      <c r="K2083" s="7">
        <v>32</v>
      </c>
      <c r="L2083" s="5" t="s">
        <v>18770</v>
      </c>
      <c r="M2083" s="7">
        <v>1.2</v>
      </c>
      <c r="N2083" s="7">
        <v>0.65</v>
      </c>
      <c r="O2083" s="7">
        <v>0.96899999999999997</v>
      </c>
      <c r="P2083" s="1" t="s">
        <v>18771</v>
      </c>
    </row>
    <row r="2084" spans="1:16" ht="33.4" x14ac:dyDescent="0.3">
      <c r="A2084" s="6" t="str">
        <f>HYPERLINK("https://www.ti.com/product/TPS653853-Q1", "TPS653853-Q1")</f>
        <v>TPS653853-Q1</v>
      </c>
      <c r="B2084" s="5" t="s">
        <v>18772</v>
      </c>
      <c r="C2084" s="6" t="str">
        <f>HYPERLINK("https://www.ti.com/lit/gpn/TPS653853-Q1", "PDF")</f>
        <v>PDF</v>
      </c>
      <c r="D2084" s="5" t="s">
        <v>18773</v>
      </c>
      <c r="E2084" s="5" t="s">
        <v>18774</v>
      </c>
      <c r="F2084" s="5"/>
      <c r="G2084" s="5" t="s">
        <v>18775</v>
      </c>
      <c r="H2084" s="1" t="s">
        <v>18776</v>
      </c>
      <c r="I2084" s="5" t="s">
        <v>18777</v>
      </c>
      <c r="J2084" s="7">
        <v>48</v>
      </c>
      <c r="K2084" s="7">
        <v>101.25</v>
      </c>
      <c r="L2084" s="5" t="s">
        <v>18778</v>
      </c>
      <c r="M2084" s="7">
        <v>1.2</v>
      </c>
      <c r="N2084" s="7">
        <v>0.5</v>
      </c>
      <c r="O2084" s="7">
        <v>4.7160000000000002</v>
      </c>
      <c r="P2084" s="1" t="s">
        <v>18779</v>
      </c>
    </row>
    <row r="2085" spans="1:16" ht="33.4" x14ac:dyDescent="0.3">
      <c r="A2085" s="6" t="str">
        <f>HYPERLINK("https://www.ti.com/product/CSD87502Q2", "CSD87502Q2")</f>
        <v>CSD87502Q2</v>
      </c>
      <c r="B2085" s="5" t="s">
        <v>18780</v>
      </c>
      <c r="C2085" s="6" t="str">
        <f>HYPERLINK("https://www.ti.com/lit/gpn/CSD87502Q2", "PDF")</f>
        <v>PDF</v>
      </c>
      <c r="D2085" s="5" t="s">
        <v>18781</v>
      </c>
      <c r="E2085" s="5" t="s">
        <v>18782</v>
      </c>
      <c r="F2085" s="5"/>
      <c r="G2085" s="5" t="s">
        <v>18783</v>
      </c>
      <c r="H2085" s="1" t="s">
        <v>18784</v>
      </c>
      <c r="I2085" s="5" t="s">
        <v>18785</v>
      </c>
      <c r="J2085" s="7">
        <v>6</v>
      </c>
      <c r="K2085" s="7">
        <v>4</v>
      </c>
      <c r="L2085" s="5" t="s">
        <v>18786</v>
      </c>
      <c r="M2085" s="7">
        <v>0.8</v>
      </c>
      <c r="N2085" s="7">
        <v>0.65</v>
      </c>
      <c r="O2085" s="7">
        <v>0.114</v>
      </c>
      <c r="P2085" s="1" t="s">
        <v>18787</v>
      </c>
    </row>
    <row r="2086" spans="1:16" ht="33.4" x14ac:dyDescent="0.3">
      <c r="A2086" s="6" t="str">
        <f>HYPERLINK("https://www.ti.com/product/LM53600-Q1", "LM53600-Q1")</f>
        <v>LM53600-Q1</v>
      </c>
      <c r="B2086" s="5" t="s">
        <v>18788</v>
      </c>
      <c r="C2086" s="6" t="str">
        <f>HYPERLINK("https://www.ti.com/lit/gpn/LM53600-Q1", "PDF")</f>
        <v>PDF</v>
      </c>
      <c r="D2086" s="5" t="s">
        <v>18789</v>
      </c>
      <c r="E2086" s="5" t="s">
        <v>18790</v>
      </c>
      <c r="F2086" s="5" t="s">
        <v>18791</v>
      </c>
      <c r="G2086" s="5" t="s">
        <v>18792</v>
      </c>
      <c r="H2086" s="1" t="s">
        <v>18793</v>
      </c>
      <c r="I2086" s="5" t="s">
        <v>18794</v>
      </c>
      <c r="J2086" s="7">
        <v>10</v>
      </c>
      <c r="K2086" s="7">
        <v>9</v>
      </c>
      <c r="L2086" s="5" t="s">
        <v>18795</v>
      </c>
      <c r="M2086" s="7">
        <v>0.8</v>
      </c>
      <c r="N2086" s="7">
        <v>0.5</v>
      </c>
      <c r="O2086" s="7">
        <v>1.829</v>
      </c>
      <c r="P2086" s="1" t="s">
        <v>18796</v>
      </c>
    </row>
    <row r="2087" spans="1:16" ht="33.4" x14ac:dyDescent="0.3">
      <c r="A2087" s="6" t="str">
        <f>HYPERLINK("https://www.ti.com/product/LM53601-Q1", "LM53601-Q1")</f>
        <v>LM53601-Q1</v>
      </c>
      <c r="B2087" s="5" t="s">
        <v>18797</v>
      </c>
      <c r="C2087" s="6" t="str">
        <f>HYPERLINK("https://www.ti.com/lit/gpn/LM53601-Q1", "PDF")</f>
        <v>PDF</v>
      </c>
      <c r="D2087" s="5" t="s">
        <v>18798</v>
      </c>
      <c r="E2087" s="5" t="s">
        <v>18799</v>
      </c>
      <c r="F2087" s="5" t="s">
        <v>18800</v>
      </c>
      <c r="G2087" s="5" t="s">
        <v>18801</v>
      </c>
      <c r="H2087" s="1" t="s">
        <v>18802</v>
      </c>
      <c r="I2087" s="5" t="s">
        <v>18803</v>
      </c>
      <c r="J2087" s="7">
        <v>10</v>
      </c>
      <c r="K2087" s="7">
        <v>9</v>
      </c>
      <c r="L2087" s="5" t="s">
        <v>18804</v>
      </c>
      <c r="M2087" s="7">
        <v>0.8</v>
      </c>
      <c r="N2087" s="7">
        <v>0.5</v>
      </c>
      <c r="O2087" s="7">
        <v>1.8979999999999999</v>
      </c>
      <c r="P2087" s="1" t="s">
        <v>18805</v>
      </c>
    </row>
    <row r="2088" spans="1:16" ht="33.4" x14ac:dyDescent="0.3">
      <c r="A2088" s="6" t="str">
        <f>HYPERLINK("https://www.ti.com/product/TPS562201", "TPS562201")</f>
        <v>TPS562201</v>
      </c>
      <c r="B2088" s="5" t="s">
        <v>18806</v>
      </c>
      <c r="C2088" s="6" t="str">
        <f>HYPERLINK("https://www.ti.com/lit/gpn/TPS562201", "PDF")</f>
        <v>PDF</v>
      </c>
      <c r="D2088" s="5" t="s">
        <v>18807</v>
      </c>
      <c r="E2088" s="5" t="s">
        <v>18808</v>
      </c>
      <c r="F2088" s="5" t="s">
        <v>18809</v>
      </c>
      <c r="G2088" s="5" t="s">
        <v>18810</v>
      </c>
      <c r="H2088" s="1" t="s">
        <v>18811</v>
      </c>
      <c r="I2088" s="5" t="s">
        <v>18812</v>
      </c>
      <c r="J2088" s="7">
        <v>6</v>
      </c>
      <c r="K2088" s="7">
        <v>8.1199999999999992</v>
      </c>
      <c r="L2088" s="5" t="s">
        <v>18813</v>
      </c>
      <c r="M2088" s="7">
        <v>1.1000000000000001</v>
      </c>
      <c r="N2088" s="7">
        <v>0.95</v>
      </c>
      <c r="O2088" s="7">
        <v>0.115</v>
      </c>
      <c r="P2088" s="1" t="s">
        <v>18814</v>
      </c>
    </row>
    <row r="2089" spans="1:16" ht="33.4" x14ac:dyDescent="0.3">
      <c r="A2089" s="6" t="str">
        <f>HYPERLINK("https://www.ti.com/product/TPS65262-2", "TPS65262-2")</f>
        <v>TPS65262-2</v>
      </c>
      <c r="B2089" s="5" t="s">
        <v>18815</v>
      </c>
      <c r="C2089" s="6" t="str">
        <f>HYPERLINK("https://www.ti.com/lit/gpn/TPS65262-2", "PDF")</f>
        <v>PDF</v>
      </c>
      <c r="D2089" s="5" t="s">
        <v>18816</v>
      </c>
      <c r="E2089" s="5" t="s">
        <v>18817</v>
      </c>
      <c r="F2089" s="5" t="s">
        <v>18818</v>
      </c>
      <c r="G2089" s="5" t="s">
        <v>18819</v>
      </c>
      <c r="H2089" s="1" t="s">
        <v>18820</v>
      </c>
      <c r="I2089" s="5" t="s">
        <v>18821</v>
      </c>
      <c r="J2089" s="7">
        <v>32</v>
      </c>
      <c r="K2089" s="7">
        <v>25</v>
      </c>
      <c r="L2089" s="5" t="s">
        <v>18822</v>
      </c>
      <c r="M2089" s="7">
        <v>1</v>
      </c>
      <c r="N2089" s="7">
        <v>0.5</v>
      </c>
      <c r="O2089" s="7">
        <v>1.518</v>
      </c>
      <c r="P2089" s="1" t="s">
        <v>18823</v>
      </c>
    </row>
    <row r="2090" spans="1:16" ht="33.4" x14ac:dyDescent="0.3">
      <c r="A2090" s="6" t="str">
        <f>HYPERLINK("https://www.ti.com/product/LM25122-Q1", "LM25122-Q1")</f>
        <v>LM25122-Q1</v>
      </c>
      <c r="B2090" s="5" t="s">
        <v>18824</v>
      </c>
      <c r="C2090" s="6" t="str">
        <f>HYPERLINK("https://www.ti.com/lit/gpn/LM25122-Q1", "PDF")</f>
        <v>PDF</v>
      </c>
      <c r="D2090" s="5" t="s">
        <v>18825</v>
      </c>
      <c r="E2090" s="5" t="s">
        <v>18826</v>
      </c>
      <c r="F2090" s="5" t="s">
        <v>18827</v>
      </c>
      <c r="G2090" s="5" t="s">
        <v>18828</v>
      </c>
      <c r="H2090" s="1" t="s">
        <v>18829</v>
      </c>
      <c r="I2090" s="5" t="s">
        <v>18830</v>
      </c>
      <c r="J2090" s="7">
        <v>20</v>
      </c>
      <c r="K2090" s="7">
        <v>41.6</v>
      </c>
      <c r="L2090" s="5" t="s">
        <v>18831</v>
      </c>
      <c r="M2090" s="7">
        <v>1.2</v>
      </c>
      <c r="N2090" s="7">
        <v>0.65</v>
      </c>
      <c r="O2090" s="7">
        <v>1.948</v>
      </c>
      <c r="P2090" s="1" t="s">
        <v>18832</v>
      </c>
    </row>
    <row r="2091" spans="1:16" ht="33.4" x14ac:dyDescent="0.3">
      <c r="A2091" s="6" t="str">
        <f>HYPERLINK("https://www.ti.com/product/TPS563201", "TPS563201")</f>
        <v>TPS563201</v>
      </c>
      <c r="B2091" s="5" t="s">
        <v>18833</v>
      </c>
      <c r="C2091" s="6" t="str">
        <f>HYPERLINK("https://www.ti.com/lit/gpn/TPS563201", "PDF")</f>
        <v>PDF</v>
      </c>
      <c r="D2091" s="5" t="s">
        <v>18834</v>
      </c>
      <c r="E2091" s="5" t="s">
        <v>18835</v>
      </c>
      <c r="F2091" s="5" t="s">
        <v>18836</v>
      </c>
      <c r="G2091" s="5" t="s">
        <v>18837</v>
      </c>
      <c r="H2091" s="1" t="s">
        <v>18838</v>
      </c>
      <c r="I2091" s="5" t="s">
        <v>18839</v>
      </c>
      <c r="J2091" s="7">
        <v>6</v>
      </c>
      <c r="K2091" s="7">
        <v>8.1199999999999992</v>
      </c>
      <c r="L2091" s="5" t="s">
        <v>18840</v>
      </c>
      <c r="M2091" s="7">
        <v>1.1000000000000001</v>
      </c>
      <c r="N2091" s="7">
        <v>0.95</v>
      </c>
      <c r="O2091" s="7">
        <v>0.13700000000000001</v>
      </c>
      <c r="P2091" s="1" t="s">
        <v>18841</v>
      </c>
    </row>
    <row r="2092" spans="1:16" ht="33.4" x14ac:dyDescent="0.3">
      <c r="A2092" s="6" t="str">
        <f>HYPERLINK("https://www.ti.com/product/TPS7H3301-SP", "TPS7H3301-SP")</f>
        <v>TPS7H3301-SP</v>
      </c>
      <c r="B2092" s="5" t="s">
        <v>18842</v>
      </c>
      <c r="C2092" s="6" t="str">
        <f>HYPERLINK("https://www.ti.com/lit/gpn/TPS7H3301-SP", "PDF")</f>
        <v>PDF</v>
      </c>
      <c r="D2092" s="5" t="s">
        <v>18843</v>
      </c>
      <c r="E2092" s="5" t="s">
        <v>18844</v>
      </c>
      <c r="F2092" s="5"/>
      <c r="G2092" s="5" t="s">
        <v>18845</v>
      </c>
      <c r="H2092" s="1" t="s">
        <v>18846</v>
      </c>
      <c r="I2092" s="5" t="s">
        <v>18847</v>
      </c>
      <c r="J2092" s="7">
        <v>16</v>
      </c>
      <c r="K2092" s="7">
        <v>105.6</v>
      </c>
      <c r="L2092" s="5" t="s">
        <v>18848</v>
      </c>
      <c r="M2092" s="7">
        <v>2.34</v>
      </c>
      <c r="N2092" s="7">
        <v>1.27</v>
      </c>
      <c r="O2092" s="7">
        <v>4792.0600000000004</v>
      </c>
      <c r="P2092" s="1" t="s">
        <v>18849</v>
      </c>
    </row>
    <row r="2093" spans="1:16" ht="49.75" x14ac:dyDescent="0.3">
      <c r="A2093" s="6" t="str">
        <f>HYPERLINK("https://www.ti.com/product/TPS92691", "TPS92691")</f>
        <v>TPS92691</v>
      </c>
      <c r="B2093" s="5" t="s">
        <v>18850</v>
      </c>
      <c r="C2093" s="6" t="str">
        <f>HYPERLINK("https://www.ti.com/lit/gpn/TPS92691", "PDF")</f>
        <v>PDF</v>
      </c>
      <c r="D2093" s="5" t="s">
        <v>18851</v>
      </c>
      <c r="E2093" s="5" t="s">
        <v>18852</v>
      </c>
      <c r="F2093" s="5" t="s">
        <v>18853</v>
      </c>
      <c r="G2093" s="5" t="s">
        <v>18854</v>
      </c>
      <c r="H2093" s="1" t="s">
        <v>18855</v>
      </c>
      <c r="I2093" s="5" t="s">
        <v>18856</v>
      </c>
      <c r="J2093" s="7">
        <v>16</v>
      </c>
      <c r="K2093" s="7">
        <v>32</v>
      </c>
      <c r="L2093" s="5" t="s">
        <v>18857</v>
      </c>
      <c r="M2093" s="7">
        <v>1.2</v>
      </c>
      <c r="N2093" s="7">
        <v>0.65</v>
      </c>
      <c r="O2093" s="7">
        <v>0.9</v>
      </c>
      <c r="P2093" s="1" t="s">
        <v>18858</v>
      </c>
    </row>
    <row r="2094" spans="1:16" ht="98.85" x14ac:dyDescent="0.3">
      <c r="A2094" s="6" t="str">
        <f>HYPERLINK("https://www.ti.com/product/TPS92691-Q1", "TPS92691-Q1")</f>
        <v>TPS92691-Q1</v>
      </c>
      <c r="B2094" s="5" t="s">
        <v>18859</v>
      </c>
      <c r="C2094" s="6" t="str">
        <f>HYPERLINK("https://www.ti.com/lit/gpn/TPS92691-Q1", "PDF")</f>
        <v>PDF</v>
      </c>
      <c r="D2094" s="5" t="s">
        <v>18860</v>
      </c>
      <c r="E2094" s="5" t="s">
        <v>18861</v>
      </c>
      <c r="F2094" s="5" t="s">
        <v>18862</v>
      </c>
      <c r="G2094" s="5" t="s">
        <v>18863</v>
      </c>
      <c r="H2094" s="1" t="s">
        <v>18864</v>
      </c>
      <c r="I2094" s="5" t="s">
        <v>18865</v>
      </c>
      <c r="J2094" s="7">
        <v>16</v>
      </c>
      <c r="K2094" s="7">
        <v>32</v>
      </c>
      <c r="L2094" s="5" t="s">
        <v>18866</v>
      </c>
      <c r="M2094" s="7">
        <v>1.2</v>
      </c>
      <c r="N2094" s="7">
        <v>0.65</v>
      </c>
      <c r="O2094" s="7">
        <v>0.89700000000000002</v>
      </c>
      <c r="P2094" s="1" t="s">
        <v>18867</v>
      </c>
    </row>
    <row r="2095" spans="1:16" ht="33.4" x14ac:dyDescent="0.3">
      <c r="A2095" s="6" t="str">
        <f>HYPERLINK("https://www.ti.com/product/LM5109B-Q1", "LM5109B-Q1")</f>
        <v>LM5109B-Q1</v>
      </c>
      <c r="B2095" s="5" t="s">
        <v>18868</v>
      </c>
      <c r="C2095" s="6" t="str">
        <f>HYPERLINK("https://www.ti.com/lit/gpn/LM5109B-Q1", "PDF")</f>
        <v>PDF</v>
      </c>
      <c r="D2095" s="5" t="s">
        <v>18869</v>
      </c>
      <c r="E2095" s="5" t="s">
        <v>18870</v>
      </c>
      <c r="F2095" s="5"/>
      <c r="G2095" s="5" t="s">
        <v>18871</v>
      </c>
      <c r="H2095" s="1" t="s">
        <v>18872</v>
      </c>
      <c r="I2095" s="5" t="s">
        <v>18873</v>
      </c>
      <c r="J2095" s="7">
        <v>8</v>
      </c>
      <c r="K2095" s="7">
        <v>16</v>
      </c>
      <c r="L2095" s="5" t="s">
        <v>18874</v>
      </c>
      <c r="M2095" s="7">
        <v>0.8</v>
      </c>
      <c r="N2095" s="7">
        <v>0.8</v>
      </c>
      <c r="O2095" s="7">
        <v>0.51800000000000002</v>
      </c>
      <c r="P2095" s="1" t="s">
        <v>18875</v>
      </c>
    </row>
    <row r="2096" spans="1:16" ht="33.4" x14ac:dyDescent="0.3">
      <c r="A2096" s="6" t="str">
        <f>HYPERLINK("https://www.ti.com/product/TPS548A20", "TPS548A20")</f>
        <v>TPS548A20</v>
      </c>
      <c r="B2096" s="5" t="s">
        <v>18876</v>
      </c>
      <c r="C2096" s="6" t="str">
        <f>HYPERLINK("https://www.ti.com/lit/gpn/TPS548A20", "PDF")</f>
        <v>PDF</v>
      </c>
      <c r="D2096" s="5" t="s">
        <v>18877</v>
      </c>
      <c r="E2096" s="5" t="s">
        <v>18878</v>
      </c>
      <c r="F2096" s="5" t="s">
        <v>18879</v>
      </c>
      <c r="G2096" s="5" t="s">
        <v>18880</v>
      </c>
      <c r="H2096" s="1" t="s">
        <v>18881</v>
      </c>
      <c r="I2096" s="5" t="s">
        <v>18882</v>
      </c>
      <c r="J2096" s="7">
        <v>28</v>
      </c>
      <c r="K2096" s="7">
        <v>15.75</v>
      </c>
      <c r="L2096" s="5" t="s">
        <v>18883</v>
      </c>
      <c r="M2096" s="7">
        <v>1</v>
      </c>
      <c r="N2096" s="7">
        <v>0.4</v>
      </c>
      <c r="O2096" s="7">
        <v>2.9729999999999999</v>
      </c>
      <c r="P2096" s="1" t="s">
        <v>18884</v>
      </c>
    </row>
    <row r="2097" spans="1:16" ht="33.4" x14ac:dyDescent="0.3">
      <c r="A2097" s="6" t="str">
        <f>HYPERLINK("https://www.ti.com/product/TPS549A20", "TPS549A20")</f>
        <v>TPS549A20</v>
      </c>
      <c r="B2097" s="5" t="s">
        <v>18885</v>
      </c>
      <c r="C2097" s="6" t="str">
        <f>HYPERLINK("https://www.ti.com/lit/gpn/TPS549A20", "PDF")</f>
        <v>PDF</v>
      </c>
      <c r="D2097" s="5" t="s">
        <v>18886</v>
      </c>
      <c r="E2097" s="5" t="s">
        <v>18887</v>
      </c>
      <c r="F2097" s="5" t="s">
        <v>18888</v>
      </c>
      <c r="G2097" s="5" t="s">
        <v>18889</v>
      </c>
      <c r="H2097" s="1" t="s">
        <v>18890</v>
      </c>
      <c r="I2097" s="5" t="s">
        <v>18891</v>
      </c>
      <c r="J2097" s="7">
        <v>28</v>
      </c>
      <c r="K2097" s="7">
        <v>15.75</v>
      </c>
      <c r="L2097" s="5" t="s">
        <v>18892</v>
      </c>
      <c r="M2097" s="7">
        <v>1</v>
      </c>
      <c r="N2097" s="7">
        <v>0.4</v>
      </c>
      <c r="O2097" s="7">
        <v>2.95</v>
      </c>
      <c r="P2097" s="1" t="s">
        <v>18893</v>
      </c>
    </row>
    <row r="2098" spans="1:16" ht="33.4" x14ac:dyDescent="0.3">
      <c r="A2098" s="6" t="str">
        <f>HYPERLINK("https://www.ti.com/product/TPS62097", "TPS62097")</f>
        <v>TPS62097</v>
      </c>
      <c r="B2098" s="5" t="s">
        <v>18894</v>
      </c>
      <c r="C2098" s="6" t="str">
        <f>HYPERLINK("https://www.ti.com/lit/gpn/TPS62097", "PDF")</f>
        <v>PDF</v>
      </c>
      <c r="D2098" s="5" t="s">
        <v>18895</v>
      </c>
      <c r="E2098" s="5" t="s">
        <v>18896</v>
      </c>
      <c r="F2098" s="5" t="s">
        <v>18897</v>
      </c>
      <c r="G2098" s="5" t="s">
        <v>18898</v>
      </c>
      <c r="H2098" s="1" t="s">
        <v>18899</v>
      </c>
      <c r="I2098" s="5" t="s">
        <v>18900</v>
      </c>
      <c r="J2098" s="7">
        <v>11</v>
      </c>
      <c r="K2098" s="7">
        <v>4</v>
      </c>
      <c r="L2098" s="5" t="s">
        <v>18901</v>
      </c>
      <c r="M2098" s="7">
        <v>1</v>
      </c>
      <c r="N2098" s="7">
        <v>0.5</v>
      </c>
      <c r="O2098" s="7">
        <v>0.71299999999999997</v>
      </c>
      <c r="P2098" s="1" t="s">
        <v>18902</v>
      </c>
    </row>
    <row r="2099" spans="1:16" ht="33.4" x14ac:dyDescent="0.3">
      <c r="A2099" s="6" t="str">
        <f>HYPERLINK("https://www.ti.com/product/TPS65086", "TPS65086")</f>
        <v>TPS65086</v>
      </c>
      <c r="B2099" s="5" t="s">
        <v>18903</v>
      </c>
      <c r="C2099" s="6" t="str">
        <f>HYPERLINK("https://www.ti.com/lit/gpn/TPS65086", "PDF")</f>
        <v>PDF</v>
      </c>
      <c r="D2099" s="5" t="s">
        <v>18904</v>
      </c>
      <c r="E2099" s="5" t="s">
        <v>18905</v>
      </c>
      <c r="F2099" s="5"/>
      <c r="G2099" s="5" t="s">
        <v>18906</v>
      </c>
      <c r="H2099" s="1" t="s">
        <v>18907</v>
      </c>
      <c r="I2099" s="5" t="s">
        <v>18908</v>
      </c>
      <c r="J2099" s="7">
        <v>64</v>
      </c>
      <c r="K2099" s="7">
        <v>64</v>
      </c>
      <c r="L2099" s="5" t="s">
        <v>18909</v>
      </c>
      <c r="M2099" s="7">
        <v>1</v>
      </c>
      <c r="N2099" s="7">
        <v>0.4</v>
      </c>
      <c r="O2099" s="7">
        <v>4.4560000000000004</v>
      </c>
      <c r="P2099" s="1" t="s">
        <v>18910</v>
      </c>
    </row>
    <row r="2100" spans="1:16" ht="33.4" x14ac:dyDescent="0.3">
      <c r="A2100" s="6" t="str">
        <f>HYPERLINK("https://www.ti.com/product/TPS65265", "TPS65265")</f>
        <v>TPS65265</v>
      </c>
      <c r="B2100" s="5" t="s">
        <v>18911</v>
      </c>
      <c r="C2100" s="6" t="str">
        <f>HYPERLINK("https://www.ti.com/lit/gpn/TPS65265", "PDF")</f>
        <v>PDF</v>
      </c>
      <c r="D2100" s="5" t="s">
        <v>18912</v>
      </c>
      <c r="E2100" s="5" t="s">
        <v>18913</v>
      </c>
      <c r="F2100" s="5" t="s">
        <v>18914</v>
      </c>
      <c r="G2100" s="5" t="s">
        <v>18915</v>
      </c>
      <c r="H2100" s="1" t="s">
        <v>18916</v>
      </c>
      <c r="I2100" s="5" t="s">
        <v>18917</v>
      </c>
      <c r="J2100" s="7">
        <v>32</v>
      </c>
      <c r="K2100" s="7">
        <v>25</v>
      </c>
      <c r="L2100" s="5" t="s">
        <v>18918</v>
      </c>
      <c r="M2100" s="7">
        <v>1</v>
      </c>
      <c r="N2100" s="7">
        <v>0.5</v>
      </c>
      <c r="O2100" s="7">
        <v>1.3919999999999999</v>
      </c>
      <c r="P2100" s="1" t="s">
        <v>18919</v>
      </c>
    </row>
    <row r="2101" spans="1:16" ht="17.05" x14ac:dyDescent="0.3">
      <c r="A2101" s="6" t="str">
        <f>HYPERLINK("https://www.ti.com/product/CSD97396Q4M", "CSD97396Q4M")</f>
        <v>CSD97396Q4M</v>
      </c>
      <c r="B2101" s="5" t="s">
        <v>18920</v>
      </c>
      <c r="C2101" s="6" t="str">
        <f>HYPERLINK("https://www.ti.com/lit/gpn/CSD97396Q4M", "PDF")</f>
        <v>PDF</v>
      </c>
      <c r="D2101" s="5" t="s">
        <v>18921</v>
      </c>
      <c r="E2101" s="5" t="s">
        <v>18922</v>
      </c>
      <c r="F2101" s="5"/>
      <c r="G2101" s="5" t="s">
        <v>18923</v>
      </c>
      <c r="H2101" s="1" t="s">
        <v>18924</v>
      </c>
      <c r="I2101" s="5" t="s">
        <v>18925</v>
      </c>
      <c r="J2101" s="7">
        <v>8</v>
      </c>
      <c r="K2101" s="7">
        <v>15.75</v>
      </c>
      <c r="L2101" s="5" t="s">
        <v>18926</v>
      </c>
      <c r="M2101" s="7">
        <v>1</v>
      </c>
      <c r="N2101" s="7">
        <v>0.4</v>
      </c>
      <c r="O2101" s="7">
        <v>0.88900000000000001</v>
      </c>
      <c r="P2101" s="1" t="s">
        <v>18927</v>
      </c>
    </row>
    <row r="2102" spans="1:16" ht="49.75" x14ac:dyDescent="0.3">
      <c r="A2102" s="6" t="str">
        <f>HYPERLINK("https://www.ti.com/product/TPS51216-EP", "TPS51216-EP")</f>
        <v>TPS51216-EP</v>
      </c>
      <c r="B2102" s="5" t="s">
        <v>18928</v>
      </c>
      <c r="C2102" s="6" t="str">
        <f>HYPERLINK("https://www.ti.com/lit/gpn/TPS51216-EP", "PDF")</f>
        <v>PDF</v>
      </c>
      <c r="D2102" s="5" t="s">
        <v>18929</v>
      </c>
      <c r="E2102" s="5" t="s">
        <v>18930</v>
      </c>
      <c r="F2102" s="5"/>
      <c r="G2102" s="5" t="s">
        <v>18931</v>
      </c>
      <c r="H2102" s="1" t="s">
        <v>18932</v>
      </c>
      <c r="I2102" s="5" t="s">
        <v>18933</v>
      </c>
      <c r="J2102" s="7">
        <v>20</v>
      </c>
      <c r="K2102" s="7">
        <v>9</v>
      </c>
      <c r="L2102" s="5" t="s">
        <v>18934</v>
      </c>
      <c r="M2102" s="7">
        <v>0.8</v>
      </c>
      <c r="N2102" s="7">
        <v>0.4</v>
      </c>
      <c r="O2102" s="7">
        <v>1.67</v>
      </c>
      <c r="P2102" s="1" t="s">
        <v>18935</v>
      </c>
    </row>
    <row r="2103" spans="1:16" ht="33.4" x14ac:dyDescent="0.3">
      <c r="A2103" s="6" t="str">
        <f>HYPERLINK("https://www.ti.com/product/TPS53317A", "TPS53317A")</f>
        <v>TPS53317A</v>
      </c>
      <c r="B2103" s="5" t="s">
        <v>18936</v>
      </c>
      <c r="C2103" s="6" t="str">
        <f>HYPERLINK("https://www.ti.com/lit/gpn/TPS53317A", "PDF")</f>
        <v>PDF</v>
      </c>
      <c r="D2103" s="5" t="s">
        <v>18937</v>
      </c>
      <c r="E2103" s="5" t="s">
        <v>18938</v>
      </c>
      <c r="F2103" s="5"/>
      <c r="G2103" s="5" t="s">
        <v>18939</v>
      </c>
      <c r="H2103" s="1" t="s">
        <v>18940</v>
      </c>
      <c r="I2103" s="5" t="s">
        <v>18941</v>
      </c>
      <c r="J2103" s="7">
        <v>20</v>
      </c>
      <c r="K2103" s="7">
        <v>14</v>
      </c>
      <c r="L2103" s="5" t="s">
        <v>18942</v>
      </c>
      <c r="M2103" s="7">
        <v>1</v>
      </c>
      <c r="N2103" s="7">
        <v>0.5</v>
      </c>
      <c r="O2103" s="7">
        <v>2.1</v>
      </c>
      <c r="P2103" s="1" t="s">
        <v>18943</v>
      </c>
    </row>
    <row r="2104" spans="1:16" ht="17.05" x14ac:dyDescent="0.3">
      <c r="A2104" s="6" t="str">
        <f>HYPERLINK("https://www.ti.com/product/TPS22925", "TPS22925")</f>
        <v>TPS22925</v>
      </c>
      <c r="B2104" s="5" t="s">
        <v>18944</v>
      </c>
      <c r="C2104" s="6" t="str">
        <f>HYPERLINK("https://www.ti.com/lit/gpn/TPS22925", "PDF")</f>
        <v>PDF</v>
      </c>
      <c r="D2104" s="5" t="s">
        <v>18945</v>
      </c>
      <c r="E2104" s="5" t="s">
        <v>18946</v>
      </c>
      <c r="F2104" s="5"/>
      <c r="G2104" s="5" t="s">
        <v>18947</v>
      </c>
      <c r="H2104" s="1" t="s">
        <v>18948</v>
      </c>
      <c r="I2104" s="5" t="s">
        <v>18949</v>
      </c>
      <c r="J2104" s="7">
        <v>6</v>
      </c>
      <c r="K2104" s="7">
        <v>2.1875</v>
      </c>
      <c r="L2104" s="5" t="s">
        <v>18950</v>
      </c>
      <c r="M2104" s="7">
        <v>0.4</v>
      </c>
      <c r="N2104" s="7">
        <v>0.5</v>
      </c>
      <c r="O2104" s="7">
        <v>0.152</v>
      </c>
      <c r="P2104" s="1" t="s">
        <v>18951</v>
      </c>
    </row>
    <row r="2105" spans="1:16" ht="49.75" x14ac:dyDescent="0.3">
      <c r="A2105" s="6" t="str">
        <f>HYPERLINK("https://www.ti.com/product/UCC28881", "UCC28881")</f>
        <v>UCC28881</v>
      </c>
      <c r="B2105" s="5" t="s">
        <v>18952</v>
      </c>
      <c r="C2105" s="6" t="str">
        <f>HYPERLINK("https://www.ti.com/lit/gpn/UCC28881", "PDF")</f>
        <v>PDF</v>
      </c>
      <c r="D2105" s="5" t="s">
        <v>18953</v>
      </c>
      <c r="E2105" s="5" t="s">
        <v>18954</v>
      </c>
      <c r="F2105" s="5" t="s">
        <v>18955</v>
      </c>
      <c r="G2105" s="5" t="s">
        <v>18956</v>
      </c>
      <c r="H2105" s="1" t="s">
        <v>18957</v>
      </c>
      <c r="I2105" s="5" t="s">
        <v>18958</v>
      </c>
      <c r="J2105" s="7">
        <v>7</v>
      </c>
      <c r="K2105" s="7">
        <v>29.4</v>
      </c>
      <c r="L2105" s="5" t="s">
        <v>18959</v>
      </c>
      <c r="M2105" s="7">
        <v>1.75</v>
      </c>
      <c r="N2105" s="7">
        <v>1.27</v>
      </c>
      <c r="O2105" s="7">
        <v>0.46700000000000003</v>
      </c>
      <c r="P2105" s="1" t="s">
        <v>18960</v>
      </c>
    </row>
    <row r="2106" spans="1:16" ht="33.4" x14ac:dyDescent="0.3">
      <c r="A2106" s="6" t="str">
        <f>HYPERLINK("https://www.ti.com/product/CSD95377Q4M", "CSD95377Q4M")</f>
        <v>CSD95377Q4M</v>
      </c>
      <c r="B2106" s="5" t="s">
        <v>18961</v>
      </c>
      <c r="C2106" s="6" t="str">
        <f>HYPERLINK("https://www.ti.com/lit/gpn/CSD95377Q4M", "PDF")</f>
        <v>PDF</v>
      </c>
      <c r="D2106" s="5" t="s">
        <v>18962</v>
      </c>
      <c r="E2106" s="5" t="s">
        <v>18963</v>
      </c>
      <c r="F2106" s="5"/>
      <c r="G2106" s="5" t="s">
        <v>18964</v>
      </c>
      <c r="H2106" s="1" t="s">
        <v>18965</v>
      </c>
      <c r="I2106" s="5" t="s">
        <v>18966</v>
      </c>
      <c r="J2106" s="7">
        <v>8</v>
      </c>
      <c r="K2106" s="7">
        <v>15.75</v>
      </c>
      <c r="L2106" s="5" t="s">
        <v>18967</v>
      </c>
      <c r="M2106" s="7">
        <v>1</v>
      </c>
      <c r="N2106" s="7">
        <v>0.4</v>
      </c>
      <c r="O2106" s="7">
        <v>0.93500000000000005</v>
      </c>
      <c r="P2106" s="1" t="s">
        <v>18968</v>
      </c>
    </row>
    <row r="2107" spans="1:16" ht="33.4" x14ac:dyDescent="0.3">
      <c r="A2107" s="6" t="str">
        <f>HYPERLINK("https://www.ti.com/product/LP8862-Q1", "LP8862-Q1")</f>
        <v>LP8862-Q1</v>
      </c>
      <c r="B2107" s="5" t="s">
        <v>18969</v>
      </c>
      <c r="C2107" s="6" t="str">
        <f>HYPERLINK("https://www.ti.com/lit/gpn/LP8862-Q1", "PDF")</f>
        <v>PDF</v>
      </c>
      <c r="D2107" s="5" t="s">
        <v>18970</v>
      </c>
      <c r="E2107" s="5" t="s">
        <v>18971</v>
      </c>
      <c r="F2107" s="5" t="s">
        <v>18972</v>
      </c>
      <c r="G2107" s="5" t="s">
        <v>18973</v>
      </c>
      <c r="H2107" s="1" t="s">
        <v>18974</v>
      </c>
      <c r="I2107" s="5" t="s">
        <v>18975</v>
      </c>
      <c r="J2107" s="7">
        <v>20</v>
      </c>
      <c r="K2107" s="7">
        <v>41.6</v>
      </c>
      <c r="L2107" s="5" t="s">
        <v>18976</v>
      </c>
      <c r="M2107" s="7">
        <v>1.2</v>
      </c>
      <c r="N2107" s="7">
        <v>0.65</v>
      </c>
      <c r="O2107" s="7">
        <v>1.0580000000000001</v>
      </c>
      <c r="P2107" s="1" t="s">
        <v>18977</v>
      </c>
    </row>
    <row r="2108" spans="1:16" ht="33.4" x14ac:dyDescent="0.3">
      <c r="A2108" s="6" t="str">
        <f>HYPERLINK("https://www.ti.com/product/TPS659037", "TPS659037")</f>
        <v>TPS659037</v>
      </c>
      <c r="B2108" s="5" t="s">
        <v>18978</v>
      </c>
      <c r="C2108" s="6" t="str">
        <f>HYPERLINK("https://www.ti.com/lit/gpn/TPS659037", "PDF")</f>
        <v>PDF</v>
      </c>
      <c r="D2108" s="5" t="s">
        <v>18979</v>
      </c>
      <c r="E2108" s="5" t="s">
        <v>18980</v>
      </c>
      <c r="F2108" s="5"/>
      <c r="G2108" s="5" t="s">
        <v>18981</v>
      </c>
      <c r="H2108" s="1" t="s">
        <v>18982</v>
      </c>
      <c r="I2108" s="5" t="s">
        <v>18983</v>
      </c>
      <c r="J2108" s="7">
        <v>169</v>
      </c>
      <c r="K2108" s="7">
        <v>144</v>
      </c>
      <c r="L2108" s="5" t="s">
        <v>18984</v>
      </c>
      <c r="M2108" s="7">
        <v>1.4</v>
      </c>
      <c r="N2108" s="7">
        <v>0.8</v>
      </c>
      <c r="O2108" s="7">
        <v>6.4260000000000002</v>
      </c>
      <c r="P2108" s="1" t="s">
        <v>18985</v>
      </c>
    </row>
    <row r="2109" spans="1:16" ht="33.4" x14ac:dyDescent="0.3">
      <c r="A2109" s="6" t="str">
        <f>HYPERLINK("https://www.ti.com/product/TPS7A88", "TPS7A88")</f>
        <v>TPS7A88</v>
      </c>
      <c r="B2109" s="5" t="s">
        <v>18986</v>
      </c>
      <c r="C2109" s="6" t="str">
        <f>HYPERLINK("https://www.ti.com/lit/gpn/TPS7A88", "PDF")</f>
        <v>PDF</v>
      </c>
      <c r="D2109" s="5" t="s">
        <v>18987</v>
      </c>
      <c r="E2109" s="5" t="s">
        <v>18988</v>
      </c>
      <c r="F2109" s="5"/>
      <c r="G2109" s="5" t="s">
        <v>18989</v>
      </c>
      <c r="H2109" s="1" t="s">
        <v>18990</v>
      </c>
      <c r="I2109" s="5" t="s">
        <v>18991</v>
      </c>
      <c r="J2109" s="7">
        <v>20</v>
      </c>
      <c r="K2109" s="7">
        <v>16</v>
      </c>
      <c r="L2109" s="5" t="s">
        <v>18992</v>
      </c>
      <c r="M2109" s="7">
        <v>0.8</v>
      </c>
      <c r="N2109" s="7">
        <v>0.5</v>
      </c>
      <c r="O2109" s="7">
        <v>1.61</v>
      </c>
      <c r="P2109" s="1" t="s">
        <v>18993</v>
      </c>
    </row>
    <row r="2110" spans="1:16" ht="33.4" x14ac:dyDescent="0.3">
      <c r="A2110" s="6" t="str">
        <f>HYPERLINK("https://www.ti.com/product/CSD85302L", "CSD85302L")</f>
        <v>CSD85302L</v>
      </c>
      <c r="B2110" s="5" t="s">
        <v>18994</v>
      </c>
      <c r="C2110" s="6" t="str">
        <f>HYPERLINK("https://www.ti.com/lit/gpn/CSD85302L", "PDF")</f>
        <v>PDF</v>
      </c>
      <c r="D2110" s="5" t="s">
        <v>18995</v>
      </c>
      <c r="E2110" s="5" t="s">
        <v>18996</v>
      </c>
      <c r="F2110" s="5"/>
      <c r="G2110" s="5" t="s">
        <v>18997</v>
      </c>
      <c r="H2110" s="1" t="s">
        <v>18998</v>
      </c>
      <c r="I2110" s="5" t="s">
        <v>18999</v>
      </c>
      <c r="J2110" s="7">
        <v>4</v>
      </c>
      <c r="K2110" s="7">
        <v>1.7161</v>
      </c>
      <c r="L2110" s="5" t="s">
        <v>19000</v>
      </c>
      <c r="M2110" s="7">
        <v>0.22</v>
      </c>
      <c r="N2110" s="7">
        <v>0.66</v>
      </c>
      <c r="O2110" s="7">
        <v>0.11799999999999999</v>
      </c>
      <c r="P2110" s="1" t="s">
        <v>19001</v>
      </c>
    </row>
    <row r="2111" spans="1:16" ht="17.05" x14ac:dyDescent="0.3">
      <c r="A2111" s="6" t="str">
        <f>HYPERLINK("https://www.ti.com/product/TPS3711", "TPS3711")</f>
        <v>TPS3711</v>
      </c>
      <c r="B2111" s="5" t="s">
        <v>19002</v>
      </c>
      <c r="C2111" s="6" t="str">
        <f>HYPERLINK("https://www.ti.com/lit/gpn/TPS3711", "PDF")</f>
        <v>PDF</v>
      </c>
      <c r="D2111" s="5" t="s">
        <v>19003</v>
      </c>
      <c r="E2111" s="5" t="s">
        <v>19004</v>
      </c>
      <c r="F2111" s="5"/>
      <c r="G2111" s="5" t="s">
        <v>19005</v>
      </c>
      <c r="H2111" s="1" t="s">
        <v>19006</v>
      </c>
      <c r="I2111" s="5" t="s">
        <v>19007</v>
      </c>
      <c r="J2111" s="7">
        <v>6</v>
      </c>
      <c r="K2111" s="7">
        <v>8.1199999999999992</v>
      </c>
      <c r="L2111" s="5" t="s">
        <v>19008</v>
      </c>
      <c r="M2111" s="7">
        <v>1.1000000000000001</v>
      </c>
      <c r="N2111" s="7">
        <v>0.95</v>
      </c>
      <c r="O2111" s="7">
        <v>0.872</v>
      </c>
      <c r="P2111" s="1" t="s">
        <v>19009</v>
      </c>
    </row>
    <row r="2112" spans="1:16" ht="33.4" x14ac:dyDescent="0.3">
      <c r="A2112" s="6" t="str">
        <f>HYPERLINK("https://www.ti.com/product/TPS63020-Q1", "TPS63020-Q1")</f>
        <v>TPS63020-Q1</v>
      </c>
      <c r="B2112" s="5" t="s">
        <v>19010</v>
      </c>
      <c r="C2112" s="6" t="str">
        <f>HYPERLINK("https://www.ti.com/lit/gpn/TPS63020-Q1", "PDF")</f>
        <v>PDF</v>
      </c>
      <c r="D2112" s="5" t="s">
        <v>19011</v>
      </c>
      <c r="E2112" s="5" t="s">
        <v>19012</v>
      </c>
      <c r="F2112" s="5" t="s">
        <v>19013</v>
      </c>
      <c r="G2112" s="5" t="s">
        <v>19014</v>
      </c>
      <c r="H2112" s="1" t="s">
        <v>19015</v>
      </c>
      <c r="I2112" s="5" t="s">
        <v>19016</v>
      </c>
      <c r="J2112" s="7">
        <v>14</v>
      </c>
      <c r="K2112" s="7">
        <v>12</v>
      </c>
      <c r="L2112" s="5" t="s">
        <v>19017</v>
      </c>
      <c r="M2112" s="7">
        <v>1</v>
      </c>
      <c r="N2112" s="7">
        <v>0.5</v>
      </c>
      <c r="O2112" s="7">
        <v>1.7829999999999999</v>
      </c>
      <c r="P2112" s="1" t="s">
        <v>19018</v>
      </c>
    </row>
    <row r="2113" spans="1:16" ht="17.05" x14ac:dyDescent="0.3">
      <c r="A2113" s="6" t="str">
        <f>HYPERLINK("https://www.ti.com/product/TPS61193", "TPS61193")</f>
        <v>TPS61193</v>
      </c>
      <c r="B2113" s="5" t="s">
        <v>19019</v>
      </c>
      <c r="C2113" s="6" t="str">
        <f>HYPERLINK("https://www.ti.com/lit/gpn/TPS61193", "PDF")</f>
        <v>PDF</v>
      </c>
      <c r="D2113" s="5" t="s">
        <v>19020</v>
      </c>
      <c r="E2113" s="5" t="s">
        <v>19021</v>
      </c>
      <c r="F2113" s="5" t="s">
        <v>19022</v>
      </c>
      <c r="G2113" s="5" t="s">
        <v>19023</v>
      </c>
      <c r="H2113" s="1" t="s">
        <v>19024</v>
      </c>
      <c r="I2113" s="5" t="s">
        <v>19025</v>
      </c>
      <c r="J2113" s="7">
        <v>20</v>
      </c>
      <c r="K2113" s="7">
        <v>41.6</v>
      </c>
      <c r="L2113" s="5" t="s">
        <v>19026</v>
      </c>
      <c r="M2113" s="7">
        <v>1.2</v>
      </c>
      <c r="N2113" s="7">
        <v>0.65</v>
      </c>
      <c r="O2113" s="7">
        <v>0.79700000000000004</v>
      </c>
      <c r="P2113" s="1" t="s">
        <v>19027</v>
      </c>
    </row>
    <row r="2114" spans="1:16" ht="33.4" x14ac:dyDescent="0.3">
      <c r="A2114" s="6" t="str">
        <f>HYPERLINK("https://www.ti.com/product/TPS61193-Q1", "TPS61193-Q1")</f>
        <v>TPS61193-Q1</v>
      </c>
      <c r="B2114" s="5" t="s">
        <v>19028</v>
      </c>
      <c r="C2114" s="6" t="str">
        <f>HYPERLINK("https://www.ti.com/lit/gpn/TPS61193-Q1", "PDF")</f>
        <v>PDF</v>
      </c>
      <c r="D2114" s="5" t="s">
        <v>19029</v>
      </c>
      <c r="E2114" s="5" t="s">
        <v>19030</v>
      </c>
      <c r="F2114" s="5" t="s">
        <v>19031</v>
      </c>
      <c r="G2114" s="5" t="s">
        <v>19032</v>
      </c>
      <c r="H2114" s="1" t="s">
        <v>19033</v>
      </c>
      <c r="I2114" s="5" t="s">
        <v>19034</v>
      </c>
      <c r="J2114" s="7">
        <v>20</v>
      </c>
      <c r="K2114" s="7">
        <v>41.6</v>
      </c>
      <c r="L2114" s="5" t="s">
        <v>19035</v>
      </c>
      <c r="M2114" s="7">
        <v>1.2</v>
      </c>
      <c r="N2114" s="7">
        <v>0.65</v>
      </c>
      <c r="O2114" s="7">
        <v>0.94</v>
      </c>
      <c r="P2114" s="1" t="s">
        <v>19036</v>
      </c>
    </row>
    <row r="2115" spans="1:16" ht="33.4" x14ac:dyDescent="0.3">
      <c r="A2115" s="6" t="str">
        <f>HYPERLINK("https://www.ti.com/product/TPS65235", "TPS65235")</f>
        <v>TPS65235</v>
      </c>
      <c r="B2115" s="5" t="s">
        <v>19037</v>
      </c>
      <c r="C2115" s="6" t="str">
        <f>HYPERLINK("https://www.ti.com/lit/gpn/TPS65235", "PDF")</f>
        <v>PDF</v>
      </c>
      <c r="D2115" s="5" t="s">
        <v>19038</v>
      </c>
      <c r="E2115" s="5" t="s">
        <v>19039</v>
      </c>
      <c r="F2115" s="5" t="s">
        <v>19040</v>
      </c>
      <c r="G2115" s="5" t="s">
        <v>19041</v>
      </c>
      <c r="H2115" s="1" t="s">
        <v>19042</v>
      </c>
      <c r="I2115" s="5" t="s">
        <v>19043</v>
      </c>
      <c r="J2115" s="7">
        <v>20</v>
      </c>
      <c r="K2115" s="7">
        <v>9</v>
      </c>
      <c r="L2115" s="5" t="s">
        <v>19044</v>
      </c>
      <c r="M2115" s="7">
        <v>0.8</v>
      </c>
      <c r="N2115" s="7">
        <v>0.4</v>
      </c>
      <c r="O2115" s="7">
        <v>0.72899999999999998</v>
      </c>
      <c r="P2115" s="1" t="s">
        <v>19045</v>
      </c>
    </row>
    <row r="2116" spans="1:16" ht="33.4" x14ac:dyDescent="0.3">
      <c r="A2116" s="6" t="str">
        <f>HYPERLINK("https://www.ti.com/product/CSD19532KTT", "CSD19532KTT")</f>
        <v>CSD19532KTT</v>
      </c>
      <c r="B2116" s="5" t="s">
        <v>19046</v>
      </c>
      <c r="C2116" s="6" t="str">
        <f>HYPERLINK("https://www.ti.com/lit/gpn/CSD19532KTT", "PDF")</f>
        <v>PDF</v>
      </c>
      <c r="D2116" s="5" t="s">
        <v>19047</v>
      </c>
      <c r="E2116" s="5" t="s">
        <v>19048</v>
      </c>
      <c r="F2116" s="5"/>
      <c r="G2116" s="5" t="s">
        <v>19049</v>
      </c>
      <c r="H2116" s="1" t="s">
        <v>19050</v>
      </c>
      <c r="I2116" s="5" t="s">
        <v>19051</v>
      </c>
      <c r="J2116" s="7">
        <v>2</v>
      </c>
      <c r="K2116" s="7">
        <v>153.416</v>
      </c>
      <c r="L2116" s="5" t="s">
        <v>19052</v>
      </c>
      <c r="M2116" s="7">
        <v>4.7</v>
      </c>
      <c r="N2116" s="7">
        <v>2.54</v>
      </c>
      <c r="O2116" s="7">
        <v>0.78300000000000003</v>
      </c>
      <c r="P2116" s="1" t="s">
        <v>19053</v>
      </c>
    </row>
    <row r="2117" spans="1:16" ht="33.4" x14ac:dyDescent="0.3">
      <c r="A2117" s="6" t="str">
        <f>HYPERLINK("https://www.ti.com/product/CSD25404Q3", "CSD25404Q3")</f>
        <v>CSD25404Q3</v>
      </c>
      <c r="B2117" s="5" t="s">
        <v>19054</v>
      </c>
      <c r="C2117" s="6" t="str">
        <f>HYPERLINK("https://www.ti.com/lit/gpn/CSD25404Q3", "PDF")</f>
        <v>PDF</v>
      </c>
      <c r="D2117" s="5" t="s">
        <v>19055</v>
      </c>
      <c r="E2117" s="5" t="s">
        <v>19056</v>
      </c>
      <c r="F2117" s="5"/>
      <c r="G2117" s="5" t="s">
        <v>19057</v>
      </c>
      <c r="H2117" s="1" t="s">
        <v>19058</v>
      </c>
      <c r="I2117" s="5" t="s">
        <v>19059</v>
      </c>
      <c r="J2117" s="7">
        <v>8</v>
      </c>
      <c r="K2117" s="7">
        <v>10.89</v>
      </c>
      <c r="L2117" s="5" t="s">
        <v>19060</v>
      </c>
      <c r="M2117" s="7">
        <v>1.1000000000000001</v>
      </c>
      <c r="N2117" s="7">
        <v>0.65</v>
      </c>
      <c r="O2117" s="7">
        <v>0.30199999999999999</v>
      </c>
      <c r="P2117" s="1" t="s">
        <v>19061</v>
      </c>
    </row>
    <row r="2118" spans="1:16" ht="33.4" x14ac:dyDescent="0.3">
      <c r="A2118" s="6" t="str">
        <f>HYPERLINK("https://www.ti.com/product/TLV62085", "TLV62085")</f>
        <v>TLV62085</v>
      </c>
      <c r="B2118" s="5" t="s">
        <v>19062</v>
      </c>
      <c r="C2118" s="6" t="str">
        <f>HYPERLINK("https://www.ti.com/lit/gpn/TLV62085", "PDF")</f>
        <v>PDF</v>
      </c>
      <c r="D2118" s="5" t="s">
        <v>19063</v>
      </c>
      <c r="E2118" s="5" t="s">
        <v>19064</v>
      </c>
      <c r="F2118" s="5" t="s">
        <v>19065</v>
      </c>
      <c r="G2118" s="5" t="s">
        <v>19066</v>
      </c>
      <c r="H2118" s="1" t="s">
        <v>19067</v>
      </c>
      <c r="I2118" s="5" t="s">
        <v>19068</v>
      </c>
      <c r="J2118" s="7">
        <v>7</v>
      </c>
      <c r="K2118" s="7">
        <v>4</v>
      </c>
      <c r="L2118" s="5" t="s">
        <v>19069</v>
      </c>
      <c r="M2118" s="7">
        <v>1</v>
      </c>
      <c r="N2118" s="7">
        <v>0.5</v>
      </c>
      <c r="O2118" s="7">
        <v>0.216</v>
      </c>
      <c r="P2118" s="1" t="s">
        <v>19070</v>
      </c>
    </row>
    <row r="2119" spans="1:16" ht="49.75" x14ac:dyDescent="0.3">
      <c r="A2119" s="6" t="str">
        <f>HYPERLINK("https://www.ti.com/product/TPS40210-EP", "TPS40210-EP")</f>
        <v>TPS40210-EP</v>
      </c>
      <c r="B2119" s="5" t="s">
        <v>19071</v>
      </c>
      <c r="C2119" s="6" t="str">
        <f>HYPERLINK("https://www.ti.com/lit/gpn/TPS40210-EP", "PDF")</f>
        <v>PDF</v>
      </c>
      <c r="D2119" s="5" t="s">
        <v>19072</v>
      </c>
      <c r="E2119" s="5" t="s">
        <v>19073</v>
      </c>
      <c r="F2119" s="5" t="s">
        <v>19074</v>
      </c>
      <c r="G2119" s="5" t="s">
        <v>19075</v>
      </c>
      <c r="H2119" s="1" t="s">
        <v>19076</v>
      </c>
      <c r="I2119" s="5" t="s">
        <v>19077</v>
      </c>
      <c r="J2119" s="7">
        <v>10</v>
      </c>
      <c r="K2119" s="7">
        <v>9</v>
      </c>
      <c r="L2119" s="5" t="s">
        <v>19078</v>
      </c>
      <c r="M2119" s="7">
        <v>1</v>
      </c>
      <c r="N2119" s="7">
        <v>0.5</v>
      </c>
      <c r="O2119" s="7">
        <v>2.7719999999999998</v>
      </c>
      <c r="P2119" s="1" t="s">
        <v>19079</v>
      </c>
    </row>
    <row r="2120" spans="1:16" ht="33.4" x14ac:dyDescent="0.3">
      <c r="A2120" s="6" t="str">
        <f>HYPERLINK("https://www.ti.com/product/TLC59581", "TLC59581")</f>
        <v>TLC59581</v>
      </c>
      <c r="B2120" s="5" t="s">
        <v>19080</v>
      </c>
      <c r="C2120" s="6" t="str">
        <f>HYPERLINK("https://www.ti.com/lit/gpn/TLC59581", "PDF")</f>
        <v>PDF</v>
      </c>
      <c r="D2120" s="5" t="s">
        <v>19081</v>
      </c>
      <c r="E2120" s="5" t="s">
        <v>19082</v>
      </c>
      <c r="F2120" s="5"/>
      <c r="G2120" s="5" t="s">
        <v>19083</v>
      </c>
      <c r="H2120" s="1" t="s">
        <v>19084</v>
      </c>
      <c r="I2120" s="5" t="s">
        <v>19085</v>
      </c>
      <c r="J2120" s="7">
        <v>56</v>
      </c>
      <c r="K2120" s="7">
        <v>64</v>
      </c>
      <c r="L2120" s="5" t="s">
        <v>19086</v>
      </c>
      <c r="M2120" s="7">
        <v>1</v>
      </c>
      <c r="N2120" s="7">
        <v>0.5</v>
      </c>
      <c r="O2120" s="7">
        <v>3.238</v>
      </c>
      <c r="P2120" s="1" t="s">
        <v>19087</v>
      </c>
    </row>
    <row r="2121" spans="1:16" ht="33.4" x14ac:dyDescent="0.3">
      <c r="A2121" s="6" t="str">
        <f>HYPERLINK("https://www.ti.com/product/TPS2549-Q1", "TPS2549-Q1")</f>
        <v>TPS2549-Q1</v>
      </c>
      <c r="B2121" s="5" t="s">
        <v>19088</v>
      </c>
      <c r="C2121" s="6" t="str">
        <f>HYPERLINK("https://www.ti.com/lit/gpn/TPS2549-Q1", "PDF")</f>
        <v>PDF</v>
      </c>
      <c r="D2121" s="5" t="s">
        <v>19089</v>
      </c>
      <c r="E2121" s="5" t="s">
        <v>19090</v>
      </c>
      <c r="F2121" s="5"/>
      <c r="G2121" s="5" t="s">
        <v>19091</v>
      </c>
      <c r="H2121" s="1" t="s">
        <v>19092</v>
      </c>
      <c r="I2121" s="5" t="s">
        <v>19093</v>
      </c>
      <c r="J2121" s="7">
        <v>16</v>
      </c>
      <c r="K2121" s="7">
        <v>9</v>
      </c>
      <c r="L2121" s="5" t="s">
        <v>19094</v>
      </c>
      <c r="M2121" s="7">
        <v>0.8</v>
      </c>
      <c r="N2121" s="7">
        <v>0.5</v>
      </c>
      <c r="O2121" s="7">
        <v>1.0309999999999999</v>
      </c>
      <c r="P2121" s="1" t="s">
        <v>19095</v>
      </c>
    </row>
    <row r="2122" spans="1:16" ht="33.4" x14ac:dyDescent="0.3">
      <c r="A2122" s="6" t="str">
        <f>HYPERLINK("https://www.ti.com/product/LM74670-Q1", "LM74670-Q1")</f>
        <v>LM74670-Q1</v>
      </c>
      <c r="B2122" s="5" t="s">
        <v>19096</v>
      </c>
      <c r="C2122" s="6" t="str">
        <f>HYPERLINK("https://www.ti.com/lit/gpn/LM74670-Q1", "PDF")</f>
        <v>PDF</v>
      </c>
      <c r="D2122" s="5" t="s">
        <v>19097</v>
      </c>
      <c r="E2122" s="5" t="s">
        <v>19098</v>
      </c>
      <c r="F2122" s="5"/>
      <c r="G2122" s="5" t="s">
        <v>19099</v>
      </c>
      <c r="H2122" s="1" t="s">
        <v>19100</v>
      </c>
      <c r="I2122" s="5" t="s">
        <v>19101</v>
      </c>
      <c r="J2122" s="7">
        <v>8</v>
      </c>
      <c r="K2122" s="7">
        <v>14.7</v>
      </c>
      <c r="L2122" s="5" t="s">
        <v>19102</v>
      </c>
      <c r="M2122" s="7">
        <v>1.1000000000000001</v>
      </c>
      <c r="N2122" s="7">
        <v>0.65</v>
      </c>
      <c r="O2122" s="7">
        <v>0.93600000000000005</v>
      </c>
      <c r="P2122" s="1" t="s">
        <v>19103</v>
      </c>
    </row>
    <row r="2123" spans="1:16" ht="33.4" x14ac:dyDescent="0.3">
      <c r="A2123" s="6" t="str">
        <f>HYPERLINK("https://www.ti.com/product/TPS54335-1A", "TPS54335-1A")</f>
        <v>TPS54335-1A</v>
      </c>
      <c r="B2123" s="5" t="s">
        <v>19104</v>
      </c>
      <c r="C2123" s="6" t="str">
        <f>HYPERLINK("https://www.ti.com/lit/gpn/TPS54335-1A", "PDF")</f>
        <v>PDF</v>
      </c>
      <c r="D2123" s="5" t="s">
        <v>19105</v>
      </c>
      <c r="E2123" s="5" t="s">
        <v>19106</v>
      </c>
      <c r="F2123" s="5" t="s">
        <v>19107</v>
      </c>
      <c r="G2123" s="5" t="s">
        <v>19108</v>
      </c>
      <c r="H2123" s="1" t="s">
        <v>19109</v>
      </c>
      <c r="I2123" s="5" t="s">
        <v>19110</v>
      </c>
      <c r="J2123" s="7">
        <v>10</v>
      </c>
      <c r="K2123" s="7">
        <v>9</v>
      </c>
      <c r="L2123" s="5" t="s">
        <v>19111</v>
      </c>
      <c r="M2123" s="7">
        <v>1</v>
      </c>
      <c r="N2123" s="7">
        <v>0.5</v>
      </c>
      <c r="O2123" s="7">
        <v>0.76300000000000001</v>
      </c>
      <c r="P2123" s="1" t="s">
        <v>19112</v>
      </c>
    </row>
    <row r="2124" spans="1:16" ht="17.05" x14ac:dyDescent="0.3">
      <c r="A2124" s="6" t="str">
        <f>HYPERLINK("https://www.ti.com/product/LM74610-Q1", "LM74610-Q1")</f>
        <v>LM74610-Q1</v>
      </c>
      <c r="B2124" s="5" t="s">
        <v>19113</v>
      </c>
      <c r="C2124" s="6" t="str">
        <f>HYPERLINK("https://www.ti.com/lit/gpn/LM74610-Q1", "PDF")</f>
        <v>PDF</v>
      </c>
      <c r="D2124" s="5" t="s">
        <v>19114</v>
      </c>
      <c r="E2124" s="5" t="s">
        <v>19115</v>
      </c>
      <c r="F2124" s="5"/>
      <c r="G2124" s="5" t="s">
        <v>19116</v>
      </c>
      <c r="H2124" s="1" t="s">
        <v>19117</v>
      </c>
      <c r="I2124" s="5" t="s">
        <v>19118</v>
      </c>
      <c r="J2124" s="7">
        <v>8</v>
      </c>
      <c r="K2124" s="7">
        <v>14.7</v>
      </c>
      <c r="L2124" s="5" t="s">
        <v>19119</v>
      </c>
      <c r="M2124" s="7">
        <v>1.1000000000000001</v>
      </c>
      <c r="N2124" s="7">
        <v>0.65</v>
      </c>
      <c r="O2124" s="7">
        <v>0.86299999999999999</v>
      </c>
      <c r="P2124" s="1" t="s">
        <v>19120</v>
      </c>
    </row>
    <row r="2125" spans="1:16" ht="33.4" x14ac:dyDescent="0.3">
      <c r="A2125" s="6" t="str">
        <f>HYPERLINK("https://www.ti.com/product/LP5910", "LP5910")</f>
        <v>LP5910</v>
      </c>
      <c r="B2125" s="5" t="s">
        <v>19121</v>
      </c>
      <c r="C2125" s="6" t="str">
        <f>HYPERLINK("https://www.ti.com/lit/gpn/LP5910", "PDF")</f>
        <v>PDF</v>
      </c>
      <c r="D2125" s="5" t="s">
        <v>19122</v>
      </c>
      <c r="E2125" s="5" t="s">
        <v>19123</v>
      </c>
      <c r="F2125" s="5"/>
      <c r="G2125" s="5" t="s">
        <v>19124</v>
      </c>
      <c r="H2125" s="1" t="s">
        <v>19125</v>
      </c>
      <c r="I2125" s="5" t="s">
        <v>19126</v>
      </c>
      <c r="J2125" s="7" t="s">
        <v>19127</v>
      </c>
      <c r="K2125" s="7" t="s">
        <v>19128</v>
      </c>
      <c r="L2125" s="5" t="s">
        <v>19129</v>
      </c>
      <c r="M2125" s="7" t="s">
        <v>19130</v>
      </c>
      <c r="N2125" s="7" t="s">
        <v>19131</v>
      </c>
      <c r="O2125" s="7">
        <v>0.23</v>
      </c>
      <c r="P2125" s="1" t="s">
        <v>19132</v>
      </c>
    </row>
    <row r="2126" spans="1:16" ht="17.05" x14ac:dyDescent="0.3">
      <c r="A2126" s="6" t="str">
        <f>HYPERLINK("https://www.ti.com/product/TLV853", "TLV853")</f>
        <v>TLV853</v>
      </c>
      <c r="B2126" s="5" t="s">
        <v>19133</v>
      </c>
      <c r="C2126" s="6" t="str">
        <f>HYPERLINK("https://www.ti.com/lit/gpn/TLV853", "PDF")</f>
        <v>PDF</v>
      </c>
      <c r="D2126" s="5" t="s">
        <v>19134</v>
      </c>
      <c r="E2126" s="5" t="s">
        <v>19135</v>
      </c>
      <c r="F2126" s="5"/>
      <c r="G2126" s="5" t="s">
        <v>19136</v>
      </c>
      <c r="H2126" s="1" t="s">
        <v>19137</v>
      </c>
      <c r="I2126" s="5" t="s">
        <v>19138</v>
      </c>
      <c r="J2126" s="7">
        <v>3</v>
      </c>
      <c r="K2126" s="7">
        <v>6.9203999999999999</v>
      </c>
      <c r="L2126" s="5" t="s">
        <v>19139</v>
      </c>
      <c r="M2126" s="7">
        <v>1.1200000000000001</v>
      </c>
      <c r="N2126" s="7">
        <v>0.96</v>
      </c>
      <c r="O2126" s="7">
        <v>0.19800000000000001</v>
      </c>
      <c r="P2126" s="1" t="s">
        <v>19140</v>
      </c>
    </row>
    <row r="2127" spans="1:16" ht="49.75" x14ac:dyDescent="0.3">
      <c r="A2127" s="6" t="str">
        <f>HYPERLINK("https://www.ti.com/product/TPS3710", "TPS3710")</f>
        <v>TPS3710</v>
      </c>
      <c r="B2127" s="5" t="s">
        <v>19141</v>
      </c>
      <c r="C2127" s="6" t="str">
        <f>HYPERLINK("https://www.ti.com/lit/gpn/TPS3710", "PDF")</f>
        <v>PDF</v>
      </c>
      <c r="D2127" s="5" t="s">
        <v>19142</v>
      </c>
      <c r="E2127" s="5" t="s">
        <v>19143</v>
      </c>
      <c r="F2127" s="5"/>
      <c r="G2127" s="5" t="s">
        <v>19144</v>
      </c>
      <c r="H2127" s="1" t="s">
        <v>19145</v>
      </c>
      <c r="I2127" s="5" t="s">
        <v>19146</v>
      </c>
      <c r="J2127" s="7">
        <v>6</v>
      </c>
      <c r="K2127" s="7" t="s">
        <v>19147</v>
      </c>
      <c r="L2127" s="5" t="s">
        <v>19148</v>
      </c>
      <c r="M2127" s="7" t="s">
        <v>19149</v>
      </c>
      <c r="N2127" s="7" t="s">
        <v>19150</v>
      </c>
      <c r="O2127" s="7">
        <v>0.65100000000000002</v>
      </c>
      <c r="P2127" s="1" t="s">
        <v>19151</v>
      </c>
    </row>
    <row r="2128" spans="1:16" ht="33.4" x14ac:dyDescent="0.3">
      <c r="A2128" s="6" t="str">
        <f>HYPERLINK("https://www.ti.com/product/LMZ36002", "LMZ36002")</f>
        <v>LMZ36002</v>
      </c>
      <c r="B2128" s="5" t="s">
        <v>19152</v>
      </c>
      <c r="C2128" s="6" t="str">
        <f>HYPERLINK("https://www.ti.com/lit/gpn/LMZ36002", "PDF")</f>
        <v>PDF</v>
      </c>
      <c r="D2128" s="5" t="s">
        <v>19153</v>
      </c>
      <c r="E2128" s="5" t="s">
        <v>19154</v>
      </c>
      <c r="F2128" s="5" t="s">
        <v>19155</v>
      </c>
      <c r="G2128" s="5" t="s">
        <v>19156</v>
      </c>
      <c r="H2128" s="1" t="s">
        <v>19157</v>
      </c>
      <c r="I2128" s="5" t="s">
        <v>19158</v>
      </c>
      <c r="J2128" s="7">
        <v>43</v>
      </c>
      <c r="K2128" s="7">
        <v>100</v>
      </c>
      <c r="L2128" s="5" t="s">
        <v>19159</v>
      </c>
      <c r="M2128" s="7">
        <v>4.4000000000000004</v>
      </c>
      <c r="N2128" s="7">
        <v>0.8</v>
      </c>
      <c r="O2128" s="7">
        <v>5.0209999999999999</v>
      </c>
      <c r="P2128" s="1" t="s">
        <v>19160</v>
      </c>
    </row>
    <row r="2129" spans="1:16" ht="33.4" x14ac:dyDescent="0.3">
      <c r="A2129" s="6" t="str">
        <f>HYPERLINK("https://www.ti.com/product/ISO5452", "ISO5452")</f>
        <v>ISO5452</v>
      </c>
      <c r="B2129" s="5" t="s">
        <v>19161</v>
      </c>
      <c r="C2129" s="6" t="str">
        <f>HYPERLINK("https://www.ti.com/lit/gpn/ISO5452", "PDF")</f>
        <v>PDF</v>
      </c>
      <c r="D2129" s="5" t="s">
        <v>19162</v>
      </c>
      <c r="E2129" s="5" t="s">
        <v>19163</v>
      </c>
      <c r="F2129" s="5"/>
      <c r="G2129" s="5" t="s">
        <v>19164</v>
      </c>
      <c r="H2129" s="1" t="s">
        <v>19165</v>
      </c>
      <c r="I2129" s="5" t="s">
        <v>19166</v>
      </c>
      <c r="J2129" s="7">
        <v>16</v>
      </c>
      <c r="K2129" s="7">
        <v>106.09</v>
      </c>
      <c r="L2129" s="5" t="s">
        <v>19167</v>
      </c>
      <c r="M2129" s="7">
        <v>2.65</v>
      </c>
      <c r="N2129" s="7">
        <v>1.27</v>
      </c>
      <c r="O2129" s="7">
        <v>2.125</v>
      </c>
      <c r="P2129" s="1" t="s">
        <v>19168</v>
      </c>
    </row>
    <row r="2130" spans="1:16" ht="33.4" x14ac:dyDescent="0.3">
      <c r="A2130" s="6" t="str">
        <f>HYPERLINK("https://www.ti.com/product/TPS62748", "TPS62748")</f>
        <v>TPS62748</v>
      </c>
      <c r="B2130" s="5" t="s">
        <v>19169</v>
      </c>
      <c r="C2130" s="6" t="str">
        <f>HYPERLINK("https://www.ti.com/lit/gpn/TPS62748", "PDF")</f>
        <v>PDF</v>
      </c>
      <c r="D2130" s="5" t="s">
        <v>19170</v>
      </c>
      <c r="E2130" s="5" t="s">
        <v>19171</v>
      </c>
      <c r="F2130" s="5" t="s">
        <v>19172</v>
      </c>
      <c r="G2130" s="5" t="s">
        <v>19173</v>
      </c>
      <c r="H2130" s="1" t="s">
        <v>19174</v>
      </c>
      <c r="I2130" s="5" t="s">
        <v>19175</v>
      </c>
      <c r="J2130" s="7">
        <v>8</v>
      </c>
      <c r="K2130" s="7">
        <v>1.8</v>
      </c>
      <c r="L2130" s="5" t="s">
        <v>19176</v>
      </c>
      <c r="M2130" s="7">
        <v>0.5</v>
      </c>
      <c r="N2130" s="7">
        <v>0.4</v>
      </c>
      <c r="O2130" s="7">
        <v>0.53200000000000003</v>
      </c>
      <c r="P2130" s="1" t="s">
        <v>19177</v>
      </c>
    </row>
    <row r="2131" spans="1:16" ht="33.4" x14ac:dyDescent="0.3">
      <c r="A2131" s="6" t="str">
        <f>HYPERLINK("https://www.ti.com/product/TPS65400-Q1", "TPS65400-Q1")</f>
        <v>TPS65400-Q1</v>
      </c>
      <c r="B2131" s="5" t="s">
        <v>19178</v>
      </c>
      <c r="C2131" s="6" t="str">
        <f>HYPERLINK("https://www.ti.com/lit/gpn/TPS65400-Q1", "PDF")</f>
        <v>PDF</v>
      </c>
      <c r="D2131" s="5" t="s">
        <v>19179</v>
      </c>
      <c r="E2131" s="5" t="s">
        <v>19180</v>
      </c>
      <c r="F2131" s="5" t="s">
        <v>19181</v>
      </c>
      <c r="G2131" s="5" t="s">
        <v>19182</v>
      </c>
      <c r="H2131" s="1" t="s">
        <v>19183</v>
      </c>
      <c r="I2131" s="5" t="s">
        <v>19184</v>
      </c>
      <c r="J2131" s="7">
        <v>48</v>
      </c>
      <c r="K2131" s="7">
        <v>49</v>
      </c>
      <c r="L2131" s="5" t="s">
        <v>19185</v>
      </c>
      <c r="M2131" s="7">
        <v>1</v>
      </c>
      <c r="N2131" s="7">
        <v>0.5</v>
      </c>
      <c r="O2131" s="7">
        <v>3.105</v>
      </c>
      <c r="P2131" s="1" t="s">
        <v>19186</v>
      </c>
    </row>
    <row r="2132" spans="1:16" ht="33.4" x14ac:dyDescent="0.3">
      <c r="A2132" s="6" t="str">
        <f>HYPERLINK("https://www.ti.com/product/TPS65233-1", "TPS65233-1")</f>
        <v>TPS65233-1</v>
      </c>
      <c r="B2132" s="5" t="s">
        <v>19187</v>
      </c>
      <c r="C2132" s="6" t="str">
        <f>HYPERLINK("https://www.ti.com/lit/gpn/TPS65233-1", "PDF")</f>
        <v>PDF</v>
      </c>
      <c r="D2132" s="5" t="s">
        <v>19188</v>
      </c>
      <c r="E2132" s="5" t="s">
        <v>19189</v>
      </c>
      <c r="F2132" s="5" t="s">
        <v>19190</v>
      </c>
      <c r="G2132" s="5" t="s">
        <v>19191</v>
      </c>
      <c r="H2132" s="1" t="s">
        <v>19192</v>
      </c>
      <c r="I2132" s="5" t="s">
        <v>19193</v>
      </c>
      <c r="J2132" s="7">
        <v>16</v>
      </c>
      <c r="K2132" s="7">
        <v>9</v>
      </c>
      <c r="L2132" s="5" t="s">
        <v>19194</v>
      </c>
      <c r="M2132" s="7">
        <v>0.8</v>
      </c>
      <c r="N2132" s="7">
        <v>0.5</v>
      </c>
      <c r="O2132" s="7">
        <v>0.86299999999999999</v>
      </c>
      <c r="P2132" s="1" t="s">
        <v>19195</v>
      </c>
    </row>
    <row r="2133" spans="1:16" ht="33.4" x14ac:dyDescent="0.3">
      <c r="A2133" s="6" t="str">
        <f>HYPERLINK("https://www.ti.com/product/TPS25810", "TPS25810")</f>
        <v>TPS25810</v>
      </c>
      <c r="B2133" s="5" t="s">
        <v>19196</v>
      </c>
      <c r="C2133" s="6" t="str">
        <f>HYPERLINK("https://www.ti.com/lit/gpn/TPS25810", "PDF")</f>
        <v>PDF</v>
      </c>
      <c r="D2133" s="5" t="s">
        <v>19197</v>
      </c>
      <c r="E2133" s="5" t="s">
        <v>19198</v>
      </c>
      <c r="F2133" s="5"/>
      <c r="G2133" s="5" t="s">
        <v>19199</v>
      </c>
      <c r="H2133" s="1" t="s">
        <v>19200</v>
      </c>
      <c r="I2133" s="5" t="s">
        <v>19201</v>
      </c>
      <c r="J2133" s="7">
        <v>20</v>
      </c>
      <c r="K2133" s="7">
        <v>12</v>
      </c>
      <c r="L2133" s="5" t="s">
        <v>19202</v>
      </c>
      <c r="M2133" s="7">
        <v>0.8</v>
      </c>
      <c r="N2133" s="7">
        <v>0.5</v>
      </c>
      <c r="O2133" s="7">
        <v>0.52900000000000003</v>
      </c>
      <c r="P2133" s="1" t="s">
        <v>19203</v>
      </c>
    </row>
    <row r="2134" spans="1:16" ht="49.75" x14ac:dyDescent="0.3">
      <c r="A2134" s="6" t="str">
        <f>HYPERLINK("https://www.ti.com/product/TPS57140-EP", "TPS57140-EP")</f>
        <v>TPS57140-EP</v>
      </c>
      <c r="B2134" s="5" t="s">
        <v>19204</v>
      </c>
      <c r="C2134" s="6" t="str">
        <f>HYPERLINK("https://www.ti.com/lit/gpn/TPS57140-EP", "PDF")</f>
        <v>PDF</v>
      </c>
      <c r="D2134" s="5" t="s">
        <v>19205</v>
      </c>
      <c r="E2134" s="5" t="s">
        <v>19206</v>
      </c>
      <c r="F2134" s="5" t="s">
        <v>19207</v>
      </c>
      <c r="G2134" s="5" t="s">
        <v>19208</v>
      </c>
      <c r="H2134" s="1" t="s">
        <v>19209</v>
      </c>
      <c r="I2134" s="5" t="s">
        <v>19210</v>
      </c>
      <c r="J2134" s="7">
        <v>10</v>
      </c>
      <c r="K2134" s="7">
        <v>9</v>
      </c>
      <c r="L2134" s="5" t="s">
        <v>19211</v>
      </c>
      <c r="M2134" s="7">
        <v>1</v>
      </c>
      <c r="N2134" s="7">
        <v>0.5</v>
      </c>
      <c r="O2134" s="7">
        <v>13.843999999999999</v>
      </c>
      <c r="P2134" s="1" t="s">
        <v>19212</v>
      </c>
    </row>
    <row r="2135" spans="1:16" ht="33.4" x14ac:dyDescent="0.3">
      <c r="A2135" s="6" t="str">
        <f>HYPERLINK("https://www.ti.com/product/TPS82084", "TPS82084")</f>
        <v>TPS82084</v>
      </c>
      <c r="B2135" s="5" t="s">
        <v>19213</v>
      </c>
      <c r="C2135" s="6" t="str">
        <f>HYPERLINK("https://www.ti.com/lit/gpn/TPS82084", "PDF")</f>
        <v>PDF</v>
      </c>
      <c r="D2135" s="5" t="s">
        <v>19214</v>
      </c>
      <c r="E2135" s="5" t="s">
        <v>19215</v>
      </c>
      <c r="F2135" s="5" t="s">
        <v>19216</v>
      </c>
      <c r="G2135" s="5" t="s">
        <v>19217</v>
      </c>
      <c r="H2135" s="1" t="s">
        <v>19218</v>
      </c>
      <c r="I2135" s="5" t="s">
        <v>19219</v>
      </c>
      <c r="J2135" s="7">
        <v>8</v>
      </c>
      <c r="K2135" s="7" t="s">
        <v>19220</v>
      </c>
      <c r="L2135" s="5" t="s">
        <v>19221</v>
      </c>
      <c r="M2135" s="7" t="s">
        <v>19222</v>
      </c>
      <c r="N2135" s="7" t="s">
        <v>19223</v>
      </c>
      <c r="O2135" s="7">
        <v>1.38</v>
      </c>
      <c r="P2135" s="1" t="s">
        <v>19224</v>
      </c>
    </row>
    <row r="2136" spans="1:16" ht="33.4" x14ac:dyDescent="0.3">
      <c r="A2136" s="6" t="str">
        <f>HYPERLINK("https://www.ti.com/product/ISO5852S", "ISO5852S")</f>
        <v>ISO5852S</v>
      </c>
      <c r="B2136" s="5" t="s">
        <v>19225</v>
      </c>
      <c r="C2136" s="6" t="str">
        <f>HYPERLINK("https://www.ti.com/lit/gpn/ISO5852S", "PDF")</f>
        <v>PDF</v>
      </c>
      <c r="D2136" s="5" t="s">
        <v>19226</v>
      </c>
      <c r="E2136" s="5" t="s">
        <v>19227</v>
      </c>
      <c r="F2136" s="5"/>
      <c r="G2136" s="5" t="s">
        <v>19228</v>
      </c>
      <c r="H2136" s="1" t="s">
        <v>19229</v>
      </c>
      <c r="I2136" s="5" t="s">
        <v>19230</v>
      </c>
      <c r="J2136" s="7">
        <v>16</v>
      </c>
      <c r="K2136" s="7">
        <v>106.09</v>
      </c>
      <c r="L2136" s="5" t="s">
        <v>19231</v>
      </c>
      <c r="M2136" s="7">
        <v>2.65</v>
      </c>
      <c r="N2136" s="7">
        <v>1.27</v>
      </c>
      <c r="O2136" s="7">
        <v>2.4830000000000001</v>
      </c>
      <c r="P2136" s="1" t="s">
        <v>19232</v>
      </c>
    </row>
    <row r="2137" spans="1:16" ht="33.4" x14ac:dyDescent="0.3">
      <c r="A2137" s="6" t="str">
        <f>HYPERLINK("https://www.ti.com/product/TLC59291", "TLC59291")</f>
        <v>TLC59291</v>
      </c>
      <c r="B2137" s="5" t="s">
        <v>19233</v>
      </c>
      <c r="C2137" s="6" t="str">
        <f>HYPERLINK("https://www.ti.com/lit/gpn/TLC59291", "PDF")</f>
        <v>PDF</v>
      </c>
      <c r="D2137" s="5" t="s">
        <v>19234</v>
      </c>
      <c r="E2137" s="5" t="s">
        <v>19235</v>
      </c>
      <c r="F2137" s="5"/>
      <c r="G2137" s="5" t="s">
        <v>19236</v>
      </c>
      <c r="H2137" s="1" t="s">
        <v>19237</v>
      </c>
      <c r="I2137" s="5" t="s">
        <v>19238</v>
      </c>
      <c r="J2137" s="7">
        <v>24</v>
      </c>
      <c r="K2137" s="7">
        <v>16</v>
      </c>
      <c r="L2137" s="5" t="s">
        <v>19239</v>
      </c>
      <c r="M2137" s="7">
        <v>1</v>
      </c>
      <c r="N2137" s="7">
        <v>0.5</v>
      </c>
      <c r="O2137" s="7">
        <v>0.57699999999999996</v>
      </c>
      <c r="P2137" s="1" t="s">
        <v>19240</v>
      </c>
    </row>
    <row r="2138" spans="1:16" ht="17.05" x14ac:dyDescent="0.3">
      <c r="A2138" s="6" t="str">
        <f>HYPERLINK("https://www.ti.com/product/TLC6C5712-Q1", "TLC6C5712-Q1")</f>
        <v>TLC6C5712-Q1</v>
      </c>
      <c r="B2138" s="5" t="s">
        <v>19241</v>
      </c>
      <c r="C2138" s="6" t="str">
        <f>HYPERLINK("https://www.ti.com/lit/gpn/TLC6C5712-Q1", "PDF")</f>
        <v>PDF</v>
      </c>
      <c r="D2138" s="5" t="s">
        <v>19242</v>
      </c>
      <c r="E2138" s="5" t="s">
        <v>19243</v>
      </c>
      <c r="F2138" s="5" t="s">
        <v>19244</v>
      </c>
      <c r="G2138" s="5" t="s">
        <v>19245</v>
      </c>
      <c r="H2138" s="1" t="s">
        <v>19246</v>
      </c>
      <c r="I2138" s="5" t="s">
        <v>19247</v>
      </c>
      <c r="J2138" s="7">
        <v>28</v>
      </c>
      <c r="K2138" s="7">
        <v>62.08</v>
      </c>
      <c r="L2138" s="5" t="s">
        <v>19248</v>
      </c>
      <c r="M2138" s="7">
        <v>1.2</v>
      </c>
      <c r="N2138" s="7">
        <v>0.65</v>
      </c>
      <c r="O2138" s="7">
        <v>0.91100000000000003</v>
      </c>
      <c r="P2138" s="1" t="s">
        <v>19249</v>
      </c>
    </row>
    <row r="2139" spans="1:16" ht="33.4" x14ac:dyDescent="0.3">
      <c r="A2139" s="6" t="str">
        <f>HYPERLINK("https://www.ti.com/product/TPS25923", "TPS25923")</f>
        <v>TPS25923</v>
      </c>
      <c r="B2139" s="5" t="s">
        <v>19250</v>
      </c>
      <c r="C2139" s="6" t="str">
        <f>HYPERLINK("https://www.ti.com/lit/gpn/TPS25923", "PDF")</f>
        <v>PDF</v>
      </c>
      <c r="D2139" s="5" t="s">
        <v>19251</v>
      </c>
      <c r="E2139" s="5" t="s">
        <v>19252</v>
      </c>
      <c r="F2139" s="5"/>
      <c r="G2139" s="5" t="s">
        <v>19253</v>
      </c>
      <c r="H2139" s="1" t="s">
        <v>19254</v>
      </c>
      <c r="I2139" s="5" t="s">
        <v>19255</v>
      </c>
      <c r="J2139" s="7">
        <v>10</v>
      </c>
      <c r="K2139" s="7">
        <v>9</v>
      </c>
      <c r="L2139" s="5" t="s">
        <v>19256</v>
      </c>
      <c r="M2139" s="7">
        <v>1</v>
      </c>
      <c r="N2139" s="7">
        <v>0.5</v>
      </c>
      <c r="O2139" s="7">
        <v>0.52900000000000003</v>
      </c>
      <c r="P2139" s="1" t="s">
        <v>19257</v>
      </c>
    </row>
    <row r="2140" spans="1:16" ht="17.05" x14ac:dyDescent="0.3">
      <c r="A2140" s="6" t="str">
        <f>HYPERLINK("https://www.ti.com/product/TPS25925", "TPS25925")</f>
        <v>TPS25925</v>
      </c>
      <c r="B2140" s="5" t="s">
        <v>19258</v>
      </c>
      <c r="C2140" s="6" t="str">
        <f>HYPERLINK("https://www.ti.com/lit/gpn/TPS25925", "PDF")</f>
        <v>PDF</v>
      </c>
      <c r="D2140" s="5" t="s">
        <v>19259</v>
      </c>
      <c r="E2140" s="5" t="s">
        <v>19260</v>
      </c>
      <c r="F2140" s="5"/>
      <c r="G2140" s="5" t="s">
        <v>19261</v>
      </c>
      <c r="H2140" s="1" t="s">
        <v>19262</v>
      </c>
      <c r="I2140" s="5" t="s">
        <v>19263</v>
      </c>
      <c r="J2140" s="7">
        <v>10</v>
      </c>
      <c r="K2140" s="7">
        <v>9</v>
      </c>
      <c r="L2140" s="5" t="s">
        <v>19264</v>
      </c>
      <c r="M2140" s="7">
        <v>1</v>
      </c>
      <c r="N2140" s="7">
        <v>0.5</v>
      </c>
      <c r="O2140" s="7">
        <v>0.42</v>
      </c>
      <c r="P2140" s="1" t="s">
        <v>19265</v>
      </c>
    </row>
    <row r="2141" spans="1:16" ht="17.05" x14ac:dyDescent="0.3">
      <c r="A2141" s="6" t="str">
        <f>HYPERLINK("https://www.ti.com/product/TPS25926", "TPS25926")</f>
        <v>TPS25926</v>
      </c>
      <c r="B2141" s="5" t="s">
        <v>19266</v>
      </c>
      <c r="C2141" s="6" t="str">
        <f>HYPERLINK("https://www.ti.com/lit/gpn/TPS25926", "PDF")</f>
        <v>PDF</v>
      </c>
      <c r="D2141" s="5" t="s">
        <v>19267</v>
      </c>
      <c r="E2141" s="5" t="s">
        <v>19268</v>
      </c>
      <c r="F2141" s="5"/>
      <c r="G2141" s="5" t="s">
        <v>19269</v>
      </c>
      <c r="H2141" s="1" t="s">
        <v>19270</v>
      </c>
      <c r="I2141" s="5" t="s">
        <v>19271</v>
      </c>
      <c r="J2141" s="7">
        <v>10</v>
      </c>
      <c r="K2141" s="7">
        <v>9</v>
      </c>
      <c r="L2141" s="5" t="s">
        <v>19272</v>
      </c>
      <c r="M2141" s="7">
        <v>1</v>
      </c>
      <c r="N2141" s="7">
        <v>0.5</v>
      </c>
      <c r="O2141" s="7">
        <v>0.48299999999999998</v>
      </c>
      <c r="P2141" s="1" t="s">
        <v>19273</v>
      </c>
    </row>
    <row r="2142" spans="1:16" ht="33.4" x14ac:dyDescent="0.3">
      <c r="A2142" s="6" t="str">
        <f>HYPERLINK("https://www.ti.com/product/TPS25927", "TPS25927")</f>
        <v>TPS25927</v>
      </c>
      <c r="B2142" s="5" t="s">
        <v>19274</v>
      </c>
      <c r="C2142" s="6" t="str">
        <f>HYPERLINK("https://www.ti.com/lit/gpn/TPS25927", "PDF")</f>
        <v>PDF</v>
      </c>
      <c r="D2142" s="5" t="s">
        <v>19275</v>
      </c>
      <c r="E2142" s="5" t="s">
        <v>19276</v>
      </c>
      <c r="F2142" s="5"/>
      <c r="G2142" s="5" t="s">
        <v>19277</v>
      </c>
      <c r="H2142" s="1" t="s">
        <v>19278</v>
      </c>
      <c r="I2142" s="5" t="s">
        <v>19279</v>
      </c>
      <c r="J2142" s="7">
        <v>10</v>
      </c>
      <c r="K2142" s="7">
        <v>9</v>
      </c>
      <c r="L2142" s="5" t="s">
        <v>19280</v>
      </c>
      <c r="M2142" s="7">
        <v>1</v>
      </c>
      <c r="N2142" s="7">
        <v>0.5</v>
      </c>
      <c r="O2142" s="7">
        <v>0.52900000000000003</v>
      </c>
      <c r="P2142" s="1" t="s">
        <v>19281</v>
      </c>
    </row>
    <row r="2143" spans="1:16" ht="33.4" x14ac:dyDescent="0.3">
      <c r="A2143" s="6" t="str">
        <f>HYPERLINK("https://www.ti.com/product/TPS25924", "TPS25924")</f>
        <v>TPS25924</v>
      </c>
      <c r="B2143" s="5" t="s">
        <v>19282</v>
      </c>
      <c r="C2143" s="6" t="str">
        <f>HYPERLINK("https://www.ti.com/lit/gpn/TPS25924", "PDF")</f>
        <v>PDF</v>
      </c>
      <c r="D2143" s="5" t="s">
        <v>19283</v>
      </c>
      <c r="E2143" s="5" t="s">
        <v>19284</v>
      </c>
      <c r="F2143" s="5"/>
      <c r="G2143" s="5" t="s">
        <v>19285</v>
      </c>
      <c r="H2143" s="1" t="s">
        <v>19286</v>
      </c>
      <c r="I2143" s="5" t="s">
        <v>19287</v>
      </c>
      <c r="J2143" s="7">
        <v>10</v>
      </c>
      <c r="K2143" s="7">
        <v>9</v>
      </c>
      <c r="L2143" s="5" t="s">
        <v>19288</v>
      </c>
      <c r="M2143" s="7">
        <v>1</v>
      </c>
      <c r="N2143" s="7">
        <v>0.5</v>
      </c>
      <c r="O2143" s="7">
        <v>0.52900000000000003</v>
      </c>
      <c r="P2143" s="1" t="s">
        <v>19289</v>
      </c>
    </row>
    <row r="2144" spans="1:16" ht="17.05" x14ac:dyDescent="0.3">
      <c r="A2144" s="6" t="str">
        <f>HYPERLINK("https://www.ti.com/product/TPS657095", "TPS657095")</f>
        <v>TPS657095</v>
      </c>
      <c r="B2144" s="5" t="s">
        <v>19290</v>
      </c>
      <c r="C2144" s="6" t="str">
        <f>HYPERLINK("https://www.ti.com/lit/gpn/TPS657095", "PDF")</f>
        <v>PDF</v>
      </c>
      <c r="D2144" s="5" t="s">
        <v>19291</v>
      </c>
      <c r="E2144" s="5" t="s">
        <v>19292</v>
      </c>
      <c r="F2144" s="5"/>
      <c r="G2144" s="5" t="s">
        <v>19293</v>
      </c>
      <c r="H2144" s="1" t="s">
        <v>19294</v>
      </c>
      <c r="I2144" s="5" t="s">
        <v>19295</v>
      </c>
      <c r="J2144" s="7">
        <v>16</v>
      </c>
      <c r="K2144" s="7">
        <v>3.24</v>
      </c>
      <c r="L2144" s="5" t="s">
        <v>19296</v>
      </c>
      <c r="M2144" s="7">
        <v>0.625</v>
      </c>
      <c r="N2144" s="7">
        <v>0.4</v>
      </c>
      <c r="O2144" s="7">
        <v>1.0649999999999999</v>
      </c>
      <c r="P2144" s="1" t="s">
        <v>19297</v>
      </c>
    </row>
    <row r="2145" spans="1:16" ht="33.4" x14ac:dyDescent="0.3">
      <c r="A2145" s="6" t="str">
        <f>HYPERLINK("https://www.ti.com/product/TPS7B4253-Q1", "TPS7B4253-Q1")</f>
        <v>TPS7B4253-Q1</v>
      </c>
      <c r="B2145" s="5" t="s">
        <v>19298</v>
      </c>
      <c r="C2145" s="6" t="str">
        <f>HYPERLINK("https://www.ti.com/lit/gpn/TPS7B4253-Q1", "PDF")</f>
        <v>PDF</v>
      </c>
      <c r="D2145" s="5" t="s">
        <v>19299</v>
      </c>
      <c r="E2145" s="5" t="s">
        <v>19300</v>
      </c>
      <c r="F2145" s="5"/>
      <c r="G2145" s="5" t="s">
        <v>19301</v>
      </c>
      <c r="H2145" s="1" t="s">
        <v>19302</v>
      </c>
      <c r="I2145" s="5" t="s">
        <v>19303</v>
      </c>
      <c r="J2145" s="7" t="s">
        <v>19304</v>
      </c>
      <c r="K2145" s="7" t="s">
        <v>19305</v>
      </c>
      <c r="L2145" s="5" t="s">
        <v>19306</v>
      </c>
      <c r="M2145" s="7" t="s">
        <v>19307</v>
      </c>
      <c r="N2145" s="7" t="s">
        <v>19308</v>
      </c>
      <c r="O2145" s="7">
        <v>0.94799999999999995</v>
      </c>
      <c r="P2145" s="1" t="s">
        <v>19309</v>
      </c>
    </row>
    <row r="2146" spans="1:16" ht="17.05" x14ac:dyDescent="0.3">
      <c r="A2146" s="6" t="str">
        <f>HYPERLINK("https://www.ti.com/product/ATL432", "ATL432")</f>
        <v>ATL432</v>
      </c>
      <c r="B2146" s="5" t="s">
        <v>19310</v>
      </c>
      <c r="C2146" s="6" t="str">
        <f>HYPERLINK("https://www.ti.com/lit/gpn/ATL432", "PDF")</f>
        <v>PDF</v>
      </c>
      <c r="D2146" s="5" t="s">
        <v>19311</v>
      </c>
      <c r="E2146" s="5" t="s">
        <v>19312</v>
      </c>
      <c r="F2146" s="5"/>
      <c r="G2146" s="5" t="s">
        <v>19313</v>
      </c>
      <c r="H2146" s="1" t="s">
        <v>19314</v>
      </c>
      <c r="I2146" s="5" t="s">
        <v>19315</v>
      </c>
      <c r="J2146" s="7">
        <v>3</v>
      </c>
      <c r="K2146" s="7">
        <v>6.9203999999999999</v>
      </c>
      <c r="L2146" s="5" t="s">
        <v>19316</v>
      </c>
      <c r="M2146" s="7">
        <v>1.1200000000000001</v>
      </c>
      <c r="N2146" s="7">
        <v>0.96</v>
      </c>
      <c r="O2146" s="7">
        <v>0.151</v>
      </c>
      <c r="P2146" s="1" t="s">
        <v>19317</v>
      </c>
    </row>
    <row r="2147" spans="1:16" ht="49.75" x14ac:dyDescent="0.3">
      <c r="A2147" s="6" t="str">
        <f>HYPERLINK("https://www.ti.com/product/TPS7A4001-EP", "TPS7A4001-EP")</f>
        <v>TPS7A4001-EP</v>
      </c>
      <c r="B2147" s="5" t="s">
        <v>19318</v>
      </c>
      <c r="C2147" s="6" t="str">
        <f>HYPERLINK("https://www.ti.com/lit/gpn/TPS7A4001-EP", "PDF")</f>
        <v>PDF</v>
      </c>
      <c r="D2147" s="5" t="s">
        <v>19319</v>
      </c>
      <c r="E2147" s="5" t="s">
        <v>19320</v>
      </c>
      <c r="F2147" s="5"/>
      <c r="G2147" s="5" t="s">
        <v>19321</v>
      </c>
      <c r="H2147" s="1" t="s">
        <v>19322</v>
      </c>
      <c r="I2147" s="5" t="s">
        <v>19323</v>
      </c>
      <c r="J2147" s="7">
        <v>8</v>
      </c>
      <c r="K2147" s="7">
        <v>14.7</v>
      </c>
      <c r="L2147" s="5" t="s">
        <v>19324</v>
      </c>
      <c r="M2147" s="7">
        <v>1.1000000000000001</v>
      </c>
      <c r="N2147" s="7">
        <v>0.65</v>
      </c>
      <c r="O2147" s="7">
        <v>11.946</v>
      </c>
      <c r="P2147" s="1" t="s">
        <v>19325</v>
      </c>
    </row>
    <row r="2148" spans="1:16" ht="33.4" x14ac:dyDescent="0.3">
      <c r="A2148" s="6" t="str">
        <f>HYPERLINK("https://www.ti.com/product/CSD19537Q3", "CSD19537Q3")</f>
        <v>CSD19537Q3</v>
      </c>
      <c r="B2148" s="5" t="s">
        <v>19326</v>
      </c>
      <c r="C2148" s="6" t="str">
        <f>HYPERLINK("https://www.ti.com/lit/gpn/CSD19537Q3", "PDF")</f>
        <v>PDF</v>
      </c>
      <c r="D2148" s="5" t="s">
        <v>19327</v>
      </c>
      <c r="E2148" s="5" t="s">
        <v>19328</v>
      </c>
      <c r="F2148" s="5"/>
      <c r="G2148" s="5" t="s">
        <v>19329</v>
      </c>
      <c r="H2148" s="1" t="s">
        <v>19330</v>
      </c>
      <c r="I2148" s="5" t="s">
        <v>19331</v>
      </c>
      <c r="J2148" s="7">
        <v>8</v>
      </c>
      <c r="K2148" s="7">
        <v>10.89</v>
      </c>
      <c r="L2148" s="5" t="s">
        <v>19332</v>
      </c>
      <c r="M2148" s="7">
        <v>1.1000000000000001</v>
      </c>
      <c r="N2148" s="7">
        <v>0.65</v>
      </c>
      <c r="O2148" s="7">
        <v>0.35</v>
      </c>
      <c r="P2148" s="1" t="s">
        <v>19333</v>
      </c>
    </row>
    <row r="2149" spans="1:16" ht="33.4" x14ac:dyDescent="0.3">
      <c r="A2149" s="6" t="str">
        <f>HYPERLINK("https://www.ti.com/product/LP8861-Q1", "LP8861-Q1")</f>
        <v>LP8861-Q1</v>
      </c>
      <c r="B2149" s="5" t="s">
        <v>19334</v>
      </c>
      <c r="C2149" s="6" t="str">
        <f>HYPERLINK("https://www.ti.com/lit/gpn/LP8861-Q1", "PDF")</f>
        <v>PDF</v>
      </c>
      <c r="D2149" s="5" t="s">
        <v>19335</v>
      </c>
      <c r="E2149" s="5" t="s">
        <v>19336</v>
      </c>
      <c r="F2149" s="5" t="s">
        <v>19337</v>
      </c>
      <c r="G2149" s="5" t="s">
        <v>19338</v>
      </c>
      <c r="H2149" s="1" t="s">
        <v>19339</v>
      </c>
      <c r="I2149" s="5" t="s">
        <v>19340</v>
      </c>
      <c r="J2149" s="7">
        <v>20</v>
      </c>
      <c r="K2149" s="7">
        <v>41.6</v>
      </c>
      <c r="L2149" s="5" t="s">
        <v>19341</v>
      </c>
      <c r="M2149" s="7">
        <v>1.2</v>
      </c>
      <c r="N2149" s="7">
        <v>0.65</v>
      </c>
      <c r="O2149" s="7">
        <v>1.1399999999999999</v>
      </c>
      <c r="P2149" s="1" t="s">
        <v>19342</v>
      </c>
    </row>
    <row r="2150" spans="1:16" ht="33.4" x14ac:dyDescent="0.3">
      <c r="A2150" s="6" t="str">
        <f>HYPERLINK("https://www.ti.com/product/TPS65084", "TPS65084")</f>
        <v>TPS65084</v>
      </c>
      <c r="B2150" s="5" t="s">
        <v>19343</v>
      </c>
      <c r="C2150" s="6" t="str">
        <f>HYPERLINK("https://www.ti.com/lit/gpn/TPS65084", "PDF")</f>
        <v>PDF</v>
      </c>
      <c r="D2150" s="5" t="s">
        <v>19344</v>
      </c>
      <c r="E2150" s="5" t="s">
        <v>19345</v>
      </c>
      <c r="F2150" s="5"/>
      <c r="G2150" s="5" t="s">
        <v>19346</v>
      </c>
      <c r="H2150" s="1" t="s">
        <v>19347</v>
      </c>
      <c r="I2150" s="5" t="s">
        <v>19348</v>
      </c>
      <c r="J2150" s="7">
        <v>64</v>
      </c>
      <c r="K2150" s="7">
        <v>64</v>
      </c>
      <c r="L2150" s="5" t="s">
        <v>19349</v>
      </c>
      <c r="M2150" s="7">
        <v>1</v>
      </c>
      <c r="N2150" s="7">
        <v>0.4</v>
      </c>
      <c r="O2150" s="7">
        <v>3.206</v>
      </c>
      <c r="P2150" s="1" t="s">
        <v>19350</v>
      </c>
    </row>
    <row r="2151" spans="1:16" ht="33.4" x14ac:dyDescent="0.3">
      <c r="A2151" s="6" t="str">
        <f>HYPERLINK("https://www.ti.com/product/TPS65094", "TPS65094")</f>
        <v>TPS65094</v>
      </c>
      <c r="B2151" s="5" t="s">
        <v>19351</v>
      </c>
      <c r="C2151" s="6" t="str">
        <f>HYPERLINK("https://www.ti.com/lit/gpn/TPS65094", "PDF")</f>
        <v>PDF</v>
      </c>
      <c r="D2151" s="5" t="s">
        <v>19352</v>
      </c>
      <c r="E2151" s="5" t="s">
        <v>19353</v>
      </c>
      <c r="F2151" s="5"/>
      <c r="G2151" s="5" t="s">
        <v>19354</v>
      </c>
      <c r="H2151" s="1" t="s">
        <v>19355</v>
      </c>
      <c r="I2151" s="5" t="s">
        <v>19356</v>
      </c>
      <c r="J2151" s="7">
        <v>64</v>
      </c>
      <c r="K2151" s="7">
        <v>64</v>
      </c>
      <c r="L2151" s="5" t="s">
        <v>19357</v>
      </c>
      <c r="M2151" s="7">
        <v>1</v>
      </c>
      <c r="N2151" s="7">
        <v>0.4</v>
      </c>
      <c r="O2151" s="7">
        <v>3.0619999999999998</v>
      </c>
      <c r="P2151" s="1" t="s">
        <v>19358</v>
      </c>
    </row>
    <row r="2152" spans="1:16" ht="33.4" x14ac:dyDescent="0.3">
      <c r="A2152" s="6" t="str">
        <f>HYPERLINK("https://www.ti.com/product/LM46002-Q1", "LM46002-Q1")</f>
        <v>LM46002-Q1</v>
      </c>
      <c r="B2152" s="5" t="s">
        <v>19359</v>
      </c>
      <c r="C2152" s="6" t="str">
        <f>HYPERLINK("https://www.ti.com/lit/gpn/LM46002-Q1", "PDF")</f>
        <v>PDF</v>
      </c>
      <c r="D2152" s="5" t="s">
        <v>19360</v>
      </c>
      <c r="E2152" s="5" t="s">
        <v>19361</v>
      </c>
      <c r="F2152" s="5" t="s">
        <v>19362</v>
      </c>
      <c r="G2152" s="5" t="s">
        <v>19363</v>
      </c>
      <c r="H2152" s="1" t="s">
        <v>19364</v>
      </c>
      <c r="I2152" s="5" t="s">
        <v>19365</v>
      </c>
      <c r="J2152" s="7">
        <v>16</v>
      </c>
      <c r="K2152" s="7">
        <v>32</v>
      </c>
      <c r="L2152" s="5" t="s">
        <v>19366</v>
      </c>
      <c r="M2152" s="7">
        <v>1.2</v>
      </c>
      <c r="N2152" s="7">
        <v>0.65</v>
      </c>
      <c r="O2152" s="7">
        <v>2.3079999999999998</v>
      </c>
      <c r="P2152" s="1" t="s">
        <v>19367</v>
      </c>
    </row>
    <row r="2153" spans="1:16" ht="17.05" x14ac:dyDescent="0.3">
      <c r="A2153" s="6" t="str">
        <f>HYPERLINK("https://www.ti.com/product/UCC27714", "UCC27714")</f>
        <v>UCC27714</v>
      </c>
      <c r="B2153" s="5" t="s">
        <v>19368</v>
      </c>
      <c r="C2153" s="6" t="str">
        <f>HYPERLINK("https://www.ti.com/lit/gpn/UCC27714", "PDF")</f>
        <v>PDF</v>
      </c>
      <c r="D2153" s="5" t="s">
        <v>19369</v>
      </c>
      <c r="E2153" s="5" t="s">
        <v>19370</v>
      </c>
      <c r="F2153" s="5"/>
      <c r="G2153" s="5" t="s">
        <v>19371</v>
      </c>
      <c r="H2153" s="1" t="s">
        <v>19372</v>
      </c>
      <c r="I2153" s="5" t="s">
        <v>19373</v>
      </c>
      <c r="J2153" s="7">
        <v>14</v>
      </c>
      <c r="K2153" s="7">
        <v>51.9</v>
      </c>
      <c r="L2153" s="5" t="s">
        <v>19374</v>
      </c>
      <c r="M2153" s="7">
        <v>1.75</v>
      </c>
      <c r="N2153" s="7">
        <v>1.27</v>
      </c>
      <c r="O2153" s="7">
        <v>1.222</v>
      </c>
      <c r="P2153" s="1" t="s">
        <v>19375</v>
      </c>
    </row>
    <row r="2154" spans="1:16" ht="33.4" x14ac:dyDescent="0.3">
      <c r="A2154" s="6" t="str">
        <f>HYPERLINK("https://www.ti.com/product/LM43601-Q1", "LM43601-Q1")</f>
        <v>LM43601-Q1</v>
      </c>
      <c r="B2154" s="5" t="s">
        <v>19376</v>
      </c>
      <c r="C2154" s="6" t="str">
        <f>HYPERLINK("https://www.ti.com/lit/gpn/LM43601-Q1", "PDF")</f>
        <v>PDF</v>
      </c>
      <c r="D2154" s="5" t="s">
        <v>19377</v>
      </c>
      <c r="E2154" s="5" t="s">
        <v>19378</v>
      </c>
      <c r="F2154" s="5" t="s">
        <v>19379</v>
      </c>
      <c r="G2154" s="5" t="s">
        <v>19380</v>
      </c>
      <c r="H2154" s="1" t="s">
        <v>19381</v>
      </c>
      <c r="I2154" s="5" t="s">
        <v>19382</v>
      </c>
      <c r="J2154" s="7">
        <v>16</v>
      </c>
      <c r="K2154" s="7">
        <v>32</v>
      </c>
      <c r="L2154" s="5" t="s">
        <v>19383</v>
      </c>
      <c r="M2154" s="7">
        <v>1.2</v>
      </c>
      <c r="N2154" s="7">
        <v>0.65</v>
      </c>
      <c r="O2154" s="7">
        <v>2.1019999999999999</v>
      </c>
      <c r="P2154" s="1" t="s">
        <v>19384</v>
      </c>
    </row>
    <row r="2155" spans="1:16" ht="33.4" x14ac:dyDescent="0.3">
      <c r="A2155" s="6" t="str">
        <f>HYPERLINK("https://www.ti.com/product/LM46001-Q1", "LM46001-Q1")</f>
        <v>LM46001-Q1</v>
      </c>
      <c r="B2155" s="5" t="s">
        <v>19385</v>
      </c>
      <c r="C2155" s="6" t="str">
        <f>HYPERLINK("https://www.ti.com/lit/gpn/LM46001-Q1", "PDF")</f>
        <v>PDF</v>
      </c>
      <c r="D2155" s="5" t="s">
        <v>19386</v>
      </c>
      <c r="E2155" s="5" t="s">
        <v>19387</v>
      </c>
      <c r="F2155" s="5" t="s">
        <v>19388</v>
      </c>
      <c r="G2155" s="5" t="s">
        <v>19389</v>
      </c>
      <c r="H2155" s="1" t="s">
        <v>19390</v>
      </c>
      <c r="I2155" s="5" t="s">
        <v>19391</v>
      </c>
      <c r="J2155" s="7">
        <v>16</v>
      </c>
      <c r="K2155" s="7">
        <v>32</v>
      </c>
      <c r="L2155" s="5" t="s">
        <v>19392</v>
      </c>
      <c r="M2155" s="7">
        <v>1.2</v>
      </c>
      <c r="N2155" s="7">
        <v>0.65</v>
      </c>
      <c r="O2155" s="7">
        <v>2.2989999999999999</v>
      </c>
      <c r="P2155" s="1" t="s">
        <v>19393</v>
      </c>
    </row>
    <row r="2156" spans="1:16" ht="33.4" x14ac:dyDescent="0.3">
      <c r="A2156" s="6" t="str">
        <f>HYPERLINK("https://www.ti.com/product/LM43600-Q1", "LM43600-Q1")</f>
        <v>LM43600-Q1</v>
      </c>
      <c r="B2156" s="5" t="s">
        <v>19394</v>
      </c>
      <c r="C2156" s="6" t="str">
        <f>HYPERLINK("https://www.ti.com/lit/gpn/LM43600-Q1", "PDF")</f>
        <v>PDF</v>
      </c>
      <c r="D2156" s="5" t="s">
        <v>19395</v>
      </c>
      <c r="E2156" s="5" t="s">
        <v>19396</v>
      </c>
      <c r="F2156" s="5" t="s">
        <v>19397</v>
      </c>
      <c r="G2156" s="5" t="s">
        <v>19398</v>
      </c>
      <c r="H2156" s="1" t="s">
        <v>19399</v>
      </c>
      <c r="I2156" s="5" t="s">
        <v>19400</v>
      </c>
      <c r="J2156" s="7">
        <v>16</v>
      </c>
      <c r="K2156" s="7">
        <v>32</v>
      </c>
      <c r="L2156" s="5" t="s">
        <v>19401</v>
      </c>
      <c r="M2156" s="7">
        <v>1.2</v>
      </c>
      <c r="N2156" s="7">
        <v>0.65</v>
      </c>
      <c r="O2156" s="7">
        <v>1.9710000000000001</v>
      </c>
      <c r="P2156" s="1" t="s">
        <v>19402</v>
      </c>
    </row>
    <row r="2157" spans="1:16" ht="33.4" x14ac:dyDescent="0.3">
      <c r="A2157" s="6" t="str">
        <f>HYPERLINK("https://www.ti.com/product/LM46000-Q1", "LM46000-Q1")</f>
        <v>LM46000-Q1</v>
      </c>
      <c r="B2157" s="5" t="s">
        <v>19403</v>
      </c>
      <c r="C2157" s="6" t="str">
        <f>HYPERLINK("https://www.ti.com/lit/gpn/LM46000-Q1", "PDF")</f>
        <v>PDF</v>
      </c>
      <c r="D2157" s="5" t="s">
        <v>19404</v>
      </c>
      <c r="E2157" s="5" t="s">
        <v>19405</v>
      </c>
      <c r="F2157" s="5" t="s">
        <v>19406</v>
      </c>
      <c r="G2157" s="5" t="s">
        <v>19407</v>
      </c>
      <c r="H2157" s="1" t="s">
        <v>19408</v>
      </c>
      <c r="I2157" s="5" t="s">
        <v>19409</v>
      </c>
      <c r="J2157" s="7">
        <v>16</v>
      </c>
      <c r="K2157" s="7">
        <v>32</v>
      </c>
      <c r="L2157" s="5" t="s">
        <v>19410</v>
      </c>
      <c r="M2157" s="7">
        <v>1.2</v>
      </c>
      <c r="N2157" s="7">
        <v>0.65</v>
      </c>
      <c r="O2157" s="7">
        <v>2.1680000000000001</v>
      </c>
      <c r="P2157" s="1" t="s">
        <v>19411</v>
      </c>
    </row>
    <row r="2158" spans="1:16" ht="33.4" x14ac:dyDescent="0.3">
      <c r="A2158" s="6" t="str">
        <f>HYPERLINK("https://www.ti.com/product/CSD87334Q3D", "CSD87334Q3D")</f>
        <v>CSD87334Q3D</v>
      </c>
      <c r="B2158" s="5" t="s">
        <v>19412</v>
      </c>
      <c r="C2158" s="6" t="str">
        <f>HYPERLINK("https://www.ti.com/lit/gpn/CSD87334Q3D", "PDF")</f>
        <v>PDF</v>
      </c>
      <c r="D2158" s="5" t="s">
        <v>19413</v>
      </c>
      <c r="E2158" s="5" t="s">
        <v>19414</v>
      </c>
      <c r="F2158" s="5"/>
      <c r="G2158" s="5" t="s">
        <v>19415</v>
      </c>
      <c r="H2158" s="1" t="s">
        <v>19416</v>
      </c>
      <c r="I2158" s="5" t="s">
        <v>19417</v>
      </c>
      <c r="J2158" s="7">
        <v>8</v>
      </c>
      <c r="K2158" s="7">
        <v>10.89</v>
      </c>
      <c r="L2158" s="5" t="s">
        <v>19418</v>
      </c>
      <c r="M2158" s="7">
        <v>1.05</v>
      </c>
      <c r="N2158" s="7">
        <v>0.65</v>
      </c>
      <c r="O2158" s="7">
        <v>0.33500000000000002</v>
      </c>
      <c r="P2158" s="1" t="s">
        <v>19419</v>
      </c>
    </row>
    <row r="2159" spans="1:16" ht="33.4" x14ac:dyDescent="0.3">
      <c r="A2159" s="6" t="str">
        <f>HYPERLINK("https://www.ti.com/product/TPS610982", "TPS610982")</f>
        <v>TPS610982</v>
      </c>
      <c r="B2159" s="5" t="s">
        <v>19420</v>
      </c>
      <c r="C2159" s="6" t="str">
        <f>HYPERLINK("https://www.ti.com/lit/gpn/TPS610982", "PDF")</f>
        <v>PDF</v>
      </c>
      <c r="D2159" s="5" t="s">
        <v>19421</v>
      </c>
      <c r="E2159" s="5" t="s">
        <v>19422</v>
      </c>
      <c r="F2159" s="5" t="s">
        <v>19423</v>
      </c>
      <c r="G2159" s="5" t="s">
        <v>19424</v>
      </c>
      <c r="H2159" s="1" t="s">
        <v>19425</v>
      </c>
      <c r="I2159" s="5" t="s">
        <v>19426</v>
      </c>
      <c r="J2159" s="7">
        <v>6</v>
      </c>
      <c r="K2159" s="7">
        <v>2.25</v>
      </c>
      <c r="L2159" s="5" t="s">
        <v>19427</v>
      </c>
      <c r="M2159" s="7">
        <v>0.8</v>
      </c>
      <c r="N2159" s="7">
        <v>0.5</v>
      </c>
      <c r="O2159" s="7">
        <v>0.55300000000000005</v>
      </c>
      <c r="P2159" s="1" t="s">
        <v>19428</v>
      </c>
    </row>
    <row r="2160" spans="1:16" ht="33.4" x14ac:dyDescent="0.3">
      <c r="A2160" s="6" t="str">
        <f>HYPERLINK("https://www.ti.com/product/LMR16006Y-Q1", "LMR16006Y-Q1")</f>
        <v>LMR16006Y-Q1</v>
      </c>
      <c r="B2160" s="5" t="s">
        <v>19429</v>
      </c>
      <c r="C2160" s="6" t="str">
        <f>HYPERLINK("https://www.ti.com/lit/gpn/LMR16006Y-Q1", "PDF")</f>
        <v>PDF</v>
      </c>
      <c r="D2160" s="5" t="s">
        <v>19430</v>
      </c>
      <c r="E2160" s="5" t="s">
        <v>19431</v>
      </c>
      <c r="F2160" s="5" t="s">
        <v>19432</v>
      </c>
      <c r="G2160" s="5" t="s">
        <v>19433</v>
      </c>
      <c r="H2160" s="1" t="s">
        <v>19434</v>
      </c>
      <c r="I2160" s="5" t="s">
        <v>19435</v>
      </c>
      <c r="J2160" s="7">
        <v>6</v>
      </c>
      <c r="K2160" s="7">
        <v>8.1199999999999992</v>
      </c>
      <c r="L2160" s="5" t="s">
        <v>19436</v>
      </c>
      <c r="M2160" s="7">
        <v>1.1000000000000001</v>
      </c>
      <c r="N2160" s="7">
        <v>0.95</v>
      </c>
      <c r="O2160" s="7">
        <v>1.371</v>
      </c>
      <c r="P2160" s="1" t="s">
        <v>19437</v>
      </c>
    </row>
    <row r="2161" spans="1:16" ht="33.4" x14ac:dyDescent="0.3">
      <c r="A2161" s="6" t="str">
        <f>HYPERLINK("https://www.ti.com/product/LM53602-Q1", "LM53602-Q1")</f>
        <v>LM53602-Q1</v>
      </c>
      <c r="B2161" s="5" t="s">
        <v>19438</v>
      </c>
      <c r="C2161" s="6" t="str">
        <f>HYPERLINK("https://www.ti.com/lit/gpn/LM53602-Q1", "PDF")</f>
        <v>PDF</v>
      </c>
      <c r="D2161" s="5" t="s">
        <v>19439</v>
      </c>
      <c r="E2161" s="5" t="s">
        <v>19440</v>
      </c>
      <c r="F2161" s="5" t="s">
        <v>19441</v>
      </c>
      <c r="G2161" s="5" t="s">
        <v>19442</v>
      </c>
      <c r="H2161" s="1" t="s">
        <v>19443</v>
      </c>
      <c r="I2161" s="5" t="s">
        <v>19444</v>
      </c>
      <c r="J2161" s="7">
        <v>16</v>
      </c>
      <c r="K2161" s="7">
        <v>32</v>
      </c>
      <c r="L2161" s="5" t="s">
        <v>19445</v>
      </c>
      <c r="M2161" s="7">
        <v>1.2</v>
      </c>
      <c r="N2161" s="7">
        <v>0.65</v>
      </c>
      <c r="O2161" s="7">
        <v>2.3359999999999999</v>
      </c>
      <c r="P2161" s="1" t="s">
        <v>19446</v>
      </c>
    </row>
    <row r="2162" spans="1:16" ht="33.4" x14ac:dyDescent="0.3">
      <c r="A2162" s="6" t="str">
        <f>HYPERLINK("https://www.ti.com/product/LM53603-Q1", "LM53603-Q1")</f>
        <v>LM53603-Q1</v>
      </c>
      <c r="B2162" s="5" t="s">
        <v>19447</v>
      </c>
      <c r="C2162" s="6" t="str">
        <f>HYPERLINK("https://www.ti.com/lit/gpn/LM53603-Q1", "PDF")</f>
        <v>PDF</v>
      </c>
      <c r="D2162" s="5" t="s">
        <v>19448</v>
      </c>
      <c r="E2162" s="5" t="s">
        <v>19449</v>
      </c>
      <c r="F2162" s="5" t="s">
        <v>19450</v>
      </c>
      <c r="G2162" s="5" t="s">
        <v>19451</v>
      </c>
      <c r="H2162" s="1" t="s">
        <v>19452</v>
      </c>
      <c r="I2162" s="5" t="s">
        <v>19453</v>
      </c>
      <c r="J2162" s="7">
        <v>16</v>
      </c>
      <c r="K2162" s="7">
        <v>32</v>
      </c>
      <c r="L2162" s="5" t="s">
        <v>19454</v>
      </c>
      <c r="M2162" s="7">
        <v>1.2</v>
      </c>
      <c r="N2162" s="7">
        <v>0.65</v>
      </c>
      <c r="O2162" s="7">
        <v>2.4500000000000002</v>
      </c>
      <c r="P2162" s="1" t="s">
        <v>19455</v>
      </c>
    </row>
    <row r="2163" spans="1:16" ht="33.4" x14ac:dyDescent="0.3">
      <c r="A2163" s="6" t="str">
        <f>HYPERLINK("https://www.ti.com/product/LM5160-Q1", "LM5160-Q1")</f>
        <v>LM5160-Q1</v>
      </c>
      <c r="B2163" s="5" t="s">
        <v>19456</v>
      </c>
      <c r="C2163" s="6" t="str">
        <f>HYPERLINK("https://www.ti.com/lit/gpn/LM5160-Q1", "PDF")</f>
        <v>PDF</v>
      </c>
      <c r="D2163" s="5" t="s">
        <v>19457</v>
      </c>
      <c r="E2163" s="5" t="s">
        <v>19458</v>
      </c>
      <c r="F2163" s="5" t="s">
        <v>19459</v>
      </c>
      <c r="G2163" s="5" t="s">
        <v>19460</v>
      </c>
      <c r="H2163" s="1" t="s">
        <v>19461</v>
      </c>
      <c r="I2163" s="5" t="s">
        <v>19462</v>
      </c>
      <c r="J2163" s="7">
        <v>14</v>
      </c>
      <c r="K2163" s="7">
        <v>32</v>
      </c>
      <c r="L2163" s="5" t="s">
        <v>19463</v>
      </c>
      <c r="M2163" s="7">
        <v>1.2</v>
      </c>
      <c r="N2163" s="7">
        <v>0.65</v>
      </c>
      <c r="O2163" s="7">
        <v>2.3639999999999999</v>
      </c>
      <c r="P2163" s="1" t="s">
        <v>19464</v>
      </c>
    </row>
    <row r="2164" spans="1:16" ht="33.4" x14ac:dyDescent="0.3">
      <c r="A2164" s="6" t="str">
        <f>HYPERLINK("https://www.ti.com/product/ISO5451", "ISO5451")</f>
        <v>ISO5451</v>
      </c>
      <c r="B2164" s="5" t="s">
        <v>19465</v>
      </c>
      <c r="C2164" s="6" t="str">
        <f>HYPERLINK("https://www.ti.com/lit/gpn/ISO5451", "PDF")</f>
        <v>PDF</v>
      </c>
      <c r="D2164" s="5" t="s">
        <v>19466</v>
      </c>
      <c r="E2164" s="5" t="s">
        <v>19467</v>
      </c>
      <c r="F2164" s="5"/>
      <c r="G2164" s="5" t="s">
        <v>19468</v>
      </c>
      <c r="H2164" s="1" t="s">
        <v>19469</v>
      </c>
      <c r="I2164" s="5" t="s">
        <v>19470</v>
      </c>
      <c r="J2164" s="7">
        <v>16</v>
      </c>
      <c r="K2164" s="7">
        <v>106.09</v>
      </c>
      <c r="L2164" s="5" t="s">
        <v>19471</v>
      </c>
      <c r="M2164" s="7">
        <v>2.65</v>
      </c>
      <c r="N2164" s="7">
        <v>1.27</v>
      </c>
      <c r="O2164" s="7">
        <v>1.75</v>
      </c>
      <c r="P2164" s="1" t="s">
        <v>19472</v>
      </c>
    </row>
    <row r="2165" spans="1:16" ht="49.75" x14ac:dyDescent="0.3">
      <c r="A2165" s="6" t="str">
        <f>HYPERLINK("https://www.ti.com/product/TPS50601A-SP", "TPS50601A-SP")</f>
        <v>TPS50601A-SP</v>
      </c>
      <c r="B2165" s="5" t="s">
        <v>19473</v>
      </c>
      <c r="C2165" s="6" t="str">
        <f>HYPERLINK("https://www.ti.com/lit/gpn/TPS50601A-SP", "PDF")</f>
        <v>PDF</v>
      </c>
      <c r="D2165" s="5" t="s">
        <v>19474</v>
      </c>
      <c r="E2165" s="5" t="s">
        <v>19475</v>
      </c>
      <c r="F2165" s="5" t="s">
        <v>19476</v>
      </c>
      <c r="G2165" s="5" t="s">
        <v>19477</v>
      </c>
      <c r="H2165" s="1" t="s">
        <v>19478</v>
      </c>
      <c r="I2165" s="5" t="s">
        <v>19479</v>
      </c>
      <c r="J2165" s="7" t="s">
        <v>19480</v>
      </c>
      <c r="K2165" s="7" t="s">
        <v>19481</v>
      </c>
      <c r="L2165" s="5" t="s">
        <v>19482</v>
      </c>
      <c r="M2165" s="7" t="s">
        <v>19483</v>
      </c>
      <c r="N2165" s="7" t="s">
        <v>19484</v>
      </c>
      <c r="O2165" s="7">
        <v>2761.4319999999998</v>
      </c>
      <c r="P2165" s="1" t="s">
        <v>19485</v>
      </c>
    </row>
    <row r="2166" spans="1:16" ht="33.4" x14ac:dyDescent="0.3">
      <c r="A2166" s="6" t="str">
        <f>HYPERLINK("https://www.ti.com/product/TPS61098", "TPS61098")</f>
        <v>TPS61098</v>
      </c>
      <c r="B2166" s="5" t="s">
        <v>19486</v>
      </c>
      <c r="C2166" s="6" t="str">
        <f>HYPERLINK("https://www.ti.com/lit/gpn/TPS61098", "PDF")</f>
        <v>PDF</v>
      </c>
      <c r="D2166" s="5" t="s">
        <v>19487</v>
      </c>
      <c r="E2166" s="5" t="s">
        <v>19488</v>
      </c>
      <c r="F2166" s="5" t="s">
        <v>19489</v>
      </c>
      <c r="G2166" s="5" t="s">
        <v>19490</v>
      </c>
      <c r="H2166" s="1" t="s">
        <v>19491</v>
      </c>
      <c r="I2166" s="5" t="s">
        <v>19492</v>
      </c>
      <c r="J2166" s="7">
        <v>6</v>
      </c>
      <c r="K2166" s="7">
        <v>2.25</v>
      </c>
      <c r="L2166" s="5" t="s">
        <v>19493</v>
      </c>
      <c r="M2166" s="7">
        <v>0.8</v>
      </c>
      <c r="N2166" s="7">
        <v>0.5</v>
      </c>
      <c r="O2166" s="7">
        <v>0.55300000000000005</v>
      </c>
      <c r="P2166" s="1" t="s">
        <v>19494</v>
      </c>
    </row>
    <row r="2167" spans="1:16" ht="33.4" x14ac:dyDescent="0.3">
      <c r="A2167" s="6" t="str">
        <f>HYPERLINK("https://www.ti.com/product/TPS62745", "TPS62745")</f>
        <v>TPS62745</v>
      </c>
      <c r="B2167" s="5" t="s">
        <v>19495</v>
      </c>
      <c r="C2167" s="6" t="str">
        <f>HYPERLINK("https://www.ti.com/lit/gpn/TPS62745", "PDF")</f>
        <v>PDF</v>
      </c>
      <c r="D2167" s="5" t="s">
        <v>19496</v>
      </c>
      <c r="E2167" s="5" t="s">
        <v>19497</v>
      </c>
      <c r="F2167" s="5" t="s">
        <v>19498</v>
      </c>
      <c r="G2167" s="5" t="s">
        <v>19499</v>
      </c>
      <c r="H2167" s="1" t="s">
        <v>19500</v>
      </c>
      <c r="I2167" s="5" t="s">
        <v>19501</v>
      </c>
      <c r="J2167" s="7">
        <v>12</v>
      </c>
      <c r="K2167" s="7">
        <v>6</v>
      </c>
      <c r="L2167" s="5" t="s">
        <v>19502</v>
      </c>
      <c r="M2167" s="7">
        <v>0.8</v>
      </c>
      <c r="N2167" s="7">
        <v>0.5</v>
      </c>
      <c r="O2167" s="7">
        <v>0.57499999999999996</v>
      </c>
      <c r="P2167" s="1" t="s">
        <v>19503</v>
      </c>
    </row>
    <row r="2168" spans="1:16" ht="33.4" x14ac:dyDescent="0.3">
      <c r="A2168" s="6" t="str">
        <f>HYPERLINK("https://www.ti.com/product/TPS627451", "TPS627451")</f>
        <v>TPS627451</v>
      </c>
      <c r="B2168" s="5" t="s">
        <v>19504</v>
      </c>
      <c r="C2168" s="6" t="str">
        <f>HYPERLINK("https://www.ti.com/lit/gpn/TPS627451", "PDF")</f>
        <v>PDF</v>
      </c>
      <c r="D2168" s="5" t="s">
        <v>19505</v>
      </c>
      <c r="E2168" s="5" t="s">
        <v>19506</v>
      </c>
      <c r="F2168" s="5" t="s">
        <v>19507</v>
      </c>
      <c r="G2168" s="5" t="s">
        <v>19508</v>
      </c>
      <c r="H2168" s="1" t="s">
        <v>19509</v>
      </c>
      <c r="I2168" s="5" t="s">
        <v>19510</v>
      </c>
      <c r="J2168" s="7">
        <v>12</v>
      </c>
      <c r="K2168" s="7">
        <v>6</v>
      </c>
      <c r="L2168" s="5" t="s">
        <v>19511</v>
      </c>
      <c r="M2168" s="7">
        <v>0.8</v>
      </c>
      <c r="N2168" s="7">
        <v>0.5</v>
      </c>
      <c r="O2168" s="7">
        <v>0.57499999999999996</v>
      </c>
      <c r="P2168" s="1" t="s">
        <v>19512</v>
      </c>
    </row>
    <row r="2169" spans="1:16" ht="33.4" x14ac:dyDescent="0.3">
      <c r="A2169" s="6" t="str">
        <f>HYPERLINK("https://www.ti.com/product/LM2776", "LM2776")</f>
        <v>LM2776</v>
      </c>
      <c r="B2169" s="5" t="s">
        <v>19513</v>
      </c>
      <c r="C2169" s="6" t="str">
        <f>HYPERLINK("https://www.ti.com/lit/gpn/LM2776", "PDF")</f>
        <v>PDF</v>
      </c>
      <c r="D2169" s="5" t="s">
        <v>19514</v>
      </c>
      <c r="E2169" s="5" t="s">
        <v>19515</v>
      </c>
      <c r="F2169" s="5"/>
      <c r="G2169" s="5" t="s">
        <v>19516</v>
      </c>
      <c r="H2169" s="1" t="s">
        <v>19517</v>
      </c>
      <c r="I2169" s="5" t="s">
        <v>19518</v>
      </c>
      <c r="J2169" s="7">
        <v>6</v>
      </c>
      <c r="K2169" s="7">
        <v>8.1199999999999992</v>
      </c>
      <c r="L2169" s="5" t="s">
        <v>19519</v>
      </c>
      <c r="M2169" s="7">
        <v>1.45</v>
      </c>
      <c r="N2169" s="7">
        <v>0.95</v>
      </c>
      <c r="O2169" s="7">
        <v>0.375</v>
      </c>
      <c r="P2169" s="1" t="s">
        <v>19520</v>
      </c>
    </row>
    <row r="2170" spans="1:16" ht="33.4" x14ac:dyDescent="0.3">
      <c r="A2170" s="6" t="str">
        <f>HYPERLINK("https://www.ti.com/product/TPS62746", "TPS62746")</f>
        <v>TPS62746</v>
      </c>
      <c r="B2170" s="5" t="s">
        <v>19521</v>
      </c>
      <c r="C2170" s="6" t="str">
        <f>HYPERLINK("https://www.ti.com/lit/gpn/TPS62746", "PDF")</f>
        <v>PDF</v>
      </c>
      <c r="D2170" s="5" t="s">
        <v>19522</v>
      </c>
      <c r="E2170" s="5" t="s">
        <v>19523</v>
      </c>
      <c r="F2170" s="5" t="s">
        <v>19524</v>
      </c>
      <c r="G2170" s="5" t="s">
        <v>19525</v>
      </c>
      <c r="H2170" s="1" t="s">
        <v>19526</v>
      </c>
      <c r="I2170" s="5" t="s">
        <v>19527</v>
      </c>
      <c r="J2170" s="7">
        <v>8</v>
      </c>
      <c r="K2170" s="7">
        <v>1.8</v>
      </c>
      <c r="L2170" s="5" t="s">
        <v>19528</v>
      </c>
      <c r="M2170" s="7">
        <v>0.5</v>
      </c>
      <c r="N2170" s="7">
        <v>0.4</v>
      </c>
      <c r="O2170" s="7">
        <v>0.53200000000000003</v>
      </c>
      <c r="P2170" s="1" t="s">
        <v>19529</v>
      </c>
    </row>
    <row r="2171" spans="1:16" ht="49.75" x14ac:dyDescent="0.3">
      <c r="A2171" s="6" t="str">
        <f>HYPERLINK("https://www.ti.com/product/TPS8268120", "TPS8268120")</f>
        <v>TPS8268120</v>
      </c>
      <c r="B2171" s="5" t="s">
        <v>19530</v>
      </c>
      <c r="C2171" s="6" t="str">
        <f>HYPERLINK("https://www.ti.com/lit/gpn/TPS8268120", "PDF")</f>
        <v>PDF</v>
      </c>
      <c r="D2171" s="5" t="s">
        <v>19531</v>
      </c>
      <c r="E2171" s="5" t="s">
        <v>19532</v>
      </c>
      <c r="F2171" s="5" t="s">
        <v>19533</v>
      </c>
      <c r="G2171" s="5" t="s">
        <v>19534</v>
      </c>
      <c r="H2171" s="1" t="s">
        <v>19535</v>
      </c>
      <c r="I2171" s="5" t="s">
        <v>19536</v>
      </c>
      <c r="J2171" s="7">
        <v>9</v>
      </c>
      <c r="K2171" s="7" t="s">
        <v>19537</v>
      </c>
      <c r="L2171" s="5" t="s">
        <v>19538</v>
      </c>
      <c r="M2171" s="7" t="s">
        <v>19539</v>
      </c>
      <c r="N2171" s="7" t="s">
        <v>19540</v>
      </c>
      <c r="O2171" s="7">
        <v>1.288</v>
      </c>
      <c r="P2171" s="1" t="s">
        <v>19541</v>
      </c>
    </row>
    <row r="2172" spans="1:16" ht="49.75" x14ac:dyDescent="0.3">
      <c r="A2172" s="6" t="str">
        <f>HYPERLINK("https://www.ti.com/product/TPS8268180", "TPS8268180")</f>
        <v>TPS8268180</v>
      </c>
      <c r="B2172" s="5" t="s">
        <v>19542</v>
      </c>
      <c r="C2172" s="6" t="str">
        <f>HYPERLINK("https://www.ti.com/lit/gpn/TPS8268180", "PDF")</f>
        <v>PDF</v>
      </c>
      <c r="D2172" s="5" t="s">
        <v>19543</v>
      </c>
      <c r="E2172" s="5" t="s">
        <v>19544</v>
      </c>
      <c r="F2172" s="5" t="s">
        <v>19545</v>
      </c>
      <c r="G2172" s="5" t="s">
        <v>19546</v>
      </c>
      <c r="H2172" s="1" t="s">
        <v>19547</v>
      </c>
      <c r="I2172" s="5" t="s">
        <v>19548</v>
      </c>
      <c r="J2172" s="7">
        <v>9</v>
      </c>
      <c r="K2172" s="7" t="s">
        <v>19549</v>
      </c>
      <c r="L2172" s="5" t="s">
        <v>19550</v>
      </c>
      <c r="M2172" s="7" t="s">
        <v>19551</v>
      </c>
      <c r="N2172" s="7" t="s">
        <v>19552</v>
      </c>
      <c r="O2172" s="7">
        <v>1.288</v>
      </c>
      <c r="P2172" s="1" t="s">
        <v>19553</v>
      </c>
    </row>
    <row r="2173" spans="1:16" ht="33.4" x14ac:dyDescent="0.3">
      <c r="A2173" s="6" t="str">
        <f>HYPERLINK("https://www.ti.com/product/LV14240", "LV14240")</f>
        <v>LV14240</v>
      </c>
      <c r="B2173" s="5" t="s">
        <v>19554</v>
      </c>
      <c r="C2173" s="6" t="str">
        <f>HYPERLINK("https://www.ti.com/lit/gpn/LV14240", "PDF")</f>
        <v>PDF</v>
      </c>
      <c r="D2173" s="5" t="s">
        <v>19555</v>
      </c>
      <c r="E2173" s="5" t="s">
        <v>19556</v>
      </c>
      <c r="F2173" s="5" t="s">
        <v>19557</v>
      </c>
      <c r="G2173" s="5" t="s">
        <v>19558</v>
      </c>
      <c r="H2173" s="1" t="s">
        <v>19559</v>
      </c>
      <c r="I2173" s="5" t="s">
        <v>19560</v>
      </c>
      <c r="J2173" s="7">
        <v>8</v>
      </c>
      <c r="K2173" s="7">
        <v>29.4</v>
      </c>
      <c r="L2173" s="5" t="s">
        <v>19561</v>
      </c>
      <c r="M2173" s="7">
        <v>1.7</v>
      </c>
      <c r="N2173" s="7">
        <v>1.27</v>
      </c>
      <c r="O2173" s="7">
        <v>0.35599999999999998</v>
      </c>
      <c r="P2173" s="1" t="s">
        <v>19562</v>
      </c>
    </row>
    <row r="2174" spans="1:16" ht="33.4" x14ac:dyDescent="0.3">
      <c r="A2174" s="6" t="str">
        <f>HYPERLINK("https://www.ti.com/product/LV14340", "LV14340")</f>
        <v>LV14340</v>
      </c>
      <c r="B2174" s="5" t="s">
        <v>19563</v>
      </c>
      <c r="C2174" s="6" t="str">
        <f>HYPERLINK("https://www.ti.com/lit/gpn/LV14340", "PDF")</f>
        <v>PDF</v>
      </c>
      <c r="D2174" s="5" t="s">
        <v>19564</v>
      </c>
      <c r="E2174" s="5" t="s">
        <v>19565</v>
      </c>
      <c r="F2174" s="5" t="s">
        <v>19566</v>
      </c>
      <c r="G2174" s="5" t="s">
        <v>19567</v>
      </c>
      <c r="H2174" s="1" t="s">
        <v>19568</v>
      </c>
      <c r="I2174" s="5" t="s">
        <v>19569</v>
      </c>
      <c r="J2174" s="7">
        <v>8</v>
      </c>
      <c r="K2174" s="7">
        <v>29.4</v>
      </c>
      <c r="L2174" s="5" t="s">
        <v>19570</v>
      </c>
      <c r="M2174" s="7">
        <v>1.7</v>
      </c>
      <c r="N2174" s="7">
        <v>1.27</v>
      </c>
      <c r="O2174" s="7">
        <v>0.38</v>
      </c>
      <c r="P2174" s="1" t="s">
        <v>19571</v>
      </c>
    </row>
    <row r="2175" spans="1:16" ht="33.4" x14ac:dyDescent="0.3">
      <c r="A2175" s="6" t="str">
        <f>HYPERLINK("https://www.ti.com/product/LV14540", "LV14540")</f>
        <v>LV14540</v>
      </c>
      <c r="B2175" s="5" t="s">
        <v>19572</v>
      </c>
      <c r="C2175" s="6" t="str">
        <f>HYPERLINK("https://www.ti.com/lit/gpn/LV14540", "PDF")</f>
        <v>PDF</v>
      </c>
      <c r="D2175" s="5" t="s">
        <v>19573</v>
      </c>
      <c r="E2175" s="5" t="s">
        <v>19574</v>
      </c>
      <c r="F2175" s="5" t="s">
        <v>19575</v>
      </c>
      <c r="G2175" s="5" t="s">
        <v>19576</v>
      </c>
      <c r="H2175" s="1" t="s">
        <v>19577</v>
      </c>
      <c r="I2175" s="5" t="s">
        <v>19578</v>
      </c>
      <c r="J2175" s="7">
        <v>8</v>
      </c>
      <c r="K2175" s="7">
        <v>29.4</v>
      </c>
      <c r="L2175" s="5" t="s">
        <v>19579</v>
      </c>
      <c r="M2175" s="7">
        <v>1.7</v>
      </c>
      <c r="N2175" s="7">
        <v>1.27</v>
      </c>
      <c r="O2175" s="7">
        <v>0.46300000000000002</v>
      </c>
      <c r="P2175" s="1" t="s">
        <v>19580</v>
      </c>
    </row>
    <row r="2176" spans="1:16" ht="33.4" x14ac:dyDescent="0.3">
      <c r="A2176" s="6" t="str">
        <f>HYPERLINK("https://www.ti.com/product/TPS610981", "TPS610981")</f>
        <v>TPS610981</v>
      </c>
      <c r="B2176" s="5" t="s">
        <v>19581</v>
      </c>
      <c r="C2176" s="6" t="str">
        <f>HYPERLINK("https://www.ti.com/lit/gpn/TPS610981", "PDF")</f>
        <v>PDF</v>
      </c>
      <c r="D2176" s="5" t="s">
        <v>19582</v>
      </c>
      <c r="E2176" s="5" t="s">
        <v>19583</v>
      </c>
      <c r="F2176" s="5" t="s">
        <v>19584</v>
      </c>
      <c r="G2176" s="5" t="s">
        <v>19585</v>
      </c>
      <c r="H2176" s="1" t="s">
        <v>19586</v>
      </c>
      <c r="I2176" s="5" t="s">
        <v>19587</v>
      </c>
      <c r="J2176" s="7">
        <v>6</v>
      </c>
      <c r="K2176" s="7">
        <v>2.25</v>
      </c>
      <c r="L2176" s="5" t="s">
        <v>19588</v>
      </c>
      <c r="M2176" s="7">
        <v>0.8</v>
      </c>
      <c r="N2176" s="7">
        <v>0.5</v>
      </c>
      <c r="O2176" s="7">
        <v>0.55300000000000005</v>
      </c>
      <c r="P2176" s="1" t="s">
        <v>19589</v>
      </c>
    </row>
    <row r="2177" spans="1:16" ht="33.4" x14ac:dyDescent="0.3">
      <c r="A2177" s="6" t="str">
        <f>HYPERLINK("https://www.ti.com/product/CSD18542KCS", "CSD18542KCS")</f>
        <v>CSD18542KCS</v>
      </c>
      <c r="B2177" s="5" t="s">
        <v>19590</v>
      </c>
      <c r="C2177" s="6" t="str">
        <f>HYPERLINK("https://www.ti.com/lit/gpn/CSD18542KCS", "PDF")</f>
        <v>PDF</v>
      </c>
      <c r="D2177" s="5" t="s">
        <v>19591</v>
      </c>
      <c r="E2177" s="5" t="s">
        <v>19592</v>
      </c>
      <c r="F2177" s="5"/>
      <c r="G2177" s="5" t="s">
        <v>19593</v>
      </c>
      <c r="H2177" s="1" t="s">
        <v>19594</v>
      </c>
      <c r="I2177" s="5" t="s">
        <v>19595</v>
      </c>
      <c r="J2177" s="7">
        <v>3</v>
      </c>
      <c r="K2177" s="7">
        <v>46.228000000000002</v>
      </c>
      <c r="L2177" s="5" t="s">
        <v>19596</v>
      </c>
      <c r="M2177" s="7">
        <v>4.7</v>
      </c>
      <c r="N2177" s="7">
        <v>2.54</v>
      </c>
      <c r="O2177" s="7">
        <v>0.7</v>
      </c>
      <c r="P2177" s="1" t="s">
        <v>19597</v>
      </c>
    </row>
    <row r="2178" spans="1:16" ht="33.4" x14ac:dyDescent="0.3">
      <c r="A2178" s="6" t="str">
        <f>HYPERLINK("https://www.ti.com/product/ISO5851", "ISO5851")</f>
        <v>ISO5851</v>
      </c>
      <c r="B2178" s="5" t="s">
        <v>19598</v>
      </c>
      <c r="C2178" s="6" t="str">
        <f>HYPERLINK("https://www.ti.com/lit/gpn/ISO5851", "PDF")</f>
        <v>PDF</v>
      </c>
      <c r="D2178" s="5" t="s">
        <v>19599</v>
      </c>
      <c r="E2178" s="5" t="s">
        <v>19600</v>
      </c>
      <c r="F2178" s="5"/>
      <c r="G2178" s="5" t="s">
        <v>19601</v>
      </c>
      <c r="H2178" s="1" t="s">
        <v>19602</v>
      </c>
      <c r="I2178" s="5" t="s">
        <v>19603</v>
      </c>
      <c r="J2178" s="7">
        <v>16</v>
      </c>
      <c r="K2178" s="7">
        <v>106.09</v>
      </c>
      <c r="L2178" s="5" t="s">
        <v>19604</v>
      </c>
      <c r="M2178" s="7">
        <v>2.65</v>
      </c>
      <c r="N2178" s="7">
        <v>1.27</v>
      </c>
      <c r="O2178" s="7">
        <v>2.617</v>
      </c>
      <c r="P2178" s="1" t="s">
        <v>19605</v>
      </c>
    </row>
    <row r="2179" spans="1:16" ht="33.4" x14ac:dyDescent="0.3">
      <c r="A2179" s="6" t="str">
        <f>HYPERLINK("https://www.ti.com/product/TPS62743", "TPS62743")</f>
        <v>TPS62743</v>
      </c>
      <c r="B2179" s="5" t="s">
        <v>19606</v>
      </c>
      <c r="C2179" s="6" t="str">
        <f>HYPERLINK("https://www.ti.com/lit/gpn/TPS62743", "PDF")</f>
        <v>PDF</v>
      </c>
      <c r="D2179" s="5" t="s">
        <v>19607</v>
      </c>
      <c r="E2179" s="5" t="s">
        <v>19608</v>
      </c>
      <c r="F2179" s="5" t="s">
        <v>19609</v>
      </c>
      <c r="G2179" s="5" t="s">
        <v>19610</v>
      </c>
      <c r="H2179" s="1" t="s">
        <v>19611</v>
      </c>
      <c r="I2179" s="5" t="s">
        <v>19612</v>
      </c>
      <c r="J2179" s="7">
        <v>8</v>
      </c>
      <c r="K2179" s="7">
        <v>1.8</v>
      </c>
      <c r="L2179" s="5" t="s">
        <v>19613</v>
      </c>
      <c r="M2179" s="7">
        <v>0.5</v>
      </c>
      <c r="N2179" s="7">
        <v>0.4</v>
      </c>
      <c r="O2179" s="7">
        <v>0.53200000000000003</v>
      </c>
      <c r="P2179" s="1" t="s">
        <v>19614</v>
      </c>
    </row>
    <row r="2180" spans="1:16" ht="33.4" x14ac:dyDescent="0.3">
      <c r="A2180" s="6" t="str">
        <f>HYPERLINK("https://www.ti.com/product/TPS53647", "TPS53647")</f>
        <v>TPS53647</v>
      </c>
      <c r="B2180" s="5" t="s">
        <v>19615</v>
      </c>
      <c r="C2180" s="6" t="str">
        <f>HYPERLINK("https://www.ti.com/lit/gpn/TPS53647", "PDF")</f>
        <v>PDF</v>
      </c>
      <c r="D2180" s="5" t="s">
        <v>19616</v>
      </c>
      <c r="E2180" s="5" t="s">
        <v>19617</v>
      </c>
      <c r="F2180" s="5" t="s">
        <v>19618</v>
      </c>
      <c r="G2180" s="5" t="s">
        <v>19619</v>
      </c>
      <c r="H2180" s="1" t="s">
        <v>19620</v>
      </c>
      <c r="I2180" s="5" t="s">
        <v>19621</v>
      </c>
      <c r="J2180" s="7">
        <v>40</v>
      </c>
      <c r="K2180" s="7">
        <v>36</v>
      </c>
      <c r="L2180" s="5" t="s">
        <v>19622</v>
      </c>
      <c r="M2180" s="7">
        <v>0.8</v>
      </c>
      <c r="N2180" s="7">
        <v>0.5</v>
      </c>
      <c r="O2180" s="7">
        <v>2.6520000000000001</v>
      </c>
      <c r="P2180" s="1" t="s">
        <v>19623</v>
      </c>
    </row>
    <row r="2181" spans="1:16" ht="33.4" x14ac:dyDescent="0.3">
      <c r="A2181" s="6" t="str">
        <f>HYPERLINK("https://www.ti.com/product/TLV713P-Q1", "TLV713P-Q1")</f>
        <v>TLV713P-Q1</v>
      </c>
      <c r="B2181" s="5" t="s">
        <v>19624</v>
      </c>
      <c r="C2181" s="6" t="str">
        <f>HYPERLINK("https://www.ti.com/lit/gpn/TLV713P-Q1", "PDF")</f>
        <v>PDF</v>
      </c>
      <c r="D2181" s="5" t="s">
        <v>19625</v>
      </c>
      <c r="E2181" s="5" t="s">
        <v>19626</v>
      </c>
      <c r="F2181" s="5"/>
      <c r="G2181" s="5" t="s">
        <v>19627</v>
      </c>
      <c r="H2181" s="1" t="s">
        <v>19628</v>
      </c>
      <c r="I2181" s="5" t="s">
        <v>19629</v>
      </c>
      <c r="J2181" s="7">
        <v>5</v>
      </c>
      <c r="K2181" s="7">
        <v>8.1199999999999992</v>
      </c>
      <c r="L2181" s="5" t="s">
        <v>19630</v>
      </c>
      <c r="M2181" s="7">
        <v>1.45</v>
      </c>
      <c r="N2181" s="7">
        <v>0.95</v>
      </c>
      <c r="O2181" s="7">
        <v>0.13100000000000001</v>
      </c>
      <c r="P2181" s="1" t="s">
        <v>19631</v>
      </c>
    </row>
    <row r="2182" spans="1:16" ht="33.4" x14ac:dyDescent="0.3">
      <c r="A2182" s="6" t="str">
        <f>HYPERLINK("https://www.ti.com/product/TPS3779", "TPS3779")</f>
        <v>TPS3779</v>
      </c>
      <c r="B2182" s="5" t="s">
        <v>19632</v>
      </c>
      <c r="C2182" s="6" t="str">
        <f>HYPERLINK("https://www.ti.com/lit/gpn/TPS3779", "PDF")</f>
        <v>PDF</v>
      </c>
      <c r="D2182" s="5" t="s">
        <v>19633</v>
      </c>
      <c r="E2182" s="5" t="s">
        <v>19634</v>
      </c>
      <c r="F2182" s="5"/>
      <c r="G2182" s="5" t="s">
        <v>19635</v>
      </c>
      <c r="H2182" s="1" t="s">
        <v>19636</v>
      </c>
      <c r="I2182" s="5" t="s">
        <v>19637</v>
      </c>
      <c r="J2182" s="7">
        <v>6</v>
      </c>
      <c r="K2182" s="7" t="s">
        <v>19638</v>
      </c>
      <c r="L2182" s="5" t="s">
        <v>19639</v>
      </c>
      <c r="M2182" s="7" t="s">
        <v>19640</v>
      </c>
      <c r="N2182" s="7" t="s">
        <v>19641</v>
      </c>
      <c r="O2182" s="7">
        <v>0.65100000000000002</v>
      </c>
      <c r="P2182" s="1" t="s">
        <v>19642</v>
      </c>
    </row>
    <row r="2183" spans="1:16" ht="33.4" x14ac:dyDescent="0.3">
      <c r="A2183" s="6" t="str">
        <f>HYPERLINK("https://www.ti.com/product/TPS51275B-1", "TPS51275B-1")</f>
        <v>TPS51275B-1</v>
      </c>
      <c r="B2183" s="5" t="s">
        <v>19643</v>
      </c>
      <c r="C2183" s="6" t="str">
        <f>HYPERLINK("https://www.ti.com/lit/gpn/TPS51275B-1", "PDF")</f>
        <v>PDF</v>
      </c>
      <c r="D2183" s="5" t="s">
        <v>19644</v>
      </c>
      <c r="E2183" s="5" t="s">
        <v>19645</v>
      </c>
      <c r="F2183" s="5" t="s">
        <v>19646</v>
      </c>
      <c r="G2183" s="5" t="s">
        <v>19647</v>
      </c>
      <c r="H2183" s="1" t="s">
        <v>19648</v>
      </c>
      <c r="I2183" s="5" t="s">
        <v>19649</v>
      </c>
      <c r="J2183" s="7">
        <v>20</v>
      </c>
      <c r="K2183" s="7">
        <v>9</v>
      </c>
      <c r="L2183" s="5" t="s">
        <v>19650</v>
      </c>
      <c r="M2183" s="7">
        <v>0.8</v>
      </c>
      <c r="N2183" s="7">
        <v>0.4</v>
      </c>
      <c r="O2183" s="7">
        <v>0.224</v>
      </c>
      <c r="P2183" s="1" t="s">
        <v>19651</v>
      </c>
    </row>
    <row r="2184" spans="1:16" ht="33.4" x14ac:dyDescent="0.3">
      <c r="A2184" s="6" t="str">
        <f>HYPERLINK("https://www.ti.com/product/TPS54334", "TPS54334")</f>
        <v>TPS54334</v>
      </c>
      <c r="B2184" s="5" t="s">
        <v>19652</v>
      </c>
      <c r="C2184" s="6" t="str">
        <f>HYPERLINK("https://www.ti.com/lit/gpn/TPS54334", "PDF")</f>
        <v>PDF</v>
      </c>
      <c r="D2184" s="5" t="s">
        <v>19653</v>
      </c>
      <c r="E2184" s="5" t="s">
        <v>19654</v>
      </c>
      <c r="F2184" s="5" t="s">
        <v>19655</v>
      </c>
      <c r="G2184" s="5" t="s">
        <v>19656</v>
      </c>
      <c r="H2184" s="1" t="s">
        <v>19657</v>
      </c>
      <c r="I2184" s="5" t="s">
        <v>19658</v>
      </c>
      <c r="J2184" s="7" t="s">
        <v>19659</v>
      </c>
      <c r="K2184" s="7" t="s">
        <v>19660</v>
      </c>
      <c r="L2184" s="5" t="s">
        <v>19661</v>
      </c>
      <c r="M2184" s="7" t="s">
        <v>19662</v>
      </c>
      <c r="N2184" s="7" t="s">
        <v>19663</v>
      </c>
      <c r="O2184" s="7">
        <v>0.748</v>
      </c>
      <c r="P2184" s="1" t="s">
        <v>19664</v>
      </c>
    </row>
    <row r="2185" spans="1:16" ht="33.4" x14ac:dyDescent="0.3">
      <c r="A2185" s="6" t="str">
        <f>HYPERLINK("https://www.ti.com/product/TPS65917-Q1", "TPS65917-Q1")</f>
        <v>TPS65917-Q1</v>
      </c>
      <c r="B2185" s="5" t="s">
        <v>19665</v>
      </c>
      <c r="C2185" s="6" t="str">
        <f>HYPERLINK("https://www.ti.com/lit/gpn/TPS65917-Q1", "PDF")</f>
        <v>PDF</v>
      </c>
      <c r="D2185" s="5" t="s">
        <v>19666</v>
      </c>
      <c r="E2185" s="5" t="s">
        <v>19667</v>
      </c>
      <c r="F2185" s="5"/>
      <c r="G2185" s="5" t="s">
        <v>19668</v>
      </c>
      <c r="H2185" s="1" t="s">
        <v>19669</v>
      </c>
      <c r="I2185" s="5" t="s">
        <v>19670</v>
      </c>
      <c r="J2185" s="7">
        <v>48</v>
      </c>
      <c r="K2185" s="7">
        <v>49</v>
      </c>
      <c r="L2185" s="5" t="s">
        <v>19671</v>
      </c>
      <c r="M2185" s="7">
        <v>1</v>
      </c>
      <c r="N2185" s="7">
        <v>0.5</v>
      </c>
      <c r="O2185" s="7">
        <v>4.9660000000000002</v>
      </c>
      <c r="P2185" s="1" t="s">
        <v>19672</v>
      </c>
    </row>
    <row r="2186" spans="1:16" ht="33.4" x14ac:dyDescent="0.3">
      <c r="A2186" s="6" t="str">
        <f>HYPERLINK("https://www.ti.com/product/LM2775", "LM2775")</f>
        <v>LM2775</v>
      </c>
      <c r="B2186" s="5" t="s">
        <v>19673</v>
      </c>
      <c r="C2186" s="6" t="str">
        <f>HYPERLINK("https://www.ti.com/lit/gpn/LM2775", "PDF")</f>
        <v>PDF</v>
      </c>
      <c r="D2186" s="5" t="s">
        <v>19674</v>
      </c>
      <c r="E2186" s="5" t="s">
        <v>19675</v>
      </c>
      <c r="F2186" s="5"/>
      <c r="G2186" s="5" t="s">
        <v>19676</v>
      </c>
      <c r="H2186" s="1" t="s">
        <v>19677</v>
      </c>
      <c r="I2186" s="5" t="s">
        <v>19678</v>
      </c>
      <c r="J2186" s="7">
        <v>8</v>
      </c>
      <c r="K2186" s="7">
        <v>4</v>
      </c>
      <c r="L2186" s="5" t="s">
        <v>19679</v>
      </c>
      <c r="M2186" s="7">
        <v>0.8</v>
      </c>
      <c r="N2186" s="7">
        <v>0.5</v>
      </c>
      <c r="O2186" s="7">
        <v>0.626</v>
      </c>
      <c r="P2186" s="1" t="s">
        <v>19680</v>
      </c>
    </row>
    <row r="2187" spans="1:16" ht="33.4" x14ac:dyDescent="0.3">
      <c r="A2187" s="6" t="str">
        <f>HYPERLINK("https://www.ti.com/product/UCC27201A-Q1", "UCC27201A-Q1")</f>
        <v>UCC27201A-Q1</v>
      </c>
      <c r="B2187" s="5" t="s">
        <v>19681</v>
      </c>
      <c r="C2187" s="6" t="str">
        <f>HYPERLINK("https://www.ti.com/lit/gpn/UCC27201A-Q1", "PDF")</f>
        <v>PDF</v>
      </c>
      <c r="D2187" s="5" t="s">
        <v>19682</v>
      </c>
      <c r="E2187" s="5" t="s">
        <v>19683</v>
      </c>
      <c r="F2187" s="5"/>
      <c r="G2187" s="5" t="s">
        <v>19684</v>
      </c>
      <c r="H2187" s="1" t="s">
        <v>19685</v>
      </c>
      <c r="I2187" s="5" t="s">
        <v>19686</v>
      </c>
      <c r="J2187" s="7" t="s">
        <v>19687</v>
      </c>
      <c r="K2187" s="7" t="s">
        <v>19688</v>
      </c>
      <c r="L2187" s="5" t="s">
        <v>19689</v>
      </c>
      <c r="M2187" s="7" t="s">
        <v>19690</v>
      </c>
      <c r="N2187" s="7" t="s">
        <v>19691</v>
      </c>
      <c r="O2187" s="7">
        <v>1.2090000000000001</v>
      </c>
      <c r="P2187" s="1" t="s">
        <v>19692</v>
      </c>
    </row>
    <row r="2188" spans="1:16" ht="33.4" x14ac:dyDescent="0.3">
      <c r="A2188" s="6" t="str">
        <f>HYPERLINK("https://www.ti.com/product/TPS22953", "TPS22953")</f>
        <v>TPS22953</v>
      </c>
      <c r="B2188" s="5" t="s">
        <v>19693</v>
      </c>
      <c r="C2188" s="6" t="str">
        <f>HYPERLINK("https://www.ti.com/lit/gpn/TPS22953", "PDF")</f>
        <v>PDF</v>
      </c>
      <c r="D2188" s="5" t="s">
        <v>19694</v>
      </c>
      <c r="E2188" s="5" t="s">
        <v>19695</v>
      </c>
      <c r="F2188" s="5"/>
      <c r="G2188" s="5" t="s">
        <v>19696</v>
      </c>
      <c r="H2188" s="1" t="s">
        <v>19697</v>
      </c>
      <c r="I2188" s="5" t="s">
        <v>19698</v>
      </c>
      <c r="J2188" s="7">
        <v>10</v>
      </c>
      <c r="K2188" s="7" t="s">
        <v>19699</v>
      </c>
      <c r="L2188" s="5" t="s">
        <v>19700</v>
      </c>
      <c r="M2188" s="7">
        <v>0.8</v>
      </c>
      <c r="N2188" s="7" t="s">
        <v>19701</v>
      </c>
      <c r="O2188" s="7">
        <v>0.24199999999999999</v>
      </c>
      <c r="P2188" s="1" t="s">
        <v>19702</v>
      </c>
    </row>
    <row r="2189" spans="1:16" ht="33.4" x14ac:dyDescent="0.3">
      <c r="A2189" s="6" t="str">
        <f>HYPERLINK("https://www.ti.com/product/TPS544B25", "TPS544B25")</f>
        <v>TPS544B25</v>
      </c>
      <c r="B2189" s="5" t="s">
        <v>19703</v>
      </c>
      <c r="C2189" s="6" t="str">
        <f>HYPERLINK("https://www.ti.com/lit/gpn/TPS544B25", "PDF")</f>
        <v>PDF</v>
      </c>
      <c r="D2189" s="5" t="s">
        <v>19704</v>
      </c>
      <c r="E2189" s="5" t="s">
        <v>19705</v>
      </c>
      <c r="F2189" s="5" t="s">
        <v>19706</v>
      </c>
      <c r="G2189" s="5" t="s">
        <v>19707</v>
      </c>
      <c r="H2189" s="1" t="s">
        <v>19708</v>
      </c>
      <c r="I2189" s="5" t="s">
        <v>19709</v>
      </c>
      <c r="J2189" s="7">
        <v>40</v>
      </c>
      <c r="K2189" s="7">
        <v>35</v>
      </c>
      <c r="L2189" s="5" t="s">
        <v>19710</v>
      </c>
      <c r="M2189" s="7">
        <v>1.52</v>
      </c>
      <c r="N2189" s="7">
        <v>0.5</v>
      </c>
      <c r="O2189" s="7">
        <v>4.3849999999999998</v>
      </c>
      <c r="P2189" s="1" t="s">
        <v>19711</v>
      </c>
    </row>
    <row r="2190" spans="1:16" ht="33.4" x14ac:dyDescent="0.3">
      <c r="A2190" s="6" t="str">
        <f>HYPERLINK("https://www.ti.com/product/TPS7B7702-Q1", "TPS7B7702-Q1")</f>
        <v>TPS7B7702-Q1</v>
      </c>
      <c r="B2190" s="5" t="s">
        <v>19712</v>
      </c>
      <c r="C2190" s="6" t="str">
        <f>HYPERLINK("https://www.ti.com/lit/gpn/TPS7B7702-Q1", "PDF")</f>
        <v>PDF</v>
      </c>
      <c r="D2190" s="5" t="s">
        <v>19713</v>
      </c>
      <c r="E2190" s="5" t="s">
        <v>19714</v>
      </c>
      <c r="F2190" s="5"/>
      <c r="G2190" s="5" t="s">
        <v>19715</v>
      </c>
      <c r="H2190" s="1" t="s">
        <v>19716</v>
      </c>
      <c r="I2190" s="5" t="s">
        <v>19717</v>
      </c>
      <c r="J2190" s="7">
        <v>16</v>
      </c>
      <c r="K2190" s="7">
        <v>32</v>
      </c>
      <c r="L2190" s="5" t="s">
        <v>19718</v>
      </c>
      <c r="M2190" s="7">
        <v>1.2</v>
      </c>
      <c r="N2190" s="7">
        <v>0.65</v>
      </c>
      <c r="O2190" s="7">
        <v>1.379</v>
      </c>
      <c r="P2190" s="1" t="s">
        <v>19719</v>
      </c>
    </row>
    <row r="2191" spans="1:16" ht="33.4" x14ac:dyDescent="0.3">
      <c r="A2191" s="6" t="str">
        <f>HYPERLINK("https://www.ti.com/product/TPS25944A", "TPS25944A")</f>
        <v>TPS25944A</v>
      </c>
      <c r="B2191" s="5" t="s">
        <v>19720</v>
      </c>
      <c r="C2191" s="6" t="str">
        <f>HYPERLINK("https://www.ti.com/lit/gpn/TPS25944A", "PDF")</f>
        <v>PDF</v>
      </c>
      <c r="D2191" s="5" t="s">
        <v>19721</v>
      </c>
      <c r="E2191" s="5" t="s">
        <v>19722</v>
      </c>
      <c r="F2191" s="5"/>
      <c r="G2191" s="5" t="s">
        <v>19723</v>
      </c>
      <c r="H2191" s="1" t="s">
        <v>19724</v>
      </c>
      <c r="I2191" s="5" t="s">
        <v>19725</v>
      </c>
      <c r="J2191" s="7">
        <v>20</v>
      </c>
      <c r="K2191" s="7">
        <v>12</v>
      </c>
      <c r="L2191" s="5" t="s">
        <v>19726</v>
      </c>
      <c r="M2191" s="7">
        <v>0.8</v>
      </c>
      <c r="N2191" s="7">
        <v>0.5</v>
      </c>
      <c r="O2191" s="7">
        <v>0.94299999999999995</v>
      </c>
      <c r="P2191" s="1" t="s">
        <v>19727</v>
      </c>
    </row>
    <row r="2192" spans="1:16" ht="17.05" x14ac:dyDescent="0.3">
      <c r="A2192" s="6" t="str">
        <f>HYPERLINK("https://www.ti.com/product/TPS25944L", "TPS25944L")</f>
        <v>TPS25944L</v>
      </c>
      <c r="B2192" s="5" t="s">
        <v>19728</v>
      </c>
      <c r="C2192" s="6" t="str">
        <f>HYPERLINK("https://www.ti.com/lit/gpn/TPS25944L", "PDF")</f>
        <v>PDF</v>
      </c>
      <c r="D2192" s="5" t="s">
        <v>19729</v>
      </c>
      <c r="E2192" s="5" t="s">
        <v>19730</v>
      </c>
      <c r="F2192" s="5"/>
      <c r="G2192" s="5" t="s">
        <v>19731</v>
      </c>
      <c r="H2192" s="1" t="s">
        <v>19732</v>
      </c>
      <c r="I2192" s="5" t="s">
        <v>19733</v>
      </c>
      <c r="J2192" s="7">
        <v>20</v>
      </c>
      <c r="K2192" s="7">
        <v>12</v>
      </c>
      <c r="L2192" s="5" t="s">
        <v>19734</v>
      </c>
      <c r="M2192" s="7">
        <v>0.8</v>
      </c>
      <c r="N2192" s="7">
        <v>0.5</v>
      </c>
      <c r="O2192" s="7">
        <v>0.94299999999999995</v>
      </c>
      <c r="P2192" s="1" t="s">
        <v>19735</v>
      </c>
    </row>
    <row r="2193" spans="1:16" ht="33.4" x14ac:dyDescent="0.3">
      <c r="A2193" s="6" t="str">
        <f>HYPERLINK("https://www.ti.com/product/HD3SS3212", "HD3SS3212")</f>
        <v>HD3SS3212</v>
      </c>
      <c r="B2193" s="5" t="s">
        <v>19736</v>
      </c>
      <c r="C2193" s="6" t="str">
        <f>HYPERLINK("https://www.ti.com/lit/gpn/HD3SS3212", "PDF")</f>
        <v>PDF</v>
      </c>
      <c r="D2193" s="5" t="s">
        <v>19737</v>
      </c>
      <c r="E2193" s="5" t="s">
        <v>19738</v>
      </c>
      <c r="F2193" s="5"/>
      <c r="G2193" s="5" t="s">
        <v>19739</v>
      </c>
      <c r="H2193" s="1" t="s">
        <v>19740</v>
      </c>
      <c r="I2193" s="5" t="s">
        <v>19741</v>
      </c>
      <c r="J2193" s="7">
        <v>20</v>
      </c>
      <c r="K2193" s="7">
        <v>11.25</v>
      </c>
      <c r="L2193" s="5" t="s">
        <v>19742</v>
      </c>
      <c r="M2193" s="7">
        <v>1</v>
      </c>
      <c r="N2193" s="7">
        <v>0.5</v>
      </c>
      <c r="O2193" s="7">
        <v>0.79700000000000004</v>
      </c>
      <c r="P2193" s="1" t="s">
        <v>19743</v>
      </c>
    </row>
    <row r="2194" spans="1:16" ht="33.4" x14ac:dyDescent="0.3">
      <c r="A2194" s="6" t="str">
        <f>HYPERLINK("https://www.ti.com/product/TPS544C25", "TPS544C25")</f>
        <v>TPS544C25</v>
      </c>
      <c r="B2194" s="5" t="s">
        <v>19744</v>
      </c>
      <c r="C2194" s="6" t="str">
        <f>HYPERLINK("https://www.ti.com/lit/gpn/TPS544C25", "PDF")</f>
        <v>PDF</v>
      </c>
      <c r="D2194" s="5" t="s">
        <v>19745</v>
      </c>
      <c r="E2194" s="5" t="s">
        <v>19746</v>
      </c>
      <c r="F2194" s="5" t="s">
        <v>19747</v>
      </c>
      <c r="G2194" s="5" t="s">
        <v>19748</v>
      </c>
      <c r="H2194" s="1" t="s">
        <v>19749</v>
      </c>
      <c r="I2194" s="5" t="s">
        <v>19750</v>
      </c>
      <c r="J2194" s="7">
        <v>40</v>
      </c>
      <c r="K2194" s="7">
        <v>35</v>
      </c>
      <c r="L2194" s="5" t="s">
        <v>19751</v>
      </c>
      <c r="M2194" s="7">
        <v>1.52</v>
      </c>
      <c r="N2194" s="7">
        <v>0.5</v>
      </c>
      <c r="O2194" s="7">
        <v>4.5540000000000003</v>
      </c>
      <c r="P2194" s="1" t="s">
        <v>19752</v>
      </c>
    </row>
    <row r="2195" spans="1:16" ht="33.4" x14ac:dyDescent="0.3">
      <c r="A2195" s="6" t="str">
        <f>HYPERLINK("https://www.ti.com/product/UCD7138", "UCD7138")</f>
        <v>UCD7138</v>
      </c>
      <c r="B2195" s="5" t="s">
        <v>19753</v>
      </c>
      <c r="C2195" s="6" t="str">
        <f>HYPERLINK("https://www.ti.com/lit/gpn/UCD7138", "PDF")</f>
        <v>PDF</v>
      </c>
      <c r="D2195" s="5" t="s">
        <v>19754</v>
      </c>
      <c r="E2195" s="5" t="s">
        <v>19755</v>
      </c>
      <c r="F2195" s="5" t="s">
        <v>19756</v>
      </c>
      <c r="G2195" s="5" t="s">
        <v>19757</v>
      </c>
      <c r="H2195" s="1" t="s">
        <v>19758</v>
      </c>
      <c r="I2195" s="5" t="s">
        <v>19759</v>
      </c>
      <c r="J2195" s="7">
        <v>6</v>
      </c>
      <c r="K2195" s="7">
        <v>9</v>
      </c>
      <c r="L2195" s="5" t="s">
        <v>19760</v>
      </c>
      <c r="M2195" s="7">
        <v>0.8</v>
      </c>
      <c r="N2195" s="7">
        <v>0.95</v>
      </c>
      <c r="O2195" s="7">
        <v>0.83499999999999996</v>
      </c>
      <c r="P2195" s="1" t="s">
        <v>19761</v>
      </c>
    </row>
    <row r="2196" spans="1:16" ht="49.75" x14ac:dyDescent="0.3">
      <c r="A2196" s="6" t="str">
        <f>HYPERLINK("https://www.ti.com/product/LM36922", "LM36922")</f>
        <v>LM36922</v>
      </c>
      <c r="B2196" s="5" t="s">
        <v>19762</v>
      </c>
      <c r="C2196" s="6" t="str">
        <f>HYPERLINK("https://www.ti.com/lit/gpn/LM36922", "PDF")</f>
        <v>PDF</v>
      </c>
      <c r="D2196" s="5" t="s">
        <v>19763</v>
      </c>
      <c r="E2196" s="5" t="s">
        <v>19764</v>
      </c>
      <c r="F2196" s="5" t="s">
        <v>19765</v>
      </c>
      <c r="G2196" s="5" t="s">
        <v>19766</v>
      </c>
      <c r="H2196" s="1" t="s">
        <v>19767</v>
      </c>
      <c r="I2196" s="5" t="s">
        <v>19768</v>
      </c>
      <c r="J2196" s="7">
        <v>12</v>
      </c>
      <c r="K2196" s="7">
        <v>2.52</v>
      </c>
      <c r="L2196" s="5" t="s">
        <v>19769</v>
      </c>
      <c r="M2196" s="7">
        <v>0.625</v>
      </c>
      <c r="N2196" s="7">
        <v>0.4</v>
      </c>
      <c r="O2196" s="7">
        <v>0.376</v>
      </c>
      <c r="P2196" s="1" t="s">
        <v>19770</v>
      </c>
    </row>
    <row r="2197" spans="1:16" ht="33.4" x14ac:dyDescent="0.3">
      <c r="A2197" s="6" t="str">
        <f>HYPERLINK("https://www.ti.com/product/TPS3702-Q1", "TPS3702-Q1")</f>
        <v>TPS3702-Q1</v>
      </c>
      <c r="B2197" s="5" t="s">
        <v>19771</v>
      </c>
      <c r="C2197" s="6" t="str">
        <f>HYPERLINK("https://www.ti.com/lit/gpn/TPS3702-Q1", "PDF")</f>
        <v>PDF</v>
      </c>
      <c r="D2197" s="5" t="s">
        <v>19772</v>
      </c>
      <c r="E2197" s="5" t="s">
        <v>19773</v>
      </c>
      <c r="F2197" s="5"/>
      <c r="G2197" s="5" t="s">
        <v>19774</v>
      </c>
      <c r="H2197" s="1" t="s">
        <v>19775</v>
      </c>
      <c r="I2197" s="5" t="s">
        <v>19776</v>
      </c>
      <c r="J2197" s="7">
        <v>6</v>
      </c>
      <c r="K2197" s="7">
        <v>8.1199999999999992</v>
      </c>
      <c r="L2197" s="5" t="s">
        <v>19777</v>
      </c>
      <c r="M2197" s="7">
        <v>1.1000000000000001</v>
      </c>
      <c r="N2197" s="7">
        <v>0.95</v>
      </c>
      <c r="O2197" s="7">
        <v>1.0489999999999999</v>
      </c>
      <c r="P2197" s="1" t="s">
        <v>19778</v>
      </c>
    </row>
    <row r="2198" spans="1:16" ht="33.4" x14ac:dyDescent="0.3">
      <c r="A2198" s="6" t="str">
        <f>HYPERLINK("https://www.ti.com/product/CSD17484F4", "CSD17484F4")</f>
        <v>CSD17484F4</v>
      </c>
      <c r="B2198" s="5" t="s">
        <v>19779</v>
      </c>
      <c r="C2198" s="6" t="str">
        <f>HYPERLINK("https://www.ti.com/lit/gpn/CSD17484F4", "PDF")</f>
        <v>PDF</v>
      </c>
      <c r="D2198" s="5" t="s">
        <v>19780</v>
      </c>
      <c r="E2198" s="5" t="s">
        <v>19781</v>
      </c>
      <c r="F2198" s="5"/>
      <c r="G2198" s="5" t="s">
        <v>19782</v>
      </c>
      <c r="H2198" s="1" t="s">
        <v>19783</v>
      </c>
      <c r="I2198" s="5" t="s">
        <v>19784</v>
      </c>
      <c r="J2198" s="7">
        <v>3</v>
      </c>
      <c r="K2198" s="7">
        <v>0.6</v>
      </c>
      <c r="L2198" s="5" t="s">
        <v>19785</v>
      </c>
      <c r="M2198" s="7">
        <v>0.22</v>
      </c>
      <c r="N2198" s="7">
        <v>0.35</v>
      </c>
      <c r="O2198" s="7">
        <v>4.8000000000000001E-2</v>
      </c>
      <c r="P2198" s="1" t="s">
        <v>19786</v>
      </c>
    </row>
    <row r="2199" spans="1:16" ht="33.4" x14ac:dyDescent="0.3">
      <c r="A2199" s="6" t="str">
        <f>HYPERLINK("https://www.ti.com/product/CSD25484F4", "CSD25484F4")</f>
        <v>CSD25484F4</v>
      </c>
      <c r="B2199" s="5" t="s">
        <v>19787</v>
      </c>
      <c r="C2199" s="6" t="str">
        <f>HYPERLINK("https://www.ti.com/lit/gpn/CSD25484F4", "PDF")</f>
        <v>PDF</v>
      </c>
      <c r="D2199" s="5" t="s">
        <v>19788</v>
      </c>
      <c r="E2199" s="5" t="s">
        <v>19789</v>
      </c>
      <c r="F2199" s="5"/>
      <c r="G2199" s="5" t="s">
        <v>19790</v>
      </c>
      <c r="H2199" s="1" t="s">
        <v>19791</v>
      </c>
      <c r="I2199" s="5" t="s">
        <v>19792</v>
      </c>
      <c r="J2199" s="7">
        <v>3</v>
      </c>
      <c r="K2199" s="7">
        <v>0.6</v>
      </c>
      <c r="L2199" s="5" t="s">
        <v>19793</v>
      </c>
      <c r="M2199" s="7">
        <v>0.22</v>
      </c>
      <c r="N2199" s="7">
        <v>0.35</v>
      </c>
      <c r="O2199" s="7">
        <v>5.2999999999999999E-2</v>
      </c>
      <c r="P2199" s="1" t="s">
        <v>19794</v>
      </c>
    </row>
    <row r="2200" spans="1:16" ht="33.4" x14ac:dyDescent="0.3">
      <c r="A2200" s="6" t="str">
        <f>HYPERLINK("https://www.ti.com/product/TPS61088", "TPS61088")</f>
        <v>TPS61088</v>
      </c>
      <c r="B2200" s="5" t="s">
        <v>19795</v>
      </c>
      <c r="C2200" s="6" t="str">
        <f>HYPERLINK("https://www.ti.com/lit/gpn/TPS61088", "PDF")</f>
        <v>PDF</v>
      </c>
      <c r="D2200" s="5" t="s">
        <v>19796</v>
      </c>
      <c r="E2200" s="5" t="s">
        <v>19797</v>
      </c>
      <c r="F2200" s="5" t="s">
        <v>19798</v>
      </c>
      <c r="G2200" s="5" t="s">
        <v>19799</v>
      </c>
      <c r="H2200" s="1" t="s">
        <v>19800</v>
      </c>
      <c r="I2200" s="5" t="s">
        <v>19801</v>
      </c>
      <c r="J2200" s="7">
        <v>20</v>
      </c>
      <c r="K2200" s="7">
        <v>15.75</v>
      </c>
      <c r="L2200" s="5" t="s">
        <v>19802</v>
      </c>
      <c r="M2200" s="7">
        <v>1</v>
      </c>
      <c r="N2200" s="7">
        <v>0.5</v>
      </c>
      <c r="O2200" s="7">
        <v>1.01</v>
      </c>
      <c r="P2200" s="1" t="s">
        <v>19803</v>
      </c>
    </row>
    <row r="2201" spans="1:16" ht="33.4" x14ac:dyDescent="0.3">
      <c r="A2201" s="6" t="str">
        <f>HYPERLINK("https://www.ti.com/product/LM43602-Q1", "LM43602-Q1")</f>
        <v>LM43602-Q1</v>
      </c>
      <c r="B2201" s="5" t="s">
        <v>19804</v>
      </c>
      <c r="C2201" s="6" t="str">
        <f>HYPERLINK("https://www.ti.com/lit/gpn/LM43602-Q1", "PDF")</f>
        <v>PDF</v>
      </c>
      <c r="D2201" s="5" t="s">
        <v>19805</v>
      </c>
      <c r="E2201" s="5" t="s">
        <v>19806</v>
      </c>
      <c r="F2201" s="5" t="s">
        <v>19807</v>
      </c>
      <c r="G2201" s="5" t="s">
        <v>19808</v>
      </c>
      <c r="H2201" s="1" t="s">
        <v>19809</v>
      </c>
      <c r="I2201" s="5" t="s">
        <v>19810</v>
      </c>
      <c r="J2201" s="7">
        <v>16</v>
      </c>
      <c r="K2201" s="7">
        <v>32</v>
      </c>
      <c r="L2201" s="5" t="s">
        <v>19811</v>
      </c>
      <c r="M2201" s="7">
        <v>1.2</v>
      </c>
      <c r="N2201" s="7">
        <v>0.65</v>
      </c>
      <c r="O2201" s="7">
        <v>2.2719999999999998</v>
      </c>
      <c r="P2201" s="1" t="s">
        <v>19812</v>
      </c>
    </row>
    <row r="2202" spans="1:16" ht="33.4" x14ac:dyDescent="0.3">
      <c r="A2202" s="6" t="str">
        <f>HYPERLINK("https://www.ti.com/product/LM43603-Q1", "LM43603-Q1")</f>
        <v>LM43603-Q1</v>
      </c>
      <c r="B2202" s="5" t="s">
        <v>19813</v>
      </c>
      <c r="C2202" s="6" t="str">
        <f>HYPERLINK("https://www.ti.com/lit/gpn/LM43603-Q1", "PDF")</f>
        <v>PDF</v>
      </c>
      <c r="D2202" s="5" t="s">
        <v>19814</v>
      </c>
      <c r="E2202" s="5" t="s">
        <v>19815</v>
      </c>
      <c r="F2202" s="5" t="s">
        <v>19816</v>
      </c>
      <c r="G2202" s="5" t="s">
        <v>19817</v>
      </c>
      <c r="H2202" s="1" t="s">
        <v>19818</v>
      </c>
      <c r="I2202" s="5" t="s">
        <v>19819</v>
      </c>
      <c r="J2202" s="7">
        <v>16</v>
      </c>
      <c r="K2202" s="7">
        <v>32</v>
      </c>
      <c r="L2202" s="5" t="s">
        <v>19820</v>
      </c>
      <c r="M2202" s="7">
        <v>1.2</v>
      </c>
      <c r="N2202" s="7">
        <v>0.65</v>
      </c>
      <c r="O2202" s="7">
        <v>2.113</v>
      </c>
      <c r="P2202" s="1" t="s">
        <v>19821</v>
      </c>
    </row>
    <row r="2203" spans="1:16" ht="17.05" x14ac:dyDescent="0.3">
      <c r="A2203" s="6" t="str">
        <f>HYPERLINK("https://www.ti.com/product/TPS92513", "TPS92513")</f>
        <v>TPS92513</v>
      </c>
      <c r="B2203" s="5" t="s">
        <v>19822</v>
      </c>
      <c r="C2203" s="6" t="str">
        <f>HYPERLINK("https://www.ti.com/lit/gpn/TPS92513", "PDF")</f>
        <v>PDF</v>
      </c>
      <c r="D2203" s="5" t="s">
        <v>19823</v>
      </c>
      <c r="E2203" s="5" t="s">
        <v>19824</v>
      </c>
      <c r="F2203" s="5" t="s">
        <v>19825</v>
      </c>
      <c r="G2203" s="5" t="s">
        <v>19826</v>
      </c>
      <c r="H2203" s="1" t="s">
        <v>19827</v>
      </c>
      <c r="I2203" s="5" t="s">
        <v>19828</v>
      </c>
      <c r="J2203" s="7">
        <v>10</v>
      </c>
      <c r="K2203" s="7">
        <v>14.7</v>
      </c>
      <c r="L2203" s="5" t="s">
        <v>19829</v>
      </c>
      <c r="M2203" s="7">
        <v>1.1000000000000001</v>
      </c>
      <c r="N2203" s="7">
        <v>0.5</v>
      </c>
      <c r="O2203" s="7">
        <v>0.65800000000000003</v>
      </c>
      <c r="P2203" s="1" t="s">
        <v>19830</v>
      </c>
    </row>
    <row r="2204" spans="1:16" ht="17.05" x14ac:dyDescent="0.3">
      <c r="A2204" s="6" t="str">
        <f>HYPERLINK("https://www.ti.com/product/TPS92513HV", "TPS92513HV")</f>
        <v>TPS92513HV</v>
      </c>
      <c r="B2204" s="5" t="s">
        <v>19831</v>
      </c>
      <c r="C2204" s="6" t="str">
        <f>HYPERLINK("https://www.ti.com/lit/gpn/TPS92513HV", "PDF")</f>
        <v>PDF</v>
      </c>
      <c r="D2204" s="5" t="s">
        <v>19832</v>
      </c>
      <c r="E2204" s="5" t="s">
        <v>19833</v>
      </c>
      <c r="F2204" s="5" t="s">
        <v>19834</v>
      </c>
      <c r="G2204" s="5" t="s">
        <v>19835</v>
      </c>
      <c r="H2204" s="1" t="s">
        <v>19836</v>
      </c>
      <c r="I2204" s="5" t="s">
        <v>19837</v>
      </c>
      <c r="J2204" s="7">
        <v>10</v>
      </c>
      <c r="K2204" s="7">
        <v>14.7</v>
      </c>
      <c r="L2204" s="5" t="s">
        <v>19838</v>
      </c>
      <c r="M2204" s="7">
        <v>1.1000000000000001</v>
      </c>
      <c r="N2204" s="7">
        <v>0.5</v>
      </c>
      <c r="O2204" s="7">
        <v>0.69599999999999995</v>
      </c>
      <c r="P2204" s="1" t="s">
        <v>19839</v>
      </c>
    </row>
    <row r="2205" spans="1:16" ht="17.05" x14ac:dyDescent="0.3">
      <c r="A2205" s="6" t="str">
        <f>HYPERLINK("https://www.ti.com/product/ATL431", "ATL431")</f>
        <v>ATL431</v>
      </c>
      <c r="B2205" s="5" t="s">
        <v>19840</v>
      </c>
      <c r="C2205" s="6" t="str">
        <f>HYPERLINK("https://www.ti.com/lit/gpn/ATL431", "PDF")</f>
        <v>PDF</v>
      </c>
      <c r="D2205" s="5" t="s">
        <v>19841</v>
      </c>
      <c r="E2205" s="5" t="s">
        <v>19842</v>
      </c>
      <c r="F2205" s="5"/>
      <c r="G2205" s="5" t="s">
        <v>19843</v>
      </c>
      <c r="H2205" s="1" t="s">
        <v>19844</v>
      </c>
      <c r="I2205" s="5" t="s">
        <v>19845</v>
      </c>
      <c r="J2205" s="7">
        <v>3</v>
      </c>
      <c r="K2205" s="7">
        <v>6.9203999999999999</v>
      </c>
      <c r="L2205" s="5" t="s">
        <v>19846</v>
      </c>
      <c r="M2205" s="7">
        <v>1.1200000000000001</v>
      </c>
      <c r="N2205" s="7">
        <v>0.96</v>
      </c>
      <c r="O2205" s="7">
        <v>0.151</v>
      </c>
      <c r="P2205" s="1" t="s">
        <v>19847</v>
      </c>
    </row>
    <row r="2206" spans="1:16" ht="33.4" x14ac:dyDescent="0.3">
      <c r="A2206" s="6" t="str">
        <f>HYPERLINK("https://www.ti.com/product/LM4132-Q1", "LM4132-Q1")</f>
        <v>LM4132-Q1</v>
      </c>
      <c r="B2206" s="5" t="s">
        <v>19848</v>
      </c>
      <c r="C2206" s="6" t="str">
        <f>HYPERLINK("https://www.ti.com/lit/gpn/LM4132-Q1", "PDF")</f>
        <v>PDF</v>
      </c>
      <c r="D2206" s="5" t="s">
        <v>19849</v>
      </c>
      <c r="E2206" s="5" t="s">
        <v>19850</v>
      </c>
      <c r="F2206" s="5"/>
      <c r="G2206" s="5" t="s">
        <v>19851</v>
      </c>
      <c r="H2206" s="1" t="s">
        <v>19852</v>
      </c>
      <c r="I2206" s="5" t="s">
        <v>19853</v>
      </c>
      <c r="J2206" s="7">
        <v>5</v>
      </c>
      <c r="K2206" s="7">
        <v>8.1199999999999992</v>
      </c>
      <c r="L2206" s="5" t="s">
        <v>19854</v>
      </c>
      <c r="M2206" s="7">
        <v>1.45</v>
      </c>
      <c r="N2206" s="7">
        <v>0.95</v>
      </c>
      <c r="O2206" s="7">
        <v>1.0920000000000001</v>
      </c>
      <c r="P2206" s="1" t="s">
        <v>19855</v>
      </c>
    </row>
    <row r="2207" spans="1:16" ht="17.05" x14ac:dyDescent="0.3">
      <c r="A2207" s="6" t="str">
        <f>HYPERLINK("https://www.ti.com/product/TPS22860", "TPS22860")</f>
        <v>TPS22860</v>
      </c>
      <c r="B2207" s="5" t="s">
        <v>19856</v>
      </c>
      <c r="C2207" s="6" t="str">
        <f>HYPERLINK("https://www.ti.com/lit/gpn/TPS22860", "PDF")</f>
        <v>PDF</v>
      </c>
      <c r="D2207" s="5" t="s">
        <v>19857</v>
      </c>
      <c r="E2207" s="5" t="s">
        <v>19858</v>
      </c>
      <c r="F2207" s="5"/>
      <c r="G2207" s="5" t="s">
        <v>19859</v>
      </c>
      <c r="H2207" s="1" t="s">
        <v>19860</v>
      </c>
      <c r="I2207" s="5" t="s">
        <v>19861</v>
      </c>
      <c r="J2207" s="7">
        <v>6</v>
      </c>
      <c r="K2207" s="7">
        <v>8.1199999999999992</v>
      </c>
      <c r="L2207" s="5" t="s">
        <v>19862</v>
      </c>
      <c r="M2207" s="7">
        <v>1.45</v>
      </c>
      <c r="N2207" s="7">
        <v>0.95</v>
      </c>
      <c r="O2207" s="7">
        <v>0.34499999999999997</v>
      </c>
      <c r="P2207" s="1" t="s">
        <v>19863</v>
      </c>
    </row>
    <row r="2208" spans="1:16" ht="33.4" x14ac:dyDescent="0.3">
      <c r="A2208" s="6" t="str">
        <f>HYPERLINK("https://www.ti.com/product/TPS82085", "TPS82085")</f>
        <v>TPS82085</v>
      </c>
      <c r="B2208" s="5" t="s">
        <v>19864</v>
      </c>
      <c r="C2208" s="6" t="str">
        <f>HYPERLINK("https://www.ti.com/lit/gpn/TPS82085", "PDF")</f>
        <v>PDF</v>
      </c>
      <c r="D2208" s="5" t="s">
        <v>19865</v>
      </c>
      <c r="E2208" s="5" t="s">
        <v>19866</v>
      </c>
      <c r="F2208" s="5" t="s">
        <v>19867</v>
      </c>
      <c r="G2208" s="5" t="s">
        <v>19868</v>
      </c>
      <c r="H2208" s="1" t="s">
        <v>19869</v>
      </c>
      <c r="I2208" s="5" t="s">
        <v>19870</v>
      </c>
      <c r="J2208" s="7">
        <v>8</v>
      </c>
      <c r="K2208" s="7" t="s">
        <v>19871</v>
      </c>
      <c r="L2208" s="5" t="s">
        <v>19872</v>
      </c>
      <c r="M2208" s="7" t="s">
        <v>19873</v>
      </c>
      <c r="N2208" s="7" t="s">
        <v>19874</v>
      </c>
      <c r="O2208" s="7">
        <v>1.5389999999999999</v>
      </c>
      <c r="P2208" s="1" t="s">
        <v>19875</v>
      </c>
    </row>
    <row r="2209" spans="1:16" ht="17.05" x14ac:dyDescent="0.3">
      <c r="A2209" s="6" t="str">
        <f>HYPERLINK("https://www.ti.com/product/TPS61177A", "TPS61177A")</f>
        <v>TPS61177A</v>
      </c>
      <c r="B2209" s="5" t="s">
        <v>19876</v>
      </c>
      <c r="C2209" s="6" t="str">
        <f>HYPERLINK("https://www.ti.com/lit/gpn/TPS61177A", "PDF")</f>
        <v>PDF</v>
      </c>
      <c r="D2209" s="5" t="s">
        <v>19877</v>
      </c>
      <c r="E2209" s="5" t="s">
        <v>19878</v>
      </c>
      <c r="F2209" s="5" t="s">
        <v>19879</v>
      </c>
      <c r="G2209" s="5" t="s">
        <v>19880</v>
      </c>
      <c r="H2209" s="1" t="s">
        <v>19881</v>
      </c>
      <c r="I2209" s="5" t="s">
        <v>19882</v>
      </c>
      <c r="J2209" s="7">
        <v>20</v>
      </c>
      <c r="K2209" s="7">
        <v>12.25</v>
      </c>
      <c r="L2209" s="5" t="s">
        <v>19883</v>
      </c>
      <c r="M2209" s="7">
        <v>1</v>
      </c>
      <c r="N2209" s="7">
        <v>0.5</v>
      </c>
      <c r="O2209" s="7">
        <v>0.87</v>
      </c>
      <c r="P2209" s="1" t="s">
        <v>19884</v>
      </c>
    </row>
    <row r="2210" spans="1:16" ht="49.75" x14ac:dyDescent="0.3">
      <c r="A2210" s="6" t="str">
        <f>HYPERLINK("https://www.ti.com/product/TPS61046", "TPS61046")</f>
        <v>TPS61046</v>
      </c>
      <c r="B2210" s="5" t="s">
        <v>19885</v>
      </c>
      <c r="C2210" s="6" t="str">
        <f>HYPERLINK("https://www.ti.com/lit/gpn/TPS61046", "PDF")</f>
        <v>PDF</v>
      </c>
      <c r="D2210" s="5" t="s">
        <v>19886</v>
      </c>
      <c r="E2210" s="5" t="s">
        <v>19887</v>
      </c>
      <c r="F2210" s="5" t="s">
        <v>19888</v>
      </c>
      <c r="G2210" s="5" t="s">
        <v>19889</v>
      </c>
      <c r="H2210" s="1" t="s">
        <v>19890</v>
      </c>
      <c r="I2210" s="5" t="s">
        <v>19891</v>
      </c>
      <c r="J2210" s="7">
        <v>6</v>
      </c>
      <c r="K2210" s="7">
        <v>1.4000000000000001</v>
      </c>
      <c r="L2210" s="5" t="s">
        <v>19892</v>
      </c>
      <c r="M2210" s="7">
        <v>0.625</v>
      </c>
      <c r="N2210" s="7">
        <v>0.4</v>
      </c>
      <c r="O2210" s="7">
        <v>0.42599999999999999</v>
      </c>
      <c r="P2210" s="1" t="s">
        <v>19893</v>
      </c>
    </row>
    <row r="2211" spans="1:16" ht="49.75" x14ac:dyDescent="0.3">
      <c r="A2211" s="6" t="str">
        <f>HYPERLINK("https://www.ti.com/product/LM3632A", "LM3632A")</f>
        <v>LM3632A</v>
      </c>
      <c r="B2211" s="5" t="s">
        <v>19894</v>
      </c>
      <c r="C2211" s="6" t="str">
        <f>HYPERLINK("https://www.ti.com/lit/gpn/LM3632A", "PDF")</f>
        <v>PDF</v>
      </c>
      <c r="D2211" s="5" t="s">
        <v>19895</v>
      </c>
      <c r="E2211" s="5" t="s">
        <v>19896</v>
      </c>
      <c r="F2211" s="5" t="s">
        <v>19897</v>
      </c>
      <c r="G2211" s="5" t="s">
        <v>19898</v>
      </c>
      <c r="H2211" s="1" t="s">
        <v>19899</v>
      </c>
      <c r="I2211" s="5" t="s">
        <v>19900</v>
      </c>
      <c r="J2211" s="7">
        <v>30</v>
      </c>
      <c r="K2211" s="7">
        <v>5.7199999999999989</v>
      </c>
      <c r="L2211" s="5" t="s">
        <v>19901</v>
      </c>
      <c r="M2211" s="7">
        <v>0.625</v>
      </c>
      <c r="N2211" s="7">
        <v>0.4</v>
      </c>
      <c r="O2211" s="7">
        <v>0.83199999999999996</v>
      </c>
      <c r="P2211" s="1" t="s">
        <v>19902</v>
      </c>
    </row>
    <row r="2212" spans="1:16" ht="49.75" x14ac:dyDescent="0.3">
      <c r="A2212" s="6" t="str">
        <f>HYPERLINK("https://www.ti.com/product/HD3SS460", "HD3SS460")</f>
        <v>HD3SS460</v>
      </c>
      <c r="B2212" s="5" t="s">
        <v>19903</v>
      </c>
      <c r="C2212" s="6" t="str">
        <f>HYPERLINK("https://www.ti.com/lit/gpn/HD3SS460", "PDF")</f>
        <v>PDF</v>
      </c>
      <c r="D2212" s="5" t="s">
        <v>19904</v>
      </c>
      <c r="E2212" s="5" t="s">
        <v>19905</v>
      </c>
      <c r="F2212" s="5"/>
      <c r="G2212" s="5" t="s">
        <v>19906</v>
      </c>
      <c r="H2212" s="1" t="s">
        <v>19907</v>
      </c>
      <c r="I2212" s="5" t="s">
        <v>19908</v>
      </c>
      <c r="J2212" s="7" t="s">
        <v>19909</v>
      </c>
      <c r="K2212" s="7" t="s">
        <v>19910</v>
      </c>
      <c r="L2212" s="5" t="s">
        <v>19911</v>
      </c>
      <c r="M2212" s="7">
        <v>0.8</v>
      </c>
      <c r="N2212" s="7" t="s">
        <v>19912</v>
      </c>
      <c r="O2212" s="7">
        <v>0.95499999999999996</v>
      </c>
      <c r="P2212" s="1" t="s">
        <v>19913</v>
      </c>
    </row>
    <row r="2213" spans="1:16" ht="33.4" x14ac:dyDescent="0.3">
      <c r="A2213" s="6" t="str">
        <f>HYPERLINK("https://www.ti.com/product/TPS22954", "TPS22954")</f>
        <v>TPS22954</v>
      </c>
      <c r="B2213" s="5" t="s">
        <v>19914</v>
      </c>
      <c r="C2213" s="6" t="str">
        <f>HYPERLINK("https://www.ti.com/lit/gpn/TPS22954", "PDF")</f>
        <v>PDF</v>
      </c>
      <c r="D2213" s="5" t="s">
        <v>19915</v>
      </c>
      <c r="E2213" s="5" t="s">
        <v>19916</v>
      </c>
      <c r="F2213" s="5"/>
      <c r="G2213" s="5" t="s">
        <v>19917</v>
      </c>
      <c r="H2213" s="1" t="s">
        <v>19918</v>
      </c>
      <c r="I2213" s="5" t="s">
        <v>19919</v>
      </c>
      <c r="J2213" s="7">
        <v>10</v>
      </c>
      <c r="K2213" s="7" t="s">
        <v>19920</v>
      </c>
      <c r="L2213" s="5" t="s">
        <v>19921</v>
      </c>
      <c r="M2213" s="7">
        <v>0.8</v>
      </c>
      <c r="N2213" s="7" t="s">
        <v>19922</v>
      </c>
      <c r="O2213" s="7">
        <v>0.24199999999999999</v>
      </c>
      <c r="P2213" s="1" t="s">
        <v>19923</v>
      </c>
    </row>
    <row r="2214" spans="1:16" ht="33.4" x14ac:dyDescent="0.3">
      <c r="A2214" s="6" t="str">
        <f>HYPERLINK("https://www.ti.com/product/TPS61196-Q1", "TPS61196-Q1")</f>
        <v>TPS61196-Q1</v>
      </c>
      <c r="B2214" s="5" t="s">
        <v>19924</v>
      </c>
      <c r="C2214" s="6" t="str">
        <f>HYPERLINK("https://www.ti.com/lit/gpn/TPS61196-Q1", "PDF")</f>
        <v>PDF</v>
      </c>
      <c r="D2214" s="5" t="s">
        <v>19925</v>
      </c>
      <c r="E2214" s="5" t="s">
        <v>19926</v>
      </c>
      <c r="F2214" s="5" t="s">
        <v>19927</v>
      </c>
      <c r="G2214" s="5" t="s">
        <v>19928</v>
      </c>
      <c r="H2214" s="1" t="s">
        <v>19929</v>
      </c>
      <c r="I2214" s="5" t="s">
        <v>19930</v>
      </c>
      <c r="J2214" s="7">
        <v>28</v>
      </c>
      <c r="K2214" s="7">
        <v>62.08</v>
      </c>
      <c r="L2214" s="5" t="s">
        <v>19931</v>
      </c>
      <c r="M2214" s="7">
        <v>1.2</v>
      </c>
      <c r="N2214" s="7">
        <v>0.65</v>
      </c>
      <c r="O2214" s="7">
        <v>1.4750000000000001</v>
      </c>
      <c r="P2214" s="1" t="s">
        <v>19932</v>
      </c>
    </row>
    <row r="2215" spans="1:16" ht="33.4" x14ac:dyDescent="0.3">
      <c r="A2215" s="6" t="str">
        <f>HYPERLINK("https://www.ti.com/product/CSD18535KCS", "CSD18535KCS")</f>
        <v>CSD18535KCS</v>
      </c>
      <c r="B2215" s="5" t="s">
        <v>19933</v>
      </c>
      <c r="C2215" s="6" t="str">
        <f>HYPERLINK("https://www.ti.com/lit/gpn/CSD18535KCS", "PDF")</f>
        <v>PDF</v>
      </c>
      <c r="D2215" s="5" t="s">
        <v>19934</v>
      </c>
      <c r="E2215" s="5" t="s">
        <v>19935</v>
      </c>
      <c r="F2215" s="5"/>
      <c r="G2215" s="5" t="s">
        <v>19936</v>
      </c>
      <c r="H2215" s="1" t="s">
        <v>19937</v>
      </c>
      <c r="I2215" s="5" t="s">
        <v>19938</v>
      </c>
      <c r="J2215" s="7">
        <v>3</v>
      </c>
      <c r="K2215" s="7">
        <v>46.228000000000002</v>
      </c>
      <c r="L2215" s="5" t="s">
        <v>19939</v>
      </c>
      <c r="M2215" s="7">
        <v>4.7</v>
      </c>
      <c r="N2215" s="7">
        <v>2.54</v>
      </c>
      <c r="O2215" s="7">
        <v>1.0269999999999999</v>
      </c>
      <c r="P2215" s="1" t="s">
        <v>19940</v>
      </c>
    </row>
    <row r="2216" spans="1:16" ht="33.4" x14ac:dyDescent="0.3">
      <c r="A2216" s="6" t="str">
        <f>HYPERLINK("https://www.ti.com/product/CSD18536KCS", "CSD18536KCS")</f>
        <v>CSD18536KCS</v>
      </c>
      <c r="B2216" s="5" t="s">
        <v>19941</v>
      </c>
      <c r="C2216" s="6" t="str">
        <f>HYPERLINK("https://www.ti.com/lit/gpn/CSD18536KCS", "PDF")</f>
        <v>PDF</v>
      </c>
      <c r="D2216" s="5" t="s">
        <v>19942</v>
      </c>
      <c r="E2216" s="5" t="s">
        <v>19943</v>
      </c>
      <c r="F2216" s="5"/>
      <c r="G2216" s="5" t="s">
        <v>19944</v>
      </c>
      <c r="H2216" s="1" t="s">
        <v>19945</v>
      </c>
      <c r="I2216" s="5" t="s">
        <v>19946</v>
      </c>
      <c r="J2216" s="7">
        <v>3</v>
      </c>
      <c r="K2216" s="7">
        <v>46.228000000000002</v>
      </c>
      <c r="L2216" s="5" t="s">
        <v>19947</v>
      </c>
      <c r="M2216" s="7">
        <v>4.7</v>
      </c>
      <c r="N2216" s="7">
        <v>2.54</v>
      </c>
      <c r="O2216" s="7">
        <v>1.5549999999999999</v>
      </c>
      <c r="P2216" s="1" t="s">
        <v>19948</v>
      </c>
    </row>
    <row r="2217" spans="1:16" ht="33.4" x14ac:dyDescent="0.3">
      <c r="A2217" s="6" t="str">
        <f>HYPERLINK("https://www.ti.com/product/UCD3138A", "UCD3138A")</f>
        <v>UCD3138A</v>
      </c>
      <c r="B2217" s="5" t="s">
        <v>19949</v>
      </c>
      <c r="C2217" s="6" t="str">
        <f>HYPERLINK("https://www.ti.com/lit/gpn/UCD3138A", "PDF")</f>
        <v>PDF</v>
      </c>
      <c r="D2217" s="5" t="s">
        <v>19950</v>
      </c>
      <c r="E2217" s="5" t="s">
        <v>19951</v>
      </c>
      <c r="F2217" s="5"/>
      <c r="G2217" s="5" t="s">
        <v>19952</v>
      </c>
      <c r="H2217" s="1" t="s">
        <v>19953</v>
      </c>
      <c r="I2217" s="5" t="s">
        <v>19954</v>
      </c>
      <c r="J2217" s="7" t="s">
        <v>19955</v>
      </c>
      <c r="K2217" s="7" t="s">
        <v>19956</v>
      </c>
      <c r="L2217" s="5" t="s">
        <v>19957</v>
      </c>
      <c r="M2217" s="7" t="s">
        <v>19958</v>
      </c>
      <c r="N2217" s="7">
        <v>0.5</v>
      </c>
      <c r="O2217" s="7">
        <v>4.37</v>
      </c>
      <c r="P2217" s="1" t="s">
        <v>19959</v>
      </c>
    </row>
    <row r="2218" spans="1:16" ht="17.05" x14ac:dyDescent="0.3">
      <c r="A2218" s="6" t="str">
        <f>HYPERLINK("https://www.ti.com/product/LP8758-B0", "LP8758-B0")</f>
        <v>LP8758-B0</v>
      </c>
      <c r="B2218" s="5" t="s">
        <v>19960</v>
      </c>
      <c r="C2218" s="6" t="str">
        <f>HYPERLINK("https://www.ti.com/lit/gpn/LP8758-B0", "PDF")</f>
        <v>PDF</v>
      </c>
      <c r="D2218" s="5" t="s">
        <v>19961</v>
      </c>
      <c r="E2218" s="5" t="s">
        <v>19962</v>
      </c>
      <c r="F2218" s="5"/>
      <c r="G2218" s="5" t="s">
        <v>19963</v>
      </c>
      <c r="H2218" s="1" t="s">
        <v>19964</v>
      </c>
      <c r="I2218" s="5" t="s">
        <v>19965</v>
      </c>
      <c r="J2218" s="7">
        <v>35</v>
      </c>
      <c r="K2218" s="7">
        <v>6.6</v>
      </c>
      <c r="L2218" s="5" t="s">
        <v>19966</v>
      </c>
      <c r="M2218" s="7">
        <v>0.625</v>
      </c>
      <c r="N2218" s="7">
        <v>0.4</v>
      </c>
      <c r="O2218" s="7">
        <v>2.5049999999999999</v>
      </c>
      <c r="P2218" s="1" t="s">
        <v>19967</v>
      </c>
    </row>
    <row r="2219" spans="1:16" ht="33.4" x14ac:dyDescent="0.3">
      <c r="A2219" s="6" t="str">
        <f>HYPERLINK("https://www.ti.com/product/TPS22958", "TPS22958")</f>
        <v>TPS22958</v>
      </c>
      <c r="B2219" s="5" t="s">
        <v>19968</v>
      </c>
      <c r="C2219" s="6" t="str">
        <f>HYPERLINK("https://www.ti.com/lit/gpn/TPS22958", "PDF")</f>
        <v>PDF</v>
      </c>
      <c r="D2219" s="5" t="s">
        <v>19969</v>
      </c>
      <c r="E2219" s="5" t="s">
        <v>19970</v>
      </c>
      <c r="F2219" s="5"/>
      <c r="G2219" s="5" t="s">
        <v>19971</v>
      </c>
      <c r="H2219" s="1" t="s">
        <v>19972</v>
      </c>
      <c r="I2219" s="5" t="s">
        <v>19973</v>
      </c>
      <c r="J2219" s="7">
        <v>8</v>
      </c>
      <c r="K2219" s="7">
        <v>14.7</v>
      </c>
      <c r="L2219" s="5" t="s">
        <v>19974</v>
      </c>
      <c r="M2219" s="7">
        <v>1.1000000000000001</v>
      </c>
      <c r="N2219" s="7">
        <v>0.65</v>
      </c>
      <c r="O2219" s="7">
        <v>0.375</v>
      </c>
      <c r="P2219" s="1" t="s">
        <v>19975</v>
      </c>
    </row>
    <row r="2220" spans="1:16" ht="17.05" x14ac:dyDescent="0.3">
      <c r="A2220" s="6" t="str">
        <f>HYPERLINK("https://www.ti.com/product/TPS2388", "TPS2388")</f>
        <v>TPS2388</v>
      </c>
      <c r="B2220" s="5" t="s">
        <v>19976</v>
      </c>
      <c r="C2220" s="6" t="str">
        <f>HYPERLINK("https://www.ti.com/lit/gpn/TPS2388", "PDF")</f>
        <v>PDF</v>
      </c>
      <c r="D2220" s="5" t="s">
        <v>19977</v>
      </c>
      <c r="E2220" s="5" t="s">
        <v>19978</v>
      </c>
      <c r="F2220" s="5"/>
      <c r="G2220" s="5" t="s">
        <v>19979</v>
      </c>
      <c r="H2220" s="1" t="s">
        <v>19980</v>
      </c>
      <c r="I2220" s="5" t="s">
        <v>19981</v>
      </c>
      <c r="J2220" s="7">
        <v>56</v>
      </c>
      <c r="K2220" s="7">
        <v>64</v>
      </c>
      <c r="L2220" s="5" t="s">
        <v>19982</v>
      </c>
      <c r="M2220" s="7">
        <v>1</v>
      </c>
      <c r="N2220" s="7">
        <v>0.5</v>
      </c>
      <c r="O2220" s="7">
        <v>3.5419999999999998</v>
      </c>
      <c r="P2220" s="1" t="s">
        <v>19983</v>
      </c>
    </row>
    <row r="2221" spans="1:16" ht="33.4" x14ac:dyDescent="0.3">
      <c r="A2221" s="6" t="str">
        <f>HYPERLINK("https://www.ti.com/product/TPS24770", "TPS24770")</f>
        <v>TPS24770</v>
      </c>
      <c r="B2221" s="5" t="s">
        <v>19984</v>
      </c>
      <c r="C2221" s="6" t="str">
        <f>HYPERLINK("https://www.ti.com/lit/gpn/TPS24770", "PDF")</f>
        <v>PDF</v>
      </c>
      <c r="D2221" s="5" t="s">
        <v>19985</v>
      </c>
      <c r="E2221" s="5" t="s">
        <v>19986</v>
      </c>
      <c r="F2221" s="5"/>
      <c r="G2221" s="5" t="s">
        <v>19987</v>
      </c>
      <c r="H2221" s="1" t="s">
        <v>19988</v>
      </c>
      <c r="I2221" s="5" t="s">
        <v>19989</v>
      </c>
      <c r="J2221" s="7">
        <v>24</v>
      </c>
      <c r="K2221" s="7">
        <v>16</v>
      </c>
      <c r="L2221" s="5" t="s">
        <v>19990</v>
      </c>
      <c r="M2221" s="7">
        <v>1</v>
      </c>
      <c r="N2221" s="7">
        <v>0.5</v>
      </c>
      <c r="O2221" s="7">
        <v>1.1499999999999999</v>
      </c>
      <c r="P2221" s="1" t="s">
        <v>19991</v>
      </c>
    </row>
    <row r="2222" spans="1:16" ht="33.4" x14ac:dyDescent="0.3">
      <c r="A2222" s="6" t="str">
        <f>HYPERLINK("https://www.ti.com/product/TPS24771", "TPS24771")</f>
        <v>TPS24771</v>
      </c>
      <c r="B2222" s="5" t="s">
        <v>19992</v>
      </c>
      <c r="C2222" s="6" t="str">
        <f>HYPERLINK("https://www.ti.com/lit/gpn/TPS24771", "PDF")</f>
        <v>PDF</v>
      </c>
      <c r="D2222" s="5" t="s">
        <v>19993</v>
      </c>
      <c r="E2222" s="5" t="s">
        <v>19994</v>
      </c>
      <c r="F2222" s="5"/>
      <c r="G2222" s="5" t="s">
        <v>19995</v>
      </c>
      <c r="H2222" s="1" t="s">
        <v>19996</v>
      </c>
      <c r="I2222" s="5" t="s">
        <v>19997</v>
      </c>
      <c r="J2222" s="7">
        <v>24</v>
      </c>
      <c r="K2222" s="7">
        <v>16</v>
      </c>
      <c r="L2222" s="5" t="s">
        <v>19998</v>
      </c>
      <c r="M2222" s="7">
        <v>1</v>
      </c>
      <c r="N2222" s="7">
        <v>0.5</v>
      </c>
      <c r="O2222" s="7">
        <v>1.1499999999999999</v>
      </c>
      <c r="P2222" s="1" t="s">
        <v>19999</v>
      </c>
    </row>
    <row r="2223" spans="1:16" ht="17.05" x14ac:dyDescent="0.3">
      <c r="A2223" s="6" t="str">
        <f>HYPERLINK("https://www.ti.com/product/TPS24772", "TPS24772")</f>
        <v>TPS24772</v>
      </c>
      <c r="B2223" s="5" t="s">
        <v>20000</v>
      </c>
      <c r="C2223" s="6" t="str">
        <f>HYPERLINK("https://www.ti.com/lit/gpn/TPS24772", "PDF")</f>
        <v>PDF</v>
      </c>
      <c r="D2223" s="5" t="s">
        <v>20001</v>
      </c>
      <c r="E2223" s="5" t="s">
        <v>20002</v>
      </c>
      <c r="F2223" s="5"/>
      <c r="G2223" s="5" t="s">
        <v>20003</v>
      </c>
      <c r="H2223" s="1" t="s">
        <v>20004</v>
      </c>
      <c r="I2223" s="5" t="s">
        <v>20005</v>
      </c>
      <c r="J2223" s="7">
        <v>24</v>
      </c>
      <c r="K2223" s="7">
        <v>16</v>
      </c>
      <c r="L2223" s="5" t="s">
        <v>20006</v>
      </c>
      <c r="M2223" s="7">
        <v>1</v>
      </c>
      <c r="N2223" s="7">
        <v>0.5</v>
      </c>
      <c r="O2223" s="7">
        <v>1.1499999999999999</v>
      </c>
      <c r="P2223" s="1" t="s">
        <v>20007</v>
      </c>
    </row>
    <row r="2224" spans="1:16" ht="33.4" x14ac:dyDescent="0.3">
      <c r="A2224" s="6" t="str">
        <f>HYPERLINK("https://www.ti.com/product/TPS706", "TPS706")</f>
        <v>TPS706</v>
      </c>
      <c r="B2224" s="5" t="s">
        <v>20008</v>
      </c>
      <c r="C2224" s="6" t="str">
        <f>HYPERLINK("https://www.ti.com/lit/gpn/TPS706", "PDF")</f>
        <v>PDF</v>
      </c>
      <c r="D2224" s="5" t="s">
        <v>20009</v>
      </c>
      <c r="E2224" s="5" t="s">
        <v>20010</v>
      </c>
      <c r="F2224" s="5"/>
      <c r="G2224" s="5" t="s">
        <v>20011</v>
      </c>
      <c r="H2224" s="1" t="s">
        <v>20012</v>
      </c>
      <c r="I2224" s="5" t="s">
        <v>20013</v>
      </c>
      <c r="J2224" s="7" t="s">
        <v>20014</v>
      </c>
      <c r="K2224" s="7" t="s">
        <v>20015</v>
      </c>
      <c r="L2224" s="5" t="s">
        <v>20016</v>
      </c>
      <c r="M2224" s="7" t="s">
        <v>20017</v>
      </c>
      <c r="N2224" s="7" t="s">
        <v>20018</v>
      </c>
      <c r="O2224" s="7">
        <v>0.24299999999999999</v>
      </c>
      <c r="P2224" s="1" t="s">
        <v>20019</v>
      </c>
    </row>
    <row r="2225" spans="1:16" ht="33.4" x14ac:dyDescent="0.3">
      <c r="A2225" s="6" t="str">
        <f>HYPERLINK("https://www.ti.com/product/TPS92638-Q1", "TPS92638-Q1")</f>
        <v>TPS92638-Q1</v>
      </c>
      <c r="B2225" s="5" t="s">
        <v>20020</v>
      </c>
      <c r="C2225" s="6" t="str">
        <f>HYPERLINK("https://www.ti.com/lit/gpn/TPS92638-Q1", "PDF")</f>
        <v>PDF</v>
      </c>
      <c r="D2225" s="5" t="s">
        <v>20021</v>
      </c>
      <c r="E2225" s="5" t="s">
        <v>20022</v>
      </c>
      <c r="F2225" s="5" t="s">
        <v>20023</v>
      </c>
      <c r="G2225" s="5" t="s">
        <v>20024</v>
      </c>
      <c r="H2225" s="1" t="s">
        <v>20025</v>
      </c>
      <c r="I2225" s="5" t="s">
        <v>20026</v>
      </c>
      <c r="J2225" s="7">
        <v>20</v>
      </c>
      <c r="K2225" s="7">
        <v>41.6</v>
      </c>
      <c r="L2225" s="5" t="s">
        <v>20027</v>
      </c>
      <c r="M2225" s="7">
        <v>1.2</v>
      </c>
      <c r="N2225" s="7">
        <v>0.65</v>
      </c>
      <c r="O2225" s="7">
        <v>1.214</v>
      </c>
      <c r="P2225" s="1" t="s">
        <v>20028</v>
      </c>
    </row>
    <row r="2226" spans="1:16" ht="33.4" x14ac:dyDescent="0.3">
      <c r="A2226" s="6" t="str">
        <f>HYPERLINK("https://www.ti.com/product/UCC24630", "UCC24630")</f>
        <v>UCC24630</v>
      </c>
      <c r="B2226" s="5" t="s">
        <v>20029</v>
      </c>
      <c r="C2226" s="6" t="str">
        <f>HYPERLINK("https://www.ti.com/lit/gpn/UCC24630", "PDF")</f>
        <v>PDF</v>
      </c>
      <c r="D2226" s="5" t="s">
        <v>20030</v>
      </c>
      <c r="E2226" s="5" t="s">
        <v>20031</v>
      </c>
      <c r="F2226" s="5" t="s">
        <v>20032</v>
      </c>
      <c r="G2226" s="5" t="s">
        <v>20033</v>
      </c>
      <c r="H2226" s="1" t="s">
        <v>20034</v>
      </c>
      <c r="I2226" s="5" t="s">
        <v>20035</v>
      </c>
      <c r="J2226" s="7">
        <v>6</v>
      </c>
      <c r="K2226" s="7">
        <v>8.1199999999999992</v>
      </c>
      <c r="L2226" s="5" t="s">
        <v>20036</v>
      </c>
      <c r="M2226" s="7">
        <v>1.45</v>
      </c>
      <c r="N2226" s="7">
        <v>0.95</v>
      </c>
      <c r="O2226" s="7">
        <v>0.48399999999999999</v>
      </c>
      <c r="P2226" s="1" t="s">
        <v>20037</v>
      </c>
    </row>
    <row r="2227" spans="1:16" ht="33.4" x14ac:dyDescent="0.3">
      <c r="A2227" s="6" t="str">
        <f>HYPERLINK("https://www.ti.com/product/CSD19535KTT", "CSD19535KTT")</f>
        <v>CSD19535KTT</v>
      </c>
      <c r="B2227" s="5" t="s">
        <v>20038</v>
      </c>
      <c r="C2227" s="6" t="str">
        <f>HYPERLINK("https://www.ti.com/lit/gpn/CSD19535KTT", "PDF")</f>
        <v>PDF</v>
      </c>
      <c r="D2227" s="5" t="s">
        <v>20039</v>
      </c>
      <c r="E2227" s="5" t="s">
        <v>20040</v>
      </c>
      <c r="F2227" s="5"/>
      <c r="G2227" s="5" t="s">
        <v>20041</v>
      </c>
      <c r="H2227" s="1" t="s">
        <v>20042</v>
      </c>
      <c r="I2227" s="5" t="s">
        <v>20043</v>
      </c>
      <c r="J2227" s="7">
        <v>2</v>
      </c>
      <c r="K2227" s="7">
        <v>153.416</v>
      </c>
      <c r="L2227" s="5" t="s">
        <v>20044</v>
      </c>
      <c r="M2227" s="7">
        <v>4.7</v>
      </c>
      <c r="N2227" s="7">
        <v>2.54</v>
      </c>
      <c r="O2227" s="7">
        <v>1.115</v>
      </c>
      <c r="P2227" s="1" t="s">
        <v>20045</v>
      </c>
    </row>
    <row r="2228" spans="1:16" ht="33.4" x14ac:dyDescent="0.3">
      <c r="A2228" s="6" t="str">
        <f>HYPERLINK("https://www.ti.com/product/CSD19536KTT", "CSD19536KTT")</f>
        <v>CSD19536KTT</v>
      </c>
      <c r="B2228" s="5" t="s">
        <v>20046</v>
      </c>
      <c r="C2228" s="6" t="str">
        <f>HYPERLINK("https://www.ti.com/lit/gpn/CSD19536KTT", "PDF")</f>
        <v>PDF</v>
      </c>
      <c r="D2228" s="5" t="s">
        <v>20047</v>
      </c>
      <c r="E2228" s="5" t="s">
        <v>20048</v>
      </c>
      <c r="F2228" s="5"/>
      <c r="G2228" s="5" t="s">
        <v>20049</v>
      </c>
      <c r="H2228" s="1" t="s">
        <v>20050</v>
      </c>
      <c r="I2228" s="5" t="s">
        <v>20051</v>
      </c>
      <c r="J2228" s="7">
        <v>2</v>
      </c>
      <c r="K2228" s="7">
        <v>153.416</v>
      </c>
      <c r="L2228" s="5" t="s">
        <v>20052</v>
      </c>
      <c r="M2228" s="7">
        <v>4.7</v>
      </c>
      <c r="N2228" s="7">
        <v>2.54</v>
      </c>
      <c r="O2228" s="7">
        <v>1.659</v>
      </c>
      <c r="P2228" s="1" t="s">
        <v>20053</v>
      </c>
    </row>
    <row r="2229" spans="1:16" ht="17.05" x14ac:dyDescent="0.3">
      <c r="A2229" s="6" t="str">
        <f>HYPERLINK("https://www.ti.com/product/TPS65632", "TPS65632")</f>
        <v>TPS65632</v>
      </c>
      <c r="B2229" s="5" t="s">
        <v>20054</v>
      </c>
      <c r="C2229" s="6" t="str">
        <f>HYPERLINK("https://www.ti.com/lit/gpn/TPS65632", "PDF")</f>
        <v>PDF</v>
      </c>
      <c r="D2229" s="5" t="s">
        <v>20055</v>
      </c>
      <c r="E2229" s="5" t="s">
        <v>20056</v>
      </c>
      <c r="F2229" s="5" t="s">
        <v>20057</v>
      </c>
      <c r="G2229" s="5" t="s">
        <v>20058</v>
      </c>
      <c r="H2229" s="1" t="s">
        <v>20059</v>
      </c>
      <c r="I2229" s="5" t="s">
        <v>20060</v>
      </c>
      <c r="J2229" s="7">
        <v>16</v>
      </c>
      <c r="K2229" s="7">
        <v>9</v>
      </c>
      <c r="L2229" s="5" t="s">
        <v>20061</v>
      </c>
      <c r="M2229" s="7">
        <v>0.8</v>
      </c>
      <c r="N2229" s="7">
        <v>0.5</v>
      </c>
      <c r="O2229" s="7">
        <v>0.86</v>
      </c>
      <c r="P2229" s="1" t="s">
        <v>20062</v>
      </c>
    </row>
    <row r="2230" spans="1:16" ht="33.4" x14ac:dyDescent="0.3">
      <c r="A2230" s="6" t="str">
        <f>HYPERLINK("https://www.ti.com/product/UCC28911", "UCC28911")</f>
        <v>UCC28911</v>
      </c>
      <c r="B2230" s="5" t="s">
        <v>20063</v>
      </c>
      <c r="C2230" s="6" t="str">
        <f>HYPERLINK("https://www.ti.com/lit/gpn/UCC28911", "PDF")</f>
        <v>PDF</v>
      </c>
      <c r="D2230" s="5" t="s">
        <v>20064</v>
      </c>
      <c r="E2230" s="5" t="s">
        <v>20065</v>
      </c>
      <c r="F2230" s="5" t="s">
        <v>20066</v>
      </c>
      <c r="G2230" s="5" t="s">
        <v>20067</v>
      </c>
      <c r="H2230" s="1" t="s">
        <v>20068</v>
      </c>
      <c r="I2230" s="5" t="s">
        <v>20069</v>
      </c>
      <c r="J2230" s="7">
        <v>7</v>
      </c>
      <c r="K2230" s="7">
        <v>29.4</v>
      </c>
      <c r="L2230" s="5" t="s">
        <v>20070</v>
      </c>
      <c r="M2230" s="7">
        <v>1.75</v>
      </c>
      <c r="N2230" s="7">
        <v>1.27</v>
      </c>
      <c r="O2230" s="7">
        <v>0.48899999999999999</v>
      </c>
      <c r="P2230" s="1" t="s">
        <v>20071</v>
      </c>
    </row>
    <row r="2231" spans="1:16" ht="17.05" x14ac:dyDescent="0.3">
      <c r="A2231" s="6" t="str">
        <f>HYPERLINK("https://www.ti.com/product/TPS22993", "TPS22993")</f>
        <v>TPS22993</v>
      </c>
      <c r="B2231" s="5" t="s">
        <v>20072</v>
      </c>
      <c r="C2231" s="6" t="str">
        <f>HYPERLINK("https://www.ti.com/lit/gpn/TPS22993", "PDF")</f>
        <v>PDF</v>
      </c>
      <c r="D2231" s="5" t="s">
        <v>20073</v>
      </c>
      <c r="E2231" s="5" t="s">
        <v>20074</v>
      </c>
      <c r="F2231" s="5"/>
      <c r="G2231" s="5" t="s">
        <v>20075</v>
      </c>
      <c r="H2231" s="1" t="s">
        <v>20076</v>
      </c>
      <c r="I2231" s="5" t="s">
        <v>20077</v>
      </c>
      <c r="J2231" s="7">
        <v>20</v>
      </c>
      <c r="K2231" s="7">
        <v>9</v>
      </c>
      <c r="L2231" s="5" t="s">
        <v>20078</v>
      </c>
      <c r="M2231" s="7">
        <v>0.8</v>
      </c>
      <c r="N2231" s="7">
        <v>0.4</v>
      </c>
      <c r="O2231" s="7">
        <v>0.51900000000000002</v>
      </c>
      <c r="P2231" s="1" t="s">
        <v>20079</v>
      </c>
    </row>
    <row r="2232" spans="1:16" ht="33.4" x14ac:dyDescent="0.3">
      <c r="A2232" s="6" t="str">
        <f>HYPERLINK("https://www.ti.com/product/TPS566250", "TPS566250")</f>
        <v>TPS566250</v>
      </c>
      <c r="B2232" s="5" t="s">
        <v>20080</v>
      </c>
      <c r="C2232" s="6" t="str">
        <f>HYPERLINK("https://www.ti.com/lit/gpn/TPS566250", "PDF")</f>
        <v>PDF</v>
      </c>
      <c r="D2232" s="5" t="s">
        <v>20081</v>
      </c>
      <c r="E2232" s="5" t="s">
        <v>20082</v>
      </c>
      <c r="F2232" s="5" t="s">
        <v>20083</v>
      </c>
      <c r="G2232" s="5" t="s">
        <v>20084</v>
      </c>
      <c r="H2232" s="1" t="s">
        <v>20085</v>
      </c>
      <c r="I2232" s="5" t="s">
        <v>20086</v>
      </c>
      <c r="J2232" s="7">
        <v>8</v>
      </c>
      <c r="K2232" s="7">
        <v>29.4</v>
      </c>
      <c r="L2232" s="5" t="s">
        <v>20087</v>
      </c>
      <c r="M2232" s="7">
        <v>1.7</v>
      </c>
      <c r="N2232" s="7">
        <v>1.27</v>
      </c>
      <c r="O2232" s="7">
        <v>0.99</v>
      </c>
      <c r="P2232" s="1" t="s">
        <v>20088</v>
      </c>
    </row>
    <row r="2233" spans="1:16" ht="49.75" x14ac:dyDescent="0.3">
      <c r="A2233" s="6" t="str">
        <f>HYPERLINK("https://www.ti.com/product/TPS826716", "TPS826716")</f>
        <v>TPS826716</v>
      </c>
      <c r="B2233" s="5" t="s">
        <v>20089</v>
      </c>
      <c r="C2233" s="6" t="str">
        <f>HYPERLINK("https://www.ti.com/lit/gpn/TPS826716", "PDF")</f>
        <v>PDF</v>
      </c>
      <c r="D2233" s="5" t="s">
        <v>20090</v>
      </c>
      <c r="E2233" s="5" t="s">
        <v>20091</v>
      </c>
      <c r="F2233" s="5" t="s">
        <v>20092</v>
      </c>
      <c r="G2233" s="5" t="s">
        <v>20093</v>
      </c>
      <c r="H2233" s="1" t="s">
        <v>20094</v>
      </c>
      <c r="I2233" s="5" t="s">
        <v>20095</v>
      </c>
      <c r="J2233" s="7">
        <v>8</v>
      </c>
      <c r="K2233" s="7">
        <v>6.67</v>
      </c>
      <c r="L2233" s="5" t="s">
        <v>20096</v>
      </c>
      <c r="M2233" s="7">
        <v>1</v>
      </c>
      <c r="N2233" s="7">
        <v>1</v>
      </c>
      <c r="O2233" s="7">
        <v>1.012</v>
      </c>
      <c r="P2233" s="1" t="s">
        <v>20097</v>
      </c>
    </row>
    <row r="2234" spans="1:16" ht="33.4" x14ac:dyDescent="0.3">
      <c r="A2234" s="6" t="str">
        <f>HYPERLINK("https://www.ti.com/product/CSD22204W", "CSD22204W")</f>
        <v>CSD22204W</v>
      </c>
      <c r="B2234" s="5" t="s">
        <v>20098</v>
      </c>
      <c r="C2234" s="6" t="str">
        <f>HYPERLINK("https://www.ti.com/lit/gpn/CSD22204W", "PDF")</f>
        <v>PDF</v>
      </c>
      <c r="D2234" s="5" t="s">
        <v>20099</v>
      </c>
      <c r="E2234" s="5" t="s">
        <v>20100</v>
      </c>
      <c r="F2234" s="5"/>
      <c r="G2234" s="5" t="s">
        <v>20101</v>
      </c>
      <c r="H2234" s="1" t="s">
        <v>20102</v>
      </c>
      <c r="I2234" s="5" t="s">
        <v>20103</v>
      </c>
      <c r="J2234" s="7">
        <v>9</v>
      </c>
      <c r="K2234" s="7">
        <v>3.0625</v>
      </c>
      <c r="L2234" s="5" t="s">
        <v>20104</v>
      </c>
      <c r="M2234" s="7">
        <v>0.625</v>
      </c>
      <c r="N2234" s="7">
        <v>0.5</v>
      </c>
      <c r="O2234" s="7">
        <v>0.13500000000000001</v>
      </c>
      <c r="P2234" s="1" t="s">
        <v>20105</v>
      </c>
    </row>
    <row r="2235" spans="1:16" ht="33.4" x14ac:dyDescent="0.3">
      <c r="A2235" s="6" t="str">
        <f>HYPERLINK("https://www.ti.com/product/CSD13302W", "CSD13302W")</f>
        <v>CSD13302W</v>
      </c>
      <c r="B2235" s="5" t="s">
        <v>20106</v>
      </c>
      <c r="C2235" s="6" t="str">
        <f>HYPERLINK("https://www.ti.com/lit/gpn/CSD13302W", "PDF")</f>
        <v>PDF</v>
      </c>
      <c r="D2235" s="5" t="s">
        <v>20107</v>
      </c>
      <c r="E2235" s="5" t="s">
        <v>20108</v>
      </c>
      <c r="F2235" s="5"/>
      <c r="G2235" s="5" t="s">
        <v>20109</v>
      </c>
      <c r="H2235" s="1" t="s">
        <v>20110</v>
      </c>
      <c r="I2235" s="5" t="s">
        <v>20111</v>
      </c>
      <c r="J2235" s="7">
        <v>4</v>
      </c>
      <c r="K2235" s="7">
        <v>1.5625</v>
      </c>
      <c r="L2235" s="5" t="s">
        <v>20112</v>
      </c>
      <c r="M2235" s="7">
        <v>1</v>
      </c>
      <c r="N2235" s="7">
        <v>0.5</v>
      </c>
      <c r="O2235" s="7">
        <v>7.0000000000000007E-2</v>
      </c>
      <c r="P2235" s="1" t="s">
        <v>20113</v>
      </c>
    </row>
    <row r="2236" spans="1:16" ht="33.4" x14ac:dyDescent="0.3">
      <c r="A2236" s="6" t="str">
        <f>HYPERLINK("https://www.ti.com/product/CSD13306W", "CSD13306W")</f>
        <v>CSD13306W</v>
      </c>
      <c r="B2236" s="5" t="s">
        <v>20114</v>
      </c>
      <c r="C2236" s="6" t="str">
        <f>HYPERLINK("https://www.ti.com/lit/gpn/CSD13306W", "PDF")</f>
        <v>PDF</v>
      </c>
      <c r="D2236" s="5" t="s">
        <v>20115</v>
      </c>
      <c r="E2236" s="5" t="s">
        <v>20116</v>
      </c>
      <c r="F2236" s="5"/>
      <c r="G2236" s="5" t="s">
        <v>20117</v>
      </c>
      <c r="H2236" s="1" t="s">
        <v>20118</v>
      </c>
      <c r="I2236" s="5" t="s">
        <v>20119</v>
      </c>
      <c r="J2236" s="7">
        <v>6</v>
      </c>
      <c r="K2236" s="7">
        <v>2.1875</v>
      </c>
      <c r="L2236" s="5" t="s">
        <v>20120</v>
      </c>
      <c r="M2236" s="7">
        <v>1</v>
      </c>
      <c r="N2236" s="7">
        <v>0.5</v>
      </c>
      <c r="O2236" s="7">
        <v>0.10100000000000001</v>
      </c>
      <c r="P2236" s="1" t="s">
        <v>20121</v>
      </c>
    </row>
    <row r="2237" spans="1:16" ht="33.4" x14ac:dyDescent="0.3">
      <c r="A2237" s="6" t="str">
        <f>HYPERLINK("https://www.ti.com/product/TPS25200-Q1", "TPS25200-Q1")</f>
        <v>TPS25200-Q1</v>
      </c>
      <c r="B2237" s="5" t="s">
        <v>20122</v>
      </c>
      <c r="C2237" s="6" t="str">
        <f>HYPERLINK("https://www.ti.com/lit/gpn/TPS25200-Q1", "PDF")</f>
        <v>PDF</v>
      </c>
      <c r="D2237" s="5" t="s">
        <v>20123</v>
      </c>
      <c r="E2237" s="5" t="s">
        <v>20124</v>
      </c>
      <c r="F2237" s="5"/>
      <c r="G2237" s="5" t="s">
        <v>20125</v>
      </c>
      <c r="H2237" s="1" t="s">
        <v>20126</v>
      </c>
      <c r="I2237" s="5" t="s">
        <v>20127</v>
      </c>
      <c r="J2237" s="7">
        <v>6</v>
      </c>
      <c r="K2237" s="7">
        <v>4</v>
      </c>
      <c r="L2237" s="5" t="s">
        <v>20128</v>
      </c>
      <c r="M2237" s="7">
        <v>0.8</v>
      </c>
      <c r="N2237" s="7">
        <v>0.65</v>
      </c>
      <c r="O2237" s="7">
        <v>0.36299999999999999</v>
      </c>
      <c r="P2237" s="1" t="s">
        <v>20129</v>
      </c>
    </row>
    <row r="2238" spans="1:16" ht="49.75" x14ac:dyDescent="0.3">
      <c r="A2238" s="6" t="str">
        <f>HYPERLINK("https://www.ti.com/product/LM36923", "LM36923")</f>
        <v>LM36923</v>
      </c>
      <c r="B2238" s="5" t="s">
        <v>20130</v>
      </c>
      <c r="C2238" s="6" t="str">
        <f>HYPERLINK("https://www.ti.com/lit/gpn/LM36923", "PDF")</f>
        <v>PDF</v>
      </c>
      <c r="D2238" s="5" t="s">
        <v>20131</v>
      </c>
      <c r="E2238" s="5" t="s">
        <v>20132</v>
      </c>
      <c r="F2238" s="5" t="s">
        <v>20133</v>
      </c>
      <c r="G2238" s="5" t="s">
        <v>20134</v>
      </c>
      <c r="H2238" s="1" t="s">
        <v>20135</v>
      </c>
      <c r="I2238" s="5" t="s">
        <v>20136</v>
      </c>
      <c r="J2238" s="7">
        <v>12</v>
      </c>
      <c r="K2238" s="7">
        <v>2.52</v>
      </c>
      <c r="L2238" s="5" t="s">
        <v>20137</v>
      </c>
      <c r="M2238" s="7">
        <v>0.625</v>
      </c>
      <c r="N2238" s="7">
        <v>0.4</v>
      </c>
      <c r="O2238" s="7">
        <v>0.35899999999999999</v>
      </c>
      <c r="P2238" s="1" t="s">
        <v>20138</v>
      </c>
    </row>
    <row r="2239" spans="1:16" ht="33.4" x14ac:dyDescent="0.3">
      <c r="A2239" s="6" t="str">
        <f>HYPERLINK("https://www.ti.com/product/LM5175", "LM5175")</f>
        <v>LM5175</v>
      </c>
      <c r="B2239" s="5" t="s">
        <v>20139</v>
      </c>
      <c r="C2239" s="6" t="str">
        <f>HYPERLINK("https://www.ti.com/lit/gpn/LM5175", "PDF")</f>
        <v>PDF</v>
      </c>
      <c r="D2239" s="5" t="s">
        <v>20140</v>
      </c>
      <c r="E2239" s="5" t="s">
        <v>20141</v>
      </c>
      <c r="F2239" s="5" t="s">
        <v>20142</v>
      </c>
      <c r="G2239" s="5" t="s">
        <v>20143</v>
      </c>
      <c r="H2239" s="1" t="s">
        <v>20144</v>
      </c>
      <c r="I2239" s="5" t="s">
        <v>20145</v>
      </c>
      <c r="J2239" s="7">
        <v>28</v>
      </c>
      <c r="K2239" s="7" t="s">
        <v>20146</v>
      </c>
      <c r="L2239" s="5" t="s">
        <v>20147</v>
      </c>
      <c r="M2239" s="7" t="s">
        <v>20148</v>
      </c>
      <c r="N2239" s="7" t="s">
        <v>20149</v>
      </c>
      <c r="O2239" s="7">
        <v>3.4510000000000001</v>
      </c>
      <c r="P2239" s="1" t="s">
        <v>20150</v>
      </c>
    </row>
    <row r="2240" spans="1:16" ht="33.4" x14ac:dyDescent="0.3">
      <c r="A2240" s="6" t="str">
        <f>HYPERLINK("https://www.ti.com/product/CSD17578Q5A", "CSD17578Q5A")</f>
        <v>CSD17578Q5A</v>
      </c>
      <c r="B2240" s="5" t="s">
        <v>20151</v>
      </c>
      <c r="C2240" s="6" t="str">
        <f>HYPERLINK("https://www.ti.com/lit/gpn/CSD17578Q5A", "PDF")</f>
        <v>PDF</v>
      </c>
      <c r="D2240" s="5" t="s">
        <v>20152</v>
      </c>
      <c r="E2240" s="5" t="s">
        <v>20153</v>
      </c>
      <c r="F2240" s="5"/>
      <c r="G2240" s="5" t="s">
        <v>20154</v>
      </c>
      <c r="H2240" s="1" t="s">
        <v>20155</v>
      </c>
      <c r="I2240" s="5" t="s">
        <v>20156</v>
      </c>
      <c r="J2240" s="7">
        <v>8</v>
      </c>
      <c r="K2240" s="7">
        <v>29.4</v>
      </c>
      <c r="L2240" s="5" t="s">
        <v>20157</v>
      </c>
      <c r="M2240" s="7">
        <v>1.1000000000000001</v>
      </c>
      <c r="N2240" s="7">
        <v>1.27</v>
      </c>
      <c r="O2240" s="7">
        <v>0.151</v>
      </c>
      <c r="P2240" s="1" t="s">
        <v>20158</v>
      </c>
    </row>
    <row r="2241" spans="1:16" ht="33.4" x14ac:dyDescent="0.3">
      <c r="A2241" s="6" t="str">
        <f>HYPERLINK("https://www.ti.com/product/CSD17579Q5A", "CSD17579Q5A")</f>
        <v>CSD17579Q5A</v>
      </c>
      <c r="B2241" s="5" t="s">
        <v>20159</v>
      </c>
      <c r="C2241" s="6" t="str">
        <f>HYPERLINK("https://www.ti.com/lit/gpn/CSD17579Q5A", "PDF")</f>
        <v>PDF</v>
      </c>
      <c r="D2241" s="5" t="s">
        <v>20160</v>
      </c>
      <c r="E2241" s="5" t="s">
        <v>20161</v>
      </c>
      <c r="F2241" s="5"/>
      <c r="G2241" s="5" t="s">
        <v>20162</v>
      </c>
      <c r="H2241" s="1" t="s">
        <v>20163</v>
      </c>
      <c r="I2241" s="5" t="s">
        <v>20164</v>
      </c>
      <c r="J2241" s="7">
        <v>8</v>
      </c>
      <c r="K2241" s="7">
        <v>29.4</v>
      </c>
      <c r="L2241" s="5" t="s">
        <v>20165</v>
      </c>
      <c r="M2241" s="7">
        <v>1.1000000000000001</v>
      </c>
      <c r="N2241" s="7">
        <v>1.27</v>
      </c>
      <c r="O2241" s="7">
        <v>0.156</v>
      </c>
      <c r="P2241" s="1" t="s">
        <v>20166</v>
      </c>
    </row>
    <row r="2242" spans="1:16" ht="33.4" x14ac:dyDescent="0.3">
      <c r="A2242" s="6" t="str">
        <f>HYPERLINK("https://www.ti.com/product/LMR14020", "LMR14020")</f>
        <v>LMR14020</v>
      </c>
      <c r="B2242" s="5" t="s">
        <v>20167</v>
      </c>
      <c r="C2242" s="6" t="str">
        <f>HYPERLINK("https://www.ti.com/lit/gpn/LMR14020", "PDF")</f>
        <v>PDF</v>
      </c>
      <c r="D2242" s="5" t="s">
        <v>20168</v>
      </c>
      <c r="E2242" s="5" t="s">
        <v>20169</v>
      </c>
      <c r="F2242" s="5" t="s">
        <v>20170</v>
      </c>
      <c r="G2242" s="5" t="s">
        <v>20171</v>
      </c>
      <c r="H2242" s="1" t="s">
        <v>20172</v>
      </c>
      <c r="I2242" s="5" t="s">
        <v>20173</v>
      </c>
      <c r="J2242" s="7">
        <v>8</v>
      </c>
      <c r="K2242" s="7">
        <v>29.4</v>
      </c>
      <c r="L2242" s="5" t="s">
        <v>20174</v>
      </c>
      <c r="M2242" s="7">
        <v>1.7</v>
      </c>
      <c r="N2242" s="7">
        <v>1.27</v>
      </c>
      <c r="O2242" s="7">
        <v>1.093</v>
      </c>
      <c r="P2242" s="1" t="s">
        <v>20175</v>
      </c>
    </row>
    <row r="2243" spans="1:16" ht="33.4" x14ac:dyDescent="0.3">
      <c r="A2243" s="6" t="str">
        <f>HYPERLINK("https://www.ti.com/product/LMR14030", "LMR14030")</f>
        <v>LMR14030</v>
      </c>
      <c r="B2243" s="5" t="s">
        <v>20176</v>
      </c>
      <c r="C2243" s="6" t="str">
        <f>HYPERLINK("https://www.ti.com/lit/gpn/LMR14030", "PDF")</f>
        <v>PDF</v>
      </c>
      <c r="D2243" s="5" t="s">
        <v>20177</v>
      </c>
      <c r="E2243" s="5" t="s">
        <v>20178</v>
      </c>
      <c r="F2243" s="5" t="s">
        <v>20179</v>
      </c>
      <c r="G2243" s="5" t="s">
        <v>20180</v>
      </c>
      <c r="H2243" s="1" t="s">
        <v>20181</v>
      </c>
      <c r="I2243" s="5" t="s">
        <v>20182</v>
      </c>
      <c r="J2243" s="7">
        <v>8</v>
      </c>
      <c r="K2243" s="7">
        <v>29.4</v>
      </c>
      <c r="L2243" s="5" t="s">
        <v>20183</v>
      </c>
      <c r="M2243" s="7">
        <v>1.7</v>
      </c>
      <c r="N2243" s="7">
        <v>1.27</v>
      </c>
      <c r="O2243" s="7">
        <v>1.206</v>
      </c>
      <c r="P2243" s="1" t="s">
        <v>20184</v>
      </c>
    </row>
    <row r="2244" spans="1:16" ht="33.4" x14ac:dyDescent="0.3">
      <c r="A2244" s="6" t="str">
        <f>HYPERLINK("https://www.ti.com/product/LMR14050", "LMR14050")</f>
        <v>LMR14050</v>
      </c>
      <c r="B2244" s="5" t="s">
        <v>20185</v>
      </c>
      <c r="C2244" s="6" t="str">
        <f>HYPERLINK("https://www.ti.com/lit/gpn/LMR14050", "PDF")</f>
        <v>PDF</v>
      </c>
      <c r="D2244" s="5" t="s">
        <v>20186</v>
      </c>
      <c r="E2244" s="5" t="s">
        <v>20187</v>
      </c>
      <c r="F2244" s="5" t="s">
        <v>20188</v>
      </c>
      <c r="G2244" s="5" t="s">
        <v>20189</v>
      </c>
      <c r="H2244" s="1" t="s">
        <v>20190</v>
      </c>
      <c r="I2244" s="5" t="s">
        <v>20191</v>
      </c>
      <c r="J2244" s="7">
        <v>8</v>
      </c>
      <c r="K2244" s="7">
        <v>29.4</v>
      </c>
      <c r="L2244" s="5" t="s">
        <v>20192</v>
      </c>
      <c r="M2244" s="7">
        <v>1.7</v>
      </c>
      <c r="N2244" s="7">
        <v>1.27</v>
      </c>
      <c r="O2244" s="7">
        <v>1.4530000000000001</v>
      </c>
      <c r="P2244" s="1" t="s">
        <v>20193</v>
      </c>
    </row>
    <row r="2245" spans="1:16" ht="33.4" x14ac:dyDescent="0.3">
      <c r="A2245" s="6" t="str">
        <f>HYPERLINK("https://www.ti.com/product/TPS24740", "TPS24740")</f>
        <v>TPS24740</v>
      </c>
      <c r="B2245" s="5" t="s">
        <v>20194</v>
      </c>
      <c r="C2245" s="6" t="str">
        <f>HYPERLINK("https://www.ti.com/lit/gpn/TPS24740", "PDF")</f>
        <v>PDF</v>
      </c>
      <c r="D2245" s="5" t="s">
        <v>20195</v>
      </c>
      <c r="E2245" s="5" t="s">
        <v>20196</v>
      </c>
      <c r="F2245" s="5"/>
      <c r="G2245" s="5" t="s">
        <v>20197</v>
      </c>
      <c r="H2245" s="1" t="s">
        <v>20198</v>
      </c>
      <c r="I2245" s="5" t="s">
        <v>20199</v>
      </c>
      <c r="J2245" s="7">
        <v>24</v>
      </c>
      <c r="K2245" s="7">
        <v>16</v>
      </c>
      <c r="L2245" s="5" t="s">
        <v>20200</v>
      </c>
      <c r="M2245" s="7">
        <v>1</v>
      </c>
      <c r="N2245" s="7">
        <v>0.5</v>
      </c>
      <c r="O2245" s="7">
        <v>3.4910000000000001</v>
      </c>
      <c r="P2245" s="1" t="s">
        <v>20201</v>
      </c>
    </row>
    <row r="2246" spans="1:16" ht="33.4" x14ac:dyDescent="0.3">
      <c r="A2246" s="6" t="str">
        <f>HYPERLINK("https://www.ti.com/product/TPS24741", "TPS24741")</f>
        <v>TPS24741</v>
      </c>
      <c r="B2246" s="5" t="s">
        <v>20202</v>
      </c>
      <c r="C2246" s="6" t="str">
        <f>HYPERLINK("https://www.ti.com/lit/gpn/TPS24741", "PDF")</f>
        <v>PDF</v>
      </c>
      <c r="D2246" s="5" t="s">
        <v>20203</v>
      </c>
      <c r="E2246" s="5" t="s">
        <v>20204</v>
      </c>
      <c r="F2246" s="5"/>
      <c r="G2246" s="5" t="s">
        <v>20205</v>
      </c>
      <c r="H2246" s="1" t="s">
        <v>20206</v>
      </c>
      <c r="I2246" s="5" t="s">
        <v>20207</v>
      </c>
      <c r="J2246" s="7">
        <v>24</v>
      </c>
      <c r="K2246" s="7">
        <v>16</v>
      </c>
      <c r="L2246" s="5" t="s">
        <v>20208</v>
      </c>
      <c r="M2246" s="7">
        <v>1</v>
      </c>
      <c r="N2246" s="7">
        <v>0.5</v>
      </c>
      <c r="O2246" s="7">
        <v>3.4910000000000001</v>
      </c>
      <c r="P2246" s="1" t="s">
        <v>20209</v>
      </c>
    </row>
    <row r="2247" spans="1:16" ht="17.05" x14ac:dyDescent="0.3">
      <c r="A2247" s="6" t="str">
        <f>HYPERLINK("https://www.ti.com/product/TPS24742", "TPS24742")</f>
        <v>TPS24742</v>
      </c>
      <c r="B2247" s="5" t="s">
        <v>20210</v>
      </c>
      <c r="C2247" s="6" t="str">
        <f>HYPERLINK("https://www.ti.com/lit/gpn/TPS24742", "PDF")</f>
        <v>PDF</v>
      </c>
      <c r="D2247" s="5" t="s">
        <v>20211</v>
      </c>
      <c r="E2247" s="5" t="s">
        <v>20212</v>
      </c>
      <c r="F2247" s="5"/>
      <c r="G2247" s="5" t="s">
        <v>20213</v>
      </c>
      <c r="H2247" s="1" t="s">
        <v>20214</v>
      </c>
      <c r="I2247" s="5" t="s">
        <v>20215</v>
      </c>
      <c r="J2247" s="7">
        <v>24</v>
      </c>
      <c r="K2247" s="7">
        <v>16</v>
      </c>
      <c r="L2247" s="5" t="s">
        <v>20216</v>
      </c>
      <c r="M2247" s="7">
        <v>1</v>
      </c>
      <c r="N2247" s="7">
        <v>0.5</v>
      </c>
      <c r="O2247" s="7">
        <v>3.4910000000000001</v>
      </c>
      <c r="P2247" s="1" t="s">
        <v>20217</v>
      </c>
    </row>
    <row r="2248" spans="1:16" ht="33.4" x14ac:dyDescent="0.3">
      <c r="A2248" s="6" t="str">
        <f>HYPERLINK("https://www.ti.com/product/TPS62184", "TPS62184")</f>
        <v>TPS62184</v>
      </c>
      <c r="B2248" s="5" t="s">
        <v>20218</v>
      </c>
      <c r="C2248" s="6" t="str">
        <f>HYPERLINK("https://www.ti.com/lit/gpn/TPS62184", "PDF")</f>
        <v>PDF</v>
      </c>
      <c r="D2248" s="5" t="s">
        <v>20219</v>
      </c>
      <c r="E2248" s="5" t="s">
        <v>20220</v>
      </c>
      <c r="F2248" s="5" t="s">
        <v>20221</v>
      </c>
      <c r="G2248" s="5" t="s">
        <v>20222</v>
      </c>
      <c r="H2248" s="1" t="s">
        <v>20223</v>
      </c>
      <c r="I2248" s="5" t="s">
        <v>20224</v>
      </c>
      <c r="J2248" s="7">
        <v>24</v>
      </c>
      <c r="K2248" s="7">
        <v>7.3125</v>
      </c>
      <c r="L2248" s="5" t="s">
        <v>20225</v>
      </c>
      <c r="M2248" s="7">
        <v>0.625</v>
      </c>
      <c r="N2248" s="7">
        <v>0.5</v>
      </c>
      <c r="O2248" s="7">
        <v>1.341</v>
      </c>
      <c r="P2248" s="1" t="s">
        <v>20226</v>
      </c>
    </row>
    <row r="2249" spans="1:16" ht="33.4" x14ac:dyDescent="0.3">
      <c r="A2249" s="6" t="str">
        <f>HYPERLINK("https://www.ti.com/product/UCC24650", "UCC24650")</f>
        <v>UCC24650</v>
      </c>
      <c r="B2249" s="5" t="s">
        <v>20227</v>
      </c>
      <c r="C2249" s="6" t="str">
        <f>HYPERLINK("https://www.ti.com/lit/gpn/UCC24650", "PDF")</f>
        <v>PDF</v>
      </c>
      <c r="D2249" s="5" t="s">
        <v>20228</v>
      </c>
      <c r="E2249" s="5" t="s">
        <v>20229</v>
      </c>
      <c r="F2249" s="5" t="s">
        <v>20230</v>
      </c>
      <c r="G2249" s="5" t="s">
        <v>20231</v>
      </c>
      <c r="H2249" s="1" t="s">
        <v>20232</v>
      </c>
      <c r="I2249" s="5" t="s">
        <v>20233</v>
      </c>
      <c r="J2249" s="7">
        <v>5</v>
      </c>
      <c r="K2249" s="7">
        <v>8.1199999999999992</v>
      </c>
      <c r="L2249" s="5" t="s">
        <v>20234</v>
      </c>
      <c r="M2249" s="7">
        <v>1.45</v>
      </c>
      <c r="N2249" s="7">
        <v>0.95</v>
      </c>
      <c r="O2249" s="7">
        <v>0.184</v>
      </c>
      <c r="P2249" s="1" t="s">
        <v>20235</v>
      </c>
    </row>
    <row r="2250" spans="1:16" ht="33.4" x14ac:dyDescent="0.3">
      <c r="A2250" s="6" t="str">
        <f>HYPERLINK("https://www.ti.com/product/UCC28730", "UCC28730")</f>
        <v>UCC28730</v>
      </c>
      <c r="B2250" s="5" t="s">
        <v>20236</v>
      </c>
      <c r="C2250" s="6" t="str">
        <f>HYPERLINK("https://www.ti.com/lit/gpn/UCC28730", "PDF")</f>
        <v>PDF</v>
      </c>
      <c r="D2250" s="5" t="s">
        <v>20237</v>
      </c>
      <c r="E2250" s="5" t="s">
        <v>20238</v>
      </c>
      <c r="F2250" s="5" t="s">
        <v>20239</v>
      </c>
      <c r="G2250" s="5" t="s">
        <v>20240</v>
      </c>
      <c r="H2250" s="1" t="s">
        <v>20241</v>
      </c>
      <c r="I2250" s="5" t="s">
        <v>20242</v>
      </c>
      <c r="J2250" s="7">
        <v>7</v>
      </c>
      <c r="K2250" s="7">
        <v>29.4</v>
      </c>
      <c r="L2250" s="5" t="s">
        <v>20243</v>
      </c>
      <c r="M2250" s="7">
        <v>1.75</v>
      </c>
      <c r="N2250" s="7">
        <v>1.27</v>
      </c>
      <c r="O2250" s="7">
        <v>0.46300000000000002</v>
      </c>
      <c r="P2250" s="1" t="s">
        <v>20244</v>
      </c>
    </row>
    <row r="2251" spans="1:16" ht="33.4" x14ac:dyDescent="0.3">
      <c r="A2251" s="6" t="str">
        <f>HYPERLINK("https://www.ti.com/product/TPS3702", "TPS3702")</f>
        <v>TPS3702</v>
      </c>
      <c r="B2251" s="5" t="s">
        <v>20245</v>
      </c>
      <c r="C2251" s="6" t="str">
        <f>HYPERLINK("https://www.ti.com/lit/gpn/TPS3702", "PDF")</f>
        <v>PDF</v>
      </c>
      <c r="D2251" s="5" t="s">
        <v>20246</v>
      </c>
      <c r="E2251" s="5" t="s">
        <v>20247</v>
      </c>
      <c r="F2251" s="5"/>
      <c r="G2251" s="5" t="s">
        <v>20248</v>
      </c>
      <c r="H2251" s="1" t="s">
        <v>20249</v>
      </c>
      <c r="I2251" s="5" t="s">
        <v>20250</v>
      </c>
      <c r="J2251" s="7">
        <v>6</v>
      </c>
      <c r="K2251" s="7">
        <v>8.1199999999999992</v>
      </c>
      <c r="L2251" s="5" t="s">
        <v>20251</v>
      </c>
      <c r="M2251" s="7">
        <v>1.1000000000000001</v>
      </c>
      <c r="N2251" s="7">
        <v>0.95</v>
      </c>
      <c r="O2251" s="7">
        <v>0.88900000000000001</v>
      </c>
      <c r="P2251" s="1" t="s">
        <v>20252</v>
      </c>
    </row>
    <row r="2252" spans="1:16" ht="33.4" x14ac:dyDescent="0.3">
      <c r="A2252" s="6" t="str">
        <f>HYPERLINK("https://www.ti.com/product/TPS1H100-Q1", "TPS1H100-Q1")</f>
        <v>TPS1H100-Q1</v>
      </c>
      <c r="B2252" s="5" t="s">
        <v>20253</v>
      </c>
      <c r="C2252" s="6" t="str">
        <f>HYPERLINK("https://www.ti.com/lit/gpn/TPS1H100-Q1", "PDF")</f>
        <v>PDF</v>
      </c>
      <c r="D2252" s="5" t="s">
        <v>20254</v>
      </c>
      <c r="E2252" s="5" t="s">
        <v>20255</v>
      </c>
      <c r="F2252" s="5"/>
      <c r="G2252" s="5" t="s">
        <v>20256</v>
      </c>
      <c r="H2252" s="1" t="s">
        <v>20257</v>
      </c>
      <c r="I2252" s="5" t="s">
        <v>20258</v>
      </c>
      <c r="J2252" s="7">
        <v>14</v>
      </c>
      <c r="K2252" s="7">
        <v>32</v>
      </c>
      <c r="L2252" s="5" t="s">
        <v>20259</v>
      </c>
      <c r="M2252" s="7">
        <v>1.2</v>
      </c>
      <c r="N2252" s="7">
        <v>0.65</v>
      </c>
      <c r="O2252" s="7">
        <v>0.72</v>
      </c>
      <c r="P2252" s="1" t="s">
        <v>20260</v>
      </c>
    </row>
    <row r="2253" spans="1:16" ht="33.4" x14ac:dyDescent="0.3">
      <c r="A2253" s="6" t="str">
        <f>HYPERLINK("https://www.ti.com/product/LP8728B-Q1", "LP8728B-Q1")</f>
        <v>LP8728B-Q1</v>
      </c>
      <c r="B2253" s="5" t="s">
        <v>20261</v>
      </c>
      <c r="C2253" s="6" t="str">
        <f>HYPERLINK("https://www.ti.com/lit/gpn/LP8728B-Q1", "PDF")</f>
        <v>PDF</v>
      </c>
      <c r="D2253" s="5" t="s">
        <v>20262</v>
      </c>
      <c r="E2253" s="5" t="s">
        <v>20263</v>
      </c>
      <c r="F2253" s="5"/>
      <c r="G2253" s="5" t="s">
        <v>20264</v>
      </c>
      <c r="H2253" s="1" t="s">
        <v>20265</v>
      </c>
      <c r="I2253" s="5" t="s">
        <v>20266</v>
      </c>
      <c r="J2253" s="7">
        <v>28</v>
      </c>
      <c r="K2253" s="7">
        <v>25</v>
      </c>
      <c r="L2253" s="5" t="s">
        <v>20267</v>
      </c>
      <c r="M2253" s="7">
        <v>0.8</v>
      </c>
      <c r="N2253" s="7">
        <v>0.5</v>
      </c>
      <c r="O2253" s="7">
        <v>2.1779999999999999</v>
      </c>
      <c r="P2253" s="1" t="s">
        <v>20268</v>
      </c>
    </row>
    <row r="2254" spans="1:16" ht="33.4" x14ac:dyDescent="0.3">
      <c r="A2254" s="6" t="str">
        <f>HYPERLINK("https://www.ti.com/product/LP8728C-Q1", "LP8728C-Q1")</f>
        <v>LP8728C-Q1</v>
      </c>
      <c r="B2254" s="5" t="s">
        <v>20269</v>
      </c>
      <c r="C2254" s="6" t="str">
        <f>HYPERLINK("https://www.ti.com/lit/gpn/LP8728C-Q1", "PDF")</f>
        <v>PDF</v>
      </c>
      <c r="D2254" s="5" t="s">
        <v>20270</v>
      </c>
      <c r="E2254" s="5" t="s">
        <v>20271</v>
      </c>
      <c r="F2254" s="5"/>
      <c r="G2254" s="5" t="s">
        <v>20272</v>
      </c>
      <c r="H2254" s="1" t="s">
        <v>20273</v>
      </c>
      <c r="I2254" s="5" t="s">
        <v>20274</v>
      </c>
      <c r="J2254" s="7">
        <v>28</v>
      </c>
      <c r="K2254" s="7">
        <v>25</v>
      </c>
      <c r="L2254" s="5" t="s">
        <v>20275</v>
      </c>
      <c r="M2254" s="7">
        <v>0.8</v>
      </c>
      <c r="N2254" s="7">
        <v>0.5</v>
      </c>
      <c r="O2254" s="7">
        <v>2.1779999999999999</v>
      </c>
      <c r="P2254" s="1" t="s">
        <v>20276</v>
      </c>
    </row>
    <row r="2255" spans="1:16" ht="33.4" x14ac:dyDescent="0.3">
      <c r="A2255" s="6" t="str">
        <f>HYPERLINK("https://www.ti.com/product/LP8728D-Q1", "LP8728D-Q1")</f>
        <v>LP8728D-Q1</v>
      </c>
      <c r="B2255" s="5" t="s">
        <v>20277</v>
      </c>
      <c r="C2255" s="6" t="str">
        <f>HYPERLINK("https://www.ti.com/lit/gpn/LP8728D-Q1", "PDF")</f>
        <v>PDF</v>
      </c>
      <c r="D2255" s="5" t="s">
        <v>20278</v>
      </c>
      <c r="E2255" s="5" t="s">
        <v>20279</v>
      </c>
      <c r="F2255" s="5"/>
      <c r="G2255" s="5" t="s">
        <v>20280</v>
      </c>
      <c r="H2255" s="1" t="s">
        <v>20281</v>
      </c>
      <c r="I2255" s="5" t="s">
        <v>20282</v>
      </c>
      <c r="J2255" s="7">
        <v>28</v>
      </c>
      <c r="K2255" s="7">
        <v>25</v>
      </c>
      <c r="L2255" s="5" t="s">
        <v>20283</v>
      </c>
      <c r="M2255" s="7">
        <v>0.8</v>
      </c>
      <c r="N2255" s="7">
        <v>0.5</v>
      </c>
      <c r="O2255" s="7">
        <v>2.1779999999999999</v>
      </c>
      <c r="P2255" s="1" t="s">
        <v>20284</v>
      </c>
    </row>
    <row r="2256" spans="1:16" ht="33.4" x14ac:dyDescent="0.3">
      <c r="A2256" s="6" t="str">
        <f>HYPERLINK("https://www.ti.com/product/TPS61093-Q1", "TPS61093-Q1")</f>
        <v>TPS61093-Q1</v>
      </c>
      <c r="B2256" s="5" t="s">
        <v>20285</v>
      </c>
      <c r="C2256" s="6" t="str">
        <f>HYPERLINK("https://www.ti.com/lit/gpn/TPS61093-Q1", "PDF")</f>
        <v>PDF</v>
      </c>
      <c r="D2256" s="5" t="s">
        <v>20286</v>
      </c>
      <c r="E2256" s="5" t="s">
        <v>20287</v>
      </c>
      <c r="F2256" s="5" t="s">
        <v>20288</v>
      </c>
      <c r="G2256" s="5" t="s">
        <v>20289</v>
      </c>
      <c r="H2256" s="1" t="s">
        <v>20290</v>
      </c>
      <c r="I2256" s="5" t="s">
        <v>20291</v>
      </c>
      <c r="J2256" s="7">
        <v>10</v>
      </c>
      <c r="K2256" s="7">
        <v>6.25</v>
      </c>
      <c r="L2256" s="5" t="s">
        <v>20292</v>
      </c>
      <c r="M2256" s="7">
        <v>0.8</v>
      </c>
      <c r="N2256" s="7">
        <v>0.5</v>
      </c>
      <c r="O2256" s="7">
        <v>1.5760000000000001</v>
      </c>
      <c r="P2256" s="1" t="s">
        <v>20293</v>
      </c>
    </row>
    <row r="2257" spans="1:16" ht="33.4" x14ac:dyDescent="0.3">
      <c r="A2257" s="6" t="str">
        <f>HYPERLINK("https://www.ti.com/product/TPS22968-Q1", "TPS22968-Q1")</f>
        <v>TPS22968-Q1</v>
      </c>
      <c r="B2257" s="5" t="s">
        <v>20294</v>
      </c>
      <c r="C2257" s="6" t="str">
        <f>HYPERLINK("https://www.ti.com/lit/gpn/TPS22968-Q1", "PDF")</f>
        <v>PDF</v>
      </c>
      <c r="D2257" s="5" t="s">
        <v>20295</v>
      </c>
      <c r="E2257" s="5" t="s">
        <v>20296</v>
      </c>
      <c r="F2257" s="5"/>
      <c r="G2257" s="5" t="s">
        <v>20297</v>
      </c>
      <c r="H2257" s="1" t="s">
        <v>20298</v>
      </c>
      <c r="I2257" s="5" t="s">
        <v>20299</v>
      </c>
      <c r="J2257" s="7">
        <v>10</v>
      </c>
      <c r="K2257" s="7">
        <v>6</v>
      </c>
      <c r="L2257" s="5" t="s">
        <v>20300</v>
      </c>
      <c r="M2257" s="7">
        <v>0.8</v>
      </c>
      <c r="N2257" s="7">
        <v>0.5</v>
      </c>
      <c r="O2257" s="7">
        <v>0.29499999999999998</v>
      </c>
      <c r="P2257" s="1" t="s">
        <v>20301</v>
      </c>
    </row>
    <row r="2258" spans="1:16" ht="33.4" x14ac:dyDescent="0.3">
      <c r="A2258" s="6" t="str">
        <f>HYPERLINK("https://www.ti.com/product/UCC28063A", "UCC28063A")</f>
        <v>UCC28063A</v>
      </c>
      <c r="B2258" s="5" t="s">
        <v>20302</v>
      </c>
      <c r="C2258" s="6" t="str">
        <f>HYPERLINK("https://www.ti.com/lit/gpn/UCC28063A", "PDF")</f>
        <v>PDF</v>
      </c>
      <c r="D2258" s="5" t="s">
        <v>20303</v>
      </c>
      <c r="E2258" s="5" t="s">
        <v>20304</v>
      </c>
      <c r="F2258" s="5" t="s">
        <v>20305</v>
      </c>
      <c r="G2258" s="5" t="s">
        <v>20306</v>
      </c>
      <c r="H2258" s="1" t="s">
        <v>20307</v>
      </c>
      <c r="I2258" s="5" t="s">
        <v>20308</v>
      </c>
      <c r="J2258" s="7">
        <v>16</v>
      </c>
      <c r="K2258" s="7">
        <v>59.4</v>
      </c>
      <c r="L2258" s="5" t="s">
        <v>20309</v>
      </c>
      <c r="M2258" s="7">
        <v>1.75</v>
      </c>
      <c r="N2258" s="7">
        <v>1.27</v>
      </c>
      <c r="O2258" s="7">
        <v>0.80500000000000005</v>
      </c>
      <c r="P2258" s="1" t="s">
        <v>20310</v>
      </c>
    </row>
    <row r="2259" spans="1:16" ht="33.4" x14ac:dyDescent="0.3">
      <c r="A2259" s="6" t="str">
        <f>HYPERLINK("https://www.ti.com/product/LM5160A", "LM5160A")</f>
        <v>LM5160A</v>
      </c>
      <c r="B2259" s="5" t="s">
        <v>20311</v>
      </c>
      <c r="C2259" s="6" t="str">
        <f>HYPERLINK("https://www.ti.com/lit/gpn/LM5160A", "PDF")</f>
        <v>PDF</v>
      </c>
      <c r="D2259" s="5" t="s">
        <v>20312</v>
      </c>
      <c r="E2259" s="5" t="s">
        <v>20313</v>
      </c>
      <c r="F2259" s="5" t="s">
        <v>20314</v>
      </c>
      <c r="G2259" s="5" t="s">
        <v>20315</v>
      </c>
      <c r="H2259" s="1" t="s">
        <v>20316</v>
      </c>
      <c r="I2259" s="5" t="s">
        <v>20317</v>
      </c>
      <c r="J2259" s="7">
        <v>12</v>
      </c>
      <c r="K2259" s="7">
        <v>16</v>
      </c>
      <c r="L2259" s="5" t="s">
        <v>20318</v>
      </c>
      <c r="M2259" s="7">
        <v>0.8</v>
      </c>
      <c r="N2259" s="7">
        <v>0.5</v>
      </c>
      <c r="O2259" s="7">
        <v>0.86299999999999999</v>
      </c>
      <c r="P2259" s="1" t="s">
        <v>20319</v>
      </c>
    </row>
    <row r="2260" spans="1:16" ht="17.05" x14ac:dyDescent="0.3">
      <c r="A2260" s="6" t="str">
        <f>HYPERLINK("https://www.ti.com/product/TPS92512", "TPS92512")</f>
        <v>TPS92512</v>
      </c>
      <c r="B2260" s="5" t="s">
        <v>20320</v>
      </c>
      <c r="C2260" s="6" t="str">
        <f>HYPERLINK("https://www.ti.com/lit/gpn/TPS92512", "PDF")</f>
        <v>PDF</v>
      </c>
      <c r="D2260" s="5" t="s">
        <v>20321</v>
      </c>
      <c r="E2260" s="5" t="s">
        <v>20322</v>
      </c>
      <c r="F2260" s="5" t="s">
        <v>20323</v>
      </c>
      <c r="G2260" s="5" t="s">
        <v>20324</v>
      </c>
      <c r="H2260" s="1" t="s">
        <v>20325</v>
      </c>
      <c r="I2260" s="5" t="s">
        <v>20326</v>
      </c>
      <c r="J2260" s="7">
        <v>10</v>
      </c>
      <c r="K2260" s="7">
        <v>14.7</v>
      </c>
      <c r="L2260" s="5" t="s">
        <v>20327</v>
      </c>
      <c r="M2260" s="7">
        <v>1.1000000000000001</v>
      </c>
      <c r="N2260" s="7">
        <v>0.5</v>
      </c>
      <c r="O2260" s="7">
        <v>0.88300000000000001</v>
      </c>
      <c r="P2260" s="1" t="s">
        <v>20328</v>
      </c>
    </row>
    <row r="2261" spans="1:16" ht="17.05" x14ac:dyDescent="0.3">
      <c r="A2261" s="6" t="str">
        <f>HYPERLINK("https://www.ti.com/product/TPS92512HV", "TPS92512HV")</f>
        <v>TPS92512HV</v>
      </c>
      <c r="B2261" s="5" t="s">
        <v>20329</v>
      </c>
      <c r="C2261" s="6" t="str">
        <f>HYPERLINK("https://www.ti.com/lit/gpn/TPS92512HV", "PDF")</f>
        <v>PDF</v>
      </c>
      <c r="D2261" s="5" t="s">
        <v>20330</v>
      </c>
      <c r="E2261" s="5" t="s">
        <v>20331</v>
      </c>
      <c r="F2261" s="5" t="s">
        <v>20332</v>
      </c>
      <c r="G2261" s="5" t="s">
        <v>20333</v>
      </c>
      <c r="H2261" s="1" t="s">
        <v>20334</v>
      </c>
      <c r="I2261" s="5" t="s">
        <v>20335</v>
      </c>
      <c r="J2261" s="7">
        <v>10</v>
      </c>
      <c r="K2261" s="7">
        <v>14.7</v>
      </c>
      <c r="L2261" s="5" t="s">
        <v>20336</v>
      </c>
      <c r="M2261" s="7">
        <v>1.1000000000000001</v>
      </c>
      <c r="N2261" s="7">
        <v>0.5</v>
      </c>
      <c r="O2261" s="7">
        <v>0.96599999999999997</v>
      </c>
      <c r="P2261" s="1" t="s">
        <v>20337</v>
      </c>
    </row>
    <row r="2262" spans="1:16" ht="17.05" x14ac:dyDescent="0.3">
      <c r="A2262" s="6" t="str">
        <f>HYPERLINK("https://www.ti.com/product/CSD97394Q4M", "CSD97394Q4M")</f>
        <v>CSD97394Q4M</v>
      </c>
      <c r="B2262" s="5" t="s">
        <v>20338</v>
      </c>
      <c r="C2262" s="6" t="str">
        <f>HYPERLINK("https://www.ti.com/lit/gpn/CSD97394Q4M", "PDF")</f>
        <v>PDF</v>
      </c>
      <c r="D2262" s="5" t="s">
        <v>20339</v>
      </c>
      <c r="E2262" s="5" t="s">
        <v>20340</v>
      </c>
      <c r="F2262" s="5"/>
      <c r="G2262" s="5" t="s">
        <v>20341</v>
      </c>
      <c r="H2262" s="1" t="s">
        <v>20342</v>
      </c>
      <c r="I2262" s="5" t="s">
        <v>20343</v>
      </c>
      <c r="J2262" s="7">
        <v>8</v>
      </c>
      <c r="K2262" s="7">
        <v>15.75</v>
      </c>
      <c r="L2262" s="5" t="s">
        <v>20344</v>
      </c>
      <c r="M2262" s="7">
        <v>1</v>
      </c>
      <c r="N2262" s="7">
        <v>0.4</v>
      </c>
      <c r="O2262" s="7">
        <v>0.67700000000000005</v>
      </c>
      <c r="P2262" s="1" t="s">
        <v>20345</v>
      </c>
    </row>
    <row r="2263" spans="1:16" ht="33.4" x14ac:dyDescent="0.3">
      <c r="A2263" s="6" t="str">
        <f>HYPERLINK("https://www.ti.com/product/TPS62134D", "TPS62134D")</f>
        <v>TPS62134D</v>
      </c>
      <c r="B2263" s="5" t="s">
        <v>20346</v>
      </c>
      <c r="C2263" s="6" t="str">
        <f>HYPERLINK("https://www.ti.com/lit/gpn/TPS62134D", "PDF")</f>
        <v>PDF</v>
      </c>
      <c r="D2263" s="5" t="s">
        <v>20347</v>
      </c>
      <c r="E2263" s="5" t="s">
        <v>20348</v>
      </c>
      <c r="F2263" s="5" t="s">
        <v>20349</v>
      </c>
      <c r="G2263" s="5" t="s">
        <v>20350</v>
      </c>
      <c r="H2263" s="1" t="s">
        <v>20351</v>
      </c>
      <c r="I2263" s="5" t="s">
        <v>20352</v>
      </c>
      <c r="J2263" s="7">
        <v>16</v>
      </c>
      <c r="K2263" s="7">
        <v>9</v>
      </c>
      <c r="L2263" s="5" t="s">
        <v>20353</v>
      </c>
      <c r="M2263" s="7">
        <v>1</v>
      </c>
      <c r="N2263" s="7">
        <v>0.5</v>
      </c>
      <c r="O2263" s="7">
        <v>0.78200000000000003</v>
      </c>
      <c r="P2263" s="1" t="s">
        <v>20354</v>
      </c>
    </row>
    <row r="2264" spans="1:16" ht="33.4" x14ac:dyDescent="0.3">
      <c r="A2264" s="6" t="str">
        <f>HYPERLINK("https://www.ti.com/product/TPS62067-Q1", "TPS62067-Q1")</f>
        <v>TPS62067-Q1</v>
      </c>
      <c r="B2264" s="5" t="s">
        <v>20355</v>
      </c>
      <c r="C2264" s="6" t="str">
        <f>HYPERLINK("https://www.ti.com/lit/gpn/TPS62067-Q1", "PDF")</f>
        <v>PDF</v>
      </c>
      <c r="D2264" s="5" t="s">
        <v>20356</v>
      </c>
      <c r="E2264" s="5" t="s">
        <v>20357</v>
      </c>
      <c r="F2264" s="5" t="s">
        <v>20358</v>
      </c>
      <c r="G2264" s="5" t="s">
        <v>20359</v>
      </c>
      <c r="H2264" s="1" t="s">
        <v>20360</v>
      </c>
      <c r="I2264" s="5" t="s">
        <v>20361</v>
      </c>
      <c r="J2264" s="7">
        <v>8</v>
      </c>
      <c r="K2264" s="7">
        <v>4</v>
      </c>
      <c r="L2264" s="5" t="s">
        <v>20362</v>
      </c>
      <c r="M2264" s="7">
        <v>0.8</v>
      </c>
      <c r="N2264" s="7">
        <v>0.5</v>
      </c>
      <c r="O2264" s="7">
        <v>0.85599999999999998</v>
      </c>
      <c r="P2264" s="1" t="s">
        <v>20363</v>
      </c>
    </row>
    <row r="2265" spans="1:16" ht="33.4" x14ac:dyDescent="0.3">
      <c r="A2265" s="6" t="str">
        <f>HYPERLINK("https://www.ti.com/product/TPS65263-Q1", "TPS65263-Q1")</f>
        <v>TPS65263-Q1</v>
      </c>
      <c r="B2265" s="5" t="s">
        <v>20364</v>
      </c>
      <c r="C2265" s="6" t="str">
        <f>HYPERLINK("https://www.ti.com/lit/gpn/TPS65263-Q1", "PDF")</f>
        <v>PDF</v>
      </c>
      <c r="D2265" s="5" t="s">
        <v>20365</v>
      </c>
      <c r="E2265" s="5" t="s">
        <v>20366</v>
      </c>
      <c r="F2265" s="5" t="s">
        <v>20367</v>
      </c>
      <c r="G2265" s="5" t="s">
        <v>20368</v>
      </c>
      <c r="H2265" s="1" t="s">
        <v>20369</v>
      </c>
      <c r="I2265" s="5" t="s">
        <v>20370</v>
      </c>
      <c r="J2265" s="7">
        <v>32</v>
      </c>
      <c r="K2265" s="7">
        <v>25</v>
      </c>
      <c r="L2265" s="5" t="s">
        <v>20371</v>
      </c>
      <c r="M2265" s="7">
        <v>1</v>
      </c>
      <c r="N2265" s="7">
        <v>0.5</v>
      </c>
      <c r="O2265" s="7">
        <v>2.3639999999999999</v>
      </c>
      <c r="P2265" s="1" t="s">
        <v>20372</v>
      </c>
    </row>
    <row r="2266" spans="1:16" ht="33.4" x14ac:dyDescent="0.3">
      <c r="A2266" s="6" t="str">
        <f>HYPERLINK("https://www.ti.com/product/UCC28700-Q1", "UCC28700-Q1")</f>
        <v>UCC28700-Q1</v>
      </c>
      <c r="B2266" s="5" t="s">
        <v>20373</v>
      </c>
      <c r="C2266" s="6" t="str">
        <f>HYPERLINK("https://www.ti.com/lit/gpn/UCC28700-Q1", "PDF")</f>
        <v>PDF</v>
      </c>
      <c r="D2266" s="5" t="s">
        <v>20374</v>
      </c>
      <c r="E2266" s="5" t="s">
        <v>20375</v>
      </c>
      <c r="F2266" s="5" t="s">
        <v>20376</v>
      </c>
      <c r="G2266" s="5" t="s">
        <v>20377</v>
      </c>
      <c r="H2266" s="1" t="s">
        <v>20378</v>
      </c>
      <c r="I2266" s="5" t="s">
        <v>20379</v>
      </c>
      <c r="J2266" s="7">
        <v>6</v>
      </c>
      <c r="K2266" s="7">
        <v>8.1199999999999992</v>
      </c>
      <c r="L2266" s="5" t="s">
        <v>20380</v>
      </c>
      <c r="M2266" s="7">
        <v>1.45</v>
      </c>
      <c r="N2266" s="7">
        <v>0.95</v>
      </c>
      <c r="O2266" s="7">
        <v>0.42</v>
      </c>
      <c r="P2266" s="1" t="s">
        <v>20381</v>
      </c>
    </row>
    <row r="2267" spans="1:16" ht="33.4" x14ac:dyDescent="0.3">
      <c r="A2267" s="6" t="str">
        <f>HYPERLINK("https://www.ti.com/product/CSD19534KCS", "CSD19534KCS")</f>
        <v>CSD19534KCS</v>
      </c>
      <c r="B2267" s="5" t="s">
        <v>20382</v>
      </c>
      <c r="C2267" s="6" t="str">
        <f>HYPERLINK("https://www.ti.com/lit/gpn/CSD19534KCS", "PDF")</f>
        <v>PDF</v>
      </c>
      <c r="D2267" s="5" t="s">
        <v>20383</v>
      </c>
      <c r="E2267" s="5" t="s">
        <v>20384</v>
      </c>
      <c r="F2267" s="5"/>
      <c r="G2267" s="5" t="s">
        <v>20385</v>
      </c>
      <c r="H2267" s="1" t="s">
        <v>20386</v>
      </c>
      <c r="I2267" s="5" t="s">
        <v>20387</v>
      </c>
      <c r="J2267" s="7">
        <v>3</v>
      </c>
      <c r="K2267" s="7">
        <v>46.228000000000002</v>
      </c>
      <c r="L2267" s="5" t="s">
        <v>20388</v>
      </c>
      <c r="M2267" s="7">
        <v>4.7</v>
      </c>
      <c r="N2267" s="7">
        <v>2.54</v>
      </c>
      <c r="O2267" s="7">
        <v>0.41799999999999998</v>
      </c>
      <c r="P2267" s="1" t="s">
        <v>20389</v>
      </c>
    </row>
    <row r="2268" spans="1:16" ht="33.4" x14ac:dyDescent="0.3">
      <c r="A2268" s="6" t="str">
        <f>HYPERLINK("https://www.ti.com/product/CSD87501L", "CSD87501L")</f>
        <v>CSD87501L</v>
      </c>
      <c r="B2268" s="5" t="s">
        <v>20390</v>
      </c>
      <c r="C2268" s="6" t="str">
        <f>HYPERLINK("https://www.ti.com/lit/gpn/CSD87501L", "PDF")</f>
        <v>PDF</v>
      </c>
      <c r="D2268" s="5" t="s">
        <v>20391</v>
      </c>
      <c r="E2268" s="5" t="s">
        <v>20392</v>
      </c>
      <c r="F2268" s="5"/>
      <c r="G2268" s="5" t="s">
        <v>20393</v>
      </c>
      <c r="H2268" s="1" t="s">
        <v>20394</v>
      </c>
      <c r="I2268" s="5" t="s">
        <v>20395</v>
      </c>
      <c r="J2268" s="7">
        <v>10</v>
      </c>
      <c r="K2268" s="7">
        <v>4.9539</v>
      </c>
      <c r="L2268" s="5" t="s">
        <v>20396</v>
      </c>
      <c r="M2268" s="7">
        <v>0.22</v>
      </c>
      <c r="N2268" s="7">
        <v>0.65</v>
      </c>
      <c r="O2268" s="7">
        <v>0.255</v>
      </c>
      <c r="P2268" s="1" t="s">
        <v>20397</v>
      </c>
    </row>
    <row r="2269" spans="1:16" ht="33.4" x14ac:dyDescent="0.3">
      <c r="A2269" s="6" t="str">
        <f>HYPERLINK("https://www.ti.com/product/CSD97395Q4M", "CSD97395Q4M")</f>
        <v>CSD97395Q4M</v>
      </c>
      <c r="B2269" s="5" t="s">
        <v>20398</v>
      </c>
      <c r="C2269" s="6" t="str">
        <f>HYPERLINK("https://www.ti.com/lit/gpn/CSD97395Q4M", "PDF")</f>
        <v>PDF</v>
      </c>
      <c r="D2269" s="5" t="s">
        <v>20399</v>
      </c>
      <c r="E2269" s="5" t="s">
        <v>20400</v>
      </c>
      <c r="F2269" s="5"/>
      <c r="G2269" s="5" t="s">
        <v>20401</v>
      </c>
      <c r="H2269" s="1" t="s">
        <v>20402</v>
      </c>
      <c r="I2269" s="5" t="s">
        <v>20403</v>
      </c>
      <c r="J2269" s="7">
        <v>8</v>
      </c>
      <c r="K2269" s="7">
        <v>15.75</v>
      </c>
      <c r="L2269" s="5" t="s">
        <v>20404</v>
      </c>
      <c r="M2269" s="7">
        <v>1</v>
      </c>
      <c r="N2269" s="7">
        <v>0.4</v>
      </c>
      <c r="O2269" s="7">
        <v>0.81899999999999995</v>
      </c>
      <c r="P2269" s="1" t="s">
        <v>20405</v>
      </c>
    </row>
    <row r="2270" spans="1:16" ht="33.4" x14ac:dyDescent="0.3">
      <c r="A2270" s="6" t="str">
        <f>HYPERLINK("https://www.ti.com/product/TPS2514A-Q1", "TPS2514A-Q1")</f>
        <v>TPS2514A-Q1</v>
      </c>
      <c r="B2270" s="5" t="s">
        <v>20406</v>
      </c>
      <c r="C2270" s="6" t="str">
        <f>HYPERLINK("https://www.ti.com/lit/gpn/TPS2514A-Q1", "PDF")</f>
        <v>PDF</v>
      </c>
      <c r="D2270" s="5" t="s">
        <v>20407</v>
      </c>
      <c r="E2270" s="5" t="s">
        <v>20408</v>
      </c>
      <c r="F2270" s="5"/>
      <c r="G2270" s="5" t="s">
        <v>20409</v>
      </c>
      <c r="H2270" s="1" t="s">
        <v>20410</v>
      </c>
      <c r="I2270" s="5" t="s">
        <v>20411</v>
      </c>
      <c r="J2270" s="7">
        <v>6</v>
      </c>
      <c r="K2270" s="7">
        <v>8.1199999999999992</v>
      </c>
      <c r="L2270" s="5" t="s">
        <v>20412</v>
      </c>
      <c r="M2270" s="7">
        <v>1.45</v>
      </c>
      <c r="N2270" s="7">
        <v>0.95</v>
      </c>
      <c r="O2270" s="7">
        <v>0.34499999999999997</v>
      </c>
      <c r="P2270" s="1" t="s">
        <v>20413</v>
      </c>
    </row>
    <row r="2271" spans="1:16" ht="33.4" x14ac:dyDescent="0.3">
      <c r="A2271" s="6" t="str">
        <f>HYPERLINK("https://www.ti.com/product/TPS65266", "TPS65266")</f>
        <v>TPS65266</v>
      </c>
      <c r="B2271" s="5" t="s">
        <v>20414</v>
      </c>
      <c r="C2271" s="6" t="str">
        <f>HYPERLINK("https://www.ti.com/lit/gpn/TPS65266", "PDF")</f>
        <v>PDF</v>
      </c>
      <c r="D2271" s="5" t="s">
        <v>20415</v>
      </c>
      <c r="E2271" s="5" t="s">
        <v>20416</v>
      </c>
      <c r="F2271" s="5" t="s">
        <v>20417</v>
      </c>
      <c r="G2271" s="5" t="s">
        <v>20418</v>
      </c>
      <c r="H2271" s="1" t="s">
        <v>20419</v>
      </c>
      <c r="I2271" s="5" t="s">
        <v>20420</v>
      </c>
      <c r="J2271" s="7">
        <v>32</v>
      </c>
      <c r="K2271" s="7">
        <v>25</v>
      </c>
      <c r="L2271" s="5" t="s">
        <v>20421</v>
      </c>
      <c r="M2271" s="7">
        <v>1</v>
      </c>
      <c r="N2271" s="7">
        <v>0.5</v>
      </c>
      <c r="O2271" s="7">
        <v>1.615</v>
      </c>
      <c r="P2271" s="1" t="s">
        <v>20422</v>
      </c>
    </row>
    <row r="2272" spans="1:16" ht="33.4" x14ac:dyDescent="0.3">
      <c r="A2272" s="6" t="str">
        <f>HYPERLINK("https://www.ti.com/product/LM5021-Q1", "LM5021-Q1")</f>
        <v>LM5021-Q1</v>
      </c>
      <c r="B2272" s="5" t="s">
        <v>20423</v>
      </c>
      <c r="C2272" s="6" t="str">
        <f>HYPERLINK("https://www.ti.com/lit/gpn/LM5021-Q1", "PDF")</f>
        <v>PDF</v>
      </c>
      <c r="D2272" s="5" t="s">
        <v>20424</v>
      </c>
      <c r="E2272" s="5" t="s">
        <v>20425</v>
      </c>
      <c r="F2272" s="5" t="s">
        <v>20426</v>
      </c>
      <c r="G2272" s="5" t="s">
        <v>20427</v>
      </c>
      <c r="H2272" s="1" t="s">
        <v>20428</v>
      </c>
      <c r="I2272" s="5" t="s">
        <v>20429</v>
      </c>
      <c r="J2272" s="7">
        <v>8</v>
      </c>
      <c r="K2272" s="7">
        <v>14.7</v>
      </c>
      <c r="L2272" s="5" t="s">
        <v>20430</v>
      </c>
      <c r="M2272" s="7">
        <v>1.1000000000000001</v>
      </c>
      <c r="N2272" s="7">
        <v>0.65</v>
      </c>
      <c r="O2272" s="7">
        <v>0.67900000000000005</v>
      </c>
      <c r="P2272" s="1" t="s">
        <v>20431</v>
      </c>
    </row>
    <row r="2273" spans="1:16" ht="33.4" x14ac:dyDescent="0.3">
      <c r="A2273" s="6" t="str">
        <f>HYPERLINK("https://www.ti.com/product/TPS650830", "TPS650830")</f>
        <v>TPS650830</v>
      </c>
      <c r="B2273" s="5" t="s">
        <v>20432</v>
      </c>
      <c r="C2273" s="6" t="str">
        <f>HYPERLINK("https://www.ti.com/lit/gpn/TPS650830", "PDF")</f>
        <v>PDF</v>
      </c>
      <c r="D2273" s="5" t="s">
        <v>20433</v>
      </c>
      <c r="E2273" s="5" t="s">
        <v>20434</v>
      </c>
      <c r="F2273" s="5"/>
      <c r="G2273" s="5" t="s">
        <v>20435</v>
      </c>
      <c r="H2273" s="1" t="s">
        <v>20436</v>
      </c>
      <c r="I2273" s="5" t="s">
        <v>20437</v>
      </c>
      <c r="J2273" s="7" t="s">
        <v>20438</v>
      </c>
      <c r="K2273" s="7" t="s">
        <v>20439</v>
      </c>
      <c r="L2273" s="5" t="s">
        <v>20440</v>
      </c>
      <c r="M2273" s="7">
        <v>1.2</v>
      </c>
      <c r="N2273" s="7">
        <v>0.5</v>
      </c>
      <c r="O2273" s="7">
        <v>3.33</v>
      </c>
      <c r="P2273" s="1" t="s">
        <v>20441</v>
      </c>
    </row>
    <row r="2274" spans="1:16" ht="33.4" x14ac:dyDescent="0.3">
      <c r="A2274" s="6" t="str">
        <f>HYPERLINK("https://www.ti.com/product/CSD85301Q2", "CSD85301Q2")</f>
        <v>CSD85301Q2</v>
      </c>
      <c r="B2274" s="5" t="s">
        <v>20442</v>
      </c>
      <c r="C2274" s="6" t="str">
        <f>HYPERLINK("https://www.ti.com/lit/gpn/CSD85301Q2", "PDF")</f>
        <v>PDF</v>
      </c>
      <c r="D2274" s="5" t="s">
        <v>20443</v>
      </c>
      <c r="E2274" s="5" t="s">
        <v>20444</v>
      </c>
      <c r="F2274" s="5"/>
      <c r="G2274" s="5" t="s">
        <v>20445</v>
      </c>
      <c r="H2274" s="1" t="s">
        <v>20446</v>
      </c>
      <c r="I2274" s="5" t="s">
        <v>20447</v>
      </c>
      <c r="J2274" s="7">
        <v>6</v>
      </c>
      <c r="K2274" s="7">
        <v>4</v>
      </c>
      <c r="L2274" s="5" t="s">
        <v>20448</v>
      </c>
      <c r="M2274" s="7">
        <v>0.8</v>
      </c>
      <c r="N2274" s="7">
        <v>0.65</v>
      </c>
      <c r="O2274" s="7">
        <v>0.114</v>
      </c>
      <c r="P2274" s="1" t="s">
        <v>20449</v>
      </c>
    </row>
    <row r="2275" spans="1:16" ht="33.4" x14ac:dyDescent="0.3">
      <c r="A2275" s="6" t="str">
        <f>HYPERLINK("https://www.ti.com/product/TPS62160-Q1", "TPS62160-Q1")</f>
        <v>TPS62160-Q1</v>
      </c>
      <c r="B2275" s="5" t="s">
        <v>20450</v>
      </c>
      <c r="C2275" s="6" t="str">
        <f>HYPERLINK("https://www.ti.com/lit/gpn/TPS62160-Q1", "PDF")</f>
        <v>PDF</v>
      </c>
      <c r="D2275" s="5" t="s">
        <v>20451</v>
      </c>
      <c r="E2275" s="5" t="s">
        <v>20452</v>
      </c>
      <c r="F2275" s="5" t="s">
        <v>20453</v>
      </c>
      <c r="G2275" s="5" t="s">
        <v>20454</v>
      </c>
      <c r="H2275" s="1" t="s">
        <v>20455</v>
      </c>
      <c r="I2275" s="5" t="s">
        <v>20456</v>
      </c>
      <c r="J2275" s="7">
        <v>8</v>
      </c>
      <c r="K2275" s="7">
        <v>4</v>
      </c>
      <c r="L2275" s="5" t="s">
        <v>20457</v>
      </c>
      <c r="M2275" s="7">
        <v>0.8</v>
      </c>
      <c r="N2275" s="7">
        <v>0.5</v>
      </c>
      <c r="O2275" s="7">
        <v>0.65800000000000003</v>
      </c>
      <c r="P2275" s="1" t="s">
        <v>20458</v>
      </c>
    </row>
    <row r="2276" spans="1:16" ht="33.4" x14ac:dyDescent="0.3">
      <c r="A2276" s="6" t="str">
        <f>HYPERLINK("https://www.ti.com/product/TPS62170-Q1", "TPS62170-Q1")</f>
        <v>TPS62170-Q1</v>
      </c>
      <c r="B2276" s="5" t="s">
        <v>20459</v>
      </c>
      <c r="C2276" s="6" t="str">
        <f>HYPERLINK("https://www.ti.com/lit/gpn/TPS62170-Q1", "PDF")</f>
        <v>PDF</v>
      </c>
      <c r="D2276" s="5" t="s">
        <v>20460</v>
      </c>
      <c r="E2276" s="5" t="s">
        <v>20461</v>
      </c>
      <c r="F2276" s="5" t="s">
        <v>20462</v>
      </c>
      <c r="G2276" s="5" t="s">
        <v>20463</v>
      </c>
      <c r="H2276" s="1" t="s">
        <v>20464</v>
      </c>
      <c r="I2276" s="5" t="s">
        <v>20465</v>
      </c>
      <c r="J2276" s="7">
        <v>8</v>
      </c>
      <c r="K2276" s="7">
        <v>4</v>
      </c>
      <c r="L2276" s="5" t="s">
        <v>20466</v>
      </c>
      <c r="M2276" s="7">
        <v>0.8</v>
      </c>
      <c r="N2276" s="7">
        <v>0.5</v>
      </c>
      <c r="O2276" s="7">
        <v>0.54300000000000004</v>
      </c>
      <c r="P2276" s="1" t="s">
        <v>20467</v>
      </c>
    </row>
    <row r="2277" spans="1:16" ht="33.4" x14ac:dyDescent="0.3">
      <c r="A2277" s="6" t="str">
        <f>HYPERLINK("https://www.ti.com/product/TPS62172-Q1", "TPS62172-Q1")</f>
        <v>TPS62172-Q1</v>
      </c>
      <c r="B2277" s="5" t="s">
        <v>20468</v>
      </c>
      <c r="C2277" s="6" t="str">
        <f>HYPERLINK("https://www.ti.com/lit/gpn/TPS62172-Q1", "PDF")</f>
        <v>PDF</v>
      </c>
      <c r="D2277" s="5" t="s">
        <v>20469</v>
      </c>
      <c r="E2277" s="5" t="s">
        <v>20470</v>
      </c>
      <c r="F2277" s="5" t="s">
        <v>20471</v>
      </c>
      <c r="G2277" s="5" t="s">
        <v>20472</v>
      </c>
      <c r="H2277" s="1" t="s">
        <v>20473</v>
      </c>
      <c r="I2277" s="5" t="s">
        <v>20474</v>
      </c>
      <c r="J2277" s="7">
        <v>8</v>
      </c>
      <c r="K2277" s="7">
        <v>4</v>
      </c>
      <c r="L2277" s="5" t="s">
        <v>20475</v>
      </c>
      <c r="M2277" s="7">
        <v>0.8</v>
      </c>
      <c r="N2277" s="7">
        <v>0.5</v>
      </c>
      <c r="O2277" s="7">
        <v>0.54300000000000004</v>
      </c>
      <c r="P2277" s="1" t="s">
        <v>20476</v>
      </c>
    </row>
    <row r="2278" spans="1:16" ht="33.4" x14ac:dyDescent="0.3">
      <c r="A2278" s="6" t="str">
        <f>HYPERLINK("https://www.ti.com/product/TPS54335A", "TPS54335A")</f>
        <v>TPS54335A</v>
      </c>
      <c r="B2278" s="5" t="s">
        <v>20477</v>
      </c>
      <c r="C2278" s="6" t="str">
        <f>HYPERLINK("https://www.ti.com/lit/gpn/TPS54335A", "PDF")</f>
        <v>PDF</v>
      </c>
      <c r="D2278" s="5" t="s">
        <v>20478</v>
      </c>
      <c r="E2278" s="5" t="s">
        <v>20479</v>
      </c>
      <c r="F2278" s="5" t="s">
        <v>20480</v>
      </c>
      <c r="G2278" s="5" t="s">
        <v>20481</v>
      </c>
      <c r="H2278" s="1" t="s">
        <v>20482</v>
      </c>
      <c r="I2278" s="5" t="s">
        <v>20483</v>
      </c>
      <c r="J2278" s="7" t="s">
        <v>20484</v>
      </c>
      <c r="K2278" s="7" t="s">
        <v>20485</v>
      </c>
      <c r="L2278" s="5" t="s">
        <v>20486</v>
      </c>
      <c r="M2278" s="7" t="s">
        <v>20487</v>
      </c>
      <c r="N2278" s="7" t="s">
        <v>20488</v>
      </c>
      <c r="O2278" s="7">
        <v>0.71299999999999997</v>
      </c>
      <c r="P2278" s="1" t="s">
        <v>20489</v>
      </c>
    </row>
    <row r="2279" spans="1:16" ht="33.4" x14ac:dyDescent="0.3">
      <c r="A2279" s="6" t="str">
        <f>HYPERLINK("https://www.ti.com/product/TPS54336A", "TPS54336A")</f>
        <v>TPS54336A</v>
      </c>
      <c r="B2279" s="5" t="s">
        <v>20490</v>
      </c>
      <c r="C2279" s="6" t="str">
        <f>HYPERLINK("https://www.ti.com/lit/gpn/TPS54336A", "PDF")</f>
        <v>PDF</v>
      </c>
      <c r="D2279" s="5" t="s">
        <v>20491</v>
      </c>
      <c r="E2279" s="5" t="s">
        <v>20492</v>
      </c>
      <c r="F2279" s="5" t="s">
        <v>20493</v>
      </c>
      <c r="G2279" s="5" t="s">
        <v>20494</v>
      </c>
      <c r="H2279" s="1" t="s">
        <v>20495</v>
      </c>
      <c r="I2279" s="5" t="s">
        <v>20496</v>
      </c>
      <c r="J2279" s="7" t="s">
        <v>20497</v>
      </c>
      <c r="K2279" s="7" t="s">
        <v>20498</v>
      </c>
      <c r="L2279" s="5" t="s">
        <v>20499</v>
      </c>
      <c r="M2279" s="7" t="s">
        <v>20500</v>
      </c>
      <c r="N2279" s="7" t="s">
        <v>20501</v>
      </c>
      <c r="O2279" s="7">
        <v>0.71299999999999997</v>
      </c>
      <c r="P2279" s="1" t="s">
        <v>20502</v>
      </c>
    </row>
    <row r="2280" spans="1:16" ht="33.4" x14ac:dyDescent="0.3">
      <c r="A2280" s="6" t="str">
        <f>HYPERLINK("https://www.ti.com/product/TPS7B69-Q1", "TPS7B69-Q1")</f>
        <v>TPS7B69-Q1</v>
      </c>
      <c r="B2280" s="5" t="s">
        <v>20503</v>
      </c>
      <c r="C2280" s="6" t="str">
        <f>HYPERLINK("https://www.ti.com/lit/gpn/TPS7B69-Q1", "PDF")</f>
        <v>PDF</v>
      </c>
      <c r="D2280" s="5" t="s">
        <v>20504</v>
      </c>
      <c r="E2280" s="5" t="s">
        <v>20505</v>
      </c>
      <c r="F2280" s="5"/>
      <c r="G2280" s="5" t="s">
        <v>20506</v>
      </c>
      <c r="H2280" s="1" t="s">
        <v>20507</v>
      </c>
      <c r="I2280" s="5" t="s">
        <v>20508</v>
      </c>
      <c r="J2280" s="7" t="s">
        <v>20509</v>
      </c>
      <c r="K2280" s="7" t="s">
        <v>20510</v>
      </c>
      <c r="L2280" s="5" t="s">
        <v>20511</v>
      </c>
      <c r="M2280" s="7" t="s">
        <v>20512</v>
      </c>
      <c r="N2280" s="7" t="s">
        <v>20513</v>
      </c>
      <c r="O2280" s="7">
        <v>0.38700000000000001</v>
      </c>
      <c r="P2280" s="1" t="s">
        <v>20514</v>
      </c>
    </row>
    <row r="2281" spans="1:16" ht="33.4" x14ac:dyDescent="0.3">
      <c r="A2281" s="6" t="str">
        <f>HYPERLINK("https://www.ti.com/product/TPS61175-Q1", "TPS61175-Q1")</f>
        <v>TPS61175-Q1</v>
      </c>
      <c r="B2281" s="5" t="s">
        <v>20515</v>
      </c>
      <c r="C2281" s="6" t="str">
        <f>HYPERLINK("https://www.ti.com/lit/gpn/TPS61175-Q1", "PDF")</f>
        <v>PDF</v>
      </c>
      <c r="D2281" s="5" t="s">
        <v>20516</v>
      </c>
      <c r="E2281" s="5" t="s">
        <v>20517</v>
      </c>
      <c r="F2281" s="5" t="s">
        <v>20518</v>
      </c>
      <c r="G2281" s="5" t="s">
        <v>20519</v>
      </c>
      <c r="H2281" s="1" t="s">
        <v>20520</v>
      </c>
      <c r="I2281" s="5" t="s">
        <v>20521</v>
      </c>
      <c r="J2281" s="7">
        <v>14</v>
      </c>
      <c r="K2281" s="7">
        <v>32</v>
      </c>
      <c r="L2281" s="5" t="s">
        <v>20522</v>
      </c>
      <c r="M2281" s="7">
        <v>1.2</v>
      </c>
      <c r="N2281" s="7">
        <v>0.65</v>
      </c>
      <c r="O2281" s="7">
        <v>1.857</v>
      </c>
      <c r="P2281" s="1" t="s">
        <v>20523</v>
      </c>
    </row>
    <row r="2282" spans="1:16" ht="33.4" x14ac:dyDescent="0.3">
      <c r="A2282" s="6" t="str">
        <f>HYPERLINK("https://www.ti.com/product/TPS62406-Q1", "TPS62406-Q1")</f>
        <v>TPS62406-Q1</v>
      </c>
      <c r="B2282" s="5" t="s">
        <v>20524</v>
      </c>
      <c r="C2282" s="6" t="str">
        <f>HYPERLINK("https://www.ti.com/lit/gpn/TPS62406-Q1", "PDF")</f>
        <v>PDF</v>
      </c>
      <c r="D2282" s="5" t="s">
        <v>20525</v>
      </c>
      <c r="E2282" s="5" t="s">
        <v>20526</v>
      </c>
      <c r="F2282" s="5" t="s">
        <v>20527</v>
      </c>
      <c r="G2282" s="5" t="s">
        <v>20528</v>
      </c>
      <c r="H2282" s="1" t="s">
        <v>20529</v>
      </c>
      <c r="I2282" s="5" t="s">
        <v>20530</v>
      </c>
      <c r="J2282" s="7">
        <v>10</v>
      </c>
      <c r="K2282" s="7">
        <v>9</v>
      </c>
      <c r="L2282" s="5" t="s">
        <v>20531</v>
      </c>
      <c r="M2282" s="7">
        <v>1</v>
      </c>
      <c r="N2282" s="7">
        <v>0.5</v>
      </c>
      <c r="O2282" s="7">
        <v>0.89600000000000002</v>
      </c>
      <c r="P2282" s="1" t="s">
        <v>20532</v>
      </c>
    </row>
    <row r="2283" spans="1:16" ht="33.4" x14ac:dyDescent="0.3">
      <c r="A2283" s="6" t="str">
        <f>HYPERLINK("https://www.ti.com/product/TPS62407-Q1", "TPS62407-Q1")</f>
        <v>TPS62407-Q1</v>
      </c>
      <c r="B2283" s="5" t="s">
        <v>20533</v>
      </c>
      <c r="C2283" s="6" t="str">
        <f>HYPERLINK("https://www.ti.com/lit/gpn/TPS62407-Q1", "PDF")</f>
        <v>PDF</v>
      </c>
      <c r="D2283" s="5" t="s">
        <v>20534</v>
      </c>
      <c r="E2283" s="5" t="s">
        <v>20535</v>
      </c>
      <c r="F2283" s="5" t="s">
        <v>20536</v>
      </c>
      <c r="G2283" s="5" t="s">
        <v>20537</v>
      </c>
      <c r="H2283" s="1" t="s">
        <v>20538</v>
      </c>
      <c r="I2283" s="5" t="s">
        <v>20539</v>
      </c>
      <c r="J2283" s="7">
        <v>10</v>
      </c>
      <c r="K2283" s="7">
        <v>9</v>
      </c>
      <c r="L2283" s="5" t="s">
        <v>20540</v>
      </c>
      <c r="M2283" s="7">
        <v>1</v>
      </c>
      <c r="N2283" s="7">
        <v>0.5</v>
      </c>
      <c r="O2283" s="7">
        <v>0.89600000000000002</v>
      </c>
      <c r="P2283" s="1" t="s">
        <v>20541</v>
      </c>
    </row>
    <row r="2284" spans="1:16" ht="33.4" x14ac:dyDescent="0.3">
      <c r="A2284" s="6" t="str">
        <f>HYPERLINK("https://www.ti.com/product/UCC27528-Q1", "UCC27528-Q1")</f>
        <v>UCC27528-Q1</v>
      </c>
      <c r="B2284" s="5" t="s">
        <v>20542</v>
      </c>
      <c r="C2284" s="6" t="str">
        <f>HYPERLINK("https://www.ti.com/lit/gpn/UCC27528-Q1", "PDF")</f>
        <v>PDF</v>
      </c>
      <c r="D2284" s="5" t="s">
        <v>20543</v>
      </c>
      <c r="E2284" s="5" t="s">
        <v>20544</v>
      </c>
      <c r="F2284" s="5"/>
      <c r="G2284" s="5" t="s">
        <v>20545</v>
      </c>
      <c r="H2284" s="1" t="s">
        <v>20546</v>
      </c>
      <c r="I2284" s="5" t="s">
        <v>20547</v>
      </c>
      <c r="J2284" s="7">
        <v>8</v>
      </c>
      <c r="K2284" s="7">
        <v>29.4</v>
      </c>
      <c r="L2284" s="5" t="s">
        <v>20548</v>
      </c>
      <c r="M2284" s="7">
        <v>1.75</v>
      </c>
      <c r="N2284" s="7">
        <v>1.27</v>
      </c>
      <c r="O2284" s="7">
        <v>1.159</v>
      </c>
      <c r="P2284" s="1" t="s">
        <v>20549</v>
      </c>
    </row>
    <row r="2285" spans="1:16" ht="33.4" x14ac:dyDescent="0.3">
      <c r="A2285" s="6" t="str">
        <f>HYPERLINK("https://www.ti.com/product/LMZ20501", "LMZ20501")</f>
        <v>LMZ20501</v>
      </c>
      <c r="B2285" s="5" t="s">
        <v>20550</v>
      </c>
      <c r="C2285" s="6" t="str">
        <f>HYPERLINK("https://www.ti.com/lit/gpn/LMZ20501", "PDF")</f>
        <v>PDF</v>
      </c>
      <c r="D2285" s="5" t="s">
        <v>20551</v>
      </c>
      <c r="E2285" s="5" t="s">
        <v>20552</v>
      </c>
      <c r="F2285" s="5" t="s">
        <v>20553</v>
      </c>
      <c r="G2285" s="5" t="s">
        <v>20554</v>
      </c>
      <c r="H2285" s="1" t="s">
        <v>20555</v>
      </c>
      <c r="I2285" s="5" t="s">
        <v>20556</v>
      </c>
      <c r="J2285" s="7">
        <v>8</v>
      </c>
      <c r="K2285" s="7" t="s">
        <v>20557</v>
      </c>
      <c r="L2285" s="5" t="s">
        <v>20558</v>
      </c>
      <c r="M2285" s="7" t="s">
        <v>20559</v>
      </c>
      <c r="N2285" s="7" t="s">
        <v>20560</v>
      </c>
      <c r="O2285" s="7">
        <v>1.7829999999999999</v>
      </c>
      <c r="P2285" s="1" t="s">
        <v>20561</v>
      </c>
    </row>
    <row r="2286" spans="1:16" ht="33.4" x14ac:dyDescent="0.3">
      <c r="A2286" s="6" t="str">
        <f>HYPERLINK("https://www.ti.com/product/LMZ20502", "LMZ20502")</f>
        <v>LMZ20502</v>
      </c>
      <c r="B2286" s="5" t="s">
        <v>20562</v>
      </c>
      <c r="C2286" s="6" t="str">
        <f>HYPERLINK("https://www.ti.com/lit/gpn/LMZ20502", "PDF")</f>
        <v>PDF</v>
      </c>
      <c r="D2286" s="5" t="s">
        <v>20563</v>
      </c>
      <c r="E2286" s="5" t="s">
        <v>20564</v>
      </c>
      <c r="F2286" s="5" t="s">
        <v>20565</v>
      </c>
      <c r="G2286" s="5" t="s">
        <v>20566</v>
      </c>
      <c r="H2286" s="1" t="s">
        <v>20567</v>
      </c>
      <c r="I2286" s="5" t="s">
        <v>20568</v>
      </c>
      <c r="J2286" s="7">
        <v>8</v>
      </c>
      <c r="K2286" s="7" t="s">
        <v>20569</v>
      </c>
      <c r="L2286" s="5" t="s">
        <v>20570</v>
      </c>
      <c r="M2286" s="7" t="s">
        <v>20571</v>
      </c>
      <c r="N2286" s="7" t="s">
        <v>20572</v>
      </c>
      <c r="O2286" s="7">
        <v>1.9550000000000001</v>
      </c>
      <c r="P2286" s="1" t="s">
        <v>20573</v>
      </c>
    </row>
    <row r="2287" spans="1:16" ht="33.4" x14ac:dyDescent="0.3">
      <c r="A2287" s="6" t="str">
        <f>HYPERLINK("https://www.ti.com/product/TPS3701", "TPS3701")</f>
        <v>TPS3701</v>
      </c>
      <c r="B2287" s="5" t="s">
        <v>20574</v>
      </c>
      <c r="C2287" s="6" t="str">
        <f>HYPERLINK("https://www.ti.com/lit/gpn/TPS3701", "PDF")</f>
        <v>PDF</v>
      </c>
      <c r="D2287" s="5" t="s">
        <v>20575</v>
      </c>
      <c r="E2287" s="5" t="s">
        <v>20576</v>
      </c>
      <c r="F2287" s="5"/>
      <c r="G2287" s="5" t="s">
        <v>20577</v>
      </c>
      <c r="H2287" s="1" t="s">
        <v>20578</v>
      </c>
      <c r="I2287" s="5" t="s">
        <v>20579</v>
      </c>
      <c r="J2287" s="7">
        <v>6</v>
      </c>
      <c r="K2287" s="7">
        <v>8.1199999999999992</v>
      </c>
      <c r="L2287" s="5" t="s">
        <v>20580</v>
      </c>
      <c r="M2287" s="7">
        <v>1.1000000000000001</v>
      </c>
      <c r="N2287" s="7">
        <v>0.95</v>
      </c>
      <c r="O2287" s="7">
        <v>0.98</v>
      </c>
      <c r="P2287" s="1" t="s">
        <v>20581</v>
      </c>
    </row>
    <row r="2288" spans="1:16" ht="33.4" x14ac:dyDescent="0.3">
      <c r="A2288" s="6" t="str">
        <f>HYPERLINK("https://www.ti.com/product/CSD13383F4", "CSD13383F4")</f>
        <v>CSD13383F4</v>
      </c>
      <c r="B2288" s="5" t="s">
        <v>20582</v>
      </c>
      <c r="C2288" s="6" t="str">
        <f>HYPERLINK("https://www.ti.com/lit/gpn/CSD13383F4", "PDF")</f>
        <v>PDF</v>
      </c>
      <c r="D2288" s="5" t="s">
        <v>20583</v>
      </c>
      <c r="E2288" s="5" t="s">
        <v>20584</v>
      </c>
      <c r="F2288" s="5"/>
      <c r="G2288" s="5" t="s">
        <v>20585</v>
      </c>
      <c r="H2288" s="1" t="s">
        <v>20586</v>
      </c>
      <c r="I2288" s="5" t="s">
        <v>20587</v>
      </c>
      <c r="J2288" s="7">
        <v>3</v>
      </c>
      <c r="K2288" s="7">
        <v>0.65722499999999995</v>
      </c>
      <c r="L2288" s="5" t="s">
        <v>20588</v>
      </c>
      <c r="M2288" s="7">
        <v>0.36</v>
      </c>
      <c r="N2288" s="7">
        <v>0.35</v>
      </c>
      <c r="O2288" s="7">
        <v>5.0999999999999997E-2</v>
      </c>
      <c r="P2288" s="1" t="s">
        <v>20589</v>
      </c>
    </row>
    <row r="2289" spans="1:16" ht="33.4" x14ac:dyDescent="0.3">
      <c r="A2289" s="6" t="str">
        <f>HYPERLINK("https://www.ti.com/product/TPS53625", "TPS53625")</f>
        <v>TPS53625</v>
      </c>
      <c r="B2289" s="5" t="s">
        <v>20590</v>
      </c>
      <c r="C2289" s="6" t="str">
        <f>HYPERLINK("https://www.ti.com/lit/gpn/TPS53625", "PDF")</f>
        <v>PDF</v>
      </c>
      <c r="D2289" s="5" t="s">
        <v>20591</v>
      </c>
      <c r="E2289" s="5" t="s">
        <v>20592</v>
      </c>
      <c r="F2289" s="5" t="s">
        <v>20593</v>
      </c>
      <c r="G2289" s="5" t="s">
        <v>20594</v>
      </c>
      <c r="H2289" s="1" t="s">
        <v>20595</v>
      </c>
      <c r="I2289" s="5" t="s">
        <v>20596</v>
      </c>
      <c r="J2289" s="7">
        <v>32</v>
      </c>
      <c r="K2289" s="7">
        <v>16</v>
      </c>
      <c r="L2289" s="5" t="s">
        <v>20597</v>
      </c>
      <c r="M2289" s="7">
        <v>1</v>
      </c>
      <c r="N2289" s="7">
        <v>0.4</v>
      </c>
      <c r="O2289" s="7">
        <v>1.581</v>
      </c>
      <c r="P2289" s="1" t="s">
        <v>20598</v>
      </c>
    </row>
    <row r="2290" spans="1:16" ht="33.4" x14ac:dyDescent="0.3">
      <c r="A2290" s="6" t="str">
        <f>HYPERLINK("https://www.ti.com/product/TPS63024", "TPS63024")</f>
        <v>TPS63024</v>
      </c>
      <c r="B2290" s="5" t="s">
        <v>20599</v>
      </c>
      <c r="C2290" s="6" t="str">
        <f>HYPERLINK("https://www.ti.com/lit/gpn/TPS63024", "PDF")</f>
        <v>PDF</v>
      </c>
      <c r="D2290" s="5" t="s">
        <v>20600</v>
      </c>
      <c r="E2290" s="5" t="s">
        <v>20601</v>
      </c>
      <c r="F2290" s="5" t="s">
        <v>20602</v>
      </c>
      <c r="G2290" s="5" t="s">
        <v>20603</v>
      </c>
      <c r="H2290" s="1" t="s">
        <v>20604</v>
      </c>
      <c r="I2290" s="5" t="s">
        <v>20605</v>
      </c>
      <c r="J2290" s="7">
        <v>20</v>
      </c>
      <c r="K2290" s="7">
        <v>3.96</v>
      </c>
      <c r="L2290" s="5" t="s">
        <v>20606</v>
      </c>
      <c r="M2290" s="7">
        <v>0.625</v>
      </c>
      <c r="N2290" s="7">
        <v>0.4</v>
      </c>
      <c r="O2290" s="7">
        <v>0.96899999999999997</v>
      </c>
      <c r="P2290" s="1" t="s">
        <v>20607</v>
      </c>
    </row>
    <row r="2291" spans="1:16" ht="33.4" x14ac:dyDescent="0.3">
      <c r="A2291" s="6" t="str">
        <f>HYPERLINK("https://www.ti.com/product/TPS630241", "TPS630241")</f>
        <v>TPS630241</v>
      </c>
      <c r="B2291" s="5" t="s">
        <v>20608</v>
      </c>
      <c r="C2291" s="6" t="str">
        <f>HYPERLINK("https://www.ti.com/lit/gpn/TPS630241", "PDF")</f>
        <v>PDF</v>
      </c>
      <c r="D2291" s="5" t="s">
        <v>20609</v>
      </c>
      <c r="E2291" s="5" t="s">
        <v>20610</v>
      </c>
      <c r="F2291" s="5" t="s">
        <v>20611</v>
      </c>
      <c r="G2291" s="5" t="s">
        <v>20612</v>
      </c>
      <c r="H2291" s="1" t="s">
        <v>20613</v>
      </c>
      <c r="I2291" s="5" t="s">
        <v>20614</v>
      </c>
      <c r="J2291" s="7">
        <v>20</v>
      </c>
      <c r="K2291" s="7">
        <v>3.96</v>
      </c>
      <c r="L2291" s="5" t="s">
        <v>20615</v>
      </c>
      <c r="M2291" s="7">
        <v>0.625</v>
      </c>
      <c r="N2291" s="7">
        <v>0.4</v>
      </c>
      <c r="O2291" s="7">
        <v>0.96899999999999997</v>
      </c>
      <c r="P2291" s="1" t="s">
        <v>20616</v>
      </c>
    </row>
    <row r="2292" spans="1:16" ht="33.4" x14ac:dyDescent="0.3">
      <c r="A2292" s="6" t="str">
        <f>HYPERLINK("https://www.ti.com/product/TPS630242", "TPS630242")</f>
        <v>TPS630242</v>
      </c>
      <c r="B2292" s="5" t="s">
        <v>20617</v>
      </c>
      <c r="C2292" s="6" t="str">
        <f>HYPERLINK("https://www.ti.com/lit/gpn/TPS630242", "PDF")</f>
        <v>PDF</v>
      </c>
      <c r="D2292" s="5" t="s">
        <v>20618</v>
      </c>
      <c r="E2292" s="5" t="s">
        <v>20619</v>
      </c>
      <c r="F2292" s="5" t="s">
        <v>20620</v>
      </c>
      <c r="G2292" s="5" t="s">
        <v>20621</v>
      </c>
      <c r="H2292" s="1" t="s">
        <v>20622</v>
      </c>
      <c r="I2292" s="5" t="s">
        <v>20623</v>
      </c>
      <c r="J2292" s="7">
        <v>20</v>
      </c>
      <c r="K2292" s="7">
        <v>3.96</v>
      </c>
      <c r="L2292" s="5" t="s">
        <v>20624</v>
      </c>
      <c r="M2292" s="7">
        <v>0.625</v>
      </c>
      <c r="N2292" s="7">
        <v>0.4</v>
      </c>
      <c r="O2292" s="7">
        <v>0.96899999999999997</v>
      </c>
      <c r="P2292" s="1" t="s">
        <v>20625</v>
      </c>
    </row>
    <row r="2293" spans="1:16" ht="33.4" x14ac:dyDescent="0.3">
      <c r="A2293" s="6" t="str">
        <f>HYPERLINK("https://www.ti.com/product/CSD23203W", "CSD23203W")</f>
        <v>CSD23203W</v>
      </c>
      <c r="B2293" s="5" t="s">
        <v>20626</v>
      </c>
      <c r="C2293" s="6" t="str">
        <f>HYPERLINK("https://www.ti.com/lit/gpn/CSD23203W", "PDF")</f>
        <v>PDF</v>
      </c>
      <c r="D2293" s="5" t="s">
        <v>20627</v>
      </c>
      <c r="E2293" s="5" t="s">
        <v>20628</v>
      </c>
      <c r="F2293" s="5"/>
      <c r="G2293" s="5" t="s">
        <v>20629</v>
      </c>
      <c r="H2293" s="1" t="s">
        <v>20630</v>
      </c>
      <c r="I2293" s="5" t="s">
        <v>20631</v>
      </c>
      <c r="J2293" s="7">
        <v>6</v>
      </c>
      <c r="K2293" s="7">
        <v>2.1875</v>
      </c>
      <c r="L2293" s="5" t="s">
        <v>20632</v>
      </c>
      <c r="M2293" s="7">
        <v>1</v>
      </c>
      <c r="N2293" s="7">
        <v>0.5</v>
      </c>
      <c r="O2293" s="7">
        <v>0.10100000000000001</v>
      </c>
      <c r="P2293" s="1" t="s">
        <v>20633</v>
      </c>
    </row>
    <row r="2294" spans="1:16" ht="49.75" x14ac:dyDescent="0.3">
      <c r="A2294" s="6" t="str">
        <f>HYPERLINK("https://www.ti.com/product/LM3281", "LM3281")</f>
        <v>LM3281</v>
      </c>
      <c r="B2294" s="5" t="s">
        <v>20634</v>
      </c>
      <c r="C2294" s="6" t="str">
        <f>HYPERLINK("https://www.ti.com/lit/gpn/LM3281", "PDF")</f>
        <v>PDF</v>
      </c>
      <c r="D2294" s="5" t="s">
        <v>20635</v>
      </c>
      <c r="E2294" s="5" t="s">
        <v>20636</v>
      </c>
      <c r="F2294" s="5" t="s">
        <v>20637</v>
      </c>
      <c r="G2294" s="5" t="s">
        <v>20638</v>
      </c>
      <c r="H2294" s="1" t="s">
        <v>20639</v>
      </c>
      <c r="I2294" s="5" t="s">
        <v>20640</v>
      </c>
      <c r="J2294" s="7">
        <v>6</v>
      </c>
      <c r="K2294" s="7">
        <v>1.4000000000000001</v>
      </c>
      <c r="L2294" s="5" t="s">
        <v>20641</v>
      </c>
      <c r="M2294" s="7">
        <v>0.67500000000000004</v>
      </c>
      <c r="N2294" s="7">
        <v>0.4</v>
      </c>
      <c r="O2294" s="7">
        <v>0.62</v>
      </c>
      <c r="P2294" s="1" t="s">
        <v>20642</v>
      </c>
    </row>
    <row r="2295" spans="1:16" ht="33.4" x14ac:dyDescent="0.3">
      <c r="A2295" s="6" t="str">
        <f>HYPERLINK("https://www.ti.com/product/UC1834-DIE", "UC1834-DIE")</f>
        <v>UC1834-DIE</v>
      </c>
      <c r="B2295" s="5" t="s">
        <v>20643</v>
      </c>
      <c r="C2295" s="6" t="str">
        <f>HYPERLINK("https://www.ti.com/lit/gpn/UC1834-DIE", "PDF")</f>
        <v>PDF</v>
      </c>
      <c r="D2295" s="5" t="s">
        <v>20644</v>
      </c>
      <c r="E2295" s="5" t="s">
        <v>20645</v>
      </c>
      <c r="F2295" s="5"/>
      <c r="G2295" s="5" t="s">
        <v>20646</v>
      </c>
      <c r="H2295" s="1" t="s">
        <v>20647</v>
      </c>
      <c r="I2295" s="5" t="s">
        <v>20648</v>
      </c>
      <c r="J2295" s="7">
        <v>0</v>
      </c>
      <c r="K2295" s="7" t="s">
        <v>20649</v>
      </c>
      <c r="L2295" s="5" t="s">
        <v>20650</v>
      </c>
      <c r="M2295" s="7" t="s">
        <v>20651</v>
      </c>
      <c r="N2295" s="7" t="s">
        <v>20652</v>
      </c>
      <c r="O2295" s="7">
        <v>335.49599999999998</v>
      </c>
      <c r="P2295" s="1" t="s">
        <v>20653</v>
      </c>
    </row>
    <row r="2296" spans="1:16" ht="17.05" x14ac:dyDescent="0.3">
      <c r="A2296" s="6" t="str">
        <f>HYPERLINK("https://www.ti.com/product/LM9061-Q1", "LM9061-Q1")</f>
        <v>LM9061-Q1</v>
      </c>
      <c r="B2296" s="5" t="s">
        <v>20654</v>
      </c>
      <c r="C2296" s="6" t="str">
        <f>HYPERLINK("https://www.ti.com/lit/gpn/LM9061-Q1", "PDF")</f>
        <v>PDF</v>
      </c>
      <c r="D2296" s="5" t="s">
        <v>20655</v>
      </c>
      <c r="E2296" s="5" t="s">
        <v>20656</v>
      </c>
      <c r="F2296" s="5"/>
      <c r="G2296" s="5" t="s">
        <v>20657</v>
      </c>
      <c r="H2296" s="1" t="s">
        <v>20658</v>
      </c>
      <c r="I2296" s="5" t="s">
        <v>20659</v>
      </c>
      <c r="J2296" s="7">
        <v>8</v>
      </c>
      <c r="K2296" s="7">
        <v>29.4</v>
      </c>
      <c r="L2296" s="5" t="s">
        <v>20660</v>
      </c>
      <c r="M2296" s="7">
        <v>1.75</v>
      </c>
      <c r="N2296" s="7">
        <v>1.27</v>
      </c>
      <c r="O2296" s="7">
        <v>1.466</v>
      </c>
      <c r="P2296" s="1" t="s">
        <v>20661</v>
      </c>
    </row>
    <row r="2297" spans="1:16" ht="17.05" x14ac:dyDescent="0.3">
      <c r="A2297" s="6" t="str">
        <f>HYPERLINK("https://www.ti.com/product/TPS61169", "TPS61169")</f>
        <v>TPS61169</v>
      </c>
      <c r="B2297" s="5" t="s">
        <v>20662</v>
      </c>
      <c r="C2297" s="6" t="str">
        <f>HYPERLINK("https://www.ti.com/lit/gpn/TPS61169", "PDF")</f>
        <v>PDF</v>
      </c>
      <c r="D2297" s="5" t="s">
        <v>20663</v>
      </c>
      <c r="E2297" s="5" t="s">
        <v>20664</v>
      </c>
      <c r="F2297" s="5" t="s">
        <v>20665</v>
      </c>
      <c r="G2297" s="5" t="s">
        <v>20666</v>
      </c>
      <c r="H2297" s="1" t="s">
        <v>20667</v>
      </c>
      <c r="I2297" s="5" t="s">
        <v>20668</v>
      </c>
      <c r="J2297" s="7">
        <v>5</v>
      </c>
      <c r="K2297" s="7">
        <v>4.2</v>
      </c>
      <c r="L2297" s="5" t="s">
        <v>20669</v>
      </c>
      <c r="M2297" s="7">
        <v>1.1000000000000001</v>
      </c>
      <c r="N2297" s="7">
        <v>0.65</v>
      </c>
      <c r="O2297" s="7">
        <v>0.32</v>
      </c>
      <c r="P2297" s="1" t="s">
        <v>20670</v>
      </c>
    </row>
    <row r="2298" spans="1:16" ht="82.5" x14ac:dyDescent="0.3">
      <c r="A2298" s="6" t="str">
        <f>HYPERLINK("https://www.ti.com/product/TPS92601-Q1", "TPS92601-Q1")</f>
        <v>TPS92601-Q1</v>
      </c>
      <c r="B2298" s="5" t="s">
        <v>20671</v>
      </c>
      <c r="C2298" s="6" t="str">
        <f>HYPERLINK("https://www.ti.com/lit/gpn/TPS92601-Q1", "PDF")</f>
        <v>PDF</v>
      </c>
      <c r="D2298" s="5" t="s">
        <v>20672</v>
      </c>
      <c r="E2298" s="5" t="s">
        <v>20673</v>
      </c>
      <c r="F2298" s="5" t="s">
        <v>20674</v>
      </c>
      <c r="G2298" s="5" t="s">
        <v>20675</v>
      </c>
      <c r="H2298" s="1" t="s">
        <v>20676</v>
      </c>
      <c r="I2298" s="5" t="s">
        <v>20677</v>
      </c>
      <c r="J2298" s="7">
        <v>20</v>
      </c>
      <c r="K2298" s="7">
        <v>41.6</v>
      </c>
      <c r="L2298" s="5" t="s">
        <v>20678</v>
      </c>
      <c r="M2298" s="7">
        <v>1.2</v>
      </c>
      <c r="N2298" s="7">
        <v>0.65</v>
      </c>
      <c r="O2298" s="7">
        <v>2.3679999999999999</v>
      </c>
      <c r="P2298" s="1" t="s">
        <v>20679</v>
      </c>
    </row>
    <row r="2299" spans="1:16" ht="33.4" x14ac:dyDescent="0.3">
      <c r="A2299" s="6" t="str">
        <f>HYPERLINK("https://www.ti.com/product/TPS65400", "TPS65400")</f>
        <v>TPS65400</v>
      </c>
      <c r="B2299" s="5" t="s">
        <v>20680</v>
      </c>
      <c r="C2299" s="6" t="str">
        <f>HYPERLINK("https://www.ti.com/lit/gpn/TPS65400", "PDF")</f>
        <v>PDF</v>
      </c>
      <c r="D2299" s="5" t="s">
        <v>20681</v>
      </c>
      <c r="E2299" s="5" t="s">
        <v>20682</v>
      </c>
      <c r="F2299" s="5" t="s">
        <v>20683</v>
      </c>
      <c r="G2299" s="5" t="s">
        <v>20684</v>
      </c>
      <c r="H2299" s="1" t="s">
        <v>20685</v>
      </c>
      <c r="I2299" s="5" t="s">
        <v>20686</v>
      </c>
      <c r="J2299" s="7">
        <v>48</v>
      </c>
      <c r="K2299" s="7">
        <v>49</v>
      </c>
      <c r="L2299" s="5" t="s">
        <v>20687</v>
      </c>
      <c r="M2299" s="7">
        <v>1</v>
      </c>
      <c r="N2299" s="7">
        <v>0.5</v>
      </c>
      <c r="O2299" s="7">
        <v>2.093</v>
      </c>
      <c r="P2299" s="1" t="s">
        <v>20688</v>
      </c>
    </row>
    <row r="2300" spans="1:16" ht="33.4" x14ac:dyDescent="0.3">
      <c r="A2300" s="6" t="str">
        <f>HYPERLINK("https://www.ti.com/product/CSD83325L", "CSD83325L")</f>
        <v>CSD83325L</v>
      </c>
      <c r="B2300" s="5" t="s">
        <v>20689</v>
      </c>
      <c r="C2300" s="6" t="str">
        <f>HYPERLINK("https://www.ti.com/lit/gpn/CSD83325L", "PDF")</f>
        <v>PDF</v>
      </c>
      <c r="D2300" s="5" t="s">
        <v>20690</v>
      </c>
      <c r="E2300" s="5" t="s">
        <v>20691</v>
      </c>
      <c r="F2300" s="5"/>
      <c r="G2300" s="5" t="s">
        <v>20692</v>
      </c>
      <c r="H2300" s="1" t="s">
        <v>20693</v>
      </c>
      <c r="I2300" s="5" t="s">
        <v>20694</v>
      </c>
      <c r="J2300" s="7">
        <v>6</v>
      </c>
      <c r="K2300" s="7">
        <v>2.3976000000000002</v>
      </c>
      <c r="L2300" s="5" t="s">
        <v>20695</v>
      </c>
      <c r="M2300" s="7">
        <v>0.25</v>
      </c>
      <c r="N2300" s="7">
        <v>0.65</v>
      </c>
      <c r="O2300" s="7">
        <v>0.14000000000000001</v>
      </c>
      <c r="P2300" s="1" t="s">
        <v>20696</v>
      </c>
    </row>
    <row r="2301" spans="1:16" ht="49.75" x14ac:dyDescent="0.3">
      <c r="A2301" s="6" t="str">
        <f>HYPERLINK("https://www.ti.com/product/TPS8268090", "TPS8268090")</f>
        <v>TPS8268090</v>
      </c>
      <c r="B2301" s="5" t="s">
        <v>20697</v>
      </c>
      <c r="C2301" s="6" t="str">
        <f>HYPERLINK("https://www.ti.com/lit/gpn/TPS8268090", "PDF")</f>
        <v>PDF</v>
      </c>
      <c r="D2301" s="5" t="s">
        <v>20698</v>
      </c>
      <c r="E2301" s="5" t="s">
        <v>20699</v>
      </c>
      <c r="F2301" s="5" t="s">
        <v>20700</v>
      </c>
      <c r="G2301" s="5" t="s">
        <v>20701</v>
      </c>
      <c r="H2301" s="1" t="s">
        <v>20702</v>
      </c>
      <c r="I2301" s="5" t="s">
        <v>20703</v>
      </c>
      <c r="J2301" s="7">
        <v>9</v>
      </c>
      <c r="K2301" s="7" t="s">
        <v>20704</v>
      </c>
      <c r="L2301" s="5" t="s">
        <v>20705</v>
      </c>
      <c r="M2301" s="7" t="s">
        <v>20706</v>
      </c>
      <c r="N2301" s="7" t="s">
        <v>20707</v>
      </c>
      <c r="O2301" s="7">
        <v>1.288</v>
      </c>
      <c r="P2301" s="1" t="s">
        <v>20708</v>
      </c>
    </row>
    <row r="2302" spans="1:16" ht="49.75" x14ac:dyDescent="0.3">
      <c r="A2302" s="6" t="str">
        <f>HYPERLINK("https://www.ti.com/product/TPS8268105", "TPS8268105")</f>
        <v>TPS8268105</v>
      </c>
      <c r="B2302" s="5" t="s">
        <v>20709</v>
      </c>
      <c r="C2302" s="6" t="str">
        <f>HYPERLINK("https://www.ti.com/lit/gpn/TPS8268105", "PDF")</f>
        <v>PDF</v>
      </c>
      <c r="D2302" s="5" t="s">
        <v>20710</v>
      </c>
      <c r="E2302" s="5" t="s">
        <v>20711</v>
      </c>
      <c r="F2302" s="5" t="s">
        <v>20712</v>
      </c>
      <c r="G2302" s="5" t="s">
        <v>20713</v>
      </c>
      <c r="H2302" s="1" t="s">
        <v>20714</v>
      </c>
      <c r="I2302" s="5" t="s">
        <v>20715</v>
      </c>
      <c r="J2302" s="7">
        <v>9</v>
      </c>
      <c r="K2302" s="7" t="s">
        <v>20716</v>
      </c>
      <c r="L2302" s="5" t="s">
        <v>20717</v>
      </c>
      <c r="M2302" s="7" t="s">
        <v>20718</v>
      </c>
      <c r="N2302" s="7" t="s">
        <v>20719</v>
      </c>
      <c r="O2302" s="7">
        <v>1.288</v>
      </c>
      <c r="P2302" s="1" t="s">
        <v>20720</v>
      </c>
    </row>
    <row r="2303" spans="1:16" ht="49.75" x14ac:dyDescent="0.3">
      <c r="A2303" s="6" t="str">
        <f>HYPERLINK("https://www.ti.com/product/TPS8268150", "TPS8268150")</f>
        <v>TPS8268150</v>
      </c>
      <c r="B2303" s="5" t="s">
        <v>20721</v>
      </c>
      <c r="C2303" s="6" t="str">
        <f>HYPERLINK("https://www.ti.com/lit/gpn/TPS8268150", "PDF")</f>
        <v>PDF</v>
      </c>
      <c r="D2303" s="5" t="s">
        <v>20722</v>
      </c>
      <c r="E2303" s="5" t="s">
        <v>20723</v>
      </c>
      <c r="F2303" s="5" t="s">
        <v>20724</v>
      </c>
      <c r="G2303" s="5" t="s">
        <v>20725</v>
      </c>
      <c r="H2303" s="1" t="s">
        <v>20726</v>
      </c>
      <c r="I2303" s="5" t="s">
        <v>20727</v>
      </c>
      <c r="J2303" s="7">
        <v>9</v>
      </c>
      <c r="K2303" s="7" t="s">
        <v>20728</v>
      </c>
      <c r="L2303" s="5" t="s">
        <v>20729</v>
      </c>
      <c r="M2303" s="7" t="s">
        <v>20730</v>
      </c>
      <c r="N2303" s="7" t="s">
        <v>20731</v>
      </c>
      <c r="O2303" s="7">
        <v>1.288</v>
      </c>
      <c r="P2303" s="1" t="s">
        <v>20732</v>
      </c>
    </row>
    <row r="2304" spans="1:16" ht="33.4" x14ac:dyDescent="0.3">
      <c r="A2304" s="6" t="str">
        <f>HYPERLINK("https://www.ti.com/product/TLC5957", "TLC5957")</f>
        <v>TLC5957</v>
      </c>
      <c r="B2304" s="5" t="s">
        <v>20733</v>
      </c>
      <c r="C2304" s="6" t="str">
        <f>HYPERLINK("https://www.ti.com/lit/gpn/TLC5957", "PDF")</f>
        <v>PDF</v>
      </c>
      <c r="D2304" s="5" t="s">
        <v>20734</v>
      </c>
      <c r="E2304" s="5" t="s">
        <v>20735</v>
      </c>
      <c r="F2304" s="5"/>
      <c r="G2304" s="5" t="s">
        <v>20736</v>
      </c>
      <c r="H2304" s="1" t="s">
        <v>20737</v>
      </c>
      <c r="I2304" s="5" t="s">
        <v>20738</v>
      </c>
      <c r="J2304" s="7">
        <v>56</v>
      </c>
      <c r="K2304" s="7">
        <v>64</v>
      </c>
      <c r="L2304" s="5" t="s">
        <v>20739</v>
      </c>
      <c r="M2304" s="7">
        <v>1</v>
      </c>
      <c r="N2304" s="7">
        <v>0.5</v>
      </c>
      <c r="O2304" s="7">
        <v>2.226</v>
      </c>
      <c r="P2304" s="1" t="s">
        <v>20740</v>
      </c>
    </row>
    <row r="2305" spans="1:16" ht="33.4" x14ac:dyDescent="0.3">
      <c r="A2305" s="6" t="str">
        <f>HYPERLINK("https://www.ti.com/product/LMZ21700", "LMZ21700")</f>
        <v>LMZ21700</v>
      </c>
      <c r="B2305" s="5" t="s">
        <v>20741</v>
      </c>
      <c r="C2305" s="6" t="str">
        <f>HYPERLINK("https://www.ti.com/lit/gpn/LMZ21700", "PDF")</f>
        <v>PDF</v>
      </c>
      <c r="D2305" s="5" t="s">
        <v>20742</v>
      </c>
      <c r="E2305" s="5" t="s">
        <v>20743</v>
      </c>
      <c r="F2305" s="5" t="s">
        <v>20744</v>
      </c>
      <c r="G2305" s="5" t="s">
        <v>20745</v>
      </c>
      <c r="H2305" s="1" t="s">
        <v>20746</v>
      </c>
      <c r="I2305" s="5" t="s">
        <v>20747</v>
      </c>
      <c r="J2305" s="7">
        <v>8</v>
      </c>
      <c r="K2305" s="7" t="s">
        <v>20748</v>
      </c>
      <c r="L2305" s="5" t="s">
        <v>20749</v>
      </c>
      <c r="M2305" s="7" t="s">
        <v>20750</v>
      </c>
      <c r="N2305" s="7" t="s">
        <v>20751</v>
      </c>
      <c r="O2305" s="7">
        <v>1.7090000000000001</v>
      </c>
      <c r="P2305" s="1" t="s">
        <v>20752</v>
      </c>
    </row>
    <row r="2306" spans="1:16" ht="33.4" x14ac:dyDescent="0.3">
      <c r="A2306" s="6" t="str">
        <f>HYPERLINK("https://www.ti.com/product/LMZ21701", "LMZ21701")</f>
        <v>LMZ21701</v>
      </c>
      <c r="B2306" s="5" t="s">
        <v>20753</v>
      </c>
      <c r="C2306" s="6" t="str">
        <f>HYPERLINK("https://www.ti.com/lit/gpn/LMZ21701", "PDF")</f>
        <v>PDF</v>
      </c>
      <c r="D2306" s="5" t="s">
        <v>20754</v>
      </c>
      <c r="E2306" s="5" t="s">
        <v>20755</v>
      </c>
      <c r="F2306" s="5" t="s">
        <v>20756</v>
      </c>
      <c r="G2306" s="5" t="s">
        <v>20757</v>
      </c>
      <c r="H2306" s="1" t="s">
        <v>20758</v>
      </c>
      <c r="I2306" s="5" t="s">
        <v>20759</v>
      </c>
      <c r="J2306" s="7">
        <v>8</v>
      </c>
      <c r="K2306" s="7" t="s">
        <v>20760</v>
      </c>
      <c r="L2306" s="5" t="s">
        <v>20761</v>
      </c>
      <c r="M2306" s="7" t="s">
        <v>20762</v>
      </c>
      <c r="N2306" s="7" t="s">
        <v>20763</v>
      </c>
      <c r="O2306" s="7">
        <v>1.75</v>
      </c>
      <c r="P2306" s="1" t="s">
        <v>20764</v>
      </c>
    </row>
    <row r="2307" spans="1:16" ht="33.4" x14ac:dyDescent="0.3">
      <c r="A2307" s="6" t="str">
        <f>HYPERLINK("https://www.ti.com/product/LMR16006", "LMR16006")</f>
        <v>LMR16006</v>
      </c>
      <c r="B2307" s="5" t="s">
        <v>20765</v>
      </c>
      <c r="C2307" s="6" t="str">
        <f>HYPERLINK("https://www.ti.com/lit/gpn/LMR16006", "PDF")</f>
        <v>PDF</v>
      </c>
      <c r="D2307" s="5" t="s">
        <v>20766</v>
      </c>
      <c r="E2307" s="5" t="s">
        <v>20767</v>
      </c>
      <c r="F2307" s="5" t="s">
        <v>20768</v>
      </c>
      <c r="G2307" s="5" t="s">
        <v>20769</v>
      </c>
      <c r="H2307" s="1" t="s">
        <v>20770</v>
      </c>
      <c r="I2307" s="5" t="s">
        <v>20771</v>
      </c>
      <c r="J2307" s="7">
        <v>6</v>
      </c>
      <c r="K2307" s="7">
        <v>8.1199999999999992</v>
      </c>
      <c r="L2307" s="5" t="s">
        <v>20772</v>
      </c>
      <c r="M2307" s="7">
        <v>1.1000000000000001</v>
      </c>
      <c r="N2307" s="7">
        <v>0.95</v>
      </c>
      <c r="O2307" s="7">
        <v>1.1619999999999999</v>
      </c>
      <c r="P2307" s="1" t="s">
        <v>20773</v>
      </c>
    </row>
    <row r="2308" spans="1:16" ht="33.4" x14ac:dyDescent="0.3">
      <c r="A2308" s="6" t="str">
        <f>HYPERLINK("https://www.ti.com/product/LM5160", "LM5160")</f>
        <v>LM5160</v>
      </c>
      <c r="B2308" s="5" t="s">
        <v>20774</v>
      </c>
      <c r="C2308" s="6" t="str">
        <f>HYPERLINK("https://www.ti.com/lit/gpn/LM5160", "PDF")</f>
        <v>PDF</v>
      </c>
      <c r="D2308" s="5" t="s">
        <v>20775</v>
      </c>
      <c r="E2308" s="5" t="s">
        <v>20776</v>
      </c>
      <c r="F2308" s="5" t="s">
        <v>20777</v>
      </c>
      <c r="G2308" s="5" t="s">
        <v>20778</v>
      </c>
      <c r="H2308" s="1" t="s">
        <v>20779</v>
      </c>
      <c r="I2308" s="5" t="s">
        <v>20780</v>
      </c>
      <c r="J2308" s="7">
        <v>12</v>
      </c>
      <c r="K2308" s="7">
        <v>16</v>
      </c>
      <c r="L2308" s="5" t="s">
        <v>20781</v>
      </c>
      <c r="M2308" s="7">
        <v>0.8</v>
      </c>
      <c r="N2308" s="7">
        <v>0.5</v>
      </c>
      <c r="O2308" s="7">
        <v>0.86299999999999999</v>
      </c>
      <c r="P2308" s="1" t="s">
        <v>20782</v>
      </c>
    </row>
    <row r="2309" spans="1:16" ht="33.4" x14ac:dyDescent="0.3">
      <c r="A2309" s="6" t="str">
        <f>HYPERLINK("https://www.ti.com/product/LP3990-Q1", "LP3990-Q1")</f>
        <v>LP3990-Q1</v>
      </c>
      <c r="B2309" s="5" t="s">
        <v>20783</v>
      </c>
      <c r="C2309" s="6" t="str">
        <f>HYPERLINK("https://www.ti.com/lit/gpn/LP3990-Q1", "PDF")</f>
        <v>PDF</v>
      </c>
      <c r="D2309" s="5" t="s">
        <v>20784</v>
      </c>
      <c r="E2309" s="5" t="s">
        <v>20785</v>
      </c>
      <c r="F2309" s="5"/>
      <c r="G2309" s="5" t="s">
        <v>20786</v>
      </c>
      <c r="H2309" s="1" t="s">
        <v>20787</v>
      </c>
      <c r="I2309" s="5" t="s">
        <v>20788</v>
      </c>
      <c r="J2309" s="7">
        <v>4</v>
      </c>
      <c r="K2309" s="7">
        <v>1.5625</v>
      </c>
      <c r="L2309" s="5" t="s">
        <v>20789</v>
      </c>
      <c r="M2309" s="7">
        <v>0.67500000000000004</v>
      </c>
      <c r="N2309" s="7">
        <v>0.5</v>
      </c>
      <c r="O2309" s="7">
        <v>0.29499999999999998</v>
      </c>
      <c r="P2309" s="1" t="s">
        <v>20790</v>
      </c>
    </row>
    <row r="2310" spans="1:16" ht="33.4" x14ac:dyDescent="0.3">
      <c r="A2310" s="6" t="str">
        <f>HYPERLINK("https://www.ti.com/product/LV2862", "LV2862")</f>
        <v>LV2862</v>
      </c>
      <c r="B2310" s="5" t="s">
        <v>20791</v>
      </c>
      <c r="C2310" s="6" t="str">
        <f>HYPERLINK("https://www.ti.com/lit/gpn/LV2862", "PDF")</f>
        <v>PDF</v>
      </c>
      <c r="D2310" s="5" t="s">
        <v>20792</v>
      </c>
      <c r="E2310" s="5" t="s">
        <v>20793</v>
      </c>
      <c r="F2310" s="5" t="s">
        <v>20794</v>
      </c>
      <c r="G2310" s="5" t="s">
        <v>20795</v>
      </c>
      <c r="H2310" s="1" t="s">
        <v>20796</v>
      </c>
      <c r="I2310" s="5" t="s">
        <v>20797</v>
      </c>
      <c r="J2310" s="7">
        <v>6</v>
      </c>
      <c r="K2310" s="7">
        <v>8.1199999999999992</v>
      </c>
      <c r="L2310" s="5" t="s">
        <v>20798</v>
      </c>
      <c r="M2310" s="7">
        <v>1.1000000000000001</v>
      </c>
      <c r="N2310" s="7">
        <v>0.95</v>
      </c>
      <c r="O2310" s="7">
        <v>0.42</v>
      </c>
      <c r="P2310" s="1" t="s">
        <v>20799</v>
      </c>
    </row>
    <row r="2311" spans="1:16" ht="49.75" x14ac:dyDescent="0.3">
      <c r="A2311" s="6" t="str">
        <f>HYPERLINK("https://www.ti.com/product/TPS826721", "TPS826721")</f>
        <v>TPS826721</v>
      </c>
      <c r="B2311" s="5" t="s">
        <v>20800</v>
      </c>
      <c r="C2311" s="6" t="str">
        <f>HYPERLINK("https://www.ti.com/lit/gpn/TPS826721", "PDF")</f>
        <v>PDF</v>
      </c>
      <c r="D2311" s="5" t="s">
        <v>20801</v>
      </c>
      <c r="E2311" s="5" t="s">
        <v>20802</v>
      </c>
      <c r="F2311" s="5" t="s">
        <v>20803</v>
      </c>
      <c r="G2311" s="5" t="s">
        <v>20804</v>
      </c>
      <c r="H2311" s="1" t="s">
        <v>20805</v>
      </c>
      <c r="I2311" s="5" t="s">
        <v>20806</v>
      </c>
      <c r="J2311" s="7">
        <v>8</v>
      </c>
      <c r="K2311" s="7">
        <v>6.67</v>
      </c>
      <c r="L2311" s="5" t="s">
        <v>20807</v>
      </c>
      <c r="M2311" s="7">
        <v>1</v>
      </c>
      <c r="N2311" s="7">
        <v>1</v>
      </c>
      <c r="O2311" s="7">
        <v>1.012</v>
      </c>
      <c r="P2311" s="1" t="s">
        <v>20808</v>
      </c>
    </row>
    <row r="2312" spans="1:16" ht="49.75" x14ac:dyDescent="0.3">
      <c r="A2312" s="6" t="str">
        <f>HYPERLINK("https://www.ti.com/product/LM3648", "LM3648")</f>
        <v>LM3648</v>
      </c>
      <c r="B2312" s="5" t="s">
        <v>20809</v>
      </c>
      <c r="C2312" s="6" t="str">
        <f>HYPERLINK("https://www.ti.com/lit/gpn/LM3648", "PDF")</f>
        <v>PDF</v>
      </c>
      <c r="D2312" s="5" t="s">
        <v>20810</v>
      </c>
      <c r="E2312" s="5" t="s">
        <v>20811</v>
      </c>
      <c r="F2312" s="5" t="s">
        <v>20812</v>
      </c>
      <c r="G2312" s="5" t="s">
        <v>20813</v>
      </c>
      <c r="H2312" s="1" t="s">
        <v>20814</v>
      </c>
      <c r="I2312" s="5" t="s">
        <v>20815</v>
      </c>
      <c r="J2312" s="7">
        <v>12</v>
      </c>
      <c r="K2312" s="7">
        <v>2.52</v>
      </c>
      <c r="L2312" s="5" t="s">
        <v>20816</v>
      </c>
      <c r="M2312" s="7">
        <v>0.625</v>
      </c>
      <c r="N2312" s="7">
        <v>0.4</v>
      </c>
      <c r="O2312" s="7">
        <v>0.36799999999999999</v>
      </c>
      <c r="P2312" s="1" t="s">
        <v>20817</v>
      </c>
    </row>
    <row r="2313" spans="1:16" ht="33.4" x14ac:dyDescent="0.3">
      <c r="A2313" s="6" t="str">
        <f>HYPERLINK("https://www.ti.com/product/UCC28631", "UCC28631")</f>
        <v>UCC28631</v>
      </c>
      <c r="B2313" s="5" t="s">
        <v>20818</v>
      </c>
      <c r="C2313" s="6" t="str">
        <f>HYPERLINK("https://www.ti.com/lit/gpn/UCC28631", "PDF")</f>
        <v>PDF</v>
      </c>
      <c r="D2313" s="5" t="s">
        <v>20819</v>
      </c>
      <c r="E2313" s="5" t="s">
        <v>20820</v>
      </c>
      <c r="F2313" s="5" t="s">
        <v>20821</v>
      </c>
      <c r="G2313" s="5" t="s">
        <v>20822</v>
      </c>
      <c r="H2313" s="1" t="s">
        <v>20823</v>
      </c>
      <c r="I2313" s="5" t="s">
        <v>20824</v>
      </c>
      <c r="J2313" s="7">
        <v>7</v>
      </c>
      <c r="K2313" s="7">
        <v>29.4</v>
      </c>
      <c r="L2313" s="5" t="s">
        <v>20825</v>
      </c>
      <c r="M2313" s="7">
        <v>1.75</v>
      </c>
      <c r="N2313" s="7">
        <v>1.27</v>
      </c>
      <c r="O2313" s="7">
        <v>0.75900000000000001</v>
      </c>
      <c r="P2313" s="1" t="s">
        <v>20826</v>
      </c>
    </row>
    <row r="2314" spans="1:16" ht="33.4" x14ac:dyDescent="0.3">
      <c r="A2314" s="6" t="str">
        <f>HYPERLINK("https://www.ti.com/product/UCC28632", "UCC28632")</f>
        <v>UCC28632</v>
      </c>
      <c r="B2314" s="5" t="s">
        <v>20827</v>
      </c>
      <c r="C2314" s="6" t="str">
        <f>HYPERLINK("https://www.ti.com/lit/gpn/UCC28632", "PDF")</f>
        <v>PDF</v>
      </c>
      <c r="D2314" s="5" t="s">
        <v>20828</v>
      </c>
      <c r="E2314" s="5" t="s">
        <v>20829</v>
      </c>
      <c r="F2314" s="5" t="s">
        <v>20830</v>
      </c>
      <c r="G2314" s="5" t="s">
        <v>20831</v>
      </c>
      <c r="H2314" s="1" t="s">
        <v>20832</v>
      </c>
      <c r="I2314" s="5" t="s">
        <v>20833</v>
      </c>
      <c r="J2314" s="7">
        <v>7</v>
      </c>
      <c r="K2314" s="7">
        <v>29.4</v>
      </c>
      <c r="L2314" s="5" t="s">
        <v>20834</v>
      </c>
      <c r="M2314" s="7">
        <v>1.75</v>
      </c>
      <c r="N2314" s="7">
        <v>1.27</v>
      </c>
      <c r="O2314" s="7">
        <v>0.75900000000000001</v>
      </c>
      <c r="P2314" s="1" t="s">
        <v>20835</v>
      </c>
    </row>
    <row r="2315" spans="1:16" ht="33.4" x14ac:dyDescent="0.3">
      <c r="A2315" s="6" t="str">
        <f>HYPERLINK("https://www.ti.com/product/UCC28633", "UCC28633")</f>
        <v>UCC28633</v>
      </c>
      <c r="B2315" s="5" t="s">
        <v>20836</v>
      </c>
      <c r="C2315" s="6" t="str">
        <f>HYPERLINK("https://www.ti.com/lit/gpn/UCC28633", "PDF")</f>
        <v>PDF</v>
      </c>
      <c r="D2315" s="5" t="s">
        <v>20837</v>
      </c>
      <c r="E2315" s="5" t="s">
        <v>20838</v>
      </c>
      <c r="F2315" s="5" t="s">
        <v>20839</v>
      </c>
      <c r="G2315" s="5" t="s">
        <v>20840</v>
      </c>
      <c r="H2315" s="1" t="s">
        <v>20841</v>
      </c>
      <c r="I2315" s="5" t="s">
        <v>20842</v>
      </c>
      <c r="J2315" s="7">
        <v>7</v>
      </c>
      <c r="K2315" s="7">
        <v>29.4</v>
      </c>
      <c r="L2315" s="5" t="s">
        <v>20843</v>
      </c>
      <c r="M2315" s="7">
        <v>1.75</v>
      </c>
      <c r="N2315" s="7">
        <v>1.27</v>
      </c>
      <c r="O2315" s="7">
        <v>0.75900000000000001</v>
      </c>
      <c r="P2315" s="1" t="s">
        <v>20844</v>
      </c>
    </row>
    <row r="2316" spans="1:16" ht="33.4" x14ac:dyDescent="0.3">
      <c r="A2316" s="6" t="str">
        <f>HYPERLINK("https://www.ti.com/product/TPS563209", "TPS563209")</f>
        <v>TPS563209</v>
      </c>
      <c r="B2316" s="5" t="s">
        <v>20845</v>
      </c>
      <c r="C2316" s="6" t="str">
        <f>HYPERLINK("https://www.ti.com/lit/gpn/TPS563209", "PDF")</f>
        <v>PDF</v>
      </c>
      <c r="D2316" s="5" t="s">
        <v>20846</v>
      </c>
      <c r="E2316" s="5" t="s">
        <v>20847</v>
      </c>
      <c r="F2316" s="5" t="s">
        <v>20848</v>
      </c>
      <c r="G2316" s="5" t="s">
        <v>20849</v>
      </c>
      <c r="H2316" s="1" t="s">
        <v>20850</v>
      </c>
      <c r="I2316" s="5" t="s">
        <v>20851</v>
      </c>
      <c r="J2316" s="7">
        <v>6</v>
      </c>
      <c r="K2316" s="7">
        <v>8.1199999999999992</v>
      </c>
      <c r="L2316" s="5" t="s">
        <v>20852</v>
      </c>
      <c r="M2316" s="7">
        <v>1.1000000000000001</v>
      </c>
      <c r="N2316" s="7">
        <v>0.95</v>
      </c>
      <c r="O2316" s="7">
        <v>0.34200000000000003</v>
      </c>
      <c r="P2316" s="1" t="s">
        <v>20853</v>
      </c>
    </row>
    <row r="2317" spans="1:16" ht="33.4" x14ac:dyDescent="0.3">
      <c r="A2317" s="6" t="str">
        <f>HYPERLINK("https://www.ti.com/product/TLV733P", "TLV733P")</f>
        <v>TLV733P</v>
      </c>
      <c r="B2317" s="5" t="s">
        <v>20854</v>
      </c>
      <c r="C2317" s="6" t="str">
        <f>HYPERLINK("https://www.ti.com/lit/gpn/TLV733P", "PDF")</f>
        <v>PDF</v>
      </c>
      <c r="D2317" s="5" t="s">
        <v>20855</v>
      </c>
      <c r="E2317" s="5" t="s">
        <v>20856</v>
      </c>
      <c r="F2317" s="5"/>
      <c r="G2317" s="5" t="s">
        <v>20857</v>
      </c>
      <c r="H2317" s="1" t="s">
        <v>20858</v>
      </c>
      <c r="I2317" s="5" t="s">
        <v>20859</v>
      </c>
      <c r="J2317" s="7" t="s">
        <v>20860</v>
      </c>
      <c r="K2317" s="7" t="s">
        <v>20861</v>
      </c>
      <c r="L2317" s="5" t="s">
        <v>20862</v>
      </c>
      <c r="M2317" s="7" t="s">
        <v>20863</v>
      </c>
      <c r="N2317" s="7" t="s">
        <v>20864</v>
      </c>
      <c r="O2317" s="7">
        <v>4.3999999999999997E-2</v>
      </c>
      <c r="P2317" s="1" t="s">
        <v>20865</v>
      </c>
    </row>
    <row r="2318" spans="1:16" ht="33.4" x14ac:dyDescent="0.3">
      <c r="A2318" s="6" t="str">
        <f>HYPERLINK("https://www.ti.com/product/UCC28712", "UCC28712")</f>
        <v>UCC28712</v>
      </c>
      <c r="B2318" s="5" t="s">
        <v>20866</v>
      </c>
      <c r="C2318" s="6" t="str">
        <f>HYPERLINK("https://www.ti.com/lit/gpn/UCC28712", "PDF")</f>
        <v>PDF</v>
      </c>
      <c r="D2318" s="5" t="s">
        <v>20867</v>
      </c>
      <c r="E2318" s="5" t="s">
        <v>20868</v>
      </c>
      <c r="F2318" s="5" t="s">
        <v>20869</v>
      </c>
      <c r="G2318" s="5" t="s">
        <v>20870</v>
      </c>
      <c r="H2318" s="1" t="s">
        <v>20871</v>
      </c>
      <c r="I2318" s="5" t="s">
        <v>20872</v>
      </c>
      <c r="J2318" s="7">
        <v>7</v>
      </c>
      <c r="K2318" s="7">
        <v>29.4</v>
      </c>
      <c r="L2318" s="5" t="s">
        <v>20873</v>
      </c>
      <c r="M2318" s="7">
        <v>1.75</v>
      </c>
      <c r="N2318" s="7">
        <v>1.27</v>
      </c>
      <c r="O2318" s="7">
        <v>0.53200000000000003</v>
      </c>
      <c r="P2318" s="1" t="s">
        <v>20874</v>
      </c>
    </row>
    <row r="2319" spans="1:16" ht="33.4" x14ac:dyDescent="0.3">
      <c r="A2319" s="6" t="str">
        <f>HYPERLINK("https://www.ti.com/product/CSD17578Q3A", "CSD17578Q3A")</f>
        <v>CSD17578Q3A</v>
      </c>
      <c r="B2319" s="5" t="s">
        <v>20875</v>
      </c>
      <c r="C2319" s="6" t="str">
        <f>HYPERLINK("https://www.ti.com/lit/gpn/CSD17578Q3A", "PDF")</f>
        <v>PDF</v>
      </c>
      <c r="D2319" s="5" t="s">
        <v>20876</v>
      </c>
      <c r="E2319" s="5" t="s">
        <v>20877</v>
      </c>
      <c r="F2319" s="5"/>
      <c r="G2319" s="5" t="s">
        <v>20878</v>
      </c>
      <c r="H2319" s="1" t="s">
        <v>20879</v>
      </c>
      <c r="I2319" s="5" t="s">
        <v>20880</v>
      </c>
      <c r="J2319" s="7">
        <v>8</v>
      </c>
      <c r="K2319" s="7">
        <v>10.89</v>
      </c>
      <c r="L2319" s="5" t="s">
        <v>20881</v>
      </c>
      <c r="M2319" s="7">
        <v>0.9</v>
      </c>
      <c r="N2319" s="7">
        <v>0.65</v>
      </c>
      <c r="O2319" s="7">
        <v>0.13200000000000001</v>
      </c>
      <c r="P2319" s="1" t="s">
        <v>20882</v>
      </c>
    </row>
    <row r="2320" spans="1:16" ht="33.4" x14ac:dyDescent="0.3">
      <c r="A2320" s="6" t="str">
        <f>HYPERLINK("https://www.ti.com/product/CSD17579Q3A", "CSD17579Q3A")</f>
        <v>CSD17579Q3A</v>
      </c>
      <c r="B2320" s="5" t="s">
        <v>20883</v>
      </c>
      <c r="C2320" s="6" t="str">
        <f>HYPERLINK("https://www.ti.com/lit/gpn/CSD17579Q3A", "PDF")</f>
        <v>PDF</v>
      </c>
      <c r="D2320" s="5" t="s">
        <v>20884</v>
      </c>
      <c r="E2320" s="5" t="s">
        <v>20885</v>
      </c>
      <c r="F2320" s="5"/>
      <c r="G2320" s="5" t="s">
        <v>20886</v>
      </c>
      <c r="H2320" s="1" t="s">
        <v>20887</v>
      </c>
      <c r="I2320" s="5" t="s">
        <v>20888</v>
      </c>
      <c r="J2320" s="7">
        <v>8</v>
      </c>
      <c r="K2320" s="7">
        <v>10.89</v>
      </c>
      <c r="L2320" s="5" t="s">
        <v>20889</v>
      </c>
      <c r="M2320" s="7">
        <v>0.9</v>
      </c>
      <c r="N2320" s="7">
        <v>0.65</v>
      </c>
      <c r="O2320" s="7">
        <v>0.13200000000000001</v>
      </c>
      <c r="P2320" s="1" t="s">
        <v>20890</v>
      </c>
    </row>
    <row r="2321" spans="1:16" ht="49.75" x14ac:dyDescent="0.3">
      <c r="A2321" s="6" t="str">
        <f>HYPERLINK("https://www.ti.com/product/TPS68470", "TPS68470")</f>
        <v>TPS68470</v>
      </c>
      <c r="B2321" s="5" t="s">
        <v>20891</v>
      </c>
      <c r="C2321" s="6" t="str">
        <f>HYPERLINK("https://www.ti.com/lit/gpn/TPS68470", "PDF")</f>
        <v>PDF</v>
      </c>
      <c r="D2321" s="5" t="s">
        <v>20892</v>
      </c>
      <c r="E2321" s="5" t="s">
        <v>20893</v>
      </c>
      <c r="F2321" s="5"/>
      <c r="G2321" s="5" t="s">
        <v>20894</v>
      </c>
      <c r="H2321" s="1" t="s">
        <v>20895</v>
      </c>
      <c r="I2321" s="5" t="s">
        <v>20896</v>
      </c>
      <c r="J2321" s="7">
        <v>56</v>
      </c>
      <c r="K2321" s="7">
        <v>10.799999999999999</v>
      </c>
      <c r="L2321" s="5" t="s">
        <v>20897</v>
      </c>
      <c r="M2321" s="7">
        <v>0.625</v>
      </c>
      <c r="N2321" s="7">
        <v>0.4</v>
      </c>
      <c r="O2321" s="7">
        <v>1.222</v>
      </c>
      <c r="P2321" s="1" t="s">
        <v>20898</v>
      </c>
    </row>
    <row r="2322" spans="1:16" ht="33.4" x14ac:dyDescent="0.3">
      <c r="A2322" s="6" t="str">
        <f>HYPERLINK("https://www.ti.com/product/LP5907-Q1", "LP5907-Q1")</f>
        <v>LP5907-Q1</v>
      </c>
      <c r="B2322" s="5" t="s">
        <v>20899</v>
      </c>
      <c r="C2322" s="6" t="str">
        <f>HYPERLINK("https://www.ti.com/lit/gpn/LP5907-Q1", "PDF")</f>
        <v>PDF</v>
      </c>
      <c r="D2322" s="5" t="s">
        <v>20900</v>
      </c>
      <c r="E2322" s="5" t="s">
        <v>20901</v>
      </c>
      <c r="F2322" s="5"/>
      <c r="G2322" s="5" t="s">
        <v>20902</v>
      </c>
      <c r="H2322" s="1" t="s">
        <v>20903</v>
      </c>
      <c r="I2322" s="5" t="s">
        <v>20904</v>
      </c>
      <c r="J2322" s="7" t="s">
        <v>20905</v>
      </c>
      <c r="K2322" s="7" t="s">
        <v>20906</v>
      </c>
      <c r="L2322" s="5" t="s">
        <v>20907</v>
      </c>
      <c r="M2322" s="7" t="s">
        <v>20908</v>
      </c>
      <c r="N2322" s="7" t="s">
        <v>20909</v>
      </c>
      <c r="O2322" s="7">
        <v>0.20799999999999999</v>
      </c>
      <c r="P2322" s="1" t="s">
        <v>20910</v>
      </c>
    </row>
    <row r="2323" spans="1:16" ht="17.05" x14ac:dyDescent="0.3">
      <c r="A2323" s="6" t="str">
        <f>HYPERLINK("https://www.ti.com/product/REF1925", "REF1925")</f>
        <v>REF1925</v>
      </c>
      <c r="B2323" s="5" t="s">
        <v>20911</v>
      </c>
      <c r="C2323" s="6" t="str">
        <f>HYPERLINK("https://www.ti.com/lit/gpn/REF1925", "PDF")</f>
        <v>PDF</v>
      </c>
      <c r="D2323" s="5" t="s">
        <v>20912</v>
      </c>
      <c r="E2323" s="5" t="s">
        <v>20913</v>
      </c>
      <c r="F2323" s="5"/>
      <c r="G2323" s="5" t="s">
        <v>20914</v>
      </c>
      <c r="H2323" s="1" t="s">
        <v>20915</v>
      </c>
      <c r="I2323" s="5" t="s">
        <v>20916</v>
      </c>
      <c r="J2323" s="7">
        <v>5</v>
      </c>
      <c r="K2323" s="7">
        <v>8.1199999999999992</v>
      </c>
      <c r="L2323" s="5" t="s">
        <v>20917</v>
      </c>
      <c r="M2323" s="7">
        <v>1.1000000000000001</v>
      </c>
      <c r="N2323" s="7">
        <v>0.95</v>
      </c>
      <c r="O2323" s="7">
        <v>1.091</v>
      </c>
      <c r="P2323" s="1" t="s">
        <v>20918</v>
      </c>
    </row>
    <row r="2324" spans="1:16" ht="17.05" x14ac:dyDescent="0.3">
      <c r="A2324" s="6" t="str">
        <f>HYPERLINK("https://www.ti.com/product/REF1930", "REF1930")</f>
        <v>REF1930</v>
      </c>
      <c r="B2324" s="5" t="s">
        <v>20919</v>
      </c>
      <c r="C2324" s="6" t="str">
        <f>HYPERLINK("https://www.ti.com/lit/gpn/REF1930", "PDF")</f>
        <v>PDF</v>
      </c>
      <c r="D2324" s="5" t="s">
        <v>20920</v>
      </c>
      <c r="E2324" s="5" t="s">
        <v>20921</v>
      </c>
      <c r="F2324" s="5"/>
      <c r="G2324" s="5" t="s">
        <v>20922</v>
      </c>
      <c r="H2324" s="1" t="s">
        <v>20923</v>
      </c>
      <c r="I2324" s="5" t="s">
        <v>20924</v>
      </c>
      <c r="J2324" s="7">
        <v>5</v>
      </c>
      <c r="K2324" s="7">
        <v>8.1199999999999992</v>
      </c>
      <c r="L2324" s="5" t="s">
        <v>20925</v>
      </c>
      <c r="M2324" s="7">
        <v>1.1000000000000001</v>
      </c>
      <c r="N2324" s="7">
        <v>0.95</v>
      </c>
      <c r="O2324" s="7">
        <v>1.091</v>
      </c>
      <c r="P2324" s="1" t="s">
        <v>20926</v>
      </c>
    </row>
    <row r="2325" spans="1:16" ht="17.05" x14ac:dyDescent="0.3">
      <c r="A2325" s="6" t="str">
        <f>HYPERLINK("https://www.ti.com/product/REF1933", "REF1933")</f>
        <v>REF1933</v>
      </c>
      <c r="B2325" s="5" t="s">
        <v>20927</v>
      </c>
      <c r="C2325" s="6" t="str">
        <f>HYPERLINK("https://www.ti.com/lit/gpn/REF1933", "PDF")</f>
        <v>PDF</v>
      </c>
      <c r="D2325" s="5" t="s">
        <v>20928</v>
      </c>
      <c r="E2325" s="5" t="s">
        <v>20929</v>
      </c>
      <c r="F2325" s="5"/>
      <c r="G2325" s="5" t="s">
        <v>20930</v>
      </c>
      <c r="H2325" s="1" t="s">
        <v>20931</v>
      </c>
      <c r="I2325" s="5" t="s">
        <v>20932</v>
      </c>
      <c r="J2325" s="7">
        <v>5</v>
      </c>
      <c r="K2325" s="7">
        <v>8.1199999999999992</v>
      </c>
      <c r="L2325" s="5" t="s">
        <v>20933</v>
      </c>
      <c r="M2325" s="7">
        <v>1.1000000000000001</v>
      </c>
      <c r="N2325" s="7">
        <v>0.95</v>
      </c>
      <c r="O2325" s="7">
        <v>1.091</v>
      </c>
      <c r="P2325" s="1" t="s">
        <v>20934</v>
      </c>
    </row>
    <row r="2326" spans="1:16" ht="17.05" x14ac:dyDescent="0.3">
      <c r="A2326" s="6" t="str">
        <f>HYPERLINK("https://www.ti.com/product/REF1941", "REF1941")</f>
        <v>REF1941</v>
      </c>
      <c r="B2326" s="5" t="s">
        <v>20935</v>
      </c>
      <c r="C2326" s="6" t="str">
        <f>HYPERLINK("https://www.ti.com/lit/gpn/REF1941", "PDF")</f>
        <v>PDF</v>
      </c>
      <c r="D2326" s="5" t="s">
        <v>20936</v>
      </c>
      <c r="E2326" s="5" t="s">
        <v>20937</v>
      </c>
      <c r="F2326" s="5"/>
      <c r="G2326" s="5" t="s">
        <v>20938</v>
      </c>
      <c r="H2326" s="1" t="s">
        <v>20939</v>
      </c>
      <c r="I2326" s="5" t="s">
        <v>20940</v>
      </c>
      <c r="J2326" s="7">
        <v>5</v>
      </c>
      <c r="K2326" s="7">
        <v>8.1199999999999992</v>
      </c>
      <c r="L2326" s="5" t="s">
        <v>20941</v>
      </c>
      <c r="M2326" s="7">
        <v>1.1000000000000001</v>
      </c>
      <c r="N2326" s="7">
        <v>0.95</v>
      </c>
      <c r="O2326" s="7">
        <v>1.091</v>
      </c>
      <c r="P2326" s="1" t="s">
        <v>20942</v>
      </c>
    </row>
    <row r="2327" spans="1:16" ht="33.4" x14ac:dyDescent="0.3">
      <c r="A2327" s="6" t="str">
        <f>HYPERLINK("https://www.ti.com/product/TPS51623", "TPS51623")</f>
        <v>TPS51623</v>
      </c>
      <c r="B2327" s="5" t="s">
        <v>20943</v>
      </c>
      <c r="C2327" s="6" t="str">
        <f>HYPERLINK("https://www.ti.com/lit/gpn/TPS51623", "PDF")</f>
        <v>PDF</v>
      </c>
      <c r="D2327" s="5" t="s">
        <v>20944</v>
      </c>
      <c r="E2327" s="5" t="s">
        <v>20945</v>
      </c>
      <c r="F2327" s="5" t="s">
        <v>20946</v>
      </c>
      <c r="G2327" s="5" t="s">
        <v>20947</v>
      </c>
      <c r="H2327" s="1" t="s">
        <v>20948</v>
      </c>
      <c r="I2327" s="5" t="s">
        <v>20949</v>
      </c>
      <c r="J2327" s="7">
        <v>32</v>
      </c>
      <c r="K2327" s="7">
        <v>16</v>
      </c>
      <c r="L2327" s="5" t="s">
        <v>20950</v>
      </c>
      <c r="M2327" s="7">
        <v>1</v>
      </c>
      <c r="N2327" s="7">
        <v>0.4</v>
      </c>
      <c r="O2327" s="7">
        <v>1.214</v>
      </c>
      <c r="P2327" s="1" t="s">
        <v>20951</v>
      </c>
    </row>
    <row r="2328" spans="1:16" ht="33.4" x14ac:dyDescent="0.3">
      <c r="A2328" s="6" t="str">
        <f>HYPERLINK("https://www.ti.com/product/TPS51633", "TPS51633")</f>
        <v>TPS51633</v>
      </c>
      <c r="B2328" s="5" t="s">
        <v>20952</v>
      </c>
      <c r="C2328" s="6" t="str">
        <f>HYPERLINK("https://www.ti.com/lit/gpn/TPS51633", "PDF")</f>
        <v>PDF</v>
      </c>
      <c r="D2328" s="5" t="s">
        <v>20953</v>
      </c>
      <c r="E2328" s="5" t="s">
        <v>20954</v>
      </c>
      <c r="F2328" s="5" t="s">
        <v>20955</v>
      </c>
      <c r="G2328" s="5" t="s">
        <v>20956</v>
      </c>
      <c r="H2328" s="1" t="s">
        <v>20957</v>
      </c>
      <c r="I2328" s="5" t="s">
        <v>20958</v>
      </c>
      <c r="J2328" s="7">
        <v>32</v>
      </c>
      <c r="K2328" s="7">
        <v>16</v>
      </c>
      <c r="L2328" s="5" t="s">
        <v>20959</v>
      </c>
      <c r="M2328" s="7">
        <v>1</v>
      </c>
      <c r="N2328" s="7">
        <v>0.4</v>
      </c>
      <c r="O2328" s="7">
        <v>1.7909999999999999</v>
      </c>
      <c r="P2328" s="1" t="s">
        <v>20960</v>
      </c>
    </row>
    <row r="2329" spans="1:16" ht="17.05" x14ac:dyDescent="0.3">
      <c r="A2329" s="6" t="str">
        <f>HYPERLINK("https://www.ti.com/product/TPS22994", "TPS22994")</f>
        <v>TPS22994</v>
      </c>
      <c r="B2329" s="5" t="s">
        <v>20961</v>
      </c>
      <c r="C2329" s="6" t="str">
        <f>HYPERLINK("https://www.ti.com/lit/gpn/TPS22994", "PDF")</f>
        <v>PDF</v>
      </c>
      <c r="D2329" s="5" t="s">
        <v>20962</v>
      </c>
      <c r="E2329" s="5" t="s">
        <v>20963</v>
      </c>
      <c r="F2329" s="5"/>
      <c r="G2329" s="5" t="s">
        <v>20964</v>
      </c>
      <c r="H2329" s="1" t="s">
        <v>20965</v>
      </c>
      <c r="I2329" s="5" t="s">
        <v>20966</v>
      </c>
      <c r="J2329" s="7">
        <v>20</v>
      </c>
      <c r="K2329" s="7">
        <v>9</v>
      </c>
      <c r="L2329" s="5" t="s">
        <v>20967</v>
      </c>
      <c r="M2329" s="7">
        <v>0.8</v>
      </c>
      <c r="N2329" s="7">
        <v>0.4</v>
      </c>
      <c r="O2329" s="7">
        <v>0.433</v>
      </c>
      <c r="P2329" s="1" t="s">
        <v>20968</v>
      </c>
    </row>
    <row r="2330" spans="1:16" ht="33.4" x14ac:dyDescent="0.3">
      <c r="A2330" s="6" t="str">
        <f>HYPERLINK("https://www.ti.com/product/TPS61291", "TPS61291")</f>
        <v>TPS61291</v>
      </c>
      <c r="B2330" s="5" t="s">
        <v>20969</v>
      </c>
      <c r="C2330" s="6" t="str">
        <f>HYPERLINK("https://www.ti.com/lit/gpn/TPS61291", "PDF")</f>
        <v>PDF</v>
      </c>
      <c r="D2330" s="5" t="s">
        <v>20970</v>
      </c>
      <c r="E2330" s="5" t="s">
        <v>20971</v>
      </c>
      <c r="F2330" s="5" t="s">
        <v>20972</v>
      </c>
      <c r="G2330" s="5" t="s">
        <v>20973</v>
      </c>
      <c r="H2330" s="1" t="s">
        <v>20974</v>
      </c>
      <c r="I2330" s="5" t="s">
        <v>20975</v>
      </c>
      <c r="J2330" s="7">
        <v>6</v>
      </c>
      <c r="K2330" s="7">
        <v>4</v>
      </c>
      <c r="L2330" s="5" t="s">
        <v>20976</v>
      </c>
      <c r="M2330" s="7">
        <v>0.8</v>
      </c>
      <c r="N2330" s="7">
        <v>0.65</v>
      </c>
      <c r="O2330" s="7">
        <v>0.56299999999999994</v>
      </c>
      <c r="P2330" s="1" t="s">
        <v>20977</v>
      </c>
    </row>
    <row r="2331" spans="1:16" ht="17.05" x14ac:dyDescent="0.3">
      <c r="A2331" s="6" t="str">
        <f>HYPERLINK("https://www.ti.com/product/TPS92661-Q1", "TPS92661-Q1")</f>
        <v>TPS92661-Q1</v>
      </c>
      <c r="B2331" s="5" t="s">
        <v>20978</v>
      </c>
      <c r="C2331" s="6" t="str">
        <f>HYPERLINK("https://www.ti.com/lit/gpn/TPS92661-Q1", "PDF")</f>
        <v>PDF</v>
      </c>
      <c r="D2331" s="5" t="s">
        <v>20979</v>
      </c>
      <c r="E2331" s="5" t="s">
        <v>20980</v>
      </c>
      <c r="F2331" s="5" t="s">
        <v>20981</v>
      </c>
      <c r="G2331" s="5" t="s">
        <v>20982</v>
      </c>
      <c r="H2331" s="1" t="s">
        <v>20983</v>
      </c>
      <c r="I2331" s="5" t="s">
        <v>20984</v>
      </c>
      <c r="J2331" s="7">
        <v>48</v>
      </c>
      <c r="K2331" s="7">
        <v>81</v>
      </c>
      <c r="L2331" s="5" t="s">
        <v>20985</v>
      </c>
      <c r="M2331" s="7">
        <v>1.2</v>
      </c>
      <c r="N2331" s="7">
        <v>0.5</v>
      </c>
      <c r="O2331" s="7">
        <v>4.923</v>
      </c>
      <c r="P2331" s="1" t="s">
        <v>20986</v>
      </c>
    </row>
    <row r="2332" spans="1:16" ht="33.4" x14ac:dyDescent="0.3">
      <c r="A2332" s="6" t="str">
        <f>HYPERLINK("https://www.ti.com/product/TPS563200", "TPS563200")</f>
        <v>TPS563200</v>
      </c>
      <c r="B2332" s="5" t="s">
        <v>20987</v>
      </c>
      <c r="C2332" s="6" t="str">
        <f>HYPERLINK("https://www.ti.com/lit/gpn/TPS563200", "PDF")</f>
        <v>PDF</v>
      </c>
      <c r="D2332" s="5" t="s">
        <v>20988</v>
      </c>
      <c r="E2332" s="5" t="s">
        <v>20989</v>
      </c>
      <c r="F2332" s="5" t="s">
        <v>20990</v>
      </c>
      <c r="G2332" s="5" t="s">
        <v>20991</v>
      </c>
      <c r="H2332" s="1" t="s">
        <v>20992</v>
      </c>
      <c r="I2332" s="5" t="s">
        <v>20993</v>
      </c>
      <c r="J2332" s="7">
        <v>6</v>
      </c>
      <c r="K2332" s="7">
        <v>8.1199999999999992</v>
      </c>
      <c r="L2332" s="5" t="s">
        <v>20994</v>
      </c>
      <c r="M2332" s="7">
        <v>1.1000000000000001</v>
      </c>
      <c r="N2332" s="7">
        <v>0.95</v>
      </c>
      <c r="O2332" s="7">
        <v>0.34200000000000003</v>
      </c>
      <c r="P2332" s="1" t="s">
        <v>20995</v>
      </c>
    </row>
    <row r="2333" spans="1:16" ht="33.4" x14ac:dyDescent="0.3">
      <c r="A2333" s="6" t="str">
        <f>HYPERLINK("https://www.ti.com/product/TPS65283-1", "TPS65283-1")</f>
        <v>TPS65283-1</v>
      </c>
      <c r="B2333" s="5" t="s">
        <v>20996</v>
      </c>
      <c r="C2333" s="6" t="str">
        <f>HYPERLINK("https://www.ti.com/lit/gpn/TPS65283-1", "PDF")</f>
        <v>PDF</v>
      </c>
      <c r="D2333" s="5" t="s">
        <v>20997</v>
      </c>
      <c r="E2333" s="5" t="s">
        <v>20998</v>
      </c>
      <c r="F2333" s="5" t="s">
        <v>20999</v>
      </c>
      <c r="G2333" s="5" t="s">
        <v>21000</v>
      </c>
      <c r="H2333" s="1" t="s">
        <v>21001</v>
      </c>
      <c r="I2333" s="5" t="s">
        <v>21002</v>
      </c>
      <c r="J2333" s="7">
        <v>24</v>
      </c>
      <c r="K2333" s="7">
        <v>16</v>
      </c>
      <c r="L2333" s="5" t="s">
        <v>21003</v>
      </c>
      <c r="M2333" s="7">
        <v>1</v>
      </c>
      <c r="N2333" s="7">
        <v>0.5</v>
      </c>
      <c r="O2333" s="7">
        <v>1.0629999999999999</v>
      </c>
      <c r="P2333" s="1" t="s">
        <v>21004</v>
      </c>
    </row>
    <row r="2334" spans="1:16" ht="33.4" x14ac:dyDescent="0.3">
      <c r="A2334" s="6" t="str">
        <f>HYPERLINK("https://www.ti.com/product/TPS53632", "TPS53632")</f>
        <v>TPS53632</v>
      </c>
      <c r="B2334" s="5" t="s">
        <v>21005</v>
      </c>
      <c r="C2334" s="6" t="str">
        <f>HYPERLINK("https://www.ti.com/lit/gpn/TPS53632", "PDF")</f>
        <v>PDF</v>
      </c>
      <c r="D2334" s="5" t="s">
        <v>21006</v>
      </c>
      <c r="E2334" s="5" t="s">
        <v>21007</v>
      </c>
      <c r="F2334" s="5" t="s">
        <v>21008</v>
      </c>
      <c r="G2334" s="5" t="s">
        <v>21009</v>
      </c>
      <c r="H2334" s="1" t="s">
        <v>21010</v>
      </c>
      <c r="I2334" s="5" t="s">
        <v>21011</v>
      </c>
      <c r="J2334" s="7">
        <v>32</v>
      </c>
      <c r="K2334" s="7">
        <v>16</v>
      </c>
      <c r="L2334" s="5" t="s">
        <v>21012</v>
      </c>
      <c r="M2334" s="7">
        <v>1</v>
      </c>
      <c r="N2334" s="7">
        <v>0.4</v>
      </c>
      <c r="O2334" s="7">
        <v>3.036</v>
      </c>
      <c r="P2334" s="1" t="s">
        <v>21013</v>
      </c>
    </row>
    <row r="2335" spans="1:16" ht="33.4" x14ac:dyDescent="0.3">
      <c r="A2335" s="6" t="str">
        <f>HYPERLINK("https://www.ti.com/product/TPS54561-Q1", "TPS54561-Q1")</f>
        <v>TPS54561-Q1</v>
      </c>
      <c r="B2335" s="5" t="s">
        <v>21014</v>
      </c>
      <c r="C2335" s="6" t="str">
        <f>HYPERLINK("https://www.ti.com/lit/gpn/TPS54561-Q1", "PDF")</f>
        <v>PDF</v>
      </c>
      <c r="D2335" s="5" t="s">
        <v>21015</v>
      </c>
      <c r="E2335" s="5" t="s">
        <v>21016</v>
      </c>
      <c r="F2335" s="5" t="s">
        <v>21017</v>
      </c>
      <c r="G2335" s="5" t="s">
        <v>21018</v>
      </c>
      <c r="H2335" s="1" t="s">
        <v>21019</v>
      </c>
      <c r="I2335" s="5" t="s">
        <v>21020</v>
      </c>
      <c r="J2335" s="7">
        <v>10</v>
      </c>
      <c r="K2335" s="7">
        <v>16</v>
      </c>
      <c r="L2335" s="5" t="s">
        <v>21021</v>
      </c>
      <c r="M2335" s="7">
        <v>0.8</v>
      </c>
      <c r="N2335" s="7">
        <v>0.8</v>
      </c>
      <c r="O2335" s="7">
        <v>3.0209999999999999</v>
      </c>
      <c r="P2335" s="1" t="s">
        <v>21022</v>
      </c>
    </row>
    <row r="2336" spans="1:16" ht="33.4" x14ac:dyDescent="0.3">
      <c r="A2336" s="6" t="str">
        <f>HYPERLINK("https://www.ti.com/product/TPS65283", "TPS65283")</f>
        <v>TPS65283</v>
      </c>
      <c r="B2336" s="5" t="s">
        <v>21023</v>
      </c>
      <c r="C2336" s="6" t="str">
        <f>HYPERLINK("https://www.ti.com/lit/gpn/TPS65283", "PDF")</f>
        <v>PDF</v>
      </c>
      <c r="D2336" s="5" t="s">
        <v>21024</v>
      </c>
      <c r="E2336" s="5" t="s">
        <v>21025</v>
      </c>
      <c r="F2336" s="5" t="s">
        <v>21026</v>
      </c>
      <c r="G2336" s="5" t="s">
        <v>21027</v>
      </c>
      <c r="H2336" s="1" t="s">
        <v>21028</v>
      </c>
      <c r="I2336" s="5" t="s">
        <v>21029</v>
      </c>
      <c r="J2336" s="7">
        <v>24</v>
      </c>
      <c r="K2336" s="7">
        <v>16</v>
      </c>
      <c r="L2336" s="5" t="s">
        <v>21030</v>
      </c>
      <c r="M2336" s="7">
        <v>1</v>
      </c>
      <c r="N2336" s="7">
        <v>0.5</v>
      </c>
      <c r="O2336" s="7">
        <v>1.0629999999999999</v>
      </c>
      <c r="P2336" s="1" t="s">
        <v>21031</v>
      </c>
    </row>
    <row r="2337" spans="1:16" ht="49.75" x14ac:dyDescent="0.3">
      <c r="A2337" s="6" t="str">
        <f>HYPERLINK("https://www.ti.com/product/LM3631", "LM3631")</f>
        <v>LM3631</v>
      </c>
      <c r="B2337" s="5" t="s">
        <v>21032</v>
      </c>
      <c r="C2337" s="6" t="str">
        <f>HYPERLINK("https://www.ti.com/lit/gpn/LM3631", "PDF")</f>
        <v>PDF</v>
      </c>
      <c r="D2337" s="5" t="s">
        <v>21033</v>
      </c>
      <c r="E2337" s="5" t="s">
        <v>21034</v>
      </c>
      <c r="F2337" s="5" t="s">
        <v>21035</v>
      </c>
      <c r="G2337" s="5" t="s">
        <v>21036</v>
      </c>
      <c r="H2337" s="1" t="s">
        <v>21037</v>
      </c>
      <c r="I2337" s="5" t="s">
        <v>21038</v>
      </c>
      <c r="J2337" s="7">
        <v>24</v>
      </c>
      <c r="K2337" s="7">
        <v>4.68</v>
      </c>
      <c r="L2337" s="5" t="s">
        <v>21039</v>
      </c>
      <c r="M2337" s="7">
        <v>0.625</v>
      </c>
      <c r="N2337" s="7">
        <v>0.4</v>
      </c>
      <c r="O2337" s="7">
        <v>1.0629999999999999</v>
      </c>
      <c r="P2337" s="1" t="s">
        <v>21040</v>
      </c>
    </row>
    <row r="2338" spans="1:16" ht="33.4" x14ac:dyDescent="0.3">
      <c r="A2338" s="6" t="str">
        <f>HYPERLINK("https://www.ti.com/product/LM5066I", "LM5066I")</f>
        <v>LM5066I</v>
      </c>
      <c r="B2338" s="5" t="s">
        <v>21041</v>
      </c>
      <c r="C2338" s="6" t="str">
        <f>HYPERLINK("https://www.ti.com/lit/gpn/LM5066I", "PDF")</f>
        <v>PDF</v>
      </c>
      <c r="D2338" s="5" t="s">
        <v>21042</v>
      </c>
      <c r="E2338" s="5" t="s">
        <v>21043</v>
      </c>
      <c r="F2338" s="5"/>
      <c r="G2338" s="5" t="s">
        <v>21044</v>
      </c>
      <c r="H2338" s="1" t="s">
        <v>21045</v>
      </c>
      <c r="I2338" s="5" t="s">
        <v>21046</v>
      </c>
      <c r="J2338" s="7">
        <v>28</v>
      </c>
      <c r="K2338" s="7">
        <v>62.08</v>
      </c>
      <c r="L2338" s="5" t="s">
        <v>21047</v>
      </c>
      <c r="M2338" s="7">
        <v>1.2</v>
      </c>
      <c r="N2338" s="7">
        <v>0.65</v>
      </c>
      <c r="O2338" s="7">
        <v>3.3039999999999998</v>
      </c>
      <c r="P2338" s="1" t="s">
        <v>21048</v>
      </c>
    </row>
    <row r="2339" spans="1:16" ht="33.4" x14ac:dyDescent="0.3">
      <c r="A2339" s="6" t="str">
        <f>HYPERLINK("https://www.ti.com/product/UCD3138128", "UCD3138128")</f>
        <v>UCD3138128</v>
      </c>
      <c r="B2339" s="5" t="s">
        <v>21049</v>
      </c>
      <c r="C2339" s="6" t="str">
        <f>HYPERLINK("https://www.ti.com/lit/gpn/UCD3138128", "PDF")</f>
        <v>PDF</v>
      </c>
      <c r="D2339" s="5" t="s">
        <v>21050</v>
      </c>
      <c r="E2339" s="5" t="s">
        <v>21051</v>
      </c>
      <c r="F2339" s="5"/>
      <c r="G2339" s="5" t="s">
        <v>21052</v>
      </c>
      <c r="H2339" s="1" t="s">
        <v>21053</v>
      </c>
      <c r="I2339" s="5" t="s">
        <v>21054</v>
      </c>
      <c r="J2339" s="7">
        <v>80</v>
      </c>
      <c r="K2339" s="7">
        <v>196</v>
      </c>
      <c r="L2339" s="5" t="s">
        <v>21055</v>
      </c>
      <c r="M2339" s="7">
        <v>1.2</v>
      </c>
      <c r="N2339" s="7">
        <v>0.5</v>
      </c>
      <c r="O2339" s="7">
        <v>8.89</v>
      </c>
      <c r="P2339" s="1" t="s">
        <v>21056</v>
      </c>
    </row>
    <row r="2340" spans="1:16" ht="33.4" x14ac:dyDescent="0.3">
      <c r="A2340" s="6" t="str">
        <f>HYPERLINK("https://www.ti.com/product/TPS62180", "TPS62180")</f>
        <v>TPS62180</v>
      </c>
      <c r="B2340" s="5" t="s">
        <v>21057</v>
      </c>
      <c r="C2340" s="6" t="str">
        <f>HYPERLINK("https://www.ti.com/lit/gpn/TPS62180", "PDF")</f>
        <v>PDF</v>
      </c>
      <c r="D2340" s="5" t="s">
        <v>21058</v>
      </c>
      <c r="E2340" s="5" t="s">
        <v>21059</v>
      </c>
      <c r="F2340" s="5" t="s">
        <v>21060</v>
      </c>
      <c r="G2340" s="5" t="s">
        <v>21061</v>
      </c>
      <c r="H2340" s="1" t="s">
        <v>21062</v>
      </c>
      <c r="I2340" s="5" t="s">
        <v>21063</v>
      </c>
      <c r="J2340" s="7">
        <v>24</v>
      </c>
      <c r="K2340" s="7">
        <v>7.3125</v>
      </c>
      <c r="L2340" s="5" t="s">
        <v>21064</v>
      </c>
      <c r="M2340" s="7">
        <v>0.625</v>
      </c>
      <c r="N2340" s="7">
        <v>0.5</v>
      </c>
      <c r="O2340" s="7">
        <v>1.341</v>
      </c>
      <c r="P2340" s="1" t="s">
        <v>21065</v>
      </c>
    </row>
    <row r="2341" spans="1:16" ht="33.4" x14ac:dyDescent="0.3">
      <c r="A2341" s="6" t="str">
        <f>HYPERLINK("https://www.ti.com/product/TPS62182", "TPS62182")</f>
        <v>TPS62182</v>
      </c>
      <c r="B2341" s="5" t="s">
        <v>21066</v>
      </c>
      <c r="C2341" s="6" t="str">
        <f>HYPERLINK("https://www.ti.com/lit/gpn/TPS62182", "PDF")</f>
        <v>PDF</v>
      </c>
      <c r="D2341" s="5" t="s">
        <v>21067</v>
      </c>
      <c r="E2341" s="5" t="s">
        <v>21068</v>
      </c>
      <c r="F2341" s="5" t="s">
        <v>21069</v>
      </c>
      <c r="G2341" s="5" t="s">
        <v>21070</v>
      </c>
      <c r="H2341" s="1" t="s">
        <v>21071</v>
      </c>
      <c r="I2341" s="5" t="s">
        <v>21072</v>
      </c>
      <c r="J2341" s="7">
        <v>24</v>
      </c>
      <c r="K2341" s="7">
        <v>7.3125</v>
      </c>
      <c r="L2341" s="5" t="s">
        <v>21073</v>
      </c>
      <c r="M2341" s="7">
        <v>0.625</v>
      </c>
      <c r="N2341" s="7">
        <v>0.5</v>
      </c>
      <c r="O2341" s="7">
        <v>1.341</v>
      </c>
      <c r="P2341" s="1" t="s">
        <v>21074</v>
      </c>
    </row>
    <row r="2342" spans="1:16" ht="33.4" x14ac:dyDescent="0.3">
      <c r="A2342" s="6" t="str">
        <f>HYPERLINK("https://www.ti.com/product/TPS735-Q1", "TPS735-Q1")</f>
        <v>TPS735-Q1</v>
      </c>
      <c r="B2342" s="5" t="s">
        <v>21075</v>
      </c>
      <c r="C2342" s="6" t="str">
        <f>HYPERLINK("https://www.ti.com/lit/gpn/TPS735-Q1", "PDF")</f>
        <v>PDF</v>
      </c>
      <c r="D2342" s="5" t="s">
        <v>21076</v>
      </c>
      <c r="E2342" s="5" t="s">
        <v>21077</v>
      </c>
      <c r="F2342" s="5"/>
      <c r="G2342" s="5" t="s">
        <v>21078</v>
      </c>
      <c r="H2342" s="1" t="s">
        <v>21079</v>
      </c>
      <c r="I2342" s="5" t="s">
        <v>21080</v>
      </c>
      <c r="J2342" s="7">
        <v>8</v>
      </c>
      <c r="K2342" s="7">
        <v>9</v>
      </c>
      <c r="L2342" s="5" t="s">
        <v>21081</v>
      </c>
      <c r="M2342" s="7">
        <v>1</v>
      </c>
      <c r="N2342" s="7">
        <v>0.65</v>
      </c>
      <c r="O2342" s="7">
        <v>0.83199999999999996</v>
      </c>
      <c r="P2342" s="1" t="s">
        <v>21082</v>
      </c>
    </row>
    <row r="2343" spans="1:16" ht="33.4" x14ac:dyDescent="0.3">
      <c r="A2343" s="6" t="str">
        <f>HYPERLINK("https://www.ti.com/product/UCC27511A-Q1", "UCC27511A-Q1")</f>
        <v>UCC27511A-Q1</v>
      </c>
      <c r="B2343" s="5" t="s">
        <v>21083</v>
      </c>
      <c r="C2343" s="6" t="str">
        <f>HYPERLINK("https://www.ti.com/lit/gpn/UCC27511A-Q1", "PDF")</f>
        <v>PDF</v>
      </c>
      <c r="D2343" s="5" t="s">
        <v>21084</v>
      </c>
      <c r="E2343" s="5" t="s">
        <v>21085</v>
      </c>
      <c r="F2343" s="5"/>
      <c r="G2343" s="5" t="s">
        <v>21086</v>
      </c>
      <c r="H2343" s="1" t="s">
        <v>21087</v>
      </c>
      <c r="I2343" s="5" t="s">
        <v>21088</v>
      </c>
      <c r="J2343" s="7">
        <v>6</v>
      </c>
      <c r="K2343" s="7">
        <v>8.1199999999999992</v>
      </c>
      <c r="L2343" s="5" t="s">
        <v>21089</v>
      </c>
      <c r="M2343" s="7">
        <v>1.45</v>
      </c>
      <c r="N2343" s="7">
        <v>0.95</v>
      </c>
      <c r="O2343" s="7">
        <v>0.38</v>
      </c>
      <c r="P2343" s="1" t="s">
        <v>21090</v>
      </c>
    </row>
    <row r="2344" spans="1:16" ht="49.75" x14ac:dyDescent="0.3">
      <c r="A2344" s="6" t="str">
        <f>HYPERLINK("https://www.ti.com/product/LM3643", "LM3643")</f>
        <v>LM3643</v>
      </c>
      <c r="B2344" s="5" t="s">
        <v>21091</v>
      </c>
      <c r="C2344" s="6" t="str">
        <f>HYPERLINK("https://www.ti.com/lit/gpn/LM3643", "PDF")</f>
        <v>PDF</v>
      </c>
      <c r="D2344" s="5" t="s">
        <v>21092</v>
      </c>
      <c r="E2344" s="5" t="s">
        <v>21093</v>
      </c>
      <c r="F2344" s="5" t="s">
        <v>21094</v>
      </c>
      <c r="G2344" s="5" t="s">
        <v>21095</v>
      </c>
      <c r="H2344" s="1" t="s">
        <v>21096</v>
      </c>
      <c r="I2344" s="5" t="s">
        <v>21097</v>
      </c>
      <c r="J2344" s="7">
        <v>12</v>
      </c>
      <c r="K2344" s="7">
        <v>2.52</v>
      </c>
      <c r="L2344" s="5" t="s">
        <v>21098</v>
      </c>
      <c r="M2344" s="7">
        <v>0.625</v>
      </c>
      <c r="N2344" s="7">
        <v>0.4</v>
      </c>
      <c r="O2344" s="7">
        <v>0.28799999999999998</v>
      </c>
      <c r="P2344" s="1" t="s">
        <v>21099</v>
      </c>
    </row>
    <row r="2345" spans="1:16" ht="49.75" x14ac:dyDescent="0.3">
      <c r="A2345" s="6" t="str">
        <f>HYPERLINK("https://www.ti.com/product/LM3644", "LM3644")</f>
        <v>LM3644</v>
      </c>
      <c r="B2345" s="5" t="s">
        <v>21100</v>
      </c>
      <c r="C2345" s="6" t="str">
        <f>HYPERLINK("https://www.ti.com/lit/gpn/LM3644", "PDF")</f>
        <v>PDF</v>
      </c>
      <c r="D2345" s="5" t="s">
        <v>21101</v>
      </c>
      <c r="E2345" s="5" t="s">
        <v>21102</v>
      </c>
      <c r="F2345" s="5" t="s">
        <v>21103</v>
      </c>
      <c r="G2345" s="5" t="s">
        <v>21104</v>
      </c>
      <c r="H2345" s="1" t="s">
        <v>21105</v>
      </c>
      <c r="I2345" s="5" t="s">
        <v>21106</v>
      </c>
      <c r="J2345" s="7">
        <v>12</v>
      </c>
      <c r="K2345" s="7">
        <v>2.52</v>
      </c>
      <c r="L2345" s="5" t="s">
        <v>21107</v>
      </c>
      <c r="M2345" s="7">
        <v>0.625</v>
      </c>
      <c r="N2345" s="7">
        <v>0.4</v>
      </c>
      <c r="O2345" s="7">
        <v>0.28799999999999998</v>
      </c>
      <c r="P2345" s="1" t="s">
        <v>21108</v>
      </c>
    </row>
    <row r="2346" spans="1:16" ht="33.4" x14ac:dyDescent="0.3">
      <c r="A2346" s="6" t="str">
        <f>HYPERLINK("https://www.ti.com/product/CSD23202W10", "CSD23202W10")</f>
        <v>CSD23202W10</v>
      </c>
      <c r="B2346" s="5" t="s">
        <v>21109</v>
      </c>
      <c r="C2346" s="6" t="str">
        <f>HYPERLINK("https://www.ti.com/lit/gpn/CSD23202W10", "PDF")</f>
        <v>PDF</v>
      </c>
      <c r="D2346" s="5" t="s">
        <v>21110</v>
      </c>
      <c r="E2346" s="5" t="s">
        <v>21111</v>
      </c>
      <c r="F2346" s="5"/>
      <c r="G2346" s="5" t="s">
        <v>21112</v>
      </c>
      <c r="H2346" s="1" t="s">
        <v>21113</v>
      </c>
      <c r="I2346" s="5" t="s">
        <v>21114</v>
      </c>
      <c r="J2346" s="7">
        <v>4</v>
      </c>
      <c r="K2346" s="7">
        <v>1.5625</v>
      </c>
      <c r="L2346" s="5" t="s">
        <v>21115</v>
      </c>
      <c r="M2346" s="7">
        <v>1</v>
      </c>
      <c r="N2346" s="7">
        <v>0.5</v>
      </c>
      <c r="O2346" s="7">
        <v>7.8E-2</v>
      </c>
      <c r="P2346" s="1" t="s">
        <v>21116</v>
      </c>
    </row>
    <row r="2347" spans="1:16" ht="17.05" x14ac:dyDescent="0.3">
      <c r="A2347" s="6" t="str">
        <f>HYPERLINK("https://www.ti.com/product/TPS25921A", "TPS25921A")</f>
        <v>TPS25921A</v>
      </c>
      <c r="B2347" s="5" t="s">
        <v>21117</v>
      </c>
      <c r="C2347" s="6" t="str">
        <f>HYPERLINK("https://www.ti.com/lit/gpn/TPS25921A", "PDF")</f>
        <v>PDF</v>
      </c>
      <c r="D2347" s="5" t="s">
        <v>21118</v>
      </c>
      <c r="E2347" s="5" t="s">
        <v>21119</v>
      </c>
      <c r="F2347" s="5"/>
      <c r="G2347" s="5" t="s">
        <v>21120</v>
      </c>
      <c r="H2347" s="1" t="s">
        <v>21121</v>
      </c>
      <c r="I2347" s="5" t="s">
        <v>21122</v>
      </c>
      <c r="J2347" s="7">
        <v>8</v>
      </c>
      <c r="K2347" s="7">
        <v>29.4</v>
      </c>
      <c r="L2347" s="5" t="s">
        <v>21123</v>
      </c>
      <c r="M2347" s="7">
        <v>1.75</v>
      </c>
      <c r="N2347" s="7">
        <v>1.27</v>
      </c>
      <c r="O2347" s="7">
        <v>0.48299999999999998</v>
      </c>
      <c r="P2347" s="1" t="s">
        <v>21124</v>
      </c>
    </row>
    <row r="2348" spans="1:16" ht="17.05" x14ac:dyDescent="0.3">
      <c r="A2348" s="6" t="str">
        <f>HYPERLINK("https://www.ti.com/product/TPS25921L", "TPS25921L")</f>
        <v>TPS25921L</v>
      </c>
      <c r="B2348" s="5" t="s">
        <v>21125</v>
      </c>
      <c r="C2348" s="6" t="str">
        <f>HYPERLINK("https://www.ti.com/lit/gpn/TPS25921L", "PDF")</f>
        <v>PDF</v>
      </c>
      <c r="D2348" s="5" t="s">
        <v>21126</v>
      </c>
      <c r="E2348" s="5" t="s">
        <v>21127</v>
      </c>
      <c r="F2348" s="5"/>
      <c r="G2348" s="5" t="s">
        <v>21128</v>
      </c>
      <c r="H2348" s="1" t="s">
        <v>21129</v>
      </c>
      <c r="I2348" s="5" t="s">
        <v>21130</v>
      </c>
      <c r="J2348" s="7">
        <v>8</v>
      </c>
      <c r="K2348" s="7">
        <v>29.4</v>
      </c>
      <c r="L2348" s="5" t="s">
        <v>21131</v>
      </c>
      <c r="M2348" s="7">
        <v>1.75</v>
      </c>
      <c r="N2348" s="7">
        <v>1.27</v>
      </c>
      <c r="O2348" s="7">
        <v>0.48299999999999998</v>
      </c>
      <c r="P2348" s="1" t="s">
        <v>21132</v>
      </c>
    </row>
    <row r="2349" spans="1:16" ht="33.4" x14ac:dyDescent="0.3">
      <c r="A2349" s="6" t="str">
        <f>HYPERLINK("https://www.ti.com/product/CSD16570Q5B", "CSD16570Q5B")</f>
        <v>CSD16570Q5B</v>
      </c>
      <c r="B2349" s="5" t="s">
        <v>21133</v>
      </c>
      <c r="C2349" s="6" t="str">
        <f>HYPERLINK("https://www.ti.com/lit/gpn/CSD16570Q5B", "PDF")</f>
        <v>PDF</v>
      </c>
      <c r="D2349" s="5" t="s">
        <v>21134</v>
      </c>
      <c r="E2349" s="5" t="s">
        <v>21135</v>
      </c>
      <c r="F2349" s="5"/>
      <c r="G2349" s="5" t="s">
        <v>21136</v>
      </c>
      <c r="H2349" s="1" t="s">
        <v>21137</v>
      </c>
      <c r="I2349" s="5" t="s">
        <v>21138</v>
      </c>
      <c r="J2349" s="7">
        <v>8</v>
      </c>
      <c r="K2349" s="7">
        <v>30</v>
      </c>
      <c r="L2349" s="5" t="s">
        <v>21139</v>
      </c>
      <c r="M2349" s="7">
        <v>1</v>
      </c>
      <c r="N2349" s="7">
        <v>1.27</v>
      </c>
      <c r="O2349" s="7">
        <v>0.65200000000000002</v>
      </c>
      <c r="P2349" s="1" t="s">
        <v>21140</v>
      </c>
    </row>
    <row r="2350" spans="1:16" ht="33.4" x14ac:dyDescent="0.3">
      <c r="A2350" s="6" t="str">
        <f>HYPERLINK("https://www.ti.com/product/TPS65262-1", "TPS65262-1")</f>
        <v>TPS65262-1</v>
      </c>
      <c r="B2350" s="5" t="s">
        <v>21141</v>
      </c>
      <c r="C2350" s="6" t="str">
        <f>HYPERLINK("https://www.ti.com/lit/gpn/TPS65262-1", "PDF")</f>
        <v>PDF</v>
      </c>
      <c r="D2350" s="5" t="s">
        <v>21142</v>
      </c>
      <c r="E2350" s="5" t="s">
        <v>21143</v>
      </c>
      <c r="F2350" s="5" t="s">
        <v>21144</v>
      </c>
      <c r="G2350" s="5" t="s">
        <v>21145</v>
      </c>
      <c r="H2350" s="1" t="s">
        <v>21146</v>
      </c>
      <c r="I2350" s="5" t="s">
        <v>21147</v>
      </c>
      <c r="J2350" s="7">
        <v>32</v>
      </c>
      <c r="K2350" s="7">
        <v>25</v>
      </c>
      <c r="L2350" s="5" t="s">
        <v>21148</v>
      </c>
      <c r="M2350" s="7">
        <v>1</v>
      </c>
      <c r="N2350" s="7">
        <v>0.5</v>
      </c>
      <c r="O2350" s="7">
        <v>1.518</v>
      </c>
      <c r="P2350" s="1" t="s">
        <v>21149</v>
      </c>
    </row>
    <row r="2351" spans="1:16" ht="33.4" x14ac:dyDescent="0.3">
      <c r="A2351" s="6" t="str">
        <f>HYPERLINK("https://www.ti.com/product/LM43600", "LM43600")</f>
        <v>LM43600</v>
      </c>
      <c r="B2351" s="5" t="s">
        <v>21150</v>
      </c>
      <c r="C2351" s="6" t="str">
        <f>HYPERLINK("https://www.ti.com/lit/gpn/LM43600", "PDF")</f>
        <v>PDF</v>
      </c>
      <c r="D2351" s="5" t="s">
        <v>21151</v>
      </c>
      <c r="E2351" s="5" t="s">
        <v>21152</v>
      </c>
      <c r="F2351" s="5" t="s">
        <v>21153</v>
      </c>
      <c r="G2351" s="5" t="s">
        <v>21154</v>
      </c>
      <c r="H2351" s="1" t="s">
        <v>21155</v>
      </c>
      <c r="I2351" s="5" t="s">
        <v>21156</v>
      </c>
      <c r="J2351" s="7">
        <v>16</v>
      </c>
      <c r="K2351" s="7">
        <v>32</v>
      </c>
      <c r="L2351" s="5" t="s">
        <v>21157</v>
      </c>
      <c r="M2351" s="7">
        <v>1.2</v>
      </c>
      <c r="N2351" s="7">
        <v>0.65</v>
      </c>
      <c r="O2351" s="7">
        <v>1.67</v>
      </c>
      <c r="P2351" s="1" t="s">
        <v>21158</v>
      </c>
    </row>
    <row r="2352" spans="1:16" ht="33.4" x14ac:dyDescent="0.3">
      <c r="A2352" s="6" t="str">
        <f>HYPERLINK("https://www.ti.com/product/LM43601", "LM43601")</f>
        <v>LM43601</v>
      </c>
      <c r="B2352" s="5" t="s">
        <v>21159</v>
      </c>
      <c r="C2352" s="6" t="str">
        <f>HYPERLINK("https://www.ti.com/lit/gpn/LM43601", "PDF")</f>
        <v>PDF</v>
      </c>
      <c r="D2352" s="5" t="s">
        <v>21160</v>
      </c>
      <c r="E2352" s="5" t="s">
        <v>21161</v>
      </c>
      <c r="F2352" s="5" t="s">
        <v>21162</v>
      </c>
      <c r="G2352" s="5" t="s">
        <v>21163</v>
      </c>
      <c r="H2352" s="1" t="s">
        <v>21164</v>
      </c>
      <c r="I2352" s="5" t="s">
        <v>21165</v>
      </c>
      <c r="J2352" s="7">
        <v>16</v>
      </c>
      <c r="K2352" s="7">
        <v>32</v>
      </c>
      <c r="L2352" s="5" t="s">
        <v>21166</v>
      </c>
      <c r="M2352" s="7">
        <v>1.2</v>
      </c>
      <c r="N2352" s="7">
        <v>0.65</v>
      </c>
      <c r="O2352" s="7">
        <v>1.7809999999999999</v>
      </c>
      <c r="P2352" s="1" t="s">
        <v>21167</v>
      </c>
    </row>
    <row r="2353" spans="1:16" ht="33.4" x14ac:dyDescent="0.3">
      <c r="A2353" s="6" t="str">
        <f>HYPERLINK("https://www.ti.com/product/CSD17577Q3A", "CSD17577Q3A")</f>
        <v>CSD17577Q3A</v>
      </c>
      <c r="B2353" s="5" t="s">
        <v>21168</v>
      </c>
      <c r="C2353" s="6" t="str">
        <f>HYPERLINK("https://www.ti.com/lit/gpn/CSD17577Q3A", "PDF")</f>
        <v>PDF</v>
      </c>
      <c r="D2353" s="5" t="s">
        <v>21169</v>
      </c>
      <c r="E2353" s="5" t="s">
        <v>21170</v>
      </c>
      <c r="F2353" s="5"/>
      <c r="G2353" s="5" t="s">
        <v>21171</v>
      </c>
      <c r="H2353" s="1" t="s">
        <v>21172</v>
      </c>
      <c r="I2353" s="5" t="s">
        <v>21173</v>
      </c>
      <c r="J2353" s="7">
        <v>8</v>
      </c>
      <c r="K2353" s="7">
        <v>10.89</v>
      </c>
      <c r="L2353" s="5" t="s">
        <v>21174</v>
      </c>
      <c r="M2353" s="7">
        <v>0.9</v>
      </c>
      <c r="N2353" s="7">
        <v>0.65</v>
      </c>
      <c r="O2353" s="7">
        <v>0.151</v>
      </c>
      <c r="P2353" s="1" t="s">
        <v>21175</v>
      </c>
    </row>
    <row r="2354" spans="1:16" ht="33.4" x14ac:dyDescent="0.3">
      <c r="A2354" s="6" t="str">
        <f>HYPERLINK("https://www.ti.com/product/CSD17577Q5A", "CSD17577Q5A")</f>
        <v>CSD17577Q5A</v>
      </c>
      <c r="B2354" s="5" t="s">
        <v>21176</v>
      </c>
      <c r="C2354" s="6" t="str">
        <f>HYPERLINK("https://www.ti.com/lit/gpn/CSD17577Q5A", "PDF")</f>
        <v>PDF</v>
      </c>
      <c r="D2354" s="5" t="s">
        <v>21177</v>
      </c>
      <c r="E2354" s="5" t="s">
        <v>21178</v>
      </c>
      <c r="F2354" s="5"/>
      <c r="G2354" s="5" t="s">
        <v>21179</v>
      </c>
      <c r="H2354" s="1" t="s">
        <v>21180</v>
      </c>
      <c r="I2354" s="5" t="s">
        <v>21181</v>
      </c>
      <c r="J2354" s="7">
        <v>8</v>
      </c>
      <c r="K2354" s="7">
        <v>29.4</v>
      </c>
      <c r="L2354" s="5" t="s">
        <v>21182</v>
      </c>
      <c r="M2354" s="7">
        <v>1.1000000000000001</v>
      </c>
      <c r="N2354" s="7">
        <v>1.27</v>
      </c>
      <c r="O2354" s="7">
        <v>0.16700000000000001</v>
      </c>
      <c r="P2354" s="1" t="s">
        <v>21183</v>
      </c>
    </row>
    <row r="2355" spans="1:16" ht="17.05" x14ac:dyDescent="0.3">
      <c r="A2355" s="6" t="str">
        <f>HYPERLINK("https://www.ti.com/product/TPS3847", "TPS3847")</f>
        <v>TPS3847</v>
      </c>
      <c r="B2355" s="5" t="s">
        <v>21184</v>
      </c>
      <c r="C2355" s="6" t="str">
        <f>HYPERLINK("https://www.ti.com/lit/gpn/TPS3847", "PDF")</f>
        <v>PDF</v>
      </c>
      <c r="D2355" s="5" t="s">
        <v>21185</v>
      </c>
      <c r="E2355" s="5" t="s">
        <v>21186</v>
      </c>
      <c r="F2355" s="5"/>
      <c r="G2355" s="5" t="s">
        <v>21187</v>
      </c>
      <c r="H2355" s="1" t="s">
        <v>21188</v>
      </c>
      <c r="I2355" s="5" t="s">
        <v>21189</v>
      </c>
      <c r="J2355" s="7">
        <v>5</v>
      </c>
      <c r="K2355" s="7">
        <v>8.1199999999999992</v>
      </c>
      <c r="L2355" s="5" t="s">
        <v>21190</v>
      </c>
      <c r="M2355" s="7">
        <v>1.45</v>
      </c>
      <c r="N2355" s="7">
        <v>0.95</v>
      </c>
      <c r="O2355" s="7">
        <v>0.872</v>
      </c>
      <c r="P2355" s="1" t="s">
        <v>21191</v>
      </c>
    </row>
    <row r="2356" spans="1:16" ht="17.05" x14ac:dyDescent="0.3">
      <c r="A2356" s="6" t="str">
        <f>HYPERLINK("https://www.ti.com/product/CSD95379Q3M", "CSD95379Q3M")</f>
        <v>CSD95379Q3M</v>
      </c>
      <c r="B2356" s="5" t="s">
        <v>21192</v>
      </c>
      <c r="C2356" s="6" t="str">
        <f>HYPERLINK("https://www.ti.com/lit/gpn/CSD95379Q3M", "PDF")</f>
        <v>PDF</v>
      </c>
      <c r="D2356" s="5" t="s">
        <v>21193</v>
      </c>
      <c r="E2356" s="5" t="s">
        <v>21194</v>
      </c>
      <c r="F2356" s="5"/>
      <c r="G2356" s="5" t="s">
        <v>21195</v>
      </c>
      <c r="H2356" s="1" t="s">
        <v>21196</v>
      </c>
      <c r="I2356" s="5" t="s">
        <v>21197</v>
      </c>
      <c r="J2356" s="7">
        <v>10</v>
      </c>
      <c r="K2356" s="7">
        <v>10.89</v>
      </c>
      <c r="L2356" s="5" t="s">
        <v>21198</v>
      </c>
      <c r="M2356" s="7">
        <v>1</v>
      </c>
      <c r="N2356" s="7">
        <v>0.4</v>
      </c>
      <c r="O2356" s="7">
        <v>0.67900000000000005</v>
      </c>
      <c r="P2356" s="1" t="s">
        <v>21199</v>
      </c>
    </row>
    <row r="2357" spans="1:16" ht="33.4" x14ac:dyDescent="0.3">
      <c r="A2357" s="6" t="str">
        <f>HYPERLINK("https://www.ti.com/product/CSD75208W1015", "CSD75208W1015")</f>
        <v>CSD75208W1015</v>
      </c>
      <c r="B2357" s="5" t="s">
        <v>21200</v>
      </c>
      <c r="C2357" s="6" t="str">
        <f>HYPERLINK("https://www.ti.com/lit/gpn/CSD75208W1015", "PDF")</f>
        <v>PDF</v>
      </c>
      <c r="D2357" s="5" t="s">
        <v>21201</v>
      </c>
      <c r="E2357" s="5" t="s">
        <v>21202</v>
      </c>
      <c r="F2357" s="5"/>
      <c r="G2357" s="5" t="s">
        <v>21203</v>
      </c>
      <c r="H2357" s="1" t="s">
        <v>21204</v>
      </c>
      <c r="I2357" s="5" t="s">
        <v>21205</v>
      </c>
      <c r="J2357" s="7">
        <v>6</v>
      </c>
      <c r="K2357" s="7">
        <v>2.1875</v>
      </c>
      <c r="L2357" s="5" t="s">
        <v>21206</v>
      </c>
      <c r="M2357" s="7">
        <v>1</v>
      </c>
      <c r="N2357" s="7">
        <v>0.5</v>
      </c>
      <c r="O2357" s="7">
        <v>0.11</v>
      </c>
      <c r="P2357" s="1" t="s">
        <v>21207</v>
      </c>
    </row>
    <row r="2358" spans="1:16" ht="33.4" x14ac:dyDescent="0.3">
      <c r="A2358" s="6" t="str">
        <f>HYPERLINK("https://www.ti.com/product/TPS51604-Q1", "TPS51604-Q1")</f>
        <v>TPS51604-Q1</v>
      </c>
      <c r="B2358" s="5" t="s">
        <v>21208</v>
      </c>
      <c r="C2358" s="6" t="str">
        <f>HYPERLINK("https://www.ti.com/lit/gpn/TPS51604-Q1", "PDF")</f>
        <v>PDF</v>
      </c>
      <c r="D2358" s="5" t="s">
        <v>21209</v>
      </c>
      <c r="E2358" s="5" t="s">
        <v>21210</v>
      </c>
      <c r="F2358" s="5"/>
      <c r="G2358" s="5" t="s">
        <v>21211</v>
      </c>
      <c r="H2358" s="1" t="s">
        <v>21212</v>
      </c>
      <c r="I2358" s="5" t="s">
        <v>21213</v>
      </c>
      <c r="J2358" s="7">
        <v>8</v>
      </c>
      <c r="K2358" s="7">
        <v>4</v>
      </c>
      <c r="L2358" s="5" t="s">
        <v>21214</v>
      </c>
      <c r="M2358" s="7">
        <v>0.8</v>
      </c>
      <c r="N2358" s="7">
        <v>0.5</v>
      </c>
      <c r="O2358" s="7">
        <v>2.2090000000000001</v>
      </c>
      <c r="P2358" s="1" t="s">
        <v>21215</v>
      </c>
    </row>
    <row r="2359" spans="1:16" ht="33.4" x14ac:dyDescent="0.3">
      <c r="A2359" s="6" t="str">
        <f>HYPERLINK("https://www.ti.com/product/TPS51632-Q1", "TPS51632-Q1")</f>
        <v>TPS51632-Q1</v>
      </c>
      <c r="B2359" s="5" t="s">
        <v>21216</v>
      </c>
      <c r="C2359" s="6" t="str">
        <f>HYPERLINK("https://www.ti.com/lit/gpn/TPS51632-Q1", "PDF")</f>
        <v>PDF</v>
      </c>
      <c r="D2359" s="5" t="s">
        <v>21217</v>
      </c>
      <c r="E2359" s="5" t="s">
        <v>21218</v>
      </c>
      <c r="F2359" s="5" t="s">
        <v>21219</v>
      </c>
      <c r="G2359" s="5" t="s">
        <v>21220</v>
      </c>
      <c r="H2359" s="1" t="s">
        <v>21221</v>
      </c>
      <c r="I2359" s="5" t="s">
        <v>21222</v>
      </c>
      <c r="J2359" s="7">
        <v>32</v>
      </c>
      <c r="K2359" s="7">
        <v>16</v>
      </c>
      <c r="L2359" s="5" t="s">
        <v>21223</v>
      </c>
      <c r="M2359" s="7">
        <v>1</v>
      </c>
      <c r="N2359" s="7">
        <v>0.4</v>
      </c>
      <c r="O2359" s="7">
        <v>3.3410000000000002</v>
      </c>
      <c r="P2359" s="1" t="s">
        <v>21224</v>
      </c>
    </row>
    <row r="2360" spans="1:16" ht="33.4" x14ac:dyDescent="0.3">
      <c r="A2360" s="6" t="str">
        <f>HYPERLINK("https://www.ti.com/product/TPS62134A", "TPS62134A")</f>
        <v>TPS62134A</v>
      </c>
      <c r="B2360" s="5" t="s">
        <v>21225</v>
      </c>
      <c r="C2360" s="6" t="str">
        <f>HYPERLINK("https://www.ti.com/lit/gpn/TPS62134A", "PDF")</f>
        <v>PDF</v>
      </c>
      <c r="D2360" s="5" t="s">
        <v>21226</v>
      </c>
      <c r="E2360" s="5" t="s">
        <v>21227</v>
      </c>
      <c r="F2360" s="5" t="s">
        <v>21228</v>
      </c>
      <c r="G2360" s="5" t="s">
        <v>21229</v>
      </c>
      <c r="H2360" s="1" t="s">
        <v>21230</v>
      </c>
      <c r="I2360" s="5" t="s">
        <v>21231</v>
      </c>
      <c r="J2360" s="7">
        <v>16</v>
      </c>
      <c r="K2360" s="7">
        <v>9</v>
      </c>
      <c r="L2360" s="5" t="s">
        <v>21232</v>
      </c>
      <c r="M2360" s="7">
        <v>1</v>
      </c>
      <c r="N2360" s="7">
        <v>0.5</v>
      </c>
      <c r="O2360" s="7">
        <v>0.78200000000000003</v>
      </c>
      <c r="P2360" s="1" t="s">
        <v>21233</v>
      </c>
    </row>
    <row r="2361" spans="1:16" ht="33.4" x14ac:dyDescent="0.3">
      <c r="A2361" s="6" t="str">
        <f>HYPERLINK("https://www.ti.com/product/TPS62742", "TPS62742")</f>
        <v>TPS62742</v>
      </c>
      <c r="B2361" s="5" t="s">
        <v>21234</v>
      </c>
      <c r="C2361" s="6" t="str">
        <f>HYPERLINK("https://www.ti.com/lit/gpn/TPS62742", "PDF")</f>
        <v>PDF</v>
      </c>
      <c r="D2361" s="5" t="s">
        <v>21235</v>
      </c>
      <c r="E2361" s="5" t="s">
        <v>21236</v>
      </c>
      <c r="F2361" s="5" t="s">
        <v>21237</v>
      </c>
      <c r="G2361" s="5" t="s">
        <v>21238</v>
      </c>
      <c r="H2361" s="1" t="s">
        <v>21239</v>
      </c>
      <c r="I2361" s="5" t="s">
        <v>21240</v>
      </c>
      <c r="J2361" s="7">
        <v>12</v>
      </c>
      <c r="K2361" s="7">
        <v>6</v>
      </c>
      <c r="L2361" s="5" t="s">
        <v>21241</v>
      </c>
      <c r="M2361" s="7">
        <v>0.8</v>
      </c>
      <c r="N2361" s="7">
        <v>0.5</v>
      </c>
      <c r="O2361" s="7">
        <v>0.53200000000000003</v>
      </c>
      <c r="P2361" s="1" t="s">
        <v>21242</v>
      </c>
    </row>
    <row r="2362" spans="1:16" ht="33.4" x14ac:dyDescent="0.3">
      <c r="A2362" s="6" t="str">
        <f>HYPERLINK("https://www.ti.com/product/REF2041", "REF2041")</f>
        <v>REF2041</v>
      </c>
      <c r="B2362" s="5" t="s">
        <v>21243</v>
      </c>
      <c r="C2362" s="6" t="str">
        <f>HYPERLINK("https://www.ti.com/lit/gpn/REF2041", "PDF")</f>
        <v>PDF</v>
      </c>
      <c r="D2362" s="5" t="s">
        <v>21244</v>
      </c>
      <c r="E2362" s="5" t="s">
        <v>21245</v>
      </c>
      <c r="F2362" s="5"/>
      <c r="G2362" s="5" t="s">
        <v>21246</v>
      </c>
      <c r="H2362" s="1" t="s">
        <v>21247</v>
      </c>
      <c r="I2362" s="5" t="s">
        <v>21248</v>
      </c>
      <c r="J2362" s="7">
        <v>5</v>
      </c>
      <c r="K2362" s="7">
        <v>8.1199999999999992</v>
      </c>
      <c r="L2362" s="5" t="s">
        <v>21249</v>
      </c>
      <c r="M2362" s="7">
        <v>1.1000000000000001</v>
      </c>
      <c r="N2362" s="7">
        <v>0.95</v>
      </c>
      <c r="O2362" s="7">
        <v>1.3759999999999999</v>
      </c>
      <c r="P2362" s="1" t="s">
        <v>21250</v>
      </c>
    </row>
    <row r="2363" spans="1:16" ht="17.05" x14ac:dyDescent="0.3">
      <c r="A2363" s="6" t="str">
        <f>HYPERLINK("https://www.ti.com/product/CSD95373BQ5M", "CSD95373BQ5M")</f>
        <v>CSD95373BQ5M</v>
      </c>
      <c r="B2363" s="5" t="s">
        <v>21251</v>
      </c>
      <c r="C2363" s="6" t="str">
        <f>HYPERLINK("https://www.ti.com/lit/gpn/CSD95373BQ5M", "PDF")</f>
        <v>PDF</v>
      </c>
      <c r="D2363" s="5" t="s">
        <v>21252</v>
      </c>
      <c r="E2363" s="5" t="s">
        <v>21253</v>
      </c>
      <c r="F2363" s="5"/>
      <c r="G2363" s="5" t="s">
        <v>21254</v>
      </c>
      <c r="H2363" s="1" t="s">
        <v>21255</v>
      </c>
      <c r="I2363" s="5" t="s">
        <v>21256</v>
      </c>
      <c r="J2363" s="7">
        <v>12</v>
      </c>
      <c r="K2363" s="7">
        <v>30</v>
      </c>
      <c r="L2363" s="5" t="s">
        <v>21257</v>
      </c>
      <c r="M2363" s="7">
        <v>1.5</v>
      </c>
      <c r="N2363" s="7">
        <v>0.5</v>
      </c>
      <c r="O2363" s="7">
        <v>1.754</v>
      </c>
      <c r="P2363" s="1" t="s">
        <v>21258</v>
      </c>
    </row>
    <row r="2364" spans="1:16" ht="33.4" x14ac:dyDescent="0.3">
      <c r="A2364" s="6" t="str">
        <f>HYPERLINK("https://www.ti.com/product/REF2030", "REF2030")</f>
        <v>REF2030</v>
      </c>
      <c r="B2364" s="5" t="s">
        <v>21259</v>
      </c>
      <c r="C2364" s="6" t="str">
        <f>HYPERLINK("https://www.ti.com/lit/gpn/REF2030", "PDF")</f>
        <v>PDF</v>
      </c>
      <c r="D2364" s="5" t="s">
        <v>21260</v>
      </c>
      <c r="E2364" s="5" t="s">
        <v>21261</v>
      </c>
      <c r="F2364" s="5"/>
      <c r="G2364" s="5" t="s">
        <v>21262</v>
      </c>
      <c r="H2364" s="1" t="s">
        <v>21263</v>
      </c>
      <c r="I2364" s="5" t="s">
        <v>21264</v>
      </c>
      <c r="J2364" s="7">
        <v>5</v>
      </c>
      <c r="K2364" s="7">
        <v>8.1199999999999992</v>
      </c>
      <c r="L2364" s="5" t="s">
        <v>21265</v>
      </c>
      <c r="M2364" s="7">
        <v>1.1000000000000001</v>
      </c>
      <c r="N2364" s="7">
        <v>0.95</v>
      </c>
      <c r="O2364" s="7">
        <v>1.4430000000000001</v>
      </c>
      <c r="P2364" s="1" t="s">
        <v>21266</v>
      </c>
    </row>
    <row r="2365" spans="1:16" ht="33.4" x14ac:dyDescent="0.3">
      <c r="A2365" s="6" t="str">
        <f>HYPERLINK("https://www.ti.com/product/REF2033", "REF2033")</f>
        <v>REF2033</v>
      </c>
      <c r="B2365" s="5" t="s">
        <v>21267</v>
      </c>
      <c r="C2365" s="6" t="str">
        <f>HYPERLINK("https://www.ti.com/lit/gpn/REF2033", "PDF")</f>
        <v>PDF</v>
      </c>
      <c r="D2365" s="5" t="s">
        <v>21268</v>
      </c>
      <c r="E2365" s="5" t="s">
        <v>21269</v>
      </c>
      <c r="F2365" s="5"/>
      <c r="G2365" s="5" t="s">
        <v>21270</v>
      </c>
      <c r="H2365" s="1" t="s">
        <v>21271</v>
      </c>
      <c r="I2365" s="5" t="s">
        <v>21272</v>
      </c>
      <c r="J2365" s="7">
        <v>5</v>
      </c>
      <c r="K2365" s="7">
        <v>8.1199999999999992</v>
      </c>
      <c r="L2365" s="5" t="s">
        <v>21273</v>
      </c>
      <c r="M2365" s="7">
        <v>1.1000000000000001</v>
      </c>
      <c r="N2365" s="7">
        <v>0.95</v>
      </c>
      <c r="O2365" s="7">
        <v>1.5429999999999999</v>
      </c>
      <c r="P2365" s="1" t="s">
        <v>21274</v>
      </c>
    </row>
    <row r="2366" spans="1:16" ht="49.75" x14ac:dyDescent="0.3">
      <c r="A2366" s="6" t="str">
        <f>HYPERLINK("https://www.ti.com/product/TPS57114-EP", "TPS57114-EP")</f>
        <v>TPS57114-EP</v>
      </c>
      <c r="B2366" s="5" t="s">
        <v>21275</v>
      </c>
      <c r="C2366" s="6" t="str">
        <f>HYPERLINK("https://www.ti.com/lit/gpn/TPS57114-EP", "PDF")</f>
        <v>PDF</v>
      </c>
      <c r="D2366" s="5" t="s">
        <v>21276</v>
      </c>
      <c r="E2366" s="5" t="s">
        <v>21277</v>
      </c>
      <c r="F2366" s="5" t="s">
        <v>21278</v>
      </c>
      <c r="G2366" s="5" t="s">
        <v>21279</v>
      </c>
      <c r="H2366" s="1" t="s">
        <v>21280</v>
      </c>
      <c r="I2366" s="5" t="s">
        <v>21281</v>
      </c>
      <c r="J2366" s="7">
        <v>16</v>
      </c>
      <c r="K2366" s="7">
        <v>9</v>
      </c>
      <c r="L2366" s="5" t="s">
        <v>21282</v>
      </c>
      <c r="M2366" s="7">
        <v>0.8</v>
      </c>
      <c r="N2366" s="7">
        <v>0.5</v>
      </c>
      <c r="O2366" s="7">
        <v>4.5780000000000003</v>
      </c>
      <c r="P2366" s="1" t="s">
        <v>21283</v>
      </c>
    </row>
    <row r="2367" spans="1:16" ht="33.4" x14ac:dyDescent="0.3">
      <c r="A2367" s="6" t="str">
        <f>HYPERLINK("https://www.ti.com/product/CSD25304W1015", "CSD25304W1015")</f>
        <v>CSD25304W1015</v>
      </c>
      <c r="B2367" s="5" t="s">
        <v>21284</v>
      </c>
      <c r="C2367" s="6" t="str">
        <f>HYPERLINK("https://www.ti.com/lit/gpn/CSD25304W1015", "PDF")</f>
        <v>PDF</v>
      </c>
      <c r="D2367" s="5" t="s">
        <v>21285</v>
      </c>
      <c r="E2367" s="5" t="s">
        <v>21286</v>
      </c>
      <c r="F2367" s="5"/>
      <c r="G2367" s="5" t="s">
        <v>21287</v>
      </c>
      <c r="H2367" s="1" t="s">
        <v>21288</v>
      </c>
      <c r="I2367" s="5" t="s">
        <v>21289</v>
      </c>
      <c r="J2367" s="7">
        <v>6</v>
      </c>
      <c r="K2367" s="7">
        <v>2.1875</v>
      </c>
      <c r="L2367" s="5" t="s">
        <v>21290</v>
      </c>
      <c r="M2367" s="7">
        <v>1</v>
      </c>
      <c r="N2367" s="7">
        <v>0.5</v>
      </c>
      <c r="O2367" s="7">
        <v>0.105</v>
      </c>
      <c r="P2367" s="1" t="s">
        <v>21291</v>
      </c>
    </row>
    <row r="2368" spans="1:16" ht="33.4" x14ac:dyDescent="0.3">
      <c r="A2368" s="6" t="str">
        <f>HYPERLINK("https://www.ti.com/product/LM46000", "LM46000")</f>
        <v>LM46000</v>
      </c>
      <c r="B2368" s="5" t="s">
        <v>21292</v>
      </c>
      <c r="C2368" s="6" t="str">
        <f>HYPERLINK("https://www.ti.com/lit/gpn/LM46000", "PDF")</f>
        <v>PDF</v>
      </c>
      <c r="D2368" s="5" t="s">
        <v>21293</v>
      </c>
      <c r="E2368" s="5" t="s">
        <v>21294</v>
      </c>
      <c r="F2368" s="5" t="s">
        <v>21295</v>
      </c>
      <c r="G2368" s="5" t="s">
        <v>21296</v>
      </c>
      <c r="H2368" s="1" t="s">
        <v>21297</v>
      </c>
      <c r="I2368" s="5" t="s">
        <v>21298</v>
      </c>
      <c r="J2368" s="7">
        <v>16</v>
      </c>
      <c r="K2368" s="7">
        <v>32</v>
      </c>
      <c r="L2368" s="5" t="s">
        <v>21299</v>
      </c>
      <c r="M2368" s="7">
        <v>1.2</v>
      </c>
      <c r="N2368" s="7">
        <v>0.65</v>
      </c>
      <c r="O2368" s="7">
        <v>1.837</v>
      </c>
      <c r="P2368" s="1" t="s">
        <v>21300</v>
      </c>
    </row>
    <row r="2369" spans="1:16" ht="33.4" x14ac:dyDescent="0.3">
      <c r="A2369" s="6" t="str">
        <f>HYPERLINK("https://www.ti.com/product/LM46001", "LM46001")</f>
        <v>LM46001</v>
      </c>
      <c r="B2369" s="5" t="s">
        <v>21301</v>
      </c>
      <c r="C2369" s="6" t="str">
        <f>HYPERLINK("https://www.ti.com/lit/gpn/LM46001", "PDF")</f>
        <v>PDF</v>
      </c>
      <c r="D2369" s="5" t="s">
        <v>21302</v>
      </c>
      <c r="E2369" s="5" t="s">
        <v>21303</v>
      </c>
      <c r="F2369" s="5" t="s">
        <v>21304</v>
      </c>
      <c r="G2369" s="5" t="s">
        <v>21305</v>
      </c>
      <c r="H2369" s="1" t="s">
        <v>21306</v>
      </c>
      <c r="I2369" s="5" t="s">
        <v>21307</v>
      </c>
      <c r="J2369" s="7">
        <v>16</v>
      </c>
      <c r="K2369" s="7">
        <v>32</v>
      </c>
      <c r="L2369" s="5" t="s">
        <v>21308</v>
      </c>
      <c r="M2369" s="7">
        <v>1.2</v>
      </c>
      <c r="N2369" s="7">
        <v>0.65</v>
      </c>
      <c r="O2369" s="7">
        <v>1.948</v>
      </c>
      <c r="P2369" s="1" t="s">
        <v>21309</v>
      </c>
    </row>
    <row r="2370" spans="1:16" ht="33.4" x14ac:dyDescent="0.3">
      <c r="A2370" s="6" t="str">
        <f>HYPERLINK("https://www.ti.com/product/TPS65263", "TPS65263")</f>
        <v>TPS65263</v>
      </c>
      <c r="B2370" s="5" t="s">
        <v>21310</v>
      </c>
      <c r="C2370" s="6" t="str">
        <f>HYPERLINK("https://www.ti.com/lit/gpn/TPS65263", "PDF")</f>
        <v>PDF</v>
      </c>
      <c r="D2370" s="5" t="s">
        <v>21311</v>
      </c>
      <c r="E2370" s="5" t="s">
        <v>21312</v>
      </c>
      <c r="F2370" s="5" t="s">
        <v>21313</v>
      </c>
      <c r="G2370" s="5" t="s">
        <v>21314</v>
      </c>
      <c r="H2370" s="1" t="s">
        <v>21315</v>
      </c>
      <c r="I2370" s="5" t="s">
        <v>21316</v>
      </c>
      <c r="J2370" s="7">
        <v>32</v>
      </c>
      <c r="K2370" s="7">
        <v>25</v>
      </c>
      <c r="L2370" s="5" t="s">
        <v>21317</v>
      </c>
      <c r="M2370" s="7">
        <v>1</v>
      </c>
      <c r="N2370" s="7">
        <v>0.5</v>
      </c>
      <c r="O2370" s="7">
        <v>1.67</v>
      </c>
      <c r="P2370" s="1" t="s">
        <v>21318</v>
      </c>
    </row>
    <row r="2371" spans="1:16" ht="17.05" x14ac:dyDescent="0.3">
      <c r="A2371" s="6" t="str">
        <f>HYPERLINK("https://www.ti.com/product/TPS22914", "TPS22914")</f>
        <v>TPS22914</v>
      </c>
      <c r="B2371" s="5" t="s">
        <v>21319</v>
      </c>
      <c r="C2371" s="6" t="str">
        <f>HYPERLINK("https://www.ti.com/lit/gpn/TPS22914", "PDF")</f>
        <v>PDF</v>
      </c>
      <c r="D2371" s="5" t="s">
        <v>21320</v>
      </c>
      <c r="E2371" s="5" t="s">
        <v>21321</v>
      </c>
      <c r="F2371" s="5"/>
      <c r="G2371" s="5" t="s">
        <v>21322</v>
      </c>
      <c r="H2371" s="1" t="s">
        <v>21323</v>
      </c>
      <c r="I2371" s="5" t="s">
        <v>21324</v>
      </c>
      <c r="J2371" s="7">
        <v>4</v>
      </c>
      <c r="K2371" s="7">
        <v>1</v>
      </c>
      <c r="L2371" s="5" t="s">
        <v>21325</v>
      </c>
      <c r="M2371" s="7">
        <v>0.5</v>
      </c>
      <c r="N2371" s="7">
        <v>0.4</v>
      </c>
      <c r="O2371" s="7">
        <v>8.5000000000000006E-2</v>
      </c>
      <c r="P2371" s="1" t="s">
        <v>21326</v>
      </c>
    </row>
    <row r="2372" spans="1:16" ht="49.75" x14ac:dyDescent="0.3">
      <c r="A2372" s="6" t="str">
        <f>HYPERLINK("https://www.ti.com/product/TPS54060-EP", "TPS54060-EP")</f>
        <v>TPS54060-EP</v>
      </c>
      <c r="B2372" s="5" t="s">
        <v>21327</v>
      </c>
      <c r="C2372" s="6" t="str">
        <f>HYPERLINK("https://www.ti.com/lit/gpn/TPS54060-EP", "PDF")</f>
        <v>PDF</v>
      </c>
      <c r="D2372" s="5" t="s">
        <v>21328</v>
      </c>
      <c r="E2372" s="5" t="s">
        <v>21329</v>
      </c>
      <c r="F2372" s="5" t="s">
        <v>21330</v>
      </c>
      <c r="G2372" s="5" t="s">
        <v>21331</v>
      </c>
      <c r="H2372" s="1" t="s">
        <v>21332</v>
      </c>
      <c r="I2372" s="5" t="s">
        <v>21333</v>
      </c>
      <c r="J2372" s="7">
        <v>10</v>
      </c>
      <c r="K2372" s="7">
        <v>14.7</v>
      </c>
      <c r="L2372" s="5" t="s">
        <v>21334</v>
      </c>
      <c r="M2372" s="7">
        <v>1.1000000000000001</v>
      </c>
      <c r="N2372" s="7">
        <v>0.5</v>
      </c>
      <c r="O2372" s="7">
        <v>3.0569999999999999</v>
      </c>
      <c r="P2372" s="1" t="s">
        <v>21335</v>
      </c>
    </row>
    <row r="2373" spans="1:16" ht="49.75" x14ac:dyDescent="0.3">
      <c r="A2373" s="6" t="str">
        <f>HYPERLINK("https://www.ti.com/product/TPS55340-EP", "TPS55340-EP")</f>
        <v>TPS55340-EP</v>
      </c>
      <c r="B2373" s="5" t="s">
        <v>21336</v>
      </c>
      <c r="C2373" s="6" t="str">
        <f>HYPERLINK("https://www.ti.com/lit/gpn/TPS55340-EP", "PDF")</f>
        <v>PDF</v>
      </c>
      <c r="D2373" s="5" t="s">
        <v>21337</v>
      </c>
      <c r="E2373" s="5" t="s">
        <v>21338</v>
      </c>
      <c r="F2373" s="5" t="s">
        <v>21339</v>
      </c>
      <c r="G2373" s="5" t="s">
        <v>21340</v>
      </c>
      <c r="H2373" s="1" t="s">
        <v>21341</v>
      </c>
      <c r="I2373" s="5" t="s">
        <v>21342</v>
      </c>
      <c r="J2373" s="7">
        <v>16</v>
      </c>
      <c r="K2373" s="7">
        <v>9</v>
      </c>
      <c r="L2373" s="5" t="s">
        <v>21343</v>
      </c>
      <c r="M2373" s="7">
        <v>0.8</v>
      </c>
      <c r="N2373" s="7">
        <v>0.5</v>
      </c>
      <c r="O2373" s="7">
        <v>4.5759999999999996</v>
      </c>
      <c r="P2373" s="1" t="s">
        <v>21344</v>
      </c>
    </row>
    <row r="2374" spans="1:16" ht="33.4" x14ac:dyDescent="0.3">
      <c r="A2374" s="6" t="str">
        <f>HYPERLINK("https://www.ti.com/product/TPS25940", "TPS25940")</f>
        <v>TPS25940</v>
      </c>
      <c r="B2374" s="5" t="s">
        <v>21345</v>
      </c>
      <c r="C2374" s="6" t="str">
        <f>HYPERLINK("https://www.ti.com/lit/gpn/TPS25940", "PDF")</f>
        <v>PDF</v>
      </c>
      <c r="D2374" s="5" t="s">
        <v>21346</v>
      </c>
      <c r="E2374" s="5" t="s">
        <v>21347</v>
      </c>
      <c r="F2374" s="5"/>
      <c r="G2374" s="5" t="s">
        <v>21348</v>
      </c>
      <c r="H2374" s="1" t="s">
        <v>21349</v>
      </c>
      <c r="I2374" s="5" t="s">
        <v>21350</v>
      </c>
      <c r="J2374" s="7">
        <v>20</v>
      </c>
      <c r="K2374" s="7">
        <v>12</v>
      </c>
      <c r="L2374" s="5" t="s">
        <v>21351</v>
      </c>
      <c r="M2374" s="7">
        <v>0.8</v>
      </c>
      <c r="N2374" s="7">
        <v>0.5</v>
      </c>
      <c r="O2374" s="7">
        <v>0.94299999999999995</v>
      </c>
      <c r="P2374" s="1" t="s">
        <v>21352</v>
      </c>
    </row>
    <row r="2375" spans="1:16" ht="33.4" x14ac:dyDescent="0.3">
      <c r="A2375" s="6" t="str">
        <f>HYPERLINK("https://www.ti.com/product/TPS25942A", "TPS25942A")</f>
        <v>TPS25942A</v>
      </c>
      <c r="B2375" s="5" t="s">
        <v>21353</v>
      </c>
      <c r="C2375" s="6" t="str">
        <f>HYPERLINK("https://www.ti.com/lit/gpn/TPS25942A", "PDF")</f>
        <v>PDF</v>
      </c>
      <c r="D2375" s="5" t="s">
        <v>21354</v>
      </c>
      <c r="E2375" s="5" t="s">
        <v>21355</v>
      </c>
      <c r="F2375" s="5"/>
      <c r="G2375" s="5" t="s">
        <v>21356</v>
      </c>
      <c r="H2375" s="1" t="s">
        <v>21357</v>
      </c>
      <c r="I2375" s="5" t="s">
        <v>21358</v>
      </c>
      <c r="J2375" s="7">
        <v>20</v>
      </c>
      <c r="K2375" s="7">
        <v>12</v>
      </c>
      <c r="L2375" s="5" t="s">
        <v>21359</v>
      </c>
      <c r="M2375" s="7">
        <v>0.8</v>
      </c>
      <c r="N2375" s="7">
        <v>0.5</v>
      </c>
      <c r="O2375" s="7">
        <v>0.94299999999999995</v>
      </c>
      <c r="P2375" s="1" t="s">
        <v>21360</v>
      </c>
    </row>
    <row r="2376" spans="1:16" ht="33.4" x14ac:dyDescent="0.3">
      <c r="A2376" s="6" t="str">
        <f>HYPERLINK("https://www.ti.com/product/TPS25942L", "TPS25942L")</f>
        <v>TPS25942L</v>
      </c>
      <c r="B2376" s="5" t="s">
        <v>21361</v>
      </c>
      <c r="C2376" s="6" t="str">
        <f>HYPERLINK("https://www.ti.com/lit/gpn/TPS25942L", "PDF")</f>
        <v>PDF</v>
      </c>
      <c r="D2376" s="5" t="s">
        <v>21362</v>
      </c>
      <c r="E2376" s="5" t="s">
        <v>21363</v>
      </c>
      <c r="F2376" s="5"/>
      <c r="G2376" s="5" t="s">
        <v>21364</v>
      </c>
      <c r="H2376" s="1" t="s">
        <v>21365</v>
      </c>
      <c r="I2376" s="5" t="s">
        <v>21366</v>
      </c>
      <c r="J2376" s="7">
        <v>20</v>
      </c>
      <c r="K2376" s="7">
        <v>12</v>
      </c>
      <c r="L2376" s="5" t="s">
        <v>21367</v>
      </c>
      <c r="M2376" s="7">
        <v>0.8</v>
      </c>
      <c r="N2376" s="7">
        <v>0.5</v>
      </c>
      <c r="O2376" s="7">
        <v>0.94299999999999995</v>
      </c>
      <c r="P2376" s="1" t="s">
        <v>21368</v>
      </c>
    </row>
    <row r="2377" spans="1:16" ht="33.4" x14ac:dyDescent="0.3">
      <c r="A2377" s="6" t="str">
        <f>HYPERLINK("https://www.ti.com/product/UCD3138A64", "UCD3138A64")</f>
        <v>UCD3138A64</v>
      </c>
      <c r="B2377" s="5" t="s">
        <v>21369</v>
      </c>
      <c r="C2377" s="6" t="str">
        <f>HYPERLINK("https://www.ti.com/lit/gpn/UCD3138A64", "PDF")</f>
        <v>PDF</v>
      </c>
      <c r="D2377" s="5" t="s">
        <v>21370</v>
      </c>
      <c r="E2377" s="5" t="s">
        <v>21371</v>
      </c>
      <c r="F2377" s="5"/>
      <c r="G2377" s="5" t="s">
        <v>21372</v>
      </c>
      <c r="H2377" s="1" t="s">
        <v>21373</v>
      </c>
      <c r="I2377" s="5" t="s">
        <v>21374</v>
      </c>
      <c r="J2377" s="7">
        <v>80</v>
      </c>
      <c r="K2377" s="7">
        <v>196</v>
      </c>
      <c r="L2377" s="5" t="s">
        <v>21375</v>
      </c>
      <c r="M2377" s="7">
        <v>1.2</v>
      </c>
      <c r="N2377" s="7">
        <v>0.5</v>
      </c>
      <c r="O2377" s="7">
        <v>11.121</v>
      </c>
      <c r="P2377" s="1" t="s">
        <v>21376</v>
      </c>
    </row>
    <row r="2378" spans="1:16" ht="33.4" x14ac:dyDescent="0.3">
      <c r="A2378" s="6" t="str">
        <f>HYPERLINK("https://www.ti.com/product/CSD95378BQ5MC", "CSD95378BQ5MC")</f>
        <v>CSD95378BQ5MC</v>
      </c>
      <c r="B2378" s="5" t="s">
        <v>21377</v>
      </c>
      <c r="C2378" s="6" t="str">
        <f>HYPERLINK("https://www.ti.com/lit/gpn/CSD95378BQ5MC", "PDF")</f>
        <v>PDF</v>
      </c>
      <c r="D2378" s="5" t="s">
        <v>21378</v>
      </c>
      <c r="E2378" s="5" t="s">
        <v>21379</v>
      </c>
      <c r="F2378" s="5"/>
      <c r="G2378" s="5" t="s">
        <v>21380</v>
      </c>
      <c r="H2378" s="1" t="s">
        <v>21381</v>
      </c>
      <c r="I2378" s="5" t="s">
        <v>21382</v>
      </c>
      <c r="J2378" s="7">
        <v>12</v>
      </c>
      <c r="K2378" s="7">
        <v>30</v>
      </c>
      <c r="L2378" s="5" t="s">
        <v>21383</v>
      </c>
      <c r="M2378" s="7">
        <v>1.05</v>
      </c>
      <c r="N2378" s="7">
        <v>0.5</v>
      </c>
      <c r="O2378" s="7">
        <v>2.2970000000000002</v>
      </c>
      <c r="P2378" s="1" t="s">
        <v>21384</v>
      </c>
    </row>
    <row r="2379" spans="1:16" ht="33.4" x14ac:dyDescent="0.3">
      <c r="A2379" s="6" t="str">
        <f>HYPERLINK("https://www.ti.com/product/LP2996A", "LP2996A")</f>
        <v>LP2996A</v>
      </c>
      <c r="B2379" s="5" t="s">
        <v>21385</v>
      </c>
      <c r="C2379" s="6" t="str">
        <f>HYPERLINK("https://www.ti.com/lit/gpn/LP2996A", "PDF")</f>
        <v>PDF</v>
      </c>
      <c r="D2379" s="5" t="s">
        <v>21386</v>
      </c>
      <c r="E2379" s="5" t="s">
        <v>21387</v>
      </c>
      <c r="F2379" s="5"/>
      <c r="G2379" s="5" t="s">
        <v>21388</v>
      </c>
      <c r="H2379" s="1" t="s">
        <v>21389</v>
      </c>
      <c r="I2379" s="5" t="s">
        <v>21390</v>
      </c>
      <c r="J2379" s="7">
        <v>8</v>
      </c>
      <c r="K2379" s="7">
        <v>29.4</v>
      </c>
      <c r="L2379" s="5" t="s">
        <v>21391</v>
      </c>
      <c r="M2379" s="7">
        <v>1.7</v>
      </c>
      <c r="N2379" s="7">
        <v>1.27</v>
      </c>
      <c r="O2379" s="7">
        <v>0.63700000000000001</v>
      </c>
      <c r="P2379" s="1" t="s">
        <v>21392</v>
      </c>
    </row>
    <row r="2380" spans="1:16" ht="17.05" x14ac:dyDescent="0.3">
      <c r="A2380" s="6" t="str">
        <f>HYPERLINK("https://www.ti.com/product/TPS22915", "TPS22915")</f>
        <v>TPS22915</v>
      </c>
      <c r="B2380" s="5" t="s">
        <v>21393</v>
      </c>
      <c r="C2380" s="6" t="str">
        <f>HYPERLINK("https://www.ti.com/lit/gpn/TPS22915", "PDF")</f>
        <v>PDF</v>
      </c>
      <c r="D2380" s="5" t="s">
        <v>21394</v>
      </c>
      <c r="E2380" s="5" t="s">
        <v>21395</v>
      </c>
      <c r="F2380" s="5"/>
      <c r="G2380" s="5" t="s">
        <v>21396</v>
      </c>
      <c r="H2380" s="1" t="s">
        <v>21397</v>
      </c>
      <c r="I2380" s="5" t="s">
        <v>21398</v>
      </c>
      <c r="J2380" s="7">
        <v>4</v>
      </c>
      <c r="K2380" s="7">
        <v>1</v>
      </c>
      <c r="L2380" s="5" t="s">
        <v>21399</v>
      </c>
      <c r="M2380" s="7">
        <v>0.5</v>
      </c>
      <c r="N2380" s="7">
        <v>0.4</v>
      </c>
      <c r="O2380" s="7">
        <v>8.5000000000000006E-2</v>
      </c>
      <c r="P2380" s="1" t="s">
        <v>21400</v>
      </c>
    </row>
    <row r="2381" spans="1:16" ht="33.4" x14ac:dyDescent="0.3">
      <c r="A2381" s="6" t="str">
        <f>HYPERLINK("https://www.ti.com/product/TPS53631", "TPS53631")</f>
        <v>TPS53631</v>
      </c>
      <c r="B2381" s="5" t="s">
        <v>21401</v>
      </c>
      <c r="C2381" s="6" t="str">
        <f>HYPERLINK("https://www.ti.com/lit/gpn/TPS53631", "PDF")</f>
        <v>PDF</v>
      </c>
      <c r="D2381" s="5" t="s">
        <v>21402</v>
      </c>
      <c r="E2381" s="5" t="s">
        <v>21403</v>
      </c>
      <c r="F2381" s="5" t="s">
        <v>21404</v>
      </c>
      <c r="G2381" s="5" t="s">
        <v>21405</v>
      </c>
      <c r="H2381" s="1" t="s">
        <v>21406</v>
      </c>
      <c r="I2381" s="5" t="s">
        <v>21407</v>
      </c>
      <c r="J2381" s="7">
        <v>40</v>
      </c>
      <c r="K2381" s="7">
        <v>25</v>
      </c>
      <c r="L2381" s="5" t="s">
        <v>21408</v>
      </c>
      <c r="M2381" s="7">
        <v>0.8</v>
      </c>
      <c r="N2381" s="7">
        <v>0.4</v>
      </c>
      <c r="O2381" s="7">
        <v>2.7280000000000002</v>
      </c>
      <c r="P2381" s="1" t="s">
        <v>21409</v>
      </c>
    </row>
    <row r="2382" spans="1:16" ht="33.4" x14ac:dyDescent="0.3">
      <c r="A2382" s="6" t="str">
        <f>HYPERLINK("https://www.ti.com/product/TPS53641", "TPS53641")</f>
        <v>TPS53641</v>
      </c>
      <c r="B2382" s="5" t="s">
        <v>21410</v>
      </c>
      <c r="C2382" s="6" t="str">
        <f>HYPERLINK("https://www.ti.com/lit/gpn/TPS53641", "PDF")</f>
        <v>PDF</v>
      </c>
      <c r="D2382" s="5" t="s">
        <v>21411</v>
      </c>
      <c r="E2382" s="5" t="s">
        <v>21412</v>
      </c>
      <c r="F2382" s="5" t="s">
        <v>21413</v>
      </c>
      <c r="G2382" s="5" t="s">
        <v>21414</v>
      </c>
      <c r="H2382" s="1" t="s">
        <v>21415</v>
      </c>
      <c r="I2382" s="5" t="s">
        <v>21416</v>
      </c>
      <c r="J2382" s="7">
        <v>40</v>
      </c>
      <c r="K2382" s="7">
        <v>25</v>
      </c>
      <c r="L2382" s="5" t="s">
        <v>21417</v>
      </c>
      <c r="M2382" s="7">
        <v>0.8</v>
      </c>
      <c r="N2382" s="7">
        <v>0.4</v>
      </c>
      <c r="O2382" s="7">
        <v>3.0350000000000001</v>
      </c>
      <c r="P2382" s="1" t="s">
        <v>21418</v>
      </c>
    </row>
    <row r="2383" spans="1:16" ht="33.4" x14ac:dyDescent="0.3">
      <c r="A2383" s="6" t="str">
        <f>HYPERLINK("https://www.ti.com/product/TPS53661", "TPS53661")</f>
        <v>TPS53661</v>
      </c>
      <c r="B2383" s="5" t="s">
        <v>21419</v>
      </c>
      <c r="C2383" s="6" t="str">
        <f>HYPERLINK("https://www.ti.com/lit/gpn/TPS53661", "PDF")</f>
        <v>PDF</v>
      </c>
      <c r="D2383" s="5" t="s">
        <v>21420</v>
      </c>
      <c r="E2383" s="5" t="s">
        <v>21421</v>
      </c>
      <c r="F2383" s="5" t="s">
        <v>21422</v>
      </c>
      <c r="G2383" s="5" t="s">
        <v>21423</v>
      </c>
      <c r="H2383" s="1" t="s">
        <v>21424</v>
      </c>
      <c r="I2383" s="5" t="s">
        <v>21425</v>
      </c>
      <c r="J2383" s="7">
        <v>40</v>
      </c>
      <c r="K2383" s="7">
        <v>25</v>
      </c>
      <c r="L2383" s="5" t="s">
        <v>21426</v>
      </c>
      <c r="M2383" s="7">
        <v>0.8</v>
      </c>
      <c r="N2383" s="7">
        <v>0.4</v>
      </c>
      <c r="O2383" s="7">
        <v>5.29</v>
      </c>
      <c r="P2383" s="1" t="s">
        <v>21427</v>
      </c>
    </row>
    <row r="2384" spans="1:16" ht="33.4" x14ac:dyDescent="0.3">
      <c r="A2384" s="6" t="str">
        <f>HYPERLINK("https://www.ti.com/product/TPS53640", "TPS53640")</f>
        <v>TPS53640</v>
      </c>
      <c r="B2384" s="5" t="s">
        <v>21428</v>
      </c>
      <c r="C2384" s="6" t="str">
        <f>HYPERLINK("https://www.ti.com/lit/gpn/TPS53640", "PDF")</f>
        <v>PDF</v>
      </c>
      <c r="D2384" s="5" t="s">
        <v>21429</v>
      </c>
      <c r="E2384" s="5" t="s">
        <v>21430</v>
      </c>
      <c r="F2384" s="5" t="s">
        <v>21431</v>
      </c>
      <c r="G2384" s="5" t="s">
        <v>21432</v>
      </c>
      <c r="H2384" s="1" t="s">
        <v>21433</v>
      </c>
      <c r="I2384" s="5" t="s">
        <v>21434</v>
      </c>
      <c r="J2384" s="7">
        <v>40</v>
      </c>
      <c r="K2384" s="7">
        <v>25</v>
      </c>
      <c r="L2384" s="5" t="s">
        <v>21435</v>
      </c>
      <c r="M2384" s="7">
        <v>0.8</v>
      </c>
      <c r="N2384" s="7">
        <v>0.4</v>
      </c>
      <c r="O2384" s="7">
        <v>3.117</v>
      </c>
      <c r="P2384" s="1" t="s">
        <v>21436</v>
      </c>
    </row>
    <row r="2385" spans="1:16" ht="33.4" x14ac:dyDescent="0.3">
      <c r="A2385" s="6" t="str">
        <f>HYPERLINK("https://www.ti.com/product/TPS53640A", "TPS53640A")</f>
        <v>TPS53640A</v>
      </c>
      <c r="B2385" s="5" t="s">
        <v>21437</v>
      </c>
      <c r="C2385" s="6" t="str">
        <f>HYPERLINK("https://www.ti.com/lit/gpn/TPS53640A", "PDF")</f>
        <v>PDF</v>
      </c>
      <c r="D2385" s="5" t="s">
        <v>21438</v>
      </c>
      <c r="E2385" s="5" t="s">
        <v>21439</v>
      </c>
      <c r="F2385" s="5" t="s">
        <v>21440</v>
      </c>
      <c r="G2385" s="5" t="s">
        <v>21441</v>
      </c>
      <c r="H2385" s="1" t="s">
        <v>21442</v>
      </c>
      <c r="I2385" s="5" t="s">
        <v>21443</v>
      </c>
      <c r="J2385" s="7">
        <v>40</v>
      </c>
      <c r="K2385" s="7">
        <v>25</v>
      </c>
      <c r="L2385" s="5" t="s">
        <v>21444</v>
      </c>
      <c r="M2385" s="7">
        <v>0.8</v>
      </c>
      <c r="N2385" s="7">
        <v>0.4</v>
      </c>
      <c r="O2385" s="7">
        <v>3.0009999999999999</v>
      </c>
      <c r="P2385" s="1" t="s">
        <v>21445</v>
      </c>
    </row>
    <row r="2386" spans="1:16" ht="33.4" x14ac:dyDescent="0.3">
      <c r="A2386" s="6" t="str">
        <f>HYPERLINK("https://www.ti.com/product/CSD18509Q5B", "CSD18509Q5B")</f>
        <v>CSD18509Q5B</v>
      </c>
      <c r="B2386" s="5" t="s">
        <v>21446</v>
      </c>
      <c r="C2386" s="6" t="str">
        <f>HYPERLINK("https://www.ti.com/lit/gpn/CSD18509Q5B", "PDF")</f>
        <v>PDF</v>
      </c>
      <c r="D2386" s="5" t="s">
        <v>21447</v>
      </c>
      <c r="E2386" s="5" t="s">
        <v>21448</v>
      </c>
      <c r="F2386" s="5"/>
      <c r="G2386" s="5" t="s">
        <v>21449</v>
      </c>
      <c r="H2386" s="1" t="s">
        <v>21450</v>
      </c>
      <c r="I2386" s="5" t="s">
        <v>21451</v>
      </c>
      <c r="J2386" s="7">
        <v>8</v>
      </c>
      <c r="K2386" s="7">
        <v>30</v>
      </c>
      <c r="L2386" s="5" t="s">
        <v>21452</v>
      </c>
      <c r="M2386" s="7">
        <v>1</v>
      </c>
      <c r="N2386" s="7">
        <v>1.27</v>
      </c>
      <c r="O2386" s="7">
        <v>0.755</v>
      </c>
      <c r="P2386" s="1" t="s">
        <v>21453</v>
      </c>
    </row>
    <row r="2387" spans="1:16" ht="33.4" x14ac:dyDescent="0.3">
      <c r="A2387" s="6" t="str">
        <f>HYPERLINK("https://www.ti.com/product/CSD18540Q5B", "CSD18540Q5B")</f>
        <v>CSD18540Q5B</v>
      </c>
      <c r="B2387" s="5" t="s">
        <v>21454</v>
      </c>
      <c r="C2387" s="6" t="str">
        <f>HYPERLINK("https://www.ti.com/lit/gpn/CSD18540Q5B", "PDF")</f>
        <v>PDF</v>
      </c>
      <c r="D2387" s="5" t="s">
        <v>21455</v>
      </c>
      <c r="E2387" s="5" t="s">
        <v>21456</v>
      </c>
      <c r="F2387" s="5"/>
      <c r="G2387" s="5" t="s">
        <v>21457</v>
      </c>
      <c r="H2387" s="1" t="s">
        <v>21458</v>
      </c>
      <c r="I2387" s="5" t="s">
        <v>21459</v>
      </c>
      <c r="J2387" s="7">
        <v>8</v>
      </c>
      <c r="K2387" s="7">
        <v>30</v>
      </c>
      <c r="L2387" s="5" t="s">
        <v>21460</v>
      </c>
      <c r="M2387" s="7">
        <v>1</v>
      </c>
      <c r="N2387" s="7">
        <v>1.27</v>
      </c>
      <c r="O2387" s="7">
        <v>0.748</v>
      </c>
      <c r="P2387" s="1" t="s">
        <v>21461</v>
      </c>
    </row>
    <row r="2388" spans="1:16" ht="33.4" x14ac:dyDescent="0.3">
      <c r="A2388" s="6" t="str">
        <f>HYPERLINK("https://www.ti.com/product/CSD25202W15", "CSD25202W15")</f>
        <v>CSD25202W15</v>
      </c>
      <c r="B2388" s="5" t="s">
        <v>21462</v>
      </c>
      <c r="C2388" s="6" t="str">
        <f>HYPERLINK("https://www.ti.com/lit/gpn/CSD25202W15", "PDF")</f>
        <v>PDF</v>
      </c>
      <c r="D2388" s="5" t="s">
        <v>21463</v>
      </c>
      <c r="E2388" s="5" t="s">
        <v>21464</v>
      </c>
      <c r="F2388" s="5"/>
      <c r="G2388" s="5" t="s">
        <v>21465</v>
      </c>
      <c r="H2388" s="1" t="s">
        <v>21466</v>
      </c>
      <c r="I2388" s="5" t="s">
        <v>21467</v>
      </c>
      <c r="J2388" s="7">
        <v>9</v>
      </c>
      <c r="K2388" s="7">
        <v>3.0625</v>
      </c>
      <c r="L2388" s="5" t="s">
        <v>21468</v>
      </c>
      <c r="M2388" s="7">
        <v>0.625</v>
      </c>
      <c r="N2388" s="7">
        <v>0.5</v>
      </c>
      <c r="O2388" s="7">
        <v>0.14499999999999999</v>
      </c>
      <c r="P2388" s="1" t="s">
        <v>21469</v>
      </c>
    </row>
    <row r="2389" spans="1:16" ht="17.05" x14ac:dyDescent="0.3">
      <c r="A2389" s="6" t="str">
        <f>HYPERLINK("https://www.ti.com/product/TPS22959", "TPS22959")</f>
        <v>TPS22959</v>
      </c>
      <c r="B2389" s="5" t="s">
        <v>21470</v>
      </c>
      <c r="C2389" s="6" t="str">
        <f>HYPERLINK("https://www.ti.com/lit/gpn/TPS22959", "PDF")</f>
        <v>PDF</v>
      </c>
      <c r="D2389" s="5" t="s">
        <v>21471</v>
      </c>
      <c r="E2389" s="5" t="s">
        <v>21472</v>
      </c>
      <c r="F2389" s="5"/>
      <c r="G2389" s="5" t="s">
        <v>21473</v>
      </c>
      <c r="H2389" s="1" t="s">
        <v>21474</v>
      </c>
      <c r="I2389" s="5" t="s">
        <v>21475</v>
      </c>
      <c r="J2389" s="7">
        <v>8</v>
      </c>
      <c r="K2389" s="7">
        <v>9</v>
      </c>
      <c r="L2389" s="5" t="s">
        <v>21476</v>
      </c>
      <c r="M2389" s="7">
        <v>0.8</v>
      </c>
      <c r="N2389" s="7">
        <v>0.65</v>
      </c>
      <c r="O2389" s="7">
        <v>0.56200000000000006</v>
      </c>
      <c r="P2389" s="1" t="s">
        <v>21477</v>
      </c>
    </row>
    <row r="2390" spans="1:16" ht="17.05" x14ac:dyDescent="0.3">
      <c r="A2390" s="6" t="str">
        <f>HYPERLINK("https://www.ti.com/product/TPS22962", "TPS22962")</f>
        <v>TPS22962</v>
      </c>
      <c r="B2390" s="5" t="s">
        <v>21478</v>
      </c>
      <c r="C2390" s="6" t="str">
        <f>HYPERLINK("https://www.ti.com/lit/gpn/TPS22962", "PDF")</f>
        <v>PDF</v>
      </c>
      <c r="D2390" s="5" t="s">
        <v>21479</v>
      </c>
      <c r="E2390" s="5" t="s">
        <v>21480</v>
      </c>
      <c r="F2390" s="5"/>
      <c r="G2390" s="5" t="s">
        <v>21481</v>
      </c>
      <c r="H2390" s="1" t="s">
        <v>21482</v>
      </c>
      <c r="I2390" s="5" t="s">
        <v>21483</v>
      </c>
      <c r="J2390" s="7">
        <v>8</v>
      </c>
      <c r="K2390" s="7">
        <v>9</v>
      </c>
      <c r="L2390" s="5" t="s">
        <v>21484</v>
      </c>
      <c r="M2390" s="7">
        <v>0.8</v>
      </c>
      <c r="N2390" s="7">
        <v>0.65</v>
      </c>
      <c r="O2390" s="7">
        <v>0.46</v>
      </c>
      <c r="P2390" s="1" t="s">
        <v>21485</v>
      </c>
    </row>
    <row r="2391" spans="1:16" ht="33.4" x14ac:dyDescent="0.3">
      <c r="A2391" s="6" t="str">
        <f>HYPERLINK("https://www.ti.com/product/TPS92410", "TPS92410")</f>
        <v>TPS92410</v>
      </c>
      <c r="B2391" s="5" t="s">
        <v>21486</v>
      </c>
      <c r="C2391" s="6" t="str">
        <f>HYPERLINK("https://www.ti.com/lit/gpn/TPS92410", "PDF")</f>
        <v>PDF</v>
      </c>
      <c r="D2391" s="5" t="s">
        <v>21487</v>
      </c>
      <c r="E2391" s="5" t="s">
        <v>21488</v>
      </c>
      <c r="F2391" s="5" t="s">
        <v>21489</v>
      </c>
      <c r="G2391" s="5" t="s">
        <v>21490</v>
      </c>
      <c r="H2391" s="1" t="s">
        <v>21491</v>
      </c>
      <c r="I2391" s="5" t="s">
        <v>21492</v>
      </c>
      <c r="J2391" s="7">
        <v>13</v>
      </c>
      <c r="K2391" s="7">
        <v>51.9</v>
      </c>
      <c r="L2391" s="5" t="s">
        <v>21493</v>
      </c>
      <c r="M2391" s="7">
        <v>1.75</v>
      </c>
      <c r="N2391" s="7">
        <v>1.27</v>
      </c>
      <c r="O2391" s="7">
        <v>0.51900000000000002</v>
      </c>
      <c r="P2391" s="1" t="s">
        <v>21494</v>
      </c>
    </row>
    <row r="2392" spans="1:16" ht="33.4" x14ac:dyDescent="0.3">
      <c r="A2392" s="6" t="str">
        <f>HYPERLINK("https://www.ti.com/product/TPS2559", "TPS2559")</f>
        <v>TPS2559</v>
      </c>
      <c r="B2392" s="5" t="s">
        <v>21495</v>
      </c>
      <c r="C2392" s="6" t="str">
        <f>HYPERLINK("https://www.ti.com/lit/gpn/TPS2559", "PDF")</f>
        <v>PDF</v>
      </c>
      <c r="D2392" s="5" t="s">
        <v>21496</v>
      </c>
      <c r="E2392" s="5" t="s">
        <v>21497</v>
      </c>
      <c r="F2392" s="5"/>
      <c r="G2392" s="5" t="s">
        <v>21498</v>
      </c>
      <c r="H2392" s="1" t="s">
        <v>21499</v>
      </c>
      <c r="I2392" s="5" t="s">
        <v>21500</v>
      </c>
      <c r="J2392" s="7">
        <v>10</v>
      </c>
      <c r="K2392" s="7">
        <v>9</v>
      </c>
      <c r="L2392" s="5" t="s">
        <v>21501</v>
      </c>
      <c r="M2392" s="7">
        <v>1</v>
      </c>
      <c r="N2392" s="7">
        <v>0.5</v>
      </c>
      <c r="O2392" s="7">
        <v>0.66800000000000004</v>
      </c>
      <c r="P2392" s="1" t="s">
        <v>21502</v>
      </c>
    </row>
    <row r="2393" spans="1:16" ht="33.4" x14ac:dyDescent="0.3">
      <c r="A2393" s="6" t="str">
        <f>HYPERLINK("https://www.ti.com/product/TPS62133A-Q1", "TPS62133A-Q1")</f>
        <v>TPS62133A-Q1</v>
      </c>
      <c r="B2393" s="5" t="s">
        <v>21503</v>
      </c>
      <c r="C2393" s="6" t="str">
        <f>HYPERLINK("https://www.ti.com/lit/gpn/TPS62133A-Q1", "PDF")</f>
        <v>PDF</v>
      </c>
      <c r="D2393" s="5" t="s">
        <v>21504</v>
      </c>
      <c r="E2393" s="5" t="s">
        <v>21505</v>
      </c>
      <c r="F2393" s="5" t="s">
        <v>21506</v>
      </c>
      <c r="G2393" s="5" t="s">
        <v>21507</v>
      </c>
      <c r="H2393" s="1" t="s">
        <v>21508</v>
      </c>
      <c r="I2393" s="5" t="s">
        <v>21509</v>
      </c>
      <c r="J2393" s="7">
        <v>16</v>
      </c>
      <c r="K2393" s="7">
        <v>9</v>
      </c>
      <c r="L2393" s="5" t="s">
        <v>21510</v>
      </c>
      <c r="M2393" s="7">
        <v>1</v>
      </c>
      <c r="N2393" s="7">
        <v>0.5</v>
      </c>
      <c r="O2393" s="7">
        <v>0.997</v>
      </c>
      <c r="P2393" s="1" t="s">
        <v>21511</v>
      </c>
    </row>
    <row r="2394" spans="1:16" ht="33.4" x14ac:dyDescent="0.3">
      <c r="A2394" s="6" t="str">
        <f>HYPERLINK("https://www.ti.com/product/TPS62153A-Q1", "TPS62153A-Q1")</f>
        <v>TPS62153A-Q1</v>
      </c>
      <c r="B2394" s="5" t="s">
        <v>21512</v>
      </c>
      <c r="C2394" s="6" t="str">
        <f>HYPERLINK("https://www.ti.com/lit/gpn/TPS62153A-Q1", "PDF")</f>
        <v>PDF</v>
      </c>
      <c r="D2394" s="5" t="s">
        <v>21513</v>
      </c>
      <c r="E2394" s="5" t="s">
        <v>21514</v>
      </c>
      <c r="F2394" s="5" t="s">
        <v>21515</v>
      </c>
      <c r="G2394" s="5" t="s">
        <v>21516</v>
      </c>
      <c r="H2394" s="1" t="s">
        <v>21517</v>
      </c>
      <c r="I2394" s="5" t="s">
        <v>21518</v>
      </c>
      <c r="J2394" s="7">
        <v>16</v>
      </c>
      <c r="K2394" s="7">
        <v>9</v>
      </c>
      <c r="L2394" s="5" t="s">
        <v>21519</v>
      </c>
      <c r="M2394" s="7">
        <v>1</v>
      </c>
      <c r="N2394" s="7">
        <v>0.5</v>
      </c>
      <c r="O2394" s="7">
        <v>0.67900000000000005</v>
      </c>
      <c r="P2394" s="1" t="s">
        <v>21520</v>
      </c>
    </row>
    <row r="2395" spans="1:16" ht="33.4" x14ac:dyDescent="0.3">
      <c r="A2395" s="6" t="str">
        <f>HYPERLINK("https://www.ti.com/product/CSD17573Q5B", "CSD17573Q5B")</f>
        <v>CSD17573Q5B</v>
      </c>
      <c r="B2395" s="5" t="s">
        <v>21521</v>
      </c>
      <c r="C2395" s="6" t="str">
        <f>HYPERLINK("https://www.ti.com/lit/gpn/CSD17573Q5B", "PDF")</f>
        <v>PDF</v>
      </c>
      <c r="D2395" s="5" t="s">
        <v>21522</v>
      </c>
      <c r="E2395" s="5" t="s">
        <v>21523</v>
      </c>
      <c r="F2395" s="5"/>
      <c r="G2395" s="5" t="s">
        <v>21524</v>
      </c>
      <c r="H2395" s="1" t="s">
        <v>21525</v>
      </c>
      <c r="I2395" s="5" t="s">
        <v>21526</v>
      </c>
      <c r="J2395" s="7">
        <v>8</v>
      </c>
      <c r="K2395" s="7">
        <v>30</v>
      </c>
      <c r="L2395" s="5" t="s">
        <v>21527</v>
      </c>
      <c r="M2395" s="7">
        <v>1</v>
      </c>
      <c r="N2395" s="7">
        <v>1.27</v>
      </c>
      <c r="O2395" s="7">
        <v>0.47599999999999998</v>
      </c>
      <c r="P2395" s="1" t="s">
        <v>21528</v>
      </c>
    </row>
    <row r="2396" spans="1:16" ht="33.4" x14ac:dyDescent="0.3">
      <c r="A2396" s="6" t="str">
        <f>HYPERLINK("https://www.ti.com/product/CSD17576Q5B", "CSD17576Q5B")</f>
        <v>CSD17576Q5B</v>
      </c>
      <c r="B2396" s="5" t="s">
        <v>21529</v>
      </c>
      <c r="C2396" s="6" t="str">
        <f>HYPERLINK("https://www.ti.com/lit/gpn/CSD17576Q5B", "PDF")</f>
        <v>PDF</v>
      </c>
      <c r="D2396" s="5" t="s">
        <v>21530</v>
      </c>
      <c r="E2396" s="5" t="s">
        <v>21531</v>
      </c>
      <c r="F2396" s="5"/>
      <c r="G2396" s="5" t="s">
        <v>21532</v>
      </c>
      <c r="H2396" s="1" t="s">
        <v>21533</v>
      </c>
      <c r="I2396" s="5" t="s">
        <v>21534</v>
      </c>
      <c r="J2396" s="7">
        <v>8</v>
      </c>
      <c r="K2396" s="7">
        <v>30</v>
      </c>
      <c r="L2396" s="5" t="s">
        <v>21535</v>
      </c>
      <c r="M2396" s="7">
        <v>1</v>
      </c>
      <c r="N2396" s="7">
        <v>1.27</v>
      </c>
      <c r="O2396" s="7">
        <v>0.34399999999999997</v>
      </c>
      <c r="P2396" s="1" t="s">
        <v>21536</v>
      </c>
    </row>
    <row r="2397" spans="1:16" ht="49.75" x14ac:dyDescent="0.3">
      <c r="A2397" s="6" t="str">
        <f>HYPERLINK("https://www.ti.com/product/TPS82740A", "TPS82740A")</f>
        <v>TPS82740A</v>
      </c>
      <c r="B2397" s="5" t="s">
        <v>21537</v>
      </c>
      <c r="C2397" s="6" t="str">
        <f>HYPERLINK("https://www.ti.com/lit/gpn/TPS82740A", "PDF")</f>
        <v>PDF</v>
      </c>
      <c r="D2397" s="5" t="s">
        <v>21538</v>
      </c>
      <c r="E2397" s="5" t="s">
        <v>21539</v>
      </c>
      <c r="F2397" s="5" t="s">
        <v>21540</v>
      </c>
      <c r="G2397" s="5" t="s">
        <v>21541</v>
      </c>
      <c r="H2397" s="1" t="s">
        <v>21542</v>
      </c>
      <c r="I2397" s="5" t="s">
        <v>21543</v>
      </c>
      <c r="J2397" s="7">
        <v>9</v>
      </c>
      <c r="K2397" s="7">
        <v>7.3949999999999996</v>
      </c>
      <c r="L2397" s="5" t="s">
        <v>21544</v>
      </c>
      <c r="M2397" s="7">
        <v>1</v>
      </c>
      <c r="N2397" s="7">
        <v>1</v>
      </c>
      <c r="O2397" s="7">
        <v>1.1499999999999999</v>
      </c>
      <c r="P2397" s="1" t="s">
        <v>21545</v>
      </c>
    </row>
    <row r="2398" spans="1:16" ht="49.75" x14ac:dyDescent="0.3">
      <c r="A2398" s="6" t="str">
        <f>HYPERLINK("https://www.ti.com/product/TPS82740B", "TPS82740B")</f>
        <v>TPS82740B</v>
      </c>
      <c r="B2398" s="5" t="s">
        <v>21546</v>
      </c>
      <c r="C2398" s="6" t="str">
        <f>HYPERLINK("https://www.ti.com/lit/gpn/TPS82740B", "PDF")</f>
        <v>PDF</v>
      </c>
      <c r="D2398" s="5" t="s">
        <v>21547</v>
      </c>
      <c r="E2398" s="5" t="s">
        <v>21548</v>
      </c>
      <c r="F2398" s="5" t="s">
        <v>21549</v>
      </c>
      <c r="G2398" s="5" t="s">
        <v>21550</v>
      </c>
      <c r="H2398" s="1" t="s">
        <v>21551</v>
      </c>
      <c r="I2398" s="5" t="s">
        <v>21552</v>
      </c>
      <c r="J2398" s="7">
        <v>9</v>
      </c>
      <c r="K2398" s="7">
        <v>7.3949999999999996</v>
      </c>
      <c r="L2398" s="5" t="s">
        <v>21553</v>
      </c>
      <c r="M2398" s="7">
        <v>1</v>
      </c>
      <c r="N2398" s="7">
        <v>1</v>
      </c>
      <c r="O2398" s="7">
        <v>1.1499999999999999</v>
      </c>
      <c r="P2398" s="1" t="s">
        <v>21554</v>
      </c>
    </row>
    <row r="2399" spans="1:16" ht="33.4" x14ac:dyDescent="0.3">
      <c r="A2399" s="6" t="str">
        <f>HYPERLINK("https://www.ti.com/product/REF2025", "REF2025")</f>
        <v>REF2025</v>
      </c>
      <c r="B2399" s="5" t="s">
        <v>21555</v>
      </c>
      <c r="C2399" s="6" t="str">
        <f>HYPERLINK("https://www.ti.com/lit/gpn/REF2025", "PDF")</f>
        <v>PDF</v>
      </c>
      <c r="D2399" s="5" t="s">
        <v>21556</v>
      </c>
      <c r="E2399" s="5" t="s">
        <v>21557</v>
      </c>
      <c r="F2399" s="5"/>
      <c r="G2399" s="5" t="s">
        <v>21558</v>
      </c>
      <c r="H2399" s="1" t="s">
        <v>21559</v>
      </c>
      <c r="I2399" s="5" t="s">
        <v>21560</v>
      </c>
      <c r="J2399" s="7">
        <v>5</v>
      </c>
      <c r="K2399" s="7">
        <v>8.1199999999999992</v>
      </c>
      <c r="L2399" s="5" t="s">
        <v>21561</v>
      </c>
      <c r="M2399" s="7">
        <v>1.1000000000000001</v>
      </c>
      <c r="N2399" s="7">
        <v>0.95</v>
      </c>
      <c r="O2399" s="7">
        <v>1.363</v>
      </c>
      <c r="P2399" s="1" t="s">
        <v>21562</v>
      </c>
    </row>
    <row r="2400" spans="1:16" ht="33.4" x14ac:dyDescent="0.3">
      <c r="A2400" s="6" t="str">
        <f>HYPERLINK("https://www.ti.com/product/TLC5958", "TLC5958")</f>
        <v>TLC5958</v>
      </c>
      <c r="B2400" s="5" t="s">
        <v>21563</v>
      </c>
      <c r="C2400" s="6" t="str">
        <f>HYPERLINK("https://www.ti.com/lit/gpn/TLC5958", "PDF")</f>
        <v>PDF</v>
      </c>
      <c r="D2400" s="5" t="s">
        <v>21564</v>
      </c>
      <c r="E2400" s="5" t="s">
        <v>21565</v>
      </c>
      <c r="F2400" s="5"/>
      <c r="G2400" s="5" t="s">
        <v>21566</v>
      </c>
      <c r="H2400" s="1" t="s">
        <v>21567</v>
      </c>
      <c r="I2400" s="5" t="s">
        <v>21568</v>
      </c>
      <c r="J2400" s="7">
        <v>56</v>
      </c>
      <c r="K2400" s="7">
        <v>64</v>
      </c>
      <c r="L2400" s="5" t="s">
        <v>21569</v>
      </c>
      <c r="M2400" s="7">
        <v>1</v>
      </c>
      <c r="N2400" s="7">
        <v>0.5</v>
      </c>
      <c r="O2400" s="7">
        <v>3.0350000000000001</v>
      </c>
      <c r="P2400" s="1" t="s">
        <v>21570</v>
      </c>
    </row>
    <row r="2401" spans="1:16" ht="33.4" x14ac:dyDescent="0.3">
      <c r="A2401" s="6" t="str">
        <f>HYPERLINK("https://www.ti.com/product/TPS55340-Q1", "TPS55340-Q1")</f>
        <v>TPS55340-Q1</v>
      </c>
      <c r="B2401" s="5" t="s">
        <v>21571</v>
      </c>
      <c r="C2401" s="6" t="str">
        <f>HYPERLINK("https://www.ti.com/lit/gpn/TPS55340-Q1", "PDF")</f>
        <v>PDF</v>
      </c>
      <c r="D2401" s="5" t="s">
        <v>21572</v>
      </c>
      <c r="E2401" s="5" t="s">
        <v>21573</v>
      </c>
      <c r="F2401" s="5" t="s">
        <v>21574</v>
      </c>
      <c r="G2401" s="5" t="s">
        <v>21575</v>
      </c>
      <c r="H2401" s="1" t="s">
        <v>21576</v>
      </c>
      <c r="I2401" s="5" t="s">
        <v>21577</v>
      </c>
      <c r="J2401" s="7">
        <v>16</v>
      </c>
      <c r="K2401" s="7">
        <v>9</v>
      </c>
      <c r="L2401" s="5" t="s">
        <v>21578</v>
      </c>
      <c r="M2401" s="7">
        <v>0.8</v>
      </c>
      <c r="N2401" s="7">
        <v>0.5</v>
      </c>
      <c r="O2401" s="7">
        <v>1.948</v>
      </c>
      <c r="P2401" s="1" t="s">
        <v>21579</v>
      </c>
    </row>
    <row r="2402" spans="1:16" ht="33.4" x14ac:dyDescent="0.3">
      <c r="A2402" s="6" t="str">
        <f>HYPERLINK("https://www.ti.com/product/TPS659039-Q1", "TPS659039-Q1")</f>
        <v>TPS659039-Q1</v>
      </c>
      <c r="B2402" s="5" t="s">
        <v>21580</v>
      </c>
      <c r="C2402" s="6" t="str">
        <f>HYPERLINK("https://www.ti.com/lit/gpn/TPS659039-Q1", "PDF")</f>
        <v>PDF</v>
      </c>
      <c r="D2402" s="5" t="s">
        <v>21581</v>
      </c>
      <c r="E2402" s="5" t="s">
        <v>21582</v>
      </c>
      <c r="F2402" s="5"/>
      <c r="G2402" s="5" t="s">
        <v>21583</v>
      </c>
      <c r="H2402" s="1" t="s">
        <v>21584</v>
      </c>
      <c r="I2402" s="5" t="s">
        <v>21585</v>
      </c>
      <c r="J2402" s="7">
        <v>169</v>
      </c>
      <c r="K2402" s="7">
        <v>144</v>
      </c>
      <c r="L2402" s="5" t="s">
        <v>21586</v>
      </c>
      <c r="M2402" s="7">
        <v>1.4</v>
      </c>
      <c r="N2402" s="7">
        <v>0.8</v>
      </c>
      <c r="O2402" s="7">
        <v>8.4610000000000003</v>
      </c>
      <c r="P2402" s="1" t="s">
        <v>21587</v>
      </c>
    </row>
    <row r="2403" spans="1:16" ht="49.75" x14ac:dyDescent="0.3">
      <c r="A2403" s="6" t="str">
        <f>HYPERLINK("https://www.ti.com/product/TPS626765", "TPS626765")</f>
        <v>TPS626765</v>
      </c>
      <c r="B2403" s="5" t="s">
        <v>21588</v>
      </c>
      <c r="C2403" s="6" t="str">
        <f>HYPERLINK("https://www.ti.com/lit/gpn/TPS626765", "PDF")</f>
        <v>PDF</v>
      </c>
      <c r="D2403" s="5" t="s">
        <v>21589</v>
      </c>
      <c r="E2403" s="5" t="s">
        <v>21590</v>
      </c>
      <c r="F2403" s="5" t="s">
        <v>21591</v>
      </c>
      <c r="G2403" s="5" t="s">
        <v>21592</v>
      </c>
      <c r="H2403" s="1" t="s">
        <v>21593</v>
      </c>
      <c r="I2403" s="5" t="s">
        <v>21594</v>
      </c>
      <c r="J2403" s="7">
        <v>6</v>
      </c>
      <c r="K2403" s="7">
        <v>1.4000000000000001</v>
      </c>
      <c r="L2403" s="5" t="s">
        <v>21595</v>
      </c>
      <c r="M2403" s="7">
        <v>0.4</v>
      </c>
      <c r="N2403" s="7">
        <v>0.4</v>
      </c>
      <c r="O2403" s="7">
        <v>0.48099999999999998</v>
      </c>
      <c r="P2403" s="1" t="s">
        <v>21596</v>
      </c>
    </row>
    <row r="2404" spans="1:16" ht="33.4" x14ac:dyDescent="0.3">
      <c r="A2404" s="6" t="str">
        <f>HYPERLINK("https://www.ti.com/product/CSD17575Q3", "CSD17575Q3")</f>
        <v>CSD17575Q3</v>
      </c>
      <c r="B2404" s="5" t="s">
        <v>21597</v>
      </c>
      <c r="C2404" s="6" t="str">
        <f>HYPERLINK("https://www.ti.com/lit/gpn/CSD17575Q3", "PDF")</f>
        <v>PDF</v>
      </c>
      <c r="D2404" s="5" t="s">
        <v>21598</v>
      </c>
      <c r="E2404" s="5" t="s">
        <v>21599</v>
      </c>
      <c r="F2404" s="5"/>
      <c r="G2404" s="5" t="s">
        <v>21600</v>
      </c>
      <c r="H2404" s="1" t="s">
        <v>21601</v>
      </c>
      <c r="I2404" s="5" t="s">
        <v>21602</v>
      </c>
      <c r="J2404" s="7">
        <v>8</v>
      </c>
      <c r="K2404" s="7">
        <v>10.89</v>
      </c>
      <c r="L2404" s="5" t="s">
        <v>21603</v>
      </c>
      <c r="M2404" s="7">
        <v>1.1000000000000001</v>
      </c>
      <c r="N2404" s="7">
        <v>0.65</v>
      </c>
      <c r="O2404" s="7">
        <v>0.28100000000000003</v>
      </c>
      <c r="P2404" s="1" t="s">
        <v>21604</v>
      </c>
    </row>
    <row r="2405" spans="1:16" ht="33.4" x14ac:dyDescent="0.3">
      <c r="A2405" s="6" t="str">
        <f>HYPERLINK("https://www.ti.com/product/CSD95372BQ5MC", "CSD95372BQ5MC")</f>
        <v>CSD95372BQ5MC</v>
      </c>
      <c r="B2405" s="5" t="s">
        <v>21605</v>
      </c>
      <c r="C2405" s="6" t="str">
        <f>HYPERLINK("https://www.ti.com/lit/gpn/CSD95372BQ5MC", "PDF")</f>
        <v>PDF</v>
      </c>
      <c r="D2405" s="5" t="s">
        <v>21606</v>
      </c>
      <c r="E2405" s="5" t="s">
        <v>21607</v>
      </c>
      <c r="F2405" s="5"/>
      <c r="G2405" s="5" t="s">
        <v>21608</v>
      </c>
      <c r="H2405" s="1" t="s">
        <v>21609</v>
      </c>
      <c r="I2405" s="5" t="s">
        <v>21610</v>
      </c>
      <c r="J2405" s="7">
        <v>12</v>
      </c>
      <c r="K2405" s="7">
        <v>30</v>
      </c>
      <c r="L2405" s="5" t="s">
        <v>21611</v>
      </c>
      <c r="M2405" s="7">
        <v>1.05</v>
      </c>
      <c r="N2405" s="7">
        <v>0.5</v>
      </c>
      <c r="O2405" s="7">
        <v>2.2970000000000002</v>
      </c>
      <c r="P2405" s="1" t="s">
        <v>21612</v>
      </c>
    </row>
    <row r="2406" spans="1:16" ht="17.05" x14ac:dyDescent="0.3">
      <c r="A2406" s="6" t="str">
        <f>HYPERLINK("https://www.ti.com/product/LM3633", "LM3633")</f>
        <v>LM3633</v>
      </c>
      <c r="B2406" s="5" t="s">
        <v>21613</v>
      </c>
      <c r="C2406" s="6" t="str">
        <f>HYPERLINK("https://www.ti.com/lit/gpn/LM3633", "PDF")</f>
        <v>PDF</v>
      </c>
      <c r="D2406" s="5" t="s">
        <v>21614</v>
      </c>
      <c r="E2406" s="5" t="s">
        <v>21615</v>
      </c>
      <c r="F2406" s="5" t="s">
        <v>21616</v>
      </c>
      <c r="G2406" s="5" t="s">
        <v>21617</v>
      </c>
      <c r="H2406" s="1" t="s">
        <v>21618</v>
      </c>
      <c r="I2406" s="5" t="s">
        <v>21619</v>
      </c>
      <c r="J2406" s="7">
        <v>20</v>
      </c>
      <c r="K2406" s="7">
        <v>3.96</v>
      </c>
      <c r="L2406" s="5" t="s">
        <v>21620</v>
      </c>
      <c r="M2406" s="7">
        <v>0.67500000000000004</v>
      </c>
      <c r="N2406" s="7">
        <v>0.4</v>
      </c>
      <c r="O2406" s="7">
        <v>0.74399999999999999</v>
      </c>
      <c r="P2406" s="1" t="s">
        <v>21621</v>
      </c>
    </row>
    <row r="2407" spans="1:16" ht="33.4" x14ac:dyDescent="0.3">
      <c r="A2407" s="6" t="str">
        <f>HYPERLINK("https://www.ti.com/product/LP8860-Q1", "LP8860-Q1")</f>
        <v>LP8860-Q1</v>
      </c>
      <c r="B2407" s="5" t="s">
        <v>21622</v>
      </c>
      <c r="C2407" s="6" t="str">
        <f>HYPERLINK("https://www.ti.com/lit/gpn/LP8860-Q1", "PDF")</f>
        <v>PDF</v>
      </c>
      <c r="D2407" s="5" t="s">
        <v>21623</v>
      </c>
      <c r="E2407" s="5" t="s">
        <v>21624</v>
      </c>
      <c r="F2407" s="5" t="s">
        <v>21625</v>
      </c>
      <c r="G2407" s="5" t="s">
        <v>21626</v>
      </c>
      <c r="H2407" s="1" t="s">
        <v>21627</v>
      </c>
      <c r="I2407" s="5" t="s">
        <v>21628</v>
      </c>
      <c r="J2407" s="7">
        <v>32</v>
      </c>
      <c r="K2407" s="7">
        <v>81</v>
      </c>
      <c r="L2407" s="5" t="s">
        <v>21629</v>
      </c>
      <c r="M2407" s="7">
        <v>1.6</v>
      </c>
      <c r="N2407" s="7">
        <v>0.8</v>
      </c>
      <c r="O2407" s="7">
        <v>2.4969999999999999</v>
      </c>
      <c r="P2407" s="1" t="s">
        <v>21630</v>
      </c>
    </row>
    <row r="2408" spans="1:16" ht="33.4" x14ac:dyDescent="0.3">
      <c r="A2408" s="6" t="str">
        <f>HYPERLINK("https://www.ti.com/product/TPS2561A-Q1", "TPS2561A-Q1")</f>
        <v>TPS2561A-Q1</v>
      </c>
      <c r="B2408" s="5" t="s">
        <v>21631</v>
      </c>
      <c r="C2408" s="6" t="str">
        <f>HYPERLINK("https://www.ti.com/lit/gpn/TPS2561A-Q1", "PDF")</f>
        <v>PDF</v>
      </c>
      <c r="D2408" s="5" t="s">
        <v>21632</v>
      </c>
      <c r="E2408" s="5" t="s">
        <v>21633</v>
      </c>
      <c r="F2408" s="5"/>
      <c r="G2408" s="5" t="s">
        <v>21634</v>
      </c>
      <c r="H2408" s="1" t="s">
        <v>21635</v>
      </c>
      <c r="I2408" s="5" t="s">
        <v>21636</v>
      </c>
      <c r="J2408" s="7">
        <v>10</v>
      </c>
      <c r="K2408" s="7">
        <v>9</v>
      </c>
      <c r="L2408" s="5" t="s">
        <v>21637</v>
      </c>
      <c r="M2408" s="7">
        <v>1</v>
      </c>
      <c r="N2408" s="7">
        <v>0.5</v>
      </c>
      <c r="O2408" s="7">
        <v>0.57499999999999996</v>
      </c>
      <c r="P2408" s="1" t="s">
        <v>21638</v>
      </c>
    </row>
    <row r="2409" spans="1:16" ht="33.4" x14ac:dyDescent="0.3">
      <c r="A2409" s="6" t="str">
        <f>HYPERLINK("https://www.ti.com/product/TPS62130A-Q1", "TPS62130A-Q1")</f>
        <v>TPS62130A-Q1</v>
      </c>
      <c r="B2409" s="5" t="s">
        <v>21639</v>
      </c>
      <c r="C2409" s="6" t="str">
        <f>HYPERLINK("https://www.ti.com/lit/gpn/TPS62130A-Q1", "PDF")</f>
        <v>PDF</v>
      </c>
      <c r="D2409" s="5" t="s">
        <v>21640</v>
      </c>
      <c r="E2409" s="5" t="s">
        <v>21641</v>
      </c>
      <c r="F2409" s="5" t="s">
        <v>21642</v>
      </c>
      <c r="G2409" s="5" t="s">
        <v>21643</v>
      </c>
      <c r="H2409" s="1" t="s">
        <v>21644</v>
      </c>
      <c r="I2409" s="5" t="s">
        <v>21645</v>
      </c>
      <c r="J2409" s="7">
        <v>16</v>
      </c>
      <c r="K2409" s="7">
        <v>9</v>
      </c>
      <c r="L2409" s="5" t="s">
        <v>21646</v>
      </c>
      <c r="M2409" s="7">
        <v>1</v>
      </c>
      <c r="N2409" s="7">
        <v>0.5</v>
      </c>
      <c r="O2409" s="7">
        <v>0.997</v>
      </c>
      <c r="P2409" s="1" t="s">
        <v>21647</v>
      </c>
    </row>
    <row r="2410" spans="1:16" ht="33.4" x14ac:dyDescent="0.3">
      <c r="A2410" s="6" t="str">
        <f>HYPERLINK("https://www.ti.com/product/TPS62150A-Q1", "TPS62150A-Q1")</f>
        <v>TPS62150A-Q1</v>
      </c>
      <c r="B2410" s="5" t="s">
        <v>21648</v>
      </c>
      <c r="C2410" s="6" t="str">
        <f>HYPERLINK("https://www.ti.com/lit/gpn/TPS62150A-Q1", "PDF")</f>
        <v>PDF</v>
      </c>
      <c r="D2410" s="5" t="s">
        <v>21649</v>
      </c>
      <c r="E2410" s="5" t="s">
        <v>21650</v>
      </c>
      <c r="F2410" s="5" t="s">
        <v>21651</v>
      </c>
      <c r="G2410" s="5" t="s">
        <v>21652</v>
      </c>
      <c r="H2410" s="1" t="s">
        <v>21653</v>
      </c>
      <c r="I2410" s="5" t="s">
        <v>21654</v>
      </c>
      <c r="J2410" s="7">
        <v>16</v>
      </c>
      <c r="K2410" s="7">
        <v>9</v>
      </c>
      <c r="L2410" s="5" t="s">
        <v>21655</v>
      </c>
      <c r="M2410" s="7">
        <v>1</v>
      </c>
      <c r="N2410" s="7">
        <v>0.5</v>
      </c>
      <c r="O2410" s="7">
        <v>0.67900000000000005</v>
      </c>
      <c r="P2410" s="1" t="s">
        <v>21656</v>
      </c>
    </row>
    <row r="2411" spans="1:16" ht="33.4" x14ac:dyDescent="0.3">
      <c r="A2411" s="6" t="str">
        <f>HYPERLINK("https://www.ti.com/product/TPS2513A-Q1", "TPS2513A-Q1")</f>
        <v>TPS2513A-Q1</v>
      </c>
      <c r="B2411" s="5" t="s">
        <v>21657</v>
      </c>
      <c r="C2411" s="6" t="str">
        <f>HYPERLINK("https://www.ti.com/lit/gpn/TPS2513A-Q1", "PDF")</f>
        <v>PDF</v>
      </c>
      <c r="D2411" s="5" t="s">
        <v>21658</v>
      </c>
      <c r="E2411" s="5" t="s">
        <v>21659</v>
      </c>
      <c r="F2411" s="5"/>
      <c r="G2411" s="5" t="s">
        <v>21660</v>
      </c>
      <c r="H2411" s="1" t="s">
        <v>21661</v>
      </c>
      <c r="I2411" s="5" t="s">
        <v>21662</v>
      </c>
      <c r="J2411" s="7">
        <v>6</v>
      </c>
      <c r="K2411" s="7">
        <v>8.1199999999999992</v>
      </c>
      <c r="L2411" s="5" t="s">
        <v>21663</v>
      </c>
      <c r="M2411" s="7">
        <v>1.45</v>
      </c>
      <c r="N2411" s="7">
        <v>0.95</v>
      </c>
      <c r="O2411" s="7">
        <v>0.44900000000000001</v>
      </c>
      <c r="P2411" s="1" t="s">
        <v>21664</v>
      </c>
    </row>
    <row r="2412" spans="1:16" ht="33.4" x14ac:dyDescent="0.3">
      <c r="A2412" s="6" t="str">
        <f>HYPERLINK("https://www.ti.com/product/TPS40428", "TPS40428")</f>
        <v>TPS40428</v>
      </c>
      <c r="B2412" s="5" t="s">
        <v>21665</v>
      </c>
      <c r="C2412" s="6" t="str">
        <f>HYPERLINK("https://www.ti.com/lit/gpn/TPS40428", "PDF")</f>
        <v>PDF</v>
      </c>
      <c r="D2412" s="5" t="s">
        <v>21666</v>
      </c>
      <c r="E2412" s="5" t="s">
        <v>21667</v>
      </c>
      <c r="F2412" s="5" t="s">
        <v>21668</v>
      </c>
      <c r="G2412" s="5" t="s">
        <v>21669</v>
      </c>
      <c r="H2412" s="1" t="s">
        <v>21670</v>
      </c>
      <c r="I2412" s="5" t="s">
        <v>21671</v>
      </c>
      <c r="J2412" s="7">
        <v>40</v>
      </c>
      <c r="K2412" s="7">
        <v>36</v>
      </c>
      <c r="L2412" s="5" t="s">
        <v>21672</v>
      </c>
      <c r="M2412" s="7">
        <v>1</v>
      </c>
      <c r="N2412" s="7">
        <v>0.5</v>
      </c>
      <c r="O2412" s="7">
        <v>3.8959999999999999</v>
      </c>
      <c r="P2412" s="1" t="s">
        <v>21673</v>
      </c>
    </row>
    <row r="2413" spans="1:16" ht="33.4" x14ac:dyDescent="0.3">
      <c r="A2413" s="6" t="str">
        <f>HYPERLINK("https://www.ti.com/product/TPS544B20", "TPS544B20")</f>
        <v>TPS544B20</v>
      </c>
      <c r="B2413" s="5" t="s">
        <v>21674</v>
      </c>
      <c r="C2413" s="6" t="str">
        <f>HYPERLINK("https://www.ti.com/lit/gpn/TPS544B20", "PDF")</f>
        <v>PDF</v>
      </c>
      <c r="D2413" s="5" t="s">
        <v>21675</v>
      </c>
      <c r="E2413" s="5" t="s">
        <v>21676</v>
      </c>
      <c r="F2413" s="5" t="s">
        <v>21677</v>
      </c>
      <c r="G2413" s="5" t="s">
        <v>21678</v>
      </c>
      <c r="H2413" s="1" t="s">
        <v>21679</v>
      </c>
      <c r="I2413" s="5" t="s">
        <v>21680</v>
      </c>
      <c r="J2413" s="7">
        <v>40</v>
      </c>
      <c r="K2413" s="7">
        <v>35</v>
      </c>
      <c r="L2413" s="5" t="s">
        <v>21681</v>
      </c>
      <c r="M2413" s="7">
        <v>1.52</v>
      </c>
      <c r="N2413" s="7">
        <v>0.5</v>
      </c>
      <c r="O2413" s="7">
        <v>4.1980000000000004</v>
      </c>
      <c r="P2413" s="1" t="s">
        <v>21682</v>
      </c>
    </row>
    <row r="2414" spans="1:16" ht="33.4" x14ac:dyDescent="0.3">
      <c r="A2414" s="6" t="str">
        <f>HYPERLINK("https://www.ti.com/product/TPS544C20", "TPS544C20")</f>
        <v>TPS544C20</v>
      </c>
      <c r="B2414" s="5" t="s">
        <v>21683</v>
      </c>
      <c r="C2414" s="6" t="str">
        <f>HYPERLINK("https://www.ti.com/lit/gpn/TPS544C20", "PDF")</f>
        <v>PDF</v>
      </c>
      <c r="D2414" s="5" t="s">
        <v>21684</v>
      </c>
      <c r="E2414" s="5" t="s">
        <v>21685</v>
      </c>
      <c r="F2414" s="5" t="s">
        <v>21686</v>
      </c>
      <c r="G2414" s="5" t="s">
        <v>21687</v>
      </c>
      <c r="H2414" s="1" t="s">
        <v>21688</v>
      </c>
      <c r="I2414" s="5" t="s">
        <v>21689</v>
      </c>
      <c r="J2414" s="7">
        <v>40</v>
      </c>
      <c r="K2414" s="7">
        <v>35</v>
      </c>
      <c r="L2414" s="5" t="s">
        <v>21690</v>
      </c>
      <c r="M2414" s="7">
        <v>1.52</v>
      </c>
      <c r="N2414" s="7">
        <v>0.5</v>
      </c>
      <c r="O2414" s="7">
        <v>4.22</v>
      </c>
      <c r="P2414" s="1" t="s">
        <v>21691</v>
      </c>
    </row>
    <row r="2415" spans="1:16" ht="33.4" x14ac:dyDescent="0.3">
      <c r="A2415" s="6" t="str">
        <f>HYPERLINK("https://www.ti.com/product/TLC5954", "TLC5954")</f>
        <v>TLC5954</v>
      </c>
      <c r="B2415" s="5" t="s">
        <v>21692</v>
      </c>
      <c r="C2415" s="6" t="str">
        <f>HYPERLINK("https://www.ti.com/lit/gpn/TLC5954", "PDF")</f>
        <v>PDF</v>
      </c>
      <c r="D2415" s="5" t="s">
        <v>21693</v>
      </c>
      <c r="E2415" s="5" t="s">
        <v>21694</v>
      </c>
      <c r="F2415" s="5"/>
      <c r="G2415" s="5" t="s">
        <v>21695</v>
      </c>
      <c r="H2415" s="1" t="s">
        <v>21696</v>
      </c>
      <c r="I2415" s="5" t="s">
        <v>21697</v>
      </c>
      <c r="J2415" s="7">
        <v>56</v>
      </c>
      <c r="K2415" s="7">
        <v>64</v>
      </c>
      <c r="L2415" s="5" t="s">
        <v>21698</v>
      </c>
      <c r="M2415" s="7">
        <v>1</v>
      </c>
      <c r="N2415" s="7">
        <v>0.5</v>
      </c>
      <c r="O2415" s="7">
        <v>1.996</v>
      </c>
      <c r="P2415" s="1" t="s">
        <v>21699</v>
      </c>
    </row>
    <row r="2416" spans="1:16" ht="33.4" x14ac:dyDescent="0.3">
      <c r="A2416" s="6" t="str">
        <f>HYPERLINK("https://www.ti.com/product/CSD23382F4", "CSD23382F4")</f>
        <v>CSD23382F4</v>
      </c>
      <c r="B2416" s="5" t="s">
        <v>21700</v>
      </c>
      <c r="C2416" s="6" t="str">
        <f>HYPERLINK("https://www.ti.com/lit/gpn/CSD23382F4", "PDF")</f>
        <v>PDF</v>
      </c>
      <c r="D2416" s="5" t="s">
        <v>21701</v>
      </c>
      <c r="E2416" s="5" t="s">
        <v>21702</v>
      </c>
      <c r="F2416" s="5"/>
      <c r="G2416" s="5" t="s">
        <v>21703</v>
      </c>
      <c r="H2416" s="1" t="s">
        <v>21704</v>
      </c>
      <c r="I2416" s="5" t="s">
        <v>21705</v>
      </c>
      <c r="J2416" s="7">
        <v>3</v>
      </c>
      <c r="K2416" s="7">
        <v>0.65722499999999995</v>
      </c>
      <c r="L2416" s="5" t="s">
        <v>21706</v>
      </c>
      <c r="M2416" s="7">
        <v>0.36</v>
      </c>
      <c r="N2416" s="7">
        <v>0.35</v>
      </c>
      <c r="O2416" s="7">
        <v>4.9000000000000002E-2</v>
      </c>
      <c r="P2416" s="1" t="s">
        <v>21707</v>
      </c>
    </row>
    <row r="2417" spans="1:16" ht="33.4" x14ac:dyDescent="0.3">
      <c r="A2417" s="6" t="str">
        <f>HYPERLINK("https://www.ti.com/product/TPS630250", "TPS630250")</f>
        <v>TPS630250</v>
      </c>
      <c r="B2417" s="5" t="s">
        <v>21708</v>
      </c>
      <c r="C2417" s="6" t="str">
        <f>HYPERLINK("https://www.ti.com/lit/gpn/TPS630250", "PDF")</f>
        <v>PDF</v>
      </c>
      <c r="D2417" s="5" t="s">
        <v>21709</v>
      </c>
      <c r="E2417" s="5" t="s">
        <v>21710</v>
      </c>
      <c r="F2417" s="5" t="s">
        <v>21711</v>
      </c>
      <c r="G2417" s="5" t="s">
        <v>21712</v>
      </c>
      <c r="H2417" s="1" t="s">
        <v>21713</v>
      </c>
      <c r="I2417" s="5" t="s">
        <v>21714</v>
      </c>
      <c r="J2417" s="7" t="s">
        <v>21715</v>
      </c>
      <c r="K2417" s="7" t="s">
        <v>21716</v>
      </c>
      <c r="L2417" s="5" t="s">
        <v>21717</v>
      </c>
      <c r="M2417" s="7" t="s">
        <v>21718</v>
      </c>
      <c r="N2417" s="7" t="s">
        <v>21719</v>
      </c>
      <c r="O2417" s="7">
        <v>0.92</v>
      </c>
      <c r="P2417" s="1" t="s">
        <v>21720</v>
      </c>
    </row>
    <row r="2418" spans="1:16" ht="33.4" x14ac:dyDescent="0.3">
      <c r="A2418" s="6" t="str">
        <f>HYPERLINK("https://www.ti.com/product/TPS630251", "TPS630251")</f>
        <v>TPS630251</v>
      </c>
      <c r="B2418" s="5" t="s">
        <v>21721</v>
      </c>
      <c r="C2418" s="6" t="str">
        <f>HYPERLINK("https://www.ti.com/lit/gpn/TPS630251", "PDF")</f>
        <v>PDF</v>
      </c>
      <c r="D2418" s="5" t="s">
        <v>21722</v>
      </c>
      <c r="E2418" s="5" t="s">
        <v>21723</v>
      </c>
      <c r="F2418" s="5" t="s">
        <v>21724</v>
      </c>
      <c r="G2418" s="5" t="s">
        <v>21725</v>
      </c>
      <c r="H2418" s="1" t="s">
        <v>21726</v>
      </c>
      <c r="I2418" s="5" t="s">
        <v>21727</v>
      </c>
      <c r="J2418" s="7">
        <v>20</v>
      </c>
      <c r="K2418" s="7">
        <v>3.96</v>
      </c>
      <c r="L2418" s="5" t="s">
        <v>21728</v>
      </c>
      <c r="M2418" s="7">
        <v>0.625</v>
      </c>
      <c r="N2418" s="7">
        <v>0.4</v>
      </c>
      <c r="O2418" s="7">
        <v>0.92</v>
      </c>
      <c r="P2418" s="1" t="s">
        <v>21729</v>
      </c>
    </row>
    <row r="2419" spans="1:16" ht="33.4" x14ac:dyDescent="0.3">
      <c r="A2419" s="6" t="str">
        <f>HYPERLINK("https://www.ti.com/product/TPS630252", "TPS630252")</f>
        <v>TPS630252</v>
      </c>
      <c r="B2419" s="5" t="s">
        <v>21730</v>
      </c>
      <c r="C2419" s="6" t="str">
        <f>HYPERLINK("https://www.ti.com/lit/gpn/TPS630252", "PDF")</f>
        <v>PDF</v>
      </c>
      <c r="D2419" s="5" t="s">
        <v>21731</v>
      </c>
      <c r="E2419" s="5" t="s">
        <v>21732</v>
      </c>
      <c r="F2419" s="5" t="s">
        <v>21733</v>
      </c>
      <c r="G2419" s="5" t="s">
        <v>21734</v>
      </c>
      <c r="H2419" s="1" t="s">
        <v>21735</v>
      </c>
      <c r="I2419" s="5" t="s">
        <v>21736</v>
      </c>
      <c r="J2419" s="7">
        <v>20</v>
      </c>
      <c r="K2419" s="7">
        <v>3.96</v>
      </c>
      <c r="L2419" s="5" t="s">
        <v>21737</v>
      </c>
      <c r="M2419" s="7">
        <v>0.625</v>
      </c>
      <c r="N2419" s="7">
        <v>0.4</v>
      </c>
      <c r="O2419" s="7">
        <v>0.92</v>
      </c>
      <c r="P2419" s="1" t="s">
        <v>21738</v>
      </c>
    </row>
    <row r="2420" spans="1:16" ht="33.4" x14ac:dyDescent="0.3">
      <c r="A2420" s="6" t="str">
        <f>HYPERLINK("https://www.ti.com/product/TPS65175C", "TPS65175C")</f>
        <v>TPS65175C</v>
      </c>
      <c r="B2420" s="5" t="s">
        <v>21739</v>
      </c>
      <c r="C2420" s="6" t="str">
        <f>HYPERLINK("https://www.ti.com/lit/gpn/TPS65175C", "PDF")</f>
        <v>PDF</v>
      </c>
      <c r="D2420" s="5" t="s">
        <v>21740</v>
      </c>
      <c r="E2420" s="5" t="s">
        <v>21741</v>
      </c>
      <c r="F2420" s="5" t="s">
        <v>21742</v>
      </c>
      <c r="G2420" s="5" t="s">
        <v>21743</v>
      </c>
      <c r="H2420" s="1" t="s">
        <v>21744</v>
      </c>
      <c r="I2420" s="5" t="s">
        <v>21745</v>
      </c>
      <c r="J2420" s="7">
        <v>56</v>
      </c>
      <c r="K2420" s="7">
        <v>49</v>
      </c>
      <c r="L2420" s="5" t="s">
        <v>21746</v>
      </c>
      <c r="M2420" s="7">
        <v>1</v>
      </c>
      <c r="N2420" s="7">
        <v>0.4</v>
      </c>
      <c r="O2420" s="7">
        <v>0.81</v>
      </c>
      <c r="P2420" s="1" t="s">
        <v>21747</v>
      </c>
    </row>
    <row r="2421" spans="1:16" ht="33.4" x14ac:dyDescent="0.3">
      <c r="A2421" s="6" t="str">
        <f>HYPERLINK("https://www.ti.com/product/TPS62095", "TPS62095")</f>
        <v>TPS62095</v>
      </c>
      <c r="B2421" s="5" t="s">
        <v>21748</v>
      </c>
      <c r="C2421" s="6" t="str">
        <f>HYPERLINK("https://www.ti.com/lit/gpn/TPS62095", "PDF")</f>
        <v>PDF</v>
      </c>
      <c r="D2421" s="5" t="s">
        <v>21749</v>
      </c>
      <c r="E2421" s="5" t="s">
        <v>21750</v>
      </c>
      <c r="F2421" s="5" t="s">
        <v>21751</v>
      </c>
      <c r="G2421" s="5" t="s">
        <v>21752</v>
      </c>
      <c r="H2421" s="1" t="s">
        <v>21753</v>
      </c>
      <c r="I2421" s="5" t="s">
        <v>21754</v>
      </c>
      <c r="J2421" s="7">
        <v>16</v>
      </c>
      <c r="K2421" s="7">
        <v>9</v>
      </c>
      <c r="L2421" s="5" t="s">
        <v>21755</v>
      </c>
      <c r="M2421" s="7">
        <v>1</v>
      </c>
      <c r="N2421" s="7">
        <v>0.5</v>
      </c>
      <c r="O2421" s="7">
        <v>0.96599999999999997</v>
      </c>
      <c r="P2421" s="1" t="s">
        <v>21756</v>
      </c>
    </row>
    <row r="2422" spans="1:16" ht="33.4" x14ac:dyDescent="0.3">
      <c r="A2422" s="6" t="str">
        <f>HYPERLINK("https://www.ti.com/product/CSD19534Q5A", "CSD19534Q5A")</f>
        <v>CSD19534Q5A</v>
      </c>
      <c r="B2422" s="5" t="s">
        <v>21757</v>
      </c>
      <c r="C2422" s="6" t="str">
        <f>HYPERLINK("https://www.ti.com/lit/gpn/CSD19534Q5A", "PDF")</f>
        <v>PDF</v>
      </c>
      <c r="D2422" s="5" t="s">
        <v>21758</v>
      </c>
      <c r="E2422" s="5" t="s">
        <v>21759</v>
      </c>
      <c r="F2422" s="5"/>
      <c r="G2422" s="5" t="s">
        <v>21760</v>
      </c>
      <c r="H2422" s="1" t="s">
        <v>21761</v>
      </c>
      <c r="I2422" s="5" t="s">
        <v>21762</v>
      </c>
      <c r="J2422" s="7">
        <v>8</v>
      </c>
      <c r="K2422" s="7">
        <v>29.4</v>
      </c>
      <c r="L2422" s="5" t="s">
        <v>21763</v>
      </c>
      <c r="M2422" s="7">
        <v>1.1000000000000001</v>
      </c>
      <c r="N2422" s="7">
        <v>1.27</v>
      </c>
      <c r="O2422" s="7">
        <v>0.27500000000000002</v>
      </c>
      <c r="P2422" s="1" t="s">
        <v>21764</v>
      </c>
    </row>
    <row r="2423" spans="1:16" ht="33.4" x14ac:dyDescent="0.3">
      <c r="A2423" s="6" t="str">
        <f>HYPERLINK("https://www.ti.com/product/BUF16821-Q1", "BUF16821-Q1")</f>
        <v>BUF16821-Q1</v>
      </c>
      <c r="B2423" s="5" t="s">
        <v>21765</v>
      </c>
      <c r="C2423" s="6" t="str">
        <f>HYPERLINK("https://www.ti.com/lit/gpn/BUF16821-Q1", "PDF")</f>
        <v>PDF</v>
      </c>
      <c r="D2423" s="5" t="s">
        <v>21766</v>
      </c>
      <c r="E2423" s="5" t="s">
        <v>21767</v>
      </c>
      <c r="F2423" s="5"/>
      <c r="G2423" s="5" t="s">
        <v>21768</v>
      </c>
      <c r="H2423" s="1" t="s">
        <v>21769</v>
      </c>
      <c r="I2423" s="5" t="s">
        <v>21770</v>
      </c>
      <c r="J2423" s="7">
        <v>28</v>
      </c>
      <c r="K2423" s="7">
        <v>62.08</v>
      </c>
      <c r="L2423" s="5" t="s">
        <v>21771</v>
      </c>
      <c r="M2423" s="7">
        <v>1.2</v>
      </c>
      <c r="N2423" s="7">
        <v>0.65</v>
      </c>
      <c r="O2423" s="7">
        <v>1.3360000000000001</v>
      </c>
      <c r="P2423" s="1" t="s">
        <v>21772</v>
      </c>
    </row>
    <row r="2424" spans="1:16" ht="33.4" x14ac:dyDescent="0.3">
      <c r="A2424" s="6" t="str">
        <f>HYPERLINK("https://www.ti.com/product/TPS7A8101-Q1", "TPS7A8101-Q1")</f>
        <v>TPS7A8101-Q1</v>
      </c>
      <c r="B2424" s="5" t="s">
        <v>21773</v>
      </c>
      <c r="C2424" s="6" t="str">
        <f>HYPERLINK("https://www.ti.com/lit/gpn/TPS7A8101-Q1", "PDF")</f>
        <v>PDF</v>
      </c>
      <c r="D2424" s="5" t="s">
        <v>21774</v>
      </c>
      <c r="E2424" s="5" t="s">
        <v>21775</v>
      </c>
      <c r="F2424" s="5"/>
      <c r="G2424" s="5" t="s">
        <v>21776</v>
      </c>
      <c r="H2424" s="1" t="s">
        <v>21777</v>
      </c>
      <c r="I2424" s="5" t="s">
        <v>21778</v>
      </c>
      <c r="J2424" s="7">
        <v>8</v>
      </c>
      <c r="K2424" s="7">
        <v>9</v>
      </c>
      <c r="L2424" s="5" t="s">
        <v>21779</v>
      </c>
      <c r="M2424" s="7">
        <v>1</v>
      </c>
      <c r="N2424" s="7">
        <v>0.65</v>
      </c>
      <c r="O2424" s="7">
        <v>1.3089999999999999</v>
      </c>
      <c r="P2424" s="1" t="s">
        <v>21780</v>
      </c>
    </row>
    <row r="2425" spans="1:16" ht="49.75" x14ac:dyDescent="0.3">
      <c r="A2425" s="6" t="str">
        <f>HYPERLINK("https://www.ti.com/product/UC1856-SP", "UC1856-SP")</f>
        <v>UC1856-SP</v>
      </c>
      <c r="B2425" s="5" t="s">
        <v>21781</v>
      </c>
      <c r="C2425" s="6" t="str">
        <f>HYPERLINK("https://www.ti.com/lit/gpn/UC1856-SP", "PDF")</f>
        <v>PDF</v>
      </c>
      <c r="D2425" s="5" t="s">
        <v>21782</v>
      </c>
      <c r="E2425" s="5" t="s">
        <v>21783</v>
      </c>
      <c r="F2425" s="5" t="s">
        <v>21784</v>
      </c>
      <c r="G2425" s="5" t="s">
        <v>21785</v>
      </c>
      <c r="H2425" s="1" t="s">
        <v>21786</v>
      </c>
      <c r="I2425" s="5" t="s">
        <v>21787</v>
      </c>
      <c r="J2425" s="7">
        <v>16</v>
      </c>
      <c r="K2425" s="7" t="s">
        <v>21788</v>
      </c>
      <c r="L2425" s="5" t="s">
        <v>21789</v>
      </c>
      <c r="M2425" s="7" t="s">
        <v>21790</v>
      </c>
      <c r="N2425" s="7" t="s">
        <v>21791</v>
      </c>
      <c r="O2425" s="7">
        <v>567.35799999999995</v>
      </c>
      <c r="P2425" s="1" t="s">
        <v>21792</v>
      </c>
    </row>
    <row r="2426" spans="1:16" ht="33.4" x14ac:dyDescent="0.3">
      <c r="A2426" s="6" t="str">
        <f>HYPERLINK("https://www.ti.com/product/CSD95378BQ5M", "CSD95378BQ5M")</f>
        <v>CSD95378BQ5M</v>
      </c>
      <c r="B2426" s="5" t="s">
        <v>21793</v>
      </c>
      <c r="C2426" s="6" t="str">
        <f>HYPERLINK("https://www.ti.com/lit/gpn/CSD95378BQ5M", "PDF")</f>
        <v>PDF</v>
      </c>
      <c r="D2426" s="5" t="s">
        <v>21794</v>
      </c>
      <c r="E2426" s="5" t="s">
        <v>21795</v>
      </c>
      <c r="F2426" s="5"/>
      <c r="G2426" s="5" t="s">
        <v>21796</v>
      </c>
      <c r="H2426" s="1" t="s">
        <v>21797</v>
      </c>
      <c r="I2426" s="5" t="s">
        <v>21798</v>
      </c>
      <c r="J2426" s="7">
        <v>12</v>
      </c>
      <c r="K2426" s="7">
        <v>30</v>
      </c>
      <c r="L2426" s="5" t="s">
        <v>21799</v>
      </c>
      <c r="M2426" s="7">
        <v>1.5</v>
      </c>
      <c r="N2426" s="7">
        <v>0.5</v>
      </c>
      <c r="O2426" s="7">
        <v>2.0880000000000001</v>
      </c>
      <c r="P2426" s="1" t="s">
        <v>21800</v>
      </c>
    </row>
    <row r="2427" spans="1:16" ht="17.05" x14ac:dyDescent="0.3">
      <c r="A2427" s="6" t="str">
        <f>HYPERLINK("https://www.ti.com/product/TPS65980", "TPS65980")</f>
        <v>TPS65980</v>
      </c>
      <c r="B2427" s="5" t="s">
        <v>21801</v>
      </c>
      <c r="C2427" s="6" t="str">
        <f>HYPERLINK("https://www.ti.com/lit/gpn/TPS65980", "PDF")</f>
        <v>PDF</v>
      </c>
      <c r="D2427" s="5" t="s">
        <v>21802</v>
      </c>
      <c r="E2427" s="5" t="s">
        <v>21803</v>
      </c>
      <c r="F2427" s="5"/>
      <c r="G2427" s="5" t="s">
        <v>21804</v>
      </c>
      <c r="H2427" s="1" t="s">
        <v>21805</v>
      </c>
      <c r="I2427" s="5" t="s">
        <v>21806</v>
      </c>
      <c r="J2427" s="7">
        <v>24</v>
      </c>
      <c r="K2427" s="7">
        <v>20</v>
      </c>
      <c r="L2427" s="5" t="s">
        <v>21807</v>
      </c>
      <c r="M2427" s="7">
        <v>1</v>
      </c>
      <c r="N2427" s="7">
        <v>0.5</v>
      </c>
      <c r="O2427" s="7">
        <v>2.2000000000000002</v>
      </c>
      <c r="P2427" s="1" t="s">
        <v>21808</v>
      </c>
    </row>
    <row r="2428" spans="1:16" ht="33.4" x14ac:dyDescent="0.3">
      <c r="A2428" s="6" t="str">
        <f>HYPERLINK("https://www.ti.com/product/LM5001-Q1", "LM5001-Q1")</f>
        <v>LM5001-Q1</v>
      </c>
      <c r="B2428" s="5" t="s">
        <v>21809</v>
      </c>
      <c r="C2428" s="6" t="str">
        <f>HYPERLINK("https://www.ti.com/lit/gpn/LM5001-Q1", "PDF")</f>
        <v>PDF</v>
      </c>
      <c r="D2428" s="5" t="s">
        <v>21810</v>
      </c>
      <c r="E2428" s="5" t="s">
        <v>21811</v>
      </c>
      <c r="F2428" s="5" t="s">
        <v>21812</v>
      </c>
      <c r="G2428" s="5" t="s">
        <v>21813</v>
      </c>
      <c r="H2428" s="1" t="s">
        <v>21814</v>
      </c>
      <c r="I2428" s="5" t="s">
        <v>21815</v>
      </c>
      <c r="J2428" s="7">
        <v>8</v>
      </c>
      <c r="K2428" s="7">
        <v>29.4</v>
      </c>
      <c r="L2428" s="5" t="s">
        <v>21816</v>
      </c>
      <c r="M2428" s="7">
        <v>1.75</v>
      </c>
      <c r="N2428" s="7">
        <v>1.27</v>
      </c>
      <c r="O2428" s="7">
        <v>2.27</v>
      </c>
      <c r="P2428" s="1" t="s">
        <v>21817</v>
      </c>
    </row>
    <row r="2429" spans="1:16" ht="33.4" x14ac:dyDescent="0.3">
      <c r="A2429" s="6" t="str">
        <f>HYPERLINK("https://www.ti.com/product/TPS54361-Q1", "TPS54361-Q1")</f>
        <v>TPS54361-Q1</v>
      </c>
      <c r="B2429" s="5" t="s">
        <v>21818</v>
      </c>
      <c r="C2429" s="6" t="str">
        <f>HYPERLINK("https://www.ti.com/lit/gpn/TPS54361-Q1", "PDF")</f>
        <v>PDF</v>
      </c>
      <c r="D2429" s="5" t="s">
        <v>21819</v>
      </c>
      <c r="E2429" s="5" t="s">
        <v>21820</v>
      </c>
      <c r="F2429" s="5" t="s">
        <v>21821</v>
      </c>
      <c r="G2429" s="5" t="s">
        <v>21822</v>
      </c>
      <c r="H2429" s="1" t="s">
        <v>21823</v>
      </c>
      <c r="I2429" s="5" t="s">
        <v>21824</v>
      </c>
      <c r="J2429" s="7">
        <v>10</v>
      </c>
      <c r="K2429" s="7">
        <v>16</v>
      </c>
      <c r="L2429" s="5" t="s">
        <v>21825</v>
      </c>
      <c r="M2429" s="7">
        <v>0.8</v>
      </c>
      <c r="N2429" s="7">
        <v>0.8</v>
      </c>
      <c r="O2429" s="7">
        <v>2.2839999999999998</v>
      </c>
      <c r="P2429" s="1" t="s">
        <v>21826</v>
      </c>
    </row>
    <row r="2430" spans="1:16" ht="17.05" x14ac:dyDescent="0.3">
      <c r="A2430" s="6" t="str">
        <f>HYPERLINK("https://www.ti.com/product/TPS23861", "TPS23861")</f>
        <v>TPS23861</v>
      </c>
      <c r="B2430" s="5" t="s">
        <v>21827</v>
      </c>
      <c r="C2430" s="6" t="str">
        <f>HYPERLINK("https://www.ti.com/lit/gpn/TPS23861", "PDF")</f>
        <v>PDF</v>
      </c>
      <c r="D2430" s="5" t="s">
        <v>21828</v>
      </c>
      <c r="E2430" s="5" t="s">
        <v>21829</v>
      </c>
      <c r="F2430" s="5"/>
      <c r="G2430" s="5" t="s">
        <v>21830</v>
      </c>
      <c r="H2430" s="1" t="s">
        <v>21831</v>
      </c>
      <c r="I2430" s="5" t="s">
        <v>21832</v>
      </c>
      <c r="J2430" s="7">
        <v>28</v>
      </c>
      <c r="K2430" s="7">
        <v>62.08</v>
      </c>
      <c r="L2430" s="5" t="s">
        <v>21833</v>
      </c>
      <c r="M2430" s="7">
        <v>1.2</v>
      </c>
      <c r="N2430" s="7">
        <v>0.65</v>
      </c>
      <c r="O2430" s="7">
        <v>1.552</v>
      </c>
      <c r="P2430" s="1" t="s">
        <v>21834</v>
      </c>
    </row>
    <row r="2431" spans="1:16" ht="49.75" x14ac:dyDescent="0.3">
      <c r="A2431" s="6" t="str">
        <f>HYPERLINK("https://www.ti.com/product/TPS62684", "TPS62684")</f>
        <v>TPS62684</v>
      </c>
      <c r="B2431" s="5" t="s">
        <v>21835</v>
      </c>
      <c r="C2431" s="6" t="str">
        <f>HYPERLINK("https://www.ti.com/lit/gpn/TPS62684", "PDF")</f>
        <v>PDF</v>
      </c>
      <c r="D2431" s="5" t="s">
        <v>21836</v>
      </c>
      <c r="E2431" s="5" t="s">
        <v>21837</v>
      </c>
      <c r="F2431" s="5" t="s">
        <v>21838</v>
      </c>
      <c r="G2431" s="5" t="s">
        <v>21839</v>
      </c>
      <c r="H2431" s="1" t="s">
        <v>21840</v>
      </c>
      <c r="I2431" s="5" t="s">
        <v>21841</v>
      </c>
      <c r="J2431" s="7">
        <v>6</v>
      </c>
      <c r="K2431" s="7">
        <v>1.4000000000000001</v>
      </c>
      <c r="L2431" s="5" t="s">
        <v>21842</v>
      </c>
      <c r="M2431" s="7">
        <v>0.625</v>
      </c>
      <c r="N2431" s="7">
        <v>0.4</v>
      </c>
      <c r="O2431" s="7">
        <v>0.73099999999999998</v>
      </c>
      <c r="P2431" s="1" t="s">
        <v>21843</v>
      </c>
    </row>
    <row r="2432" spans="1:16" ht="82.5" x14ac:dyDescent="0.3">
      <c r="A2432" s="6" t="str">
        <f>HYPERLINK("https://www.ti.com/product/TPS92602-Q1", "TPS92602-Q1")</f>
        <v>TPS92602-Q1</v>
      </c>
      <c r="B2432" s="5" t="s">
        <v>21844</v>
      </c>
      <c r="C2432" s="6" t="str">
        <f>HYPERLINK("https://www.ti.com/lit/gpn/TPS92602-Q1", "PDF")</f>
        <v>PDF</v>
      </c>
      <c r="D2432" s="5" t="s">
        <v>21845</v>
      </c>
      <c r="E2432" s="5" t="s">
        <v>21846</v>
      </c>
      <c r="F2432" s="5" t="s">
        <v>21847</v>
      </c>
      <c r="G2432" s="5" t="s">
        <v>21848</v>
      </c>
      <c r="H2432" s="1" t="s">
        <v>21849</v>
      </c>
      <c r="I2432" s="5" t="s">
        <v>21850</v>
      </c>
      <c r="J2432" s="7">
        <v>28</v>
      </c>
      <c r="K2432" s="7">
        <v>62.08</v>
      </c>
      <c r="L2432" s="5" t="s">
        <v>21851</v>
      </c>
      <c r="M2432" s="7">
        <v>1.2</v>
      </c>
      <c r="N2432" s="7">
        <v>0.65</v>
      </c>
      <c r="O2432" s="7">
        <v>3.9350000000000001</v>
      </c>
      <c r="P2432" s="1" t="s">
        <v>21852</v>
      </c>
    </row>
    <row r="2433" spans="1:16" ht="33.4" x14ac:dyDescent="0.3">
      <c r="A2433" s="6" t="str">
        <f>HYPERLINK("https://www.ti.com/product/LM43602", "LM43602")</f>
        <v>LM43602</v>
      </c>
      <c r="B2433" s="5" t="s">
        <v>21853</v>
      </c>
      <c r="C2433" s="6" t="str">
        <f>HYPERLINK("https://www.ti.com/lit/gpn/LM43602", "PDF")</f>
        <v>PDF</v>
      </c>
      <c r="D2433" s="5" t="s">
        <v>21854</v>
      </c>
      <c r="E2433" s="5" t="s">
        <v>21855</v>
      </c>
      <c r="F2433" s="5" t="s">
        <v>21856</v>
      </c>
      <c r="G2433" s="5" t="s">
        <v>21857</v>
      </c>
      <c r="H2433" s="1" t="s">
        <v>21858</v>
      </c>
      <c r="I2433" s="5" t="s">
        <v>21859</v>
      </c>
      <c r="J2433" s="7">
        <v>16</v>
      </c>
      <c r="K2433" s="7" t="s">
        <v>21860</v>
      </c>
      <c r="L2433" s="5" t="s">
        <v>21861</v>
      </c>
      <c r="M2433" s="7" t="s">
        <v>21862</v>
      </c>
      <c r="N2433" s="7" t="s">
        <v>21863</v>
      </c>
      <c r="O2433" s="7">
        <v>1.925</v>
      </c>
      <c r="P2433" s="1" t="s">
        <v>21864</v>
      </c>
    </row>
    <row r="2434" spans="1:16" ht="33.4" x14ac:dyDescent="0.3">
      <c r="A2434" s="6" t="str">
        <f>HYPERLINK("https://www.ti.com/product/LM43603", "LM43603")</f>
        <v>LM43603</v>
      </c>
      <c r="B2434" s="5" t="s">
        <v>21865</v>
      </c>
      <c r="C2434" s="6" t="str">
        <f>HYPERLINK("https://www.ti.com/lit/gpn/LM43603", "PDF")</f>
        <v>PDF</v>
      </c>
      <c r="D2434" s="5" t="s">
        <v>21866</v>
      </c>
      <c r="E2434" s="5" t="s">
        <v>21867</v>
      </c>
      <c r="F2434" s="5" t="s">
        <v>21868</v>
      </c>
      <c r="G2434" s="5" t="s">
        <v>21869</v>
      </c>
      <c r="H2434" s="1" t="s">
        <v>21870</v>
      </c>
      <c r="I2434" s="5" t="s">
        <v>21871</v>
      </c>
      <c r="J2434" s="7">
        <v>16</v>
      </c>
      <c r="K2434" s="7" t="s">
        <v>21872</v>
      </c>
      <c r="L2434" s="5" t="s">
        <v>21873</v>
      </c>
      <c r="M2434" s="7" t="s">
        <v>21874</v>
      </c>
      <c r="N2434" s="7" t="s">
        <v>21875</v>
      </c>
      <c r="O2434" s="7">
        <v>1.7909999999999999</v>
      </c>
      <c r="P2434" s="1" t="s">
        <v>21876</v>
      </c>
    </row>
    <row r="2435" spans="1:16" ht="33.4" x14ac:dyDescent="0.3">
      <c r="A2435" s="6" t="str">
        <f>HYPERLINK("https://www.ti.com/product/TPS22965-Q1", "TPS22965-Q1")</f>
        <v>TPS22965-Q1</v>
      </c>
      <c r="B2435" s="5" t="s">
        <v>21877</v>
      </c>
      <c r="C2435" s="6" t="str">
        <f>HYPERLINK("https://www.ti.com/lit/gpn/TPS22965-Q1", "PDF")</f>
        <v>PDF</v>
      </c>
      <c r="D2435" s="5" t="s">
        <v>21878</v>
      </c>
      <c r="E2435" s="5" t="s">
        <v>21879</v>
      </c>
      <c r="F2435" s="5"/>
      <c r="G2435" s="5" t="s">
        <v>21880</v>
      </c>
      <c r="H2435" s="1" t="s">
        <v>21881</v>
      </c>
      <c r="I2435" s="5" t="s">
        <v>21882</v>
      </c>
      <c r="J2435" s="7">
        <v>8</v>
      </c>
      <c r="K2435" s="7">
        <v>4</v>
      </c>
      <c r="L2435" s="5" t="s">
        <v>21883</v>
      </c>
      <c r="M2435" s="7">
        <v>0.8</v>
      </c>
      <c r="N2435" s="7">
        <v>0.5</v>
      </c>
      <c r="O2435" s="7">
        <v>0.32700000000000001</v>
      </c>
      <c r="P2435" s="1" t="s">
        <v>21884</v>
      </c>
    </row>
    <row r="2436" spans="1:16" ht="33.4" x14ac:dyDescent="0.3">
      <c r="A2436" s="6" t="str">
        <f>HYPERLINK("https://www.ti.com/product/LM46002", "LM46002")</f>
        <v>LM46002</v>
      </c>
      <c r="B2436" s="5" t="s">
        <v>21885</v>
      </c>
      <c r="C2436" s="6" t="str">
        <f>HYPERLINK("https://www.ti.com/lit/gpn/LM46002", "PDF")</f>
        <v>PDF</v>
      </c>
      <c r="D2436" s="5" t="s">
        <v>21886</v>
      </c>
      <c r="E2436" s="5" t="s">
        <v>21887</v>
      </c>
      <c r="F2436" s="5" t="s">
        <v>21888</v>
      </c>
      <c r="G2436" s="5" t="s">
        <v>21889</v>
      </c>
      <c r="H2436" s="1" t="s">
        <v>21890</v>
      </c>
      <c r="I2436" s="5" t="s">
        <v>21891</v>
      </c>
      <c r="J2436" s="7">
        <v>16</v>
      </c>
      <c r="K2436" s="7">
        <v>32</v>
      </c>
      <c r="L2436" s="5" t="s">
        <v>21892</v>
      </c>
      <c r="M2436" s="7">
        <v>1.2</v>
      </c>
      <c r="N2436" s="7">
        <v>0.65</v>
      </c>
      <c r="O2436" s="7">
        <v>1.956</v>
      </c>
      <c r="P2436" s="1" t="s">
        <v>21893</v>
      </c>
    </row>
    <row r="2437" spans="1:16" ht="33.4" x14ac:dyDescent="0.3">
      <c r="A2437" s="6" t="str">
        <f>HYPERLINK("https://www.ti.com/product/TPS65286", "TPS65286")</f>
        <v>TPS65286</v>
      </c>
      <c r="B2437" s="5" t="s">
        <v>21894</v>
      </c>
      <c r="C2437" s="6" t="str">
        <f>HYPERLINK("https://www.ti.com/lit/gpn/TPS65286", "PDF")</f>
        <v>PDF</v>
      </c>
      <c r="D2437" s="5" t="s">
        <v>21895</v>
      </c>
      <c r="E2437" s="5" t="s">
        <v>21896</v>
      </c>
      <c r="F2437" s="5" t="s">
        <v>21897</v>
      </c>
      <c r="G2437" s="5" t="s">
        <v>21898</v>
      </c>
      <c r="H2437" s="1" t="s">
        <v>21899</v>
      </c>
      <c r="I2437" s="5" t="s">
        <v>21900</v>
      </c>
      <c r="J2437" s="7">
        <v>28</v>
      </c>
      <c r="K2437" s="7">
        <v>25</v>
      </c>
      <c r="L2437" s="5" t="s">
        <v>21901</v>
      </c>
      <c r="M2437" s="7">
        <v>1</v>
      </c>
      <c r="N2437" s="7">
        <v>0.5</v>
      </c>
      <c r="O2437" s="7">
        <v>2.875</v>
      </c>
      <c r="P2437" s="1" t="s">
        <v>21902</v>
      </c>
    </row>
    <row r="2438" spans="1:16" ht="33.4" x14ac:dyDescent="0.3">
      <c r="A2438" s="6" t="str">
        <f>HYPERLINK("https://www.ti.com/product/TPS61230", "TPS61230")</f>
        <v>TPS61230</v>
      </c>
      <c r="B2438" s="5" t="s">
        <v>21903</v>
      </c>
      <c r="C2438" s="6" t="str">
        <f>HYPERLINK("https://www.ti.com/lit/gpn/TPS61230", "PDF")</f>
        <v>PDF</v>
      </c>
      <c r="D2438" s="5" t="s">
        <v>21904</v>
      </c>
      <c r="E2438" s="5" t="s">
        <v>21905</v>
      </c>
      <c r="F2438" s="5" t="s">
        <v>21906</v>
      </c>
      <c r="G2438" s="5" t="s">
        <v>21907</v>
      </c>
      <c r="H2438" s="1" t="s">
        <v>21908</v>
      </c>
      <c r="I2438" s="5" t="s">
        <v>21909</v>
      </c>
      <c r="J2438" s="7">
        <v>10</v>
      </c>
      <c r="K2438" s="7">
        <v>9</v>
      </c>
      <c r="L2438" s="5" t="s">
        <v>21910</v>
      </c>
      <c r="M2438" s="7">
        <v>1</v>
      </c>
      <c r="N2438" s="7">
        <v>0.5</v>
      </c>
      <c r="O2438" s="7">
        <v>1.0580000000000001</v>
      </c>
      <c r="P2438" s="1" t="s">
        <v>21911</v>
      </c>
    </row>
    <row r="2439" spans="1:16" ht="33.4" x14ac:dyDescent="0.3">
      <c r="A2439" s="6" t="str">
        <f>HYPERLINK("https://www.ti.com/product/UCC28910", "UCC28910")</f>
        <v>UCC28910</v>
      </c>
      <c r="B2439" s="5" t="s">
        <v>21912</v>
      </c>
      <c r="C2439" s="6" t="str">
        <f>HYPERLINK("https://www.ti.com/lit/gpn/UCC28910", "PDF")</f>
        <v>PDF</v>
      </c>
      <c r="D2439" s="5" t="s">
        <v>21913</v>
      </c>
      <c r="E2439" s="5" t="s">
        <v>21914</v>
      </c>
      <c r="F2439" s="5" t="s">
        <v>21915</v>
      </c>
      <c r="G2439" s="5" t="s">
        <v>21916</v>
      </c>
      <c r="H2439" s="1" t="s">
        <v>21917</v>
      </c>
      <c r="I2439" s="5" t="s">
        <v>21918</v>
      </c>
      <c r="J2439" s="7">
        <v>7</v>
      </c>
      <c r="K2439" s="7">
        <v>29.4</v>
      </c>
      <c r="L2439" s="5" t="s">
        <v>21919</v>
      </c>
      <c r="M2439" s="7">
        <v>1.75</v>
      </c>
      <c r="N2439" s="7">
        <v>1.27</v>
      </c>
      <c r="O2439" s="7">
        <v>0.501</v>
      </c>
      <c r="P2439" s="1" t="s">
        <v>21920</v>
      </c>
    </row>
    <row r="2440" spans="1:16" ht="33.4" x14ac:dyDescent="0.3">
      <c r="A2440" s="6" t="str">
        <f>HYPERLINK("https://www.ti.com/product/TPS25200", "TPS25200")</f>
        <v>TPS25200</v>
      </c>
      <c r="B2440" s="5" t="s">
        <v>21921</v>
      </c>
      <c r="C2440" s="6" t="str">
        <f>HYPERLINK("https://www.ti.com/lit/gpn/TPS25200", "PDF")</f>
        <v>PDF</v>
      </c>
      <c r="D2440" s="5" t="s">
        <v>21922</v>
      </c>
      <c r="E2440" s="5" t="s">
        <v>21923</v>
      </c>
      <c r="F2440" s="5"/>
      <c r="G2440" s="5" t="s">
        <v>21924</v>
      </c>
      <c r="H2440" s="1" t="s">
        <v>21925</v>
      </c>
      <c r="I2440" s="5" t="s">
        <v>21926</v>
      </c>
      <c r="J2440" s="7">
        <v>6</v>
      </c>
      <c r="K2440" s="7">
        <v>4</v>
      </c>
      <c r="L2440" s="5" t="s">
        <v>21927</v>
      </c>
      <c r="M2440" s="7">
        <v>0.8</v>
      </c>
      <c r="N2440" s="7">
        <v>0.65</v>
      </c>
      <c r="O2440" s="7">
        <v>0.32200000000000001</v>
      </c>
      <c r="P2440" s="1" t="s">
        <v>21928</v>
      </c>
    </row>
    <row r="2441" spans="1:16" ht="49.75" x14ac:dyDescent="0.3">
      <c r="A2441" s="6" t="str">
        <f>HYPERLINK("https://www.ti.com/product/TPS3700-Q1", "TPS3700-Q1")</f>
        <v>TPS3700-Q1</v>
      </c>
      <c r="B2441" s="5" t="s">
        <v>21929</v>
      </c>
      <c r="C2441" s="6" t="str">
        <f>HYPERLINK("https://www.ti.com/lit/gpn/TPS3700-Q1", "PDF")</f>
        <v>PDF</v>
      </c>
      <c r="D2441" s="5" t="s">
        <v>21930</v>
      </c>
      <c r="E2441" s="5" t="s">
        <v>21931</v>
      </c>
      <c r="F2441" s="5"/>
      <c r="G2441" s="5" t="s">
        <v>21932</v>
      </c>
      <c r="H2441" s="1" t="s">
        <v>21933</v>
      </c>
      <c r="I2441" s="5" t="s">
        <v>21934</v>
      </c>
      <c r="J2441" s="7">
        <v>6</v>
      </c>
      <c r="K2441" s="7" t="s">
        <v>21935</v>
      </c>
      <c r="L2441" s="5" t="s">
        <v>21936</v>
      </c>
      <c r="M2441" s="7" t="s">
        <v>21937</v>
      </c>
      <c r="N2441" s="7" t="s">
        <v>21938</v>
      </c>
      <c r="O2441" s="7">
        <v>0.94499999999999995</v>
      </c>
      <c r="P2441" s="1" t="s">
        <v>21939</v>
      </c>
    </row>
    <row r="2442" spans="1:16" ht="33.4" x14ac:dyDescent="0.3">
      <c r="A2442" s="6" t="str">
        <f>HYPERLINK("https://www.ti.com/product/LM3406HV-Q1", "LM3406HV-Q1")</f>
        <v>LM3406HV-Q1</v>
      </c>
      <c r="B2442" s="5" t="s">
        <v>21940</v>
      </c>
      <c r="C2442" s="6" t="str">
        <f>HYPERLINK("https://www.ti.com/lit/gpn/LM3406HV-Q1", "PDF")</f>
        <v>PDF</v>
      </c>
      <c r="D2442" s="5" t="s">
        <v>21941</v>
      </c>
      <c r="E2442" s="5" t="s">
        <v>21942</v>
      </c>
      <c r="F2442" s="5" t="s">
        <v>21943</v>
      </c>
      <c r="G2442" s="5" t="s">
        <v>21944</v>
      </c>
      <c r="H2442" s="1" t="s">
        <v>21945</v>
      </c>
      <c r="I2442" s="5" t="s">
        <v>21946</v>
      </c>
      <c r="J2442" s="7">
        <v>14</v>
      </c>
      <c r="K2442" s="7">
        <v>32</v>
      </c>
      <c r="L2442" s="5" t="s">
        <v>21947</v>
      </c>
      <c r="M2442" s="7">
        <v>1.2</v>
      </c>
      <c r="N2442" s="7">
        <v>0.65</v>
      </c>
      <c r="O2442" s="7">
        <v>1.0169999999999999</v>
      </c>
      <c r="P2442" s="1" t="s">
        <v>21948</v>
      </c>
    </row>
    <row r="2443" spans="1:16" ht="33.4" x14ac:dyDescent="0.3">
      <c r="A2443" s="6" t="str">
        <f>HYPERLINK("https://www.ti.com/product/TLC5955", "TLC5955")</f>
        <v>TLC5955</v>
      </c>
      <c r="B2443" s="5" t="s">
        <v>21949</v>
      </c>
      <c r="C2443" s="6" t="str">
        <f>HYPERLINK("https://www.ti.com/lit/gpn/TLC5955", "PDF")</f>
        <v>PDF</v>
      </c>
      <c r="D2443" s="5" t="s">
        <v>21950</v>
      </c>
      <c r="E2443" s="5" t="s">
        <v>21951</v>
      </c>
      <c r="F2443" s="5" t="s">
        <v>21952</v>
      </c>
      <c r="G2443" s="5" t="s">
        <v>21953</v>
      </c>
      <c r="H2443" s="1" t="s">
        <v>21954</v>
      </c>
      <c r="I2443" s="5" t="s">
        <v>21955</v>
      </c>
      <c r="J2443" s="7">
        <v>56</v>
      </c>
      <c r="K2443" s="7" t="s">
        <v>21956</v>
      </c>
      <c r="L2443" s="5" t="s">
        <v>21957</v>
      </c>
      <c r="M2443" s="7" t="s">
        <v>21958</v>
      </c>
      <c r="N2443" s="7">
        <v>0.5</v>
      </c>
      <c r="O2443" s="7">
        <v>2.7280000000000002</v>
      </c>
      <c r="P2443" s="1" t="s">
        <v>21959</v>
      </c>
    </row>
    <row r="2444" spans="1:16" ht="17.05" x14ac:dyDescent="0.3">
      <c r="A2444" s="6" t="str">
        <f>HYPERLINK("https://www.ti.com/product/TPS22969", "TPS22969")</f>
        <v>TPS22969</v>
      </c>
      <c r="B2444" s="5" t="s">
        <v>21960</v>
      </c>
      <c r="C2444" s="6" t="str">
        <f>HYPERLINK("https://www.ti.com/lit/gpn/TPS22969", "PDF")</f>
        <v>PDF</v>
      </c>
      <c r="D2444" s="5" t="s">
        <v>21961</v>
      </c>
      <c r="E2444" s="5" t="s">
        <v>21962</v>
      </c>
      <c r="F2444" s="5"/>
      <c r="G2444" s="5" t="s">
        <v>21963</v>
      </c>
      <c r="H2444" s="1" t="s">
        <v>21964</v>
      </c>
      <c r="I2444" s="5" t="s">
        <v>21965</v>
      </c>
      <c r="J2444" s="7">
        <v>8</v>
      </c>
      <c r="K2444" s="7">
        <v>9</v>
      </c>
      <c r="L2444" s="5" t="s">
        <v>21966</v>
      </c>
      <c r="M2444" s="7">
        <v>0.8</v>
      </c>
      <c r="N2444" s="7">
        <v>0.65</v>
      </c>
      <c r="O2444" s="7">
        <v>0.57499999999999996</v>
      </c>
      <c r="P2444" s="1" t="s">
        <v>21967</v>
      </c>
    </row>
    <row r="2445" spans="1:16" ht="33.4" x14ac:dyDescent="0.3">
      <c r="A2445" s="6" t="str">
        <f>HYPERLINK("https://www.ti.com/product/UCC27519A-Q1", "UCC27519A-Q1")</f>
        <v>UCC27519A-Q1</v>
      </c>
      <c r="B2445" s="5" t="s">
        <v>21968</v>
      </c>
      <c r="C2445" s="6" t="str">
        <f>HYPERLINK("https://www.ti.com/lit/gpn/UCC27519A-Q1", "PDF")</f>
        <v>PDF</v>
      </c>
      <c r="D2445" s="5" t="s">
        <v>21969</v>
      </c>
      <c r="E2445" s="5" t="s">
        <v>21970</v>
      </c>
      <c r="F2445" s="5"/>
      <c r="G2445" s="5" t="s">
        <v>21971</v>
      </c>
      <c r="H2445" s="1" t="s">
        <v>21972</v>
      </c>
      <c r="I2445" s="5" t="s">
        <v>21973</v>
      </c>
      <c r="J2445" s="7">
        <v>5</v>
      </c>
      <c r="K2445" s="7">
        <v>8.1199999999999992</v>
      </c>
      <c r="L2445" s="5" t="s">
        <v>21974</v>
      </c>
      <c r="M2445" s="7">
        <v>1.45</v>
      </c>
      <c r="N2445" s="7">
        <v>0.95</v>
      </c>
      <c r="O2445" s="7">
        <v>0.495</v>
      </c>
      <c r="P2445" s="1" t="s">
        <v>21975</v>
      </c>
    </row>
    <row r="2446" spans="1:16" ht="33.4" x14ac:dyDescent="0.3">
      <c r="A2446" s="6" t="str">
        <f>HYPERLINK("https://www.ti.com/product/TPS2556-Q1", "TPS2556-Q1")</f>
        <v>TPS2556-Q1</v>
      </c>
      <c r="B2446" s="5" t="s">
        <v>21976</v>
      </c>
      <c r="C2446" s="6" t="str">
        <f>HYPERLINK("https://www.ti.com/lit/gpn/TPS2556-Q1", "PDF")</f>
        <v>PDF</v>
      </c>
      <c r="D2446" s="5" t="s">
        <v>21977</v>
      </c>
      <c r="E2446" s="5" t="s">
        <v>21978</v>
      </c>
      <c r="F2446" s="5"/>
      <c r="G2446" s="5" t="s">
        <v>21979</v>
      </c>
      <c r="H2446" s="1" t="s">
        <v>21980</v>
      </c>
      <c r="I2446" s="5" t="s">
        <v>21981</v>
      </c>
      <c r="J2446" s="7">
        <v>8</v>
      </c>
      <c r="K2446" s="7">
        <v>9</v>
      </c>
      <c r="L2446" s="5" t="s">
        <v>21982</v>
      </c>
      <c r="M2446" s="7">
        <v>1</v>
      </c>
      <c r="N2446" s="7">
        <v>0.65</v>
      </c>
      <c r="O2446" s="7">
        <v>0.51600000000000001</v>
      </c>
      <c r="P2446" s="1" t="s">
        <v>21983</v>
      </c>
    </row>
    <row r="2447" spans="1:16" ht="33.4" x14ac:dyDescent="0.3">
      <c r="A2447" s="6" t="str">
        <f>HYPERLINK("https://www.ti.com/product/TPS2557-Q1", "TPS2557-Q1")</f>
        <v>TPS2557-Q1</v>
      </c>
      <c r="B2447" s="5" t="s">
        <v>21984</v>
      </c>
      <c r="C2447" s="6" t="str">
        <f>HYPERLINK("https://www.ti.com/lit/gpn/TPS2557-Q1", "PDF")</f>
        <v>PDF</v>
      </c>
      <c r="D2447" s="5" t="s">
        <v>21985</v>
      </c>
      <c r="E2447" s="5" t="s">
        <v>21986</v>
      </c>
      <c r="F2447" s="5"/>
      <c r="G2447" s="5" t="s">
        <v>21987</v>
      </c>
      <c r="H2447" s="1" t="s">
        <v>21988</v>
      </c>
      <c r="I2447" s="5" t="s">
        <v>21989</v>
      </c>
      <c r="J2447" s="7">
        <v>8</v>
      </c>
      <c r="K2447" s="7">
        <v>9</v>
      </c>
      <c r="L2447" s="5" t="s">
        <v>21990</v>
      </c>
      <c r="M2447" s="7">
        <v>1</v>
      </c>
      <c r="N2447" s="7">
        <v>0.65</v>
      </c>
      <c r="O2447" s="7">
        <v>0.51600000000000001</v>
      </c>
      <c r="P2447" s="1" t="s">
        <v>21991</v>
      </c>
    </row>
    <row r="2448" spans="1:16" ht="49.75" x14ac:dyDescent="0.3">
      <c r="A2448" s="6" t="str">
        <f>HYPERLINK("https://www.ti.com/product/TPS82692", "TPS82692")</f>
        <v>TPS82692</v>
      </c>
      <c r="B2448" s="5" t="s">
        <v>21992</v>
      </c>
      <c r="C2448" s="6" t="str">
        <f>HYPERLINK("https://www.ti.com/lit/gpn/TPS82692", "PDF")</f>
        <v>PDF</v>
      </c>
      <c r="D2448" s="5" t="s">
        <v>21993</v>
      </c>
      <c r="E2448" s="5" t="s">
        <v>21994</v>
      </c>
      <c r="F2448" s="5" t="s">
        <v>21995</v>
      </c>
      <c r="G2448" s="5" t="s">
        <v>21996</v>
      </c>
      <c r="H2448" s="1" t="s">
        <v>21997</v>
      </c>
      <c r="I2448" s="5" t="s">
        <v>21998</v>
      </c>
      <c r="J2448" s="7">
        <v>8</v>
      </c>
      <c r="K2448" s="7">
        <v>6.67</v>
      </c>
      <c r="L2448" s="5" t="s">
        <v>21999</v>
      </c>
      <c r="M2448" s="7">
        <v>1</v>
      </c>
      <c r="N2448" s="7">
        <v>1</v>
      </c>
      <c r="O2448" s="7">
        <v>1.113</v>
      </c>
      <c r="P2448" s="1" t="s">
        <v>22000</v>
      </c>
    </row>
    <row r="2449" spans="1:16" ht="49.75" x14ac:dyDescent="0.3">
      <c r="A2449" s="6" t="str">
        <f>HYPERLINK("https://www.ti.com/product/TPS826951", "TPS826951")</f>
        <v>TPS826951</v>
      </c>
      <c r="B2449" s="5" t="s">
        <v>22001</v>
      </c>
      <c r="C2449" s="6" t="str">
        <f>HYPERLINK("https://www.ti.com/lit/gpn/TPS826951", "PDF")</f>
        <v>PDF</v>
      </c>
      <c r="D2449" s="5" t="s">
        <v>22002</v>
      </c>
      <c r="E2449" s="5" t="s">
        <v>22003</v>
      </c>
      <c r="F2449" s="5" t="s">
        <v>22004</v>
      </c>
      <c r="G2449" s="5" t="s">
        <v>22005</v>
      </c>
      <c r="H2449" s="1" t="s">
        <v>22006</v>
      </c>
      <c r="I2449" s="5" t="s">
        <v>22007</v>
      </c>
      <c r="J2449" s="7">
        <v>8</v>
      </c>
      <c r="K2449" s="7">
        <v>6.67</v>
      </c>
      <c r="L2449" s="5" t="s">
        <v>22008</v>
      </c>
      <c r="M2449" s="7">
        <v>1</v>
      </c>
      <c r="N2449" s="7">
        <v>1</v>
      </c>
      <c r="O2449" s="7">
        <v>1.113</v>
      </c>
      <c r="P2449" s="1" t="s">
        <v>22009</v>
      </c>
    </row>
    <row r="2450" spans="1:16" ht="49.75" x14ac:dyDescent="0.3">
      <c r="A2450" s="6" t="str">
        <f>HYPERLINK("https://www.ti.com/product/UCD9244-EP", "UCD9244-EP")</f>
        <v>UCD9244-EP</v>
      </c>
      <c r="B2450" s="5" t="s">
        <v>22010</v>
      </c>
      <c r="C2450" s="6" t="str">
        <f>HYPERLINK("https://www.ti.com/lit/gpn/UCD9244-EP", "PDF")</f>
        <v>PDF</v>
      </c>
      <c r="D2450" s="5" t="s">
        <v>22011</v>
      </c>
      <c r="E2450" s="5" t="s">
        <v>22012</v>
      </c>
      <c r="F2450" s="5"/>
      <c r="G2450" s="5" t="s">
        <v>22013</v>
      </c>
      <c r="H2450" s="1" t="s">
        <v>22014</v>
      </c>
      <c r="I2450" s="5" t="s">
        <v>22015</v>
      </c>
      <c r="J2450" s="7">
        <v>64</v>
      </c>
      <c r="K2450" s="7">
        <v>81</v>
      </c>
      <c r="L2450" s="5" t="s">
        <v>22016</v>
      </c>
      <c r="M2450" s="7">
        <v>1</v>
      </c>
      <c r="N2450" s="7">
        <v>0.5</v>
      </c>
      <c r="O2450" s="7">
        <v>10.474</v>
      </c>
      <c r="P2450" s="1" t="s">
        <v>22017</v>
      </c>
    </row>
    <row r="2451" spans="1:16" ht="33.4" x14ac:dyDescent="0.3">
      <c r="A2451" s="6" t="str">
        <f>HYPERLINK("https://www.ti.com/product/TPS65262", "TPS65262")</f>
        <v>TPS65262</v>
      </c>
      <c r="B2451" s="5" t="s">
        <v>22018</v>
      </c>
      <c r="C2451" s="6" t="str">
        <f>HYPERLINK("https://www.ti.com/lit/gpn/TPS65262", "PDF")</f>
        <v>PDF</v>
      </c>
      <c r="D2451" s="5" t="s">
        <v>22019</v>
      </c>
      <c r="E2451" s="5" t="s">
        <v>22020</v>
      </c>
      <c r="F2451" s="5" t="s">
        <v>22021</v>
      </c>
      <c r="G2451" s="5" t="s">
        <v>22022</v>
      </c>
      <c r="H2451" s="1" t="s">
        <v>22023</v>
      </c>
      <c r="I2451" s="5" t="s">
        <v>22024</v>
      </c>
      <c r="J2451" s="7">
        <v>32</v>
      </c>
      <c r="K2451" s="7">
        <v>25</v>
      </c>
      <c r="L2451" s="5" t="s">
        <v>22025</v>
      </c>
      <c r="M2451" s="7">
        <v>1</v>
      </c>
      <c r="N2451" s="7">
        <v>0.5</v>
      </c>
      <c r="O2451" s="7">
        <v>1.518</v>
      </c>
      <c r="P2451" s="1" t="s">
        <v>22026</v>
      </c>
    </row>
    <row r="2452" spans="1:16" ht="17.05" x14ac:dyDescent="0.3">
      <c r="A2452" s="6" t="str">
        <f>HYPERLINK("https://www.ti.com/product/CSD95372BQ5M", "CSD95372BQ5M")</f>
        <v>CSD95372BQ5M</v>
      </c>
      <c r="B2452" s="5" t="s">
        <v>22027</v>
      </c>
      <c r="C2452" s="6" t="str">
        <f>HYPERLINK("https://www.ti.com/lit/gpn/CSD95372BQ5M", "PDF")</f>
        <v>PDF</v>
      </c>
      <c r="D2452" s="5" t="s">
        <v>22028</v>
      </c>
      <c r="E2452" s="5" t="s">
        <v>22029</v>
      </c>
      <c r="F2452" s="5"/>
      <c r="G2452" s="5" t="s">
        <v>22030</v>
      </c>
      <c r="H2452" s="1" t="s">
        <v>22031</v>
      </c>
      <c r="I2452" s="5" t="s">
        <v>22032</v>
      </c>
      <c r="J2452" s="7">
        <v>12</v>
      </c>
      <c r="K2452" s="7">
        <v>30</v>
      </c>
      <c r="L2452" s="5" t="s">
        <v>22033</v>
      </c>
      <c r="M2452" s="7">
        <v>1.5</v>
      </c>
      <c r="N2452" s="7">
        <v>0.5</v>
      </c>
      <c r="O2452" s="7">
        <v>2.0880000000000001</v>
      </c>
      <c r="P2452" s="1" t="s">
        <v>22034</v>
      </c>
    </row>
    <row r="2453" spans="1:16" ht="17.05" x14ac:dyDescent="0.3">
      <c r="A2453" s="6" t="str">
        <f>HYPERLINK("https://www.ti.com/product/TPS22961", "TPS22961")</f>
        <v>TPS22961</v>
      </c>
      <c r="B2453" s="5" t="s">
        <v>22035</v>
      </c>
      <c r="C2453" s="6" t="str">
        <f>HYPERLINK("https://www.ti.com/lit/gpn/TPS22961", "PDF")</f>
        <v>PDF</v>
      </c>
      <c r="D2453" s="5" t="s">
        <v>22036</v>
      </c>
      <c r="E2453" s="5" t="s">
        <v>22037</v>
      </c>
      <c r="F2453" s="5"/>
      <c r="G2453" s="5" t="s">
        <v>22038</v>
      </c>
      <c r="H2453" s="1" t="s">
        <v>22039</v>
      </c>
      <c r="I2453" s="5" t="s">
        <v>22040</v>
      </c>
      <c r="J2453" s="7">
        <v>8</v>
      </c>
      <c r="K2453" s="7">
        <v>9</v>
      </c>
      <c r="L2453" s="5" t="s">
        <v>22041</v>
      </c>
      <c r="M2453" s="7">
        <v>0.8</v>
      </c>
      <c r="N2453" s="7">
        <v>0.65</v>
      </c>
      <c r="O2453" s="7">
        <v>0.57499999999999996</v>
      </c>
      <c r="P2453" s="1" t="s">
        <v>22042</v>
      </c>
    </row>
    <row r="2454" spans="1:16" ht="33.4" x14ac:dyDescent="0.3">
      <c r="A2454" s="6" t="str">
        <f>HYPERLINK("https://www.ti.com/product/TPS659038-Q1", "TPS659038-Q1")</f>
        <v>TPS659038-Q1</v>
      </c>
      <c r="B2454" s="5" t="s">
        <v>22043</v>
      </c>
      <c r="C2454" s="6" t="str">
        <f>HYPERLINK("https://www.ti.com/lit/gpn/TPS659038-Q1", "PDF")</f>
        <v>PDF</v>
      </c>
      <c r="D2454" s="5" t="s">
        <v>22044</v>
      </c>
      <c r="E2454" s="5" t="s">
        <v>22045</v>
      </c>
      <c r="F2454" s="5"/>
      <c r="G2454" s="5" t="s">
        <v>22046</v>
      </c>
      <c r="H2454" s="1" t="s">
        <v>22047</v>
      </c>
      <c r="I2454" s="5" t="s">
        <v>22048</v>
      </c>
      <c r="J2454" s="7">
        <v>169</v>
      </c>
      <c r="K2454" s="7">
        <v>144</v>
      </c>
      <c r="L2454" s="5" t="s">
        <v>22049</v>
      </c>
      <c r="M2454" s="7">
        <v>1.4</v>
      </c>
      <c r="N2454" s="7">
        <v>0.8</v>
      </c>
      <c r="O2454" s="7">
        <v>6.1749999999999998</v>
      </c>
      <c r="P2454" s="1" t="s">
        <v>22050</v>
      </c>
    </row>
    <row r="2455" spans="1:16" ht="17.05" x14ac:dyDescent="0.3">
      <c r="A2455" s="6" t="str">
        <f>HYPERLINK("https://www.ti.com/product/TPS92511", "TPS92511")</f>
        <v>TPS92511</v>
      </c>
      <c r="B2455" s="5" t="s">
        <v>22051</v>
      </c>
      <c r="C2455" s="6" t="str">
        <f>HYPERLINK("https://www.ti.com/lit/gpn/TPS92511", "PDF")</f>
        <v>PDF</v>
      </c>
      <c r="D2455" s="5" t="s">
        <v>22052</v>
      </c>
      <c r="E2455" s="5" t="s">
        <v>22053</v>
      </c>
      <c r="F2455" s="5" t="s">
        <v>22054</v>
      </c>
      <c r="G2455" s="5" t="s">
        <v>22055</v>
      </c>
      <c r="H2455" s="1" t="s">
        <v>22056</v>
      </c>
      <c r="I2455" s="5" t="s">
        <v>22057</v>
      </c>
      <c r="J2455" s="7">
        <v>8</v>
      </c>
      <c r="K2455" s="7">
        <v>29.4</v>
      </c>
      <c r="L2455" s="5" t="s">
        <v>22058</v>
      </c>
      <c r="M2455" s="7">
        <v>1.7</v>
      </c>
      <c r="N2455" s="7">
        <v>1.27</v>
      </c>
      <c r="O2455" s="7">
        <v>0.45</v>
      </c>
      <c r="P2455" s="1" t="s">
        <v>22059</v>
      </c>
    </row>
    <row r="2456" spans="1:16" ht="33.4" x14ac:dyDescent="0.3">
      <c r="A2456" s="6" t="str">
        <f>HYPERLINK("https://www.ti.com/product/UCC28630", "UCC28630")</f>
        <v>UCC28630</v>
      </c>
      <c r="B2456" s="5" t="s">
        <v>22060</v>
      </c>
      <c r="C2456" s="6" t="str">
        <f>HYPERLINK("https://www.ti.com/lit/gpn/UCC28630", "PDF")</f>
        <v>PDF</v>
      </c>
      <c r="D2456" s="5" t="s">
        <v>22061</v>
      </c>
      <c r="E2456" s="5" t="s">
        <v>22062</v>
      </c>
      <c r="F2456" s="5" t="s">
        <v>22063</v>
      </c>
      <c r="G2456" s="5" t="s">
        <v>22064</v>
      </c>
      <c r="H2456" s="1" t="s">
        <v>22065</v>
      </c>
      <c r="I2456" s="5" t="s">
        <v>22066</v>
      </c>
      <c r="J2456" s="7">
        <v>7</v>
      </c>
      <c r="K2456" s="7">
        <v>29.4</v>
      </c>
      <c r="L2456" s="5" t="s">
        <v>22067</v>
      </c>
      <c r="M2456" s="7">
        <v>1.75</v>
      </c>
      <c r="N2456" s="7">
        <v>1.27</v>
      </c>
      <c r="O2456" s="7">
        <v>0.75900000000000001</v>
      </c>
      <c r="P2456" s="1" t="s">
        <v>22068</v>
      </c>
    </row>
    <row r="2457" spans="1:16" ht="17.05" x14ac:dyDescent="0.3">
      <c r="A2457" s="6" t="str">
        <f>HYPERLINK("https://www.ti.com/product/LP8754", "LP8754")</f>
        <v>LP8754</v>
      </c>
      <c r="B2457" s="5" t="s">
        <v>22069</v>
      </c>
      <c r="C2457" s="6" t="str">
        <f>HYPERLINK("https://www.ti.com/lit/gpn/LP8754", "PDF")</f>
        <v>PDF</v>
      </c>
      <c r="D2457" s="5" t="s">
        <v>22070</v>
      </c>
      <c r="E2457" s="5" t="s">
        <v>22071</v>
      </c>
      <c r="F2457" s="5"/>
      <c r="G2457" s="5" t="s">
        <v>22072</v>
      </c>
      <c r="H2457" s="1" t="s">
        <v>22073</v>
      </c>
      <c r="I2457" s="5" t="s">
        <v>22074</v>
      </c>
      <c r="J2457" s="7">
        <v>49</v>
      </c>
      <c r="K2457" s="7">
        <v>9</v>
      </c>
      <c r="L2457" s="5" t="s">
        <v>22075</v>
      </c>
      <c r="M2457" s="7">
        <v>0.67500000000000004</v>
      </c>
      <c r="N2457" s="7">
        <v>0.4</v>
      </c>
      <c r="O2457" s="7">
        <v>1.9730000000000001</v>
      </c>
      <c r="P2457" s="1" t="s">
        <v>22076</v>
      </c>
    </row>
    <row r="2458" spans="1:16" ht="33.4" x14ac:dyDescent="0.3">
      <c r="A2458" s="6" t="str">
        <f>HYPERLINK("https://www.ti.com/product/CSD87333Q3D", "CSD87333Q3D")</f>
        <v>CSD87333Q3D</v>
      </c>
      <c r="B2458" s="5" t="s">
        <v>22077</v>
      </c>
      <c r="C2458" s="6" t="str">
        <f>HYPERLINK("https://www.ti.com/lit/gpn/CSD87333Q3D", "PDF")</f>
        <v>PDF</v>
      </c>
      <c r="D2458" s="5" t="s">
        <v>22078</v>
      </c>
      <c r="E2458" s="5" t="s">
        <v>22079</v>
      </c>
      <c r="F2458" s="5"/>
      <c r="G2458" s="5" t="s">
        <v>22080</v>
      </c>
      <c r="H2458" s="1" t="s">
        <v>22081</v>
      </c>
      <c r="I2458" s="5" t="s">
        <v>22082</v>
      </c>
      <c r="J2458" s="7">
        <v>8</v>
      </c>
      <c r="K2458" s="7">
        <v>10.89</v>
      </c>
      <c r="L2458" s="5" t="s">
        <v>22083</v>
      </c>
      <c r="M2458" s="7">
        <v>1.05</v>
      </c>
      <c r="N2458" s="7">
        <v>0.65</v>
      </c>
      <c r="O2458" s="7">
        <v>0.28299999999999997</v>
      </c>
      <c r="P2458" s="1" t="s">
        <v>22084</v>
      </c>
    </row>
    <row r="2459" spans="1:16" ht="33.4" x14ac:dyDescent="0.3">
      <c r="A2459" s="6" t="str">
        <f>HYPERLINK("https://www.ti.com/product/CSD17570Q5B", "CSD17570Q5B")</f>
        <v>CSD17570Q5B</v>
      </c>
      <c r="B2459" s="5" t="s">
        <v>22085</v>
      </c>
      <c r="C2459" s="6" t="str">
        <f>HYPERLINK("https://www.ti.com/lit/gpn/CSD17570Q5B", "PDF")</f>
        <v>PDF</v>
      </c>
      <c r="D2459" s="5" t="s">
        <v>22086</v>
      </c>
      <c r="E2459" s="5" t="s">
        <v>22087</v>
      </c>
      <c r="F2459" s="5"/>
      <c r="G2459" s="5" t="s">
        <v>22088</v>
      </c>
      <c r="H2459" s="1" t="s">
        <v>22089</v>
      </c>
      <c r="I2459" s="5" t="s">
        <v>22090</v>
      </c>
      <c r="J2459" s="7">
        <v>8</v>
      </c>
      <c r="K2459" s="7">
        <v>30</v>
      </c>
      <c r="L2459" s="5" t="s">
        <v>22091</v>
      </c>
      <c r="M2459" s="7">
        <v>1</v>
      </c>
      <c r="N2459" s="7">
        <v>1.27</v>
      </c>
      <c r="O2459" s="7">
        <v>0.66</v>
      </c>
      <c r="P2459" s="1" t="s">
        <v>22092</v>
      </c>
    </row>
    <row r="2460" spans="1:16" ht="33.4" x14ac:dyDescent="0.3">
      <c r="A2460" s="6" t="str">
        <f>HYPERLINK("https://www.ti.com/product/TPS40425", "TPS40425")</f>
        <v>TPS40425</v>
      </c>
      <c r="B2460" s="5" t="s">
        <v>22093</v>
      </c>
      <c r="C2460" s="6" t="str">
        <f>HYPERLINK("https://www.ti.com/lit/gpn/TPS40425", "PDF")</f>
        <v>PDF</v>
      </c>
      <c r="D2460" s="5" t="s">
        <v>22094</v>
      </c>
      <c r="E2460" s="5" t="s">
        <v>22095</v>
      </c>
      <c r="F2460" s="5" t="s">
        <v>22096</v>
      </c>
      <c r="G2460" s="5" t="s">
        <v>22097</v>
      </c>
      <c r="H2460" s="1" t="s">
        <v>22098</v>
      </c>
      <c r="I2460" s="5" t="s">
        <v>22099</v>
      </c>
      <c r="J2460" s="7">
        <v>40</v>
      </c>
      <c r="K2460" s="7">
        <v>36</v>
      </c>
      <c r="L2460" s="5" t="s">
        <v>22100</v>
      </c>
      <c r="M2460" s="7">
        <v>1</v>
      </c>
      <c r="N2460" s="7">
        <v>0.5</v>
      </c>
      <c r="O2460" s="7">
        <v>3.6179999999999999</v>
      </c>
      <c r="P2460" s="1" t="s">
        <v>22101</v>
      </c>
    </row>
    <row r="2461" spans="1:16" ht="33.4" x14ac:dyDescent="0.3">
      <c r="A2461" s="6" t="str">
        <f>HYPERLINK("https://www.ti.com/product/TPS92630-Q1", "TPS92630-Q1")</f>
        <v>TPS92630-Q1</v>
      </c>
      <c r="B2461" s="5" t="s">
        <v>22102</v>
      </c>
      <c r="C2461" s="6" t="str">
        <f>HYPERLINK("https://www.ti.com/lit/gpn/TPS92630-Q1", "PDF")</f>
        <v>PDF</v>
      </c>
      <c r="D2461" s="5" t="s">
        <v>22103</v>
      </c>
      <c r="E2461" s="5" t="s">
        <v>22104</v>
      </c>
      <c r="F2461" s="5" t="s">
        <v>22105</v>
      </c>
      <c r="G2461" s="5" t="s">
        <v>22106</v>
      </c>
      <c r="H2461" s="1" t="s">
        <v>22107</v>
      </c>
      <c r="I2461" s="5" t="s">
        <v>22108</v>
      </c>
      <c r="J2461" s="7">
        <v>16</v>
      </c>
      <c r="K2461" s="7">
        <v>32</v>
      </c>
      <c r="L2461" s="5" t="s">
        <v>22109</v>
      </c>
      <c r="M2461" s="7">
        <v>1.2</v>
      </c>
      <c r="N2461" s="7">
        <v>0.65</v>
      </c>
      <c r="O2461" s="7">
        <v>0.82199999999999995</v>
      </c>
      <c r="P2461" s="1" t="s">
        <v>22110</v>
      </c>
    </row>
    <row r="2462" spans="1:16" ht="33.4" x14ac:dyDescent="0.3">
      <c r="A2462" s="6" t="str">
        <f>HYPERLINK("https://www.ti.com/product/TLV62084", "TLV62084")</f>
        <v>TLV62084</v>
      </c>
      <c r="B2462" s="5" t="s">
        <v>22111</v>
      </c>
      <c r="C2462" s="6" t="str">
        <f>HYPERLINK("https://www.ti.com/lit/gpn/TLV62084", "PDF")</f>
        <v>PDF</v>
      </c>
      <c r="D2462" s="5" t="s">
        <v>22112</v>
      </c>
      <c r="E2462" s="5" t="s">
        <v>22113</v>
      </c>
      <c r="F2462" s="5" t="s">
        <v>22114</v>
      </c>
      <c r="G2462" s="5" t="s">
        <v>22115</v>
      </c>
      <c r="H2462" s="1" t="s">
        <v>22116</v>
      </c>
      <c r="I2462" s="5" t="s">
        <v>22117</v>
      </c>
      <c r="J2462" s="7">
        <v>8</v>
      </c>
      <c r="K2462" s="7">
        <v>4</v>
      </c>
      <c r="L2462" s="5" t="s">
        <v>22118</v>
      </c>
      <c r="M2462" s="7">
        <v>0.8</v>
      </c>
      <c r="N2462" s="7">
        <v>0.5</v>
      </c>
      <c r="O2462" s="7">
        <v>0.13200000000000001</v>
      </c>
      <c r="P2462" s="1" t="s">
        <v>22119</v>
      </c>
    </row>
    <row r="2463" spans="1:16" ht="82.5" x14ac:dyDescent="0.3">
      <c r="A2463" s="6" t="str">
        <f>HYPERLINK("https://www.ti.com/product/LP8555", "LP8555")</f>
        <v>LP8555</v>
      </c>
      <c r="B2463" s="5" t="s">
        <v>22120</v>
      </c>
      <c r="C2463" s="6" t="str">
        <f>HYPERLINK("https://www.ti.com/lit/gpn/LP8555", "PDF")</f>
        <v>PDF</v>
      </c>
      <c r="D2463" s="5" t="s">
        <v>22121</v>
      </c>
      <c r="E2463" s="5" t="s">
        <v>22122</v>
      </c>
      <c r="F2463" s="5" t="s">
        <v>22123</v>
      </c>
      <c r="G2463" s="5" t="s">
        <v>22124</v>
      </c>
      <c r="H2463" s="1" t="s">
        <v>22125</v>
      </c>
      <c r="I2463" s="5" t="s">
        <v>22126</v>
      </c>
      <c r="J2463" s="7">
        <v>36</v>
      </c>
      <c r="K2463" s="7">
        <v>6.759999999999998</v>
      </c>
      <c r="L2463" s="5" t="s">
        <v>22127</v>
      </c>
      <c r="M2463" s="7">
        <v>0.67500000000000004</v>
      </c>
      <c r="N2463" s="7">
        <v>0.4</v>
      </c>
      <c r="O2463" s="7">
        <v>1.3280000000000001</v>
      </c>
      <c r="P2463" s="1" t="s">
        <v>22128</v>
      </c>
    </row>
    <row r="2464" spans="1:16" ht="66.150000000000006" x14ac:dyDescent="0.3">
      <c r="A2464" s="6" t="str">
        <f>HYPERLINK("https://www.ti.com/product/TPS63050", "TPS63050")</f>
        <v>TPS63050</v>
      </c>
      <c r="B2464" s="5" t="s">
        <v>22129</v>
      </c>
      <c r="C2464" s="6" t="str">
        <f>HYPERLINK("https://www.ti.com/lit/gpn/TPS63050", "PDF")</f>
        <v>PDF</v>
      </c>
      <c r="D2464" s="5" t="s">
        <v>22130</v>
      </c>
      <c r="E2464" s="5" t="s">
        <v>22131</v>
      </c>
      <c r="F2464" s="5" t="s">
        <v>22132</v>
      </c>
      <c r="G2464" s="5" t="s">
        <v>22133</v>
      </c>
      <c r="H2464" s="1" t="s">
        <v>22134</v>
      </c>
      <c r="I2464" s="5" t="s">
        <v>22135</v>
      </c>
      <c r="J2464" s="7">
        <v>12</v>
      </c>
      <c r="K2464" s="7" t="s">
        <v>22136</v>
      </c>
      <c r="L2464" s="5" t="s">
        <v>22137</v>
      </c>
      <c r="M2464" s="7" t="s">
        <v>22138</v>
      </c>
      <c r="N2464" s="7" t="s">
        <v>22139</v>
      </c>
      <c r="O2464" s="7">
        <v>0.78</v>
      </c>
      <c r="P2464" s="1" t="s">
        <v>22140</v>
      </c>
    </row>
    <row r="2465" spans="1:16" ht="33.4" x14ac:dyDescent="0.3">
      <c r="A2465" s="6" t="str">
        <f>HYPERLINK("https://www.ti.com/product/TPS562200", "TPS562200")</f>
        <v>TPS562200</v>
      </c>
      <c r="B2465" s="5" t="s">
        <v>22141</v>
      </c>
      <c r="C2465" s="6" t="str">
        <f>HYPERLINK("https://www.ti.com/lit/gpn/TPS562200", "PDF")</f>
        <v>PDF</v>
      </c>
      <c r="D2465" s="5" t="s">
        <v>22142</v>
      </c>
      <c r="E2465" s="5" t="s">
        <v>22143</v>
      </c>
      <c r="F2465" s="5" t="s">
        <v>22144</v>
      </c>
      <c r="G2465" s="5" t="s">
        <v>22145</v>
      </c>
      <c r="H2465" s="1" t="s">
        <v>22146</v>
      </c>
      <c r="I2465" s="5" t="s">
        <v>22147</v>
      </c>
      <c r="J2465" s="7">
        <v>6</v>
      </c>
      <c r="K2465" s="7">
        <v>8.1199999999999992</v>
      </c>
      <c r="L2465" s="5" t="s">
        <v>22148</v>
      </c>
      <c r="M2465" s="7">
        <v>1.1000000000000001</v>
      </c>
      <c r="N2465" s="7">
        <v>0.95</v>
      </c>
      <c r="O2465" s="7">
        <v>0.24</v>
      </c>
      <c r="P2465" s="1" t="s">
        <v>22149</v>
      </c>
    </row>
    <row r="2466" spans="1:16" ht="33.4" x14ac:dyDescent="0.3">
      <c r="A2466" s="6" t="str">
        <f>HYPERLINK("https://www.ti.com/product/TPS562209", "TPS562209")</f>
        <v>TPS562209</v>
      </c>
      <c r="B2466" s="5" t="s">
        <v>22150</v>
      </c>
      <c r="C2466" s="6" t="str">
        <f>HYPERLINK("https://www.ti.com/lit/gpn/TPS562209", "PDF")</f>
        <v>PDF</v>
      </c>
      <c r="D2466" s="5" t="s">
        <v>22151</v>
      </c>
      <c r="E2466" s="5" t="s">
        <v>22152</v>
      </c>
      <c r="F2466" s="5" t="s">
        <v>22153</v>
      </c>
      <c r="G2466" s="5" t="s">
        <v>22154</v>
      </c>
      <c r="H2466" s="1" t="s">
        <v>22155</v>
      </c>
      <c r="I2466" s="5" t="s">
        <v>22156</v>
      </c>
      <c r="J2466" s="7">
        <v>6</v>
      </c>
      <c r="K2466" s="7">
        <v>8.1199999999999992</v>
      </c>
      <c r="L2466" s="5" t="s">
        <v>22157</v>
      </c>
      <c r="M2466" s="7">
        <v>1.1000000000000001</v>
      </c>
      <c r="N2466" s="7">
        <v>0.95</v>
      </c>
      <c r="O2466" s="7">
        <v>0.24</v>
      </c>
      <c r="P2466" s="1" t="s">
        <v>22158</v>
      </c>
    </row>
    <row r="2467" spans="1:16" ht="49.75" x14ac:dyDescent="0.3">
      <c r="A2467" s="6" t="str">
        <f>HYPERLINK("https://www.ti.com/product/LM3699", "LM3699")</f>
        <v>LM3699</v>
      </c>
      <c r="B2467" s="5" t="s">
        <v>22159</v>
      </c>
      <c r="C2467" s="6" t="str">
        <f>HYPERLINK("https://www.ti.com/lit/gpn/LM3699", "PDF")</f>
        <v>PDF</v>
      </c>
      <c r="D2467" s="5" t="s">
        <v>22160</v>
      </c>
      <c r="E2467" s="5" t="s">
        <v>22161</v>
      </c>
      <c r="F2467" s="5" t="s">
        <v>22162</v>
      </c>
      <c r="G2467" s="5" t="s">
        <v>22163</v>
      </c>
      <c r="H2467" s="1" t="s">
        <v>22164</v>
      </c>
      <c r="I2467" s="5" t="s">
        <v>22165</v>
      </c>
      <c r="J2467" s="7">
        <v>12</v>
      </c>
      <c r="K2467" s="7">
        <v>2.52</v>
      </c>
      <c r="L2467" s="5" t="s">
        <v>22166</v>
      </c>
      <c r="M2467" s="7">
        <v>0.67500000000000004</v>
      </c>
      <c r="N2467" s="7">
        <v>0.4</v>
      </c>
      <c r="O2467" s="7">
        <v>0.36099999999999999</v>
      </c>
      <c r="P2467" s="1" t="s">
        <v>22167</v>
      </c>
    </row>
    <row r="2468" spans="1:16" ht="33.4" x14ac:dyDescent="0.3">
      <c r="A2468" s="6" t="str">
        <f>HYPERLINK("https://www.ti.com/product/TPS61097A-33", "TPS61097A-33")</f>
        <v>TPS61097A-33</v>
      </c>
      <c r="B2468" s="5" t="s">
        <v>22168</v>
      </c>
      <c r="C2468" s="6" t="str">
        <f>HYPERLINK("https://www.ti.com/lit/gpn/TPS61097A-33", "PDF")</f>
        <v>PDF</v>
      </c>
      <c r="D2468" s="5" t="s">
        <v>22169</v>
      </c>
      <c r="E2468" s="5" t="s">
        <v>22170</v>
      </c>
      <c r="F2468" s="5" t="s">
        <v>22171</v>
      </c>
      <c r="G2468" s="5" t="s">
        <v>22172</v>
      </c>
      <c r="H2468" s="1" t="s">
        <v>22173</v>
      </c>
      <c r="I2468" s="5" t="s">
        <v>22174</v>
      </c>
      <c r="J2468" s="7">
        <v>5</v>
      </c>
      <c r="K2468" s="7">
        <v>8.1199999999999992</v>
      </c>
      <c r="L2468" s="5" t="s">
        <v>22175</v>
      </c>
      <c r="M2468" s="7">
        <v>1.45</v>
      </c>
      <c r="N2468" s="7">
        <v>0.95</v>
      </c>
      <c r="O2468" s="7">
        <v>0.78</v>
      </c>
      <c r="P2468" s="1" t="s">
        <v>22176</v>
      </c>
    </row>
    <row r="2469" spans="1:16" ht="49.75" x14ac:dyDescent="0.3">
      <c r="A2469" s="6" t="str">
        <f>HYPERLINK("https://www.ti.com/product/LMZ10500", "LMZ10500")</f>
        <v>LMZ10500</v>
      </c>
      <c r="B2469" s="5" t="s">
        <v>22177</v>
      </c>
      <c r="C2469" s="6" t="str">
        <f>HYPERLINK("https://www.ti.com/lit/gpn/LMZ10500", "PDF")</f>
        <v>PDF</v>
      </c>
      <c r="D2469" s="5" t="s">
        <v>22178</v>
      </c>
      <c r="E2469" s="5" t="s">
        <v>22179</v>
      </c>
      <c r="F2469" s="5" t="s">
        <v>22180</v>
      </c>
      <c r="G2469" s="5" t="s">
        <v>22181</v>
      </c>
      <c r="H2469" s="1" t="s">
        <v>22182</v>
      </c>
      <c r="I2469" s="5" t="s">
        <v>22183</v>
      </c>
      <c r="J2469" s="7">
        <v>8</v>
      </c>
      <c r="K2469" s="7" t="s">
        <v>22184</v>
      </c>
      <c r="L2469" s="5" t="s">
        <v>22185</v>
      </c>
      <c r="M2469" s="7" t="s">
        <v>22186</v>
      </c>
      <c r="N2469" s="7" t="s">
        <v>22187</v>
      </c>
      <c r="O2469" s="7">
        <v>1.4550000000000001</v>
      </c>
      <c r="P2469" s="1" t="s">
        <v>22188</v>
      </c>
    </row>
    <row r="2470" spans="1:16" ht="33.4" x14ac:dyDescent="0.3">
      <c r="A2470" s="6" t="str">
        <f>HYPERLINK("https://www.ti.com/product/LMZ10501", "LMZ10501")</f>
        <v>LMZ10501</v>
      </c>
      <c r="B2470" s="5" t="s">
        <v>22189</v>
      </c>
      <c r="C2470" s="6" t="str">
        <f>HYPERLINK("https://www.ti.com/lit/gpn/LMZ10501", "PDF")</f>
        <v>PDF</v>
      </c>
      <c r="D2470" s="5" t="s">
        <v>22190</v>
      </c>
      <c r="E2470" s="5" t="s">
        <v>22191</v>
      </c>
      <c r="F2470" s="5" t="s">
        <v>22192</v>
      </c>
      <c r="G2470" s="5" t="s">
        <v>22193</v>
      </c>
      <c r="H2470" s="1" t="s">
        <v>22194</v>
      </c>
      <c r="I2470" s="5" t="s">
        <v>22195</v>
      </c>
      <c r="J2470" s="7">
        <v>8</v>
      </c>
      <c r="K2470" s="7" t="s">
        <v>22196</v>
      </c>
      <c r="L2470" s="5" t="s">
        <v>22197</v>
      </c>
      <c r="M2470" s="7" t="s">
        <v>22198</v>
      </c>
      <c r="N2470" s="7" t="s">
        <v>22199</v>
      </c>
      <c r="O2470" s="7">
        <v>1.8979999999999999</v>
      </c>
      <c r="P2470" s="1" t="s">
        <v>22200</v>
      </c>
    </row>
    <row r="2471" spans="1:16" ht="33.4" x14ac:dyDescent="0.3">
      <c r="A2471" s="6" t="str">
        <f>HYPERLINK("https://www.ti.com/product/UCC28722", "UCC28722")</f>
        <v>UCC28722</v>
      </c>
      <c r="B2471" s="5" t="s">
        <v>22201</v>
      </c>
      <c r="C2471" s="6" t="str">
        <f>HYPERLINK("https://www.ti.com/lit/gpn/UCC28722", "PDF")</f>
        <v>PDF</v>
      </c>
      <c r="D2471" s="5" t="s">
        <v>22202</v>
      </c>
      <c r="E2471" s="5" t="s">
        <v>22203</v>
      </c>
      <c r="F2471" s="5" t="s">
        <v>22204</v>
      </c>
      <c r="G2471" s="5" t="s">
        <v>22205</v>
      </c>
      <c r="H2471" s="1" t="s">
        <v>22206</v>
      </c>
      <c r="I2471" s="5" t="s">
        <v>22207</v>
      </c>
      <c r="J2471" s="7">
        <v>6</v>
      </c>
      <c r="K2471" s="7">
        <v>8.1199999999999992</v>
      </c>
      <c r="L2471" s="5" t="s">
        <v>22208</v>
      </c>
      <c r="M2471" s="7">
        <v>1.45</v>
      </c>
      <c r="N2471" s="7">
        <v>0.95</v>
      </c>
      <c r="O2471" s="7">
        <v>0.17299999999999999</v>
      </c>
      <c r="P2471" s="1" t="s">
        <v>22209</v>
      </c>
    </row>
    <row r="2472" spans="1:16" ht="33.4" x14ac:dyDescent="0.3">
      <c r="A2472" s="6" t="str">
        <f>HYPERLINK("https://www.ti.com/product/TPS22968", "TPS22968")</f>
        <v>TPS22968</v>
      </c>
      <c r="B2472" s="5" t="s">
        <v>22210</v>
      </c>
      <c r="C2472" s="6" t="str">
        <f>HYPERLINK("https://www.ti.com/lit/gpn/TPS22968", "PDF")</f>
        <v>PDF</v>
      </c>
      <c r="D2472" s="5" t="s">
        <v>22211</v>
      </c>
      <c r="E2472" s="5" t="s">
        <v>22212</v>
      </c>
      <c r="F2472" s="5"/>
      <c r="G2472" s="5" t="s">
        <v>22213</v>
      </c>
      <c r="H2472" s="1" t="s">
        <v>22214</v>
      </c>
      <c r="I2472" s="5" t="s">
        <v>22215</v>
      </c>
      <c r="J2472" s="7">
        <v>14</v>
      </c>
      <c r="K2472" s="7">
        <v>6</v>
      </c>
      <c r="L2472" s="5" t="s">
        <v>22216</v>
      </c>
      <c r="M2472" s="7">
        <v>0.8</v>
      </c>
      <c r="N2472" s="7">
        <v>0.4</v>
      </c>
      <c r="O2472" s="7">
        <v>0.36499999999999999</v>
      </c>
      <c r="P2472" s="1" t="s">
        <v>22217</v>
      </c>
    </row>
    <row r="2473" spans="1:16" ht="33.4" x14ac:dyDescent="0.3">
      <c r="A2473" s="6" t="str">
        <f>HYPERLINK("https://www.ti.com/product/TPS65279", "TPS65279")</f>
        <v>TPS65279</v>
      </c>
      <c r="B2473" s="5" t="s">
        <v>22218</v>
      </c>
      <c r="C2473" s="6" t="str">
        <f>HYPERLINK("https://www.ti.com/lit/gpn/TPS65279", "PDF")</f>
        <v>PDF</v>
      </c>
      <c r="D2473" s="5" t="s">
        <v>22219</v>
      </c>
      <c r="E2473" s="5" t="s">
        <v>22220</v>
      </c>
      <c r="F2473" s="5" t="s">
        <v>22221</v>
      </c>
      <c r="G2473" s="5" t="s">
        <v>22222</v>
      </c>
      <c r="H2473" s="1" t="s">
        <v>22223</v>
      </c>
      <c r="I2473" s="5" t="s">
        <v>22224</v>
      </c>
      <c r="J2473" s="7" t="s">
        <v>22225</v>
      </c>
      <c r="K2473" s="7" t="s">
        <v>22226</v>
      </c>
      <c r="L2473" s="5" t="s">
        <v>22227</v>
      </c>
      <c r="M2473" s="7" t="s">
        <v>22228</v>
      </c>
      <c r="N2473" s="7" t="s">
        <v>22229</v>
      </c>
      <c r="O2473" s="7">
        <v>2.1150000000000002</v>
      </c>
      <c r="P2473" s="1" t="s">
        <v>22230</v>
      </c>
    </row>
    <row r="2474" spans="1:16" ht="33.4" x14ac:dyDescent="0.3">
      <c r="A2474" s="6" t="str">
        <f>HYPERLINK("https://www.ti.com/product/CSD19501KCS", "CSD19501KCS")</f>
        <v>CSD19501KCS</v>
      </c>
      <c r="B2474" s="5" t="s">
        <v>22231</v>
      </c>
      <c r="C2474" s="6" t="str">
        <f>HYPERLINK("https://www.ti.com/lit/gpn/CSD19501KCS", "PDF")</f>
        <v>PDF</v>
      </c>
      <c r="D2474" s="5" t="s">
        <v>22232</v>
      </c>
      <c r="E2474" s="5" t="s">
        <v>22233</v>
      </c>
      <c r="F2474" s="5"/>
      <c r="G2474" s="5" t="s">
        <v>22234</v>
      </c>
      <c r="H2474" s="1" t="s">
        <v>22235</v>
      </c>
      <c r="I2474" s="5" t="s">
        <v>22236</v>
      </c>
      <c r="J2474" s="7">
        <v>3</v>
      </c>
      <c r="K2474" s="7">
        <v>46.228000000000002</v>
      </c>
      <c r="L2474" s="5" t="s">
        <v>22237</v>
      </c>
      <c r="M2474" s="7">
        <v>4.7</v>
      </c>
      <c r="N2474" s="7">
        <v>2.54</v>
      </c>
      <c r="O2474" s="7">
        <v>0.61799999999999999</v>
      </c>
      <c r="P2474" s="1" t="s">
        <v>22238</v>
      </c>
    </row>
    <row r="2475" spans="1:16" ht="33.4" x14ac:dyDescent="0.3">
      <c r="A2475" s="6" t="str">
        <f>HYPERLINK("https://www.ti.com/product/CSD25310Q2", "CSD25310Q2")</f>
        <v>CSD25310Q2</v>
      </c>
      <c r="B2475" s="5" t="s">
        <v>22239</v>
      </c>
      <c r="C2475" s="6" t="str">
        <f>HYPERLINK("https://www.ti.com/lit/gpn/CSD25310Q2", "PDF")</f>
        <v>PDF</v>
      </c>
      <c r="D2475" s="5" t="s">
        <v>22240</v>
      </c>
      <c r="E2475" s="5" t="s">
        <v>22241</v>
      </c>
      <c r="F2475" s="5"/>
      <c r="G2475" s="5" t="s">
        <v>22242</v>
      </c>
      <c r="H2475" s="1" t="s">
        <v>22243</v>
      </c>
      <c r="I2475" s="5" t="s">
        <v>22244</v>
      </c>
      <c r="J2475" s="7">
        <v>6</v>
      </c>
      <c r="K2475" s="7">
        <v>4</v>
      </c>
      <c r="L2475" s="5" t="s">
        <v>22245</v>
      </c>
      <c r="M2475" s="7">
        <v>0.8</v>
      </c>
      <c r="N2475" s="7">
        <v>0.65</v>
      </c>
      <c r="O2475" s="7">
        <v>8.6999999999999994E-2</v>
      </c>
      <c r="P2475" s="1" t="s">
        <v>22246</v>
      </c>
    </row>
    <row r="2476" spans="1:16" ht="33.4" x14ac:dyDescent="0.3">
      <c r="A2476" s="6" t="str">
        <f>HYPERLINK("https://www.ti.com/product/TLV705P", "TLV705P")</f>
        <v>TLV705P</v>
      </c>
      <c r="B2476" s="5" t="s">
        <v>22247</v>
      </c>
      <c r="C2476" s="6" t="str">
        <f>HYPERLINK("https://www.ti.com/lit/gpn/TLV705P", "PDF")</f>
        <v>PDF</v>
      </c>
      <c r="D2476" s="5" t="s">
        <v>22248</v>
      </c>
      <c r="E2476" s="5" t="s">
        <v>22249</v>
      </c>
      <c r="F2476" s="5"/>
      <c r="G2476" s="5" t="s">
        <v>22250</v>
      </c>
      <c r="H2476" s="1" t="s">
        <v>22251</v>
      </c>
      <c r="I2476" s="5" t="s">
        <v>22252</v>
      </c>
      <c r="J2476" s="7">
        <v>4</v>
      </c>
      <c r="K2476" s="7">
        <v>1</v>
      </c>
      <c r="L2476" s="5" t="s">
        <v>22253</v>
      </c>
      <c r="M2476" s="7">
        <v>0.5</v>
      </c>
      <c r="N2476" s="7">
        <v>0.4</v>
      </c>
      <c r="O2476" s="7">
        <v>0.159</v>
      </c>
      <c r="P2476" s="1" t="s">
        <v>22254</v>
      </c>
    </row>
    <row r="2477" spans="1:16" ht="33.4" x14ac:dyDescent="0.3">
      <c r="A2477" s="6" t="str">
        <f>HYPERLINK("https://www.ti.com/product/CSD19505KCS", "CSD19505KCS")</f>
        <v>CSD19505KCS</v>
      </c>
      <c r="B2477" s="5" t="s">
        <v>22255</v>
      </c>
      <c r="C2477" s="6" t="str">
        <f>HYPERLINK("https://www.ti.com/lit/gpn/CSD19505KCS", "PDF")</f>
        <v>PDF</v>
      </c>
      <c r="D2477" s="5" t="s">
        <v>22256</v>
      </c>
      <c r="E2477" s="5" t="s">
        <v>22257</v>
      </c>
      <c r="F2477" s="5"/>
      <c r="G2477" s="5" t="s">
        <v>22258</v>
      </c>
      <c r="H2477" s="1" t="s">
        <v>22259</v>
      </c>
      <c r="I2477" s="5" t="s">
        <v>22260</v>
      </c>
      <c r="J2477" s="7">
        <v>3</v>
      </c>
      <c r="K2477" s="7">
        <v>46.228000000000002</v>
      </c>
      <c r="L2477" s="5" t="s">
        <v>22261</v>
      </c>
      <c r="M2477" s="7">
        <v>4.7</v>
      </c>
      <c r="N2477" s="7">
        <v>2.54</v>
      </c>
      <c r="O2477" s="7">
        <v>1.073</v>
      </c>
      <c r="P2477" s="1" t="s">
        <v>22262</v>
      </c>
    </row>
    <row r="2478" spans="1:16" ht="17.05" x14ac:dyDescent="0.3">
      <c r="A2478" s="6" t="str">
        <f>HYPERLINK("https://www.ti.com/product/LM185-1.2QML-SP", "LM185-1.2QML-SP")</f>
        <v>LM185-1.2QML-SP</v>
      </c>
      <c r="B2478" s="5" t="s">
        <v>22263</v>
      </c>
      <c r="C2478" s="6" t="str">
        <f>HYPERLINK("https://www.ti.com/lit/gpn/LM185-1.2QML-SP", "PDF")</f>
        <v>PDF</v>
      </c>
      <c r="D2478" s="5" t="s">
        <v>22264</v>
      </c>
      <c r="E2478" s="5" t="s">
        <v>22265</v>
      </c>
      <c r="F2478" s="5"/>
      <c r="G2478" s="5" t="s">
        <v>22266</v>
      </c>
      <c r="H2478" s="1" t="s">
        <v>22267</v>
      </c>
      <c r="I2478" s="5" t="s">
        <v>22268</v>
      </c>
      <c r="J2478" s="7">
        <v>2</v>
      </c>
      <c r="K2478" s="7">
        <v>34.870399999999997</v>
      </c>
      <c r="L2478" s="5" t="s">
        <v>22269</v>
      </c>
      <c r="M2478" s="7">
        <v>2.67</v>
      </c>
      <c r="N2478" s="7">
        <v>2.54</v>
      </c>
      <c r="O2478" s="7">
        <v>485.74900000000002</v>
      </c>
      <c r="P2478" s="1" t="s">
        <v>22270</v>
      </c>
    </row>
    <row r="2479" spans="1:16" ht="33.4" x14ac:dyDescent="0.3">
      <c r="A2479" s="6" t="str">
        <f>HYPERLINK("https://www.ti.com/product/CSD19535KCS", "CSD19535KCS")</f>
        <v>CSD19535KCS</v>
      </c>
      <c r="B2479" s="5" t="s">
        <v>22271</v>
      </c>
      <c r="C2479" s="6" t="str">
        <f>HYPERLINK("https://www.ti.com/lit/gpn/CSD19535KCS", "PDF")</f>
        <v>PDF</v>
      </c>
      <c r="D2479" s="5" t="s">
        <v>22272</v>
      </c>
      <c r="E2479" s="5" t="s">
        <v>22273</v>
      </c>
      <c r="F2479" s="5"/>
      <c r="G2479" s="5" t="s">
        <v>22274</v>
      </c>
      <c r="H2479" s="1" t="s">
        <v>22275</v>
      </c>
      <c r="I2479" s="5" t="s">
        <v>22276</v>
      </c>
      <c r="J2479" s="7">
        <v>3</v>
      </c>
      <c r="K2479" s="7">
        <v>46.228000000000002</v>
      </c>
      <c r="L2479" s="5" t="s">
        <v>22277</v>
      </c>
      <c r="M2479" s="7">
        <v>4.7</v>
      </c>
      <c r="N2479" s="7">
        <v>2.54</v>
      </c>
      <c r="O2479" s="7">
        <v>1.07</v>
      </c>
      <c r="P2479" s="1" t="s">
        <v>22278</v>
      </c>
    </row>
    <row r="2480" spans="1:16" ht="33.4" x14ac:dyDescent="0.3">
      <c r="A2480" s="6" t="str">
        <f>HYPERLINK("https://www.ti.com/product/CSD19536KCS", "CSD19536KCS")</f>
        <v>CSD19536KCS</v>
      </c>
      <c r="B2480" s="5" t="s">
        <v>22279</v>
      </c>
      <c r="C2480" s="6" t="str">
        <f>HYPERLINK("https://www.ti.com/lit/gpn/CSD19536KCS", "PDF")</f>
        <v>PDF</v>
      </c>
      <c r="D2480" s="5" t="s">
        <v>22280</v>
      </c>
      <c r="E2480" s="5" t="s">
        <v>22281</v>
      </c>
      <c r="F2480" s="5"/>
      <c r="G2480" s="5" t="s">
        <v>22282</v>
      </c>
      <c r="H2480" s="1" t="s">
        <v>22283</v>
      </c>
      <c r="I2480" s="5" t="s">
        <v>22284</v>
      </c>
      <c r="J2480" s="7">
        <v>3</v>
      </c>
      <c r="K2480" s="7">
        <v>46.228000000000002</v>
      </c>
      <c r="L2480" s="5" t="s">
        <v>22285</v>
      </c>
      <c r="M2480" s="7">
        <v>4.7</v>
      </c>
      <c r="N2480" s="7">
        <v>2.54</v>
      </c>
      <c r="O2480" s="7">
        <v>1.609</v>
      </c>
      <c r="P2480" s="1" t="s">
        <v>22286</v>
      </c>
    </row>
    <row r="2481" spans="1:16" ht="33.4" x14ac:dyDescent="0.3">
      <c r="A2481" s="6" t="str">
        <f>HYPERLINK("https://www.ti.com/product/CSD13201W10", "CSD13201W10")</f>
        <v>CSD13201W10</v>
      </c>
      <c r="B2481" s="5" t="s">
        <v>22287</v>
      </c>
      <c r="C2481" s="6" t="str">
        <f>HYPERLINK("https://www.ti.com/lit/gpn/CSD13201W10", "PDF")</f>
        <v>PDF</v>
      </c>
      <c r="D2481" s="5" t="s">
        <v>22288</v>
      </c>
      <c r="E2481" s="5" t="s">
        <v>22289</v>
      </c>
      <c r="F2481" s="5"/>
      <c r="G2481" s="5" t="s">
        <v>22290</v>
      </c>
      <c r="H2481" s="1" t="s">
        <v>22291</v>
      </c>
      <c r="I2481" s="5" t="s">
        <v>22292</v>
      </c>
      <c r="J2481" s="7">
        <v>4</v>
      </c>
      <c r="K2481" s="7">
        <v>1.5625</v>
      </c>
      <c r="L2481" s="5" t="s">
        <v>22293</v>
      </c>
      <c r="M2481" s="7">
        <v>1</v>
      </c>
      <c r="N2481" s="7">
        <v>0.5</v>
      </c>
      <c r="O2481" s="7">
        <v>7.0999999999999994E-2</v>
      </c>
      <c r="P2481" s="1" t="s">
        <v>22294</v>
      </c>
    </row>
    <row r="2482" spans="1:16" ht="49.75" x14ac:dyDescent="0.3">
      <c r="A2482" s="6" t="str">
        <f>HYPERLINK("https://www.ti.com/product/TPS63060-EP", "TPS63060-EP")</f>
        <v>TPS63060-EP</v>
      </c>
      <c r="B2482" s="5" t="s">
        <v>22295</v>
      </c>
      <c r="C2482" s="6" t="str">
        <f>HYPERLINK("https://www.ti.com/lit/gpn/TPS63060-EP", "PDF")</f>
        <v>PDF</v>
      </c>
      <c r="D2482" s="5" t="s">
        <v>22296</v>
      </c>
      <c r="E2482" s="5" t="s">
        <v>22297</v>
      </c>
      <c r="F2482" s="5" t="s">
        <v>22298</v>
      </c>
      <c r="G2482" s="5" t="s">
        <v>22299</v>
      </c>
      <c r="H2482" s="1" t="s">
        <v>22300</v>
      </c>
      <c r="I2482" s="5" t="s">
        <v>22301</v>
      </c>
      <c r="J2482" s="7">
        <v>10</v>
      </c>
      <c r="K2482" s="7">
        <v>9</v>
      </c>
      <c r="L2482" s="5" t="s">
        <v>22302</v>
      </c>
      <c r="M2482" s="7">
        <v>0.8</v>
      </c>
      <c r="N2482" s="7">
        <v>0.5</v>
      </c>
      <c r="O2482" s="7">
        <v>6.9630000000000001</v>
      </c>
      <c r="P2482" s="1" t="s">
        <v>22303</v>
      </c>
    </row>
    <row r="2483" spans="1:16" ht="17.05" x14ac:dyDescent="0.3">
      <c r="A2483" s="6" t="str">
        <f>HYPERLINK("https://www.ti.com/product/TPS92561", "TPS92561")</f>
        <v>TPS92561</v>
      </c>
      <c r="B2483" s="5" t="s">
        <v>22304</v>
      </c>
      <c r="C2483" s="6" t="str">
        <f>HYPERLINK("https://www.ti.com/lit/gpn/TPS92561", "PDF")</f>
        <v>PDF</v>
      </c>
      <c r="D2483" s="5" t="s">
        <v>22305</v>
      </c>
      <c r="E2483" s="5" t="s">
        <v>22306</v>
      </c>
      <c r="F2483" s="5" t="s">
        <v>22307</v>
      </c>
      <c r="G2483" s="5" t="s">
        <v>22308</v>
      </c>
      <c r="H2483" s="1" t="s">
        <v>22309</v>
      </c>
      <c r="I2483" s="5" t="s">
        <v>22310</v>
      </c>
      <c r="J2483" s="7">
        <v>8</v>
      </c>
      <c r="K2483" s="7">
        <v>14.7</v>
      </c>
      <c r="L2483" s="5" t="s">
        <v>22311</v>
      </c>
      <c r="M2483" s="7">
        <v>1.1000000000000001</v>
      </c>
      <c r="N2483" s="7">
        <v>0.65</v>
      </c>
      <c r="O2483" s="7">
        <v>0.28799999999999998</v>
      </c>
      <c r="P2483" s="1" t="s">
        <v>22312</v>
      </c>
    </row>
    <row r="2484" spans="1:16" ht="33.4" x14ac:dyDescent="0.3">
      <c r="A2484" s="6" t="str">
        <f>HYPERLINK("https://www.ti.com/product/TPS709-Q1", "TPS709-Q1")</f>
        <v>TPS709-Q1</v>
      </c>
      <c r="B2484" s="5" t="s">
        <v>22313</v>
      </c>
      <c r="C2484" s="6" t="str">
        <f>HYPERLINK("https://www.ti.com/lit/gpn/TPS709-Q1", "PDF")</f>
        <v>PDF</v>
      </c>
      <c r="D2484" s="5" t="s">
        <v>22314</v>
      </c>
      <c r="E2484" s="5" t="s">
        <v>22315</v>
      </c>
      <c r="F2484" s="5"/>
      <c r="G2484" s="5" t="s">
        <v>22316</v>
      </c>
      <c r="H2484" s="1" t="s">
        <v>22317</v>
      </c>
      <c r="I2484" s="5" t="s">
        <v>22318</v>
      </c>
      <c r="J2484" s="7" t="s">
        <v>22319</v>
      </c>
      <c r="K2484" s="7" t="s">
        <v>22320</v>
      </c>
      <c r="L2484" s="5" t="s">
        <v>22321</v>
      </c>
      <c r="M2484" s="7" t="s">
        <v>22322</v>
      </c>
      <c r="N2484" s="7" t="s">
        <v>22323</v>
      </c>
      <c r="O2484" s="7">
        <v>0.59899999999999998</v>
      </c>
      <c r="P2484" s="1" t="s">
        <v>22324</v>
      </c>
    </row>
    <row r="2485" spans="1:16" ht="33.4" x14ac:dyDescent="0.3">
      <c r="A2485" s="6" t="str">
        <f>HYPERLINK("https://www.ti.com/product/TPS22966-Q1", "TPS22966-Q1")</f>
        <v>TPS22966-Q1</v>
      </c>
      <c r="B2485" s="5" t="s">
        <v>22325</v>
      </c>
      <c r="C2485" s="6" t="str">
        <f>HYPERLINK("https://www.ti.com/lit/gpn/TPS22966-Q1", "PDF")</f>
        <v>PDF</v>
      </c>
      <c r="D2485" s="5" t="s">
        <v>22326</v>
      </c>
      <c r="E2485" s="5" t="s">
        <v>22327</v>
      </c>
      <c r="F2485" s="5"/>
      <c r="G2485" s="5" t="s">
        <v>22328</v>
      </c>
      <c r="H2485" s="1" t="s">
        <v>22329</v>
      </c>
      <c r="I2485" s="5" t="s">
        <v>22330</v>
      </c>
      <c r="J2485" s="7">
        <v>14</v>
      </c>
      <c r="K2485" s="7">
        <v>6</v>
      </c>
      <c r="L2485" s="5" t="s">
        <v>22331</v>
      </c>
      <c r="M2485" s="7">
        <v>0.8</v>
      </c>
      <c r="N2485" s="7">
        <v>0.4</v>
      </c>
      <c r="O2485" s="7">
        <v>0.44400000000000001</v>
      </c>
      <c r="P2485" s="1" t="s">
        <v>22332</v>
      </c>
    </row>
    <row r="2486" spans="1:16" ht="49.75" x14ac:dyDescent="0.3">
      <c r="A2486" s="6" t="str">
        <f>HYPERLINK("https://www.ti.com/product/TPS626751", "TPS626751")</f>
        <v>TPS626751</v>
      </c>
      <c r="B2486" s="5" t="s">
        <v>22333</v>
      </c>
      <c r="C2486" s="6" t="str">
        <f>HYPERLINK("https://www.ti.com/lit/gpn/TPS626751", "PDF")</f>
        <v>PDF</v>
      </c>
      <c r="D2486" s="5" t="s">
        <v>22334</v>
      </c>
      <c r="E2486" s="5" t="s">
        <v>22335</v>
      </c>
      <c r="F2486" s="5" t="s">
        <v>22336</v>
      </c>
      <c r="G2486" s="5" t="s">
        <v>22337</v>
      </c>
      <c r="H2486" s="1" t="s">
        <v>22338</v>
      </c>
      <c r="I2486" s="5" t="s">
        <v>22339</v>
      </c>
      <c r="J2486" s="7">
        <v>6</v>
      </c>
      <c r="K2486" s="7">
        <v>1.4000000000000001</v>
      </c>
      <c r="L2486" s="5" t="s">
        <v>22340</v>
      </c>
      <c r="M2486" s="7">
        <v>0.4</v>
      </c>
      <c r="N2486" s="7">
        <v>0.4</v>
      </c>
      <c r="O2486" s="7">
        <v>0.48099999999999998</v>
      </c>
      <c r="P2486" s="1" t="s">
        <v>22341</v>
      </c>
    </row>
    <row r="2487" spans="1:16" ht="49.75" x14ac:dyDescent="0.3">
      <c r="A2487" s="6" t="str">
        <f>HYPERLINK("https://www.ti.com/product/TPS7H1101A-SP", "TPS7H1101A-SP")</f>
        <v>TPS7H1101A-SP</v>
      </c>
      <c r="B2487" s="5" t="s">
        <v>22342</v>
      </c>
      <c r="C2487" s="6" t="str">
        <f>HYPERLINK("https://www.ti.com/lit/gpn/TPS7H1101A-SP", "PDF")</f>
        <v>PDF</v>
      </c>
      <c r="D2487" s="5" t="s">
        <v>22343</v>
      </c>
      <c r="E2487" s="5" t="s">
        <v>22344</v>
      </c>
      <c r="F2487" s="5"/>
      <c r="G2487" s="5" t="s">
        <v>22345</v>
      </c>
      <c r="H2487" s="1" t="s">
        <v>22346</v>
      </c>
      <c r="I2487" s="5" t="s">
        <v>22347</v>
      </c>
      <c r="J2487" s="7" t="s">
        <v>22348</v>
      </c>
      <c r="K2487" s="7" t="s">
        <v>22349</v>
      </c>
      <c r="L2487" s="5" t="s">
        <v>22350</v>
      </c>
      <c r="M2487" s="7" t="s">
        <v>22351</v>
      </c>
      <c r="N2487" s="7" t="s">
        <v>22352</v>
      </c>
      <c r="O2487" s="7">
        <v>1870.4059999999999</v>
      </c>
      <c r="P2487" s="1" t="s">
        <v>22353</v>
      </c>
    </row>
    <row r="2488" spans="1:16" ht="33.4" x14ac:dyDescent="0.3">
      <c r="A2488" s="6" t="str">
        <f>HYPERLINK("https://www.ti.com/product/UCC27532-Q1", "UCC27532-Q1")</f>
        <v>UCC27532-Q1</v>
      </c>
      <c r="B2488" s="5" t="s">
        <v>22354</v>
      </c>
      <c r="C2488" s="6" t="str">
        <f>HYPERLINK("https://www.ti.com/lit/gpn/UCC27532-Q1", "PDF")</f>
        <v>PDF</v>
      </c>
      <c r="D2488" s="5" t="s">
        <v>22355</v>
      </c>
      <c r="E2488" s="5" t="s">
        <v>22356</v>
      </c>
      <c r="F2488" s="5"/>
      <c r="G2488" s="5" t="s">
        <v>22357</v>
      </c>
      <c r="H2488" s="1" t="s">
        <v>22358</v>
      </c>
      <c r="I2488" s="5" t="s">
        <v>22359</v>
      </c>
      <c r="J2488" s="7">
        <v>6</v>
      </c>
      <c r="K2488" s="7">
        <v>8.1199999999999992</v>
      </c>
      <c r="L2488" s="5" t="s">
        <v>22360</v>
      </c>
      <c r="M2488" s="7">
        <v>1.45</v>
      </c>
      <c r="N2488" s="7">
        <v>0.95</v>
      </c>
      <c r="O2488" s="7">
        <v>0.58099999999999996</v>
      </c>
      <c r="P2488" s="1" t="s">
        <v>22361</v>
      </c>
    </row>
    <row r="2489" spans="1:16" ht="33.4" x14ac:dyDescent="0.3">
      <c r="A2489" s="6" t="str">
        <f>HYPERLINK("https://www.ti.com/product/LP2998-Q1", "LP2998-Q1")</f>
        <v>LP2998-Q1</v>
      </c>
      <c r="B2489" s="5" t="s">
        <v>22362</v>
      </c>
      <c r="C2489" s="6" t="str">
        <f>HYPERLINK("https://www.ti.com/lit/gpn/LP2998-Q1", "PDF")</f>
        <v>PDF</v>
      </c>
      <c r="D2489" s="5" t="s">
        <v>22363</v>
      </c>
      <c r="E2489" s="5" t="s">
        <v>22364</v>
      </c>
      <c r="F2489" s="5"/>
      <c r="G2489" s="5" t="s">
        <v>22365</v>
      </c>
      <c r="H2489" s="1" t="s">
        <v>22366</v>
      </c>
      <c r="I2489" s="5" t="s">
        <v>22367</v>
      </c>
      <c r="J2489" s="7">
        <v>8</v>
      </c>
      <c r="K2489" s="7">
        <v>29.4</v>
      </c>
      <c r="L2489" s="5" t="s">
        <v>22368</v>
      </c>
      <c r="M2489" s="7">
        <v>1.7</v>
      </c>
      <c r="N2489" s="7">
        <v>1.27</v>
      </c>
      <c r="O2489" s="7">
        <v>0.745</v>
      </c>
      <c r="P2489" s="1" t="s">
        <v>22369</v>
      </c>
    </row>
    <row r="2490" spans="1:16" ht="33.4" x14ac:dyDescent="0.3">
      <c r="A2490" s="6" t="str">
        <f>HYPERLINK("https://www.ti.com/product/LMZ31520", "LMZ31520")</f>
        <v>LMZ31520</v>
      </c>
      <c r="B2490" s="5" t="s">
        <v>22370</v>
      </c>
      <c r="C2490" s="6" t="str">
        <f>HYPERLINK("https://www.ti.com/lit/gpn/LMZ31520", "PDF")</f>
        <v>PDF</v>
      </c>
      <c r="D2490" s="5" t="s">
        <v>22371</v>
      </c>
      <c r="E2490" s="5" t="s">
        <v>22372</v>
      </c>
      <c r="F2490" s="5" t="s">
        <v>22373</v>
      </c>
      <c r="G2490" s="5" t="s">
        <v>22374</v>
      </c>
      <c r="H2490" s="1" t="s">
        <v>22375</v>
      </c>
      <c r="I2490" s="5" t="s">
        <v>22376</v>
      </c>
      <c r="J2490" s="7">
        <v>72</v>
      </c>
      <c r="K2490" s="7">
        <v>240</v>
      </c>
      <c r="L2490" s="5" t="s">
        <v>22377</v>
      </c>
      <c r="M2490" s="7">
        <v>5.9</v>
      </c>
      <c r="N2490" s="7">
        <v>0.8</v>
      </c>
      <c r="O2490" s="7">
        <v>12</v>
      </c>
      <c r="P2490" s="1" t="s">
        <v>22378</v>
      </c>
    </row>
    <row r="2491" spans="1:16" ht="33.4" x14ac:dyDescent="0.3">
      <c r="A2491" s="6" t="str">
        <f>HYPERLINK("https://www.ti.com/product/LMZ31530", "LMZ31530")</f>
        <v>LMZ31530</v>
      </c>
      <c r="B2491" s="5" t="s">
        <v>22379</v>
      </c>
      <c r="C2491" s="6" t="str">
        <f>HYPERLINK("https://www.ti.com/lit/gpn/LMZ31530", "PDF")</f>
        <v>PDF</v>
      </c>
      <c r="D2491" s="5" t="s">
        <v>22380</v>
      </c>
      <c r="E2491" s="5" t="s">
        <v>22381</v>
      </c>
      <c r="F2491" s="5" t="s">
        <v>22382</v>
      </c>
      <c r="G2491" s="5" t="s">
        <v>22383</v>
      </c>
      <c r="H2491" s="1" t="s">
        <v>22384</v>
      </c>
      <c r="I2491" s="5" t="s">
        <v>22385</v>
      </c>
      <c r="J2491" s="7">
        <v>72</v>
      </c>
      <c r="K2491" s="7">
        <v>240</v>
      </c>
      <c r="L2491" s="5" t="s">
        <v>22386</v>
      </c>
      <c r="M2491" s="7">
        <v>5.9</v>
      </c>
      <c r="N2491" s="7">
        <v>0.8</v>
      </c>
      <c r="O2491" s="7">
        <v>16.100000000000001</v>
      </c>
      <c r="P2491" s="1" t="s">
        <v>22387</v>
      </c>
    </row>
    <row r="2492" spans="1:16" ht="33.4" x14ac:dyDescent="0.3">
      <c r="A2492" s="6" t="str">
        <f>HYPERLINK("https://www.ti.com/product/UCC28713", "UCC28713")</f>
        <v>UCC28713</v>
      </c>
      <c r="B2492" s="5" t="s">
        <v>22388</v>
      </c>
      <c r="C2492" s="6" t="str">
        <f>HYPERLINK("https://www.ti.com/lit/gpn/UCC28713", "PDF")</f>
        <v>PDF</v>
      </c>
      <c r="D2492" s="5" t="s">
        <v>22389</v>
      </c>
      <c r="E2492" s="5" t="s">
        <v>22390</v>
      </c>
      <c r="F2492" s="5" t="s">
        <v>22391</v>
      </c>
      <c r="G2492" s="5" t="s">
        <v>22392</v>
      </c>
      <c r="H2492" s="1" t="s">
        <v>22393</v>
      </c>
      <c r="I2492" s="5" t="s">
        <v>22394</v>
      </c>
      <c r="J2492" s="7">
        <v>7</v>
      </c>
      <c r="K2492" s="7">
        <v>29.4</v>
      </c>
      <c r="L2492" s="5" t="s">
        <v>22395</v>
      </c>
      <c r="M2492" s="7">
        <v>1.75</v>
      </c>
      <c r="N2492" s="7">
        <v>1.27</v>
      </c>
      <c r="O2492" s="7">
        <v>0.53200000000000003</v>
      </c>
      <c r="P2492" s="1" t="s">
        <v>22396</v>
      </c>
    </row>
    <row r="2493" spans="1:16" ht="33.4" x14ac:dyDescent="0.3">
      <c r="A2493" s="6" t="str">
        <f>HYPERLINK("https://www.ti.com/product/TPS65261", "TPS65261")</f>
        <v>TPS65261</v>
      </c>
      <c r="B2493" s="5" t="s">
        <v>22397</v>
      </c>
      <c r="C2493" s="6" t="str">
        <f>HYPERLINK("https://www.ti.com/lit/gpn/TPS65261", "PDF")</f>
        <v>PDF</v>
      </c>
      <c r="D2493" s="5" t="s">
        <v>22398</v>
      </c>
      <c r="E2493" s="5" t="s">
        <v>22399</v>
      </c>
      <c r="F2493" s="5" t="s">
        <v>22400</v>
      </c>
      <c r="G2493" s="5" t="s">
        <v>22401</v>
      </c>
      <c r="H2493" s="1" t="s">
        <v>22402</v>
      </c>
      <c r="I2493" s="5" t="s">
        <v>22403</v>
      </c>
      <c r="J2493" s="7">
        <v>32</v>
      </c>
      <c r="K2493" s="7">
        <v>25</v>
      </c>
      <c r="L2493" s="5" t="s">
        <v>22404</v>
      </c>
      <c r="M2493" s="7">
        <v>1</v>
      </c>
      <c r="N2493" s="7">
        <v>0.5</v>
      </c>
      <c r="O2493" s="7">
        <v>1.2250000000000001</v>
      </c>
      <c r="P2493" s="1" t="s">
        <v>22405</v>
      </c>
    </row>
    <row r="2494" spans="1:16" ht="33.4" x14ac:dyDescent="0.3">
      <c r="A2494" s="6" t="str">
        <f>HYPERLINK("https://www.ti.com/product/TPS65261-1", "TPS65261-1")</f>
        <v>TPS65261-1</v>
      </c>
      <c r="B2494" s="5" t="s">
        <v>22406</v>
      </c>
      <c r="C2494" s="6" t="str">
        <f>HYPERLINK("https://www.ti.com/lit/gpn/TPS65261-1", "PDF")</f>
        <v>PDF</v>
      </c>
      <c r="D2494" s="5" t="s">
        <v>22407</v>
      </c>
      <c r="E2494" s="5" t="s">
        <v>22408</v>
      </c>
      <c r="F2494" s="5" t="s">
        <v>22409</v>
      </c>
      <c r="G2494" s="5" t="s">
        <v>22410</v>
      </c>
      <c r="H2494" s="1" t="s">
        <v>22411</v>
      </c>
      <c r="I2494" s="5" t="s">
        <v>22412</v>
      </c>
      <c r="J2494" s="7">
        <v>32</v>
      </c>
      <c r="K2494" s="7">
        <v>25</v>
      </c>
      <c r="L2494" s="5" t="s">
        <v>22413</v>
      </c>
      <c r="M2494" s="7">
        <v>1</v>
      </c>
      <c r="N2494" s="7">
        <v>0.5</v>
      </c>
      <c r="O2494" s="7">
        <v>1.2250000000000001</v>
      </c>
      <c r="P2494" s="1" t="s">
        <v>22414</v>
      </c>
    </row>
    <row r="2495" spans="1:16" ht="33.4" x14ac:dyDescent="0.3">
      <c r="A2495" s="6" t="str">
        <f>HYPERLINK("https://www.ti.com/product/CSD19506KCS", "CSD19506KCS")</f>
        <v>CSD19506KCS</v>
      </c>
      <c r="B2495" s="5" t="s">
        <v>22415</v>
      </c>
      <c r="C2495" s="6" t="str">
        <f>HYPERLINK("https://www.ti.com/lit/gpn/CSD19506KCS", "PDF")</f>
        <v>PDF</v>
      </c>
      <c r="D2495" s="5" t="s">
        <v>22416</v>
      </c>
      <c r="E2495" s="5" t="s">
        <v>22417</v>
      </c>
      <c r="F2495" s="5"/>
      <c r="G2495" s="5" t="s">
        <v>22418</v>
      </c>
      <c r="H2495" s="1" t="s">
        <v>22419</v>
      </c>
      <c r="I2495" s="5" t="s">
        <v>22420</v>
      </c>
      <c r="J2495" s="7">
        <v>3</v>
      </c>
      <c r="K2495" s="7">
        <v>46.228000000000002</v>
      </c>
      <c r="L2495" s="5" t="s">
        <v>22421</v>
      </c>
      <c r="M2495" s="7">
        <v>4.7</v>
      </c>
      <c r="N2495" s="7">
        <v>2.54</v>
      </c>
      <c r="O2495" s="7">
        <v>1.609</v>
      </c>
      <c r="P2495" s="1" t="s">
        <v>22422</v>
      </c>
    </row>
    <row r="2496" spans="1:16" ht="33.4" x14ac:dyDescent="0.3">
      <c r="A2496" s="6" t="str">
        <f>HYPERLINK("https://www.ti.com/product/CSD19533KCS", "CSD19533KCS")</f>
        <v>CSD19533KCS</v>
      </c>
      <c r="B2496" s="5" t="s">
        <v>22423</v>
      </c>
      <c r="C2496" s="6" t="str">
        <f>HYPERLINK("https://www.ti.com/lit/gpn/CSD19533KCS", "PDF")</f>
        <v>PDF</v>
      </c>
      <c r="D2496" s="5" t="s">
        <v>22424</v>
      </c>
      <c r="E2496" s="5" t="s">
        <v>22425</v>
      </c>
      <c r="F2496" s="5"/>
      <c r="G2496" s="5" t="s">
        <v>22426</v>
      </c>
      <c r="H2496" s="1" t="s">
        <v>22427</v>
      </c>
      <c r="I2496" s="5" t="s">
        <v>22428</v>
      </c>
      <c r="J2496" s="7">
        <v>3</v>
      </c>
      <c r="K2496" s="7">
        <v>46.228000000000002</v>
      </c>
      <c r="L2496" s="5" t="s">
        <v>22429</v>
      </c>
      <c r="M2496" s="7">
        <v>4.7</v>
      </c>
      <c r="N2496" s="7">
        <v>2.54</v>
      </c>
      <c r="O2496" s="7">
        <v>0.52500000000000002</v>
      </c>
      <c r="P2496" s="1" t="s">
        <v>22430</v>
      </c>
    </row>
    <row r="2497" spans="1:16" ht="33.4" x14ac:dyDescent="0.3">
      <c r="A2497" s="6" t="str">
        <f>HYPERLINK("https://www.ti.com/product/CSD19533Q5A", "CSD19533Q5A")</f>
        <v>CSD19533Q5A</v>
      </c>
      <c r="B2497" s="5" t="s">
        <v>22431</v>
      </c>
      <c r="C2497" s="6" t="str">
        <f>HYPERLINK("https://www.ti.com/lit/gpn/CSD19533Q5A", "PDF")</f>
        <v>PDF</v>
      </c>
      <c r="D2497" s="5" t="s">
        <v>22432</v>
      </c>
      <c r="E2497" s="5" t="s">
        <v>22433</v>
      </c>
      <c r="F2497" s="5"/>
      <c r="G2497" s="5" t="s">
        <v>22434</v>
      </c>
      <c r="H2497" s="1" t="s">
        <v>22435</v>
      </c>
      <c r="I2497" s="5" t="s">
        <v>22436</v>
      </c>
      <c r="J2497" s="7">
        <v>8</v>
      </c>
      <c r="K2497" s="7">
        <v>29.4</v>
      </c>
      <c r="L2497" s="5" t="s">
        <v>22437</v>
      </c>
      <c r="M2497" s="7">
        <v>1.1000000000000001</v>
      </c>
      <c r="N2497" s="7">
        <v>1.27</v>
      </c>
      <c r="O2497" s="7">
        <v>0.41</v>
      </c>
      <c r="P2497" s="1" t="s">
        <v>22438</v>
      </c>
    </row>
    <row r="2498" spans="1:16" ht="33.4" x14ac:dyDescent="0.3">
      <c r="A2498" s="6" t="str">
        <f>HYPERLINK("https://www.ti.com/product/CSD25402Q3A", "CSD25402Q3A")</f>
        <v>CSD25402Q3A</v>
      </c>
      <c r="B2498" s="5" t="s">
        <v>22439</v>
      </c>
      <c r="C2498" s="6" t="str">
        <f>HYPERLINK("https://www.ti.com/lit/gpn/CSD25402Q3A", "PDF")</f>
        <v>PDF</v>
      </c>
      <c r="D2498" s="5" t="s">
        <v>22440</v>
      </c>
      <c r="E2498" s="5" t="s">
        <v>22441</v>
      </c>
      <c r="F2498" s="5"/>
      <c r="G2498" s="5" t="s">
        <v>22442</v>
      </c>
      <c r="H2498" s="1" t="s">
        <v>22443</v>
      </c>
      <c r="I2498" s="5" t="s">
        <v>22444</v>
      </c>
      <c r="J2498" s="7">
        <v>8</v>
      </c>
      <c r="K2498" s="7">
        <v>10.89</v>
      </c>
      <c r="L2498" s="5" t="s">
        <v>22445</v>
      </c>
      <c r="M2498" s="7">
        <v>0.9</v>
      </c>
      <c r="N2498" s="7">
        <v>0.65</v>
      </c>
      <c r="O2498" s="7">
        <v>0.217</v>
      </c>
      <c r="P2498" s="1" t="s">
        <v>22446</v>
      </c>
    </row>
    <row r="2499" spans="1:16" ht="33.4" x14ac:dyDescent="0.3">
      <c r="A2499" s="6" t="str">
        <f>HYPERLINK("https://www.ti.com/product/CSD95373AQ5M", "CSD95373AQ5M")</f>
        <v>CSD95373AQ5M</v>
      </c>
      <c r="B2499" s="5" t="s">
        <v>22447</v>
      </c>
      <c r="C2499" s="6" t="str">
        <f>HYPERLINK("https://www.ti.com/lit/gpn/CSD95373AQ5M", "PDF")</f>
        <v>PDF</v>
      </c>
      <c r="D2499" s="5" t="s">
        <v>22448</v>
      </c>
      <c r="E2499" s="5" t="s">
        <v>22449</v>
      </c>
      <c r="F2499" s="5"/>
      <c r="G2499" s="5" t="s">
        <v>22450</v>
      </c>
      <c r="H2499" s="1" t="s">
        <v>22451</v>
      </c>
      <c r="I2499" s="5" t="s">
        <v>22452</v>
      </c>
      <c r="J2499" s="7">
        <v>12</v>
      </c>
      <c r="K2499" s="7">
        <v>30</v>
      </c>
      <c r="L2499" s="5" t="s">
        <v>22453</v>
      </c>
      <c r="M2499" s="7">
        <v>1.5</v>
      </c>
      <c r="N2499" s="7">
        <v>0.5</v>
      </c>
      <c r="O2499" s="7">
        <v>1.286</v>
      </c>
      <c r="P2499" s="1" t="s">
        <v>22454</v>
      </c>
    </row>
    <row r="2500" spans="1:16" ht="33.4" x14ac:dyDescent="0.3">
      <c r="A2500" s="6" t="str">
        <f>HYPERLINK("https://www.ti.com/product/TPS54341", "TPS54341")</f>
        <v>TPS54341</v>
      </c>
      <c r="B2500" s="5" t="s">
        <v>22455</v>
      </c>
      <c r="C2500" s="6" t="str">
        <f>HYPERLINK("https://www.ti.com/lit/gpn/TPS54341", "PDF")</f>
        <v>PDF</v>
      </c>
      <c r="D2500" s="5" t="s">
        <v>22456</v>
      </c>
      <c r="E2500" s="5" t="s">
        <v>22457</v>
      </c>
      <c r="F2500" s="5" t="s">
        <v>22458</v>
      </c>
      <c r="G2500" s="5" t="s">
        <v>22459</v>
      </c>
      <c r="H2500" s="1" t="s">
        <v>22460</v>
      </c>
      <c r="I2500" s="5" t="s">
        <v>22461</v>
      </c>
      <c r="J2500" s="7">
        <v>10</v>
      </c>
      <c r="K2500" s="7">
        <v>16</v>
      </c>
      <c r="L2500" s="5" t="s">
        <v>22462</v>
      </c>
      <c r="M2500" s="7">
        <v>0.8</v>
      </c>
      <c r="N2500" s="7">
        <v>0.8</v>
      </c>
      <c r="O2500" s="7">
        <v>1.8340000000000001</v>
      </c>
      <c r="P2500" s="1" t="s">
        <v>22463</v>
      </c>
    </row>
    <row r="2501" spans="1:16" ht="33.4" x14ac:dyDescent="0.3">
      <c r="A2501" s="6" t="str">
        <f>HYPERLINK("https://www.ti.com/product/TPS54361", "TPS54361")</f>
        <v>TPS54361</v>
      </c>
      <c r="B2501" s="5" t="s">
        <v>22464</v>
      </c>
      <c r="C2501" s="6" t="str">
        <f>HYPERLINK("https://www.ti.com/lit/gpn/TPS54361", "PDF")</f>
        <v>PDF</v>
      </c>
      <c r="D2501" s="5" t="s">
        <v>22465</v>
      </c>
      <c r="E2501" s="5" t="s">
        <v>22466</v>
      </c>
      <c r="F2501" s="5" t="s">
        <v>22467</v>
      </c>
      <c r="G2501" s="5" t="s">
        <v>22468</v>
      </c>
      <c r="H2501" s="1" t="s">
        <v>22469</v>
      </c>
      <c r="I2501" s="5" t="s">
        <v>22470</v>
      </c>
      <c r="J2501" s="7">
        <v>10</v>
      </c>
      <c r="K2501" s="7">
        <v>16</v>
      </c>
      <c r="L2501" s="5" t="s">
        <v>22471</v>
      </c>
      <c r="M2501" s="7">
        <v>0.8</v>
      </c>
      <c r="N2501" s="7">
        <v>0.8</v>
      </c>
      <c r="O2501" s="7">
        <v>1.9359999999999999</v>
      </c>
      <c r="P2501" s="1" t="s">
        <v>22472</v>
      </c>
    </row>
    <row r="2502" spans="1:16" ht="33.4" x14ac:dyDescent="0.3">
      <c r="A2502" s="6" t="str">
        <f>HYPERLINK("https://www.ti.com/product/TPS54561", "TPS54561")</f>
        <v>TPS54561</v>
      </c>
      <c r="B2502" s="5" t="s">
        <v>22473</v>
      </c>
      <c r="C2502" s="6" t="str">
        <f>HYPERLINK("https://www.ti.com/lit/gpn/TPS54561", "PDF")</f>
        <v>PDF</v>
      </c>
      <c r="D2502" s="5" t="s">
        <v>22474</v>
      </c>
      <c r="E2502" s="5" t="s">
        <v>22475</v>
      </c>
      <c r="F2502" s="5" t="s">
        <v>22476</v>
      </c>
      <c r="G2502" s="5" t="s">
        <v>22477</v>
      </c>
      <c r="H2502" s="1" t="s">
        <v>22478</v>
      </c>
      <c r="I2502" s="5" t="s">
        <v>22479</v>
      </c>
      <c r="J2502" s="7">
        <v>10</v>
      </c>
      <c r="K2502" s="7">
        <v>16</v>
      </c>
      <c r="L2502" s="5" t="s">
        <v>22480</v>
      </c>
      <c r="M2502" s="7">
        <v>0.8</v>
      </c>
      <c r="N2502" s="7">
        <v>0.8</v>
      </c>
      <c r="O2502" s="7">
        <v>2.56</v>
      </c>
      <c r="P2502" s="1" t="s">
        <v>22481</v>
      </c>
    </row>
    <row r="2503" spans="1:16" ht="49.75" x14ac:dyDescent="0.3">
      <c r="A2503" s="6" t="str">
        <f>HYPERLINK("https://www.ti.com/product/TPS657120", "TPS657120")</f>
        <v>TPS657120</v>
      </c>
      <c r="B2503" s="5" t="s">
        <v>22482</v>
      </c>
      <c r="C2503" s="6" t="str">
        <f>HYPERLINK("https://www.ti.com/lit/gpn/TPS657120", "PDF")</f>
        <v>PDF</v>
      </c>
      <c r="D2503" s="5" t="s">
        <v>22483</v>
      </c>
      <c r="E2503" s="5" t="s">
        <v>22484</v>
      </c>
      <c r="F2503" s="5"/>
      <c r="G2503" s="5" t="s">
        <v>22485</v>
      </c>
      <c r="H2503" s="1" t="s">
        <v>22486</v>
      </c>
      <c r="I2503" s="5" t="s">
        <v>22487</v>
      </c>
      <c r="J2503" s="7">
        <v>30</v>
      </c>
      <c r="K2503" s="7">
        <v>5.7199999999999989</v>
      </c>
      <c r="L2503" s="5" t="s">
        <v>22488</v>
      </c>
      <c r="M2503" s="7">
        <v>0.625</v>
      </c>
      <c r="N2503" s="7">
        <v>0.4</v>
      </c>
      <c r="O2503" s="7">
        <v>2.4670000000000001</v>
      </c>
      <c r="P2503" s="1" t="s">
        <v>22489</v>
      </c>
    </row>
    <row r="2504" spans="1:16" ht="33.4" x14ac:dyDescent="0.3">
      <c r="A2504" s="6" t="str">
        <f>HYPERLINK("https://www.ti.com/product/CSD19503KCS", "CSD19503KCS")</f>
        <v>CSD19503KCS</v>
      </c>
      <c r="B2504" s="5" t="s">
        <v>22490</v>
      </c>
      <c r="C2504" s="6" t="str">
        <f>HYPERLINK("https://www.ti.com/lit/gpn/CSD19503KCS", "PDF")</f>
        <v>PDF</v>
      </c>
      <c r="D2504" s="5" t="s">
        <v>22491</v>
      </c>
      <c r="E2504" s="5" t="s">
        <v>22492</v>
      </c>
      <c r="F2504" s="5"/>
      <c r="G2504" s="5" t="s">
        <v>22493</v>
      </c>
      <c r="H2504" s="1" t="s">
        <v>22494</v>
      </c>
      <c r="I2504" s="5" t="s">
        <v>22495</v>
      </c>
      <c r="J2504" s="7">
        <v>3</v>
      </c>
      <c r="K2504" s="7">
        <v>46.228000000000002</v>
      </c>
      <c r="L2504" s="5" t="s">
        <v>22496</v>
      </c>
      <c r="M2504" s="7">
        <v>4.7</v>
      </c>
      <c r="N2504" s="7">
        <v>2.54</v>
      </c>
      <c r="O2504" s="7">
        <v>0.51</v>
      </c>
      <c r="P2504" s="1" t="s">
        <v>22497</v>
      </c>
    </row>
    <row r="2505" spans="1:16" ht="49.75" x14ac:dyDescent="0.3">
      <c r="A2505" s="6" t="str">
        <f>HYPERLINK("https://www.ti.com/product/LM3697", "LM3697")</f>
        <v>LM3697</v>
      </c>
      <c r="B2505" s="5" t="s">
        <v>22498</v>
      </c>
      <c r="C2505" s="6" t="str">
        <f>HYPERLINK("https://www.ti.com/lit/gpn/LM3697", "PDF")</f>
        <v>PDF</v>
      </c>
      <c r="D2505" s="5" t="s">
        <v>22499</v>
      </c>
      <c r="E2505" s="5" t="s">
        <v>22500</v>
      </c>
      <c r="F2505" s="5" t="s">
        <v>22501</v>
      </c>
      <c r="G2505" s="5" t="s">
        <v>22502</v>
      </c>
      <c r="H2505" s="1" t="s">
        <v>22503</v>
      </c>
      <c r="I2505" s="5" t="s">
        <v>22504</v>
      </c>
      <c r="J2505" s="7">
        <v>12</v>
      </c>
      <c r="K2505" s="7">
        <v>2.52</v>
      </c>
      <c r="L2505" s="5" t="s">
        <v>22505</v>
      </c>
      <c r="M2505" s="7">
        <v>0.67500000000000004</v>
      </c>
      <c r="N2505" s="7">
        <v>0.4</v>
      </c>
      <c r="O2505" s="7">
        <v>0.315</v>
      </c>
      <c r="P2505" s="1" t="s">
        <v>22506</v>
      </c>
    </row>
    <row r="2506" spans="1:16" ht="33.4" x14ac:dyDescent="0.3">
      <c r="A2506" s="6" t="str">
        <f>HYPERLINK("https://www.ti.com/product/TPS54541", "TPS54541")</f>
        <v>TPS54541</v>
      </c>
      <c r="B2506" s="5" t="s">
        <v>22507</v>
      </c>
      <c r="C2506" s="6" t="str">
        <f>HYPERLINK("https://www.ti.com/lit/gpn/TPS54541", "PDF")</f>
        <v>PDF</v>
      </c>
      <c r="D2506" s="5" t="s">
        <v>22508</v>
      </c>
      <c r="E2506" s="5" t="s">
        <v>22509</v>
      </c>
      <c r="F2506" s="5" t="s">
        <v>22510</v>
      </c>
      <c r="G2506" s="5" t="s">
        <v>22511</v>
      </c>
      <c r="H2506" s="1" t="s">
        <v>22512</v>
      </c>
      <c r="I2506" s="5" t="s">
        <v>22513</v>
      </c>
      <c r="J2506" s="7">
        <v>10</v>
      </c>
      <c r="K2506" s="7">
        <v>16</v>
      </c>
      <c r="L2506" s="5" t="s">
        <v>22514</v>
      </c>
      <c r="M2506" s="7">
        <v>0.8</v>
      </c>
      <c r="N2506" s="7">
        <v>0.8</v>
      </c>
      <c r="O2506" s="7">
        <v>2.1120000000000001</v>
      </c>
      <c r="P2506" s="1" t="s">
        <v>22515</v>
      </c>
    </row>
    <row r="2507" spans="1:16" ht="33.4" x14ac:dyDescent="0.3">
      <c r="A2507" s="6" t="str">
        <f>HYPERLINK("https://www.ti.com/product/TPS7B4250-Q1", "TPS7B4250-Q1")</f>
        <v>TPS7B4250-Q1</v>
      </c>
      <c r="B2507" s="5" t="s">
        <v>22516</v>
      </c>
      <c r="C2507" s="6" t="str">
        <f>HYPERLINK("https://www.ti.com/lit/gpn/TPS7B4250-Q1", "PDF")</f>
        <v>PDF</v>
      </c>
      <c r="D2507" s="5" t="s">
        <v>22517</v>
      </c>
      <c r="E2507" s="5" t="s">
        <v>22518</v>
      </c>
      <c r="F2507" s="5"/>
      <c r="G2507" s="5" t="s">
        <v>22519</v>
      </c>
      <c r="H2507" s="1" t="s">
        <v>22520</v>
      </c>
      <c r="I2507" s="5" t="s">
        <v>22521</v>
      </c>
      <c r="J2507" s="7">
        <v>5</v>
      </c>
      <c r="K2507" s="7">
        <v>8.1199999999999992</v>
      </c>
      <c r="L2507" s="5" t="s">
        <v>22522</v>
      </c>
      <c r="M2507" s="7">
        <v>1.45</v>
      </c>
      <c r="N2507" s="7">
        <v>0.95</v>
      </c>
      <c r="O2507" s="7">
        <v>0.44600000000000001</v>
      </c>
      <c r="P2507" s="1" t="s">
        <v>22523</v>
      </c>
    </row>
    <row r="2508" spans="1:16" ht="82.5" x14ac:dyDescent="0.3">
      <c r="A2508" s="6" t="str">
        <f>HYPERLINK("https://www.ti.com/product/TPS61162A", "TPS61162A")</f>
        <v>TPS61162A</v>
      </c>
      <c r="B2508" s="5" t="s">
        <v>22524</v>
      </c>
      <c r="C2508" s="6" t="str">
        <f>HYPERLINK("https://www.ti.com/lit/gpn/TPS61162A", "PDF")</f>
        <v>PDF</v>
      </c>
      <c r="D2508" s="5" t="s">
        <v>22525</v>
      </c>
      <c r="E2508" s="5" t="s">
        <v>22526</v>
      </c>
      <c r="F2508" s="5" t="s">
        <v>22527</v>
      </c>
      <c r="G2508" s="5" t="s">
        <v>22528</v>
      </c>
      <c r="H2508" s="1" t="s">
        <v>22529</v>
      </c>
      <c r="I2508" s="5" t="s">
        <v>22530</v>
      </c>
      <c r="J2508" s="7">
        <v>9</v>
      </c>
      <c r="K2508" s="7">
        <v>1.9600000000000002</v>
      </c>
      <c r="L2508" s="5" t="s">
        <v>22531</v>
      </c>
      <c r="M2508" s="7">
        <v>0.625</v>
      </c>
      <c r="N2508" s="7">
        <v>0.4</v>
      </c>
      <c r="O2508" s="7">
        <v>0.371</v>
      </c>
      <c r="P2508" s="1" t="s">
        <v>22532</v>
      </c>
    </row>
    <row r="2509" spans="1:16" ht="82.5" x14ac:dyDescent="0.3">
      <c r="A2509" s="6" t="str">
        <f>HYPERLINK("https://www.ti.com/product/TPS61163A", "TPS61163A")</f>
        <v>TPS61163A</v>
      </c>
      <c r="B2509" s="5" t="s">
        <v>22533</v>
      </c>
      <c r="C2509" s="6" t="str">
        <f>HYPERLINK("https://www.ti.com/lit/gpn/TPS61163A", "PDF")</f>
        <v>PDF</v>
      </c>
      <c r="D2509" s="5" t="s">
        <v>22534</v>
      </c>
      <c r="E2509" s="5" t="s">
        <v>22535</v>
      </c>
      <c r="F2509" s="5" t="s">
        <v>22536</v>
      </c>
      <c r="G2509" s="5" t="s">
        <v>22537</v>
      </c>
      <c r="H2509" s="1" t="s">
        <v>22538</v>
      </c>
      <c r="I2509" s="5" t="s">
        <v>22539</v>
      </c>
      <c r="J2509" s="7">
        <v>9</v>
      </c>
      <c r="K2509" s="7">
        <v>1.9600000000000002</v>
      </c>
      <c r="L2509" s="5" t="s">
        <v>22540</v>
      </c>
      <c r="M2509" s="7">
        <v>0.625</v>
      </c>
      <c r="N2509" s="7">
        <v>0.4</v>
      </c>
      <c r="O2509" s="7">
        <v>0.17599999999999999</v>
      </c>
      <c r="P2509" s="1" t="s">
        <v>22541</v>
      </c>
    </row>
    <row r="2510" spans="1:16" ht="33.4" x14ac:dyDescent="0.3">
      <c r="A2510" s="6" t="str">
        <f>HYPERLINK("https://www.ti.com/product/TPS7B67-Q1", "TPS7B67-Q1")</f>
        <v>TPS7B67-Q1</v>
      </c>
      <c r="B2510" s="5" t="s">
        <v>22542</v>
      </c>
      <c r="C2510" s="6" t="str">
        <f>HYPERLINK("https://www.ti.com/lit/gpn/TPS7B67-Q1", "PDF")</f>
        <v>PDF</v>
      </c>
      <c r="D2510" s="5" t="s">
        <v>22543</v>
      </c>
      <c r="E2510" s="5" t="s">
        <v>22544</v>
      </c>
      <c r="F2510" s="5"/>
      <c r="G2510" s="5" t="s">
        <v>22545</v>
      </c>
      <c r="H2510" s="1" t="s">
        <v>22546</v>
      </c>
      <c r="I2510" s="5" t="s">
        <v>22547</v>
      </c>
      <c r="J2510" s="7">
        <v>20</v>
      </c>
      <c r="K2510" s="7">
        <v>41.6</v>
      </c>
      <c r="L2510" s="5" t="s">
        <v>22548</v>
      </c>
      <c r="M2510" s="7">
        <v>1.2</v>
      </c>
      <c r="N2510" s="7">
        <v>0.65</v>
      </c>
      <c r="O2510" s="7">
        <v>0.746</v>
      </c>
      <c r="P2510" s="1" t="s">
        <v>22549</v>
      </c>
    </row>
    <row r="2511" spans="1:16" ht="33.4" x14ac:dyDescent="0.3">
      <c r="A2511" s="6" t="str">
        <f>HYPERLINK("https://www.ti.com/product/CSD19502Q5B", "CSD19502Q5B")</f>
        <v>CSD19502Q5B</v>
      </c>
      <c r="B2511" s="5" t="s">
        <v>22550</v>
      </c>
      <c r="C2511" s="6" t="str">
        <f>HYPERLINK("https://www.ti.com/lit/gpn/CSD19502Q5B", "PDF")</f>
        <v>PDF</v>
      </c>
      <c r="D2511" s="5" t="s">
        <v>22551</v>
      </c>
      <c r="E2511" s="5" t="s">
        <v>22552</v>
      </c>
      <c r="F2511" s="5"/>
      <c r="G2511" s="5" t="s">
        <v>22553</v>
      </c>
      <c r="H2511" s="1" t="s">
        <v>22554</v>
      </c>
      <c r="I2511" s="5" t="s">
        <v>22555</v>
      </c>
      <c r="J2511" s="7">
        <v>8</v>
      </c>
      <c r="K2511" s="7">
        <v>30</v>
      </c>
      <c r="L2511" s="5" t="s">
        <v>22556</v>
      </c>
      <c r="M2511" s="7">
        <v>1</v>
      </c>
      <c r="N2511" s="7">
        <v>1.27</v>
      </c>
      <c r="O2511" s="7">
        <v>0.73599999999999999</v>
      </c>
      <c r="P2511" s="1" t="s">
        <v>22557</v>
      </c>
    </row>
    <row r="2512" spans="1:16" ht="33.4" x14ac:dyDescent="0.3">
      <c r="A2512" s="6" t="str">
        <f>HYPERLINK("https://www.ti.com/product/TPS65301-Q1", "TPS65301-Q1")</f>
        <v>TPS65301-Q1</v>
      </c>
      <c r="B2512" s="5" t="s">
        <v>22558</v>
      </c>
      <c r="C2512" s="6" t="str">
        <f>HYPERLINK("https://www.ti.com/lit/gpn/TPS65301-Q1", "PDF")</f>
        <v>PDF</v>
      </c>
      <c r="D2512" s="5" t="s">
        <v>22559</v>
      </c>
      <c r="E2512" s="5" t="s">
        <v>22560</v>
      </c>
      <c r="F2512" s="5"/>
      <c r="G2512" s="5" t="s">
        <v>22561</v>
      </c>
      <c r="H2512" s="1" t="s">
        <v>22562</v>
      </c>
      <c r="I2512" s="5" t="s">
        <v>22563</v>
      </c>
      <c r="J2512" s="7">
        <v>24</v>
      </c>
      <c r="K2512" s="7">
        <v>49.92</v>
      </c>
      <c r="L2512" s="5" t="s">
        <v>22564</v>
      </c>
      <c r="M2512" s="7">
        <v>1.2</v>
      </c>
      <c r="N2512" s="7">
        <v>0.65</v>
      </c>
      <c r="O2512" s="7">
        <v>2.3919999999999999</v>
      </c>
      <c r="P2512" s="1" t="s">
        <v>22565</v>
      </c>
    </row>
    <row r="2513" spans="1:16" ht="33.4" x14ac:dyDescent="0.3">
      <c r="A2513" s="6" t="str">
        <f>HYPERLINK("https://www.ti.com/product/UCC27524A-Q1", "UCC27524A-Q1")</f>
        <v>UCC27524A-Q1</v>
      </c>
      <c r="B2513" s="5" t="s">
        <v>22566</v>
      </c>
      <c r="C2513" s="6" t="str">
        <f>HYPERLINK("https://www.ti.com/lit/gpn/UCC27524A-Q1", "PDF")</f>
        <v>PDF</v>
      </c>
      <c r="D2513" s="5" t="s">
        <v>22567</v>
      </c>
      <c r="E2513" s="5" t="s">
        <v>22568</v>
      </c>
      <c r="F2513" s="5"/>
      <c r="G2513" s="5" t="s">
        <v>22569</v>
      </c>
      <c r="H2513" s="1" t="s">
        <v>22570</v>
      </c>
      <c r="I2513" s="5" t="s">
        <v>22571</v>
      </c>
      <c r="J2513" s="7">
        <v>8</v>
      </c>
      <c r="K2513" s="7" t="s">
        <v>22572</v>
      </c>
      <c r="L2513" s="5" t="s">
        <v>22573</v>
      </c>
      <c r="M2513" s="7" t="s">
        <v>22574</v>
      </c>
      <c r="N2513" s="7" t="s">
        <v>22575</v>
      </c>
      <c r="O2513" s="7">
        <v>0.625</v>
      </c>
      <c r="P2513" s="1" t="s">
        <v>22576</v>
      </c>
    </row>
    <row r="2514" spans="1:16" ht="33.4" x14ac:dyDescent="0.3">
      <c r="A2514" s="6" t="str">
        <f>HYPERLINK("https://www.ti.com/product/LMR14006", "LMR14006")</f>
        <v>LMR14006</v>
      </c>
      <c r="B2514" s="5" t="s">
        <v>22577</v>
      </c>
      <c r="C2514" s="6" t="str">
        <f>HYPERLINK("https://www.ti.com/lit/gpn/LMR14006", "PDF")</f>
        <v>PDF</v>
      </c>
      <c r="D2514" s="5" t="s">
        <v>22578</v>
      </c>
      <c r="E2514" s="5" t="s">
        <v>22579</v>
      </c>
      <c r="F2514" s="5" t="s">
        <v>22580</v>
      </c>
      <c r="G2514" s="5" t="s">
        <v>22581</v>
      </c>
      <c r="H2514" s="1" t="s">
        <v>22582</v>
      </c>
      <c r="I2514" s="5" t="s">
        <v>22583</v>
      </c>
      <c r="J2514" s="7">
        <v>6</v>
      </c>
      <c r="K2514" s="7">
        <v>8.1199999999999992</v>
      </c>
      <c r="L2514" s="5" t="s">
        <v>22584</v>
      </c>
      <c r="M2514" s="7">
        <v>1.1000000000000001</v>
      </c>
      <c r="N2514" s="7">
        <v>0.95</v>
      </c>
      <c r="O2514" s="7">
        <v>0.91900000000000004</v>
      </c>
      <c r="P2514" s="1" t="s">
        <v>22585</v>
      </c>
    </row>
    <row r="2515" spans="1:16" ht="33.4" x14ac:dyDescent="0.3">
      <c r="A2515" s="6" t="str">
        <f>HYPERLINK("https://www.ti.com/product/CSD19532Q5B", "CSD19532Q5B")</f>
        <v>CSD19532Q5B</v>
      </c>
      <c r="B2515" s="5" t="s">
        <v>22586</v>
      </c>
      <c r="C2515" s="6" t="str">
        <f>HYPERLINK("https://www.ti.com/lit/gpn/CSD19532Q5B", "PDF")</f>
        <v>PDF</v>
      </c>
      <c r="D2515" s="5" t="s">
        <v>22587</v>
      </c>
      <c r="E2515" s="5" t="s">
        <v>22588</v>
      </c>
      <c r="F2515" s="5"/>
      <c r="G2515" s="5" t="s">
        <v>22589</v>
      </c>
      <c r="H2515" s="1" t="s">
        <v>22590</v>
      </c>
      <c r="I2515" s="5" t="s">
        <v>22591</v>
      </c>
      <c r="J2515" s="7">
        <v>8</v>
      </c>
      <c r="K2515" s="7">
        <v>30</v>
      </c>
      <c r="L2515" s="5" t="s">
        <v>22592</v>
      </c>
      <c r="M2515" s="7">
        <v>1</v>
      </c>
      <c r="N2515" s="7">
        <v>1.27</v>
      </c>
      <c r="O2515" s="7">
        <v>0.76800000000000002</v>
      </c>
      <c r="P2515" s="1" t="s">
        <v>22593</v>
      </c>
    </row>
    <row r="2516" spans="1:16" ht="49.75" x14ac:dyDescent="0.3">
      <c r="A2516" s="6" t="str">
        <f>HYPERLINK("https://www.ti.com/product/TPS82697", "TPS82697")</f>
        <v>TPS82697</v>
      </c>
      <c r="B2516" s="5" t="s">
        <v>22594</v>
      </c>
      <c r="C2516" s="6" t="str">
        <f>HYPERLINK("https://www.ti.com/lit/gpn/TPS82697", "PDF")</f>
        <v>PDF</v>
      </c>
      <c r="D2516" s="5" t="s">
        <v>22595</v>
      </c>
      <c r="E2516" s="5" t="s">
        <v>22596</v>
      </c>
      <c r="F2516" s="5" t="s">
        <v>22597</v>
      </c>
      <c r="G2516" s="5" t="s">
        <v>22598</v>
      </c>
      <c r="H2516" s="1" t="s">
        <v>22599</v>
      </c>
      <c r="I2516" s="5" t="s">
        <v>22600</v>
      </c>
      <c r="J2516" s="7">
        <v>8</v>
      </c>
      <c r="K2516" s="7">
        <v>6.67</v>
      </c>
      <c r="L2516" s="5" t="s">
        <v>22601</v>
      </c>
      <c r="M2516" s="7">
        <v>1</v>
      </c>
      <c r="N2516" s="7">
        <v>1</v>
      </c>
      <c r="O2516" s="7">
        <v>1.113</v>
      </c>
      <c r="P2516" s="1" t="s">
        <v>22602</v>
      </c>
    </row>
    <row r="2517" spans="1:16" ht="33.4" x14ac:dyDescent="0.3">
      <c r="A2517" s="6" t="str">
        <f>HYPERLINK("https://www.ti.com/product/TPS563900", "TPS563900")</f>
        <v>TPS563900</v>
      </c>
      <c r="B2517" s="5" t="s">
        <v>22603</v>
      </c>
      <c r="C2517" s="6" t="str">
        <f>HYPERLINK("https://www.ti.com/lit/gpn/TPS563900", "PDF")</f>
        <v>PDF</v>
      </c>
      <c r="D2517" s="5" t="s">
        <v>22604</v>
      </c>
      <c r="E2517" s="5" t="s">
        <v>22605</v>
      </c>
      <c r="F2517" s="5" t="s">
        <v>22606</v>
      </c>
      <c r="G2517" s="5" t="s">
        <v>22607</v>
      </c>
      <c r="H2517" s="1" t="s">
        <v>22608</v>
      </c>
      <c r="I2517" s="5" t="s">
        <v>22609</v>
      </c>
      <c r="J2517" s="7">
        <v>32</v>
      </c>
      <c r="K2517" s="7">
        <v>89.1</v>
      </c>
      <c r="L2517" s="5" t="s">
        <v>22610</v>
      </c>
      <c r="M2517" s="7">
        <v>1.2</v>
      </c>
      <c r="N2517" s="7">
        <v>0.65</v>
      </c>
      <c r="O2517" s="7">
        <v>1.893</v>
      </c>
      <c r="P2517" s="1" t="s">
        <v>22611</v>
      </c>
    </row>
    <row r="2518" spans="1:16" ht="33.4" x14ac:dyDescent="0.3">
      <c r="A2518" s="6" t="str">
        <f>HYPERLINK("https://www.ti.com/product/TPS53915", "TPS53915")</f>
        <v>TPS53915</v>
      </c>
      <c r="B2518" s="5" t="s">
        <v>22612</v>
      </c>
      <c r="C2518" s="6" t="str">
        <f>HYPERLINK("https://www.ti.com/lit/gpn/TPS53915", "PDF")</f>
        <v>PDF</v>
      </c>
      <c r="D2518" s="5" t="s">
        <v>22613</v>
      </c>
      <c r="E2518" s="5" t="s">
        <v>22614</v>
      </c>
      <c r="F2518" s="5" t="s">
        <v>22615</v>
      </c>
      <c r="G2518" s="5" t="s">
        <v>22616</v>
      </c>
      <c r="H2518" s="1" t="s">
        <v>22617</v>
      </c>
      <c r="I2518" s="5" t="s">
        <v>22618</v>
      </c>
      <c r="J2518" s="7">
        <v>28</v>
      </c>
      <c r="K2518" s="7">
        <v>15.75</v>
      </c>
      <c r="L2518" s="5" t="s">
        <v>22619</v>
      </c>
      <c r="M2518" s="7">
        <v>1</v>
      </c>
      <c r="N2518" s="7">
        <v>0.4</v>
      </c>
      <c r="O2518" s="7">
        <v>2.6680000000000001</v>
      </c>
      <c r="P2518" s="1" t="s">
        <v>22620</v>
      </c>
    </row>
    <row r="2519" spans="1:16" ht="33.4" x14ac:dyDescent="0.3">
      <c r="A2519" s="6" t="str">
        <f>HYPERLINK("https://www.ti.com/product/TPS53513", "TPS53513")</f>
        <v>TPS53513</v>
      </c>
      <c r="B2519" s="5" t="s">
        <v>22621</v>
      </c>
      <c r="C2519" s="6" t="str">
        <f>HYPERLINK("https://www.ti.com/lit/gpn/TPS53513", "PDF")</f>
        <v>PDF</v>
      </c>
      <c r="D2519" s="5" t="s">
        <v>22622</v>
      </c>
      <c r="E2519" s="5" t="s">
        <v>22623</v>
      </c>
      <c r="F2519" s="5" t="s">
        <v>22624</v>
      </c>
      <c r="G2519" s="5" t="s">
        <v>22625</v>
      </c>
      <c r="H2519" s="1" t="s">
        <v>22626</v>
      </c>
      <c r="I2519" s="5" t="s">
        <v>22627</v>
      </c>
      <c r="J2519" s="7">
        <v>28</v>
      </c>
      <c r="K2519" s="7">
        <v>15.75</v>
      </c>
      <c r="L2519" s="5" t="s">
        <v>22628</v>
      </c>
      <c r="M2519" s="7">
        <v>1</v>
      </c>
      <c r="N2519" s="7">
        <v>0.4</v>
      </c>
      <c r="O2519" s="7">
        <v>2.34</v>
      </c>
      <c r="P2519" s="1" t="s">
        <v>22629</v>
      </c>
    </row>
    <row r="2520" spans="1:16" ht="33.4" x14ac:dyDescent="0.3">
      <c r="A2520" s="6" t="str">
        <f>HYPERLINK("https://www.ti.com/product/TPS53515", "TPS53515")</f>
        <v>TPS53515</v>
      </c>
      <c r="B2520" s="5" t="s">
        <v>22630</v>
      </c>
      <c r="C2520" s="6" t="str">
        <f>HYPERLINK("https://www.ti.com/lit/gpn/TPS53515", "PDF")</f>
        <v>PDF</v>
      </c>
      <c r="D2520" s="5" t="s">
        <v>22631</v>
      </c>
      <c r="E2520" s="5" t="s">
        <v>22632</v>
      </c>
      <c r="F2520" s="5" t="s">
        <v>22633</v>
      </c>
      <c r="G2520" s="5" t="s">
        <v>22634</v>
      </c>
      <c r="H2520" s="1" t="s">
        <v>22635</v>
      </c>
      <c r="I2520" s="5" t="s">
        <v>22636</v>
      </c>
      <c r="J2520" s="7">
        <v>28</v>
      </c>
      <c r="K2520" s="7">
        <v>15.75</v>
      </c>
      <c r="L2520" s="5" t="s">
        <v>22637</v>
      </c>
      <c r="M2520" s="7">
        <v>1</v>
      </c>
      <c r="N2520" s="7">
        <v>0.4</v>
      </c>
      <c r="O2520" s="7">
        <v>2.5880000000000001</v>
      </c>
      <c r="P2520" s="1" t="s">
        <v>22638</v>
      </c>
    </row>
    <row r="2521" spans="1:16" ht="33.4" x14ac:dyDescent="0.3">
      <c r="A2521" s="6" t="str">
        <f>HYPERLINK("https://www.ti.com/product/TPS54418A", "TPS54418A")</f>
        <v>TPS54418A</v>
      </c>
      <c r="B2521" s="5" t="s">
        <v>22639</v>
      </c>
      <c r="C2521" s="6" t="str">
        <f>HYPERLINK("https://www.ti.com/lit/gpn/TPS54418A", "PDF")</f>
        <v>PDF</v>
      </c>
      <c r="D2521" s="5" t="s">
        <v>22640</v>
      </c>
      <c r="E2521" s="5" t="s">
        <v>22641</v>
      </c>
      <c r="F2521" s="5" t="s">
        <v>22642</v>
      </c>
      <c r="G2521" s="5" t="s">
        <v>22643</v>
      </c>
      <c r="H2521" s="1" t="s">
        <v>22644</v>
      </c>
      <c r="I2521" s="5" t="s">
        <v>22645</v>
      </c>
      <c r="J2521" s="7">
        <v>16</v>
      </c>
      <c r="K2521" s="7">
        <v>9</v>
      </c>
      <c r="L2521" s="5" t="s">
        <v>22646</v>
      </c>
      <c r="M2521" s="7">
        <v>0.8</v>
      </c>
      <c r="N2521" s="7">
        <v>0.5</v>
      </c>
      <c r="O2521" s="7">
        <v>1.1859999999999999</v>
      </c>
      <c r="P2521" s="1" t="s">
        <v>22647</v>
      </c>
    </row>
    <row r="2522" spans="1:16" ht="33.4" x14ac:dyDescent="0.3">
      <c r="A2522" s="6" t="str">
        <f>HYPERLINK("https://www.ti.com/product/CSD85312Q3E", "CSD85312Q3E")</f>
        <v>CSD85312Q3E</v>
      </c>
      <c r="B2522" s="5" t="s">
        <v>22648</v>
      </c>
      <c r="C2522" s="6" t="str">
        <f>HYPERLINK("https://www.ti.com/lit/gpn/CSD85312Q3E", "PDF")</f>
        <v>PDF</v>
      </c>
      <c r="D2522" s="5" t="s">
        <v>22649</v>
      </c>
      <c r="E2522" s="5" t="s">
        <v>22650</v>
      </c>
      <c r="F2522" s="5"/>
      <c r="G2522" s="5" t="s">
        <v>22651</v>
      </c>
      <c r="H2522" s="1" t="s">
        <v>22652</v>
      </c>
      <c r="I2522" s="5" t="s">
        <v>22653</v>
      </c>
      <c r="J2522" s="7">
        <v>8</v>
      </c>
      <c r="K2522" s="7">
        <v>10.89</v>
      </c>
      <c r="L2522" s="5" t="s">
        <v>22654</v>
      </c>
      <c r="M2522" s="7">
        <v>1</v>
      </c>
      <c r="N2522" s="7">
        <v>0.65</v>
      </c>
      <c r="O2522" s="7">
        <v>0.31</v>
      </c>
      <c r="P2522" s="1" t="s">
        <v>22655</v>
      </c>
    </row>
    <row r="2523" spans="1:16" ht="17.05" x14ac:dyDescent="0.3">
      <c r="A2523" s="6" t="str">
        <f>HYPERLINK("https://www.ti.com/product/TPS65640", "TPS65640")</f>
        <v>TPS65640</v>
      </c>
      <c r="B2523" s="5" t="s">
        <v>22656</v>
      </c>
      <c r="C2523" s="6" t="str">
        <f>HYPERLINK("https://www.ti.com/lit/gpn/TPS65640", "PDF")</f>
        <v>PDF</v>
      </c>
      <c r="D2523" s="5" t="s">
        <v>22657</v>
      </c>
      <c r="E2523" s="5" t="s">
        <v>22658</v>
      </c>
      <c r="F2523" s="5" t="s">
        <v>22659</v>
      </c>
      <c r="G2523" s="5" t="s">
        <v>22660</v>
      </c>
      <c r="H2523" s="1" t="s">
        <v>22661</v>
      </c>
      <c r="I2523" s="5" t="s">
        <v>22662</v>
      </c>
      <c r="J2523" s="7">
        <v>28</v>
      </c>
      <c r="K2523" s="7">
        <v>19.25</v>
      </c>
      <c r="L2523" s="5" t="s">
        <v>22663</v>
      </c>
      <c r="M2523" s="7">
        <v>0.8</v>
      </c>
      <c r="N2523" s="7">
        <v>0.5</v>
      </c>
      <c r="O2523" s="7">
        <v>1.417</v>
      </c>
      <c r="P2523" s="1" t="s">
        <v>22664</v>
      </c>
    </row>
    <row r="2524" spans="1:16" ht="33.4" x14ac:dyDescent="0.3">
      <c r="A2524" s="6" t="str">
        <f>HYPERLINK("https://www.ti.com/product/TPS56520", "TPS56520")</f>
        <v>TPS56520</v>
      </c>
      <c r="B2524" s="5" t="s">
        <v>22665</v>
      </c>
      <c r="C2524" s="6" t="str">
        <f>HYPERLINK("https://www.ti.com/lit/gpn/TPS56520", "PDF")</f>
        <v>PDF</v>
      </c>
      <c r="D2524" s="5" t="s">
        <v>22666</v>
      </c>
      <c r="E2524" s="5" t="s">
        <v>22667</v>
      </c>
      <c r="F2524" s="5" t="s">
        <v>22668</v>
      </c>
      <c r="G2524" s="5" t="s">
        <v>22669</v>
      </c>
      <c r="H2524" s="1" t="s">
        <v>22670</v>
      </c>
      <c r="I2524" s="5" t="s">
        <v>22671</v>
      </c>
      <c r="J2524" s="7">
        <v>20</v>
      </c>
      <c r="K2524" s="7">
        <v>41.6</v>
      </c>
      <c r="L2524" s="5" t="s">
        <v>22672</v>
      </c>
      <c r="M2524" s="7">
        <v>1.2</v>
      </c>
      <c r="N2524" s="7">
        <v>0.65</v>
      </c>
      <c r="O2524" s="7">
        <v>1.1830000000000001</v>
      </c>
      <c r="P2524" s="1" t="s">
        <v>22673</v>
      </c>
    </row>
    <row r="2525" spans="1:16" ht="33.4" x14ac:dyDescent="0.3">
      <c r="A2525" s="6" t="str">
        <f>HYPERLINK("https://www.ti.com/product/TPS56628", "TPS56628")</f>
        <v>TPS56628</v>
      </c>
      <c r="B2525" s="5" t="s">
        <v>22674</v>
      </c>
      <c r="C2525" s="6" t="str">
        <f>HYPERLINK("https://www.ti.com/lit/gpn/TPS56628", "PDF")</f>
        <v>PDF</v>
      </c>
      <c r="D2525" s="5" t="s">
        <v>22675</v>
      </c>
      <c r="E2525" s="5" t="s">
        <v>22676</v>
      </c>
      <c r="F2525" s="5" t="s">
        <v>22677</v>
      </c>
      <c r="G2525" s="5" t="s">
        <v>22678</v>
      </c>
      <c r="H2525" s="1" t="s">
        <v>22679</v>
      </c>
      <c r="I2525" s="5" t="s">
        <v>22680</v>
      </c>
      <c r="J2525" s="7">
        <v>8</v>
      </c>
      <c r="K2525" s="7">
        <v>29.4</v>
      </c>
      <c r="L2525" s="5" t="s">
        <v>22681</v>
      </c>
      <c r="M2525" s="7">
        <v>1.7</v>
      </c>
      <c r="N2525" s="7">
        <v>1.27</v>
      </c>
      <c r="O2525" s="7">
        <v>0.75900000000000001</v>
      </c>
      <c r="P2525" s="1" t="s">
        <v>22682</v>
      </c>
    </row>
    <row r="2526" spans="1:16" ht="33.4" x14ac:dyDescent="0.3">
      <c r="A2526" s="6" t="str">
        <f>HYPERLINK("https://www.ti.com/product/TPS56920", "TPS56920")</f>
        <v>TPS56920</v>
      </c>
      <c r="B2526" s="5" t="s">
        <v>22683</v>
      </c>
      <c r="C2526" s="6" t="str">
        <f>HYPERLINK("https://www.ti.com/lit/gpn/TPS56920", "PDF")</f>
        <v>PDF</v>
      </c>
      <c r="D2526" s="5" t="s">
        <v>22684</v>
      </c>
      <c r="E2526" s="5" t="s">
        <v>22685</v>
      </c>
      <c r="F2526" s="5" t="s">
        <v>22686</v>
      </c>
      <c r="G2526" s="5" t="s">
        <v>22687</v>
      </c>
      <c r="H2526" s="1" t="s">
        <v>22688</v>
      </c>
      <c r="I2526" s="5" t="s">
        <v>22689</v>
      </c>
      <c r="J2526" s="7">
        <v>20</v>
      </c>
      <c r="K2526" s="7">
        <v>41.6</v>
      </c>
      <c r="L2526" s="5" t="s">
        <v>22690</v>
      </c>
      <c r="M2526" s="7">
        <v>1.2</v>
      </c>
      <c r="N2526" s="7">
        <v>0.65</v>
      </c>
      <c r="O2526" s="7">
        <v>1.276</v>
      </c>
      <c r="P2526" s="1" t="s">
        <v>22691</v>
      </c>
    </row>
    <row r="2527" spans="1:16" ht="33.4" x14ac:dyDescent="0.3">
      <c r="A2527" s="6" t="str">
        <f>HYPERLINK("https://www.ti.com/product/TPS56C20", "TPS56C20")</f>
        <v>TPS56C20</v>
      </c>
      <c r="B2527" s="5" t="s">
        <v>22692</v>
      </c>
      <c r="C2527" s="6" t="str">
        <f>HYPERLINK("https://www.ti.com/lit/gpn/TPS56C20", "PDF")</f>
        <v>PDF</v>
      </c>
      <c r="D2527" s="5" t="s">
        <v>22693</v>
      </c>
      <c r="E2527" s="5" t="s">
        <v>22694</v>
      </c>
      <c r="F2527" s="5" t="s">
        <v>22695</v>
      </c>
      <c r="G2527" s="5" t="s">
        <v>22696</v>
      </c>
      <c r="H2527" s="1" t="s">
        <v>22697</v>
      </c>
      <c r="I2527" s="5" t="s">
        <v>22698</v>
      </c>
      <c r="J2527" s="7">
        <v>24</v>
      </c>
      <c r="K2527" s="7">
        <v>49.92</v>
      </c>
      <c r="L2527" s="5" t="s">
        <v>22699</v>
      </c>
      <c r="M2527" s="7">
        <v>1.2</v>
      </c>
      <c r="N2527" s="7">
        <v>0.65</v>
      </c>
      <c r="O2527" s="7">
        <v>2.4990000000000001</v>
      </c>
      <c r="P2527" s="1" t="s">
        <v>22700</v>
      </c>
    </row>
    <row r="2528" spans="1:16" ht="33.4" x14ac:dyDescent="0.3">
      <c r="A2528" s="6" t="str">
        <f>HYPERLINK("https://www.ti.com/product/TPS62740", "TPS62740")</f>
        <v>TPS62740</v>
      </c>
      <c r="B2528" s="5" t="s">
        <v>22701</v>
      </c>
      <c r="C2528" s="6" t="str">
        <f>HYPERLINK("https://www.ti.com/lit/gpn/TPS62740", "PDF")</f>
        <v>PDF</v>
      </c>
      <c r="D2528" s="5" t="s">
        <v>22702</v>
      </c>
      <c r="E2528" s="5" t="s">
        <v>22703</v>
      </c>
      <c r="F2528" s="5" t="s">
        <v>22704</v>
      </c>
      <c r="G2528" s="5" t="s">
        <v>22705</v>
      </c>
      <c r="H2528" s="1" t="s">
        <v>22706</v>
      </c>
      <c r="I2528" s="5" t="s">
        <v>22707</v>
      </c>
      <c r="J2528" s="7">
        <v>12</v>
      </c>
      <c r="K2528" s="7">
        <v>6</v>
      </c>
      <c r="L2528" s="5" t="s">
        <v>22708</v>
      </c>
      <c r="M2528" s="7">
        <v>0.8</v>
      </c>
      <c r="N2528" s="7">
        <v>0.5</v>
      </c>
      <c r="O2528" s="7">
        <v>0.53200000000000003</v>
      </c>
      <c r="P2528" s="1" t="s">
        <v>22709</v>
      </c>
    </row>
    <row r="2529" spans="1:16" ht="33.4" x14ac:dyDescent="0.3">
      <c r="A2529" s="6" t="str">
        <f>HYPERLINK("https://www.ti.com/product/TPS51678", "TPS51678")</f>
        <v>TPS51678</v>
      </c>
      <c r="B2529" s="5" t="s">
        <v>22710</v>
      </c>
      <c r="C2529" s="6" t="str">
        <f>HYPERLINK("https://www.ti.com/lit/gpn/TPS51678", "PDF")</f>
        <v>PDF</v>
      </c>
      <c r="D2529" s="5" t="s">
        <v>22711</v>
      </c>
      <c r="E2529" s="5" t="s">
        <v>22712</v>
      </c>
      <c r="F2529" s="5" t="s">
        <v>22713</v>
      </c>
      <c r="G2529" s="5" t="s">
        <v>22714</v>
      </c>
      <c r="H2529" s="1" t="s">
        <v>22715</v>
      </c>
      <c r="I2529" s="5" t="s">
        <v>22716</v>
      </c>
      <c r="J2529" s="7">
        <v>32</v>
      </c>
      <c r="K2529" s="7">
        <v>16</v>
      </c>
      <c r="L2529" s="5" t="s">
        <v>22717</v>
      </c>
      <c r="M2529" s="7">
        <v>1</v>
      </c>
      <c r="N2529" s="7">
        <v>0.4</v>
      </c>
      <c r="O2529" s="7">
        <v>1.7909999999999999</v>
      </c>
      <c r="P2529" s="1" t="s">
        <v>22718</v>
      </c>
    </row>
    <row r="2530" spans="1:16" ht="33.4" x14ac:dyDescent="0.3">
      <c r="A2530" s="6" t="str">
        <f>HYPERLINK("https://www.ti.com/product/LMZ31704", "LMZ31704")</f>
        <v>LMZ31704</v>
      </c>
      <c r="B2530" s="5" t="s">
        <v>22719</v>
      </c>
      <c r="C2530" s="6" t="str">
        <f>HYPERLINK("https://www.ti.com/lit/gpn/LMZ31704", "PDF")</f>
        <v>PDF</v>
      </c>
      <c r="D2530" s="5" t="s">
        <v>22720</v>
      </c>
      <c r="E2530" s="5" t="s">
        <v>22721</v>
      </c>
      <c r="F2530" s="5" t="s">
        <v>22722</v>
      </c>
      <c r="G2530" s="5" t="s">
        <v>22723</v>
      </c>
      <c r="H2530" s="1" t="s">
        <v>22724</v>
      </c>
      <c r="I2530" s="5" t="s">
        <v>22725</v>
      </c>
      <c r="J2530" s="7">
        <v>42</v>
      </c>
      <c r="K2530" s="7">
        <v>100</v>
      </c>
      <c r="L2530" s="5" t="s">
        <v>22726</v>
      </c>
      <c r="M2530" s="7">
        <v>4.4000000000000004</v>
      </c>
      <c r="N2530" s="7">
        <v>0.8</v>
      </c>
      <c r="O2530" s="7">
        <v>3.9849999999999999</v>
      </c>
      <c r="P2530" s="1" t="s">
        <v>22727</v>
      </c>
    </row>
    <row r="2531" spans="1:16" ht="33.4" x14ac:dyDescent="0.3">
      <c r="A2531" s="6" t="str">
        <f>HYPERLINK("https://www.ti.com/product/LMZ31707", "LMZ31707")</f>
        <v>LMZ31707</v>
      </c>
      <c r="B2531" s="5" t="s">
        <v>22728</v>
      </c>
      <c r="C2531" s="6" t="str">
        <f>HYPERLINK("https://www.ti.com/lit/gpn/LMZ31707", "PDF")</f>
        <v>PDF</v>
      </c>
      <c r="D2531" s="5" t="s">
        <v>22729</v>
      </c>
      <c r="E2531" s="5" t="s">
        <v>22730</v>
      </c>
      <c r="F2531" s="5" t="s">
        <v>22731</v>
      </c>
      <c r="G2531" s="5" t="s">
        <v>22732</v>
      </c>
      <c r="H2531" s="1" t="s">
        <v>22733</v>
      </c>
      <c r="I2531" s="5" t="s">
        <v>22734</v>
      </c>
      <c r="J2531" s="7">
        <v>42</v>
      </c>
      <c r="K2531" s="7">
        <v>100</v>
      </c>
      <c r="L2531" s="5" t="s">
        <v>22735</v>
      </c>
      <c r="M2531" s="7">
        <v>4.4000000000000004</v>
      </c>
      <c r="N2531" s="7">
        <v>0.8</v>
      </c>
      <c r="O2531" s="7">
        <v>7.2069999999999999</v>
      </c>
      <c r="P2531" s="1" t="s">
        <v>22736</v>
      </c>
    </row>
    <row r="2532" spans="1:16" ht="33.4" x14ac:dyDescent="0.3">
      <c r="A2532" s="6" t="str">
        <f>HYPERLINK("https://www.ti.com/product/UCC28180", "UCC28180")</f>
        <v>UCC28180</v>
      </c>
      <c r="B2532" s="5" t="s">
        <v>22737</v>
      </c>
      <c r="C2532" s="6" t="str">
        <f>HYPERLINK("https://www.ti.com/lit/gpn/UCC28180", "PDF")</f>
        <v>PDF</v>
      </c>
      <c r="D2532" s="5" t="s">
        <v>22738</v>
      </c>
      <c r="E2532" s="5" t="s">
        <v>22739</v>
      </c>
      <c r="F2532" s="5" t="s">
        <v>22740</v>
      </c>
      <c r="G2532" s="5" t="s">
        <v>22741</v>
      </c>
      <c r="H2532" s="1" t="s">
        <v>22742</v>
      </c>
      <c r="I2532" s="5" t="s">
        <v>22743</v>
      </c>
      <c r="J2532" s="7">
        <v>8</v>
      </c>
      <c r="K2532" s="7">
        <v>29.4</v>
      </c>
      <c r="L2532" s="5" t="s">
        <v>22744</v>
      </c>
      <c r="M2532" s="7">
        <v>1.75</v>
      </c>
      <c r="N2532" s="7">
        <v>1.27</v>
      </c>
      <c r="O2532" s="7">
        <v>0.54500000000000004</v>
      </c>
      <c r="P2532" s="1" t="s">
        <v>22745</v>
      </c>
    </row>
    <row r="2533" spans="1:16" ht="33.4" x14ac:dyDescent="0.3">
      <c r="A2533" s="6" t="str">
        <f>HYPERLINK("https://www.ti.com/product/CSD17571Q2", "CSD17571Q2")</f>
        <v>CSD17571Q2</v>
      </c>
      <c r="B2533" s="5" t="s">
        <v>22746</v>
      </c>
      <c r="C2533" s="6" t="str">
        <f>HYPERLINK("https://www.ti.com/lit/gpn/CSD17571Q2", "PDF")</f>
        <v>PDF</v>
      </c>
      <c r="D2533" s="5" t="s">
        <v>22747</v>
      </c>
      <c r="E2533" s="5" t="s">
        <v>22748</v>
      </c>
      <c r="F2533" s="5"/>
      <c r="G2533" s="5" t="s">
        <v>22749</v>
      </c>
      <c r="H2533" s="1" t="s">
        <v>22750</v>
      </c>
      <c r="I2533" s="5" t="s">
        <v>22751</v>
      </c>
      <c r="J2533" s="7">
        <v>6</v>
      </c>
      <c r="K2533" s="7">
        <v>4</v>
      </c>
      <c r="L2533" s="5" t="s">
        <v>22752</v>
      </c>
      <c r="M2533" s="7">
        <v>0.8</v>
      </c>
      <c r="N2533" s="7">
        <v>0.65</v>
      </c>
      <c r="O2533" s="7">
        <v>8.2000000000000003E-2</v>
      </c>
      <c r="P2533" s="1" t="s">
        <v>22753</v>
      </c>
    </row>
    <row r="2534" spans="1:16" ht="33.4" x14ac:dyDescent="0.3">
      <c r="A2534" s="6" t="str">
        <f>HYPERLINK("https://www.ti.com/product/TPS7A7002", "TPS7A7002")</f>
        <v>TPS7A7002</v>
      </c>
      <c r="B2534" s="5" t="s">
        <v>22754</v>
      </c>
      <c r="C2534" s="6" t="str">
        <f>HYPERLINK("https://www.ti.com/lit/gpn/TPS7A7002", "PDF")</f>
        <v>PDF</v>
      </c>
      <c r="D2534" s="5" t="s">
        <v>22755</v>
      </c>
      <c r="E2534" s="5" t="s">
        <v>22756</v>
      </c>
      <c r="F2534" s="5"/>
      <c r="G2534" s="5" t="s">
        <v>22757</v>
      </c>
      <c r="H2534" s="1" t="s">
        <v>22758</v>
      </c>
      <c r="I2534" s="5" t="s">
        <v>22759</v>
      </c>
      <c r="J2534" s="7">
        <v>8</v>
      </c>
      <c r="K2534" s="7">
        <v>29.4</v>
      </c>
      <c r="L2534" s="5" t="s">
        <v>22760</v>
      </c>
      <c r="M2534" s="7">
        <v>1.7</v>
      </c>
      <c r="N2534" s="7">
        <v>1.27</v>
      </c>
      <c r="O2534" s="7">
        <v>0.77500000000000002</v>
      </c>
      <c r="P2534" s="1" t="s">
        <v>22761</v>
      </c>
    </row>
    <row r="2535" spans="1:16" ht="33.4" x14ac:dyDescent="0.3">
      <c r="A2535" s="6" t="str">
        <f>HYPERLINK("https://www.ti.com/product/TPS2513A", "TPS2513A")</f>
        <v>TPS2513A</v>
      </c>
      <c r="B2535" s="5" t="s">
        <v>22762</v>
      </c>
      <c r="C2535" s="6" t="str">
        <f>HYPERLINK("https://www.ti.com/lit/gpn/TPS2513A", "PDF")</f>
        <v>PDF</v>
      </c>
      <c r="D2535" s="5" t="s">
        <v>22763</v>
      </c>
      <c r="E2535" s="5" t="s">
        <v>22764</v>
      </c>
      <c r="F2535" s="5"/>
      <c r="G2535" s="5" t="s">
        <v>22765</v>
      </c>
      <c r="H2535" s="1" t="s">
        <v>22766</v>
      </c>
      <c r="I2535" s="5" t="s">
        <v>22767</v>
      </c>
      <c r="J2535" s="7">
        <v>6</v>
      </c>
      <c r="K2535" s="7">
        <v>8.1199999999999992</v>
      </c>
      <c r="L2535" s="5" t="s">
        <v>22768</v>
      </c>
      <c r="M2535" s="7">
        <v>1.45</v>
      </c>
      <c r="N2535" s="7">
        <v>0.95</v>
      </c>
      <c r="O2535" s="7">
        <v>0.223</v>
      </c>
      <c r="P2535" s="1" t="s">
        <v>22769</v>
      </c>
    </row>
    <row r="2536" spans="1:16" ht="33.4" x14ac:dyDescent="0.3">
      <c r="A2536" s="6" t="str">
        <f>HYPERLINK("https://www.ti.com/product/TPS2514A", "TPS2514A")</f>
        <v>TPS2514A</v>
      </c>
      <c r="B2536" s="5" t="s">
        <v>22770</v>
      </c>
      <c r="C2536" s="6" t="str">
        <f>HYPERLINK("https://www.ti.com/lit/gpn/TPS2514A", "PDF")</f>
        <v>PDF</v>
      </c>
      <c r="D2536" s="5" t="s">
        <v>22771</v>
      </c>
      <c r="E2536" s="5" t="s">
        <v>22772</v>
      </c>
      <c r="F2536" s="5"/>
      <c r="G2536" s="5" t="s">
        <v>22773</v>
      </c>
      <c r="H2536" s="1" t="s">
        <v>22774</v>
      </c>
      <c r="I2536" s="5" t="s">
        <v>22775</v>
      </c>
      <c r="J2536" s="7">
        <v>6</v>
      </c>
      <c r="K2536" s="7">
        <v>8.1199999999999992</v>
      </c>
      <c r="L2536" s="5" t="s">
        <v>22776</v>
      </c>
      <c r="M2536" s="7">
        <v>1.45</v>
      </c>
      <c r="N2536" s="7">
        <v>0.95</v>
      </c>
      <c r="O2536" s="7">
        <v>0.26900000000000002</v>
      </c>
      <c r="P2536" s="1" t="s">
        <v>22777</v>
      </c>
    </row>
    <row r="2537" spans="1:16" ht="33.4" x14ac:dyDescent="0.3">
      <c r="A2537" s="6" t="str">
        <f>HYPERLINK("https://www.ti.com/product/TPS7A3501", "TPS7A3501")</f>
        <v>TPS7A3501</v>
      </c>
      <c r="B2537" s="5" t="s">
        <v>22778</v>
      </c>
      <c r="C2537" s="6" t="str">
        <f>HYPERLINK("https://www.ti.com/lit/gpn/TPS7A3501", "PDF")</f>
        <v>PDF</v>
      </c>
      <c r="D2537" s="5" t="s">
        <v>22779</v>
      </c>
      <c r="E2537" s="5" t="s">
        <v>22780</v>
      </c>
      <c r="F2537" s="5"/>
      <c r="G2537" s="5" t="s">
        <v>22781</v>
      </c>
      <c r="H2537" s="1" t="s">
        <v>22782</v>
      </c>
      <c r="I2537" s="5" t="s">
        <v>22783</v>
      </c>
      <c r="J2537" s="7">
        <v>6</v>
      </c>
      <c r="K2537" s="7">
        <v>4</v>
      </c>
      <c r="L2537" s="5" t="s">
        <v>22784</v>
      </c>
      <c r="M2537" s="7">
        <v>0.8</v>
      </c>
      <c r="N2537" s="7">
        <v>0.65</v>
      </c>
      <c r="O2537" s="7">
        <v>0.36299999999999999</v>
      </c>
      <c r="P2537" s="1" t="s">
        <v>22785</v>
      </c>
    </row>
    <row r="2538" spans="1:16" ht="49.75" x14ac:dyDescent="0.3">
      <c r="A2538" s="6" t="str">
        <f>HYPERLINK("https://www.ti.com/product/UCD7242-EP", "UCD7242-EP")</f>
        <v>UCD7242-EP</v>
      </c>
      <c r="B2538" s="5" t="s">
        <v>22786</v>
      </c>
      <c r="C2538" s="6" t="str">
        <f>HYPERLINK("https://www.ti.com/lit/gpn/UCD7242-EP", "PDF")</f>
        <v>PDF</v>
      </c>
      <c r="D2538" s="5" t="s">
        <v>22787</v>
      </c>
      <c r="E2538" s="5" t="s">
        <v>22788</v>
      </c>
      <c r="F2538" s="5"/>
      <c r="G2538" s="5" t="s">
        <v>22789</v>
      </c>
      <c r="H2538" s="1" t="s">
        <v>22790</v>
      </c>
      <c r="I2538" s="5" t="s">
        <v>22791</v>
      </c>
      <c r="J2538" s="7">
        <v>32</v>
      </c>
      <c r="K2538" s="7">
        <v>36</v>
      </c>
      <c r="L2538" s="5" t="s">
        <v>22792</v>
      </c>
      <c r="M2538" s="7">
        <v>1</v>
      </c>
      <c r="N2538" s="7">
        <v>0.5</v>
      </c>
      <c r="O2538" s="7">
        <v>6.2539999999999996</v>
      </c>
      <c r="P2538" s="1" t="s">
        <v>22793</v>
      </c>
    </row>
    <row r="2539" spans="1:16" ht="49.75" x14ac:dyDescent="0.3">
      <c r="A2539" s="6" t="str">
        <f>HYPERLINK("https://www.ti.com/product/UCD9222-EP", "UCD9222-EP")</f>
        <v>UCD9222-EP</v>
      </c>
      <c r="B2539" s="5" t="s">
        <v>22794</v>
      </c>
      <c r="C2539" s="6" t="str">
        <f>HYPERLINK("https://www.ti.com/lit/gpn/UCD9222-EP", "PDF")</f>
        <v>PDF</v>
      </c>
      <c r="D2539" s="5" t="s">
        <v>22795</v>
      </c>
      <c r="E2539" s="5" t="s">
        <v>22796</v>
      </c>
      <c r="F2539" s="5"/>
      <c r="G2539" s="5" t="s">
        <v>22797</v>
      </c>
      <c r="H2539" s="1" t="s">
        <v>22798</v>
      </c>
      <c r="I2539" s="5" t="s">
        <v>22799</v>
      </c>
      <c r="J2539" s="7">
        <v>48</v>
      </c>
      <c r="K2539" s="7">
        <v>49</v>
      </c>
      <c r="L2539" s="5" t="s">
        <v>22800</v>
      </c>
      <c r="M2539" s="7">
        <v>1</v>
      </c>
      <c r="N2539" s="7">
        <v>0.5</v>
      </c>
      <c r="O2539" s="7">
        <v>7.7119999999999997</v>
      </c>
      <c r="P2539" s="1" t="s">
        <v>22801</v>
      </c>
    </row>
    <row r="2540" spans="1:16" ht="33.4" x14ac:dyDescent="0.3">
      <c r="A2540" s="6" t="str">
        <f>HYPERLINK("https://www.ti.com/product/TLV62565", "TLV62565")</f>
        <v>TLV62565</v>
      </c>
      <c r="B2540" s="5" t="s">
        <v>22802</v>
      </c>
      <c r="C2540" s="6" t="str">
        <f>HYPERLINK("https://www.ti.com/lit/gpn/TLV62565", "PDF")</f>
        <v>PDF</v>
      </c>
      <c r="D2540" s="5" t="s">
        <v>22803</v>
      </c>
      <c r="E2540" s="5" t="s">
        <v>22804</v>
      </c>
      <c r="F2540" s="5" t="s">
        <v>22805</v>
      </c>
      <c r="G2540" s="5" t="s">
        <v>22806</v>
      </c>
      <c r="H2540" s="1" t="s">
        <v>22807</v>
      </c>
      <c r="I2540" s="5" t="s">
        <v>22808</v>
      </c>
      <c r="J2540" s="7">
        <v>5</v>
      </c>
      <c r="K2540" s="7">
        <v>8.1199999999999992</v>
      </c>
      <c r="L2540" s="5" t="s">
        <v>22809</v>
      </c>
      <c r="M2540" s="7">
        <v>1.45</v>
      </c>
      <c r="N2540" s="7">
        <v>0.95</v>
      </c>
      <c r="O2540" s="7">
        <v>0.115</v>
      </c>
      <c r="P2540" s="1" t="s">
        <v>22810</v>
      </c>
    </row>
    <row r="2541" spans="1:16" ht="33.4" x14ac:dyDescent="0.3">
      <c r="A2541" s="6" t="str">
        <f>HYPERLINK("https://www.ti.com/product/TLV62566", "TLV62566")</f>
        <v>TLV62566</v>
      </c>
      <c r="B2541" s="5" t="s">
        <v>22811</v>
      </c>
      <c r="C2541" s="6" t="str">
        <f>HYPERLINK("https://www.ti.com/lit/gpn/TLV62566", "PDF")</f>
        <v>PDF</v>
      </c>
      <c r="D2541" s="5" t="s">
        <v>22812</v>
      </c>
      <c r="E2541" s="5" t="s">
        <v>22813</v>
      </c>
      <c r="F2541" s="5" t="s">
        <v>22814</v>
      </c>
      <c r="G2541" s="5" t="s">
        <v>22815</v>
      </c>
      <c r="H2541" s="1" t="s">
        <v>22816</v>
      </c>
      <c r="I2541" s="5" t="s">
        <v>22817</v>
      </c>
      <c r="J2541" s="7">
        <v>5</v>
      </c>
      <c r="K2541" s="7">
        <v>8.1199999999999992</v>
      </c>
      <c r="L2541" s="5" t="s">
        <v>22818</v>
      </c>
      <c r="M2541" s="7">
        <v>1.45</v>
      </c>
      <c r="N2541" s="7">
        <v>0.95</v>
      </c>
      <c r="O2541" s="7">
        <v>0.115</v>
      </c>
      <c r="P2541" s="1" t="s">
        <v>22819</v>
      </c>
    </row>
    <row r="2542" spans="1:16" ht="33.4" x14ac:dyDescent="0.3">
      <c r="A2542" s="6" t="str">
        <f>HYPERLINK("https://www.ti.com/product/TPS62085", "TPS62085")</f>
        <v>TPS62085</v>
      </c>
      <c r="B2542" s="5" t="s">
        <v>22820</v>
      </c>
      <c r="C2542" s="6" t="str">
        <f>HYPERLINK("https://www.ti.com/lit/gpn/TPS62085", "PDF")</f>
        <v>PDF</v>
      </c>
      <c r="D2542" s="5" t="s">
        <v>22821</v>
      </c>
      <c r="E2542" s="5" t="s">
        <v>22822</v>
      </c>
      <c r="F2542" s="5" t="s">
        <v>22823</v>
      </c>
      <c r="G2542" s="5" t="s">
        <v>22824</v>
      </c>
      <c r="H2542" s="1" t="s">
        <v>22825</v>
      </c>
      <c r="I2542" s="5" t="s">
        <v>22826</v>
      </c>
      <c r="J2542" s="7">
        <v>7</v>
      </c>
      <c r="K2542" s="7">
        <v>4</v>
      </c>
      <c r="L2542" s="5" t="s">
        <v>22827</v>
      </c>
      <c r="M2542" s="7">
        <v>1</v>
      </c>
      <c r="N2542" s="7">
        <v>0.5</v>
      </c>
      <c r="O2542" s="7">
        <v>0.57399999999999995</v>
      </c>
      <c r="P2542" s="1" t="s">
        <v>22828</v>
      </c>
    </row>
    <row r="2543" spans="1:16" ht="33.4" x14ac:dyDescent="0.3">
      <c r="A2543" s="6" t="str">
        <f>HYPERLINK("https://www.ti.com/product/TPS62086", "TPS62086")</f>
        <v>TPS62086</v>
      </c>
      <c r="B2543" s="5" t="s">
        <v>22829</v>
      </c>
      <c r="C2543" s="6" t="str">
        <f>HYPERLINK("https://www.ti.com/lit/gpn/TPS62086", "PDF")</f>
        <v>PDF</v>
      </c>
      <c r="D2543" s="5" t="s">
        <v>22830</v>
      </c>
      <c r="E2543" s="5" t="s">
        <v>22831</v>
      </c>
      <c r="F2543" s="5" t="s">
        <v>22832</v>
      </c>
      <c r="G2543" s="5" t="s">
        <v>22833</v>
      </c>
      <c r="H2543" s="1" t="s">
        <v>22834</v>
      </c>
      <c r="I2543" s="5" t="s">
        <v>22835</v>
      </c>
      <c r="J2543" s="7">
        <v>7</v>
      </c>
      <c r="K2543" s="7">
        <v>4</v>
      </c>
      <c r="L2543" s="5" t="s">
        <v>22836</v>
      </c>
      <c r="M2543" s="7">
        <v>1</v>
      </c>
      <c r="N2543" s="7">
        <v>0.5</v>
      </c>
      <c r="O2543" s="7">
        <v>0.57399999999999995</v>
      </c>
      <c r="P2543" s="1" t="s">
        <v>22837</v>
      </c>
    </row>
    <row r="2544" spans="1:16" ht="33.4" x14ac:dyDescent="0.3">
      <c r="A2544" s="6" t="str">
        <f>HYPERLINK("https://www.ti.com/product/TPS62087", "TPS62087")</f>
        <v>TPS62087</v>
      </c>
      <c r="B2544" s="5" t="s">
        <v>22838</v>
      </c>
      <c r="C2544" s="6" t="str">
        <f>HYPERLINK("https://www.ti.com/lit/gpn/TPS62087", "PDF")</f>
        <v>PDF</v>
      </c>
      <c r="D2544" s="5" t="s">
        <v>22839</v>
      </c>
      <c r="E2544" s="5" t="s">
        <v>22840</v>
      </c>
      <c r="F2544" s="5" t="s">
        <v>22841</v>
      </c>
      <c r="G2544" s="5" t="s">
        <v>22842</v>
      </c>
      <c r="H2544" s="1" t="s">
        <v>22843</v>
      </c>
      <c r="I2544" s="5" t="s">
        <v>22844</v>
      </c>
      <c r="J2544" s="7">
        <v>7</v>
      </c>
      <c r="K2544" s="7">
        <v>4</v>
      </c>
      <c r="L2544" s="5" t="s">
        <v>22845</v>
      </c>
      <c r="M2544" s="7">
        <v>1</v>
      </c>
      <c r="N2544" s="7">
        <v>0.5</v>
      </c>
      <c r="O2544" s="7">
        <v>0.57399999999999995</v>
      </c>
      <c r="P2544" s="1" t="s">
        <v>22846</v>
      </c>
    </row>
    <row r="2545" spans="1:16" ht="33.4" x14ac:dyDescent="0.3">
      <c r="A2545" s="6" t="str">
        <f>HYPERLINK("https://www.ti.com/product/LM5116-HT", "LM5116-HT")</f>
        <v>LM5116-HT</v>
      </c>
      <c r="B2545" s="5" t="s">
        <v>22847</v>
      </c>
      <c r="C2545" s="6" t="str">
        <f>HYPERLINK("https://www.ti.com/lit/gpn/LM5116-HT", "PDF")</f>
        <v>PDF</v>
      </c>
      <c r="D2545" s="5" t="s">
        <v>22848</v>
      </c>
      <c r="E2545" s="5" t="s">
        <v>22849</v>
      </c>
      <c r="F2545" s="5" t="s">
        <v>22850</v>
      </c>
      <c r="G2545" s="5" t="s">
        <v>22851</v>
      </c>
      <c r="H2545" s="1" t="s">
        <v>22852</v>
      </c>
      <c r="I2545" s="5" t="s">
        <v>22853</v>
      </c>
      <c r="J2545" s="7">
        <v>20</v>
      </c>
      <c r="K2545" s="7">
        <v>259.065</v>
      </c>
      <c r="L2545" s="5" t="s">
        <v>22854</v>
      </c>
      <c r="M2545" s="7">
        <v>3.56</v>
      </c>
      <c r="N2545" s="7">
        <v>2.54</v>
      </c>
      <c r="O2545" s="7">
        <v>163.01300000000001</v>
      </c>
      <c r="P2545" s="1" t="s">
        <v>22855</v>
      </c>
    </row>
    <row r="2546" spans="1:16" ht="33.4" x14ac:dyDescent="0.3">
      <c r="A2546" s="6" t="str">
        <f>HYPERLINK("https://www.ti.com/product/TPS92411", "TPS92411")</f>
        <v>TPS92411</v>
      </c>
      <c r="B2546" s="5" t="s">
        <v>22856</v>
      </c>
      <c r="C2546" s="6" t="str">
        <f>HYPERLINK("https://www.ti.com/lit/gpn/TPS92411", "PDF")</f>
        <v>PDF</v>
      </c>
      <c r="D2546" s="5" t="s">
        <v>22857</v>
      </c>
      <c r="E2546" s="5" t="s">
        <v>22858</v>
      </c>
      <c r="F2546" s="5" t="s">
        <v>22859</v>
      </c>
      <c r="G2546" s="5" t="s">
        <v>22860</v>
      </c>
      <c r="H2546" s="1" t="s">
        <v>22861</v>
      </c>
      <c r="I2546" s="5" t="s">
        <v>22862</v>
      </c>
      <c r="J2546" s="7" t="s">
        <v>22863</v>
      </c>
      <c r="K2546" s="7" t="s">
        <v>22864</v>
      </c>
      <c r="L2546" s="5" t="s">
        <v>22865</v>
      </c>
      <c r="M2546" s="7" t="s">
        <v>22866</v>
      </c>
      <c r="N2546" s="7" t="s">
        <v>22867</v>
      </c>
      <c r="O2546" s="7">
        <v>0.17299999999999999</v>
      </c>
      <c r="P2546" s="1" t="s">
        <v>22868</v>
      </c>
    </row>
    <row r="2547" spans="1:16" ht="33.4" x14ac:dyDescent="0.3">
      <c r="A2547" s="6" t="str">
        <f>HYPERLINK("https://www.ti.com/product/TPS24750", "TPS24750")</f>
        <v>TPS24750</v>
      </c>
      <c r="B2547" s="5" t="s">
        <v>22869</v>
      </c>
      <c r="C2547" s="6" t="str">
        <f>HYPERLINK("https://www.ti.com/lit/gpn/TPS24750", "PDF")</f>
        <v>PDF</v>
      </c>
      <c r="D2547" s="5" t="s">
        <v>22870</v>
      </c>
      <c r="E2547" s="5" t="s">
        <v>22871</v>
      </c>
      <c r="F2547" s="5"/>
      <c r="G2547" s="5" t="s">
        <v>22872</v>
      </c>
      <c r="H2547" s="1" t="s">
        <v>22873</v>
      </c>
      <c r="I2547" s="5" t="s">
        <v>22874</v>
      </c>
      <c r="J2547" s="7">
        <v>36</v>
      </c>
      <c r="K2547" s="7">
        <v>24.5</v>
      </c>
      <c r="L2547" s="5" t="s">
        <v>22875</v>
      </c>
      <c r="M2547" s="7">
        <v>1</v>
      </c>
      <c r="N2547" s="7">
        <v>0.5</v>
      </c>
      <c r="O2547" s="7">
        <v>1.7250000000000001</v>
      </c>
      <c r="P2547" s="1" t="s">
        <v>22876</v>
      </c>
    </row>
    <row r="2548" spans="1:16" ht="33.4" x14ac:dyDescent="0.3">
      <c r="A2548" s="6" t="str">
        <f>HYPERLINK("https://www.ti.com/product/TPS24751", "TPS24751")</f>
        <v>TPS24751</v>
      </c>
      <c r="B2548" s="5" t="s">
        <v>22877</v>
      </c>
      <c r="C2548" s="6" t="str">
        <f>HYPERLINK("https://www.ti.com/lit/gpn/TPS24751", "PDF")</f>
        <v>PDF</v>
      </c>
      <c r="D2548" s="5" t="s">
        <v>22878</v>
      </c>
      <c r="E2548" s="5" t="s">
        <v>22879</v>
      </c>
      <c r="F2548" s="5"/>
      <c r="G2548" s="5" t="s">
        <v>22880</v>
      </c>
      <c r="H2548" s="1" t="s">
        <v>22881</v>
      </c>
      <c r="I2548" s="5" t="s">
        <v>22882</v>
      </c>
      <c r="J2548" s="7">
        <v>36</v>
      </c>
      <c r="K2548" s="7">
        <v>24.5</v>
      </c>
      <c r="L2548" s="5" t="s">
        <v>22883</v>
      </c>
      <c r="M2548" s="7">
        <v>1</v>
      </c>
      <c r="N2548" s="7">
        <v>0.5</v>
      </c>
      <c r="O2548" s="7">
        <v>1.7250000000000001</v>
      </c>
      <c r="P2548" s="1" t="s">
        <v>22884</v>
      </c>
    </row>
    <row r="2549" spans="1:16" ht="17.05" x14ac:dyDescent="0.3">
      <c r="A2549" s="6" t="str">
        <f>HYPERLINK("https://www.ti.com/product/LM10524", "LM10524")</f>
        <v>LM10524</v>
      </c>
      <c r="B2549" s="5" t="s">
        <v>22885</v>
      </c>
      <c r="C2549" s="6" t="str">
        <f>HYPERLINK("https://www.ti.com/lit/gpn/LM10524", "PDF")</f>
        <v>PDF</v>
      </c>
      <c r="D2549" s="5" t="s">
        <v>22886</v>
      </c>
      <c r="E2549" s="5" t="s">
        <v>22887</v>
      </c>
      <c r="F2549" s="5"/>
      <c r="G2549" s="5" t="s">
        <v>22888</v>
      </c>
      <c r="H2549" s="1" t="s">
        <v>22889</v>
      </c>
      <c r="I2549" s="5" t="s">
        <v>22890</v>
      </c>
      <c r="J2549" s="7">
        <v>46</v>
      </c>
      <c r="K2549" s="7">
        <v>10.8</v>
      </c>
      <c r="L2549" s="5" t="s">
        <v>22891</v>
      </c>
      <c r="M2549" s="7">
        <v>0.67500000000000004</v>
      </c>
      <c r="N2549" s="7">
        <v>0.4</v>
      </c>
      <c r="O2549" s="7">
        <v>2.258</v>
      </c>
      <c r="P2549" s="1" t="s">
        <v>22892</v>
      </c>
    </row>
    <row r="2550" spans="1:16" ht="33.4" x14ac:dyDescent="0.3">
      <c r="A2550" s="6" t="str">
        <f>HYPERLINK("https://www.ti.com/product/LP3996-Q1", "LP3996-Q1")</f>
        <v>LP3996-Q1</v>
      </c>
      <c r="B2550" s="5" t="s">
        <v>22893</v>
      </c>
      <c r="C2550" s="6" t="str">
        <f>HYPERLINK("https://www.ti.com/lit/gpn/LP3996-Q1", "PDF")</f>
        <v>PDF</v>
      </c>
      <c r="D2550" s="5" t="s">
        <v>22894</v>
      </c>
      <c r="E2550" s="5" t="s">
        <v>22895</v>
      </c>
      <c r="F2550" s="5"/>
      <c r="G2550" s="5" t="s">
        <v>22896</v>
      </c>
      <c r="H2550" s="1" t="s">
        <v>22897</v>
      </c>
      <c r="I2550" s="5" t="s">
        <v>22898</v>
      </c>
      <c r="J2550" s="7">
        <v>10</v>
      </c>
      <c r="K2550" s="7">
        <v>9</v>
      </c>
      <c r="L2550" s="5" t="s">
        <v>22899</v>
      </c>
      <c r="M2550" s="7">
        <v>0.8</v>
      </c>
      <c r="N2550" s="7">
        <v>0.5</v>
      </c>
      <c r="O2550" s="7">
        <v>0.44800000000000001</v>
      </c>
      <c r="P2550" s="1" t="s">
        <v>22900</v>
      </c>
    </row>
    <row r="2551" spans="1:16" ht="33.4" x14ac:dyDescent="0.3">
      <c r="A2551" s="6" t="str">
        <f>HYPERLINK("https://www.ti.com/product/CSD23381F4", "CSD23381F4")</f>
        <v>CSD23381F4</v>
      </c>
      <c r="B2551" s="5" t="s">
        <v>22901</v>
      </c>
      <c r="C2551" s="6" t="str">
        <f>HYPERLINK("https://www.ti.com/lit/gpn/CSD23381F4", "PDF")</f>
        <v>PDF</v>
      </c>
      <c r="D2551" s="5" t="s">
        <v>22902</v>
      </c>
      <c r="E2551" s="5" t="s">
        <v>22903</v>
      </c>
      <c r="F2551" s="5"/>
      <c r="G2551" s="5" t="s">
        <v>22904</v>
      </c>
      <c r="H2551" s="1" t="s">
        <v>22905</v>
      </c>
      <c r="I2551" s="5" t="s">
        <v>22906</v>
      </c>
      <c r="J2551" s="7">
        <v>3</v>
      </c>
      <c r="K2551" s="7">
        <v>0.65722499999999995</v>
      </c>
      <c r="L2551" s="5" t="s">
        <v>22907</v>
      </c>
      <c r="M2551" s="7">
        <v>0.36</v>
      </c>
      <c r="N2551" s="7">
        <v>0.35</v>
      </c>
      <c r="O2551" s="7">
        <v>3.5000000000000003E-2</v>
      </c>
      <c r="P2551" s="1" t="s">
        <v>22908</v>
      </c>
    </row>
    <row r="2552" spans="1:16" ht="33.4" x14ac:dyDescent="0.3">
      <c r="A2552" s="6" t="str">
        <f>HYPERLINK("https://www.ti.com/product/CSD25483F4", "CSD25483F4")</f>
        <v>CSD25483F4</v>
      </c>
      <c r="B2552" s="5" t="s">
        <v>22909</v>
      </c>
      <c r="C2552" s="6" t="str">
        <f>HYPERLINK("https://www.ti.com/lit/gpn/CSD25483F4", "PDF")</f>
        <v>PDF</v>
      </c>
      <c r="D2552" s="5" t="s">
        <v>22910</v>
      </c>
      <c r="E2552" s="5" t="s">
        <v>22911</v>
      </c>
      <c r="F2552" s="5"/>
      <c r="G2552" s="5" t="s">
        <v>22912</v>
      </c>
      <c r="H2552" s="1" t="s">
        <v>22913</v>
      </c>
      <c r="I2552" s="5" t="s">
        <v>22914</v>
      </c>
      <c r="J2552" s="7">
        <v>3</v>
      </c>
      <c r="K2552" s="7">
        <v>0.65722499999999995</v>
      </c>
      <c r="L2552" s="5" t="s">
        <v>22915</v>
      </c>
      <c r="M2552" s="7">
        <v>0.36</v>
      </c>
      <c r="N2552" s="7">
        <v>0.35</v>
      </c>
      <c r="O2552" s="7">
        <v>4.2000000000000003E-2</v>
      </c>
      <c r="P2552" s="1" t="s">
        <v>22916</v>
      </c>
    </row>
    <row r="2553" spans="1:16" ht="49.75" x14ac:dyDescent="0.3">
      <c r="A2553" s="6" t="str">
        <f>HYPERLINK("https://www.ti.com/product/TPS65642A", "TPS65642A")</f>
        <v>TPS65642A</v>
      </c>
      <c r="B2553" s="5" t="s">
        <v>22917</v>
      </c>
      <c r="C2553" s="6" t="str">
        <f>HYPERLINK("https://www.ti.com/lit/gpn/TPS65642A", "PDF")</f>
        <v>PDF</v>
      </c>
      <c r="D2553" s="5" t="s">
        <v>22918</v>
      </c>
      <c r="E2553" s="5" t="s">
        <v>22919</v>
      </c>
      <c r="F2553" s="5" t="s">
        <v>22920</v>
      </c>
      <c r="G2553" s="5" t="s">
        <v>22921</v>
      </c>
      <c r="H2553" s="1" t="s">
        <v>22922</v>
      </c>
      <c r="I2553" s="5" t="s">
        <v>22923</v>
      </c>
      <c r="J2553" s="7">
        <v>56</v>
      </c>
      <c r="K2553" s="7">
        <v>10.799999999999999</v>
      </c>
      <c r="L2553" s="5" t="s">
        <v>22924</v>
      </c>
      <c r="M2553" s="7">
        <v>0.625</v>
      </c>
      <c r="N2553" s="7">
        <v>0.4</v>
      </c>
      <c r="O2553" s="7">
        <v>0.91500000000000004</v>
      </c>
      <c r="P2553" s="1" t="s">
        <v>22925</v>
      </c>
    </row>
    <row r="2554" spans="1:16" ht="33.4" x14ac:dyDescent="0.3">
      <c r="A2554" s="6" t="str">
        <f>HYPERLINK("https://www.ti.com/product/TPS65311-Q1", "TPS65311-Q1")</f>
        <v>TPS65311-Q1</v>
      </c>
      <c r="B2554" s="5" t="s">
        <v>22926</v>
      </c>
      <c r="C2554" s="6" t="str">
        <f>HYPERLINK("https://www.ti.com/lit/gpn/TPS65311-Q1", "PDF")</f>
        <v>PDF</v>
      </c>
      <c r="D2554" s="5" t="s">
        <v>22927</v>
      </c>
      <c r="E2554" s="5" t="s">
        <v>22928</v>
      </c>
      <c r="F2554" s="5"/>
      <c r="G2554" s="5" t="s">
        <v>22929</v>
      </c>
      <c r="H2554" s="1" t="s">
        <v>22930</v>
      </c>
      <c r="I2554" s="5" t="s">
        <v>22931</v>
      </c>
      <c r="J2554" s="7">
        <v>56</v>
      </c>
      <c r="K2554" s="7">
        <v>64</v>
      </c>
      <c r="L2554" s="5" t="s">
        <v>22932</v>
      </c>
      <c r="M2554" s="7">
        <v>1</v>
      </c>
      <c r="N2554" s="7">
        <v>0.5</v>
      </c>
      <c r="O2554" s="7">
        <v>3.6429999999999998</v>
      </c>
      <c r="P2554" s="1" t="s">
        <v>22933</v>
      </c>
    </row>
    <row r="2555" spans="1:16" ht="49.75" x14ac:dyDescent="0.3">
      <c r="A2555" s="6" t="str">
        <f>HYPERLINK("https://www.ti.com/product/LM3248", "LM3248")</f>
        <v>LM3248</v>
      </c>
      <c r="B2555" s="5" t="s">
        <v>22934</v>
      </c>
      <c r="C2555" s="6" t="str">
        <f>HYPERLINK("https://www.ti.com/lit/gpn/LM3248", "PDF")</f>
        <v>PDF</v>
      </c>
      <c r="D2555" s="5" t="s">
        <v>22935</v>
      </c>
      <c r="E2555" s="5" t="s">
        <v>22936</v>
      </c>
      <c r="F2555" s="5" t="s">
        <v>22937</v>
      </c>
      <c r="G2555" s="5" t="s">
        <v>22938</v>
      </c>
      <c r="H2555" s="1" t="s">
        <v>22939</v>
      </c>
      <c r="I2555" s="5" t="s">
        <v>22940</v>
      </c>
      <c r="J2555" s="7">
        <v>30</v>
      </c>
      <c r="K2555" s="7">
        <v>5.7199999999999989</v>
      </c>
      <c r="L2555" s="5" t="s">
        <v>22941</v>
      </c>
      <c r="M2555" s="7">
        <v>0.67500000000000004</v>
      </c>
      <c r="N2555" s="7">
        <v>0.4</v>
      </c>
      <c r="O2555" s="7">
        <v>0.93500000000000005</v>
      </c>
      <c r="P2555" s="1" t="s">
        <v>22942</v>
      </c>
    </row>
    <row r="2556" spans="1:16" ht="33.4" x14ac:dyDescent="0.3">
      <c r="A2556" s="6" t="str">
        <f>HYPERLINK("https://www.ti.com/product/TPS51624", "TPS51624")</f>
        <v>TPS51624</v>
      </c>
      <c r="B2556" s="5" t="s">
        <v>22943</v>
      </c>
      <c r="C2556" s="6" t="str">
        <f>HYPERLINK("https://www.ti.com/lit/gpn/TPS51624", "PDF")</f>
        <v>PDF</v>
      </c>
      <c r="D2556" s="5" t="s">
        <v>22944</v>
      </c>
      <c r="E2556" s="5" t="s">
        <v>22945</v>
      </c>
      <c r="F2556" s="5" t="s">
        <v>22946</v>
      </c>
      <c r="G2556" s="5" t="s">
        <v>22947</v>
      </c>
      <c r="H2556" s="1" t="s">
        <v>22948</v>
      </c>
      <c r="I2556" s="5" t="s">
        <v>22949</v>
      </c>
      <c r="J2556" s="7">
        <v>32</v>
      </c>
      <c r="K2556" s="7">
        <v>16</v>
      </c>
      <c r="L2556" s="5" t="s">
        <v>22950</v>
      </c>
      <c r="M2556" s="7">
        <v>1</v>
      </c>
      <c r="N2556" s="7">
        <v>0.4</v>
      </c>
      <c r="O2556" s="7">
        <v>1.837</v>
      </c>
      <c r="P2556" s="1" t="s">
        <v>22951</v>
      </c>
    </row>
    <row r="2557" spans="1:16" ht="33.4" x14ac:dyDescent="0.3">
      <c r="A2557" s="6" t="str">
        <f>HYPERLINK("https://www.ti.com/product/TPS65581", "TPS65581")</f>
        <v>TPS65581</v>
      </c>
      <c r="B2557" s="5" t="s">
        <v>22952</v>
      </c>
      <c r="C2557" s="6" t="str">
        <f>HYPERLINK("https://www.ti.com/lit/gpn/TPS65581", "PDF")</f>
        <v>PDF</v>
      </c>
      <c r="D2557" s="5" t="s">
        <v>22953</v>
      </c>
      <c r="E2557" s="5" t="s">
        <v>22954</v>
      </c>
      <c r="F2557" s="5" t="s">
        <v>22955</v>
      </c>
      <c r="G2557" s="5" t="s">
        <v>22956</v>
      </c>
      <c r="H2557" s="1" t="s">
        <v>22957</v>
      </c>
      <c r="I2557" s="5" t="s">
        <v>22958</v>
      </c>
      <c r="J2557" s="7">
        <v>20</v>
      </c>
      <c r="K2557" s="7">
        <v>41.6</v>
      </c>
      <c r="L2557" s="5" t="s">
        <v>22959</v>
      </c>
      <c r="M2557" s="7">
        <v>1.2</v>
      </c>
      <c r="N2557" s="7">
        <v>0.65</v>
      </c>
      <c r="O2557" s="7">
        <v>1.67</v>
      </c>
      <c r="P2557" s="1" t="s">
        <v>22960</v>
      </c>
    </row>
    <row r="2558" spans="1:16" ht="17.05" x14ac:dyDescent="0.3">
      <c r="A2558" s="6" t="str">
        <f>HYPERLINK("https://www.ti.com/product/TPS65154", "TPS65154")</f>
        <v>TPS65154</v>
      </c>
      <c r="B2558" s="5" t="s">
        <v>22961</v>
      </c>
      <c r="C2558" s="6" t="str">
        <f>HYPERLINK("https://www.ti.com/lit/gpn/TPS65154", "PDF")</f>
        <v>PDF</v>
      </c>
      <c r="D2558" s="5" t="s">
        <v>22962</v>
      </c>
      <c r="E2558" s="5" t="s">
        <v>22963</v>
      </c>
      <c r="F2558" s="5" t="s">
        <v>22964</v>
      </c>
      <c r="G2558" s="5" t="s">
        <v>22965</v>
      </c>
      <c r="H2558" s="1" t="s">
        <v>22966</v>
      </c>
      <c r="I2558" s="5" t="s">
        <v>22967</v>
      </c>
      <c r="J2558" s="7">
        <v>48</v>
      </c>
      <c r="K2558" s="7">
        <v>36</v>
      </c>
      <c r="L2558" s="5" t="s">
        <v>22968</v>
      </c>
      <c r="M2558" s="7">
        <v>1</v>
      </c>
      <c r="N2558" s="7">
        <v>0.4</v>
      </c>
      <c r="O2558" s="7">
        <v>1.619</v>
      </c>
      <c r="P2558" s="1" t="s">
        <v>22969</v>
      </c>
    </row>
    <row r="2559" spans="1:16" ht="33.4" x14ac:dyDescent="0.3">
      <c r="A2559" s="6" t="str">
        <f>HYPERLINK("https://www.ti.com/product/CSD13202Q2", "CSD13202Q2")</f>
        <v>CSD13202Q2</v>
      </c>
      <c r="B2559" s="5" t="s">
        <v>22970</v>
      </c>
      <c r="C2559" s="6" t="str">
        <f>HYPERLINK("https://www.ti.com/lit/gpn/CSD13202Q2", "PDF")</f>
        <v>PDF</v>
      </c>
      <c r="D2559" s="5" t="s">
        <v>22971</v>
      </c>
      <c r="E2559" s="5" t="s">
        <v>22972</v>
      </c>
      <c r="F2559" s="5"/>
      <c r="G2559" s="5" t="s">
        <v>22973</v>
      </c>
      <c r="H2559" s="1" t="s">
        <v>22974</v>
      </c>
      <c r="I2559" s="5" t="s">
        <v>22975</v>
      </c>
      <c r="J2559" s="7">
        <v>6</v>
      </c>
      <c r="K2559" s="7">
        <v>4</v>
      </c>
      <c r="L2559" s="5" t="s">
        <v>22976</v>
      </c>
      <c r="M2559" s="7">
        <v>0.8</v>
      </c>
      <c r="N2559" s="7">
        <v>0.65</v>
      </c>
      <c r="O2559" s="7">
        <v>8.8999999999999996E-2</v>
      </c>
      <c r="P2559" s="1" t="s">
        <v>22977</v>
      </c>
    </row>
    <row r="2560" spans="1:16" ht="33.4" x14ac:dyDescent="0.3">
      <c r="A2560" s="6" t="str">
        <f>HYPERLINK("https://www.ti.com/product/LM5121", "LM5121")</f>
        <v>LM5121</v>
      </c>
      <c r="B2560" s="5" t="s">
        <v>22978</v>
      </c>
      <c r="C2560" s="6" t="str">
        <f>HYPERLINK("https://www.ti.com/lit/gpn/LM5121", "PDF")</f>
        <v>PDF</v>
      </c>
      <c r="D2560" s="5" t="s">
        <v>22979</v>
      </c>
      <c r="E2560" s="5" t="s">
        <v>22980</v>
      </c>
      <c r="F2560" s="5" t="s">
        <v>22981</v>
      </c>
      <c r="G2560" s="5" t="s">
        <v>22982</v>
      </c>
      <c r="H2560" s="1" t="s">
        <v>22983</v>
      </c>
      <c r="I2560" s="5" t="s">
        <v>22984</v>
      </c>
      <c r="J2560" s="7">
        <v>20</v>
      </c>
      <c r="K2560" s="7">
        <v>41.6</v>
      </c>
      <c r="L2560" s="5" t="s">
        <v>22985</v>
      </c>
      <c r="M2560" s="7">
        <v>1.2</v>
      </c>
      <c r="N2560" s="7">
        <v>0.65</v>
      </c>
      <c r="O2560" s="7">
        <v>2.0030000000000001</v>
      </c>
      <c r="P2560" s="1" t="s">
        <v>22986</v>
      </c>
    </row>
    <row r="2561" spans="1:16" ht="33.4" x14ac:dyDescent="0.3">
      <c r="A2561" s="6" t="str">
        <f>HYPERLINK("https://www.ti.com/product/LM5121-Q1", "LM5121-Q1")</f>
        <v>LM5121-Q1</v>
      </c>
      <c r="B2561" s="5" t="s">
        <v>22987</v>
      </c>
      <c r="C2561" s="6" t="str">
        <f>HYPERLINK("https://www.ti.com/lit/gpn/LM5121-Q1", "PDF")</f>
        <v>PDF</v>
      </c>
      <c r="D2561" s="5" t="s">
        <v>22988</v>
      </c>
      <c r="E2561" s="5" t="s">
        <v>22989</v>
      </c>
      <c r="F2561" s="5" t="s">
        <v>22990</v>
      </c>
      <c r="G2561" s="5" t="s">
        <v>22991</v>
      </c>
      <c r="H2561" s="1" t="s">
        <v>22992</v>
      </c>
      <c r="I2561" s="5" t="s">
        <v>22993</v>
      </c>
      <c r="J2561" s="7">
        <v>20</v>
      </c>
      <c r="K2561" s="7">
        <v>41.6</v>
      </c>
      <c r="L2561" s="5" t="s">
        <v>22994</v>
      </c>
      <c r="M2561" s="7">
        <v>1.2</v>
      </c>
      <c r="N2561" s="7">
        <v>0.65</v>
      </c>
      <c r="O2561" s="7">
        <v>2.3639999999999999</v>
      </c>
      <c r="P2561" s="1" t="s">
        <v>22995</v>
      </c>
    </row>
    <row r="2562" spans="1:16" ht="17.05" x14ac:dyDescent="0.3">
      <c r="A2562" s="6" t="str">
        <f>HYPERLINK("https://www.ti.com/product/TPS22963C", "TPS22963C")</f>
        <v>TPS22963C</v>
      </c>
      <c r="B2562" s="5" t="s">
        <v>22996</v>
      </c>
      <c r="C2562" s="6" t="str">
        <f>HYPERLINK("https://www.ti.com/lit/gpn/TPS22963C", "PDF")</f>
        <v>PDF</v>
      </c>
      <c r="D2562" s="5" t="s">
        <v>22997</v>
      </c>
      <c r="E2562" s="5" t="s">
        <v>22998</v>
      </c>
      <c r="F2562" s="5"/>
      <c r="G2562" s="5" t="s">
        <v>22999</v>
      </c>
      <c r="H2562" s="1" t="s">
        <v>23000</v>
      </c>
      <c r="I2562" s="5" t="s">
        <v>23001</v>
      </c>
      <c r="J2562" s="7">
        <v>6</v>
      </c>
      <c r="K2562" s="7">
        <v>2.1875</v>
      </c>
      <c r="L2562" s="5" t="s">
        <v>23002</v>
      </c>
      <c r="M2562" s="7">
        <v>0.5</v>
      </c>
      <c r="N2562" s="7">
        <v>0.5</v>
      </c>
      <c r="O2562" s="7">
        <v>0.28999999999999998</v>
      </c>
      <c r="P2562" s="1" t="s">
        <v>23003</v>
      </c>
    </row>
    <row r="2563" spans="1:16" ht="33.4" x14ac:dyDescent="0.3">
      <c r="A2563" s="6" t="str">
        <f>HYPERLINK("https://www.ti.com/product/TLV716P", "TLV716P")</f>
        <v>TLV716P</v>
      </c>
      <c r="B2563" s="5" t="s">
        <v>23004</v>
      </c>
      <c r="C2563" s="6" t="str">
        <f>HYPERLINK("https://www.ti.com/lit/gpn/TLV716P", "PDF")</f>
        <v>PDF</v>
      </c>
      <c r="D2563" s="5" t="s">
        <v>23005</v>
      </c>
      <c r="E2563" s="5" t="s">
        <v>23006</v>
      </c>
      <c r="F2563" s="5"/>
      <c r="G2563" s="5" t="s">
        <v>23007</v>
      </c>
      <c r="H2563" s="1" t="s">
        <v>23008</v>
      </c>
      <c r="I2563" s="5" t="s">
        <v>23009</v>
      </c>
      <c r="J2563" s="7">
        <v>6</v>
      </c>
      <c r="K2563" s="7">
        <v>1.44</v>
      </c>
      <c r="L2563" s="5" t="s">
        <v>23010</v>
      </c>
      <c r="M2563" s="7">
        <v>0.4</v>
      </c>
      <c r="N2563" s="7">
        <v>0.4</v>
      </c>
      <c r="O2563" s="7">
        <v>0.104</v>
      </c>
      <c r="P2563" s="1" t="s">
        <v>23011</v>
      </c>
    </row>
    <row r="2564" spans="1:16" ht="33.4" x14ac:dyDescent="0.3">
      <c r="A2564" s="6" t="str">
        <f>HYPERLINK("https://www.ti.com/product/CSD25481F4", "CSD25481F4")</f>
        <v>CSD25481F4</v>
      </c>
      <c r="B2564" s="5" t="s">
        <v>23012</v>
      </c>
      <c r="C2564" s="6" t="str">
        <f>HYPERLINK("https://www.ti.com/lit/gpn/CSD25481F4", "PDF")</f>
        <v>PDF</v>
      </c>
      <c r="D2564" s="5" t="s">
        <v>23013</v>
      </c>
      <c r="E2564" s="5" t="s">
        <v>23014</v>
      </c>
      <c r="F2564" s="5"/>
      <c r="G2564" s="5" t="s">
        <v>23015</v>
      </c>
      <c r="H2564" s="1" t="s">
        <v>23016</v>
      </c>
      <c r="I2564" s="5" t="s">
        <v>23017</v>
      </c>
      <c r="J2564" s="7">
        <v>3</v>
      </c>
      <c r="K2564" s="7">
        <v>0.65722499999999995</v>
      </c>
      <c r="L2564" s="5" t="s">
        <v>23018</v>
      </c>
      <c r="M2564" s="7">
        <v>0.36</v>
      </c>
      <c r="N2564" s="7">
        <v>0.35</v>
      </c>
      <c r="O2564" s="7">
        <v>4.8000000000000001E-2</v>
      </c>
      <c r="P2564" s="1" t="s">
        <v>23019</v>
      </c>
    </row>
    <row r="2565" spans="1:16" ht="33.4" x14ac:dyDescent="0.3">
      <c r="A2565" s="6" t="str">
        <f>HYPERLINK("https://www.ti.com/product/CSD13381F4", "CSD13381F4")</f>
        <v>CSD13381F4</v>
      </c>
      <c r="B2565" s="5" t="s">
        <v>23020</v>
      </c>
      <c r="C2565" s="6" t="str">
        <f>HYPERLINK("https://www.ti.com/lit/gpn/CSD13381F4", "PDF")</f>
        <v>PDF</v>
      </c>
      <c r="D2565" s="5" t="s">
        <v>23021</v>
      </c>
      <c r="E2565" s="5" t="s">
        <v>23022</v>
      </c>
      <c r="F2565" s="5"/>
      <c r="G2565" s="5" t="s">
        <v>23023</v>
      </c>
      <c r="H2565" s="1" t="s">
        <v>23024</v>
      </c>
      <c r="I2565" s="5" t="s">
        <v>23025</v>
      </c>
      <c r="J2565" s="7">
        <v>3</v>
      </c>
      <c r="K2565" s="7">
        <v>0.65722499999999995</v>
      </c>
      <c r="L2565" s="5" t="s">
        <v>23026</v>
      </c>
      <c r="M2565" s="7">
        <v>0.36</v>
      </c>
      <c r="N2565" s="7">
        <v>0.35</v>
      </c>
      <c r="O2565" s="7">
        <v>3.4000000000000002E-2</v>
      </c>
      <c r="P2565" s="1" t="s">
        <v>23027</v>
      </c>
    </row>
    <row r="2566" spans="1:16" ht="33.4" x14ac:dyDescent="0.3">
      <c r="A2566" s="6" t="str">
        <f>HYPERLINK("https://www.ti.com/product/TPS560200", "TPS560200")</f>
        <v>TPS560200</v>
      </c>
      <c r="B2566" s="5" t="s">
        <v>23028</v>
      </c>
      <c r="C2566" s="6" t="str">
        <f>HYPERLINK("https://www.ti.com/lit/gpn/TPS560200", "PDF")</f>
        <v>PDF</v>
      </c>
      <c r="D2566" s="5" t="s">
        <v>23029</v>
      </c>
      <c r="E2566" s="5" t="s">
        <v>23030</v>
      </c>
      <c r="F2566" s="5" t="s">
        <v>23031</v>
      </c>
      <c r="G2566" s="5" t="s">
        <v>23032</v>
      </c>
      <c r="H2566" s="1" t="s">
        <v>23033</v>
      </c>
      <c r="I2566" s="5" t="s">
        <v>23034</v>
      </c>
      <c r="J2566" s="7">
        <v>5</v>
      </c>
      <c r="K2566" s="7">
        <v>8.1199999999999992</v>
      </c>
      <c r="L2566" s="5" t="s">
        <v>23035</v>
      </c>
      <c r="M2566" s="7">
        <v>1.45</v>
      </c>
      <c r="N2566" s="7">
        <v>0.95</v>
      </c>
      <c r="O2566" s="7">
        <v>0.219</v>
      </c>
      <c r="P2566" s="1" t="s">
        <v>23036</v>
      </c>
    </row>
    <row r="2567" spans="1:16" ht="33.4" x14ac:dyDescent="0.3">
      <c r="A2567" s="6" t="str">
        <f>HYPERLINK("https://www.ti.com/product/TPS65580", "TPS65580")</f>
        <v>TPS65580</v>
      </c>
      <c r="B2567" s="5" t="s">
        <v>23037</v>
      </c>
      <c r="C2567" s="6" t="str">
        <f>HYPERLINK("https://www.ti.com/lit/gpn/TPS65580", "PDF")</f>
        <v>PDF</v>
      </c>
      <c r="D2567" s="5" t="s">
        <v>23038</v>
      </c>
      <c r="E2567" s="5" t="s">
        <v>23039</v>
      </c>
      <c r="F2567" s="5" t="s">
        <v>23040</v>
      </c>
      <c r="G2567" s="5" t="s">
        <v>23041</v>
      </c>
      <c r="H2567" s="1" t="s">
        <v>23042</v>
      </c>
      <c r="I2567" s="5" t="s">
        <v>23043</v>
      </c>
      <c r="J2567" s="7">
        <v>20</v>
      </c>
      <c r="K2567" s="7">
        <v>41.6</v>
      </c>
      <c r="L2567" s="5" t="s">
        <v>23044</v>
      </c>
      <c r="M2567" s="7">
        <v>1.2</v>
      </c>
      <c r="N2567" s="7">
        <v>0.65</v>
      </c>
      <c r="O2567" s="7">
        <v>1.67</v>
      </c>
      <c r="P2567" s="1" t="s">
        <v>23045</v>
      </c>
    </row>
    <row r="2568" spans="1:16" ht="33.4" x14ac:dyDescent="0.3">
      <c r="A2568" s="6" t="str">
        <f>HYPERLINK("https://www.ti.com/product/CSD17483F4", "CSD17483F4")</f>
        <v>CSD17483F4</v>
      </c>
      <c r="B2568" s="5" t="s">
        <v>23046</v>
      </c>
      <c r="C2568" s="6" t="str">
        <f>HYPERLINK("https://www.ti.com/lit/gpn/CSD17483F4", "PDF")</f>
        <v>PDF</v>
      </c>
      <c r="D2568" s="5" t="s">
        <v>23047</v>
      </c>
      <c r="E2568" s="5" t="s">
        <v>23048</v>
      </c>
      <c r="F2568" s="5"/>
      <c r="G2568" s="5" t="s">
        <v>23049</v>
      </c>
      <c r="H2568" s="1" t="s">
        <v>23050</v>
      </c>
      <c r="I2568" s="5" t="s">
        <v>23051</v>
      </c>
      <c r="J2568" s="7">
        <v>3</v>
      </c>
      <c r="K2568" s="7">
        <v>0.65722499999999995</v>
      </c>
      <c r="L2568" s="5" t="s">
        <v>23052</v>
      </c>
      <c r="M2568" s="7">
        <v>0.36</v>
      </c>
      <c r="N2568" s="7">
        <v>0.35</v>
      </c>
      <c r="O2568" s="7">
        <v>4.2000000000000003E-2</v>
      </c>
      <c r="P2568" s="1" t="s">
        <v>23053</v>
      </c>
    </row>
    <row r="2569" spans="1:16" ht="33.4" x14ac:dyDescent="0.3">
      <c r="A2569" s="6" t="str">
        <f>HYPERLINK("https://www.ti.com/product/CSD19531KCS", "CSD19531KCS")</f>
        <v>CSD19531KCS</v>
      </c>
      <c r="B2569" s="5" t="s">
        <v>23054</v>
      </c>
      <c r="C2569" s="6" t="str">
        <f>HYPERLINK("https://www.ti.com/lit/gpn/CSD19531KCS", "PDF")</f>
        <v>PDF</v>
      </c>
      <c r="D2569" s="5" t="s">
        <v>23055</v>
      </c>
      <c r="E2569" s="5" t="s">
        <v>23056</v>
      </c>
      <c r="F2569" s="5"/>
      <c r="G2569" s="5" t="s">
        <v>23057</v>
      </c>
      <c r="H2569" s="1" t="s">
        <v>23058</v>
      </c>
      <c r="I2569" s="5" t="s">
        <v>23059</v>
      </c>
      <c r="J2569" s="7">
        <v>3</v>
      </c>
      <c r="K2569" s="7">
        <v>46.228000000000002</v>
      </c>
      <c r="L2569" s="5" t="s">
        <v>23060</v>
      </c>
      <c r="M2569" s="7">
        <v>4.7</v>
      </c>
      <c r="N2569" s="7">
        <v>2.54</v>
      </c>
      <c r="O2569" s="7">
        <v>0.623</v>
      </c>
      <c r="P2569" s="1" t="s">
        <v>23061</v>
      </c>
    </row>
    <row r="2570" spans="1:16" ht="33.4" x14ac:dyDescent="0.3">
      <c r="A2570" s="6" t="str">
        <f>HYPERLINK("https://www.ti.com/product/CSD19531Q5A", "CSD19531Q5A")</f>
        <v>CSD19531Q5A</v>
      </c>
      <c r="B2570" s="5" t="s">
        <v>23062</v>
      </c>
      <c r="C2570" s="6" t="str">
        <f>HYPERLINK("https://www.ti.com/lit/gpn/CSD19531Q5A", "PDF")</f>
        <v>PDF</v>
      </c>
      <c r="D2570" s="5" t="s">
        <v>23063</v>
      </c>
      <c r="E2570" s="5" t="s">
        <v>23064</v>
      </c>
      <c r="F2570" s="5"/>
      <c r="G2570" s="5" t="s">
        <v>23065</v>
      </c>
      <c r="H2570" s="1" t="s">
        <v>23066</v>
      </c>
      <c r="I2570" s="5" t="s">
        <v>23067</v>
      </c>
      <c r="J2570" s="7">
        <v>8</v>
      </c>
      <c r="K2570" s="7">
        <v>29.4</v>
      </c>
      <c r="L2570" s="5" t="s">
        <v>23068</v>
      </c>
      <c r="M2570" s="7">
        <v>1.1000000000000001</v>
      </c>
      <c r="N2570" s="7">
        <v>1.27</v>
      </c>
      <c r="O2570" s="7">
        <v>0.51800000000000002</v>
      </c>
      <c r="P2570" s="1" t="s">
        <v>23069</v>
      </c>
    </row>
    <row r="2571" spans="1:16" ht="49.75" x14ac:dyDescent="0.3">
      <c r="A2571" s="6" t="str">
        <f>HYPERLINK("https://www.ti.com/product/LMZ30604", "LMZ30604")</f>
        <v>LMZ30604</v>
      </c>
      <c r="B2571" s="5" t="s">
        <v>23070</v>
      </c>
      <c r="C2571" s="6" t="str">
        <f>HYPERLINK("https://www.ti.com/lit/gpn/LMZ30604", "PDF")</f>
        <v>PDF</v>
      </c>
      <c r="D2571" s="5" t="s">
        <v>23071</v>
      </c>
      <c r="E2571" s="5" t="s">
        <v>23072</v>
      </c>
      <c r="F2571" s="5" t="s">
        <v>23073</v>
      </c>
      <c r="G2571" s="5" t="s">
        <v>23074</v>
      </c>
      <c r="H2571" s="1" t="s">
        <v>23075</v>
      </c>
      <c r="I2571" s="5" t="s">
        <v>23076</v>
      </c>
      <c r="J2571" s="7">
        <v>39</v>
      </c>
      <c r="K2571" s="7">
        <v>99</v>
      </c>
      <c r="L2571" s="5" t="s">
        <v>23077</v>
      </c>
      <c r="M2571" s="7">
        <v>2.9</v>
      </c>
      <c r="N2571" s="7">
        <v>0.9</v>
      </c>
      <c r="O2571" s="7">
        <v>2.5299999999999998</v>
      </c>
      <c r="P2571" s="1" t="s">
        <v>23078</v>
      </c>
    </row>
    <row r="2572" spans="1:16" ht="49.75" x14ac:dyDescent="0.3">
      <c r="A2572" s="6" t="str">
        <f>HYPERLINK("https://www.ti.com/product/LMZ30606", "LMZ30606")</f>
        <v>LMZ30606</v>
      </c>
      <c r="B2572" s="5" t="s">
        <v>23079</v>
      </c>
      <c r="C2572" s="6" t="str">
        <f>HYPERLINK("https://www.ti.com/lit/gpn/LMZ30606", "PDF")</f>
        <v>PDF</v>
      </c>
      <c r="D2572" s="5" t="s">
        <v>23080</v>
      </c>
      <c r="E2572" s="5" t="s">
        <v>23081</v>
      </c>
      <c r="F2572" s="5" t="s">
        <v>23082</v>
      </c>
      <c r="G2572" s="5" t="s">
        <v>23083</v>
      </c>
      <c r="H2572" s="1" t="s">
        <v>23084</v>
      </c>
      <c r="I2572" s="5" t="s">
        <v>23085</v>
      </c>
      <c r="J2572" s="7">
        <v>39</v>
      </c>
      <c r="K2572" s="7">
        <v>99</v>
      </c>
      <c r="L2572" s="5" t="s">
        <v>23086</v>
      </c>
      <c r="M2572" s="7">
        <v>2.9</v>
      </c>
      <c r="N2572" s="7">
        <v>0.9</v>
      </c>
      <c r="O2572" s="7">
        <v>3.105</v>
      </c>
      <c r="P2572" s="1" t="s">
        <v>23087</v>
      </c>
    </row>
    <row r="2573" spans="1:16" ht="33.4" x14ac:dyDescent="0.3">
      <c r="A2573" s="6" t="str">
        <f>HYPERLINK("https://www.ti.com/product/LMZ31503", "LMZ31503")</f>
        <v>LMZ31503</v>
      </c>
      <c r="B2573" s="5" t="s">
        <v>23088</v>
      </c>
      <c r="C2573" s="6" t="str">
        <f>HYPERLINK("https://www.ti.com/lit/gpn/LMZ31503", "PDF")</f>
        <v>PDF</v>
      </c>
      <c r="D2573" s="5" t="s">
        <v>23089</v>
      </c>
      <c r="E2573" s="5" t="s">
        <v>23090</v>
      </c>
      <c r="F2573" s="5" t="s">
        <v>23091</v>
      </c>
      <c r="G2573" s="5" t="s">
        <v>23092</v>
      </c>
      <c r="H2573" s="1" t="s">
        <v>23093</v>
      </c>
      <c r="I2573" s="5" t="s">
        <v>23094</v>
      </c>
      <c r="J2573" s="7">
        <v>47</v>
      </c>
      <c r="K2573" s="7">
        <v>135</v>
      </c>
      <c r="L2573" s="5" t="s">
        <v>23095</v>
      </c>
      <c r="M2573" s="7">
        <v>2.9</v>
      </c>
      <c r="N2573" s="7">
        <v>0.9</v>
      </c>
      <c r="O2573" s="7">
        <v>4.7439999999999998</v>
      </c>
      <c r="P2573" s="1" t="s">
        <v>23096</v>
      </c>
    </row>
    <row r="2574" spans="1:16" ht="33.4" x14ac:dyDescent="0.3">
      <c r="A2574" s="6" t="str">
        <f>HYPERLINK("https://www.ti.com/product/LMZ31506", "LMZ31506")</f>
        <v>LMZ31506</v>
      </c>
      <c r="B2574" s="5" t="s">
        <v>23097</v>
      </c>
      <c r="C2574" s="6" t="str">
        <f>HYPERLINK("https://www.ti.com/lit/gpn/LMZ31506", "PDF")</f>
        <v>PDF</v>
      </c>
      <c r="D2574" s="5" t="s">
        <v>23098</v>
      </c>
      <c r="E2574" s="5" t="s">
        <v>23099</v>
      </c>
      <c r="F2574" s="5" t="s">
        <v>23100</v>
      </c>
      <c r="G2574" s="5" t="s">
        <v>23101</v>
      </c>
      <c r="H2574" s="1" t="s">
        <v>23102</v>
      </c>
      <c r="I2574" s="5" t="s">
        <v>23103</v>
      </c>
      <c r="J2574" s="7">
        <v>47</v>
      </c>
      <c r="K2574" s="7">
        <v>135</v>
      </c>
      <c r="L2574" s="5" t="s">
        <v>23104</v>
      </c>
      <c r="M2574" s="7">
        <v>2.9</v>
      </c>
      <c r="N2574" s="7">
        <v>0.9</v>
      </c>
      <c r="O2574" s="7">
        <v>5.9160000000000004</v>
      </c>
      <c r="P2574" s="1" t="s">
        <v>23105</v>
      </c>
    </row>
    <row r="2575" spans="1:16" ht="17.05" x14ac:dyDescent="0.3">
      <c r="A2575" s="6" t="str">
        <f>HYPERLINK("https://www.ti.com/product/LMZ31506H", "LMZ31506H")</f>
        <v>LMZ31506H</v>
      </c>
      <c r="B2575" s="5" t="s">
        <v>23106</v>
      </c>
      <c r="C2575" s="6" t="str">
        <f>HYPERLINK("https://www.ti.com/lit/gpn/LMZ31506H", "PDF")</f>
        <v>PDF</v>
      </c>
      <c r="D2575" s="5" t="s">
        <v>23107</v>
      </c>
      <c r="E2575" s="5" t="s">
        <v>23108</v>
      </c>
      <c r="F2575" s="5" t="s">
        <v>23109</v>
      </c>
      <c r="G2575" s="5" t="s">
        <v>23110</v>
      </c>
      <c r="H2575" s="1" t="s">
        <v>23111</v>
      </c>
      <c r="I2575" s="5" t="s">
        <v>23112</v>
      </c>
      <c r="J2575" s="7">
        <v>47</v>
      </c>
      <c r="K2575" s="7">
        <v>135</v>
      </c>
      <c r="L2575" s="5" t="s">
        <v>23113</v>
      </c>
      <c r="M2575" s="7">
        <v>2.9</v>
      </c>
      <c r="N2575" s="7">
        <v>0.9</v>
      </c>
      <c r="O2575" s="7">
        <v>6.3250000000000002</v>
      </c>
      <c r="P2575" s="1" t="s">
        <v>23114</v>
      </c>
    </row>
    <row r="2576" spans="1:16" ht="33.4" x14ac:dyDescent="0.3">
      <c r="A2576" s="6" t="str">
        <f>HYPERLINK("https://www.ti.com/product/LMZ31710", "LMZ31710")</f>
        <v>LMZ31710</v>
      </c>
      <c r="B2576" s="5" t="s">
        <v>23115</v>
      </c>
      <c r="C2576" s="6" t="str">
        <f>HYPERLINK("https://www.ti.com/lit/gpn/LMZ31710", "PDF")</f>
        <v>PDF</v>
      </c>
      <c r="D2576" s="5" t="s">
        <v>23116</v>
      </c>
      <c r="E2576" s="5" t="s">
        <v>23117</v>
      </c>
      <c r="F2576" s="5" t="s">
        <v>23118</v>
      </c>
      <c r="G2576" s="5" t="s">
        <v>23119</v>
      </c>
      <c r="H2576" s="1" t="s">
        <v>23120</v>
      </c>
      <c r="I2576" s="5" t="s">
        <v>23121</v>
      </c>
      <c r="J2576" s="7">
        <v>42</v>
      </c>
      <c r="K2576" s="7">
        <v>100</v>
      </c>
      <c r="L2576" s="5" t="s">
        <v>23122</v>
      </c>
      <c r="M2576" s="7">
        <v>4.4000000000000004</v>
      </c>
      <c r="N2576" s="7">
        <v>0.8</v>
      </c>
      <c r="O2576" s="7">
        <v>8.8989999999999991</v>
      </c>
      <c r="P2576" s="1" t="s">
        <v>23123</v>
      </c>
    </row>
    <row r="2577" spans="1:16" ht="33.4" x14ac:dyDescent="0.3">
      <c r="A2577" s="6" t="str">
        <f>HYPERLINK("https://www.ti.com/product/LMZ35003", "LMZ35003")</f>
        <v>LMZ35003</v>
      </c>
      <c r="B2577" s="5" t="s">
        <v>23124</v>
      </c>
      <c r="C2577" s="6" t="str">
        <f>HYPERLINK("https://www.ti.com/lit/gpn/LMZ35003", "PDF")</f>
        <v>PDF</v>
      </c>
      <c r="D2577" s="5" t="s">
        <v>23125</v>
      </c>
      <c r="E2577" s="5" t="s">
        <v>23126</v>
      </c>
      <c r="F2577" s="5" t="s">
        <v>23127</v>
      </c>
      <c r="G2577" s="5" t="s">
        <v>23128</v>
      </c>
      <c r="H2577" s="1" t="s">
        <v>23129</v>
      </c>
      <c r="I2577" s="5" t="s">
        <v>23130</v>
      </c>
      <c r="J2577" s="7">
        <v>41</v>
      </c>
      <c r="K2577" s="7">
        <v>99</v>
      </c>
      <c r="L2577" s="5" t="s">
        <v>23131</v>
      </c>
      <c r="M2577" s="7">
        <v>2.9</v>
      </c>
      <c r="N2577" s="7">
        <v>0.9</v>
      </c>
      <c r="O2577" s="7">
        <v>8.5890000000000004</v>
      </c>
      <c r="P2577" s="1" t="s">
        <v>23132</v>
      </c>
    </row>
    <row r="2578" spans="1:16" ht="49.75" x14ac:dyDescent="0.3">
      <c r="A2578" s="6" t="str">
        <f>HYPERLINK("https://www.ti.com/product/LMZ30602", "LMZ30602")</f>
        <v>LMZ30602</v>
      </c>
      <c r="B2578" s="5" t="s">
        <v>23133</v>
      </c>
      <c r="C2578" s="6" t="str">
        <f>HYPERLINK("https://www.ti.com/lit/gpn/LMZ30602", "PDF")</f>
        <v>PDF</v>
      </c>
      <c r="D2578" s="5" t="s">
        <v>23134</v>
      </c>
      <c r="E2578" s="5" t="s">
        <v>23135</v>
      </c>
      <c r="F2578" s="5" t="s">
        <v>23136</v>
      </c>
      <c r="G2578" s="5" t="s">
        <v>23137</v>
      </c>
      <c r="H2578" s="1" t="s">
        <v>23138</v>
      </c>
      <c r="I2578" s="5" t="s">
        <v>23139</v>
      </c>
      <c r="J2578" s="7">
        <v>39</v>
      </c>
      <c r="K2578" s="7">
        <v>99</v>
      </c>
      <c r="L2578" s="5" t="s">
        <v>23140</v>
      </c>
      <c r="M2578" s="7">
        <v>2.9</v>
      </c>
      <c r="N2578" s="7">
        <v>0.9</v>
      </c>
      <c r="O2578" s="7">
        <v>2.0699999999999998</v>
      </c>
      <c r="P2578" s="1" t="s">
        <v>23141</v>
      </c>
    </row>
    <row r="2579" spans="1:16" ht="17.05" x14ac:dyDescent="0.3">
      <c r="A2579" s="6" t="str">
        <f>HYPERLINK("https://www.ti.com/product/LMZ34002", "LMZ34002")</f>
        <v>LMZ34002</v>
      </c>
      <c r="B2579" s="5" t="s">
        <v>23142</v>
      </c>
      <c r="C2579" s="6" t="str">
        <f>HYPERLINK("https://www.ti.com/lit/gpn/LMZ34002", "PDF")</f>
        <v>PDF</v>
      </c>
      <c r="D2579" s="5" t="s">
        <v>23143</v>
      </c>
      <c r="E2579" s="5" t="s">
        <v>23144</v>
      </c>
      <c r="F2579" s="5" t="s">
        <v>23145</v>
      </c>
      <c r="G2579" s="5" t="s">
        <v>23146</v>
      </c>
      <c r="H2579" s="1" t="s">
        <v>23147</v>
      </c>
      <c r="I2579" s="5" t="s">
        <v>23148</v>
      </c>
      <c r="J2579" s="7">
        <v>41</v>
      </c>
      <c r="K2579" s="7">
        <v>99</v>
      </c>
      <c r="L2579" s="5" t="s">
        <v>23149</v>
      </c>
      <c r="M2579" s="7">
        <v>2.9</v>
      </c>
      <c r="N2579" s="7">
        <v>0.9</v>
      </c>
      <c r="O2579" s="7">
        <v>7.391</v>
      </c>
      <c r="P2579" s="1" t="s">
        <v>23150</v>
      </c>
    </row>
    <row r="2580" spans="1:16" ht="33.4" x14ac:dyDescent="0.3">
      <c r="A2580" s="6" t="str">
        <f>HYPERLINK("https://www.ti.com/product/LP3988-Q1", "LP3988-Q1")</f>
        <v>LP3988-Q1</v>
      </c>
      <c r="B2580" s="5" t="s">
        <v>23151</v>
      </c>
      <c r="C2580" s="6" t="str">
        <f>HYPERLINK("https://www.ti.com/lit/gpn/LP3988-Q1", "PDF")</f>
        <v>PDF</v>
      </c>
      <c r="D2580" s="5" t="s">
        <v>23152</v>
      </c>
      <c r="E2580" s="5" t="s">
        <v>23153</v>
      </c>
      <c r="F2580" s="5"/>
      <c r="G2580" s="5" t="s">
        <v>23154</v>
      </c>
      <c r="H2580" s="1" t="s">
        <v>23155</v>
      </c>
      <c r="I2580" s="5" t="s">
        <v>23156</v>
      </c>
      <c r="J2580" s="7">
        <v>5</v>
      </c>
      <c r="K2580" s="7">
        <v>8.1199999999999992</v>
      </c>
      <c r="L2580" s="5" t="s">
        <v>23157</v>
      </c>
      <c r="M2580" s="7">
        <v>1.45</v>
      </c>
      <c r="N2580" s="7">
        <v>0.95</v>
      </c>
      <c r="O2580" s="7">
        <v>0.30399999999999999</v>
      </c>
      <c r="P2580" s="1" t="s">
        <v>23158</v>
      </c>
    </row>
    <row r="2581" spans="1:16" ht="33.4" x14ac:dyDescent="0.3">
      <c r="A2581" s="6" t="str">
        <f>HYPERLINK("https://www.ti.com/product/TPS51622A", "TPS51622A")</f>
        <v>TPS51622A</v>
      </c>
      <c r="B2581" s="5" t="s">
        <v>23159</v>
      </c>
      <c r="C2581" s="6" t="str">
        <f>HYPERLINK("https://www.ti.com/lit/gpn/TPS51622A", "PDF")</f>
        <v>PDF</v>
      </c>
      <c r="D2581" s="5" t="s">
        <v>23160</v>
      </c>
      <c r="E2581" s="5" t="s">
        <v>23161</v>
      </c>
      <c r="F2581" s="5" t="s">
        <v>23162</v>
      </c>
      <c r="G2581" s="5" t="s">
        <v>23163</v>
      </c>
      <c r="H2581" s="1" t="s">
        <v>23164</v>
      </c>
      <c r="I2581" s="5" t="s">
        <v>23165</v>
      </c>
      <c r="J2581" s="7">
        <v>32</v>
      </c>
      <c r="K2581" s="7">
        <v>16</v>
      </c>
      <c r="L2581" s="5" t="s">
        <v>23166</v>
      </c>
      <c r="M2581" s="7">
        <v>1</v>
      </c>
      <c r="N2581" s="7">
        <v>0.4</v>
      </c>
      <c r="O2581" s="7">
        <v>0.75900000000000001</v>
      </c>
      <c r="P2581" s="1" t="s">
        <v>23167</v>
      </c>
    </row>
    <row r="2582" spans="1:16" ht="33.4" x14ac:dyDescent="0.3">
      <c r="A2582" s="6" t="str">
        <f>HYPERLINK("https://www.ti.com/product/TPS51631A", "TPS51631A")</f>
        <v>TPS51631A</v>
      </c>
      <c r="B2582" s="5" t="s">
        <v>23168</v>
      </c>
      <c r="C2582" s="6" t="str">
        <f>HYPERLINK("https://www.ti.com/lit/gpn/TPS51631A", "PDF")</f>
        <v>PDF</v>
      </c>
      <c r="D2582" s="5" t="s">
        <v>23169</v>
      </c>
      <c r="E2582" s="5" t="s">
        <v>23170</v>
      </c>
      <c r="F2582" s="5" t="s">
        <v>23171</v>
      </c>
      <c r="G2582" s="5" t="s">
        <v>23172</v>
      </c>
      <c r="H2582" s="1" t="s">
        <v>23173</v>
      </c>
      <c r="I2582" s="5" t="s">
        <v>23174</v>
      </c>
      <c r="J2582" s="7">
        <v>32</v>
      </c>
      <c r="K2582" s="7">
        <v>16</v>
      </c>
      <c r="L2582" s="5" t="s">
        <v>23175</v>
      </c>
      <c r="M2582" s="7">
        <v>1</v>
      </c>
      <c r="N2582" s="7">
        <v>0.4</v>
      </c>
      <c r="O2582" s="7">
        <v>2.06</v>
      </c>
      <c r="P2582" s="1" t="s">
        <v>23176</v>
      </c>
    </row>
    <row r="2583" spans="1:16" ht="33.4" x14ac:dyDescent="0.3">
      <c r="A2583" s="6" t="str">
        <f>HYPERLINK("https://www.ti.com/product/LM27403", "LM27403")</f>
        <v>LM27403</v>
      </c>
      <c r="B2583" s="5" t="s">
        <v>23177</v>
      </c>
      <c r="C2583" s="6" t="str">
        <f>HYPERLINK("https://www.ti.com/lit/gpn/LM27403", "PDF")</f>
        <v>PDF</v>
      </c>
      <c r="D2583" s="5" t="s">
        <v>23178</v>
      </c>
      <c r="E2583" s="5" t="s">
        <v>23179</v>
      </c>
      <c r="F2583" s="5" t="s">
        <v>23180</v>
      </c>
      <c r="G2583" s="5" t="s">
        <v>23181</v>
      </c>
      <c r="H2583" s="1" t="s">
        <v>23182</v>
      </c>
      <c r="I2583" s="5" t="s">
        <v>23183</v>
      </c>
      <c r="J2583" s="7">
        <v>24</v>
      </c>
      <c r="K2583" s="7">
        <v>16</v>
      </c>
      <c r="L2583" s="5" t="s">
        <v>23184</v>
      </c>
      <c r="M2583" s="7">
        <v>0.8</v>
      </c>
      <c r="N2583" s="7">
        <v>0.5</v>
      </c>
      <c r="O2583" s="7">
        <v>1.1639999999999999</v>
      </c>
      <c r="P2583" s="1" t="s">
        <v>23185</v>
      </c>
    </row>
    <row r="2584" spans="1:16" ht="33.4" x14ac:dyDescent="0.3">
      <c r="A2584" s="6" t="str">
        <f>HYPERLINK("https://www.ti.com/product/TPS92074", "TPS92074")</f>
        <v>TPS92074</v>
      </c>
      <c r="B2584" s="5" t="s">
        <v>23186</v>
      </c>
      <c r="C2584" s="6" t="str">
        <f>HYPERLINK("https://www.ti.com/lit/gpn/TPS92074", "PDF")</f>
        <v>PDF</v>
      </c>
      <c r="D2584" s="5" t="s">
        <v>23187</v>
      </c>
      <c r="E2584" s="5" t="s">
        <v>23188</v>
      </c>
      <c r="F2584" s="5" t="s">
        <v>23189</v>
      </c>
      <c r="G2584" s="5" t="s">
        <v>23190</v>
      </c>
      <c r="H2584" s="1" t="s">
        <v>23191</v>
      </c>
      <c r="I2584" s="5" t="s">
        <v>23192</v>
      </c>
      <c r="J2584" s="7" t="s">
        <v>23193</v>
      </c>
      <c r="K2584" s="7" t="s">
        <v>23194</v>
      </c>
      <c r="L2584" s="5" t="s">
        <v>23195</v>
      </c>
      <c r="M2584" s="7" t="s">
        <v>23196</v>
      </c>
      <c r="N2584" s="7" t="s">
        <v>23197</v>
      </c>
      <c r="O2584" s="7">
        <v>0.40300000000000002</v>
      </c>
      <c r="P2584" s="1" t="s">
        <v>23198</v>
      </c>
    </row>
    <row r="2585" spans="1:16" ht="33.4" x14ac:dyDescent="0.3">
      <c r="A2585" s="6" t="str">
        <f>HYPERLINK("https://www.ti.com/product/LM34919C-Q1", "LM34919C-Q1")</f>
        <v>LM34919C-Q1</v>
      </c>
      <c r="B2585" s="5" t="s">
        <v>23199</v>
      </c>
      <c r="C2585" s="6" t="str">
        <f>HYPERLINK("https://www.ti.com/lit/gpn/LM34919C-Q1", "PDF")</f>
        <v>PDF</v>
      </c>
      <c r="D2585" s="5" t="s">
        <v>23200</v>
      </c>
      <c r="E2585" s="5" t="s">
        <v>23201</v>
      </c>
      <c r="F2585" s="5" t="s">
        <v>23202</v>
      </c>
      <c r="G2585" s="5" t="s">
        <v>23203</v>
      </c>
      <c r="H2585" s="1" t="s">
        <v>23204</v>
      </c>
      <c r="I2585" s="5" t="s">
        <v>23205</v>
      </c>
      <c r="J2585" s="7">
        <v>12</v>
      </c>
      <c r="K2585" s="7" t="s">
        <v>23206</v>
      </c>
      <c r="L2585" s="5" t="s">
        <v>23207</v>
      </c>
      <c r="M2585" s="7" t="s">
        <v>23208</v>
      </c>
      <c r="N2585" s="7">
        <v>0.5</v>
      </c>
      <c r="O2585" s="7">
        <v>1.2170000000000001</v>
      </c>
      <c r="P2585" s="1" t="s">
        <v>23209</v>
      </c>
    </row>
    <row r="2586" spans="1:16" ht="33.4" x14ac:dyDescent="0.3">
      <c r="A2586" s="6" t="str">
        <f>HYPERLINK("https://www.ti.com/product/LMR12007", "LMR12007")</f>
        <v>LMR12007</v>
      </c>
      <c r="B2586" s="5" t="s">
        <v>23210</v>
      </c>
      <c r="C2586" s="6" t="str">
        <f>HYPERLINK("https://www.ti.com/lit/gpn/LMR12007", "PDF")</f>
        <v>PDF</v>
      </c>
      <c r="D2586" s="5" t="s">
        <v>23211</v>
      </c>
      <c r="E2586" s="5" t="s">
        <v>23212</v>
      </c>
      <c r="F2586" s="5" t="s">
        <v>23213</v>
      </c>
      <c r="G2586" s="5" t="s">
        <v>23214</v>
      </c>
      <c r="H2586" s="1" t="s">
        <v>23215</v>
      </c>
      <c r="I2586" s="5" t="s">
        <v>23216</v>
      </c>
      <c r="J2586" s="7">
        <v>6</v>
      </c>
      <c r="K2586" s="7">
        <v>8.1199999999999992</v>
      </c>
      <c r="L2586" s="5" t="s">
        <v>23217</v>
      </c>
      <c r="M2586" s="7">
        <v>1.1000000000000001</v>
      </c>
      <c r="N2586" s="7">
        <v>0.95</v>
      </c>
      <c r="O2586" s="7">
        <v>0.78100000000000003</v>
      </c>
      <c r="P2586" s="1" t="s">
        <v>23218</v>
      </c>
    </row>
    <row r="2587" spans="1:16" ht="33.4" x14ac:dyDescent="0.3">
      <c r="A2587" s="6" t="str">
        <f>HYPERLINK("https://www.ti.com/product/TPS61232", "TPS61232")</f>
        <v>TPS61232</v>
      </c>
      <c r="B2587" s="5" t="s">
        <v>23219</v>
      </c>
      <c r="C2587" s="6" t="str">
        <f>HYPERLINK("https://www.ti.com/lit/gpn/TPS61232", "PDF")</f>
        <v>PDF</v>
      </c>
      <c r="D2587" s="5" t="s">
        <v>23220</v>
      </c>
      <c r="E2587" s="5" t="s">
        <v>23221</v>
      </c>
      <c r="F2587" s="5" t="s">
        <v>23222</v>
      </c>
      <c r="G2587" s="5" t="s">
        <v>23223</v>
      </c>
      <c r="H2587" s="1" t="s">
        <v>23224</v>
      </c>
      <c r="I2587" s="5" t="s">
        <v>23225</v>
      </c>
      <c r="J2587" s="7">
        <v>10</v>
      </c>
      <c r="K2587" s="7">
        <v>9</v>
      </c>
      <c r="L2587" s="5" t="s">
        <v>23226</v>
      </c>
      <c r="M2587" s="7">
        <v>1</v>
      </c>
      <c r="N2587" s="7">
        <v>0.5</v>
      </c>
      <c r="O2587" s="7">
        <v>1.0580000000000001</v>
      </c>
      <c r="P2587" s="1" t="s">
        <v>23227</v>
      </c>
    </row>
    <row r="2588" spans="1:16" ht="33.4" x14ac:dyDescent="0.3">
      <c r="A2588" s="6" t="str">
        <f>HYPERLINK("https://www.ti.com/product/TPS7A66-Q1", "TPS7A66-Q1")</f>
        <v>TPS7A66-Q1</v>
      </c>
      <c r="B2588" s="5" t="s">
        <v>23228</v>
      </c>
      <c r="C2588" s="6" t="str">
        <f>HYPERLINK("https://www.ti.com/lit/gpn/TPS7A66-Q1", "PDF")</f>
        <v>PDF</v>
      </c>
      <c r="D2588" s="5" t="s">
        <v>23229</v>
      </c>
      <c r="E2588" s="5" t="s">
        <v>23230</v>
      </c>
      <c r="F2588" s="5"/>
      <c r="G2588" s="5" t="s">
        <v>23231</v>
      </c>
      <c r="H2588" s="1" t="s">
        <v>23232</v>
      </c>
      <c r="I2588" s="5" t="s">
        <v>23233</v>
      </c>
      <c r="J2588" s="7">
        <v>8</v>
      </c>
      <c r="K2588" s="7">
        <v>14.7</v>
      </c>
      <c r="L2588" s="5" t="s">
        <v>23234</v>
      </c>
      <c r="M2588" s="7">
        <v>1.1000000000000001</v>
      </c>
      <c r="N2588" s="7">
        <v>0.65</v>
      </c>
      <c r="O2588" s="7">
        <v>0.66800000000000004</v>
      </c>
      <c r="P2588" s="1" t="s">
        <v>23235</v>
      </c>
    </row>
    <row r="2589" spans="1:16" ht="33.4" x14ac:dyDescent="0.3">
      <c r="A2589" s="6" t="str">
        <f>HYPERLINK("https://www.ti.com/product/UCC27211A", "UCC27211A")</f>
        <v>UCC27211A</v>
      </c>
      <c r="B2589" s="5" t="s">
        <v>23236</v>
      </c>
      <c r="C2589" s="6" t="str">
        <f>HYPERLINK("https://www.ti.com/lit/gpn/UCC27211A", "PDF")</f>
        <v>PDF</v>
      </c>
      <c r="D2589" s="5" t="s">
        <v>23237</v>
      </c>
      <c r="E2589" s="5" t="s">
        <v>23238</v>
      </c>
      <c r="F2589" s="5"/>
      <c r="G2589" s="5" t="s">
        <v>23239</v>
      </c>
      <c r="H2589" s="1" t="s">
        <v>23240</v>
      </c>
      <c r="I2589" s="5" t="s">
        <v>23241</v>
      </c>
      <c r="J2589" s="7">
        <v>8</v>
      </c>
      <c r="K2589" s="7">
        <v>16</v>
      </c>
      <c r="L2589" s="5" t="s">
        <v>23242</v>
      </c>
      <c r="M2589" s="7">
        <v>1</v>
      </c>
      <c r="N2589" s="7">
        <v>0.8</v>
      </c>
      <c r="O2589" s="7">
        <v>0.82699999999999996</v>
      </c>
      <c r="P2589" s="1" t="s">
        <v>23243</v>
      </c>
    </row>
    <row r="2590" spans="1:16" ht="33.4" x14ac:dyDescent="0.3">
      <c r="A2590" s="6" t="str">
        <f>HYPERLINK("https://www.ti.com/product/TPS65175B", "TPS65175B")</f>
        <v>TPS65175B</v>
      </c>
      <c r="B2590" s="5" t="s">
        <v>23244</v>
      </c>
      <c r="C2590" s="6" t="str">
        <f>HYPERLINK("https://www.ti.com/lit/gpn/TPS65175B", "PDF")</f>
        <v>PDF</v>
      </c>
      <c r="D2590" s="5" t="s">
        <v>23245</v>
      </c>
      <c r="E2590" s="5" t="s">
        <v>23246</v>
      </c>
      <c r="F2590" s="5" t="s">
        <v>23247</v>
      </c>
      <c r="G2590" s="5" t="s">
        <v>23248</v>
      </c>
      <c r="H2590" s="1" t="s">
        <v>23249</v>
      </c>
      <c r="I2590" s="5" t="s">
        <v>23250</v>
      </c>
      <c r="J2590" s="7">
        <v>56</v>
      </c>
      <c r="K2590" s="7">
        <v>49</v>
      </c>
      <c r="L2590" s="5" t="s">
        <v>23251</v>
      </c>
      <c r="M2590" s="7">
        <v>1</v>
      </c>
      <c r="N2590" s="7">
        <v>0.4</v>
      </c>
      <c r="O2590" s="7">
        <v>1.4079999999999999</v>
      </c>
      <c r="P2590" s="1" t="s">
        <v>23252</v>
      </c>
    </row>
    <row r="2591" spans="1:16" ht="33.4" x14ac:dyDescent="0.3">
      <c r="A2591" s="6" t="str">
        <f>HYPERLINK("https://www.ti.com/product/TPS65000-Q1", "TPS65000-Q1")</f>
        <v>TPS65000-Q1</v>
      </c>
      <c r="B2591" s="5" t="s">
        <v>23253</v>
      </c>
      <c r="C2591" s="6" t="str">
        <f>HYPERLINK("https://www.ti.com/lit/gpn/TPS65000-Q1", "PDF")</f>
        <v>PDF</v>
      </c>
      <c r="D2591" s="5" t="s">
        <v>23254</v>
      </c>
      <c r="E2591" s="5" t="s">
        <v>23255</v>
      </c>
      <c r="F2591" s="5"/>
      <c r="G2591" s="5" t="s">
        <v>23256</v>
      </c>
      <c r="H2591" s="1" t="s">
        <v>23257</v>
      </c>
      <c r="I2591" s="5" t="s">
        <v>23258</v>
      </c>
      <c r="J2591" s="7">
        <v>16</v>
      </c>
      <c r="K2591" s="7">
        <v>9</v>
      </c>
      <c r="L2591" s="5" t="s">
        <v>23259</v>
      </c>
      <c r="M2591" s="7">
        <v>0.8</v>
      </c>
      <c r="N2591" s="7">
        <v>0.5</v>
      </c>
      <c r="O2591" s="7">
        <v>0.89400000000000002</v>
      </c>
      <c r="P2591" s="1" t="s">
        <v>23260</v>
      </c>
    </row>
    <row r="2592" spans="1:16" ht="49.75" x14ac:dyDescent="0.3">
      <c r="A2592" s="6" t="str">
        <f>HYPERLINK("https://www.ti.com/product/TLV702-Q1", "TLV702-Q1")</f>
        <v>TLV702-Q1</v>
      </c>
      <c r="B2592" s="5" t="s">
        <v>23261</v>
      </c>
      <c r="C2592" s="6" t="str">
        <f>HYPERLINK("https://www.ti.com/lit/gpn/TLV702-Q1", "PDF")</f>
        <v>PDF</v>
      </c>
      <c r="D2592" s="5" t="s">
        <v>23262</v>
      </c>
      <c r="E2592" s="5" t="s">
        <v>23263</v>
      </c>
      <c r="F2592" s="5"/>
      <c r="G2592" s="5" t="s">
        <v>23264</v>
      </c>
      <c r="H2592" s="1" t="s">
        <v>23265</v>
      </c>
      <c r="I2592" s="5" t="s">
        <v>23266</v>
      </c>
      <c r="J2592" s="7" t="s">
        <v>23267</v>
      </c>
      <c r="K2592" s="7" t="s">
        <v>23268</v>
      </c>
      <c r="L2592" s="5" t="s">
        <v>23269</v>
      </c>
      <c r="M2592" s="7" t="s">
        <v>23270</v>
      </c>
      <c r="N2592" s="7" t="s">
        <v>23271</v>
      </c>
      <c r="O2592" s="7">
        <v>0.19600000000000001</v>
      </c>
      <c r="P2592" s="1" t="s">
        <v>23272</v>
      </c>
    </row>
    <row r="2593" spans="1:16" ht="33.4" x14ac:dyDescent="0.3">
      <c r="A2593" s="6" t="str">
        <f>HYPERLINK("https://www.ti.com/product/TPS43330A-Q1", "TPS43330A-Q1")</f>
        <v>TPS43330A-Q1</v>
      </c>
      <c r="B2593" s="5" t="s">
        <v>23273</v>
      </c>
      <c r="C2593" s="6" t="str">
        <f>HYPERLINK("https://www.ti.com/lit/gpn/TPS43330A-Q1", "PDF")</f>
        <v>PDF</v>
      </c>
      <c r="D2593" s="5" t="s">
        <v>23274</v>
      </c>
      <c r="E2593" s="5" t="s">
        <v>23275</v>
      </c>
      <c r="F2593" s="5"/>
      <c r="G2593" s="5" t="s">
        <v>23276</v>
      </c>
      <c r="H2593" s="1" t="s">
        <v>23277</v>
      </c>
      <c r="I2593" s="5" t="s">
        <v>23278</v>
      </c>
      <c r="J2593" s="7">
        <v>38</v>
      </c>
      <c r="K2593" s="7">
        <v>101.25</v>
      </c>
      <c r="L2593" s="5" t="s">
        <v>23279</v>
      </c>
      <c r="M2593" s="7">
        <v>1.2</v>
      </c>
      <c r="N2593" s="7">
        <v>0.65</v>
      </c>
      <c r="O2593" s="7">
        <v>2.5350000000000001</v>
      </c>
      <c r="P2593" s="1" t="s">
        <v>23280</v>
      </c>
    </row>
    <row r="2594" spans="1:16" ht="33.4" x14ac:dyDescent="0.3">
      <c r="A2594" s="6" t="str">
        <f>HYPERLINK("https://www.ti.com/product/UCC27517A-Q1", "UCC27517A-Q1")</f>
        <v>UCC27517A-Q1</v>
      </c>
      <c r="B2594" s="5" t="s">
        <v>23281</v>
      </c>
      <c r="C2594" s="6" t="str">
        <f>HYPERLINK("https://www.ti.com/lit/gpn/UCC27517A-Q1", "PDF")</f>
        <v>PDF</v>
      </c>
      <c r="D2594" s="5" t="s">
        <v>23282</v>
      </c>
      <c r="E2594" s="5" t="s">
        <v>23283</v>
      </c>
      <c r="F2594" s="5"/>
      <c r="G2594" s="5" t="s">
        <v>23284</v>
      </c>
      <c r="H2594" s="1" t="s">
        <v>23285</v>
      </c>
      <c r="I2594" s="5" t="s">
        <v>23286</v>
      </c>
      <c r="J2594" s="7">
        <v>5</v>
      </c>
      <c r="K2594" s="7">
        <v>8.1199999999999992</v>
      </c>
      <c r="L2594" s="5" t="s">
        <v>23287</v>
      </c>
      <c r="M2594" s="7">
        <v>1.45</v>
      </c>
      <c r="N2594" s="7">
        <v>0.95</v>
      </c>
      <c r="O2594" s="7">
        <v>0.495</v>
      </c>
      <c r="P2594" s="1" t="s">
        <v>23288</v>
      </c>
    </row>
    <row r="2595" spans="1:16" ht="33.4" x14ac:dyDescent="0.3">
      <c r="A2595" s="6" t="str">
        <f>HYPERLINK("https://www.ti.com/product/UCC27518A-Q1", "UCC27518A-Q1")</f>
        <v>UCC27518A-Q1</v>
      </c>
      <c r="B2595" s="5" t="s">
        <v>23289</v>
      </c>
      <c r="C2595" s="6" t="str">
        <f>HYPERLINK("https://www.ti.com/lit/gpn/UCC27518A-Q1", "PDF")</f>
        <v>PDF</v>
      </c>
      <c r="D2595" s="5" t="s">
        <v>23290</v>
      </c>
      <c r="E2595" s="5" t="s">
        <v>23291</v>
      </c>
      <c r="F2595" s="5"/>
      <c r="G2595" s="5" t="s">
        <v>23292</v>
      </c>
      <c r="H2595" s="1" t="s">
        <v>23293</v>
      </c>
      <c r="I2595" s="5" t="s">
        <v>23294</v>
      </c>
      <c r="J2595" s="7">
        <v>5</v>
      </c>
      <c r="K2595" s="7">
        <v>8.1199999999999992</v>
      </c>
      <c r="L2595" s="5" t="s">
        <v>23295</v>
      </c>
      <c r="M2595" s="7">
        <v>1.45</v>
      </c>
      <c r="N2595" s="7">
        <v>0.95</v>
      </c>
      <c r="O2595" s="7">
        <v>0.495</v>
      </c>
      <c r="P2595" s="1" t="s">
        <v>23296</v>
      </c>
    </row>
    <row r="2596" spans="1:16" ht="33.4" x14ac:dyDescent="0.3">
      <c r="A2596" s="6" t="str">
        <f>HYPERLINK("https://www.ti.com/product/UCC27531-Q1", "UCC27531-Q1")</f>
        <v>UCC27531-Q1</v>
      </c>
      <c r="B2596" s="5" t="s">
        <v>23297</v>
      </c>
      <c r="C2596" s="6" t="str">
        <f>HYPERLINK("https://www.ti.com/lit/gpn/UCC27531-Q1", "PDF")</f>
        <v>PDF</v>
      </c>
      <c r="D2596" s="5" t="s">
        <v>23298</v>
      </c>
      <c r="E2596" s="5" t="s">
        <v>23299</v>
      </c>
      <c r="F2596" s="5"/>
      <c r="G2596" s="5" t="s">
        <v>23300</v>
      </c>
      <c r="H2596" s="1" t="s">
        <v>23301</v>
      </c>
      <c r="I2596" s="5" t="s">
        <v>23302</v>
      </c>
      <c r="J2596" s="7">
        <v>6</v>
      </c>
      <c r="K2596" s="7">
        <v>8.1199999999999992</v>
      </c>
      <c r="L2596" s="5" t="s">
        <v>23303</v>
      </c>
      <c r="M2596" s="7">
        <v>1.45</v>
      </c>
      <c r="N2596" s="7">
        <v>0.95</v>
      </c>
      <c r="O2596" s="7">
        <v>0.58099999999999996</v>
      </c>
      <c r="P2596" s="1" t="s">
        <v>23304</v>
      </c>
    </row>
    <row r="2597" spans="1:16" ht="33.4" x14ac:dyDescent="0.3">
      <c r="A2597" s="6" t="str">
        <f>HYPERLINK("https://www.ti.com/product/UCC27517A", "UCC27517A")</f>
        <v>UCC27517A</v>
      </c>
      <c r="B2597" s="5" t="s">
        <v>23305</v>
      </c>
      <c r="C2597" s="6" t="str">
        <f>HYPERLINK("https://www.ti.com/lit/gpn/UCC27517A", "PDF")</f>
        <v>PDF</v>
      </c>
      <c r="D2597" s="5" t="s">
        <v>23306</v>
      </c>
      <c r="E2597" s="5" t="s">
        <v>23307</v>
      </c>
      <c r="F2597" s="5"/>
      <c r="G2597" s="5" t="s">
        <v>23308</v>
      </c>
      <c r="H2597" s="1" t="s">
        <v>23309</v>
      </c>
      <c r="I2597" s="5" t="s">
        <v>23310</v>
      </c>
      <c r="J2597" s="7">
        <v>5</v>
      </c>
      <c r="K2597" s="7">
        <v>8.1199999999999992</v>
      </c>
      <c r="L2597" s="5" t="s">
        <v>23311</v>
      </c>
      <c r="M2597" s="7">
        <v>1.45</v>
      </c>
      <c r="N2597" s="7">
        <v>0.95</v>
      </c>
      <c r="O2597" s="7">
        <v>0.30299999999999999</v>
      </c>
      <c r="P2597" s="1" t="s">
        <v>23312</v>
      </c>
    </row>
    <row r="2598" spans="1:16" ht="17.05" x14ac:dyDescent="0.3">
      <c r="A2598" s="6" t="str">
        <f>HYPERLINK("https://www.ti.com/product/LM4041-N-Q1", "LM4041-N-Q1")</f>
        <v>LM4041-N-Q1</v>
      </c>
      <c r="B2598" s="5" t="s">
        <v>23313</v>
      </c>
      <c r="C2598" s="6" t="str">
        <f>HYPERLINK("https://www.ti.com/lit/gpn/LM4041-N-Q1", "PDF")</f>
        <v>PDF</v>
      </c>
      <c r="D2598" s="5" t="s">
        <v>23314</v>
      </c>
      <c r="E2598" s="5" t="s">
        <v>23315</v>
      </c>
      <c r="F2598" s="5"/>
      <c r="G2598" s="5" t="s">
        <v>23316</v>
      </c>
      <c r="H2598" s="1" t="s">
        <v>23317</v>
      </c>
      <c r="I2598" s="5" t="s">
        <v>23318</v>
      </c>
      <c r="J2598" s="7">
        <v>3</v>
      </c>
      <c r="K2598" s="7">
        <v>6.9203999999999999</v>
      </c>
      <c r="L2598" s="5" t="s">
        <v>23319</v>
      </c>
      <c r="M2598" s="7">
        <v>1.1200000000000001</v>
      </c>
      <c r="N2598" s="7">
        <v>0.96</v>
      </c>
      <c r="O2598" s="7">
        <v>0.32800000000000001</v>
      </c>
      <c r="P2598" s="1" t="s">
        <v>23320</v>
      </c>
    </row>
    <row r="2599" spans="1:16" ht="33.4" x14ac:dyDescent="0.3">
      <c r="A2599" s="6" t="str">
        <f>HYPERLINK("https://www.ti.com/product/TPS54625", "TPS54625")</f>
        <v>TPS54625</v>
      </c>
      <c r="B2599" s="5" t="s">
        <v>23321</v>
      </c>
      <c r="C2599" s="6" t="str">
        <f>HYPERLINK("https://www.ti.com/lit/gpn/TPS54625", "PDF")</f>
        <v>PDF</v>
      </c>
      <c r="D2599" s="5" t="s">
        <v>23322</v>
      </c>
      <c r="E2599" s="5" t="s">
        <v>23323</v>
      </c>
      <c r="F2599" s="5" t="s">
        <v>23324</v>
      </c>
      <c r="G2599" s="5" t="s">
        <v>23325</v>
      </c>
      <c r="H2599" s="1" t="s">
        <v>23326</v>
      </c>
      <c r="I2599" s="5" t="s">
        <v>23327</v>
      </c>
      <c r="J2599" s="7">
        <v>14</v>
      </c>
      <c r="K2599" s="7">
        <v>32</v>
      </c>
      <c r="L2599" s="5" t="s">
        <v>23328</v>
      </c>
      <c r="M2599" s="7">
        <v>1.2</v>
      </c>
      <c r="N2599" s="7">
        <v>0.65</v>
      </c>
      <c r="O2599" s="7">
        <v>0.97399999999999998</v>
      </c>
      <c r="P2599" s="1" t="s">
        <v>23329</v>
      </c>
    </row>
    <row r="2600" spans="1:16" ht="33.4" x14ac:dyDescent="0.3">
      <c r="A2600" s="6" t="str">
        <f>HYPERLINK("https://www.ti.com/product/TPS54626", "TPS54626")</f>
        <v>TPS54626</v>
      </c>
      <c r="B2600" s="5" t="s">
        <v>23330</v>
      </c>
      <c r="C2600" s="6" t="str">
        <f>HYPERLINK("https://www.ti.com/lit/gpn/TPS54626", "PDF")</f>
        <v>PDF</v>
      </c>
      <c r="D2600" s="5" t="s">
        <v>23331</v>
      </c>
      <c r="E2600" s="5" t="s">
        <v>23332</v>
      </c>
      <c r="F2600" s="5" t="s">
        <v>23333</v>
      </c>
      <c r="G2600" s="5" t="s">
        <v>23334</v>
      </c>
      <c r="H2600" s="1" t="s">
        <v>23335</v>
      </c>
      <c r="I2600" s="5" t="s">
        <v>23336</v>
      </c>
      <c r="J2600" s="7">
        <v>14</v>
      </c>
      <c r="K2600" s="7">
        <v>32</v>
      </c>
      <c r="L2600" s="5" t="s">
        <v>23337</v>
      </c>
      <c r="M2600" s="7">
        <v>1.2</v>
      </c>
      <c r="N2600" s="7">
        <v>0.65</v>
      </c>
      <c r="O2600" s="7">
        <v>0.99399999999999999</v>
      </c>
      <c r="P2600" s="1" t="s">
        <v>23338</v>
      </c>
    </row>
    <row r="2601" spans="1:16" ht="17.05" x14ac:dyDescent="0.3">
      <c r="A2601" s="6" t="str">
        <f>HYPERLINK("https://www.ti.com/product/TPS22967", "TPS22967")</f>
        <v>TPS22967</v>
      </c>
      <c r="B2601" s="5" t="s">
        <v>23339</v>
      </c>
      <c r="C2601" s="6" t="str">
        <f>HYPERLINK("https://www.ti.com/lit/gpn/TPS22967", "PDF")</f>
        <v>PDF</v>
      </c>
      <c r="D2601" s="5" t="s">
        <v>23340</v>
      </c>
      <c r="E2601" s="5" t="s">
        <v>23341</v>
      </c>
      <c r="F2601" s="5"/>
      <c r="G2601" s="5" t="s">
        <v>23342</v>
      </c>
      <c r="H2601" s="1" t="s">
        <v>23343</v>
      </c>
      <c r="I2601" s="5" t="s">
        <v>23344</v>
      </c>
      <c r="J2601" s="7">
        <v>8</v>
      </c>
      <c r="K2601" s="7">
        <v>4</v>
      </c>
      <c r="L2601" s="5" t="s">
        <v>23345</v>
      </c>
      <c r="M2601" s="7">
        <v>0.8</v>
      </c>
      <c r="N2601" s="7">
        <v>0.5</v>
      </c>
      <c r="O2601" s="7">
        <v>0.34499999999999997</v>
      </c>
      <c r="P2601" s="1" t="s">
        <v>23346</v>
      </c>
    </row>
    <row r="2602" spans="1:16" ht="33.4" x14ac:dyDescent="0.3">
      <c r="A2602" s="6" t="str">
        <f>HYPERLINK("https://www.ti.com/product/TPS61177", "TPS61177")</f>
        <v>TPS61177</v>
      </c>
      <c r="B2602" s="5" t="s">
        <v>23347</v>
      </c>
      <c r="C2602" s="6" t="str">
        <f>HYPERLINK("https://www.ti.com/lit/gpn/TPS61177", "PDF")</f>
        <v>PDF</v>
      </c>
      <c r="D2602" s="5" t="s">
        <v>23348</v>
      </c>
      <c r="E2602" s="5" t="s">
        <v>23349</v>
      </c>
      <c r="F2602" s="5" t="s">
        <v>23350</v>
      </c>
      <c r="G2602" s="5" t="s">
        <v>23351</v>
      </c>
      <c r="H2602" s="1" t="s">
        <v>23352</v>
      </c>
      <c r="I2602" s="5" t="s">
        <v>23353</v>
      </c>
      <c r="J2602" s="7">
        <v>20</v>
      </c>
      <c r="K2602" s="7">
        <v>12.25</v>
      </c>
      <c r="L2602" s="5" t="s">
        <v>23354</v>
      </c>
      <c r="M2602" s="7">
        <v>1</v>
      </c>
      <c r="N2602" s="7">
        <v>0.5</v>
      </c>
      <c r="O2602" s="7">
        <v>0.87</v>
      </c>
      <c r="P2602" s="1" t="s">
        <v>23355</v>
      </c>
    </row>
    <row r="2603" spans="1:16" ht="33.4" x14ac:dyDescent="0.3">
      <c r="A2603" s="6" t="str">
        <f>HYPERLINK("https://www.ti.com/product/TPS43337-Q1", "TPS43337-Q1")</f>
        <v>TPS43337-Q1</v>
      </c>
      <c r="B2603" s="5" t="s">
        <v>23356</v>
      </c>
      <c r="C2603" s="6" t="str">
        <f>HYPERLINK("https://www.ti.com/lit/gpn/TPS43337-Q1", "PDF")</f>
        <v>PDF</v>
      </c>
      <c r="D2603" s="5" t="s">
        <v>23357</v>
      </c>
      <c r="E2603" s="5" t="s">
        <v>23358</v>
      </c>
      <c r="F2603" s="5"/>
      <c r="G2603" s="5" t="s">
        <v>23359</v>
      </c>
      <c r="H2603" s="1" t="s">
        <v>23360</v>
      </c>
      <c r="I2603" s="5" t="s">
        <v>23361</v>
      </c>
      <c r="J2603" s="7">
        <v>38</v>
      </c>
      <c r="K2603" s="7">
        <v>101.25</v>
      </c>
      <c r="L2603" s="5" t="s">
        <v>23362</v>
      </c>
      <c r="M2603" s="7">
        <v>1.2</v>
      </c>
      <c r="N2603" s="7">
        <v>0.65</v>
      </c>
      <c r="O2603" s="7">
        <v>2.5350000000000001</v>
      </c>
      <c r="P2603" s="1" t="s">
        <v>23363</v>
      </c>
    </row>
    <row r="2604" spans="1:16" ht="33.4" x14ac:dyDescent="0.3">
      <c r="A2604" s="6" t="str">
        <f>HYPERLINK("https://www.ti.com/product/TPS62090-Q1", "TPS62090-Q1")</f>
        <v>TPS62090-Q1</v>
      </c>
      <c r="B2604" s="5" t="s">
        <v>23364</v>
      </c>
      <c r="C2604" s="6" t="str">
        <f>HYPERLINK("https://www.ti.com/lit/gpn/TPS62090-Q1", "PDF")</f>
        <v>PDF</v>
      </c>
      <c r="D2604" s="5" t="s">
        <v>23365</v>
      </c>
      <c r="E2604" s="5" t="s">
        <v>23366</v>
      </c>
      <c r="F2604" s="5" t="s">
        <v>23367</v>
      </c>
      <c r="G2604" s="5" t="s">
        <v>23368</v>
      </c>
      <c r="H2604" s="1" t="s">
        <v>23369</v>
      </c>
      <c r="I2604" s="5" t="s">
        <v>23370</v>
      </c>
      <c r="J2604" s="7">
        <v>16</v>
      </c>
      <c r="K2604" s="7">
        <v>9</v>
      </c>
      <c r="L2604" s="5" t="s">
        <v>23371</v>
      </c>
      <c r="M2604" s="7">
        <v>1</v>
      </c>
      <c r="N2604" s="7">
        <v>0.5</v>
      </c>
      <c r="O2604" s="7">
        <v>1.0860000000000001</v>
      </c>
      <c r="P2604" s="1" t="s">
        <v>23372</v>
      </c>
    </row>
    <row r="2605" spans="1:16" ht="33.4" x14ac:dyDescent="0.3">
      <c r="A2605" s="6" t="str">
        <f>HYPERLINK("https://www.ti.com/product/UCC27524A", "UCC27524A")</f>
        <v>UCC27524A</v>
      </c>
      <c r="B2605" s="5" t="s">
        <v>23373</v>
      </c>
      <c r="C2605" s="6" t="str">
        <f>HYPERLINK("https://www.ti.com/lit/gpn/UCC27524A", "PDF")</f>
        <v>PDF</v>
      </c>
      <c r="D2605" s="5" t="s">
        <v>23374</v>
      </c>
      <c r="E2605" s="5" t="s">
        <v>23375</v>
      </c>
      <c r="F2605" s="5"/>
      <c r="G2605" s="5" t="s">
        <v>23376</v>
      </c>
      <c r="H2605" s="1" t="s">
        <v>23377</v>
      </c>
      <c r="I2605" s="5" t="s">
        <v>23378</v>
      </c>
      <c r="J2605" s="7">
        <v>8</v>
      </c>
      <c r="K2605" s="7" t="s">
        <v>23379</v>
      </c>
      <c r="L2605" s="5" t="s">
        <v>23380</v>
      </c>
      <c r="M2605" s="7" t="s">
        <v>23381</v>
      </c>
      <c r="N2605" s="7" t="s">
        <v>23382</v>
      </c>
      <c r="O2605" s="7">
        <v>0.44</v>
      </c>
      <c r="P2605" s="1" t="s">
        <v>23383</v>
      </c>
    </row>
    <row r="2606" spans="1:16" ht="33.4" x14ac:dyDescent="0.3">
      <c r="A2606" s="6" t="str">
        <f>HYPERLINK("https://www.ti.com/product/TPS62065-Q1", "TPS62065-Q1")</f>
        <v>TPS62065-Q1</v>
      </c>
      <c r="B2606" s="5" t="s">
        <v>23384</v>
      </c>
      <c r="C2606" s="6" t="str">
        <f>HYPERLINK("https://www.ti.com/lit/gpn/TPS62065-Q1", "PDF")</f>
        <v>PDF</v>
      </c>
      <c r="D2606" s="5" t="s">
        <v>23385</v>
      </c>
      <c r="E2606" s="5" t="s">
        <v>23386</v>
      </c>
      <c r="F2606" s="5" t="s">
        <v>23387</v>
      </c>
      <c r="G2606" s="5" t="s">
        <v>23388</v>
      </c>
      <c r="H2606" s="1" t="s">
        <v>23389</v>
      </c>
      <c r="I2606" s="5" t="s">
        <v>23390</v>
      </c>
      <c r="J2606" s="7">
        <v>8</v>
      </c>
      <c r="K2606" s="7">
        <v>4</v>
      </c>
      <c r="L2606" s="5" t="s">
        <v>23391</v>
      </c>
      <c r="M2606" s="7">
        <v>0.8</v>
      </c>
      <c r="N2606" s="7">
        <v>0.5</v>
      </c>
      <c r="O2606" s="7">
        <v>0.85599999999999998</v>
      </c>
      <c r="P2606" s="1" t="s">
        <v>23392</v>
      </c>
    </row>
    <row r="2607" spans="1:16" ht="66.150000000000006" x14ac:dyDescent="0.3">
      <c r="A2607" s="6" t="str">
        <f>HYPERLINK("https://www.ti.com/product/TPS63051", "TPS63051")</f>
        <v>TPS63051</v>
      </c>
      <c r="B2607" s="5" t="s">
        <v>23393</v>
      </c>
      <c r="C2607" s="6" t="str">
        <f>HYPERLINK("https://www.ti.com/lit/gpn/TPS63051", "PDF")</f>
        <v>PDF</v>
      </c>
      <c r="D2607" s="5" t="s">
        <v>23394</v>
      </c>
      <c r="E2607" s="5" t="s">
        <v>23395</v>
      </c>
      <c r="F2607" s="5" t="s">
        <v>23396</v>
      </c>
      <c r="G2607" s="5" t="s">
        <v>23397</v>
      </c>
      <c r="H2607" s="1" t="s">
        <v>23398</v>
      </c>
      <c r="I2607" s="5" t="s">
        <v>23399</v>
      </c>
      <c r="J2607" s="7">
        <v>12</v>
      </c>
      <c r="K2607" s="7" t="s">
        <v>23400</v>
      </c>
      <c r="L2607" s="5" t="s">
        <v>23401</v>
      </c>
      <c r="M2607" s="7" t="s">
        <v>23402</v>
      </c>
      <c r="N2607" s="7" t="s">
        <v>23403</v>
      </c>
      <c r="O2607" s="7">
        <v>0.78</v>
      </c>
      <c r="P2607" s="1" t="s">
        <v>23404</v>
      </c>
    </row>
    <row r="2608" spans="1:16" ht="33.4" x14ac:dyDescent="0.3">
      <c r="A2608" s="6" t="str">
        <f>HYPERLINK("https://www.ti.com/product/CSD15571Q2", "CSD15571Q2")</f>
        <v>CSD15571Q2</v>
      </c>
      <c r="B2608" s="5" t="s">
        <v>23405</v>
      </c>
      <c r="C2608" s="6" t="str">
        <f>HYPERLINK("https://www.ti.com/lit/gpn/CSD15571Q2", "PDF")</f>
        <v>PDF</v>
      </c>
      <c r="D2608" s="5" t="s">
        <v>23406</v>
      </c>
      <c r="E2608" s="5" t="s">
        <v>23407</v>
      </c>
      <c r="F2608" s="5"/>
      <c r="G2608" s="5" t="s">
        <v>23408</v>
      </c>
      <c r="H2608" s="1" t="s">
        <v>23409</v>
      </c>
      <c r="I2608" s="5" t="s">
        <v>23410</v>
      </c>
      <c r="J2608" s="7">
        <v>6</v>
      </c>
      <c r="K2608" s="7">
        <v>4</v>
      </c>
      <c r="L2608" s="5" t="s">
        <v>23411</v>
      </c>
      <c r="M2608" s="7">
        <v>0.8</v>
      </c>
      <c r="N2608" s="7">
        <v>0.65</v>
      </c>
      <c r="O2608" s="7">
        <v>8.2000000000000003E-2</v>
      </c>
      <c r="P2608" s="1" t="s">
        <v>23412</v>
      </c>
    </row>
    <row r="2609" spans="1:16" ht="33.4" x14ac:dyDescent="0.3">
      <c r="A2609" s="6" t="str">
        <f>HYPERLINK("https://www.ti.com/product/TPS7A69-Q1", "TPS7A69-Q1")</f>
        <v>TPS7A69-Q1</v>
      </c>
      <c r="B2609" s="5" t="s">
        <v>23413</v>
      </c>
      <c r="C2609" s="6" t="str">
        <f>HYPERLINK("https://www.ti.com/lit/gpn/TPS7A69-Q1", "PDF")</f>
        <v>PDF</v>
      </c>
      <c r="D2609" s="5" t="s">
        <v>23414</v>
      </c>
      <c r="E2609" s="5" t="s">
        <v>23415</v>
      </c>
      <c r="F2609" s="5"/>
      <c r="G2609" s="5" t="s">
        <v>23416</v>
      </c>
      <c r="H2609" s="1" t="s">
        <v>23417</v>
      </c>
      <c r="I2609" s="5" t="s">
        <v>23418</v>
      </c>
      <c r="J2609" s="7">
        <v>8</v>
      </c>
      <c r="K2609" s="7">
        <v>29.4</v>
      </c>
      <c r="L2609" s="5" t="s">
        <v>23419</v>
      </c>
      <c r="M2609" s="7">
        <v>1.75</v>
      </c>
      <c r="N2609" s="7">
        <v>1.27</v>
      </c>
      <c r="O2609" s="7">
        <v>0.38</v>
      </c>
      <c r="P2609" s="1" t="s">
        <v>23420</v>
      </c>
    </row>
    <row r="2610" spans="1:16" ht="33.4" x14ac:dyDescent="0.3">
      <c r="A2610" s="6" t="str">
        <f>HYPERLINK("https://www.ti.com/product/TPS65287", "TPS65287")</f>
        <v>TPS65287</v>
      </c>
      <c r="B2610" s="5" t="s">
        <v>23421</v>
      </c>
      <c r="C2610" s="6" t="str">
        <f>HYPERLINK("https://www.ti.com/lit/gpn/TPS65287", "PDF")</f>
        <v>PDF</v>
      </c>
      <c r="D2610" s="5" t="s">
        <v>23422</v>
      </c>
      <c r="E2610" s="5" t="s">
        <v>23423</v>
      </c>
      <c r="F2610" s="5" t="s">
        <v>23424</v>
      </c>
      <c r="G2610" s="5" t="s">
        <v>23425</v>
      </c>
      <c r="H2610" s="1" t="s">
        <v>23426</v>
      </c>
      <c r="I2610" s="5" t="s">
        <v>23427</v>
      </c>
      <c r="J2610" s="7">
        <v>40</v>
      </c>
      <c r="K2610" s="7">
        <v>36</v>
      </c>
      <c r="L2610" s="5" t="s">
        <v>23428</v>
      </c>
      <c r="M2610" s="7">
        <v>1</v>
      </c>
      <c r="N2610" s="7">
        <v>0.5</v>
      </c>
      <c r="O2610" s="7">
        <v>1.63</v>
      </c>
      <c r="P2610" s="1" t="s">
        <v>23429</v>
      </c>
    </row>
    <row r="2611" spans="1:16" ht="33.4" x14ac:dyDescent="0.3">
      <c r="A2611" s="6" t="str">
        <f>HYPERLINK("https://www.ti.com/product/TPS65288", "TPS65288")</f>
        <v>TPS65288</v>
      </c>
      <c r="B2611" s="5" t="s">
        <v>23430</v>
      </c>
      <c r="C2611" s="6" t="str">
        <f>HYPERLINK("https://www.ti.com/lit/gpn/TPS65288", "PDF")</f>
        <v>PDF</v>
      </c>
      <c r="D2611" s="5" t="s">
        <v>23431</v>
      </c>
      <c r="E2611" s="5" t="s">
        <v>23432</v>
      </c>
      <c r="F2611" s="5" t="s">
        <v>23433</v>
      </c>
      <c r="G2611" s="5" t="s">
        <v>23434</v>
      </c>
      <c r="H2611" s="1" t="s">
        <v>23435</v>
      </c>
      <c r="I2611" s="5" t="s">
        <v>23436</v>
      </c>
      <c r="J2611" s="7">
        <v>40</v>
      </c>
      <c r="K2611" s="7">
        <v>36</v>
      </c>
      <c r="L2611" s="5" t="s">
        <v>23437</v>
      </c>
      <c r="M2611" s="7">
        <v>1</v>
      </c>
      <c r="N2611" s="7">
        <v>0.5</v>
      </c>
      <c r="O2611" s="7">
        <v>2.3279999999999998</v>
      </c>
      <c r="P2611" s="1" t="s">
        <v>23438</v>
      </c>
    </row>
    <row r="2612" spans="1:16" ht="33.4" x14ac:dyDescent="0.3">
      <c r="A2612" s="6" t="str">
        <f>HYPERLINK("https://www.ti.com/product/UC1843A-DIE", "UC1843A-DIE")</f>
        <v>UC1843A-DIE</v>
      </c>
      <c r="B2612" s="5" t="s">
        <v>23439</v>
      </c>
      <c r="C2612" s="6" t="str">
        <f>HYPERLINK("https://www.ti.com/lit/gpn/UC1843A-DIE", "PDF")</f>
        <v>PDF</v>
      </c>
      <c r="D2612" s="5" t="s">
        <v>23440</v>
      </c>
      <c r="E2612" s="5" t="s">
        <v>23441</v>
      </c>
      <c r="F2612" s="5" t="s">
        <v>23442</v>
      </c>
      <c r="G2612" s="5" t="s">
        <v>23443</v>
      </c>
      <c r="H2612" s="1" t="s">
        <v>23444</v>
      </c>
      <c r="I2612" s="5" t="s">
        <v>23445</v>
      </c>
      <c r="J2612" s="7">
        <v>0</v>
      </c>
      <c r="K2612" s="7" t="s">
        <v>23446</v>
      </c>
      <c r="L2612" s="5" t="s">
        <v>23447</v>
      </c>
      <c r="M2612" s="7" t="s">
        <v>23448</v>
      </c>
      <c r="N2612" s="7" t="s">
        <v>23449</v>
      </c>
      <c r="O2612" s="7">
        <v>403.09500000000003</v>
      </c>
      <c r="P2612" s="1" t="s">
        <v>23450</v>
      </c>
    </row>
    <row r="2613" spans="1:16" ht="33.4" x14ac:dyDescent="0.3">
      <c r="A2613" s="6" t="str">
        <f>HYPERLINK("https://www.ti.com/product/CSD13303W1015", "CSD13303W1015")</f>
        <v>CSD13303W1015</v>
      </c>
      <c r="B2613" s="5" t="s">
        <v>23451</v>
      </c>
      <c r="C2613" s="6" t="str">
        <f>HYPERLINK("https://www.ti.com/lit/gpn/CSD13303W1015", "PDF")</f>
        <v>PDF</v>
      </c>
      <c r="D2613" s="5" t="s">
        <v>23452</v>
      </c>
      <c r="E2613" s="5" t="s">
        <v>23453</v>
      </c>
      <c r="F2613" s="5"/>
      <c r="G2613" s="5" t="s">
        <v>23454</v>
      </c>
      <c r="H2613" s="1" t="s">
        <v>23455</v>
      </c>
      <c r="I2613" s="5" t="s">
        <v>23456</v>
      </c>
      <c r="J2613" s="7">
        <v>6</v>
      </c>
      <c r="K2613" s="7">
        <v>2.1875</v>
      </c>
      <c r="L2613" s="5" t="s">
        <v>23457</v>
      </c>
      <c r="M2613" s="7">
        <v>1</v>
      </c>
      <c r="N2613" s="7">
        <v>0.5</v>
      </c>
      <c r="O2613" s="7">
        <v>0.104</v>
      </c>
      <c r="P2613" s="1" t="s">
        <v>23458</v>
      </c>
    </row>
    <row r="2614" spans="1:16" ht="33.4" x14ac:dyDescent="0.3">
      <c r="A2614" s="6" t="str">
        <f>HYPERLINK("https://www.ti.com/product/TPS7A8300", "TPS7A8300")</f>
        <v>TPS7A8300</v>
      </c>
      <c r="B2614" s="5" t="s">
        <v>23459</v>
      </c>
      <c r="C2614" s="6" t="str">
        <f>HYPERLINK("https://www.ti.com/lit/gpn/TPS7A8300", "PDF")</f>
        <v>PDF</v>
      </c>
      <c r="D2614" s="5" t="s">
        <v>23460</v>
      </c>
      <c r="E2614" s="5" t="s">
        <v>23461</v>
      </c>
      <c r="F2614" s="5"/>
      <c r="G2614" s="5" t="s">
        <v>23462</v>
      </c>
      <c r="H2614" s="1" t="s">
        <v>23463</v>
      </c>
      <c r="I2614" s="5" t="s">
        <v>23464</v>
      </c>
      <c r="J2614" s="7">
        <v>20</v>
      </c>
      <c r="K2614" s="7" t="s">
        <v>23465</v>
      </c>
      <c r="L2614" s="5" t="s">
        <v>23466</v>
      </c>
      <c r="M2614" s="7">
        <v>1</v>
      </c>
      <c r="N2614" s="7" t="s">
        <v>23467</v>
      </c>
      <c r="O2614" s="7">
        <v>2.153</v>
      </c>
      <c r="P2614" s="1" t="s">
        <v>23468</v>
      </c>
    </row>
    <row r="2615" spans="1:16" ht="33.4" x14ac:dyDescent="0.3">
      <c r="A2615" s="6" t="str">
        <f>HYPERLINK("https://www.ti.com/product/CSD18563Q5A", "CSD18563Q5A")</f>
        <v>CSD18563Q5A</v>
      </c>
      <c r="B2615" s="5" t="s">
        <v>23469</v>
      </c>
      <c r="C2615" s="6" t="str">
        <f>HYPERLINK("https://www.ti.com/lit/gpn/CSD18563Q5A", "PDF")</f>
        <v>PDF</v>
      </c>
      <c r="D2615" s="5" t="s">
        <v>23470</v>
      </c>
      <c r="E2615" s="5" t="s">
        <v>23471</v>
      </c>
      <c r="F2615" s="5"/>
      <c r="G2615" s="5" t="s">
        <v>23472</v>
      </c>
      <c r="H2615" s="1" t="s">
        <v>23473</v>
      </c>
      <c r="I2615" s="5" t="s">
        <v>23474</v>
      </c>
      <c r="J2615" s="7">
        <v>8</v>
      </c>
      <c r="K2615" s="7">
        <v>29.4</v>
      </c>
      <c r="L2615" s="5" t="s">
        <v>23475</v>
      </c>
      <c r="M2615" s="7">
        <v>1.1000000000000001</v>
      </c>
      <c r="N2615" s="7">
        <v>1.27</v>
      </c>
      <c r="O2615" s="7">
        <v>0.33600000000000002</v>
      </c>
      <c r="P2615" s="1" t="s">
        <v>23476</v>
      </c>
    </row>
    <row r="2616" spans="1:16" ht="33.4" x14ac:dyDescent="0.3">
      <c r="A2616" s="6" t="str">
        <f>HYPERLINK("https://www.ti.com/product/TPS65631W", "TPS65631W")</f>
        <v>TPS65631W</v>
      </c>
      <c r="B2616" s="5" t="s">
        <v>23477</v>
      </c>
      <c r="C2616" s="6" t="str">
        <f>HYPERLINK("https://www.ti.com/lit/gpn/TPS65631W", "PDF")</f>
        <v>PDF</v>
      </c>
      <c r="D2616" s="5" t="s">
        <v>23478</v>
      </c>
      <c r="E2616" s="5" t="s">
        <v>23479</v>
      </c>
      <c r="F2616" s="5" t="s">
        <v>23480</v>
      </c>
      <c r="G2616" s="5" t="s">
        <v>23481</v>
      </c>
      <c r="H2616" s="1" t="s">
        <v>23482</v>
      </c>
      <c r="I2616" s="5" t="s">
        <v>23483</v>
      </c>
      <c r="J2616" s="7">
        <v>10</v>
      </c>
      <c r="K2616" s="7">
        <v>6.25</v>
      </c>
      <c r="L2616" s="5" t="s">
        <v>23484</v>
      </c>
      <c r="M2616" s="7">
        <v>0.8</v>
      </c>
      <c r="N2616" s="7">
        <v>0.5</v>
      </c>
      <c r="O2616" s="7">
        <v>0.57499999999999996</v>
      </c>
      <c r="P2616" s="1" t="s">
        <v>23485</v>
      </c>
    </row>
    <row r="2617" spans="1:16" ht="49.75" x14ac:dyDescent="0.3">
      <c r="A2617" s="6" t="str">
        <f>HYPERLINK("https://www.ti.com/product/TPS82698", "TPS82698")</f>
        <v>TPS82698</v>
      </c>
      <c r="B2617" s="5" t="s">
        <v>23486</v>
      </c>
      <c r="C2617" s="6" t="str">
        <f>HYPERLINK("https://www.ti.com/lit/gpn/TPS82698", "PDF")</f>
        <v>PDF</v>
      </c>
      <c r="D2617" s="5" t="s">
        <v>23487</v>
      </c>
      <c r="E2617" s="5" t="s">
        <v>23488</v>
      </c>
      <c r="F2617" s="5" t="s">
        <v>23489</v>
      </c>
      <c r="G2617" s="5" t="s">
        <v>23490</v>
      </c>
      <c r="H2617" s="1" t="s">
        <v>23491</v>
      </c>
      <c r="I2617" s="5" t="s">
        <v>23492</v>
      </c>
      <c r="J2617" s="7">
        <v>8</v>
      </c>
      <c r="K2617" s="7">
        <v>6.67</v>
      </c>
      <c r="L2617" s="5" t="s">
        <v>23493</v>
      </c>
      <c r="M2617" s="7">
        <v>1</v>
      </c>
      <c r="N2617" s="7">
        <v>1</v>
      </c>
      <c r="O2617" s="7">
        <v>1.113</v>
      </c>
      <c r="P2617" s="1" t="s">
        <v>23494</v>
      </c>
    </row>
    <row r="2618" spans="1:16" ht="17.05" x14ac:dyDescent="0.3">
      <c r="A2618" s="6" t="str">
        <f>HYPERLINK("https://www.ti.com/product/LP8557", "LP8557")</f>
        <v>LP8557</v>
      </c>
      <c r="B2618" s="5" t="s">
        <v>23495</v>
      </c>
      <c r="C2618" s="6" t="str">
        <f>HYPERLINK("https://www.ti.com/lit/gpn/LP8557", "PDF")</f>
        <v>PDF</v>
      </c>
      <c r="D2618" s="5" t="s">
        <v>23496</v>
      </c>
      <c r="E2618" s="5" t="s">
        <v>23497</v>
      </c>
      <c r="F2618" s="5" t="s">
        <v>23498</v>
      </c>
      <c r="G2618" s="5" t="s">
        <v>23499</v>
      </c>
      <c r="H2618" s="1" t="s">
        <v>23500</v>
      </c>
      <c r="I2618" s="5" t="s">
        <v>23501</v>
      </c>
      <c r="J2618" s="7">
        <v>16</v>
      </c>
      <c r="K2618" s="7">
        <v>3.24</v>
      </c>
      <c r="L2618" s="5" t="s">
        <v>23502</v>
      </c>
      <c r="M2618" s="7">
        <v>0.67500000000000004</v>
      </c>
      <c r="N2618" s="7">
        <v>0.4</v>
      </c>
      <c r="O2618" s="7">
        <v>0.73899999999999999</v>
      </c>
      <c r="P2618" s="1" t="s">
        <v>23503</v>
      </c>
    </row>
    <row r="2619" spans="1:16" ht="33.4" x14ac:dyDescent="0.3">
      <c r="A2619" s="6" t="str">
        <f>HYPERLINK("https://www.ti.com/product/CSD75207W15", "CSD75207W15")</f>
        <v>CSD75207W15</v>
      </c>
      <c r="B2619" s="5" t="s">
        <v>23504</v>
      </c>
      <c r="C2619" s="6" t="str">
        <f>HYPERLINK("https://www.ti.com/lit/gpn/CSD75207W15", "PDF")</f>
        <v>PDF</v>
      </c>
      <c r="D2619" s="5" t="s">
        <v>23505</v>
      </c>
      <c r="E2619" s="5" t="s">
        <v>23506</v>
      </c>
      <c r="F2619" s="5"/>
      <c r="G2619" s="5" t="s">
        <v>23507</v>
      </c>
      <c r="H2619" s="1" t="s">
        <v>23508</v>
      </c>
      <c r="I2619" s="5" t="s">
        <v>23509</v>
      </c>
      <c r="J2619" s="7">
        <v>9</v>
      </c>
      <c r="K2619" s="7">
        <v>3.0625</v>
      </c>
      <c r="L2619" s="5" t="s">
        <v>23510</v>
      </c>
      <c r="M2619" s="7">
        <v>0.625</v>
      </c>
      <c r="N2619" s="7">
        <v>0.5</v>
      </c>
      <c r="O2619" s="7">
        <v>0.15</v>
      </c>
      <c r="P2619" s="1" t="s">
        <v>23511</v>
      </c>
    </row>
    <row r="2620" spans="1:16" ht="33.4" x14ac:dyDescent="0.3">
      <c r="A2620" s="6" t="str">
        <f>HYPERLINK("https://www.ti.com/product/TPS62130A", "TPS62130A")</f>
        <v>TPS62130A</v>
      </c>
      <c r="B2620" s="5" t="s">
        <v>23512</v>
      </c>
      <c r="C2620" s="6" t="str">
        <f>HYPERLINK("https://www.ti.com/lit/gpn/TPS62130A", "PDF")</f>
        <v>PDF</v>
      </c>
      <c r="D2620" s="5" t="s">
        <v>23513</v>
      </c>
      <c r="E2620" s="5" t="s">
        <v>23514</v>
      </c>
      <c r="F2620" s="5" t="s">
        <v>23515</v>
      </c>
      <c r="G2620" s="5" t="s">
        <v>23516</v>
      </c>
      <c r="H2620" s="1" t="s">
        <v>23517</v>
      </c>
      <c r="I2620" s="5" t="s">
        <v>23518</v>
      </c>
      <c r="J2620" s="7">
        <v>16</v>
      </c>
      <c r="K2620" s="7">
        <v>9</v>
      </c>
      <c r="L2620" s="5" t="s">
        <v>23519</v>
      </c>
      <c r="M2620" s="7">
        <v>1</v>
      </c>
      <c r="N2620" s="7">
        <v>0.5</v>
      </c>
      <c r="O2620" s="7">
        <v>0.70699999999999996</v>
      </c>
      <c r="P2620" s="1" t="s">
        <v>23520</v>
      </c>
    </row>
    <row r="2621" spans="1:16" ht="49.75" x14ac:dyDescent="0.3">
      <c r="A2621" s="6" t="str">
        <f>HYPERLINK("https://www.ti.com/product/TPS65642", "TPS65642")</f>
        <v>TPS65642</v>
      </c>
      <c r="B2621" s="5" t="s">
        <v>23521</v>
      </c>
      <c r="C2621" s="6" t="str">
        <f>HYPERLINK("https://www.ti.com/lit/gpn/TPS65642", "PDF")</f>
        <v>PDF</v>
      </c>
      <c r="D2621" s="5" t="s">
        <v>23522</v>
      </c>
      <c r="E2621" s="5" t="s">
        <v>23523</v>
      </c>
      <c r="F2621" s="5" t="s">
        <v>23524</v>
      </c>
      <c r="G2621" s="5" t="s">
        <v>23525</v>
      </c>
      <c r="H2621" s="1" t="s">
        <v>23526</v>
      </c>
      <c r="I2621" s="5" t="s">
        <v>23527</v>
      </c>
      <c r="J2621" s="7">
        <v>56</v>
      </c>
      <c r="K2621" s="7">
        <v>10.799999999999999</v>
      </c>
      <c r="L2621" s="5" t="s">
        <v>23528</v>
      </c>
      <c r="M2621" s="7">
        <v>0.625</v>
      </c>
      <c r="N2621" s="7">
        <v>0.4</v>
      </c>
      <c r="O2621" s="7">
        <v>0.91500000000000004</v>
      </c>
      <c r="P2621" s="1" t="s">
        <v>23529</v>
      </c>
    </row>
    <row r="2622" spans="1:16" ht="33.4" x14ac:dyDescent="0.3">
      <c r="A2622" s="6" t="str">
        <f>HYPERLINK("https://www.ti.com/product/UCC28720", "UCC28720")</f>
        <v>UCC28720</v>
      </c>
      <c r="B2622" s="5" t="s">
        <v>23530</v>
      </c>
      <c r="C2622" s="6" t="str">
        <f>HYPERLINK("https://www.ti.com/lit/gpn/UCC28720", "PDF")</f>
        <v>PDF</v>
      </c>
      <c r="D2622" s="5" t="s">
        <v>23531</v>
      </c>
      <c r="E2622" s="5" t="s">
        <v>23532</v>
      </c>
      <c r="F2622" s="5" t="s">
        <v>23533</v>
      </c>
      <c r="G2622" s="5" t="s">
        <v>23534</v>
      </c>
      <c r="H2622" s="1" t="s">
        <v>23535</v>
      </c>
      <c r="I2622" s="5" t="s">
        <v>23536</v>
      </c>
      <c r="J2622" s="7">
        <v>7</v>
      </c>
      <c r="K2622" s="7">
        <v>29.4</v>
      </c>
      <c r="L2622" s="5" t="s">
        <v>23537</v>
      </c>
      <c r="M2622" s="7">
        <v>1.75</v>
      </c>
      <c r="N2622" s="7">
        <v>1.27</v>
      </c>
      <c r="O2622" s="7">
        <v>0.50600000000000001</v>
      </c>
      <c r="P2622" s="1" t="s">
        <v>23538</v>
      </c>
    </row>
    <row r="2623" spans="1:16" ht="33.4" x14ac:dyDescent="0.3">
      <c r="A2623" s="6" t="str">
        <f>HYPERLINK("https://www.ti.com/product/UCC28740", "UCC28740")</f>
        <v>UCC28740</v>
      </c>
      <c r="B2623" s="5" t="s">
        <v>23539</v>
      </c>
      <c r="C2623" s="6" t="str">
        <f>HYPERLINK("https://www.ti.com/lit/gpn/UCC28740", "PDF")</f>
        <v>PDF</v>
      </c>
      <c r="D2623" s="5" t="s">
        <v>23540</v>
      </c>
      <c r="E2623" s="5" t="s">
        <v>23541</v>
      </c>
      <c r="F2623" s="5" t="s">
        <v>23542</v>
      </c>
      <c r="G2623" s="5" t="s">
        <v>23543</v>
      </c>
      <c r="H2623" s="1" t="s">
        <v>23544</v>
      </c>
      <c r="I2623" s="5" t="s">
        <v>23545</v>
      </c>
      <c r="J2623" s="7">
        <v>7</v>
      </c>
      <c r="K2623" s="7">
        <v>29.4</v>
      </c>
      <c r="L2623" s="5" t="s">
        <v>23546</v>
      </c>
      <c r="M2623" s="7">
        <v>1.75</v>
      </c>
      <c r="N2623" s="7">
        <v>1.27</v>
      </c>
      <c r="O2623" s="7">
        <v>0.377</v>
      </c>
      <c r="P2623" s="1" t="s">
        <v>23547</v>
      </c>
    </row>
    <row r="2624" spans="1:16" ht="33.4" x14ac:dyDescent="0.3">
      <c r="A2624" s="6" t="str">
        <f>HYPERLINK("https://www.ti.com/product/LM5023", "LM5023")</f>
        <v>LM5023</v>
      </c>
      <c r="B2624" s="5" t="s">
        <v>23548</v>
      </c>
      <c r="C2624" s="6" t="str">
        <f>HYPERLINK("https://www.ti.com/lit/gpn/LM5023", "PDF")</f>
        <v>PDF</v>
      </c>
      <c r="D2624" s="5" t="s">
        <v>23549</v>
      </c>
      <c r="E2624" s="5" t="s">
        <v>23550</v>
      </c>
      <c r="F2624" s="5" t="s">
        <v>23551</v>
      </c>
      <c r="G2624" s="5" t="s">
        <v>23552</v>
      </c>
      <c r="H2624" s="1" t="s">
        <v>23553</v>
      </c>
      <c r="I2624" s="5" t="s">
        <v>23554</v>
      </c>
      <c r="J2624" s="7">
        <v>8</v>
      </c>
      <c r="K2624" s="7">
        <v>14.7</v>
      </c>
      <c r="L2624" s="5" t="s">
        <v>23555</v>
      </c>
      <c r="M2624" s="7">
        <v>1.1000000000000001</v>
      </c>
      <c r="N2624" s="7">
        <v>0.65</v>
      </c>
      <c r="O2624" s="7">
        <v>0.48099999999999998</v>
      </c>
      <c r="P2624" s="1" t="s">
        <v>23556</v>
      </c>
    </row>
    <row r="2625" spans="1:16" ht="33.4" x14ac:dyDescent="0.3">
      <c r="A2625" s="6" t="str">
        <f>HYPERLINK("https://www.ti.com/product/TPS62737", "TPS62737")</f>
        <v>TPS62737</v>
      </c>
      <c r="B2625" s="5" t="s">
        <v>23557</v>
      </c>
      <c r="C2625" s="6" t="str">
        <f>HYPERLINK("https://www.ti.com/lit/gpn/TPS62737", "PDF")</f>
        <v>PDF</v>
      </c>
      <c r="D2625" s="5" t="s">
        <v>23558</v>
      </c>
      <c r="E2625" s="5" t="s">
        <v>23559</v>
      </c>
      <c r="F2625" s="5" t="s">
        <v>23560</v>
      </c>
      <c r="G2625" s="5" t="s">
        <v>23561</v>
      </c>
      <c r="H2625" s="1" t="s">
        <v>23562</v>
      </c>
      <c r="I2625" s="5" t="s">
        <v>23563</v>
      </c>
      <c r="J2625" s="7">
        <v>14</v>
      </c>
      <c r="K2625" s="7">
        <v>12.25</v>
      </c>
      <c r="L2625" s="5" t="s">
        <v>23564</v>
      </c>
      <c r="M2625" s="7">
        <v>1</v>
      </c>
      <c r="N2625" s="7">
        <v>0.5</v>
      </c>
      <c r="O2625" s="7">
        <v>2.8090000000000002</v>
      </c>
      <c r="P2625" s="1" t="s">
        <v>23565</v>
      </c>
    </row>
    <row r="2626" spans="1:16" ht="33.4" x14ac:dyDescent="0.3">
      <c r="A2626" s="6" t="str">
        <f>HYPERLINK("https://www.ti.com/product/LM3017", "LM3017")</f>
        <v>LM3017</v>
      </c>
      <c r="B2626" s="5" t="s">
        <v>23566</v>
      </c>
      <c r="C2626" s="6" t="str">
        <f>HYPERLINK("https://www.ti.com/lit/gpn/LM3017", "PDF")</f>
        <v>PDF</v>
      </c>
      <c r="D2626" s="5" t="s">
        <v>23567</v>
      </c>
      <c r="E2626" s="5" t="s">
        <v>23568</v>
      </c>
      <c r="F2626" s="5" t="s">
        <v>23569</v>
      </c>
      <c r="G2626" s="5" t="s">
        <v>23570</v>
      </c>
      <c r="H2626" s="1" t="s">
        <v>23571</v>
      </c>
      <c r="I2626" s="5" t="s">
        <v>23572</v>
      </c>
      <c r="J2626" s="7">
        <v>10</v>
      </c>
      <c r="K2626" s="7">
        <v>6.48</v>
      </c>
      <c r="L2626" s="5" t="s">
        <v>23573</v>
      </c>
      <c r="M2626" s="7">
        <v>0.8</v>
      </c>
      <c r="N2626" s="7">
        <v>0.5</v>
      </c>
      <c r="O2626" s="7">
        <v>0.71099999999999997</v>
      </c>
      <c r="P2626" s="1" t="s">
        <v>23574</v>
      </c>
    </row>
    <row r="2627" spans="1:16" ht="33.4" x14ac:dyDescent="0.3">
      <c r="A2627" s="6" t="str">
        <f>HYPERLINK("https://www.ti.com/product/CSD22202W15", "CSD22202W15")</f>
        <v>CSD22202W15</v>
      </c>
      <c r="B2627" s="5" t="s">
        <v>23575</v>
      </c>
      <c r="C2627" s="6" t="str">
        <f>HYPERLINK("https://www.ti.com/lit/gpn/CSD22202W15", "PDF")</f>
        <v>PDF</v>
      </c>
      <c r="D2627" s="5" t="s">
        <v>23576</v>
      </c>
      <c r="E2627" s="5" t="s">
        <v>23577</v>
      </c>
      <c r="F2627" s="5"/>
      <c r="G2627" s="5" t="s">
        <v>23578</v>
      </c>
      <c r="H2627" s="1" t="s">
        <v>23579</v>
      </c>
      <c r="I2627" s="5" t="s">
        <v>23580</v>
      </c>
      <c r="J2627" s="7">
        <v>9</v>
      </c>
      <c r="K2627" s="7">
        <v>3.0625</v>
      </c>
      <c r="L2627" s="5" t="s">
        <v>23581</v>
      </c>
      <c r="M2627" s="7">
        <v>0.625</v>
      </c>
      <c r="N2627" s="7">
        <v>0.5</v>
      </c>
      <c r="O2627" s="7">
        <v>0.14299999999999999</v>
      </c>
      <c r="P2627" s="1" t="s">
        <v>23582</v>
      </c>
    </row>
    <row r="2628" spans="1:16" ht="33.4" x14ac:dyDescent="0.3">
      <c r="A2628" s="6" t="str">
        <f>HYPERLINK("https://www.ti.com/product/CSD25213W10", "CSD25213W10")</f>
        <v>CSD25213W10</v>
      </c>
      <c r="B2628" s="5" t="s">
        <v>23583</v>
      </c>
      <c r="C2628" s="6" t="str">
        <f>HYPERLINK("https://www.ti.com/lit/gpn/CSD25213W10", "PDF")</f>
        <v>PDF</v>
      </c>
      <c r="D2628" s="5" t="s">
        <v>23584</v>
      </c>
      <c r="E2628" s="5" t="s">
        <v>23585</v>
      </c>
      <c r="F2628" s="5"/>
      <c r="G2628" s="5" t="s">
        <v>23586</v>
      </c>
      <c r="H2628" s="1" t="s">
        <v>23587</v>
      </c>
      <c r="I2628" s="5" t="s">
        <v>23588</v>
      </c>
      <c r="J2628" s="7">
        <v>4</v>
      </c>
      <c r="K2628" s="7">
        <v>1.5625</v>
      </c>
      <c r="L2628" s="5" t="s">
        <v>23589</v>
      </c>
      <c r="M2628" s="7">
        <v>1</v>
      </c>
      <c r="N2628" s="7">
        <v>0.5</v>
      </c>
      <c r="O2628" s="7">
        <v>6.6000000000000003E-2</v>
      </c>
      <c r="P2628" s="1" t="s">
        <v>23590</v>
      </c>
    </row>
    <row r="2629" spans="1:16" ht="33.4" x14ac:dyDescent="0.3">
      <c r="A2629" s="6" t="str">
        <f>HYPERLINK("https://www.ti.com/product/TLV62150A", "TLV62150A")</f>
        <v>TLV62150A</v>
      </c>
      <c r="B2629" s="5" t="s">
        <v>23591</v>
      </c>
      <c r="C2629" s="6" t="str">
        <f>HYPERLINK("https://www.ti.com/lit/gpn/TLV62150A", "PDF")</f>
        <v>PDF</v>
      </c>
      <c r="D2629" s="5" t="s">
        <v>23592</v>
      </c>
      <c r="E2629" s="5" t="s">
        <v>23593</v>
      </c>
      <c r="F2629" s="5" t="s">
        <v>23594</v>
      </c>
      <c r="G2629" s="5" t="s">
        <v>23595</v>
      </c>
      <c r="H2629" s="1" t="s">
        <v>23596</v>
      </c>
      <c r="I2629" s="5" t="s">
        <v>23597</v>
      </c>
      <c r="J2629" s="7">
        <v>16</v>
      </c>
      <c r="K2629" s="7">
        <v>9</v>
      </c>
      <c r="L2629" s="5" t="s">
        <v>23598</v>
      </c>
      <c r="M2629" s="7">
        <v>1</v>
      </c>
      <c r="N2629" s="7">
        <v>0.5</v>
      </c>
      <c r="O2629" s="7">
        <v>0.52</v>
      </c>
      <c r="P2629" s="1" t="s">
        <v>23599</v>
      </c>
    </row>
    <row r="2630" spans="1:16" ht="33.4" x14ac:dyDescent="0.3">
      <c r="A2630" s="6" t="str">
        <f>HYPERLINK("https://www.ti.com/product/TPS62150A", "TPS62150A")</f>
        <v>TPS62150A</v>
      </c>
      <c r="B2630" s="5" t="s">
        <v>23600</v>
      </c>
      <c r="C2630" s="6" t="str">
        <f>HYPERLINK("https://www.ti.com/lit/gpn/TPS62150A", "PDF")</f>
        <v>PDF</v>
      </c>
      <c r="D2630" s="5" t="s">
        <v>23601</v>
      </c>
      <c r="E2630" s="5" t="s">
        <v>23602</v>
      </c>
      <c r="F2630" s="5" t="s">
        <v>23603</v>
      </c>
      <c r="G2630" s="5" t="s">
        <v>23604</v>
      </c>
      <c r="H2630" s="1" t="s">
        <v>23605</v>
      </c>
      <c r="I2630" s="5" t="s">
        <v>23606</v>
      </c>
      <c r="J2630" s="7">
        <v>16</v>
      </c>
      <c r="K2630" s="7">
        <v>9</v>
      </c>
      <c r="L2630" s="5" t="s">
        <v>23607</v>
      </c>
      <c r="M2630" s="7">
        <v>1</v>
      </c>
      <c r="N2630" s="7">
        <v>0.5</v>
      </c>
      <c r="O2630" s="7">
        <v>0.57499999999999996</v>
      </c>
      <c r="P2630" s="1" t="s">
        <v>23608</v>
      </c>
    </row>
    <row r="2631" spans="1:16" ht="33.4" x14ac:dyDescent="0.3">
      <c r="A2631" s="6" t="str">
        <f>HYPERLINK("https://www.ti.com/product/CSD18537NKCS", "CSD18537NKCS")</f>
        <v>CSD18537NKCS</v>
      </c>
      <c r="B2631" s="5" t="s">
        <v>23609</v>
      </c>
      <c r="C2631" s="6" t="str">
        <f>HYPERLINK("https://www.ti.com/lit/gpn/CSD18537NKCS", "PDF")</f>
        <v>PDF</v>
      </c>
      <c r="D2631" s="5" t="s">
        <v>23610</v>
      </c>
      <c r="E2631" s="5" t="s">
        <v>23611</v>
      </c>
      <c r="F2631" s="5"/>
      <c r="G2631" s="5" t="s">
        <v>23612</v>
      </c>
      <c r="H2631" s="1" t="s">
        <v>23613</v>
      </c>
      <c r="I2631" s="5" t="s">
        <v>23614</v>
      </c>
      <c r="J2631" s="7">
        <v>3</v>
      </c>
      <c r="K2631" s="7">
        <v>46.228000000000002</v>
      </c>
      <c r="L2631" s="5" t="s">
        <v>23615</v>
      </c>
      <c r="M2631" s="7">
        <v>4.7</v>
      </c>
      <c r="N2631" s="7">
        <v>2.54</v>
      </c>
      <c r="O2631" s="7">
        <v>0.33600000000000002</v>
      </c>
      <c r="P2631" s="1" t="s">
        <v>23616</v>
      </c>
    </row>
    <row r="2632" spans="1:16" ht="33.4" x14ac:dyDescent="0.3">
      <c r="A2632" s="6" t="str">
        <f>HYPERLINK("https://www.ti.com/product/CSD18537NQ5A", "CSD18537NQ5A")</f>
        <v>CSD18537NQ5A</v>
      </c>
      <c r="B2632" s="5" t="s">
        <v>23617</v>
      </c>
      <c r="C2632" s="6" t="str">
        <f>HYPERLINK("https://www.ti.com/lit/gpn/CSD18537NQ5A", "PDF")</f>
        <v>PDF</v>
      </c>
      <c r="D2632" s="5" t="s">
        <v>23618</v>
      </c>
      <c r="E2632" s="5" t="s">
        <v>23619</v>
      </c>
      <c r="F2632" s="5"/>
      <c r="G2632" s="5" t="s">
        <v>23620</v>
      </c>
      <c r="H2632" s="1" t="s">
        <v>23621</v>
      </c>
      <c r="I2632" s="5" t="s">
        <v>23622</v>
      </c>
      <c r="J2632" s="7">
        <v>8</v>
      </c>
      <c r="K2632" s="7">
        <v>29.4</v>
      </c>
      <c r="L2632" s="5" t="s">
        <v>23623</v>
      </c>
      <c r="M2632" s="7">
        <v>1.1000000000000001</v>
      </c>
      <c r="N2632" s="7">
        <v>1.27</v>
      </c>
      <c r="O2632" s="7">
        <v>0.24</v>
      </c>
      <c r="P2632" s="1" t="s">
        <v>23624</v>
      </c>
    </row>
    <row r="2633" spans="1:16" ht="33.4" x14ac:dyDescent="0.3">
      <c r="A2633" s="6" t="str">
        <f>HYPERLINK("https://www.ti.com/product/TPS62140A", "TPS62140A")</f>
        <v>TPS62140A</v>
      </c>
      <c r="B2633" s="5" t="s">
        <v>23625</v>
      </c>
      <c r="C2633" s="6" t="str">
        <f>HYPERLINK("https://www.ti.com/lit/gpn/TPS62140A", "PDF")</f>
        <v>PDF</v>
      </c>
      <c r="D2633" s="5" t="s">
        <v>23626</v>
      </c>
      <c r="E2633" s="5" t="s">
        <v>23627</v>
      </c>
      <c r="F2633" s="5" t="s">
        <v>23628</v>
      </c>
      <c r="G2633" s="5" t="s">
        <v>23629</v>
      </c>
      <c r="H2633" s="1" t="s">
        <v>23630</v>
      </c>
      <c r="I2633" s="5" t="s">
        <v>23631</v>
      </c>
      <c r="J2633" s="7">
        <v>16</v>
      </c>
      <c r="K2633" s="7">
        <v>9</v>
      </c>
      <c r="L2633" s="5" t="s">
        <v>23632</v>
      </c>
      <c r="M2633" s="7">
        <v>1</v>
      </c>
      <c r="N2633" s="7">
        <v>0.5</v>
      </c>
      <c r="O2633" s="7">
        <v>0.65600000000000003</v>
      </c>
      <c r="P2633" s="1" t="s">
        <v>23633</v>
      </c>
    </row>
    <row r="2634" spans="1:16" ht="33.4" x14ac:dyDescent="0.3">
      <c r="A2634" s="6" t="str">
        <f>HYPERLINK("https://www.ti.com/product/UCC27527", "UCC27527")</f>
        <v>UCC27527</v>
      </c>
      <c r="B2634" s="5" t="s">
        <v>23634</v>
      </c>
      <c r="C2634" s="6" t="str">
        <f>HYPERLINK("https://www.ti.com/lit/gpn/UCC27527", "PDF")</f>
        <v>PDF</v>
      </c>
      <c r="D2634" s="5" t="s">
        <v>23635</v>
      </c>
      <c r="E2634" s="5" t="s">
        <v>23636</v>
      </c>
      <c r="F2634" s="5"/>
      <c r="G2634" s="5" t="s">
        <v>23637</v>
      </c>
      <c r="H2634" s="1" t="s">
        <v>23638</v>
      </c>
      <c r="I2634" s="5" t="s">
        <v>23639</v>
      </c>
      <c r="J2634" s="7">
        <v>8</v>
      </c>
      <c r="K2634" s="7">
        <v>9</v>
      </c>
      <c r="L2634" s="5" t="s">
        <v>23640</v>
      </c>
      <c r="M2634" s="7">
        <v>0.8</v>
      </c>
      <c r="N2634" s="7">
        <v>0.65</v>
      </c>
      <c r="O2634" s="7">
        <v>0.50700000000000001</v>
      </c>
      <c r="P2634" s="1" t="s">
        <v>23641</v>
      </c>
    </row>
    <row r="2635" spans="1:16" ht="33.4" x14ac:dyDescent="0.3">
      <c r="A2635" s="6" t="str">
        <f>HYPERLINK("https://www.ti.com/product/TPS2511-Q1", "TPS2511-Q1")</f>
        <v>TPS2511-Q1</v>
      </c>
      <c r="B2635" s="5" t="s">
        <v>23642</v>
      </c>
      <c r="C2635" s="6" t="str">
        <f>HYPERLINK("https://www.ti.com/lit/gpn/TPS2511-Q1", "PDF")</f>
        <v>PDF</v>
      </c>
      <c r="D2635" s="5" t="s">
        <v>23643</v>
      </c>
      <c r="E2635" s="5" t="s">
        <v>23644</v>
      </c>
      <c r="F2635" s="5"/>
      <c r="G2635" s="5" t="s">
        <v>23645</v>
      </c>
      <c r="H2635" s="1" t="s">
        <v>23646</v>
      </c>
      <c r="I2635" s="5" t="s">
        <v>23647</v>
      </c>
      <c r="J2635" s="7">
        <v>8</v>
      </c>
      <c r="K2635" s="7">
        <v>14.7</v>
      </c>
      <c r="L2635" s="5" t="s">
        <v>23648</v>
      </c>
      <c r="M2635" s="7">
        <v>1.1000000000000001</v>
      </c>
      <c r="N2635" s="7">
        <v>0.65</v>
      </c>
      <c r="O2635" s="7">
        <v>0.67200000000000004</v>
      </c>
      <c r="P2635" s="1" t="s">
        <v>23649</v>
      </c>
    </row>
    <row r="2636" spans="1:16" ht="33.4" x14ac:dyDescent="0.3">
      <c r="A2636" s="6" t="str">
        <f>HYPERLINK("https://www.ti.com/product/LM3263", "LM3263")</f>
        <v>LM3263</v>
      </c>
      <c r="B2636" s="5" t="s">
        <v>23650</v>
      </c>
      <c r="C2636" s="6" t="str">
        <f>HYPERLINK("https://www.ti.com/lit/gpn/LM3263", "PDF")</f>
        <v>PDF</v>
      </c>
      <c r="D2636" s="5" t="s">
        <v>23651</v>
      </c>
      <c r="E2636" s="5" t="s">
        <v>23652</v>
      </c>
      <c r="F2636" s="5" t="s">
        <v>23653</v>
      </c>
      <c r="G2636" s="5" t="s">
        <v>23654</v>
      </c>
      <c r="H2636" s="1" t="s">
        <v>23655</v>
      </c>
      <c r="I2636" s="5" t="s">
        <v>23656</v>
      </c>
      <c r="J2636" s="7">
        <v>16</v>
      </c>
      <c r="K2636" s="7">
        <v>3.24</v>
      </c>
      <c r="L2636" s="5" t="s">
        <v>23657</v>
      </c>
      <c r="M2636" s="7">
        <v>0.67500000000000004</v>
      </c>
      <c r="N2636" s="7">
        <v>0.4</v>
      </c>
      <c r="O2636" s="7">
        <v>0.50600000000000001</v>
      </c>
      <c r="P2636" s="1" t="s">
        <v>23658</v>
      </c>
    </row>
    <row r="2637" spans="1:16" ht="33.4" x14ac:dyDescent="0.3">
      <c r="A2637" s="6" t="str">
        <f>HYPERLINK("https://www.ti.com/product/TLV62130A", "TLV62130A")</f>
        <v>TLV62130A</v>
      </c>
      <c r="B2637" s="5" t="s">
        <v>23659</v>
      </c>
      <c r="C2637" s="6" t="str">
        <f>HYPERLINK("https://www.ti.com/lit/gpn/TLV62130A", "PDF")</f>
        <v>PDF</v>
      </c>
      <c r="D2637" s="5" t="s">
        <v>23660</v>
      </c>
      <c r="E2637" s="5" t="s">
        <v>23661</v>
      </c>
      <c r="F2637" s="5" t="s">
        <v>23662</v>
      </c>
      <c r="G2637" s="5" t="s">
        <v>23663</v>
      </c>
      <c r="H2637" s="1" t="s">
        <v>23664</v>
      </c>
      <c r="I2637" s="5" t="s">
        <v>23665</v>
      </c>
      <c r="J2637" s="7">
        <v>16</v>
      </c>
      <c r="K2637" s="7">
        <v>9</v>
      </c>
      <c r="L2637" s="5" t="s">
        <v>23666</v>
      </c>
      <c r="M2637" s="7">
        <v>1</v>
      </c>
      <c r="N2637" s="7">
        <v>0.5</v>
      </c>
      <c r="O2637" s="7">
        <v>0.63300000000000001</v>
      </c>
      <c r="P2637" s="1" t="s">
        <v>23667</v>
      </c>
    </row>
    <row r="2638" spans="1:16" ht="17.05" x14ac:dyDescent="0.3">
      <c r="A2638" s="6" t="str">
        <f>HYPERLINK("https://www.ti.com/product/TPS22964C", "TPS22964C")</f>
        <v>TPS22964C</v>
      </c>
      <c r="B2638" s="5" t="s">
        <v>23668</v>
      </c>
      <c r="C2638" s="6" t="str">
        <f>HYPERLINK("https://www.ti.com/lit/gpn/TPS22964C", "PDF")</f>
        <v>PDF</v>
      </c>
      <c r="D2638" s="5" t="s">
        <v>23669</v>
      </c>
      <c r="E2638" s="5" t="s">
        <v>23670</v>
      </c>
      <c r="F2638" s="5"/>
      <c r="G2638" s="5" t="s">
        <v>23671</v>
      </c>
      <c r="H2638" s="1" t="s">
        <v>23672</v>
      </c>
      <c r="I2638" s="5" t="s">
        <v>23673</v>
      </c>
      <c r="J2638" s="7">
        <v>6</v>
      </c>
      <c r="K2638" s="7">
        <v>2.1875</v>
      </c>
      <c r="L2638" s="5" t="s">
        <v>23674</v>
      </c>
      <c r="M2638" s="7">
        <v>0.5</v>
      </c>
      <c r="N2638" s="7">
        <v>0.5</v>
      </c>
      <c r="O2638" s="7">
        <v>0.22</v>
      </c>
      <c r="P2638" s="1" t="s">
        <v>23675</v>
      </c>
    </row>
    <row r="2639" spans="1:16" ht="49.75" x14ac:dyDescent="0.3">
      <c r="A2639" s="6" t="str">
        <f>HYPERLINK("https://www.ti.com/product/TPS65133", "TPS65133")</f>
        <v>TPS65133</v>
      </c>
      <c r="B2639" s="5" t="s">
        <v>23676</v>
      </c>
      <c r="C2639" s="6" t="str">
        <f>HYPERLINK("https://www.ti.com/lit/gpn/TPS65133", "PDF")</f>
        <v>PDF</v>
      </c>
      <c r="D2639" s="5" t="s">
        <v>23677</v>
      </c>
      <c r="E2639" s="5" t="s">
        <v>23678</v>
      </c>
      <c r="F2639" s="5" t="s">
        <v>23679</v>
      </c>
      <c r="G2639" s="5" t="s">
        <v>23680</v>
      </c>
      <c r="H2639" s="1" t="s">
        <v>23681</v>
      </c>
      <c r="I2639" s="5" t="s">
        <v>23682</v>
      </c>
      <c r="J2639" s="7">
        <v>12</v>
      </c>
      <c r="K2639" s="7">
        <v>9</v>
      </c>
      <c r="L2639" s="5" t="s">
        <v>23683</v>
      </c>
      <c r="M2639" s="7">
        <v>0.8</v>
      </c>
      <c r="N2639" s="7">
        <v>0.45</v>
      </c>
      <c r="O2639" s="7">
        <v>0.96099999999999997</v>
      </c>
      <c r="P2639" s="1" t="s">
        <v>23684</v>
      </c>
    </row>
    <row r="2640" spans="1:16" ht="33.4" x14ac:dyDescent="0.3">
      <c r="A2640" s="6" t="str">
        <f>HYPERLINK("https://www.ti.com/product/TPS65310A-Q1", "TPS65310A-Q1")</f>
        <v>TPS65310A-Q1</v>
      </c>
      <c r="B2640" s="5" t="s">
        <v>23685</v>
      </c>
      <c r="C2640" s="6" t="str">
        <f>HYPERLINK("https://www.ti.com/lit/gpn/TPS65310A-Q1", "PDF")</f>
        <v>PDF</v>
      </c>
      <c r="D2640" s="5" t="s">
        <v>23686</v>
      </c>
      <c r="E2640" s="5" t="s">
        <v>23687</v>
      </c>
      <c r="F2640" s="5"/>
      <c r="G2640" s="5" t="s">
        <v>23688</v>
      </c>
      <c r="H2640" s="1" t="s">
        <v>23689</v>
      </c>
      <c r="I2640" s="5" t="s">
        <v>23690</v>
      </c>
      <c r="J2640" s="7">
        <v>56</v>
      </c>
      <c r="K2640" s="7">
        <v>64</v>
      </c>
      <c r="L2640" s="5" t="s">
        <v>23691</v>
      </c>
      <c r="M2640" s="7">
        <v>1</v>
      </c>
      <c r="N2640" s="7">
        <v>0.5</v>
      </c>
      <c r="O2640" s="7">
        <v>3.6429999999999998</v>
      </c>
      <c r="P2640" s="1" t="s">
        <v>23692</v>
      </c>
    </row>
    <row r="2641" spans="1:16" ht="33.4" x14ac:dyDescent="0.3">
      <c r="A2641" s="6" t="str">
        <f>HYPERLINK("https://www.ti.com/product/CSD95372AQ5M", "CSD95372AQ5M")</f>
        <v>CSD95372AQ5M</v>
      </c>
      <c r="B2641" s="5" t="s">
        <v>23693</v>
      </c>
      <c r="C2641" s="6" t="str">
        <f>HYPERLINK("https://www.ti.com/lit/gpn/CSD95372AQ5M", "PDF")</f>
        <v>PDF</v>
      </c>
      <c r="D2641" s="5" t="s">
        <v>23694</v>
      </c>
      <c r="E2641" s="5" t="s">
        <v>23695</v>
      </c>
      <c r="F2641" s="5"/>
      <c r="G2641" s="5" t="s">
        <v>23696</v>
      </c>
      <c r="H2641" s="1" t="s">
        <v>23697</v>
      </c>
      <c r="I2641" s="5" t="s">
        <v>23698</v>
      </c>
      <c r="J2641" s="7">
        <v>12</v>
      </c>
      <c r="K2641" s="7">
        <v>30</v>
      </c>
      <c r="L2641" s="5" t="s">
        <v>23699</v>
      </c>
      <c r="M2641" s="7">
        <v>1.5</v>
      </c>
      <c r="N2641" s="7">
        <v>0.5</v>
      </c>
      <c r="O2641" s="7">
        <v>1.6359999999999999</v>
      </c>
      <c r="P2641" s="1" t="s">
        <v>23700</v>
      </c>
    </row>
    <row r="2642" spans="1:16" ht="17.05" x14ac:dyDescent="0.3">
      <c r="A2642" s="6" t="str">
        <f>HYPERLINK("https://www.ti.com/product/CSD95375Q4M", "CSD95375Q4M")</f>
        <v>CSD95375Q4M</v>
      </c>
      <c r="B2642" s="5" t="s">
        <v>23701</v>
      </c>
      <c r="C2642" s="6" t="str">
        <f>HYPERLINK("https://www.ti.com/lit/gpn/CSD95375Q4M", "PDF")</f>
        <v>PDF</v>
      </c>
      <c r="D2642" s="5" t="s">
        <v>23702</v>
      </c>
      <c r="E2642" s="5" t="s">
        <v>23703</v>
      </c>
      <c r="F2642" s="5"/>
      <c r="G2642" s="5" t="s">
        <v>23704</v>
      </c>
      <c r="H2642" s="1" t="s">
        <v>23705</v>
      </c>
      <c r="I2642" s="5" t="s">
        <v>23706</v>
      </c>
      <c r="J2642" s="7">
        <v>8</v>
      </c>
      <c r="K2642" s="7">
        <v>15.75</v>
      </c>
      <c r="L2642" s="5" t="s">
        <v>23707</v>
      </c>
      <c r="M2642" s="7">
        <v>1</v>
      </c>
      <c r="N2642" s="7">
        <v>0.4</v>
      </c>
      <c r="O2642" s="7">
        <v>0.84199999999999997</v>
      </c>
      <c r="P2642" s="1" t="s">
        <v>23708</v>
      </c>
    </row>
    <row r="2643" spans="1:16" ht="33.4" x14ac:dyDescent="0.3">
      <c r="A2643" s="6" t="str">
        <f>HYPERLINK("https://www.ti.com/product/CSD97376Q4M", "CSD97376Q4M")</f>
        <v>CSD97376Q4M</v>
      </c>
      <c r="B2643" s="5" t="s">
        <v>23709</v>
      </c>
      <c r="C2643" s="6" t="str">
        <f>HYPERLINK("https://www.ti.com/lit/gpn/CSD97376Q4M", "PDF")</f>
        <v>PDF</v>
      </c>
      <c r="D2643" s="5" t="s">
        <v>23710</v>
      </c>
      <c r="E2643" s="5" t="s">
        <v>23711</v>
      </c>
      <c r="F2643" s="5"/>
      <c r="G2643" s="5" t="s">
        <v>23712</v>
      </c>
      <c r="H2643" s="1" t="s">
        <v>23713</v>
      </c>
      <c r="I2643" s="5" t="s">
        <v>23714</v>
      </c>
      <c r="J2643" s="7">
        <v>8</v>
      </c>
      <c r="K2643" s="7">
        <v>15.75</v>
      </c>
      <c r="L2643" s="5" t="s">
        <v>23715</v>
      </c>
      <c r="M2643" s="7">
        <v>1</v>
      </c>
      <c r="N2643" s="7">
        <v>0.4</v>
      </c>
      <c r="O2643" s="7">
        <v>0.79700000000000004</v>
      </c>
      <c r="P2643" s="1" t="s">
        <v>23716</v>
      </c>
    </row>
    <row r="2644" spans="1:16" ht="33.4" x14ac:dyDescent="0.3">
      <c r="A2644" s="6" t="str">
        <f>HYPERLINK("https://www.ti.com/product/LM5050-1-Q1", "LM5050-1-Q1")</f>
        <v>LM5050-1-Q1</v>
      </c>
      <c r="B2644" s="5" t="s">
        <v>23717</v>
      </c>
      <c r="C2644" s="6" t="str">
        <f>HYPERLINK("https://www.ti.com/lit/gpn/LM5050-1-Q1", "PDF")</f>
        <v>PDF</v>
      </c>
      <c r="D2644" s="5" t="s">
        <v>23718</v>
      </c>
      <c r="E2644" s="5" t="s">
        <v>23719</v>
      </c>
      <c r="F2644" s="5"/>
      <c r="G2644" s="5" t="s">
        <v>23720</v>
      </c>
      <c r="H2644" s="1" t="s">
        <v>23721</v>
      </c>
      <c r="I2644" s="5" t="s">
        <v>23722</v>
      </c>
      <c r="J2644" s="7">
        <v>6</v>
      </c>
      <c r="K2644" s="7">
        <v>8.1199999999999992</v>
      </c>
      <c r="L2644" s="5" t="s">
        <v>23723</v>
      </c>
      <c r="M2644" s="7">
        <v>1.1000000000000001</v>
      </c>
      <c r="N2644" s="7">
        <v>0.95</v>
      </c>
      <c r="O2644" s="7">
        <v>1.022</v>
      </c>
      <c r="P2644" s="1" t="s">
        <v>23724</v>
      </c>
    </row>
    <row r="2645" spans="1:16" ht="33.4" x14ac:dyDescent="0.3">
      <c r="A2645" s="6" t="str">
        <f>HYPERLINK("https://www.ti.com/product/CSD18532NQ5B", "CSD18532NQ5B")</f>
        <v>CSD18532NQ5B</v>
      </c>
      <c r="B2645" s="5" t="s">
        <v>23725</v>
      </c>
      <c r="C2645" s="6" t="str">
        <f>HYPERLINK("https://www.ti.com/lit/gpn/CSD18532NQ5B", "PDF")</f>
        <v>PDF</v>
      </c>
      <c r="D2645" s="5" t="s">
        <v>23726</v>
      </c>
      <c r="E2645" s="5" t="s">
        <v>23727</v>
      </c>
      <c r="F2645" s="5"/>
      <c r="G2645" s="5" t="s">
        <v>23728</v>
      </c>
      <c r="H2645" s="1" t="s">
        <v>23729</v>
      </c>
      <c r="I2645" s="5" t="s">
        <v>23730</v>
      </c>
      <c r="J2645" s="7">
        <v>8</v>
      </c>
      <c r="K2645" s="7">
        <v>30</v>
      </c>
      <c r="L2645" s="5" t="s">
        <v>23731</v>
      </c>
      <c r="M2645" s="7">
        <v>1</v>
      </c>
      <c r="N2645" s="7">
        <v>1.27</v>
      </c>
      <c r="O2645" s="7">
        <v>0.72699999999999998</v>
      </c>
      <c r="P2645" s="1" t="s">
        <v>23732</v>
      </c>
    </row>
    <row r="2646" spans="1:16" ht="33.4" x14ac:dyDescent="0.3">
      <c r="A2646" s="6" t="str">
        <f>HYPERLINK("https://www.ti.com/product/TPS65150-Q1", "TPS65150-Q1")</f>
        <v>TPS65150-Q1</v>
      </c>
      <c r="B2646" s="5" t="s">
        <v>23733</v>
      </c>
      <c r="C2646" s="6" t="str">
        <f>HYPERLINK("https://www.ti.com/lit/gpn/TPS65150-Q1", "PDF")</f>
        <v>PDF</v>
      </c>
      <c r="D2646" s="5" t="s">
        <v>23734</v>
      </c>
      <c r="E2646" s="5" t="s">
        <v>23735</v>
      </c>
      <c r="F2646" s="5" t="s">
        <v>23736</v>
      </c>
      <c r="G2646" s="5" t="s">
        <v>23737</v>
      </c>
      <c r="H2646" s="1" t="s">
        <v>23738</v>
      </c>
      <c r="I2646" s="5" t="s">
        <v>23739</v>
      </c>
      <c r="J2646" s="7">
        <v>24</v>
      </c>
      <c r="K2646" s="7">
        <v>49.92</v>
      </c>
      <c r="L2646" s="5" t="s">
        <v>23740</v>
      </c>
      <c r="M2646" s="7">
        <v>1.2</v>
      </c>
      <c r="N2646" s="7">
        <v>0.65</v>
      </c>
      <c r="O2646" s="7">
        <v>1.5529999999999999</v>
      </c>
      <c r="P2646" s="1" t="s">
        <v>23741</v>
      </c>
    </row>
    <row r="2647" spans="1:16" ht="49.75" x14ac:dyDescent="0.3">
      <c r="A2647" s="6" t="str">
        <f>HYPERLINK("https://www.ti.com/product/TPS7A7200-EP", "TPS7A7200-EP")</f>
        <v>TPS7A7200-EP</v>
      </c>
      <c r="B2647" s="5" t="s">
        <v>23742</v>
      </c>
      <c r="C2647" s="6" t="str">
        <f>HYPERLINK("https://www.ti.com/lit/gpn/TPS7A7200-EP", "PDF")</f>
        <v>PDF</v>
      </c>
      <c r="D2647" s="5" t="s">
        <v>23743</v>
      </c>
      <c r="E2647" s="5" t="s">
        <v>23744</v>
      </c>
      <c r="F2647" s="5"/>
      <c r="G2647" s="5" t="s">
        <v>23745</v>
      </c>
      <c r="H2647" s="1" t="s">
        <v>23746</v>
      </c>
      <c r="I2647" s="5" t="s">
        <v>23747</v>
      </c>
      <c r="J2647" s="7">
        <v>20</v>
      </c>
      <c r="K2647" s="7">
        <v>25</v>
      </c>
      <c r="L2647" s="5" t="s">
        <v>23748</v>
      </c>
      <c r="M2647" s="7">
        <v>1</v>
      </c>
      <c r="N2647" s="7">
        <v>0.65</v>
      </c>
      <c r="O2647" s="7">
        <v>3.468</v>
      </c>
      <c r="P2647" s="1" t="s">
        <v>23749</v>
      </c>
    </row>
    <row r="2648" spans="1:16" ht="49.75" x14ac:dyDescent="0.3">
      <c r="A2648" s="6" t="str">
        <f>HYPERLINK("https://www.ti.com/product/LM5122", "LM5122")</f>
        <v>LM5122</v>
      </c>
      <c r="B2648" s="5" t="s">
        <v>23750</v>
      </c>
      <c r="C2648" s="6" t="str">
        <f>HYPERLINK("https://www.ti.com/lit/gpn/LM5122", "PDF")</f>
        <v>PDF</v>
      </c>
      <c r="D2648" s="5" t="s">
        <v>23751</v>
      </c>
      <c r="E2648" s="5" t="s">
        <v>23752</v>
      </c>
      <c r="F2648" s="5" t="s">
        <v>23753</v>
      </c>
      <c r="G2648" s="5" t="s">
        <v>23754</v>
      </c>
      <c r="H2648" s="1" t="s">
        <v>23755</v>
      </c>
      <c r="I2648" s="5" t="s">
        <v>23756</v>
      </c>
      <c r="J2648" s="7" t="s">
        <v>23757</v>
      </c>
      <c r="K2648" s="7" t="s">
        <v>23758</v>
      </c>
      <c r="L2648" s="5" t="s">
        <v>23759</v>
      </c>
      <c r="M2648" s="7">
        <v>1.2</v>
      </c>
      <c r="N2648" s="7">
        <v>0.65</v>
      </c>
      <c r="O2648" s="7">
        <v>2.0030000000000001</v>
      </c>
      <c r="P2648" s="1" t="s">
        <v>23760</v>
      </c>
    </row>
    <row r="2649" spans="1:16" ht="33.4" x14ac:dyDescent="0.3">
      <c r="A2649" s="6" t="str">
        <f>HYPERLINK("https://www.ti.com/product/LM5122-Q1", "LM5122-Q1")</f>
        <v>LM5122-Q1</v>
      </c>
      <c r="B2649" s="5" t="s">
        <v>23761</v>
      </c>
      <c r="C2649" s="6" t="str">
        <f>HYPERLINK("https://www.ti.com/lit/gpn/LM5122-Q1", "PDF")</f>
        <v>PDF</v>
      </c>
      <c r="D2649" s="5" t="s">
        <v>23762</v>
      </c>
      <c r="E2649" s="5" t="s">
        <v>23763</v>
      </c>
      <c r="F2649" s="5" t="s">
        <v>23764</v>
      </c>
      <c r="G2649" s="5" t="s">
        <v>23765</v>
      </c>
      <c r="H2649" s="1" t="s">
        <v>23766</v>
      </c>
      <c r="I2649" s="5" t="s">
        <v>23767</v>
      </c>
      <c r="J2649" s="7">
        <v>20</v>
      </c>
      <c r="K2649" s="7">
        <v>41.6</v>
      </c>
      <c r="L2649" s="5" t="s">
        <v>23768</v>
      </c>
      <c r="M2649" s="7">
        <v>1.2</v>
      </c>
      <c r="N2649" s="7">
        <v>0.65</v>
      </c>
      <c r="O2649" s="7">
        <v>2.3639999999999999</v>
      </c>
      <c r="P2649" s="1" t="s">
        <v>23769</v>
      </c>
    </row>
    <row r="2650" spans="1:16" ht="33.4" x14ac:dyDescent="0.3">
      <c r="A2650" s="6" t="str">
        <f>HYPERLINK("https://www.ti.com/product/TL1431-DIE", "TL1431-DIE")</f>
        <v>TL1431-DIE</v>
      </c>
      <c r="B2650" s="5" t="s">
        <v>23770</v>
      </c>
      <c r="C2650" s="6" t="str">
        <f>HYPERLINK("https://www.ti.com/lit/gpn/TL1431-DIE", "PDF")</f>
        <v>PDF</v>
      </c>
      <c r="D2650" s="5" t="s">
        <v>23771</v>
      </c>
      <c r="E2650" s="5" t="s">
        <v>23772</v>
      </c>
      <c r="F2650" s="5"/>
      <c r="G2650" s="5" t="s">
        <v>23773</v>
      </c>
      <c r="H2650" s="1" t="s">
        <v>23774</v>
      </c>
      <c r="I2650" s="5" t="s">
        <v>23775</v>
      </c>
      <c r="J2650" s="7">
        <v>0</v>
      </c>
      <c r="K2650" s="7" t="s">
        <v>23776</v>
      </c>
      <c r="L2650" s="5" t="s">
        <v>23777</v>
      </c>
      <c r="M2650" s="7" t="s">
        <v>23778</v>
      </c>
      <c r="N2650" s="7" t="s">
        <v>23779</v>
      </c>
      <c r="O2650" s="7">
        <v>466.93900000000002</v>
      </c>
      <c r="P2650" s="1" t="s">
        <v>23780</v>
      </c>
    </row>
    <row r="2651" spans="1:16" ht="49.75" x14ac:dyDescent="0.3">
      <c r="A2651" s="6" t="str">
        <f>HYPERLINK("https://www.ti.com/product/TPS65132", "TPS65132")</f>
        <v>TPS65132</v>
      </c>
      <c r="B2651" s="5" t="s">
        <v>23781</v>
      </c>
      <c r="C2651" s="6" t="str">
        <f>HYPERLINK("https://www.ti.com/lit/gpn/TPS65132", "PDF")</f>
        <v>PDF</v>
      </c>
      <c r="D2651" s="5" t="s">
        <v>23782</v>
      </c>
      <c r="E2651" s="5" t="s">
        <v>23783</v>
      </c>
      <c r="F2651" s="5" t="s">
        <v>23784</v>
      </c>
      <c r="G2651" s="5" t="s">
        <v>23785</v>
      </c>
      <c r="H2651" s="1" t="s">
        <v>23786</v>
      </c>
      <c r="I2651" s="5" t="s">
        <v>23787</v>
      </c>
      <c r="J2651" s="7" t="s">
        <v>23788</v>
      </c>
      <c r="K2651" s="7" t="s">
        <v>23789</v>
      </c>
      <c r="L2651" s="5" t="s">
        <v>23790</v>
      </c>
      <c r="M2651" s="7" t="s">
        <v>23791</v>
      </c>
      <c r="N2651" s="7" t="s">
        <v>23792</v>
      </c>
      <c r="O2651" s="7">
        <v>0.26500000000000001</v>
      </c>
      <c r="P2651" s="1" t="s">
        <v>23793</v>
      </c>
    </row>
    <row r="2652" spans="1:16" ht="49.75" x14ac:dyDescent="0.3">
      <c r="A2652" s="6" t="str">
        <f>HYPERLINK("https://www.ti.com/product/UCC27512-EP", "UCC27512-EP")</f>
        <v>UCC27512-EP</v>
      </c>
      <c r="B2652" s="5" t="s">
        <v>23794</v>
      </c>
      <c r="C2652" s="6" t="str">
        <f>HYPERLINK("https://www.ti.com/lit/gpn/UCC27512-EP", "PDF")</f>
        <v>PDF</v>
      </c>
      <c r="D2652" s="5" t="s">
        <v>23795</v>
      </c>
      <c r="E2652" s="5" t="s">
        <v>23796</v>
      </c>
      <c r="F2652" s="5"/>
      <c r="G2652" s="5" t="s">
        <v>23797</v>
      </c>
      <c r="H2652" s="1" t="s">
        <v>23798</v>
      </c>
      <c r="I2652" s="5" t="s">
        <v>23799</v>
      </c>
      <c r="J2652" s="7">
        <v>6</v>
      </c>
      <c r="K2652" s="7">
        <v>9</v>
      </c>
      <c r="L2652" s="5" t="s">
        <v>23800</v>
      </c>
      <c r="M2652" s="7">
        <v>0.8</v>
      </c>
      <c r="N2652" s="7">
        <v>0.95</v>
      </c>
      <c r="O2652" s="7">
        <v>1.869</v>
      </c>
      <c r="P2652" s="1" t="s">
        <v>23801</v>
      </c>
    </row>
    <row r="2653" spans="1:16" ht="33.4" x14ac:dyDescent="0.3">
      <c r="A2653" s="6" t="str">
        <f>HYPERLINK("https://www.ti.com/product/CSD87381P", "CSD87381P")</f>
        <v>CSD87381P</v>
      </c>
      <c r="B2653" s="5" t="s">
        <v>23802</v>
      </c>
      <c r="C2653" s="6" t="str">
        <f>HYPERLINK("https://www.ti.com/lit/gpn/CSD87381P", "PDF")</f>
        <v>PDF</v>
      </c>
      <c r="D2653" s="5" t="s">
        <v>23803</v>
      </c>
      <c r="E2653" s="5" t="s">
        <v>23804</v>
      </c>
      <c r="F2653" s="5"/>
      <c r="G2653" s="5" t="s">
        <v>23805</v>
      </c>
      <c r="H2653" s="1" t="s">
        <v>23806</v>
      </c>
      <c r="I2653" s="5" t="s">
        <v>23807</v>
      </c>
      <c r="J2653" s="7">
        <v>5</v>
      </c>
      <c r="K2653" s="7">
        <v>7.5</v>
      </c>
      <c r="L2653" s="5" t="s">
        <v>23808</v>
      </c>
      <c r="M2653" s="7">
        <v>0.48</v>
      </c>
      <c r="N2653" s="7">
        <v>1.34</v>
      </c>
      <c r="O2653" s="7">
        <v>0.26500000000000001</v>
      </c>
      <c r="P2653" s="1" t="s">
        <v>23809</v>
      </c>
    </row>
    <row r="2654" spans="1:16" ht="33.4" x14ac:dyDescent="0.3">
      <c r="A2654" s="6" t="str">
        <f>HYPERLINK("https://www.ti.com/product/TPS54540", "TPS54540")</f>
        <v>TPS54540</v>
      </c>
      <c r="B2654" s="5" t="s">
        <v>23810</v>
      </c>
      <c r="C2654" s="6" t="str">
        <f>HYPERLINK("https://www.ti.com/lit/gpn/TPS54540", "PDF")</f>
        <v>PDF</v>
      </c>
      <c r="D2654" s="5" t="s">
        <v>23811</v>
      </c>
      <c r="E2654" s="5" t="s">
        <v>23812</v>
      </c>
      <c r="F2654" s="5" t="s">
        <v>23813</v>
      </c>
      <c r="G2654" s="5" t="s">
        <v>23814</v>
      </c>
      <c r="H2654" s="1" t="s">
        <v>23815</v>
      </c>
      <c r="I2654" s="5" t="s">
        <v>23816</v>
      </c>
      <c r="J2654" s="7">
        <v>8</v>
      </c>
      <c r="K2654" s="7">
        <v>29.4</v>
      </c>
      <c r="L2654" s="5" t="s">
        <v>23817</v>
      </c>
      <c r="M2654" s="7">
        <v>1.7</v>
      </c>
      <c r="N2654" s="7">
        <v>1.27</v>
      </c>
      <c r="O2654" s="7">
        <v>1.968</v>
      </c>
      <c r="P2654" s="1" t="s">
        <v>23818</v>
      </c>
    </row>
    <row r="2655" spans="1:16" ht="33.4" x14ac:dyDescent="0.3">
      <c r="A2655" s="6" t="str">
        <f>HYPERLINK("https://www.ti.com/product/TPS92023", "TPS92023")</f>
        <v>TPS92023</v>
      </c>
      <c r="B2655" s="5" t="s">
        <v>23819</v>
      </c>
      <c r="C2655" s="6" t="str">
        <f>HYPERLINK("https://www.ti.com/lit/gpn/TPS92023", "PDF")</f>
        <v>PDF</v>
      </c>
      <c r="D2655" s="5" t="s">
        <v>23820</v>
      </c>
      <c r="E2655" s="5" t="s">
        <v>23821</v>
      </c>
      <c r="F2655" s="5" t="s">
        <v>23822</v>
      </c>
      <c r="G2655" s="5" t="s">
        <v>23823</v>
      </c>
      <c r="H2655" s="1" t="s">
        <v>23824</v>
      </c>
      <c r="I2655" s="5" t="s">
        <v>23825</v>
      </c>
      <c r="J2655" s="7">
        <v>8</v>
      </c>
      <c r="K2655" s="7">
        <v>29.4</v>
      </c>
      <c r="L2655" s="5" t="s">
        <v>23826</v>
      </c>
      <c r="M2655" s="7">
        <v>1.75</v>
      </c>
      <c r="N2655" s="7">
        <v>1.27</v>
      </c>
      <c r="O2655" s="7">
        <v>0.78500000000000003</v>
      </c>
      <c r="P2655" s="1" t="s">
        <v>23827</v>
      </c>
    </row>
    <row r="2656" spans="1:16" ht="33.4" x14ac:dyDescent="0.3">
      <c r="A2656" s="6" t="str">
        <f>HYPERLINK("https://www.ti.com/product/TPS55330", "TPS55330")</f>
        <v>TPS55330</v>
      </c>
      <c r="B2656" s="5" t="s">
        <v>23828</v>
      </c>
      <c r="C2656" s="6" t="str">
        <f>HYPERLINK("https://www.ti.com/lit/gpn/TPS55330", "PDF")</f>
        <v>PDF</v>
      </c>
      <c r="D2656" s="5" t="s">
        <v>23829</v>
      </c>
      <c r="E2656" s="5" t="s">
        <v>23830</v>
      </c>
      <c r="F2656" s="5" t="s">
        <v>23831</v>
      </c>
      <c r="G2656" s="5" t="s">
        <v>23832</v>
      </c>
      <c r="H2656" s="1" t="s">
        <v>23833</v>
      </c>
      <c r="I2656" s="5" t="s">
        <v>23834</v>
      </c>
      <c r="J2656" s="7">
        <v>16</v>
      </c>
      <c r="K2656" s="7">
        <v>9</v>
      </c>
      <c r="L2656" s="5" t="s">
        <v>23835</v>
      </c>
      <c r="M2656" s="7">
        <v>0.8</v>
      </c>
      <c r="N2656" s="7">
        <v>0.5</v>
      </c>
      <c r="O2656" s="7">
        <v>1.163</v>
      </c>
      <c r="P2656" s="1" t="s">
        <v>23836</v>
      </c>
    </row>
    <row r="2657" spans="1:16" ht="33.4" x14ac:dyDescent="0.3">
      <c r="A2657" s="6" t="str">
        <f>HYPERLINK("https://www.ti.com/product/TPS62402-Q1", "TPS62402-Q1")</f>
        <v>TPS62402-Q1</v>
      </c>
      <c r="B2657" s="5" t="s">
        <v>23837</v>
      </c>
      <c r="C2657" s="6" t="str">
        <f>HYPERLINK("https://www.ti.com/lit/gpn/TPS62402-Q1", "PDF")</f>
        <v>PDF</v>
      </c>
      <c r="D2657" s="5" t="s">
        <v>23838</v>
      </c>
      <c r="E2657" s="5" t="s">
        <v>23839</v>
      </c>
      <c r="F2657" s="5" t="s">
        <v>23840</v>
      </c>
      <c r="G2657" s="5" t="s">
        <v>23841</v>
      </c>
      <c r="H2657" s="1" t="s">
        <v>23842</v>
      </c>
      <c r="I2657" s="5" t="s">
        <v>23843</v>
      </c>
      <c r="J2657" s="7">
        <v>10</v>
      </c>
      <c r="K2657" s="7">
        <v>9</v>
      </c>
      <c r="L2657" s="5" t="s">
        <v>23844</v>
      </c>
      <c r="M2657" s="7">
        <v>1</v>
      </c>
      <c r="N2657" s="7">
        <v>0.5</v>
      </c>
      <c r="O2657" s="7">
        <v>0.89600000000000002</v>
      </c>
      <c r="P2657" s="1" t="s">
        <v>23845</v>
      </c>
    </row>
    <row r="2658" spans="1:16" ht="33.4" x14ac:dyDescent="0.3">
      <c r="A2658" s="6" t="str">
        <f>HYPERLINK("https://www.ti.com/product/TPS62405-Q1", "TPS62405-Q1")</f>
        <v>TPS62405-Q1</v>
      </c>
      <c r="B2658" s="5" t="s">
        <v>23846</v>
      </c>
      <c r="C2658" s="6" t="str">
        <f>HYPERLINK("https://www.ti.com/lit/gpn/TPS62405-Q1", "PDF")</f>
        <v>PDF</v>
      </c>
      <c r="D2658" s="5" t="s">
        <v>23847</v>
      </c>
      <c r="E2658" s="5" t="s">
        <v>23848</v>
      </c>
      <c r="F2658" s="5" t="s">
        <v>23849</v>
      </c>
      <c r="G2658" s="5" t="s">
        <v>23850</v>
      </c>
      <c r="H2658" s="1" t="s">
        <v>23851</v>
      </c>
      <c r="I2658" s="5" t="s">
        <v>23852</v>
      </c>
      <c r="J2658" s="7">
        <v>10</v>
      </c>
      <c r="K2658" s="7">
        <v>9</v>
      </c>
      <c r="L2658" s="5" t="s">
        <v>23853</v>
      </c>
      <c r="M2658" s="7">
        <v>1</v>
      </c>
      <c r="N2658" s="7">
        <v>0.5</v>
      </c>
      <c r="O2658" s="7">
        <v>0.89600000000000002</v>
      </c>
      <c r="P2658" s="1" t="s">
        <v>23854</v>
      </c>
    </row>
    <row r="2659" spans="1:16" ht="33.4" x14ac:dyDescent="0.3">
      <c r="A2659" s="6" t="str">
        <f>HYPERLINK("https://www.ti.com/product/TPS2514", "TPS2514")</f>
        <v>TPS2514</v>
      </c>
      <c r="B2659" s="5" t="s">
        <v>23855</v>
      </c>
      <c r="C2659" s="6" t="str">
        <f>HYPERLINK("https://www.ti.com/lit/gpn/TPS2514", "PDF")</f>
        <v>PDF</v>
      </c>
      <c r="D2659" s="5" t="s">
        <v>23856</v>
      </c>
      <c r="E2659" s="5" t="s">
        <v>23857</v>
      </c>
      <c r="F2659" s="5"/>
      <c r="G2659" s="5" t="s">
        <v>23858</v>
      </c>
      <c r="H2659" s="1" t="s">
        <v>23859</v>
      </c>
      <c r="I2659" s="5" t="s">
        <v>23860</v>
      </c>
      <c r="J2659" s="7">
        <v>6</v>
      </c>
      <c r="K2659" s="7">
        <v>8.1199999999999992</v>
      </c>
      <c r="L2659" s="5" t="s">
        <v>23861</v>
      </c>
      <c r="M2659" s="7">
        <v>1.45</v>
      </c>
      <c r="N2659" s="7">
        <v>0.95</v>
      </c>
      <c r="O2659" s="7">
        <v>0.503</v>
      </c>
      <c r="P2659" s="1" t="s">
        <v>23862</v>
      </c>
    </row>
    <row r="2660" spans="1:16" ht="33.4" x14ac:dyDescent="0.3">
      <c r="A2660" s="6" t="str">
        <f>HYPERLINK("https://www.ti.com/product/TPS54531", "TPS54531")</f>
        <v>TPS54531</v>
      </c>
      <c r="B2660" s="5" t="s">
        <v>23863</v>
      </c>
      <c r="C2660" s="6" t="str">
        <f>HYPERLINK("https://www.ti.com/lit/gpn/TPS54531", "PDF")</f>
        <v>PDF</v>
      </c>
      <c r="D2660" s="5" t="s">
        <v>23864</v>
      </c>
      <c r="E2660" s="5" t="s">
        <v>23865</v>
      </c>
      <c r="F2660" s="5" t="s">
        <v>23866</v>
      </c>
      <c r="G2660" s="5" t="s">
        <v>23867</v>
      </c>
      <c r="H2660" s="1" t="s">
        <v>23868</v>
      </c>
      <c r="I2660" s="5" t="s">
        <v>23869</v>
      </c>
      <c r="J2660" s="7">
        <v>8</v>
      </c>
      <c r="K2660" s="7">
        <v>29.4</v>
      </c>
      <c r="L2660" s="5" t="s">
        <v>23870</v>
      </c>
      <c r="M2660" s="7">
        <v>1.7</v>
      </c>
      <c r="N2660" s="7">
        <v>1.27</v>
      </c>
      <c r="O2660" s="7">
        <v>0.75</v>
      </c>
      <c r="P2660" s="1" t="s">
        <v>23871</v>
      </c>
    </row>
    <row r="2661" spans="1:16" ht="33.4" x14ac:dyDescent="0.3">
      <c r="A2661" s="6" t="str">
        <f>HYPERLINK("https://www.ti.com/product/TPS2513", "TPS2513")</f>
        <v>TPS2513</v>
      </c>
      <c r="B2661" s="5" t="s">
        <v>23872</v>
      </c>
      <c r="C2661" s="6" t="str">
        <f>HYPERLINK("https://www.ti.com/lit/gpn/TPS2513", "PDF")</f>
        <v>PDF</v>
      </c>
      <c r="D2661" s="5" t="s">
        <v>23873</v>
      </c>
      <c r="E2661" s="5" t="s">
        <v>23874</v>
      </c>
      <c r="F2661" s="5"/>
      <c r="G2661" s="5" t="s">
        <v>23875</v>
      </c>
      <c r="H2661" s="1" t="s">
        <v>23876</v>
      </c>
      <c r="I2661" s="5" t="s">
        <v>23877</v>
      </c>
      <c r="J2661" s="7">
        <v>6</v>
      </c>
      <c r="K2661" s="7">
        <v>8.1199999999999992</v>
      </c>
      <c r="L2661" s="5" t="s">
        <v>23878</v>
      </c>
      <c r="M2661" s="7">
        <v>1.45</v>
      </c>
      <c r="N2661" s="7">
        <v>0.95</v>
      </c>
      <c r="O2661" s="7">
        <v>0.28799999999999998</v>
      </c>
      <c r="P2661" s="1" t="s">
        <v>23879</v>
      </c>
    </row>
    <row r="2662" spans="1:16" ht="33.4" x14ac:dyDescent="0.3">
      <c r="A2662" s="6" t="str">
        <f>HYPERLINK("https://www.ti.com/product/TPS7A37", "TPS7A37")</f>
        <v>TPS7A37</v>
      </c>
      <c r="B2662" s="5" t="s">
        <v>23880</v>
      </c>
      <c r="C2662" s="6" t="str">
        <f>HYPERLINK("https://www.ti.com/lit/gpn/TPS7A37", "PDF")</f>
        <v>PDF</v>
      </c>
      <c r="D2662" s="5" t="s">
        <v>23881</v>
      </c>
      <c r="E2662" s="5" t="s">
        <v>23882</v>
      </c>
      <c r="F2662" s="5"/>
      <c r="G2662" s="5" t="s">
        <v>23883</v>
      </c>
      <c r="H2662" s="1" t="s">
        <v>23884</v>
      </c>
      <c r="I2662" s="5" t="s">
        <v>23885</v>
      </c>
      <c r="J2662" s="7">
        <v>6</v>
      </c>
      <c r="K2662" s="7">
        <v>4</v>
      </c>
      <c r="L2662" s="5" t="s">
        <v>23886</v>
      </c>
      <c r="M2662" s="7">
        <v>0.8</v>
      </c>
      <c r="N2662" s="7">
        <v>0.65</v>
      </c>
      <c r="O2662" s="7">
        <v>0.65400000000000003</v>
      </c>
      <c r="P2662" s="1" t="s">
        <v>23887</v>
      </c>
    </row>
    <row r="2663" spans="1:16" ht="17.05" x14ac:dyDescent="0.3">
      <c r="A2663" s="6" t="str">
        <f>HYPERLINK("https://www.ti.com/product/TPS61158", "TPS61158")</f>
        <v>TPS61158</v>
      </c>
      <c r="B2663" s="5" t="s">
        <v>23888</v>
      </c>
      <c r="C2663" s="6" t="str">
        <f>HYPERLINK("https://www.ti.com/lit/gpn/TPS61158", "PDF")</f>
        <v>PDF</v>
      </c>
      <c r="D2663" s="5" t="s">
        <v>23889</v>
      </c>
      <c r="E2663" s="5" t="s">
        <v>23890</v>
      </c>
      <c r="F2663" s="5" t="s">
        <v>23891</v>
      </c>
      <c r="G2663" s="5" t="s">
        <v>23892</v>
      </c>
      <c r="H2663" s="1" t="s">
        <v>23893</v>
      </c>
      <c r="I2663" s="5" t="s">
        <v>23894</v>
      </c>
      <c r="J2663" s="7">
        <v>6</v>
      </c>
      <c r="K2663" s="7">
        <v>4</v>
      </c>
      <c r="L2663" s="5" t="s">
        <v>23895</v>
      </c>
      <c r="M2663" s="7">
        <v>0.8</v>
      </c>
      <c r="N2663" s="7">
        <v>0.65</v>
      </c>
      <c r="O2663" s="7">
        <v>0.38100000000000001</v>
      </c>
      <c r="P2663" s="1" t="s">
        <v>23896</v>
      </c>
    </row>
    <row r="2664" spans="1:16" ht="33.4" x14ac:dyDescent="0.3">
      <c r="A2664" s="6" t="str">
        <f>HYPERLINK("https://www.ti.com/product/TPS65233", "TPS65233")</f>
        <v>TPS65233</v>
      </c>
      <c r="B2664" s="5" t="s">
        <v>23897</v>
      </c>
      <c r="C2664" s="6" t="str">
        <f>HYPERLINK("https://www.ti.com/lit/gpn/TPS65233", "PDF")</f>
        <v>PDF</v>
      </c>
      <c r="D2664" s="5" t="s">
        <v>23898</v>
      </c>
      <c r="E2664" s="5" t="s">
        <v>23899</v>
      </c>
      <c r="F2664" s="5" t="s">
        <v>23900</v>
      </c>
      <c r="G2664" s="5" t="s">
        <v>23901</v>
      </c>
      <c r="H2664" s="1" t="s">
        <v>23902</v>
      </c>
      <c r="I2664" s="5" t="s">
        <v>23903</v>
      </c>
      <c r="J2664" s="7">
        <v>16</v>
      </c>
      <c r="K2664" s="7">
        <v>9</v>
      </c>
      <c r="L2664" s="5" t="s">
        <v>23904</v>
      </c>
      <c r="M2664" s="7">
        <v>0.8</v>
      </c>
      <c r="N2664" s="7">
        <v>0.5</v>
      </c>
      <c r="O2664" s="7">
        <v>0.94499999999999995</v>
      </c>
      <c r="P2664" s="1" t="s">
        <v>23905</v>
      </c>
    </row>
    <row r="2665" spans="1:16" ht="33.4" x14ac:dyDescent="0.3">
      <c r="A2665" s="6" t="str">
        <f>HYPERLINK("https://www.ti.com/product/TPS22924D", "TPS22924D")</f>
        <v>TPS22924D</v>
      </c>
      <c r="B2665" s="5" t="s">
        <v>23906</v>
      </c>
      <c r="C2665" s="6" t="str">
        <f>HYPERLINK("https://www.ti.com/lit/gpn/TPS22924D", "PDF")</f>
        <v>PDF</v>
      </c>
      <c r="D2665" s="5" t="s">
        <v>23907</v>
      </c>
      <c r="E2665" s="5" t="s">
        <v>23908</v>
      </c>
      <c r="F2665" s="5"/>
      <c r="G2665" s="5" t="s">
        <v>23909</v>
      </c>
      <c r="H2665" s="1" t="s">
        <v>23910</v>
      </c>
      <c r="I2665" s="5" t="s">
        <v>23911</v>
      </c>
      <c r="J2665" s="7">
        <v>6</v>
      </c>
      <c r="K2665" s="7">
        <v>2.1875</v>
      </c>
      <c r="L2665" s="5" t="s">
        <v>23912</v>
      </c>
      <c r="M2665" s="7">
        <v>0.5</v>
      </c>
      <c r="N2665" s="7">
        <v>0.5</v>
      </c>
      <c r="O2665" s="7">
        <v>0.24299999999999999</v>
      </c>
      <c r="P2665" s="1" t="s">
        <v>23913</v>
      </c>
    </row>
    <row r="2666" spans="1:16" ht="17.05" x14ac:dyDescent="0.3">
      <c r="A2666" s="6" t="str">
        <f>HYPERLINK("https://www.ti.com/product/TPS3831", "TPS3831")</f>
        <v>TPS3831</v>
      </c>
      <c r="B2666" s="5" t="s">
        <v>23914</v>
      </c>
      <c r="C2666" s="6" t="str">
        <f>HYPERLINK("https://www.ti.com/lit/gpn/TPS3831", "PDF")</f>
        <v>PDF</v>
      </c>
      <c r="D2666" s="5" t="s">
        <v>23915</v>
      </c>
      <c r="E2666" s="5" t="s">
        <v>23916</v>
      </c>
      <c r="F2666" s="5"/>
      <c r="G2666" s="5" t="s">
        <v>23917</v>
      </c>
      <c r="H2666" s="1" t="s">
        <v>23918</v>
      </c>
      <c r="I2666" s="5" t="s">
        <v>23919</v>
      </c>
      <c r="J2666" s="7">
        <v>4</v>
      </c>
      <c r="K2666" s="7">
        <v>1</v>
      </c>
      <c r="L2666" s="5" t="s">
        <v>23920</v>
      </c>
      <c r="M2666" s="7">
        <v>0.4</v>
      </c>
      <c r="N2666" s="7">
        <v>0.65</v>
      </c>
      <c r="O2666" s="7">
        <v>0.33</v>
      </c>
      <c r="P2666" s="1" t="s">
        <v>23921</v>
      </c>
    </row>
    <row r="2667" spans="1:16" ht="33.4" x14ac:dyDescent="0.3">
      <c r="A2667" s="6" t="str">
        <f>HYPERLINK("https://www.ti.com/product/TPS54627", "TPS54627")</f>
        <v>TPS54627</v>
      </c>
      <c r="B2667" s="5" t="s">
        <v>23922</v>
      </c>
      <c r="C2667" s="6" t="str">
        <f>HYPERLINK("https://www.ti.com/lit/gpn/TPS54627", "PDF")</f>
        <v>PDF</v>
      </c>
      <c r="D2667" s="5" t="s">
        <v>23923</v>
      </c>
      <c r="E2667" s="5" t="s">
        <v>23924</v>
      </c>
      <c r="F2667" s="5" t="s">
        <v>23925</v>
      </c>
      <c r="G2667" s="5" t="s">
        <v>23926</v>
      </c>
      <c r="H2667" s="1" t="s">
        <v>23927</v>
      </c>
      <c r="I2667" s="5" t="s">
        <v>23928</v>
      </c>
      <c r="J2667" s="7">
        <v>8</v>
      </c>
      <c r="K2667" s="7">
        <v>29.4</v>
      </c>
      <c r="L2667" s="5" t="s">
        <v>23929</v>
      </c>
      <c r="M2667" s="7">
        <v>1.7</v>
      </c>
      <c r="N2667" s="7">
        <v>1.27</v>
      </c>
      <c r="O2667" s="7">
        <v>1.9059999999999999</v>
      </c>
      <c r="P2667" s="1" t="s">
        <v>23930</v>
      </c>
    </row>
    <row r="2668" spans="1:16" ht="33.4" x14ac:dyDescent="0.3">
      <c r="A2668" s="6" t="str">
        <f>HYPERLINK("https://www.ti.com/product/TPS54628", "TPS54628")</f>
        <v>TPS54628</v>
      </c>
      <c r="B2668" s="5" t="s">
        <v>23931</v>
      </c>
      <c r="C2668" s="6" t="str">
        <f>HYPERLINK("https://www.ti.com/lit/gpn/TPS54628", "PDF")</f>
        <v>PDF</v>
      </c>
      <c r="D2668" s="5" t="s">
        <v>23932</v>
      </c>
      <c r="E2668" s="5" t="s">
        <v>23933</v>
      </c>
      <c r="F2668" s="5" t="s">
        <v>23934</v>
      </c>
      <c r="G2668" s="5" t="s">
        <v>23935</v>
      </c>
      <c r="H2668" s="1" t="s">
        <v>23936</v>
      </c>
      <c r="I2668" s="5" t="s">
        <v>23937</v>
      </c>
      <c r="J2668" s="7">
        <v>8</v>
      </c>
      <c r="K2668" s="7">
        <v>29.4</v>
      </c>
      <c r="L2668" s="5" t="s">
        <v>23938</v>
      </c>
      <c r="M2668" s="7">
        <v>1.7</v>
      </c>
      <c r="N2668" s="7">
        <v>1.27</v>
      </c>
      <c r="O2668" s="7">
        <v>1.9259999999999999</v>
      </c>
      <c r="P2668" s="1" t="s">
        <v>23939</v>
      </c>
    </row>
    <row r="2669" spans="1:16" ht="33.4" x14ac:dyDescent="0.3">
      <c r="A2669" s="6" t="str">
        <f>HYPERLINK("https://www.ti.com/product/TPS2482", "TPS2482")</f>
        <v>TPS2482</v>
      </c>
      <c r="B2669" s="5" t="s">
        <v>23940</v>
      </c>
      <c r="C2669" s="6" t="str">
        <f>HYPERLINK("https://www.ti.com/lit/gpn/TPS2482", "PDF")</f>
        <v>PDF</v>
      </c>
      <c r="D2669" s="5" t="s">
        <v>23941</v>
      </c>
      <c r="E2669" s="5" t="s">
        <v>23942</v>
      </c>
      <c r="F2669" s="5"/>
      <c r="G2669" s="5" t="s">
        <v>23943</v>
      </c>
      <c r="H2669" s="1" t="s">
        <v>23944</v>
      </c>
      <c r="I2669" s="5" t="s">
        <v>23945</v>
      </c>
      <c r="J2669" s="7">
        <v>20</v>
      </c>
      <c r="K2669" s="7">
        <v>41.6</v>
      </c>
      <c r="L2669" s="5" t="s">
        <v>23946</v>
      </c>
      <c r="M2669" s="7">
        <v>1.2</v>
      </c>
      <c r="N2669" s="7">
        <v>0.65</v>
      </c>
      <c r="O2669" s="7">
        <v>2.1</v>
      </c>
      <c r="P2669" s="1" t="s">
        <v>23947</v>
      </c>
    </row>
    <row r="2670" spans="1:16" ht="33.4" x14ac:dyDescent="0.3">
      <c r="A2670" s="6" t="str">
        <f>HYPERLINK("https://www.ti.com/product/TPS2483", "TPS2483")</f>
        <v>TPS2483</v>
      </c>
      <c r="B2670" s="5" t="s">
        <v>23948</v>
      </c>
      <c r="C2670" s="6" t="str">
        <f>HYPERLINK("https://www.ti.com/lit/gpn/TPS2483", "PDF")</f>
        <v>PDF</v>
      </c>
      <c r="D2670" s="5" t="s">
        <v>23949</v>
      </c>
      <c r="E2670" s="5" t="s">
        <v>23950</v>
      </c>
      <c r="F2670" s="5"/>
      <c r="G2670" s="5" t="s">
        <v>23951</v>
      </c>
      <c r="H2670" s="1" t="s">
        <v>23952</v>
      </c>
      <c r="I2670" s="5" t="s">
        <v>23953</v>
      </c>
      <c r="J2670" s="7">
        <v>20</v>
      </c>
      <c r="K2670" s="7">
        <v>41.6</v>
      </c>
      <c r="L2670" s="5" t="s">
        <v>23954</v>
      </c>
      <c r="M2670" s="7">
        <v>1.2</v>
      </c>
      <c r="N2670" s="7">
        <v>0.65</v>
      </c>
      <c r="O2670" s="7">
        <v>2.1</v>
      </c>
      <c r="P2670" s="1" t="s">
        <v>23955</v>
      </c>
    </row>
    <row r="2671" spans="1:16" ht="17.05" x14ac:dyDescent="0.3">
      <c r="A2671" s="6" t="str">
        <f>HYPERLINK("https://www.ti.com/product/TPS3420", "TPS3420")</f>
        <v>TPS3420</v>
      </c>
      <c r="B2671" s="5" t="s">
        <v>23956</v>
      </c>
      <c r="C2671" s="6" t="str">
        <f>HYPERLINK("https://www.ti.com/lit/gpn/TPS3420", "PDF")</f>
        <v>PDF</v>
      </c>
      <c r="D2671" s="5" t="s">
        <v>23957</v>
      </c>
      <c r="E2671" s="5" t="s">
        <v>23958</v>
      </c>
      <c r="F2671" s="5"/>
      <c r="G2671" s="5" t="s">
        <v>23959</v>
      </c>
      <c r="H2671" s="1" t="s">
        <v>23960</v>
      </c>
      <c r="I2671" s="5" t="s">
        <v>23961</v>
      </c>
      <c r="J2671" s="7">
        <v>6</v>
      </c>
      <c r="K2671" s="7">
        <v>1.45</v>
      </c>
      <c r="L2671" s="5" t="s">
        <v>23962</v>
      </c>
      <c r="M2671" s="7">
        <v>0.6</v>
      </c>
      <c r="N2671" s="7">
        <v>0.5</v>
      </c>
      <c r="O2671" s="7">
        <v>0.47899999999999998</v>
      </c>
      <c r="P2671" s="1" t="s">
        <v>23963</v>
      </c>
    </row>
    <row r="2672" spans="1:16" ht="33.4" x14ac:dyDescent="0.3">
      <c r="A2672" s="6" t="str">
        <f>HYPERLINK("https://www.ti.com/product/TPS3422", "TPS3422")</f>
        <v>TPS3422</v>
      </c>
      <c r="B2672" s="5" t="s">
        <v>23964</v>
      </c>
      <c r="C2672" s="6" t="str">
        <f>HYPERLINK("https://www.ti.com/lit/gpn/TPS3422", "PDF")</f>
        <v>PDF</v>
      </c>
      <c r="D2672" s="5" t="s">
        <v>23965</v>
      </c>
      <c r="E2672" s="5" t="s">
        <v>23966</v>
      </c>
      <c r="F2672" s="5"/>
      <c r="G2672" s="5" t="s">
        <v>23967</v>
      </c>
      <c r="H2672" s="1" t="s">
        <v>23968</v>
      </c>
      <c r="I2672" s="5" t="s">
        <v>23969</v>
      </c>
      <c r="J2672" s="7">
        <v>6</v>
      </c>
      <c r="K2672" s="7">
        <v>1.45</v>
      </c>
      <c r="L2672" s="5" t="s">
        <v>23970</v>
      </c>
      <c r="M2672" s="7">
        <v>0.6</v>
      </c>
      <c r="N2672" s="7">
        <v>0.5</v>
      </c>
      <c r="O2672" s="7">
        <v>0.27700000000000002</v>
      </c>
      <c r="P2672" s="1" t="s">
        <v>23971</v>
      </c>
    </row>
    <row r="2673" spans="1:16" ht="33.4" x14ac:dyDescent="0.3">
      <c r="A2673" s="6" t="str">
        <f>HYPERLINK("https://www.ti.com/product/TPS65251-1", "TPS65251-1")</f>
        <v>TPS65251-1</v>
      </c>
      <c r="B2673" s="5" t="s">
        <v>23972</v>
      </c>
      <c r="C2673" s="6" t="str">
        <f>HYPERLINK("https://www.ti.com/lit/gpn/TPS65251-1", "PDF")</f>
        <v>PDF</v>
      </c>
      <c r="D2673" s="5" t="s">
        <v>23973</v>
      </c>
      <c r="E2673" s="5" t="s">
        <v>23974</v>
      </c>
      <c r="F2673" s="5" t="s">
        <v>23975</v>
      </c>
      <c r="G2673" s="5" t="s">
        <v>23976</v>
      </c>
      <c r="H2673" s="1" t="s">
        <v>23977</v>
      </c>
      <c r="I2673" s="5" t="s">
        <v>23978</v>
      </c>
      <c r="J2673" s="7">
        <v>40</v>
      </c>
      <c r="K2673" s="7">
        <v>36</v>
      </c>
      <c r="L2673" s="5" t="s">
        <v>23979</v>
      </c>
      <c r="M2673" s="7">
        <v>1</v>
      </c>
      <c r="N2673" s="7">
        <v>0.5</v>
      </c>
      <c r="O2673" s="7">
        <v>1.7809999999999999</v>
      </c>
      <c r="P2673" s="1" t="s">
        <v>23980</v>
      </c>
    </row>
    <row r="2674" spans="1:16" ht="33.4" x14ac:dyDescent="0.3">
      <c r="A2674" s="6" t="str">
        <f>HYPERLINK("https://www.ti.com/product/TPS65251-2", "TPS65251-2")</f>
        <v>TPS65251-2</v>
      </c>
      <c r="B2674" s="5" t="s">
        <v>23981</v>
      </c>
      <c r="C2674" s="6" t="str">
        <f>HYPERLINK("https://www.ti.com/lit/gpn/TPS65251-2", "PDF")</f>
        <v>PDF</v>
      </c>
      <c r="D2674" s="5" t="s">
        <v>23982</v>
      </c>
      <c r="E2674" s="5" t="s">
        <v>23983</v>
      </c>
      <c r="F2674" s="5" t="s">
        <v>23984</v>
      </c>
      <c r="G2674" s="5" t="s">
        <v>23985</v>
      </c>
      <c r="H2674" s="1" t="s">
        <v>23986</v>
      </c>
      <c r="I2674" s="5" t="s">
        <v>23987</v>
      </c>
      <c r="J2674" s="7">
        <v>40</v>
      </c>
      <c r="K2674" s="7">
        <v>36</v>
      </c>
      <c r="L2674" s="5" t="s">
        <v>23988</v>
      </c>
      <c r="M2674" s="7">
        <v>1</v>
      </c>
      <c r="N2674" s="7">
        <v>0.5</v>
      </c>
      <c r="O2674" s="7">
        <v>1.7809999999999999</v>
      </c>
      <c r="P2674" s="1" t="s">
        <v>23989</v>
      </c>
    </row>
    <row r="2675" spans="1:16" ht="33.4" x14ac:dyDescent="0.3">
      <c r="A2675" s="6" t="str">
        <f>HYPERLINK("https://www.ti.com/product/TPS65251-3", "TPS65251-3")</f>
        <v>TPS65251-3</v>
      </c>
      <c r="B2675" s="5" t="s">
        <v>23990</v>
      </c>
      <c r="C2675" s="6" t="str">
        <f>HYPERLINK("https://www.ti.com/lit/gpn/TPS65251-3", "PDF")</f>
        <v>PDF</v>
      </c>
      <c r="D2675" s="5" t="s">
        <v>23991</v>
      </c>
      <c r="E2675" s="5" t="s">
        <v>23992</v>
      </c>
      <c r="F2675" s="5" t="s">
        <v>23993</v>
      </c>
      <c r="G2675" s="5" t="s">
        <v>23994</v>
      </c>
      <c r="H2675" s="1" t="s">
        <v>23995</v>
      </c>
      <c r="I2675" s="5" t="s">
        <v>23996</v>
      </c>
      <c r="J2675" s="7">
        <v>40</v>
      </c>
      <c r="K2675" s="7">
        <v>36</v>
      </c>
      <c r="L2675" s="5" t="s">
        <v>23997</v>
      </c>
      <c r="M2675" s="7">
        <v>1</v>
      </c>
      <c r="N2675" s="7">
        <v>0.5</v>
      </c>
      <c r="O2675" s="7">
        <v>1.7809999999999999</v>
      </c>
      <c r="P2675" s="1" t="s">
        <v>23998</v>
      </c>
    </row>
    <row r="2676" spans="1:16" ht="49.75" x14ac:dyDescent="0.3">
      <c r="A2676" s="6" t="str">
        <f>HYPERLINK("https://www.ti.com/product/LM3630A", "LM3630A")</f>
        <v>LM3630A</v>
      </c>
      <c r="B2676" s="5" t="s">
        <v>23999</v>
      </c>
      <c r="C2676" s="6" t="str">
        <f>HYPERLINK("https://www.ti.com/lit/gpn/LM3630A", "PDF")</f>
        <v>PDF</v>
      </c>
      <c r="D2676" s="5" t="s">
        <v>24000</v>
      </c>
      <c r="E2676" s="5" t="s">
        <v>24001</v>
      </c>
      <c r="F2676" s="5" t="s">
        <v>24002</v>
      </c>
      <c r="G2676" s="5" t="s">
        <v>24003</v>
      </c>
      <c r="H2676" s="1" t="s">
        <v>24004</v>
      </c>
      <c r="I2676" s="5" t="s">
        <v>24005</v>
      </c>
      <c r="J2676" s="7">
        <v>12</v>
      </c>
      <c r="K2676" s="7">
        <v>2.52</v>
      </c>
      <c r="L2676" s="5" t="s">
        <v>24006</v>
      </c>
      <c r="M2676" s="7">
        <v>0.67500000000000004</v>
      </c>
      <c r="N2676" s="7">
        <v>0.4</v>
      </c>
      <c r="O2676" s="7">
        <v>0.378</v>
      </c>
      <c r="P2676" s="1" t="s">
        <v>24007</v>
      </c>
    </row>
    <row r="2677" spans="1:16" ht="33.4" x14ac:dyDescent="0.3">
      <c r="A2677" s="6" t="str">
        <f>HYPERLINK("https://www.ti.com/product/UC1715-SP", "UC1715-SP")</f>
        <v>UC1715-SP</v>
      </c>
      <c r="B2677" s="5" t="s">
        <v>24008</v>
      </c>
      <c r="C2677" s="6" t="str">
        <f>HYPERLINK("https://www.ti.com/lit/gpn/UC1715-SP", "PDF")</f>
        <v>PDF</v>
      </c>
      <c r="D2677" s="5" t="s">
        <v>24009</v>
      </c>
      <c r="E2677" s="5" t="s">
        <v>24010</v>
      </c>
      <c r="F2677" s="5"/>
      <c r="G2677" s="5" t="s">
        <v>24011</v>
      </c>
      <c r="H2677" s="1" t="s">
        <v>24012</v>
      </c>
      <c r="I2677" s="5" t="s">
        <v>24013</v>
      </c>
      <c r="J2677" s="7">
        <v>16</v>
      </c>
      <c r="K2677" s="7">
        <v>69.319000000000003</v>
      </c>
      <c r="L2677" s="5" t="s">
        <v>24014</v>
      </c>
      <c r="M2677" s="7">
        <v>2.0299999999999998</v>
      </c>
      <c r="N2677" s="7">
        <v>1.27</v>
      </c>
      <c r="O2677" s="7">
        <v>476.983</v>
      </c>
      <c r="P2677" s="1" t="s">
        <v>24015</v>
      </c>
    </row>
    <row r="2678" spans="1:16" ht="33.4" x14ac:dyDescent="0.3">
      <c r="A2678" s="6" t="str">
        <f>HYPERLINK("https://www.ti.com/product/UCC27536", "UCC27536")</f>
        <v>UCC27536</v>
      </c>
      <c r="B2678" s="5" t="s">
        <v>24016</v>
      </c>
      <c r="C2678" s="6" t="str">
        <f>HYPERLINK("https://www.ti.com/lit/gpn/UCC27536", "PDF")</f>
        <v>PDF</v>
      </c>
      <c r="D2678" s="5" t="s">
        <v>24017</v>
      </c>
      <c r="E2678" s="5" t="s">
        <v>24018</v>
      </c>
      <c r="F2678" s="5"/>
      <c r="G2678" s="5" t="s">
        <v>24019</v>
      </c>
      <c r="H2678" s="1" t="s">
        <v>24020</v>
      </c>
      <c r="I2678" s="5" t="s">
        <v>24021</v>
      </c>
      <c r="J2678" s="7">
        <v>5</v>
      </c>
      <c r="K2678" s="7">
        <v>8.1199999999999992</v>
      </c>
      <c r="L2678" s="5" t="s">
        <v>24022</v>
      </c>
      <c r="M2678" s="7">
        <v>1.45</v>
      </c>
      <c r="N2678" s="7">
        <v>0.95</v>
      </c>
      <c r="O2678" s="7">
        <v>0.49199999999999999</v>
      </c>
      <c r="P2678" s="1" t="s">
        <v>24023</v>
      </c>
    </row>
    <row r="2679" spans="1:16" ht="33.4" x14ac:dyDescent="0.3">
      <c r="A2679" s="6" t="str">
        <f>HYPERLINK("https://www.ti.com/product/UCC27537", "UCC27537")</f>
        <v>UCC27537</v>
      </c>
      <c r="B2679" s="5" t="s">
        <v>24024</v>
      </c>
      <c r="C2679" s="6" t="str">
        <f>HYPERLINK("https://www.ti.com/lit/gpn/UCC27537", "PDF")</f>
        <v>PDF</v>
      </c>
      <c r="D2679" s="5" t="s">
        <v>24025</v>
      </c>
      <c r="E2679" s="5" t="s">
        <v>24026</v>
      </c>
      <c r="F2679" s="5"/>
      <c r="G2679" s="5" t="s">
        <v>24027</v>
      </c>
      <c r="H2679" s="1" t="s">
        <v>24028</v>
      </c>
      <c r="I2679" s="5" t="s">
        <v>24029</v>
      </c>
      <c r="J2679" s="7">
        <v>5</v>
      </c>
      <c r="K2679" s="7">
        <v>8.1199999999999992</v>
      </c>
      <c r="L2679" s="5" t="s">
        <v>24030</v>
      </c>
      <c r="M2679" s="7">
        <v>1.45</v>
      </c>
      <c r="N2679" s="7">
        <v>0.95</v>
      </c>
      <c r="O2679" s="7">
        <v>0.49199999999999999</v>
      </c>
      <c r="P2679" s="1" t="s">
        <v>24031</v>
      </c>
    </row>
    <row r="2680" spans="1:16" ht="33.4" x14ac:dyDescent="0.3">
      <c r="A2680" s="6" t="str">
        <f>HYPERLINK("https://www.ti.com/product/UCC27538", "UCC27538")</f>
        <v>UCC27538</v>
      </c>
      <c r="B2680" s="5" t="s">
        <v>24032</v>
      </c>
      <c r="C2680" s="6" t="str">
        <f>HYPERLINK("https://www.ti.com/lit/gpn/UCC27538", "PDF")</f>
        <v>PDF</v>
      </c>
      <c r="D2680" s="5" t="s">
        <v>24033</v>
      </c>
      <c r="E2680" s="5" t="s">
        <v>24034</v>
      </c>
      <c r="F2680" s="5"/>
      <c r="G2680" s="5" t="s">
        <v>24035</v>
      </c>
      <c r="H2680" s="1" t="s">
        <v>24036</v>
      </c>
      <c r="I2680" s="5" t="s">
        <v>24037</v>
      </c>
      <c r="J2680" s="7">
        <v>6</v>
      </c>
      <c r="K2680" s="7">
        <v>8.1199999999999992</v>
      </c>
      <c r="L2680" s="5" t="s">
        <v>24038</v>
      </c>
      <c r="M2680" s="7">
        <v>1.45</v>
      </c>
      <c r="N2680" s="7">
        <v>0.95</v>
      </c>
      <c r="O2680" s="7">
        <v>0.49199999999999999</v>
      </c>
      <c r="P2680" s="1" t="s">
        <v>24039</v>
      </c>
    </row>
    <row r="2681" spans="1:16" ht="33.4" x14ac:dyDescent="0.3">
      <c r="A2681" s="6" t="str">
        <f>HYPERLINK("https://www.ti.com/product/CSD17381F4", "CSD17381F4")</f>
        <v>CSD17381F4</v>
      </c>
      <c r="B2681" s="5" t="s">
        <v>24040</v>
      </c>
      <c r="C2681" s="6" t="str">
        <f>HYPERLINK("https://www.ti.com/lit/gpn/CSD17381F4", "PDF")</f>
        <v>PDF</v>
      </c>
      <c r="D2681" s="5" t="s">
        <v>24041</v>
      </c>
      <c r="E2681" s="5" t="s">
        <v>24042</v>
      </c>
      <c r="F2681" s="5"/>
      <c r="G2681" s="5" t="s">
        <v>24043</v>
      </c>
      <c r="H2681" s="1" t="s">
        <v>24044</v>
      </c>
      <c r="I2681" s="5" t="s">
        <v>24045</v>
      </c>
      <c r="J2681" s="7">
        <v>3</v>
      </c>
      <c r="K2681" s="7">
        <v>0.65722499999999995</v>
      </c>
      <c r="L2681" s="5" t="s">
        <v>24046</v>
      </c>
      <c r="M2681" s="7">
        <v>0.36</v>
      </c>
      <c r="N2681" s="7">
        <v>0.35</v>
      </c>
      <c r="O2681" s="7">
        <v>4.4999999999999998E-2</v>
      </c>
      <c r="P2681" s="1" t="s">
        <v>24047</v>
      </c>
    </row>
    <row r="2682" spans="1:16" ht="33.4" x14ac:dyDescent="0.3">
      <c r="A2682" s="6" t="str">
        <f>HYPERLINK("https://www.ti.com/product/LP38798", "LP38798")</f>
        <v>LP38798</v>
      </c>
      <c r="B2682" s="5" t="s">
        <v>24048</v>
      </c>
      <c r="C2682" s="6" t="str">
        <f>HYPERLINK("https://www.ti.com/lit/gpn/LP38798", "PDF")</f>
        <v>PDF</v>
      </c>
      <c r="D2682" s="5" t="s">
        <v>24049</v>
      </c>
      <c r="E2682" s="5" t="s">
        <v>24050</v>
      </c>
      <c r="F2682" s="5"/>
      <c r="G2682" s="5" t="s">
        <v>24051</v>
      </c>
      <c r="H2682" s="1" t="s">
        <v>24052</v>
      </c>
      <c r="I2682" s="5" t="s">
        <v>24053</v>
      </c>
      <c r="J2682" s="7">
        <v>12</v>
      </c>
      <c r="K2682" s="7">
        <v>16</v>
      </c>
      <c r="L2682" s="5" t="s">
        <v>24054</v>
      </c>
      <c r="M2682" s="7">
        <v>0.8</v>
      </c>
      <c r="N2682" s="7">
        <v>0.5</v>
      </c>
      <c r="O2682" s="7">
        <v>1.4470000000000001</v>
      </c>
      <c r="P2682" s="1" t="s">
        <v>24055</v>
      </c>
    </row>
    <row r="2683" spans="1:16" ht="33.4" x14ac:dyDescent="0.3">
      <c r="A2683" s="6" t="str">
        <f>HYPERLINK("https://www.ti.com/product/TPS56428", "TPS56428")</f>
        <v>TPS56428</v>
      </c>
      <c r="B2683" s="5" t="s">
        <v>24056</v>
      </c>
      <c r="C2683" s="6" t="str">
        <f>HYPERLINK("https://www.ti.com/lit/gpn/TPS56428", "PDF")</f>
        <v>PDF</v>
      </c>
      <c r="D2683" s="5" t="s">
        <v>24057</v>
      </c>
      <c r="E2683" s="5" t="s">
        <v>24058</v>
      </c>
      <c r="F2683" s="5" t="s">
        <v>24059</v>
      </c>
      <c r="G2683" s="5" t="s">
        <v>24060</v>
      </c>
      <c r="H2683" s="1" t="s">
        <v>24061</v>
      </c>
      <c r="I2683" s="5" t="s">
        <v>24062</v>
      </c>
      <c r="J2683" s="7" t="s">
        <v>24063</v>
      </c>
      <c r="K2683" s="7" t="s">
        <v>24064</v>
      </c>
      <c r="L2683" s="5" t="s">
        <v>24065</v>
      </c>
      <c r="M2683" s="7" t="s">
        <v>24066</v>
      </c>
      <c r="N2683" s="7" t="s">
        <v>24067</v>
      </c>
      <c r="O2683" s="7">
        <v>0.48099999999999998</v>
      </c>
      <c r="P2683" s="1" t="s">
        <v>24068</v>
      </c>
    </row>
    <row r="2684" spans="1:16" ht="33.4" x14ac:dyDescent="0.3">
      <c r="A2684" s="6" t="str">
        <f>HYPERLINK("https://www.ti.com/product/TPS56528", "TPS56528")</f>
        <v>TPS56528</v>
      </c>
      <c r="B2684" s="5" t="s">
        <v>24069</v>
      </c>
      <c r="C2684" s="6" t="str">
        <f>HYPERLINK("https://www.ti.com/lit/gpn/TPS56528", "PDF")</f>
        <v>PDF</v>
      </c>
      <c r="D2684" s="5" t="s">
        <v>24070</v>
      </c>
      <c r="E2684" s="5" t="s">
        <v>24071</v>
      </c>
      <c r="F2684" s="5" t="s">
        <v>24072</v>
      </c>
      <c r="G2684" s="5" t="s">
        <v>24073</v>
      </c>
      <c r="H2684" s="1" t="s">
        <v>24074</v>
      </c>
      <c r="I2684" s="5" t="s">
        <v>24075</v>
      </c>
      <c r="J2684" s="7">
        <v>8</v>
      </c>
      <c r="K2684" s="7">
        <v>29.4</v>
      </c>
      <c r="L2684" s="5" t="s">
        <v>24076</v>
      </c>
      <c r="M2684" s="7">
        <v>1.7</v>
      </c>
      <c r="N2684" s="7">
        <v>1.27</v>
      </c>
      <c r="O2684" s="7">
        <v>0.50600000000000001</v>
      </c>
      <c r="P2684" s="1" t="s">
        <v>24077</v>
      </c>
    </row>
    <row r="2685" spans="1:16" ht="33.4" x14ac:dyDescent="0.3">
      <c r="A2685" s="6" t="str">
        <f>HYPERLINK("https://www.ti.com/product/TPS51285A", "TPS51285A")</f>
        <v>TPS51285A</v>
      </c>
      <c r="B2685" s="5" t="s">
        <v>24078</v>
      </c>
      <c r="C2685" s="6" t="str">
        <f>HYPERLINK("https://www.ti.com/lit/gpn/TPS51285A", "PDF")</f>
        <v>PDF</v>
      </c>
      <c r="D2685" s="5" t="s">
        <v>24079</v>
      </c>
      <c r="E2685" s="5" t="s">
        <v>24080</v>
      </c>
      <c r="F2685" s="5" t="s">
        <v>24081</v>
      </c>
      <c r="G2685" s="5" t="s">
        <v>24082</v>
      </c>
      <c r="H2685" s="1" t="s">
        <v>24083</v>
      </c>
      <c r="I2685" s="5" t="s">
        <v>24084</v>
      </c>
      <c r="J2685" s="7">
        <v>20</v>
      </c>
      <c r="K2685" s="7">
        <v>9</v>
      </c>
      <c r="L2685" s="5" t="s">
        <v>24085</v>
      </c>
      <c r="M2685" s="7">
        <v>0.8</v>
      </c>
      <c r="N2685" s="7">
        <v>0.4</v>
      </c>
      <c r="O2685" s="7">
        <v>0.64500000000000002</v>
      </c>
      <c r="P2685" s="1" t="s">
        <v>24086</v>
      </c>
    </row>
    <row r="2686" spans="1:16" ht="33.4" x14ac:dyDescent="0.3">
      <c r="A2686" s="6" t="str">
        <f>HYPERLINK("https://www.ti.com/product/TPS51285B", "TPS51285B")</f>
        <v>TPS51285B</v>
      </c>
      <c r="B2686" s="5" t="s">
        <v>24087</v>
      </c>
      <c r="C2686" s="6" t="str">
        <f>HYPERLINK("https://www.ti.com/lit/gpn/TPS51285B", "PDF")</f>
        <v>PDF</v>
      </c>
      <c r="D2686" s="5" t="s">
        <v>24088</v>
      </c>
      <c r="E2686" s="5" t="s">
        <v>24089</v>
      </c>
      <c r="F2686" s="5" t="s">
        <v>24090</v>
      </c>
      <c r="G2686" s="5" t="s">
        <v>24091</v>
      </c>
      <c r="H2686" s="1" t="s">
        <v>24092</v>
      </c>
      <c r="I2686" s="5" t="s">
        <v>24093</v>
      </c>
      <c r="J2686" s="7">
        <v>20</v>
      </c>
      <c r="K2686" s="7">
        <v>9</v>
      </c>
      <c r="L2686" s="5" t="s">
        <v>24094</v>
      </c>
      <c r="M2686" s="7">
        <v>0.8</v>
      </c>
      <c r="N2686" s="7">
        <v>0.4</v>
      </c>
      <c r="O2686" s="7">
        <v>0.64500000000000002</v>
      </c>
      <c r="P2686" s="1" t="s">
        <v>24095</v>
      </c>
    </row>
    <row r="2687" spans="1:16" ht="33.4" x14ac:dyDescent="0.3">
      <c r="A2687" s="6" t="str">
        <f>HYPERLINK("https://www.ti.com/product/LP55231", "LP55231")</f>
        <v>LP55231</v>
      </c>
      <c r="B2687" s="5" t="s">
        <v>24096</v>
      </c>
      <c r="C2687" s="6" t="str">
        <f>HYPERLINK("https://www.ti.com/lit/gpn/LP55231", "PDF")</f>
        <v>PDF</v>
      </c>
      <c r="D2687" s="5" t="s">
        <v>24097</v>
      </c>
      <c r="E2687" s="5" t="s">
        <v>24098</v>
      </c>
      <c r="F2687" s="5" t="s">
        <v>24099</v>
      </c>
      <c r="G2687" s="5" t="s">
        <v>24100</v>
      </c>
      <c r="H2687" s="1" t="s">
        <v>24101</v>
      </c>
      <c r="I2687" s="5" t="s">
        <v>24102</v>
      </c>
      <c r="J2687" s="7">
        <v>24</v>
      </c>
      <c r="K2687" s="7">
        <v>16</v>
      </c>
      <c r="L2687" s="5" t="s">
        <v>24103</v>
      </c>
      <c r="M2687" s="7">
        <v>0.8</v>
      </c>
      <c r="N2687" s="7">
        <v>0.5</v>
      </c>
      <c r="O2687" s="7">
        <v>0.83499999999999996</v>
      </c>
      <c r="P2687" s="1" t="s">
        <v>24104</v>
      </c>
    </row>
    <row r="2688" spans="1:16" ht="49.75" x14ac:dyDescent="0.3">
      <c r="A2688" s="6" t="str">
        <f>HYPERLINK("https://www.ti.com/product/TPS40170-EP", "TPS40170-EP")</f>
        <v>TPS40170-EP</v>
      </c>
      <c r="B2688" s="5" t="s">
        <v>24105</v>
      </c>
      <c r="C2688" s="6" t="str">
        <f>HYPERLINK("https://www.ti.com/lit/gpn/TPS40170-EP", "PDF")</f>
        <v>PDF</v>
      </c>
      <c r="D2688" s="5" t="s">
        <v>24106</v>
      </c>
      <c r="E2688" s="5" t="s">
        <v>24107</v>
      </c>
      <c r="F2688" s="5" t="s">
        <v>24108</v>
      </c>
      <c r="G2688" s="5" t="s">
        <v>24109</v>
      </c>
      <c r="H2688" s="1" t="s">
        <v>24110</v>
      </c>
      <c r="I2688" s="5" t="s">
        <v>24111</v>
      </c>
      <c r="J2688" s="7">
        <v>20</v>
      </c>
      <c r="K2688" s="7">
        <v>15.75</v>
      </c>
      <c r="L2688" s="5" t="s">
        <v>24112</v>
      </c>
      <c r="M2688" s="7">
        <v>1</v>
      </c>
      <c r="N2688" s="7">
        <v>0.5</v>
      </c>
      <c r="O2688" s="7">
        <v>7.8170000000000002</v>
      </c>
      <c r="P2688" s="1" t="s">
        <v>24113</v>
      </c>
    </row>
    <row r="2689" spans="1:16" ht="17.05" x14ac:dyDescent="0.3">
      <c r="A2689" s="6" t="str">
        <f>HYPERLINK("https://www.ti.com/product/TPS92660", "TPS92660")</f>
        <v>TPS92660</v>
      </c>
      <c r="B2689" s="5" t="s">
        <v>24114</v>
      </c>
      <c r="C2689" s="6" t="str">
        <f>HYPERLINK("https://www.ti.com/lit/gpn/TPS92660", "PDF")</f>
        <v>PDF</v>
      </c>
      <c r="D2689" s="5" t="s">
        <v>24115</v>
      </c>
      <c r="E2689" s="5" t="s">
        <v>24116</v>
      </c>
      <c r="F2689" s="5" t="s">
        <v>24117</v>
      </c>
      <c r="G2689" s="5" t="s">
        <v>24118</v>
      </c>
      <c r="H2689" s="1" t="s">
        <v>24119</v>
      </c>
      <c r="I2689" s="5" t="s">
        <v>24120</v>
      </c>
      <c r="J2689" s="7">
        <v>20</v>
      </c>
      <c r="K2689" s="7">
        <v>41.6</v>
      </c>
      <c r="L2689" s="5" t="s">
        <v>24121</v>
      </c>
      <c r="M2689" s="7">
        <v>1.2</v>
      </c>
      <c r="N2689" s="7">
        <v>0.65</v>
      </c>
      <c r="O2689" s="7">
        <v>1.3009999999999999</v>
      </c>
      <c r="P2689" s="1" t="s">
        <v>24122</v>
      </c>
    </row>
    <row r="2690" spans="1:16" ht="33.4" x14ac:dyDescent="0.3">
      <c r="A2690" s="6" t="str">
        <f>HYPERLINK("https://www.ti.com/product/TPS51632", "TPS51632")</f>
        <v>TPS51632</v>
      </c>
      <c r="B2690" s="5" t="s">
        <v>24123</v>
      </c>
      <c r="C2690" s="6" t="str">
        <f>HYPERLINK("https://www.ti.com/lit/gpn/TPS51632", "PDF")</f>
        <v>PDF</v>
      </c>
      <c r="D2690" s="5" t="s">
        <v>24124</v>
      </c>
      <c r="E2690" s="5" t="s">
        <v>24125</v>
      </c>
      <c r="F2690" s="5" t="s">
        <v>24126</v>
      </c>
      <c r="G2690" s="5" t="s">
        <v>24127</v>
      </c>
      <c r="H2690" s="1" t="s">
        <v>24128</v>
      </c>
      <c r="I2690" s="5" t="s">
        <v>24129</v>
      </c>
      <c r="J2690" s="7">
        <v>32</v>
      </c>
      <c r="K2690" s="7">
        <v>16</v>
      </c>
      <c r="L2690" s="5" t="s">
        <v>24130</v>
      </c>
      <c r="M2690" s="7">
        <v>1</v>
      </c>
      <c r="N2690" s="7">
        <v>0.4</v>
      </c>
      <c r="O2690" s="7">
        <v>1.7909999999999999</v>
      </c>
      <c r="P2690" s="1" t="s">
        <v>24131</v>
      </c>
    </row>
    <row r="2691" spans="1:16" ht="33.4" x14ac:dyDescent="0.3">
      <c r="A2691" s="6" t="str">
        <f>HYPERLINK("https://www.ti.com/product/TPS62400-Q1", "TPS62400-Q1")</f>
        <v>TPS62400-Q1</v>
      </c>
      <c r="B2691" s="5" t="s">
        <v>24132</v>
      </c>
      <c r="C2691" s="6" t="str">
        <f>HYPERLINK("https://www.ti.com/lit/gpn/TPS62400-Q1", "PDF")</f>
        <v>PDF</v>
      </c>
      <c r="D2691" s="5" t="s">
        <v>24133</v>
      </c>
      <c r="E2691" s="5" t="s">
        <v>24134</v>
      </c>
      <c r="F2691" s="5" t="s">
        <v>24135</v>
      </c>
      <c r="G2691" s="5" t="s">
        <v>24136</v>
      </c>
      <c r="H2691" s="1" t="s">
        <v>24137</v>
      </c>
      <c r="I2691" s="5" t="s">
        <v>24138</v>
      </c>
      <c r="J2691" s="7">
        <v>10</v>
      </c>
      <c r="K2691" s="7">
        <v>9</v>
      </c>
      <c r="L2691" s="5" t="s">
        <v>24139</v>
      </c>
      <c r="M2691" s="7">
        <v>1</v>
      </c>
      <c r="N2691" s="7">
        <v>0.5</v>
      </c>
      <c r="O2691" s="7">
        <v>0.89600000000000002</v>
      </c>
      <c r="P2691" s="1" t="s">
        <v>24140</v>
      </c>
    </row>
    <row r="2692" spans="1:16" ht="33.4" x14ac:dyDescent="0.3">
      <c r="A2692" s="6" t="str">
        <f>HYPERLINK("https://www.ti.com/product/UCC27533", "UCC27533")</f>
        <v>UCC27533</v>
      </c>
      <c r="B2692" s="5" t="s">
        <v>24141</v>
      </c>
      <c r="C2692" s="6" t="str">
        <f>HYPERLINK("https://www.ti.com/lit/gpn/UCC27533", "PDF")</f>
        <v>PDF</v>
      </c>
      <c r="D2692" s="5" t="s">
        <v>24142</v>
      </c>
      <c r="E2692" s="5" t="s">
        <v>24143</v>
      </c>
      <c r="F2692" s="5"/>
      <c r="G2692" s="5" t="s">
        <v>24144</v>
      </c>
      <c r="H2692" s="1" t="s">
        <v>24145</v>
      </c>
      <c r="I2692" s="5" t="s">
        <v>24146</v>
      </c>
      <c r="J2692" s="7">
        <v>5</v>
      </c>
      <c r="K2692" s="7">
        <v>8.1199999999999992</v>
      </c>
      <c r="L2692" s="5" t="s">
        <v>24147</v>
      </c>
      <c r="M2692" s="7">
        <v>1.45</v>
      </c>
      <c r="N2692" s="7">
        <v>0.95</v>
      </c>
      <c r="O2692" s="7">
        <v>0.49199999999999999</v>
      </c>
      <c r="P2692" s="1" t="s">
        <v>24148</v>
      </c>
    </row>
    <row r="2693" spans="1:16" ht="33.4" x14ac:dyDescent="0.3">
      <c r="A2693" s="6" t="str">
        <f>HYPERLINK("https://www.ti.com/product/TLV710-Q1", "TLV710-Q1")</f>
        <v>TLV710-Q1</v>
      </c>
      <c r="B2693" s="5" t="s">
        <v>24149</v>
      </c>
      <c r="C2693" s="6" t="str">
        <f>HYPERLINK("https://www.ti.com/lit/gpn/TLV710-Q1", "PDF")</f>
        <v>PDF</v>
      </c>
      <c r="D2693" s="5" t="s">
        <v>24150</v>
      </c>
      <c r="E2693" s="5" t="s">
        <v>24151</v>
      </c>
      <c r="F2693" s="5"/>
      <c r="G2693" s="5" t="s">
        <v>24152</v>
      </c>
      <c r="H2693" s="1" t="s">
        <v>24153</v>
      </c>
      <c r="I2693" s="5" t="s">
        <v>24154</v>
      </c>
      <c r="J2693" s="7">
        <v>6</v>
      </c>
      <c r="K2693" s="7">
        <v>2.25</v>
      </c>
      <c r="L2693" s="5" t="s">
        <v>24155</v>
      </c>
      <c r="M2693" s="7">
        <v>0.8</v>
      </c>
      <c r="N2693" s="7">
        <v>0.5</v>
      </c>
      <c r="O2693" s="7">
        <v>0.20300000000000001</v>
      </c>
      <c r="P2693" s="1" t="s">
        <v>24156</v>
      </c>
    </row>
    <row r="2694" spans="1:16" ht="17.05" x14ac:dyDescent="0.3">
      <c r="A2694" s="6" t="str">
        <f>HYPERLINK("https://www.ti.com/product/TPS3806I33-Q1", "TPS3806I33-Q1")</f>
        <v>TPS3806I33-Q1</v>
      </c>
      <c r="B2694" s="5" t="s">
        <v>24157</v>
      </c>
      <c r="C2694" s="6" t="str">
        <f>HYPERLINK("https://www.ti.com/lit/gpn/TPS3806I33-Q1", "PDF")</f>
        <v>PDF</v>
      </c>
      <c r="D2694" s="5" t="s">
        <v>24158</v>
      </c>
      <c r="E2694" s="5" t="s">
        <v>24159</v>
      </c>
      <c r="F2694" s="5"/>
      <c r="G2694" s="5" t="s">
        <v>24160</v>
      </c>
      <c r="H2694" s="1" t="s">
        <v>24161</v>
      </c>
      <c r="I2694" s="5" t="s">
        <v>24162</v>
      </c>
      <c r="J2694" s="7">
        <v>6</v>
      </c>
      <c r="K2694" s="7">
        <v>8.1199999999999992</v>
      </c>
      <c r="L2694" s="5" t="s">
        <v>24163</v>
      </c>
      <c r="M2694" s="7">
        <v>1.45</v>
      </c>
      <c r="N2694" s="7">
        <v>0.95</v>
      </c>
      <c r="O2694" s="7">
        <v>0.59099999999999997</v>
      </c>
      <c r="P2694" s="1" t="s">
        <v>24164</v>
      </c>
    </row>
    <row r="2695" spans="1:16" ht="17.05" x14ac:dyDescent="0.3">
      <c r="A2695" s="6" t="str">
        <f>HYPERLINK("https://www.ti.com/product/LM3639A", "LM3639A")</f>
        <v>LM3639A</v>
      </c>
      <c r="B2695" s="5" t="s">
        <v>24165</v>
      </c>
      <c r="C2695" s="6" t="str">
        <f>HYPERLINK("https://www.ti.com/lit/gpn/LM3639A", "PDF")</f>
        <v>PDF</v>
      </c>
      <c r="D2695" s="5" t="s">
        <v>24166</v>
      </c>
      <c r="E2695" s="5" t="s">
        <v>24167</v>
      </c>
      <c r="F2695" s="5" t="s">
        <v>24168</v>
      </c>
      <c r="G2695" s="5" t="s">
        <v>24169</v>
      </c>
      <c r="H2695" s="1" t="s">
        <v>24170</v>
      </c>
      <c r="I2695" s="5" t="s">
        <v>24171</v>
      </c>
      <c r="J2695" s="7">
        <v>20</v>
      </c>
      <c r="K2695" s="7">
        <v>3.96</v>
      </c>
      <c r="L2695" s="5" t="s">
        <v>24172</v>
      </c>
      <c r="M2695" s="7">
        <v>0.67500000000000004</v>
      </c>
      <c r="N2695" s="7">
        <v>0.4</v>
      </c>
      <c r="O2695" s="7">
        <v>0.499</v>
      </c>
      <c r="P2695" s="1" t="s">
        <v>24173</v>
      </c>
    </row>
    <row r="2696" spans="1:16" ht="33.4" x14ac:dyDescent="0.3">
      <c r="A2696" s="6" t="str">
        <f>HYPERLINK("https://www.ti.com/product/TPS65282", "TPS65282")</f>
        <v>TPS65282</v>
      </c>
      <c r="B2696" s="5" t="s">
        <v>24174</v>
      </c>
      <c r="C2696" s="6" t="str">
        <f>HYPERLINK("https://www.ti.com/lit/gpn/TPS65282", "PDF")</f>
        <v>PDF</v>
      </c>
      <c r="D2696" s="5" t="s">
        <v>24175</v>
      </c>
      <c r="E2696" s="5" t="s">
        <v>24176</v>
      </c>
      <c r="F2696" s="5" t="s">
        <v>24177</v>
      </c>
      <c r="G2696" s="5" t="s">
        <v>24178</v>
      </c>
      <c r="H2696" s="1" t="s">
        <v>24179</v>
      </c>
      <c r="I2696" s="5" t="s">
        <v>24180</v>
      </c>
      <c r="J2696" s="7">
        <v>24</v>
      </c>
      <c r="K2696" s="7">
        <v>16</v>
      </c>
      <c r="L2696" s="5" t="s">
        <v>24181</v>
      </c>
      <c r="M2696" s="7">
        <v>1</v>
      </c>
      <c r="N2696" s="7">
        <v>0.5</v>
      </c>
      <c r="O2696" s="7">
        <v>1.87</v>
      </c>
      <c r="P2696" s="1" t="s">
        <v>24182</v>
      </c>
    </row>
    <row r="2697" spans="1:16" ht="17.05" x14ac:dyDescent="0.3">
      <c r="A2697" s="6" t="str">
        <f>HYPERLINK("https://www.ti.com/product/TLC5973", "TLC5973")</f>
        <v>TLC5973</v>
      </c>
      <c r="B2697" s="5" t="s">
        <v>24183</v>
      </c>
      <c r="C2697" s="6" t="str">
        <f>HYPERLINK("https://www.ti.com/lit/gpn/TLC5973", "PDF")</f>
        <v>PDF</v>
      </c>
      <c r="D2697" s="5" t="s">
        <v>24184</v>
      </c>
      <c r="E2697" s="5" t="s">
        <v>24185</v>
      </c>
      <c r="F2697" s="5" t="s">
        <v>24186</v>
      </c>
      <c r="G2697" s="5" t="s">
        <v>24187</v>
      </c>
      <c r="H2697" s="1" t="s">
        <v>24188</v>
      </c>
      <c r="I2697" s="5" t="s">
        <v>24189</v>
      </c>
      <c r="J2697" s="7">
        <v>8</v>
      </c>
      <c r="K2697" s="7">
        <v>29.4</v>
      </c>
      <c r="L2697" s="5" t="s">
        <v>24190</v>
      </c>
      <c r="M2697" s="7">
        <v>1.75</v>
      </c>
      <c r="N2697" s="7">
        <v>1.27</v>
      </c>
      <c r="O2697" s="7">
        <v>0.22800000000000001</v>
      </c>
      <c r="P2697" s="1" t="s">
        <v>24191</v>
      </c>
    </row>
    <row r="2698" spans="1:16" ht="33.4" x14ac:dyDescent="0.3">
      <c r="A2698" s="6" t="str">
        <f>HYPERLINK("https://www.ti.com/product/TPS53511", "TPS53511")</f>
        <v>TPS53511</v>
      </c>
      <c r="B2698" s="5" t="s">
        <v>24192</v>
      </c>
      <c r="C2698" s="6" t="str">
        <f>HYPERLINK("https://www.ti.com/lit/gpn/TPS53511", "PDF")</f>
        <v>PDF</v>
      </c>
      <c r="D2698" s="5" t="s">
        <v>24193</v>
      </c>
      <c r="E2698" s="5" t="s">
        <v>24194</v>
      </c>
      <c r="F2698" s="5" t="s">
        <v>24195</v>
      </c>
      <c r="G2698" s="5" t="s">
        <v>24196</v>
      </c>
      <c r="H2698" s="1" t="s">
        <v>24197</v>
      </c>
      <c r="I2698" s="5" t="s">
        <v>24198</v>
      </c>
      <c r="J2698" s="7">
        <v>16</v>
      </c>
      <c r="K2698" s="7">
        <v>9</v>
      </c>
      <c r="L2698" s="5" t="s">
        <v>24199</v>
      </c>
      <c r="M2698" s="7">
        <v>1</v>
      </c>
      <c r="N2698" s="7">
        <v>0.5</v>
      </c>
      <c r="O2698" s="7">
        <v>0.751</v>
      </c>
      <c r="P2698" s="1" t="s">
        <v>24200</v>
      </c>
    </row>
    <row r="2699" spans="1:16" ht="17.05" x14ac:dyDescent="0.3">
      <c r="A2699" s="6" t="str">
        <f>HYPERLINK("https://www.ti.com/product/TPS84A20", "TPS84A20")</f>
        <v>TPS84A20</v>
      </c>
      <c r="B2699" s="5" t="s">
        <v>24201</v>
      </c>
      <c r="C2699" s="6" t="str">
        <f>HYPERLINK("https://www.ti.com/lit/gpn/TPS84A20", "PDF")</f>
        <v>PDF</v>
      </c>
      <c r="D2699" s="5" t="s">
        <v>24202</v>
      </c>
      <c r="E2699" s="5" t="s">
        <v>24203</v>
      </c>
      <c r="F2699" s="5" t="s">
        <v>24204</v>
      </c>
      <c r="G2699" s="5" t="s">
        <v>24205</v>
      </c>
      <c r="H2699" s="1" t="s">
        <v>24206</v>
      </c>
      <c r="I2699" s="5" t="s">
        <v>24207</v>
      </c>
      <c r="J2699" s="7">
        <v>42</v>
      </c>
      <c r="K2699" s="7">
        <v>100</v>
      </c>
      <c r="L2699" s="5" t="s">
        <v>24208</v>
      </c>
      <c r="M2699" s="7">
        <v>4.4000000000000004</v>
      </c>
      <c r="N2699" s="7">
        <v>0.8</v>
      </c>
      <c r="O2699" s="7">
        <v>8.6639999999999997</v>
      </c>
      <c r="P2699" s="1" t="s">
        <v>24209</v>
      </c>
    </row>
    <row r="2700" spans="1:16" ht="33.4" x14ac:dyDescent="0.3">
      <c r="A2700" s="6" t="str">
        <f>HYPERLINK("https://www.ti.com/product/UCD3138064", "UCD3138064")</f>
        <v>UCD3138064</v>
      </c>
      <c r="B2700" s="5" t="s">
        <v>24210</v>
      </c>
      <c r="C2700" s="6" t="str">
        <f>HYPERLINK("https://www.ti.com/lit/gpn/UCD3138064", "PDF")</f>
        <v>PDF</v>
      </c>
      <c r="D2700" s="5" t="s">
        <v>24211</v>
      </c>
      <c r="E2700" s="5" t="s">
        <v>24212</v>
      </c>
      <c r="F2700" s="5"/>
      <c r="G2700" s="5" t="s">
        <v>24213</v>
      </c>
      <c r="H2700" s="1" t="s">
        <v>24214</v>
      </c>
      <c r="I2700" s="5" t="s">
        <v>24215</v>
      </c>
      <c r="J2700" s="7" t="s">
        <v>24216</v>
      </c>
      <c r="K2700" s="7" t="s">
        <v>24217</v>
      </c>
      <c r="L2700" s="5" t="s">
        <v>24218</v>
      </c>
      <c r="M2700" s="7" t="s">
        <v>24219</v>
      </c>
      <c r="N2700" s="7">
        <v>0.5</v>
      </c>
      <c r="O2700" s="7">
        <v>5.8419999999999996</v>
      </c>
      <c r="P2700" s="1" t="s">
        <v>24220</v>
      </c>
    </row>
    <row r="2701" spans="1:16" ht="33.4" x14ac:dyDescent="0.3">
      <c r="A2701" s="6" t="str">
        <f>HYPERLINK("https://www.ti.com/product/CSD87588N", "CSD87588N")</f>
        <v>CSD87588N</v>
      </c>
      <c r="B2701" s="5" t="s">
        <v>24221</v>
      </c>
      <c r="C2701" s="6" t="str">
        <f>HYPERLINK("https://www.ti.com/lit/gpn/CSD87588N", "PDF")</f>
        <v>PDF</v>
      </c>
      <c r="D2701" s="5" t="s">
        <v>24222</v>
      </c>
      <c r="E2701" s="5" t="s">
        <v>24223</v>
      </c>
      <c r="F2701" s="5"/>
      <c r="G2701" s="5" t="s">
        <v>24224</v>
      </c>
      <c r="H2701" s="1" t="s">
        <v>24225</v>
      </c>
      <c r="I2701" s="5" t="s">
        <v>24226</v>
      </c>
      <c r="J2701" s="7">
        <v>5</v>
      </c>
      <c r="K2701" s="7">
        <v>12.5</v>
      </c>
      <c r="L2701" s="5" t="s">
        <v>24227</v>
      </c>
      <c r="M2701" s="7">
        <v>0.48</v>
      </c>
      <c r="N2701" s="7">
        <v>2.04</v>
      </c>
      <c r="O2701" s="7">
        <v>0.40699999999999997</v>
      </c>
      <c r="P2701" s="1" t="s">
        <v>24228</v>
      </c>
    </row>
    <row r="2702" spans="1:16" ht="33.4" x14ac:dyDescent="0.3">
      <c r="A2702" s="6" t="str">
        <f>HYPERLINK("https://www.ti.com/product/LM3279", "LM3279")</f>
        <v>LM3279</v>
      </c>
      <c r="B2702" s="5" t="s">
        <v>24229</v>
      </c>
      <c r="C2702" s="6" t="str">
        <f>HYPERLINK("https://www.ti.com/lit/gpn/LM3279", "PDF")</f>
        <v>PDF</v>
      </c>
      <c r="D2702" s="5" t="s">
        <v>24230</v>
      </c>
      <c r="E2702" s="5" t="s">
        <v>24231</v>
      </c>
      <c r="F2702" s="5" t="s">
        <v>24232</v>
      </c>
      <c r="G2702" s="5" t="s">
        <v>24233</v>
      </c>
      <c r="H2702" s="1" t="s">
        <v>24234</v>
      </c>
      <c r="I2702" s="5" t="s">
        <v>24235</v>
      </c>
      <c r="J2702" s="7">
        <v>16</v>
      </c>
      <c r="K2702" s="7">
        <v>5.0625</v>
      </c>
      <c r="L2702" s="5" t="s">
        <v>24236</v>
      </c>
      <c r="M2702" s="7">
        <v>0.67500000000000004</v>
      </c>
      <c r="N2702" s="7">
        <v>0.5</v>
      </c>
      <c r="O2702" s="7">
        <v>0.95</v>
      </c>
      <c r="P2702" s="1" t="s">
        <v>24237</v>
      </c>
    </row>
    <row r="2703" spans="1:16" ht="33.4" x14ac:dyDescent="0.3">
      <c r="A2703" s="6" t="str">
        <f>HYPERLINK("https://www.ti.com/product/TPS51622", "TPS51622")</f>
        <v>TPS51622</v>
      </c>
      <c r="B2703" s="5" t="s">
        <v>24238</v>
      </c>
      <c r="C2703" s="6" t="str">
        <f>HYPERLINK("https://www.ti.com/lit/gpn/TPS51622", "PDF")</f>
        <v>PDF</v>
      </c>
      <c r="D2703" s="5" t="s">
        <v>24239</v>
      </c>
      <c r="E2703" s="5" t="s">
        <v>24240</v>
      </c>
      <c r="F2703" s="5" t="s">
        <v>24241</v>
      </c>
      <c r="G2703" s="5" t="s">
        <v>24242</v>
      </c>
      <c r="H2703" s="1" t="s">
        <v>24243</v>
      </c>
      <c r="I2703" s="5" t="s">
        <v>24244</v>
      </c>
      <c r="J2703" s="7">
        <v>32</v>
      </c>
      <c r="K2703" s="7">
        <v>16</v>
      </c>
      <c r="L2703" s="5" t="s">
        <v>24245</v>
      </c>
      <c r="M2703" s="7">
        <v>1</v>
      </c>
      <c r="N2703" s="7">
        <v>0.4</v>
      </c>
      <c r="O2703" s="7">
        <v>0.75900000000000001</v>
      </c>
      <c r="P2703" s="1" t="s">
        <v>24246</v>
      </c>
    </row>
    <row r="2704" spans="1:16" ht="33.4" x14ac:dyDescent="0.3">
      <c r="A2704" s="6" t="str">
        <f>HYPERLINK("https://www.ti.com/product/TPS54061-Q1", "TPS54061-Q1")</f>
        <v>TPS54061-Q1</v>
      </c>
      <c r="B2704" s="5" t="s">
        <v>24247</v>
      </c>
      <c r="C2704" s="6" t="str">
        <f>HYPERLINK("https://www.ti.com/lit/gpn/TPS54061-Q1", "PDF")</f>
        <v>PDF</v>
      </c>
      <c r="D2704" s="5" t="s">
        <v>24248</v>
      </c>
      <c r="E2704" s="5" t="s">
        <v>24249</v>
      </c>
      <c r="F2704" s="5" t="s">
        <v>24250</v>
      </c>
      <c r="G2704" s="5" t="s">
        <v>24251</v>
      </c>
      <c r="H2704" s="1" t="s">
        <v>24252</v>
      </c>
      <c r="I2704" s="5" t="s">
        <v>24253</v>
      </c>
      <c r="J2704" s="7">
        <v>8</v>
      </c>
      <c r="K2704" s="7">
        <v>9</v>
      </c>
      <c r="L2704" s="5" t="s">
        <v>24254</v>
      </c>
      <c r="M2704" s="7">
        <v>1</v>
      </c>
      <c r="N2704" s="7">
        <v>0.65</v>
      </c>
      <c r="O2704" s="7">
        <v>1.08</v>
      </c>
      <c r="P2704" s="1" t="s">
        <v>24255</v>
      </c>
    </row>
    <row r="2705" spans="1:16" ht="33.4" x14ac:dyDescent="0.3">
      <c r="A2705" s="6" t="str">
        <f>HYPERLINK("https://www.ti.com/product/TPS62736", "TPS62736")</f>
        <v>TPS62736</v>
      </c>
      <c r="B2705" s="5" t="s">
        <v>24256</v>
      </c>
      <c r="C2705" s="6" t="str">
        <f>HYPERLINK("https://www.ti.com/lit/gpn/TPS62736", "PDF")</f>
        <v>PDF</v>
      </c>
      <c r="D2705" s="5" t="s">
        <v>24257</v>
      </c>
      <c r="E2705" s="5" t="s">
        <v>24258</v>
      </c>
      <c r="F2705" s="5" t="s">
        <v>24259</v>
      </c>
      <c r="G2705" s="5" t="s">
        <v>24260</v>
      </c>
      <c r="H2705" s="1" t="s">
        <v>24261</v>
      </c>
      <c r="I2705" s="5" t="s">
        <v>24262</v>
      </c>
      <c r="J2705" s="7">
        <v>14</v>
      </c>
      <c r="K2705" s="7">
        <v>12.25</v>
      </c>
      <c r="L2705" s="5" t="s">
        <v>24263</v>
      </c>
      <c r="M2705" s="7">
        <v>1</v>
      </c>
      <c r="N2705" s="7">
        <v>0.5</v>
      </c>
      <c r="O2705" s="7">
        <v>0.98599999999999999</v>
      </c>
      <c r="P2705" s="1" t="s">
        <v>24264</v>
      </c>
    </row>
    <row r="2706" spans="1:16" ht="33.4" x14ac:dyDescent="0.3">
      <c r="A2706" s="6" t="str">
        <f>HYPERLINK("https://www.ti.com/product/TPS3780", "TPS3780")</f>
        <v>TPS3780</v>
      </c>
      <c r="B2706" s="5" t="s">
        <v>24265</v>
      </c>
      <c r="C2706" s="6" t="str">
        <f>HYPERLINK("https://www.ti.com/lit/gpn/TPS3780", "PDF")</f>
        <v>PDF</v>
      </c>
      <c r="D2706" s="5" t="s">
        <v>24266</v>
      </c>
      <c r="E2706" s="5" t="s">
        <v>24267</v>
      </c>
      <c r="F2706" s="5"/>
      <c r="G2706" s="5" t="s">
        <v>24268</v>
      </c>
      <c r="H2706" s="1" t="s">
        <v>24269</v>
      </c>
      <c r="I2706" s="5" t="s">
        <v>24270</v>
      </c>
      <c r="J2706" s="7">
        <v>6</v>
      </c>
      <c r="K2706" s="7" t="s">
        <v>24271</v>
      </c>
      <c r="L2706" s="5" t="s">
        <v>24272</v>
      </c>
      <c r="M2706" s="7" t="s">
        <v>24273</v>
      </c>
      <c r="N2706" s="7" t="s">
        <v>24274</v>
      </c>
      <c r="O2706" s="7">
        <v>0.65100000000000002</v>
      </c>
      <c r="P2706" s="1" t="s">
        <v>24275</v>
      </c>
    </row>
    <row r="2707" spans="1:16" ht="33.4" x14ac:dyDescent="0.3">
      <c r="A2707" s="6" t="str">
        <f>HYPERLINK("https://www.ti.com/product/TPS51275B", "TPS51275B")</f>
        <v>TPS51275B</v>
      </c>
      <c r="B2707" s="5" t="s">
        <v>24276</v>
      </c>
      <c r="C2707" s="6" t="str">
        <f>HYPERLINK("https://www.ti.com/lit/gpn/TPS51275B", "PDF")</f>
        <v>PDF</v>
      </c>
      <c r="D2707" s="5" t="s">
        <v>24277</v>
      </c>
      <c r="E2707" s="5" t="s">
        <v>24278</v>
      </c>
      <c r="F2707" s="5" t="s">
        <v>24279</v>
      </c>
      <c r="G2707" s="5" t="s">
        <v>24280</v>
      </c>
      <c r="H2707" s="1" t="s">
        <v>24281</v>
      </c>
      <c r="I2707" s="5" t="s">
        <v>24282</v>
      </c>
      <c r="J2707" s="7">
        <v>20</v>
      </c>
      <c r="K2707" s="7">
        <v>9</v>
      </c>
      <c r="L2707" s="5" t="s">
        <v>24283</v>
      </c>
      <c r="M2707" s="7">
        <v>0.8</v>
      </c>
      <c r="N2707" s="7">
        <v>0.4</v>
      </c>
      <c r="O2707" s="7">
        <v>0.34799999999999998</v>
      </c>
      <c r="P2707" s="1" t="s">
        <v>24284</v>
      </c>
    </row>
    <row r="2708" spans="1:16" ht="17.05" x14ac:dyDescent="0.3">
      <c r="A2708" s="6" t="str">
        <f>HYPERLINK("https://www.ti.com/product/TPS92315", "TPS92315")</f>
        <v>TPS92315</v>
      </c>
      <c r="B2708" s="5" t="s">
        <v>24285</v>
      </c>
      <c r="C2708" s="6" t="str">
        <f>HYPERLINK("https://www.ti.com/lit/gpn/TPS92315", "PDF")</f>
        <v>PDF</v>
      </c>
      <c r="D2708" s="5" t="s">
        <v>24286</v>
      </c>
      <c r="E2708" s="5" t="s">
        <v>24287</v>
      </c>
      <c r="F2708" s="5" t="s">
        <v>24288</v>
      </c>
      <c r="G2708" s="5" t="s">
        <v>24289</v>
      </c>
      <c r="H2708" s="1" t="s">
        <v>24290</v>
      </c>
      <c r="I2708" s="5" t="s">
        <v>24291</v>
      </c>
      <c r="J2708" s="7">
        <v>6</v>
      </c>
      <c r="K2708" s="7">
        <v>8.1199999999999992</v>
      </c>
      <c r="L2708" s="5" t="s">
        <v>24292</v>
      </c>
      <c r="M2708" s="7">
        <v>1.45</v>
      </c>
      <c r="N2708" s="7">
        <v>0.95</v>
      </c>
      <c r="O2708" s="7">
        <v>0.40300000000000002</v>
      </c>
      <c r="P2708" s="1" t="s">
        <v>24293</v>
      </c>
    </row>
    <row r="2709" spans="1:16" ht="33.4" x14ac:dyDescent="0.3">
      <c r="A2709" s="6" t="str">
        <f>HYPERLINK("https://www.ti.com/product/CSD17556Q5B", "CSD17556Q5B")</f>
        <v>CSD17556Q5B</v>
      </c>
      <c r="B2709" s="5" t="s">
        <v>24294</v>
      </c>
      <c r="C2709" s="6" t="str">
        <f>HYPERLINK("https://www.ti.com/lit/gpn/CSD17556Q5B", "PDF")</f>
        <v>PDF</v>
      </c>
      <c r="D2709" s="5" t="s">
        <v>24295</v>
      </c>
      <c r="E2709" s="5" t="s">
        <v>24296</v>
      </c>
      <c r="F2709" s="5"/>
      <c r="G2709" s="5" t="s">
        <v>24297</v>
      </c>
      <c r="H2709" s="1" t="s">
        <v>24298</v>
      </c>
      <c r="I2709" s="5" t="s">
        <v>24299</v>
      </c>
      <c r="J2709" s="7">
        <v>8</v>
      </c>
      <c r="K2709" s="7">
        <v>30</v>
      </c>
      <c r="L2709" s="5" t="s">
        <v>24300</v>
      </c>
      <c r="M2709" s="7">
        <v>1</v>
      </c>
      <c r="N2709" s="7">
        <v>1.27</v>
      </c>
      <c r="O2709" s="7">
        <v>0.76800000000000002</v>
      </c>
      <c r="P2709" s="1" t="s">
        <v>24301</v>
      </c>
    </row>
    <row r="2710" spans="1:16" ht="33.4" x14ac:dyDescent="0.3">
      <c r="A2710" s="6" t="str">
        <f>HYPERLINK("https://www.ti.com/product/TPS3421", "TPS3421")</f>
        <v>TPS3421</v>
      </c>
      <c r="B2710" s="5" t="s">
        <v>24302</v>
      </c>
      <c r="C2710" s="6" t="str">
        <f>HYPERLINK("https://www.ti.com/lit/gpn/TPS3421", "PDF")</f>
        <v>PDF</v>
      </c>
      <c r="D2710" s="5" t="s">
        <v>24303</v>
      </c>
      <c r="E2710" s="5" t="s">
        <v>24304</v>
      </c>
      <c r="F2710" s="5"/>
      <c r="G2710" s="5" t="s">
        <v>24305</v>
      </c>
      <c r="H2710" s="1" t="s">
        <v>24306</v>
      </c>
      <c r="I2710" s="5" t="s">
        <v>24307</v>
      </c>
      <c r="J2710" s="7">
        <v>6</v>
      </c>
      <c r="K2710" s="7">
        <v>1.45</v>
      </c>
      <c r="L2710" s="5" t="s">
        <v>24308</v>
      </c>
      <c r="M2710" s="7">
        <v>0.6</v>
      </c>
      <c r="N2710" s="7">
        <v>0.5</v>
      </c>
      <c r="O2710" s="7">
        <v>0.47899999999999998</v>
      </c>
      <c r="P2710" s="1" t="s">
        <v>24309</v>
      </c>
    </row>
    <row r="2711" spans="1:16" ht="33.4" x14ac:dyDescent="0.3">
      <c r="A2711" s="6" t="str">
        <f>HYPERLINK("https://www.ti.com/product/TPS51362", "TPS51362")</f>
        <v>TPS51362</v>
      </c>
      <c r="B2711" s="5" t="s">
        <v>24310</v>
      </c>
      <c r="C2711" s="6" t="str">
        <f>HYPERLINK("https://www.ti.com/lit/gpn/TPS51362", "PDF")</f>
        <v>PDF</v>
      </c>
      <c r="D2711" s="5" t="s">
        <v>24311</v>
      </c>
      <c r="E2711" s="5" t="s">
        <v>24312</v>
      </c>
      <c r="F2711" s="5" t="s">
        <v>24313</v>
      </c>
      <c r="G2711" s="5" t="s">
        <v>24314</v>
      </c>
      <c r="H2711" s="1" t="s">
        <v>24315</v>
      </c>
      <c r="I2711" s="5" t="s">
        <v>24316</v>
      </c>
      <c r="J2711" s="7">
        <v>28</v>
      </c>
      <c r="K2711" s="7">
        <v>15.75</v>
      </c>
      <c r="L2711" s="5" t="s">
        <v>24317</v>
      </c>
      <c r="M2711" s="7">
        <v>1</v>
      </c>
      <c r="N2711" s="7">
        <v>0.4</v>
      </c>
      <c r="O2711" s="7">
        <v>1.633</v>
      </c>
      <c r="P2711" s="1" t="s">
        <v>24318</v>
      </c>
    </row>
    <row r="2712" spans="1:16" ht="33.4" x14ac:dyDescent="0.3">
      <c r="A2712" s="6" t="str">
        <f>HYPERLINK("https://www.ti.com/product/TPS51363", "TPS51363")</f>
        <v>TPS51363</v>
      </c>
      <c r="B2712" s="5" t="s">
        <v>24319</v>
      </c>
      <c r="C2712" s="6" t="str">
        <f>HYPERLINK("https://www.ti.com/lit/gpn/TPS51363", "PDF")</f>
        <v>PDF</v>
      </c>
      <c r="D2712" s="5" t="s">
        <v>24320</v>
      </c>
      <c r="E2712" s="5" t="s">
        <v>24321</v>
      </c>
      <c r="F2712" s="5" t="s">
        <v>24322</v>
      </c>
      <c r="G2712" s="5" t="s">
        <v>24323</v>
      </c>
      <c r="H2712" s="1" t="s">
        <v>24324</v>
      </c>
      <c r="I2712" s="5" t="s">
        <v>24325</v>
      </c>
      <c r="J2712" s="7">
        <v>28</v>
      </c>
      <c r="K2712" s="7">
        <v>15.75</v>
      </c>
      <c r="L2712" s="5" t="s">
        <v>24326</v>
      </c>
      <c r="M2712" s="7">
        <v>1</v>
      </c>
      <c r="N2712" s="7">
        <v>0.4</v>
      </c>
      <c r="O2712" s="7">
        <v>1.714</v>
      </c>
      <c r="P2712" s="1" t="s">
        <v>24327</v>
      </c>
    </row>
    <row r="2713" spans="1:16" ht="33.4" x14ac:dyDescent="0.3">
      <c r="A2713" s="6" t="str">
        <f>HYPERLINK("https://www.ti.com/product/TPS51367", "TPS51367")</f>
        <v>TPS51367</v>
      </c>
      <c r="B2713" s="5" t="s">
        <v>24328</v>
      </c>
      <c r="C2713" s="6" t="str">
        <f>HYPERLINK("https://www.ti.com/lit/gpn/TPS51367", "PDF")</f>
        <v>PDF</v>
      </c>
      <c r="D2713" s="5" t="s">
        <v>24329</v>
      </c>
      <c r="E2713" s="5" t="s">
        <v>24330</v>
      </c>
      <c r="F2713" s="5" t="s">
        <v>24331</v>
      </c>
      <c r="G2713" s="5" t="s">
        <v>24332</v>
      </c>
      <c r="H2713" s="1" t="s">
        <v>24333</v>
      </c>
      <c r="I2713" s="5" t="s">
        <v>24334</v>
      </c>
      <c r="J2713" s="7">
        <v>28</v>
      </c>
      <c r="K2713" s="7">
        <v>15.75</v>
      </c>
      <c r="L2713" s="5" t="s">
        <v>24335</v>
      </c>
      <c r="M2713" s="7">
        <v>1</v>
      </c>
      <c r="N2713" s="7">
        <v>0.4</v>
      </c>
      <c r="O2713" s="7">
        <v>1.8129999999999999</v>
      </c>
      <c r="P2713" s="1" t="s">
        <v>24336</v>
      </c>
    </row>
    <row r="2714" spans="1:16" ht="33.4" x14ac:dyDescent="0.3">
      <c r="A2714" s="6" t="str">
        <f>HYPERLINK("https://www.ti.com/product/TPS65273V", "TPS65273V")</f>
        <v>TPS65273V</v>
      </c>
      <c r="B2714" s="5" t="s">
        <v>24337</v>
      </c>
      <c r="C2714" s="6" t="str">
        <f>HYPERLINK("https://www.ti.com/lit/gpn/TPS65273V", "PDF")</f>
        <v>PDF</v>
      </c>
      <c r="D2714" s="5" t="s">
        <v>24338</v>
      </c>
      <c r="E2714" s="5" t="s">
        <v>24339</v>
      </c>
      <c r="F2714" s="5" t="s">
        <v>24340</v>
      </c>
      <c r="G2714" s="5" t="s">
        <v>24341</v>
      </c>
      <c r="H2714" s="1" t="s">
        <v>24342</v>
      </c>
      <c r="I2714" s="5" t="s">
        <v>24343</v>
      </c>
      <c r="J2714" s="7" t="s">
        <v>24344</v>
      </c>
      <c r="K2714" s="7" t="s">
        <v>24345</v>
      </c>
      <c r="L2714" s="5" t="s">
        <v>24346</v>
      </c>
      <c r="M2714" s="7" t="s">
        <v>24347</v>
      </c>
      <c r="N2714" s="7" t="s">
        <v>24348</v>
      </c>
      <c r="O2714" s="7">
        <v>2.0030000000000001</v>
      </c>
      <c r="P2714" s="1" t="s">
        <v>24349</v>
      </c>
    </row>
    <row r="2715" spans="1:16" ht="33.4" x14ac:dyDescent="0.3">
      <c r="A2715" s="6" t="str">
        <f>HYPERLINK("https://www.ti.com/product/TPS65276V", "TPS65276V")</f>
        <v>TPS65276V</v>
      </c>
      <c r="B2715" s="5" t="s">
        <v>24350</v>
      </c>
      <c r="C2715" s="6" t="str">
        <f>HYPERLINK("https://www.ti.com/lit/gpn/TPS65276V", "PDF")</f>
        <v>PDF</v>
      </c>
      <c r="D2715" s="5" t="s">
        <v>24351</v>
      </c>
      <c r="E2715" s="5" t="s">
        <v>24352</v>
      </c>
      <c r="F2715" s="5" t="s">
        <v>24353</v>
      </c>
      <c r="G2715" s="5" t="s">
        <v>24354</v>
      </c>
      <c r="H2715" s="1" t="s">
        <v>24355</v>
      </c>
      <c r="I2715" s="5" t="s">
        <v>24356</v>
      </c>
      <c r="J2715" s="7" t="s">
        <v>24357</v>
      </c>
      <c r="K2715" s="7" t="s">
        <v>24358</v>
      </c>
      <c r="L2715" s="5" t="s">
        <v>24359</v>
      </c>
      <c r="M2715" s="7" t="s">
        <v>24360</v>
      </c>
      <c r="N2715" s="7" t="s">
        <v>24361</v>
      </c>
      <c r="O2715" s="7">
        <v>2.06</v>
      </c>
      <c r="P2715" s="1" t="s">
        <v>24362</v>
      </c>
    </row>
    <row r="2716" spans="1:16" ht="33.4" x14ac:dyDescent="0.3">
      <c r="A2716" s="6" t="str">
        <f>HYPERLINK("https://www.ti.com/product/TPS65279V", "TPS65279V")</f>
        <v>TPS65279V</v>
      </c>
      <c r="B2716" s="5" t="s">
        <v>24363</v>
      </c>
      <c r="C2716" s="6" t="str">
        <f>HYPERLINK("https://www.ti.com/lit/gpn/TPS65279V", "PDF")</f>
        <v>PDF</v>
      </c>
      <c r="D2716" s="5" t="s">
        <v>24364</v>
      </c>
      <c r="E2716" s="5" t="s">
        <v>24365</v>
      </c>
      <c r="F2716" s="5" t="s">
        <v>24366</v>
      </c>
      <c r="G2716" s="5" t="s">
        <v>24367</v>
      </c>
      <c r="H2716" s="1" t="s">
        <v>24368</v>
      </c>
      <c r="I2716" s="5" t="s">
        <v>24369</v>
      </c>
      <c r="J2716" s="7" t="s">
        <v>24370</v>
      </c>
      <c r="K2716" s="7" t="s">
        <v>24371</v>
      </c>
      <c r="L2716" s="5" t="s">
        <v>24372</v>
      </c>
      <c r="M2716" s="7" t="s">
        <v>24373</v>
      </c>
      <c r="N2716" s="7" t="s">
        <v>24374</v>
      </c>
      <c r="O2716" s="7">
        <v>1.5389999999999999</v>
      </c>
      <c r="P2716" s="1" t="s">
        <v>24375</v>
      </c>
    </row>
    <row r="2717" spans="1:16" ht="49.75" x14ac:dyDescent="0.3">
      <c r="A2717" s="6" t="str">
        <f>HYPERLINK("https://www.ti.com/product/TPS82693", "TPS82693")</f>
        <v>TPS82693</v>
      </c>
      <c r="B2717" s="5" t="s">
        <v>24376</v>
      </c>
      <c r="C2717" s="6" t="str">
        <f>HYPERLINK("https://www.ti.com/lit/gpn/TPS82693", "PDF")</f>
        <v>PDF</v>
      </c>
      <c r="D2717" s="5" t="s">
        <v>24377</v>
      </c>
      <c r="E2717" s="5" t="s">
        <v>24378</v>
      </c>
      <c r="F2717" s="5" t="s">
        <v>24379</v>
      </c>
      <c r="G2717" s="5" t="s">
        <v>24380</v>
      </c>
      <c r="H2717" s="1" t="s">
        <v>24381</v>
      </c>
      <c r="I2717" s="5" t="s">
        <v>24382</v>
      </c>
      <c r="J2717" s="7">
        <v>8</v>
      </c>
      <c r="K2717" s="7">
        <v>6.67</v>
      </c>
      <c r="L2717" s="5" t="s">
        <v>24383</v>
      </c>
      <c r="M2717" s="7">
        <v>1</v>
      </c>
      <c r="N2717" s="7">
        <v>1</v>
      </c>
      <c r="O2717" s="7">
        <v>1.113</v>
      </c>
      <c r="P2717" s="1" t="s">
        <v>24384</v>
      </c>
    </row>
    <row r="2718" spans="1:16" ht="33.4" x14ac:dyDescent="0.3">
      <c r="A2718" s="6" t="str">
        <f>HYPERLINK("https://www.ti.com/product/TPS43060", "TPS43060")</f>
        <v>TPS43060</v>
      </c>
      <c r="B2718" s="5" t="s">
        <v>24385</v>
      </c>
      <c r="C2718" s="6" t="str">
        <f>HYPERLINK("https://www.ti.com/lit/gpn/TPS43060", "PDF")</f>
        <v>PDF</v>
      </c>
      <c r="D2718" s="5" t="s">
        <v>24386</v>
      </c>
      <c r="E2718" s="5" t="s">
        <v>24387</v>
      </c>
      <c r="F2718" s="5" t="s">
        <v>24388</v>
      </c>
      <c r="G2718" s="5" t="s">
        <v>24389</v>
      </c>
      <c r="H2718" s="1" t="s">
        <v>24390</v>
      </c>
      <c r="I2718" s="5" t="s">
        <v>24391</v>
      </c>
      <c r="J2718" s="7">
        <v>16</v>
      </c>
      <c r="K2718" s="7">
        <v>9</v>
      </c>
      <c r="L2718" s="5" t="s">
        <v>24392</v>
      </c>
      <c r="M2718" s="7">
        <v>0.8</v>
      </c>
      <c r="N2718" s="7">
        <v>0.5</v>
      </c>
      <c r="O2718" s="7">
        <v>1.0880000000000001</v>
      </c>
      <c r="P2718" s="1" t="s">
        <v>24393</v>
      </c>
    </row>
    <row r="2719" spans="1:16" ht="33.4" x14ac:dyDescent="0.3">
      <c r="A2719" s="6" t="str">
        <f>HYPERLINK("https://www.ti.com/product/TPS54020", "TPS54020")</f>
        <v>TPS54020</v>
      </c>
      <c r="B2719" s="5" t="s">
        <v>24394</v>
      </c>
      <c r="C2719" s="6" t="str">
        <f>HYPERLINK("https://www.ti.com/lit/gpn/TPS54020", "PDF")</f>
        <v>PDF</v>
      </c>
      <c r="D2719" s="5" t="s">
        <v>24395</v>
      </c>
      <c r="E2719" s="5" t="s">
        <v>24396</v>
      </c>
      <c r="F2719" s="5" t="s">
        <v>24397</v>
      </c>
      <c r="G2719" s="5" t="s">
        <v>24398</v>
      </c>
      <c r="H2719" s="1" t="s">
        <v>24399</v>
      </c>
      <c r="I2719" s="5" t="s">
        <v>24400</v>
      </c>
      <c r="J2719" s="7">
        <v>15</v>
      </c>
      <c r="K2719" s="7">
        <v>12.25</v>
      </c>
      <c r="L2719" s="5" t="s">
        <v>24401</v>
      </c>
      <c r="M2719" s="7">
        <v>1</v>
      </c>
      <c r="N2719" s="7">
        <v>0.5</v>
      </c>
      <c r="O2719" s="7">
        <v>3.069</v>
      </c>
      <c r="P2719" s="1" t="s">
        <v>24402</v>
      </c>
    </row>
    <row r="2720" spans="1:16" ht="33.4" x14ac:dyDescent="0.3">
      <c r="A2720" s="6" t="str">
        <f>HYPERLINK("https://www.ti.com/product/TPS54560", "TPS54560")</f>
        <v>TPS54560</v>
      </c>
      <c r="B2720" s="5" t="s">
        <v>24403</v>
      </c>
      <c r="C2720" s="6" t="str">
        <f>HYPERLINK("https://www.ti.com/lit/gpn/TPS54560", "PDF")</f>
        <v>PDF</v>
      </c>
      <c r="D2720" s="5" t="s">
        <v>24404</v>
      </c>
      <c r="E2720" s="5" t="s">
        <v>24405</v>
      </c>
      <c r="F2720" s="5" t="s">
        <v>24406</v>
      </c>
      <c r="G2720" s="5" t="s">
        <v>24407</v>
      </c>
      <c r="H2720" s="1" t="s">
        <v>24408</v>
      </c>
      <c r="I2720" s="5" t="s">
        <v>24409</v>
      </c>
      <c r="J2720" s="7">
        <v>8</v>
      </c>
      <c r="K2720" s="7">
        <v>29.4</v>
      </c>
      <c r="L2720" s="5" t="s">
        <v>24410</v>
      </c>
      <c r="M2720" s="7">
        <v>1.7</v>
      </c>
      <c r="N2720" s="7">
        <v>1.27</v>
      </c>
      <c r="O2720" s="7">
        <v>2.3380000000000001</v>
      </c>
      <c r="P2720" s="1" t="s">
        <v>24411</v>
      </c>
    </row>
    <row r="2721" spans="1:16" ht="17.05" x14ac:dyDescent="0.3">
      <c r="A2721" s="6" t="str">
        <f>HYPERLINK("https://www.ti.com/product/UCD9090-Q1", "UCD9090-Q1")</f>
        <v>UCD9090-Q1</v>
      </c>
      <c r="B2721" s="5" t="s">
        <v>24412</v>
      </c>
      <c r="C2721" s="6" t="str">
        <f>HYPERLINK("https://www.ti.com/lit/gpn/UCD9090-Q1", "PDF")</f>
        <v>PDF</v>
      </c>
      <c r="D2721" s="5" t="s">
        <v>24413</v>
      </c>
      <c r="E2721" s="5" t="s">
        <v>24414</v>
      </c>
      <c r="F2721" s="5"/>
      <c r="G2721" s="5" t="s">
        <v>24415</v>
      </c>
      <c r="H2721" s="1" t="s">
        <v>24416</v>
      </c>
      <c r="I2721" s="5" t="s">
        <v>24417</v>
      </c>
      <c r="J2721" s="7">
        <v>48</v>
      </c>
      <c r="K2721" s="7">
        <v>49</v>
      </c>
      <c r="L2721" s="5" t="s">
        <v>24418</v>
      </c>
      <c r="M2721" s="7">
        <v>1</v>
      </c>
      <c r="N2721" s="7">
        <v>0.5</v>
      </c>
      <c r="O2721" s="7">
        <v>4.4710000000000001</v>
      </c>
      <c r="P2721" s="1" t="s">
        <v>24419</v>
      </c>
    </row>
    <row r="2722" spans="1:16" ht="33.4" x14ac:dyDescent="0.3">
      <c r="A2722" s="6" t="str">
        <f>HYPERLINK("https://www.ti.com/product/TPS53624", "TPS53624")</f>
        <v>TPS53624</v>
      </c>
      <c r="B2722" s="5" t="s">
        <v>24420</v>
      </c>
      <c r="C2722" s="6" t="str">
        <f>HYPERLINK("https://www.ti.com/lit/gpn/TPS53624", "PDF")</f>
        <v>PDF</v>
      </c>
      <c r="D2722" s="5" t="s">
        <v>24421</v>
      </c>
      <c r="E2722" s="5" t="s">
        <v>24422</v>
      </c>
      <c r="F2722" s="5" t="s">
        <v>24423</v>
      </c>
      <c r="G2722" s="5" t="s">
        <v>24424</v>
      </c>
      <c r="H2722" s="1" t="s">
        <v>24425</v>
      </c>
      <c r="I2722" s="5" t="s">
        <v>24426</v>
      </c>
      <c r="J2722" s="7">
        <v>40</v>
      </c>
      <c r="K2722" s="7">
        <v>36</v>
      </c>
      <c r="L2722" s="5" t="s">
        <v>24427</v>
      </c>
      <c r="M2722" s="7">
        <v>1</v>
      </c>
      <c r="N2722" s="7">
        <v>0.5</v>
      </c>
      <c r="O2722" s="7">
        <v>1.837</v>
      </c>
      <c r="P2722" s="1" t="s">
        <v>24428</v>
      </c>
    </row>
    <row r="2723" spans="1:16" ht="49.75" x14ac:dyDescent="0.3">
      <c r="A2723" s="6" t="str">
        <f>HYPERLINK("https://www.ti.com/product/TPS65131-Q1", "TPS65131-Q1")</f>
        <v>TPS65131-Q1</v>
      </c>
      <c r="B2723" s="5" t="s">
        <v>24429</v>
      </c>
      <c r="C2723" s="6" t="str">
        <f>HYPERLINK("https://www.ti.com/lit/gpn/TPS65131-Q1", "PDF")</f>
        <v>PDF</v>
      </c>
      <c r="D2723" s="5" t="s">
        <v>24430</v>
      </c>
      <c r="E2723" s="5" t="s">
        <v>24431</v>
      </c>
      <c r="F2723" s="5" t="s">
        <v>24432</v>
      </c>
      <c r="G2723" s="5" t="s">
        <v>24433</v>
      </c>
      <c r="H2723" s="1" t="s">
        <v>24434</v>
      </c>
      <c r="I2723" s="5" t="s">
        <v>24435</v>
      </c>
      <c r="J2723" s="7">
        <v>24</v>
      </c>
      <c r="K2723" s="7">
        <v>16</v>
      </c>
      <c r="L2723" s="5" t="s">
        <v>24436</v>
      </c>
      <c r="M2723" s="7">
        <v>1</v>
      </c>
      <c r="N2723" s="7">
        <v>0.5</v>
      </c>
      <c r="O2723" s="7">
        <v>1.113</v>
      </c>
      <c r="P2723" s="1" t="s">
        <v>24437</v>
      </c>
    </row>
    <row r="2724" spans="1:16" ht="33.4" x14ac:dyDescent="0.3">
      <c r="A2724" s="6" t="str">
        <f>HYPERLINK("https://www.ti.com/product/LM25119Q", "LM25119Q")</f>
        <v>LM25119Q</v>
      </c>
      <c r="B2724" s="5" t="s">
        <v>24438</v>
      </c>
      <c r="C2724" s="6" t="str">
        <f>HYPERLINK("https://www.ti.com/lit/gpn/LM25119Q", "PDF")</f>
        <v>PDF</v>
      </c>
      <c r="D2724" s="5" t="s">
        <v>24439</v>
      </c>
      <c r="E2724" s="5" t="s">
        <v>24440</v>
      </c>
      <c r="F2724" s="5" t="s">
        <v>24441</v>
      </c>
      <c r="G2724" s="5" t="s">
        <v>24442</v>
      </c>
      <c r="H2724" s="1" t="s">
        <v>24443</v>
      </c>
      <c r="I2724" s="5" t="s">
        <v>24444</v>
      </c>
      <c r="J2724" s="7">
        <v>32</v>
      </c>
      <c r="K2724" s="7">
        <v>25</v>
      </c>
      <c r="L2724" s="5" t="s">
        <v>24445</v>
      </c>
      <c r="M2724" s="7">
        <v>0.8</v>
      </c>
      <c r="N2724" s="7">
        <v>0.5</v>
      </c>
      <c r="O2724" s="7">
        <v>3.0270000000000001</v>
      </c>
      <c r="P2724" s="1" t="s">
        <v>24446</v>
      </c>
    </row>
    <row r="2725" spans="1:16" ht="33.4" x14ac:dyDescent="0.3">
      <c r="A2725" s="6" t="str">
        <f>HYPERLINK("https://www.ti.com/product/LM5119Q", "LM5119Q")</f>
        <v>LM5119Q</v>
      </c>
      <c r="B2725" s="5" t="s">
        <v>24447</v>
      </c>
      <c r="C2725" s="6" t="str">
        <f>HYPERLINK("https://www.ti.com/lit/gpn/LM5119Q", "PDF")</f>
        <v>PDF</v>
      </c>
      <c r="D2725" s="5" t="s">
        <v>24448</v>
      </c>
      <c r="E2725" s="5" t="s">
        <v>24449</v>
      </c>
      <c r="F2725" s="5" t="s">
        <v>24450</v>
      </c>
      <c r="G2725" s="5" t="s">
        <v>24451</v>
      </c>
      <c r="H2725" s="1" t="s">
        <v>24452</v>
      </c>
      <c r="I2725" s="5" t="s">
        <v>24453</v>
      </c>
      <c r="J2725" s="7">
        <v>32</v>
      </c>
      <c r="K2725" s="7">
        <v>25</v>
      </c>
      <c r="L2725" s="5" t="s">
        <v>24454</v>
      </c>
      <c r="M2725" s="7">
        <v>0.8</v>
      </c>
      <c r="N2725" s="7">
        <v>0.5</v>
      </c>
      <c r="O2725" s="7">
        <v>3.7829999999999999</v>
      </c>
      <c r="P2725" s="1" t="s">
        <v>24455</v>
      </c>
    </row>
    <row r="2726" spans="1:16" ht="17.05" x14ac:dyDescent="0.3">
      <c r="A2726" s="6" t="str">
        <f>HYPERLINK("https://www.ti.com/product/TLC59731", "TLC59731")</f>
        <v>TLC59731</v>
      </c>
      <c r="B2726" s="5" t="s">
        <v>24456</v>
      </c>
      <c r="C2726" s="6" t="str">
        <f>HYPERLINK("https://www.ti.com/lit/gpn/TLC59731", "PDF")</f>
        <v>PDF</v>
      </c>
      <c r="D2726" s="5" t="s">
        <v>24457</v>
      </c>
      <c r="E2726" s="5" t="s">
        <v>24458</v>
      </c>
      <c r="F2726" s="5" t="s">
        <v>24459</v>
      </c>
      <c r="G2726" s="5" t="s">
        <v>24460</v>
      </c>
      <c r="H2726" s="1" t="s">
        <v>24461</v>
      </c>
      <c r="I2726" s="5" t="s">
        <v>24462</v>
      </c>
      <c r="J2726" s="7">
        <v>8</v>
      </c>
      <c r="K2726" s="7">
        <v>29.4</v>
      </c>
      <c r="L2726" s="5" t="s">
        <v>24463</v>
      </c>
      <c r="M2726" s="7">
        <v>1.75</v>
      </c>
      <c r="N2726" s="7">
        <v>1.27</v>
      </c>
      <c r="O2726" s="7">
        <v>0.33400000000000002</v>
      </c>
      <c r="P2726" s="1" t="s">
        <v>24464</v>
      </c>
    </row>
    <row r="2727" spans="1:16" ht="33.4" x14ac:dyDescent="0.3">
      <c r="A2727" s="6" t="str">
        <f>HYPERLINK("https://www.ti.com/product/UCC27532", "UCC27532")</f>
        <v>UCC27532</v>
      </c>
      <c r="B2727" s="5" t="s">
        <v>24465</v>
      </c>
      <c r="C2727" s="6" t="str">
        <f>HYPERLINK("https://www.ti.com/lit/gpn/UCC27532", "PDF")</f>
        <v>PDF</v>
      </c>
      <c r="D2727" s="5" t="s">
        <v>24466</v>
      </c>
      <c r="E2727" s="5" t="s">
        <v>24467</v>
      </c>
      <c r="F2727" s="5"/>
      <c r="G2727" s="5" t="s">
        <v>24468</v>
      </c>
      <c r="H2727" s="1" t="s">
        <v>24469</v>
      </c>
      <c r="I2727" s="5" t="s">
        <v>24470</v>
      </c>
      <c r="J2727" s="7">
        <v>6</v>
      </c>
      <c r="K2727" s="7">
        <v>8.1199999999999992</v>
      </c>
      <c r="L2727" s="5" t="s">
        <v>24471</v>
      </c>
      <c r="M2727" s="7">
        <v>1.45</v>
      </c>
      <c r="N2727" s="7">
        <v>0.95</v>
      </c>
      <c r="O2727" s="7">
        <v>0.49199999999999999</v>
      </c>
      <c r="P2727" s="1" t="s">
        <v>24472</v>
      </c>
    </row>
    <row r="2728" spans="1:16" ht="49.75" x14ac:dyDescent="0.3">
      <c r="A2728" s="6" t="str">
        <f>HYPERLINK("https://www.ti.com/product/LP5562", "LP5562")</f>
        <v>LP5562</v>
      </c>
      <c r="B2728" s="5" t="s">
        <v>24473</v>
      </c>
      <c r="C2728" s="6" t="str">
        <f>HYPERLINK("https://www.ti.com/lit/gpn/LP5562", "PDF")</f>
        <v>PDF</v>
      </c>
      <c r="D2728" s="5" t="s">
        <v>24474</v>
      </c>
      <c r="E2728" s="5" t="s">
        <v>24475</v>
      </c>
      <c r="F2728" s="5" t="s">
        <v>24476</v>
      </c>
      <c r="G2728" s="5" t="s">
        <v>24477</v>
      </c>
      <c r="H2728" s="1" t="s">
        <v>24478</v>
      </c>
      <c r="I2728" s="5" t="s">
        <v>24479</v>
      </c>
      <c r="J2728" s="7">
        <v>12</v>
      </c>
      <c r="K2728" s="7">
        <v>2.52</v>
      </c>
      <c r="L2728" s="5" t="s">
        <v>24480</v>
      </c>
      <c r="M2728" s="7">
        <v>0.67500000000000004</v>
      </c>
      <c r="N2728" s="7">
        <v>0.4</v>
      </c>
      <c r="O2728" s="7">
        <v>0.42199999999999999</v>
      </c>
      <c r="P2728" s="1" t="s">
        <v>24481</v>
      </c>
    </row>
    <row r="2729" spans="1:16" ht="33.4" x14ac:dyDescent="0.3">
      <c r="A2729" s="6" t="str">
        <f>HYPERLINK("https://www.ti.com/product/TPS2544", "TPS2544")</f>
        <v>TPS2544</v>
      </c>
      <c r="B2729" s="5" t="s">
        <v>24482</v>
      </c>
      <c r="C2729" s="6" t="str">
        <f>HYPERLINK("https://www.ti.com/lit/gpn/TPS2544", "PDF")</f>
        <v>PDF</v>
      </c>
      <c r="D2729" s="5" t="s">
        <v>24483</v>
      </c>
      <c r="E2729" s="5" t="s">
        <v>24484</v>
      </c>
      <c r="F2729" s="5"/>
      <c r="G2729" s="5" t="s">
        <v>24485</v>
      </c>
      <c r="H2729" s="1" t="s">
        <v>24486</v>
      </c>
      <c r="I2729" s="5" t="s">
        <v>24487</v>
      </c>
      <c r="J2729" s="7">
        <v>16</v>
      </c>
      <c r="K2729" s="7">
        <v>9</v>
      </c>
      <c r="L2729" s="5" t="s">
        <v>24488</v>
      </c>
      <c r="M2729" s="7">
        <v>0.8</v>
      </c>
      <c r="N2729" s="7">
        <v>0.5</v>
      </c>
      <c r="O2729" s="7">
        <v>0.26100000000000001</v>
      </c>
      <c r="P2729" s="1" t="s">
        <v>24489</v>
      </c>
    </row>
    <row r="2730" spans="1:16" ht="33.4" x14ac:dyDescent="0.3">
      <c r="A2730" s="6" t="str">
        <f>HYPERLINK("https://www.ti.com/product/TPS2546", "TPS2546")</f>
        <v>TPS2546</v>
      </c>
      <c r="B2730" s="5" t="s">
        <v>24490</v>
      </c>
      <c r="C2730" s="6" t="str">
        <f>HYPERLINK("https://www.ti.com/lit/gpn/TPS2546", "PDF")</f>
        <v>PDF</v>
      </c>
      <c r="D2730" s="5" t="s">
        <v>24491</v>
      </c>
      <c r="E2730" s="5" t="s">
        <v>24492</v>
      </c>
      <c r="F2730" s="5"/>
      <c r="G2730" s="5" t="s">
        <v>24493</v>
      </c>
      <c r="H2730" s="1" t="s">
        <v>24494</v>
      </c>
      <c r="I2730" s="5" t="s">
        <v>24495</v>
      </c>
      <c r="J2730" s="7">
        <v>16</v>
      </c>
      <c r="K2730" s="7">
        <v>9</v>
      </c>
      <c r="L2730" s="5" t="s">
        <v>24496</v>
      </c>
      <c r="M2730" s="7">
        <v>0.8</v>
      </c>
      <c r="N2730" s="7">
        <v>0.5</v>
      </c>
      <c r="O2730" s="7">
        <v>0.28699999999999998</v>
      </c>
      <c r="P2730" s="1" t="s">
        <v>24497</v>
      </c>
    </row>
    <row r="2731" spans="1:16" ht="17.05" x14ac:dyDescent="0.3">
      <c r="A2731" s="6" t="str">
        <f>HYPERLINK("https://www.ti.com/product/TLC59482", "TLC59482")</f>
        <v>TLC59482</v>
      </c>
      <c r="B2731" s="5" t="s">
        <v>24498</v>
      </c>
      <c r="C2731" s="6" t="str">
        <f>HYPERLINK("https://www.ti.com/lit/gpn/TLC59482", "PDF")</f>
        <v>PDF</v>
      </c>
      <c r="D2731" s="5" t="s">
        <v>24499</v>
      </c>
      <c r="E2731" s="5" t="s">
        <v>24500</v>
      </c>
      <c r="F2731" s="5"/>
      <c r="G2731" s="5" t="s">
        <v>24501</v>
      </c>
      <c r="H2731" s="1" t="s">
        <v>24502</v>
      </c>
      <c r="I2731" s="5" t="s">
        <v>24503</v>
      </c>
      <c r="J2731" s="7">
        <v>24</v>
      </c>
      <c r="K2731" s="7">
        <v>51.9</v>
      </c>
      <c r="L2731" s="5" t="s">
        <v>24504</v>
      </c>
      <c r="M2731" s="7">
        <v>1.75</v>
      </c>
      <c r="N2731" s="7">
        <v>0.63500000000000001</v>
      </c>
      <c r="O2731" s="7">
        <v>0.81</v>
      </c>
      <c r="P2731" s="1" t="s">
        <v>24505</v>
      </c>
    </row>
    <row r="2732" spans="1:16" ht="33.4" x14ac:dyDescent="0.3">
      <c r="A2732" s="6" t="str">
        <f>HYPERLINK("https://www.ti.com/product/TPS54239", "TPS54239")</f>
        <v>TPS54239</v>
      </c>
      <c r="B2732" s="5" t="s">
        <v>24506</v>
      </c>
      <c r="C2732" s="6" t="str">
        <f>HYPERLINK("https://www.ti.com/lit/gpn/TPS54239", "PDF")</f>
        <v>PDF</v>
      </c>
      <c r="D2732" s="5" t="s">
        <v>24507</v>
      </c>
      <c r="E2732" s="5" t="s">
        <v>24508</v>
      </c>
      <c r="F2732" s="5" t="s">
        <v>24509</v>
      </c>
      <c r="G2732" s="5" t="s">
        <v>24510</v>
      </c>
      <c r="H2732" s="1" t="s">
        <v>24511</v>
      </c>
      <c r="I2732" s="5" t="s">
        <v>24512</v>
      </c>
      <c r="J2732" s="7">
        <v>8</v>
      </c>
      <c r="K2732" s="7">
        <v>29.4</v>
      </c>
      <c r="L2732" s="5" t="s">
        <v>24513</v>
      </c>
      <c r="M2732" s="7">
        <v>1.7</v>
      </c>
      <c r="N2732" s="7">
        <v>1.27</v>
      </c>
      <c r="O2732" s="7">
        <v>0.65600000000000003</v>
      </c>
      <c r="P2732" s="1" t="s">
        <v>24514</v>
      </c>
    </row>
    <row r="2733" spans="1:16" ht="33.4" x14ac:dyDescent="0.3">
      <c r="A2733" s="6" t="str">
        <f>HYPERLINK("https://www.ti.com/product/TPS54239E", "TPS54239E")</f>
        <v>TPS54239E</v>
      </c>
      <c r="B2733" s="5" t="s">
        <v>24515</v>
      </c>
      <c r="C2733" s="6" t="str">
        <f>HYPERLINK("https://www.ti.com/lit/gpn/TPS54239E", "PDF")</f>
        <v>PDF</v>
      </c>
      <c r="D2733" s="5" t="s">
        <v>24516</v>
      </c>
      <c r="E2733" s="5" t="s">
        <v>24517</v>
      </c>
      <c r="F2733" s="5" t="s">
        <v>24518</v>
      </c>
      <c r="G2733" s="5" t="s">
        <v>24519</v>
      </c>
      <c r="H2733" s="1" t="s">
        <v>24520</v>
      </c>
      <c r="I2733" s="5" t="s">
        <v>24521</v>
      </c>
      <c r="J2733" s="7">
        <v>8</v>
      </c>
      <c r="K2733" s="7">
        <v>29.4</v>
      </c>
      <c r="L2733" s="5" t="s">
        <v>24522</v>
      </c>
      <c r="M2733" s="7">
        <v>1.7</v>
      </c>
      <c r="N2733" s="7">
        <v>1.27</v>
      </c>
      <c r="O2733" s="7">
        <v>0.67600000000000005</v>
      </c>
      <c r="P2733" s="1" t="s">
        <v>24523</v>
      </c>
    </row>
    <row r="2734" spans="1:16" ht="33.4" x14ac:dyDescent="0.3">
      <c r="A2734" s="6" t="str">
        <f>HYPERLINK("https://www.ti.com/product/SM74611", "SM74611")</f>
        <v>SM74611</v>
      </c>
      <c r="B2734" s="5" t="s">
        <v>24524</v>
      </c>
      <c r="C2734" s="6" t="str">
        <f>HYPERLINK("https://www.ti.com/lit/gpn/SM74611", "PDF")</f>
        <v>PDF</v>
      </c>
      <c r="D2734" s="5" t="s">
        <v>24525</v>
      </c>
      <c r="E2734" s="5" t="s">
        <v>24526</v>
      </c>
      <c r="F2734" s="5"/>
      <c r="G2734" s="5" t="s">
        <v>24527</v>
      </c>
      <c r="H2734" s="1" t="s">
        <v>24528</v>
      </c>
      <c r="I2734" s="5" t="s">
        <v>24529</v>
      </c>
      <c r="J2734" s="7">
        <v>3</v>
      </c>
      <c r="K2734" s="7">
        <v>154.83840000000001</v>
      </c>
      <c r="L2734" s="5" t="s">
        <v>24530</v>
      </c>
      <c r="M2734" s="7">
        <v>4.83</v>
      </c>
      <c r="N2734" s="7">
        <v>2.54</v>
      </c>
      <c r="O2734" s="7">
        <v>1.518</v>
      </c>
      <c r="P2734" s="1" t="s">
        <v>24531</v>
      </c>
    </row>
    <row r="2735" spans="1:16" ht="33.4" x14ac:dyDescent="0.3">
      <c r="A2735" s="6" t="str">
        <f>HYPERLINK("https://www.ti.com/product/TPS54339", "TPS54339")</f>
        <v>TPS54339</v>
      </c>
      <c r="B2735" s="5" t="s">
        <v>24532</v>
      </c>
      <c r="C2735" s="6" t="str">
        <f>HYPERLINK("https://www.ti.com/lit/gpn/TPS54339", "PDF")</f>
        <v>PDF</v>
      </c>
      <c r="D2735" s="5" t="s">
        <v>24533</v>
      </c>
      <c r="E2735" s="5" t="s">
        <v>24534</v>
      </c>
      <c r="F2735" s="5" t="s">
        <v>24535</v>
      </c>
      <c r="G2735" s="5" t="s">
        <v>24536</v>
      </c>
      <c r="H2735" s="1" t="s">
        <v>24537</v>
      </c>
      <c r="I2735" s="5" t="s">
        <v>24538</v>
      </c>
      <c r="J2735" s="7">
        <v>8</v>
      </c>
      <c r="K2735" s="7">
        <v>29.4</v>
      </c>
      <c r="L2735" s="5" t="s">
        <v>24539</v>
      </c>
      <c r="M2735" s="7">
        <v>1.7</v>
      </c>
      <c r="N2735" s="7">
        <v>1.27</v>
      </c>
      <c r="O2735" s="7">
        <v>0.51800000000000002</v>
      </c>
      <c r="P2735" s="1" t="s">
        <v>24540</v>
      </c>
    </row>
    <row r="2736" spans="1:16" ht="17.05" x14ac:dyDescent="0.3">
      <c r="A2736" s="6" t="str">
        <f>HYPERLINK("https://www.ti.com/product/CSD97374Q4M", "CSD97374Q4M")</f>
        <v>CSD97374Q4M</v>
      </c>
      <c r="B2736" s="5" t="s">
        <v>24541</v>
      </c>
      <c r="C2736" s="6" t="str">
        <f>HYPERLINK("https://www.ti.com/lit/gpn/CSD97374Q4M", "PDF")</f>
        <v>PDF</v>
      </c>
      <c r="D2736" s="5" t="s">
        <v>24542</v>
      </c>
      <c r="E2736" s="5" t="s">
        <v>24543</v>
      </c>
      <c r="F2736" s="5"/>
      <c r="G2736" s="5" t="s">
        <v>24544</v>
      </c>
      <c r="H2736" s="1" t="s">
        <v>24545</v>
      </c>
      <c r="I2736" s="5" t="s">
        <v>24546</v>
      </c>
      <c r="J2736" s="7">
        <v>8</v>
      </c>
      <c r="K2736" s="7">
        <v>15.75</v>
      </c>
      <c r="L2736" s="5" t="s">
        <v>24547</v>
      </c>
      <c r="M2736" s="7">
        <v>1</v>
      </c>
      <c r="N2736" s="7">
        <v>0.4</v>
      </c>
      <c r="O2736" s="7">
        <v>0.93500000000000005</v>
      </c>
      <c r="P2736" s="1" t="s">
        <v>24548</v>
      </c>
    </row>
    <row r="2737" spans="1:16" ht="33.4" x14ac:dyDescent="0.3">
      <c r="A2737" s="6" t="str">
        <f>HYPERLINK("https://www.ti.com/product/UCC28251", "UCC28251")</f>
        <v>UCC28251</v>
      </c>
      <c r="B2737" s="5" t="s">
        <v>24549</v>
      </c>
      <c r="C2737" s="6" t="str">
        <f>HYPERLINK("https://www.ti.com/lit/gpn/UCC28251", "PDF")</f>
        <v>PDF</v>
      </c>
      <c r="D2737" s="5" t="s">
        <v>24550</v>
      </c>
      <c r="E2737" s="5" t="s">
        <v>24551</v>
      </c>
      <c r="F2737" s="5" t="s">
        <v>24552</v>
      </c>
      <c r="G2737" s="5" t="s">
        <v>24553</v>
      </c>
      <c r="H2737" s="1" t="s">
        <v>24554</v>
      </c>
      <c r="I2737" s="5" t="s">
        <v>24555</v>
      </c>
      <c r="J2737" s="7">
        <v>20</v>
      </c>
      <c r="K2737" s="7" t="s">
        <v>24556</v>
      </c>
      <c r="L2737" s="5" t="s">
        <v>24557</v>
      </c>
      <c r="M2737" s="7" t="s">
        <v>24558</v>
      </c>
      <c r="N2737" s="7" t="s">
        <v>24559</v>
      </c>
      <c r="O2737" s="7">
        <v>1.806</v>
      </c>
      <c r="P2737" s="1" t="s">
        <v>24560</v>
      </c>
    </row>
    <row r="2738" spans="1:16" ht="49.75" x14ac:dyDescent="0.3">
      <c r="A2738" s="6" t="str">
        <f>HYPERLINK("https://www.ti.com/product/TLC6C5912-Q1", "TLC6C5912-Q1")</f>
        <v>TLC6C5912-Q1</v>
      </c>
      <c r="B2738" s="5" t="s">
        <v>24561</v>
      </c>
      <c r="C2738" s="6" t="str">
        <f>HYPERLINK("https://www.ti.com/lit/gpn/TLC6C5912-Q1", "PDF")</f>
        <v>PDF</v>
      </c>
      <c r="D2738" s="5" t="s">
        <v>24562</v>
      </c>
      <c r="E2738" s="5" t="s">
        <v>24563</v>
      </c>
      <c r="F2738" s="5" t="s">
        <v>24564</v>
      </c>
      <c r="G2738" s="5" t="s">
        <v>24565</v>
      </c>
      <c r="H2738" s="1" t="s">
        <v>24566</v>
      </c>
      <c r="I2738" s="5" t="s">
        <v>24567</v>
      </c>
      <c r="J2738" s="7">
        <v>20</v>
      </c>
      <c r="K2738" s="7" t="s">
        <v>24568</v>
      </c>
      <c r="L2738" s="5" t="s">
        <v>24569</v>
      </c>
      <c r="M2738" s="7" t="s">
        <v>24570</v>
      </c>
      <c r="N2738" s="7" t="s">
        <v>24571</v>
      </c>
      <c r="O2738" s="7">
        <v>0.55000000000000004</v>
      </c>
      <c r="P2738" s="1" t="s">
        <v>24572</v>
      </c>
    </row>
    <row r="2739" spans="1:16" ht="33.4" x14ac:dyDescent="0.3">
      <c r="A2739" s="6" t="str">
        <f>HYPERLINK("https://www.ti.com/product/TLC6C598-Q1", "TLC6C598-Q1")</f>
        <v>TLC6C598-Q1</v>
      </c>
      <c r="B2739" s="5" t="s">
        <v>24573</v>
      </c>
      <c r="C2739" s="6" t="str">
        <f>HYPERLINK("https://www.ti.com/lit/gpn/TLC6C598-Q1", "PDF")</f>
        <v>PDF</v>
      </c>
      <c r="D2739" s="5" t="s">
        <v>24574</v>
      </c>
      <c r="E2739" s="5" t="s">
        <v>24575</v>
      </c>
      <c r="F2739" s="5" t="s">
        <v>24576</v>
      </c>
      <c r="G2739" s="5" t="s">
        <v>24577</v>
      </c>
      <c r="H2739" s="1" t="s">
        <v>24578</v>
      </c>
      <c r="I2739" s="5" t="s">
        <v>24579</v>
      </c>
      <c r="J2739" s="7">
        <v>16</v>
      </c>
      <c r="K2739" s="7" t="s">
        <v>24580</v>
      </c>
      <c r="L2739" s="5" t="s">
        <v>24581</v>
      </c>
      <c r="M2739" s="7" t="s">
        <v>24582</v>
      </c>
      <c r="N2739" s="7" t="s">
        <v>24583</v>
      </c>
      <c r="O2739" s="7">
        <v>0.39400000000000002</v>
      </c>
      <c r="P2739" s="1" t="s">
        <v>24584</v>
      </c>
    </row>
    <row r="2740" spans="1:16" ht="98.85" x14ac:dyDescent="0.3">
      <c r="A2740" s="6" t="str">
        <f>HYPERLINK("https://www.ti.com/product/TPS75100", "TPS75100")</f>
        <v>TPS75100</v>
      </c>
      <c r="B2740" s="5" t="s">
        <v>24585</v>
      </c>
      <c r="C2740" s="6" t="str">
        <f>HYPERLINK("https://www.ti.com/lit/gpn/TPS75100", "PDF")</f>
        <v>PDF</v>
      </c>
      <c r="D2740" s="5" t="s">
        <v>24586</v>
      </c>
      <c r="E2740" s="5" t="s">
        <v>24587</v>
      </c>
      <c r="F2740" s="5" t="s">
        <v>24588</v>
      </c>
      <c r="G2740" s="5" t="s">
        <v>24589</v>
      </c>
      <c r="H2740" s="1" t="s">
        <v>24590</v>
      </c>
      <c r="I2740" s="5" t="s">
        <v>24591</v>
      </c>
      <c r="J2740" s="7" t="s">
        <v>24592</v>
      </c>
      <c r="K2740" s="7" t="s">
        <v>24593</v>
      </c>
      <c r="L2740" s="5" t="s">
        <v>24594</v>
      </c>
      <c r="M2740" s="7" t="s">
        <v>24595</v>
      </c>
      <c r="N2740" s="7" t="s">
        <v>24596</v>
      </c>
      <c r="O2740" s="7">
        <v>0.55700000000000005</v>
      </c>
      <c r="P2740" s="1" t="s">
        <v>24597</v>
      </c>
    </row>
    <row r="2741" spans="1:16" ht="66.150000000000006" x14ac:dyDescent="0.3">
      <c r="A2741" s="6" t="str">
        <f>HYPERLINK("https://www.ti.com/product/TPS92690-Q1", "TPS92690-Q1")</f>
        <v>TPS92690-Q1</v>
      </c>
      <c r="B2741" s="5" t="s">
        <v>24598</v>
      </c>
      <c r="C2741" s="6" t="str">
        <f>HYPERLINK("https://www.ti.com/lit/gpn/TPS92690-Q1", "PDF")</f>
        <v>PDF</v>
      </c>
      <c r="D2741" s="5" t="s">
        <v>24599</v>
      </c>
      <c r="E2741" s="5" t="s">
        <v>24600</v>
      </c>
      <c r="F2741" s="5" t="s">
        <v>24601</v>
      </c>
      <c r="G2741" s="5" t="s">
        <v>24602</v>
      </c>
      <c r="H2741" s="1" t="s">
        <v>24603</v>
      </c>
      <c r="I2741" s="5" t="s">
        <v>24604</v>
      </c>
      <c r="J2741" s="7">
        <v>16</v>
      </c>
      <c r="K2741" s="7">
        <v>32</v>
      </c>
      <c r="L2741" s="5" t="s">
        <v>24605</v>
      </c>
      <c r="M2741" s="7">
        <v>1.2</v>
      </c>
      <c r="N2741" s="7">
        <v>0.65</v>
      </c>
      <c r="O2741" s="7">
        <v>1.4950000000000001</v>
      </c>
      <c r="P2741" s="1" t="s">
        <v>24606</v>
      </c>
    </row>
    <row r="2742" spans="1:16" ht="33.4" x14ac:dyDescent="0.3">
      <c r="A2742" s="6" t="str">
        <f>HYPERLINK("https://www.ti.com/product/TPS65090", "TPS65090")</f>
        <v>TPS65090</v>
      </c>
      <c r="B2742" s="5" t="s">
        <v>24607</v>
      </c>
      <c r="C2742" s="6" t="str">
        <f>HYPERLINK("https://www.ti.com/lit/gpn/TPS65090", "PDF")</f>
        <v>PDF</v>
      </c>
      <c r="D2742" s="5" t="s">
        <v>24608</v>
      </c>
      <c r="E2742" s="5" t="s">
        <v>24609</v>
      </c>
      <c r="F2742" s="5"/>
      <c r="G2742" s="5" t="s">
        <v>24610</v>
      </c>
      <c r="H2742" s="1" t="s">
        <v>24611</v>
      </c>
      <c r="I2742" s="5" t="s">
        <v>24612</v>
      </c>
      <c r="J2742" s="7">
        <v>100</v>
      </c>
      <c r="K2742" s="7" t="s">
        <v>24613</v>
      </c>
      <c r="L2742" s="5" t="s">
        <v>24614</v>
      </c>
      <c r="M2742" s="7" t="s">
        <v>24615</v>
      </c>
      <c r="N2742" s="7" t="s">
        <v>24616</v>
      </c>
      <c r="O2742" s="7">
        <v>7.2009999999999996</v>
      </c>
      <c r="P2742" s="1" t="s">
        <v>24617</v>
      </c>
    </row>
    <row r="2743" spans="1:16" ht="17.05" x14ac:dyDescent="0.3">
      <c r="A2743" s="6" t="str">
        <f>HYPERLINK("https://www.ti.com/product/TPS92640", "TPS92640")</f>
        <v>TPS92640</v>
      </c>
      <c r="B2743" s="5" t="s">
        <v>24618</v>
      </c>
      <c r="C2743" s="6" t="str">
        <f>HYPERLINK("https://www.ti.com/lit/gpn/TPS92640", "PDF")</f>
        <v>PDF</v>
      </c>
      <c r="D2743" s="5" t="s">
        <v>24619</v>
      </c>
      <c r="E2743" s="5" t="s">
        <v>24620</v>
      </c>
      <c r="F2743" s="5" t="s">
        <v>24621</v>
      </c>
      <c r="G2743" s="5" t="s">
        <v>24622</v>
      </c>
      <c r="H2743" s="1" t="s">
        <v>24623</v>
      </c>
      <c r="I2743" s="5" t="s">
        <v>24624</v>
      </c>
      <c r="J2743" s="7">
        <v>14</v>
      </c>
      <c r="K2743" s="7">
        <v>32</v>
      </c>
      <c r="L2743" s="5" t="s">
        <v>24625</v>
      </c>
      <c r="M2743" s="7">
        <v>1.2</v>
      </c>
      <c r="N2743" s="7">
        <v>0.65</v>
      </c>
      <c r="O2743" s="7">
        <v>1.2649999999999999</v>
      </c>
      <c r="P2743" s="1" t="s">
        <v>24626</v>
      </c>
    </row>
    <row r="2744" spans="1:16" ht="33.4" x14ac:dyDescent="0.3">
      <c r="A2744" s="6" t="str">
        <f>HYPERLINK("https://www.ti.com/product/TPS92641", "TPS92641")</f>
        <v>TPS92641</v>
      </c>
      <c r="B2744" s="5" t="s">
        <v>24627</v>
      </c>
      <c r="C2744" s="6" t="str">
        <f>HYPERLINK("https://www.ti.com/lit/gpn/TPS92641", "PDF")</f>
        <v>PDF</v>
      </c>
      <c r="D2744" s="5" t="s">
        <v>24628</v>
      </c>
      <c r="E2744" s="5" t="s">
        <v>24629</v>
      </c>
      <c r="F2744" s="5" t="s">
        <v>24630</v>
      </c>
      <c r="G2744" s="5" t="s">
        <v>24631</v>
      </c>
      <c r="H2744" s="1" t="s">
        <v>24632</v>
      </c>
      <c r="I2744" s="5" t="s">
        <v>24633</v>
      </c>
      <c r="J2744" s="7">
        <v>16</v>
      </c>
      <c r="K2744" s="7">
        <v>32</v>
      </c>
      <c r="L2744" s="5" t="s">
        <v>24634</v>
      </c>
      <c r="M2744" s="7">
        <v>1.2</v>
      </c>
      <c r="N2744" s="7">
        <v>0.65</v>
      </c>
      <c r="O2744" s="7">
        <v>1.127</v>
      </c>
      <c r="P2744" s="1" t="s">
        <v>24635</v>
      </c>
    </row>
    <row r="2745" spans="1:16" ht="33.4" x14ac:dyDescent="0.3">
      <c r="A2745" s="6" t="str">
        <f>HYPERLINK("https://www.ti.com/product/LM25017", "LM25017")</f>
        <v>LM25017</v>
      </c>
      <c r="B2745" s="5" t="s">
        <v>24636</v>
      </c>
      <c r="C2745" s="6" t="str">
        <f>HYPERLINK("https://www.ti.com/lit/gpn/LM25017", "PDF")</f>
        <v>PDF</v>
      </c>
      <c r="D2745" s="5" t="s">
        <v>24637</v>
      </c>
      <c r="E2745" s="5" t="s">
        <v>24638</v>
      </c>
      <c r="F2745" s="5" t="s">
        <v>24639</v>
      </c>
      <c r="G2745" s="5" t="s">
        <v>24640</v>
      </c>
      <c r="H2745" s="1" t="s">
        <v>24641</v>
      </c>
      <c r="I2745" s="5" t="s">
        <v>24642</v>
      </c>
      <c r="J2745" s="7">
        <v>8</v>
      </c>
      <c r="K2745" s="7" t="s">
        <v>24643</v>
      </c>
      <c r="L2745" s="5" t="s">
        <v>24644</v>
      </c>
      <c r="M2745" s="7" t="s">
        <v>24645</v>
      </c>
      <c r="N2745" s="7" t="s">
        <v>24646</v>
      </c>
      <c r="O2745" s="7">
        <v>1.236</v>
      </c>
      <c r="P2745" s="1" t="s">
        <v>24647</v>
      </c>
    </row>
    <row r="2746" spans="1:16" ht="33.4" x14ac:dyDescent="0.3">
      <c r="A2746" s="6" t="str">
        <f>HYPERLINK("https://www.ti.com/product/LM25018", "LM25018")</f>
        <v>LM25018</v>
      </c>
      <c r="B2746" s="5" t="s">
        <v>24648</v>
      </c>
      <c r="C2746" s="6" t="str">
        <f>HYPERLINK("https://www.ti.com/lit/gpn/LM25018", "PDF")</f>
        <v>PDF</v>
      </c>
      <c r="D2746" s="5" t="s">
        <v>24649</v>
      </c>
      <c r="E2746" s="5" t="s">
        <v>24650</v>
      </c>
      <c r="F2746" s="5" t="s">
        <v>24651</v>
      </c>
      <c r="G2746" s="5" t="s">
        <v>24652</v>
      </c>
      <c r="H2746" s="1" t="s">
        <v>24653</v>
      </c>
      <c r="I2746" s="5" t="s">
        <v>24654</v>
      </c>
      <c r="J2746" s="7">
        <v>8</v>
      </c>
      <c r="K2746" s="7" t="s">
        <v>24655</v>
      </c>
      <c r="L2746" s="5" t="s">
        <v>24656</v>
      </c>
      <c r="M2746" s="7" t="s">
        <v>24657</v>
      </c>
      <c r="N2746" s="7" t="s">
        <v>24658</v>
      </c>
      <c r="O2746" s="7">
        <v>0.98199999999999998</v>
      </c>
      <c r="P2746" s="1" t="s">
        <v>24659</v>
      </c>
    </row>
    <row r="2747" spans="1:16" ht="33.4" x14ac:dyDescent="0.3">
      <c r="A2747" s="6" t="str">
        <f>HYPERLINK("https://www.ti.com/product/LM25019", "LM25019")</f>
        <v>LM25019</v>
      </c>
      <c r="B2747" s="5" t="s">
        <v>24660</v>
      </c>
      <c r="C2747" s="6" t="str">
        <f>HYPERLINK("https://www.ti.com/lit/gpn/LM25019", "PDF")</f>
        <v>PDF</v>
      </c>
      <c r="D2747" s="5" t="s">
        <v>24661</v>
      </c>
      <c r="E2747" s="5" t="s">
        <v>24662</v>
      </c>
      <c r="F2747" s="5" t="s">
        <v>24663</v>
      </c>
      <c r="G2747" s="5" t="s">
        <v>24664</v>
      </c>
      <c r="H2747" s="1" t="s">
        <v>24665</v>
      </c>
      <c r="I2747" s="5" t="s">
        <v>24666</v>
      </c>
      <c r="J2747" s="7">
        <v>8</v>
      </c>
      <c r="K2747" s="7" t="s">
        <v>24667</v>
      </c>
      <c r="L2747" s="5" t="s">
        <v>24668</v>
      </c>
      <c r="M2747" s="7" t="s">
        <v>24669</v>
      </c>
      <c r="N2747" s="7" t="s">
        <v>24670</v>
      </c>
      <c r="O2747" s="7">
        <v>0.88700000000000001</v>
      </c>
      <c r="P2747" s="1" t="s">
        <v>24671</v>
      </c>
    </row>
    <row r="2748" spans="1:16" ht="33.4" x14ac:dyDescent="0.3">
      <c r="A2748" s="6" t="str">
        <f>HYPERLINK("https://www.ti.com/product/TPS2062C-2", "TPS2062C-2")</f>
        <v>TPS2062C-2</v>
      </c>
      <c r="B2748" s="5" t="s">
        <v>24672</v>
      </c>
      <c r="C2748" s="6" t="str">
        <f>HYPERLINK("https://www.ti.com/lit/gpn/TPS2062C-2", "PDF")</f>
        <v>PDF</v>
      </c>
      <c r="D2748" s="5" t="s">
        <v>24673</v>
      </c>
      <c r="E2748" s="5" t="s">
        <v>24674</v>
      </c>
      <c r="F2748" s="5"/>
      <c r="G2748" s="5" t="s">
        <v>24675</v>
      </c>
      <c r="H2748" s="1" t="s">
        <v>24676</v>
      </c>
      <c r="I2748" s="5" t="s">
        <v>24677</v>
      </c>
      <c r="J2748" s="7">
        <v>8</v>
      </c>
      <c r="K2748" s="7">
        <v>9</v>
      </c>
      <c r="L2748" s="5" t="s">
        <v>24678</v>
      </c>
      <c r="M2748" s="7">
        <v>1</v>
      </c>
      <c r="N2748" s="7">
        <v>0.65</v>
      </c>
      <c r="O2748" s="7">
        <v>0.40699999999999997</v>
      </c>
      <c r="P2748" s="1" t="s">
        <v>24679</v>
      </c>
    </row>
    <row r="2749" spans="1:16" ht="33.4" x14ac:dyDescent="0.3">
      <c r="A2749" s="6" t="str">
        <f>HYPERLINK("https://www.ti.com/product/TPS2064C-2", "TPS2064C-2")</f>
        <v>TPS2064C-2</v>
      </c>
      <c r="B2749" s="5" t="s">
        <v>24680</v>
      </c>
      <c r="C2749" s="6" t="str">
        <f>HYPERLINK("https://www.ti.com/lit/gpn/TPS2064C-2", "PDF")</f>
        <v>PDF</v>
      </c>
      <c r="D2749" s="5" t="s">
        <v>24681</v>
      </c>
      <c r="E2749" s="5" t="s">
        <v>24682</v>
      </c>
      <c r="F2749" s="5"/>
      <c r="G2749" s="5" t="s">
        <v>24683</v>
      </c>
      <c r="H2749" s="1" t="s">
        <v>24684</v>
      </c>
      <c r="I2749" s="5" t="s">
        <v>24685</v>
      </c>
      <c r="J2749" s="7">
        <v>8</v>
      </c>
      <c r="K2749" s="7">
        <v>14.7</v>
      </c>
      <c r="L2749" s="5" t="s">
        <v>24686</v>
      </c>
      <c r="M2749" s="7">
        <v>1.1000000000000001</v>
      </c>
      <c r="N2749" s="7">
        <v>0.65</v>
      </c>
      <c r="O2749" s="7">
        <v>0.42</v>
      </c>
      <c r="P2749" s="1" t="s">
        <v>24687</v>
      </c>
    </row>
    <row r="2750" spans="1:16" ht="33.4" x14ac:dyDescent="0.3">
      <c r="A2750" s="6" t="str">
        <f>HYPERLINK("https://www.ti.com/product/TPS2066C-2", "TPS2066C-2")</f>
        <v>TPS2066C-2</v>
      </c>
      <c r="B2750" s="5" t="s">
        <v>24688</v>
      </c>
      <c r="C2750" s="6" t="str">
        <f>HYPERLINK("https://www.ti.com/lit/gpn/TPS2066C-2", "PDF")</f>
        <v>PDF</v>
      </c>
      <c r="D2750" s="5" t="s">
        <v>24689</v>
      </c>
      <c r="E2750" s="5" t="s">
        <v>24690</v>
      </c>
      <c r="F2750" s="5"/>
      <c r="G2750" s="5" t="s">
        <v>24691</v>
      </c>
      <c r="H2750" s="1" t="s">
        <v>24692</v>
      </c>
      <c r="I2750" s="5" t="s">
        <v>24693</v>
      </c>
      <c r="J2750" s="7">
        <v>8</v>
      </c>
      <c r="K2750" s="7">
        <v>14.7</v>
      </c>
      <c r="L2750" s="5" t="s">
        <v>24694</v>
      </c>
      <c r="M2750" s="7">
        <v>1.1000000000000001</v>
      </c>
      <c r="N2750" s="7">
        <v>0.65</v>
      </c>
      <c r="O2750" s="7">
        <v>0.40699999999999997</v>
      </c>
      <c r="P2750" s="1" t="s">
        <v>24695</v>
      </c>
    </row>
    <row r="2751" spans="1:16" ht="17.05" x14ac:dyDescent="0.3">
      <c r="A2751" s="6" t="str">
        <f>HYPERLINK("https://www.ti.com/product/TPS22986", "TPS22986")</f>
        <v>TPS22986</v>
      </c>
      <c r="B2751" s="5" t="s">
        <v>24696</v>
      </c>
      <c r="C2751" s="6" t="str">
        <f>HYPERLINK("https://www.ti.com/lit/gpn/TPS22986", "PDF")</f>
        <v>PDF</v>
      </c>
      <c r="D2751" s="5" t="s">
        <v>24697</v>
      </c>
      <c r="E2751" s="5" t="s">
        <v>24698</v>
      </c>
      <c r="F2751" s="5"/>
      <c r="G2751" s="5" t="s">
        <v>24699</v>
      </c>
      <c r="H2751" s="1" t="s">
        <v>24700</v>
      </c>
      <c r="I2751" s="5" t="s">
        <v>24701</v>
      </c>
      <c r="J2751" s="7">
        <v>16</v>
      </c>
      <c r="K2751" s="7">
        <v>3.24</v>
      </c>
      <c r="L2751" s="5" t="s">
        <v>24702</v>
      </c>
      <c r="M2751" s="7">
        <v>0.5</v>
      </c>
      <c r="N2751" s="7">
        <v>0.4</v>
      </c>
      <c r="O2751" s="7">
        <v>0.57799999999999996</v>
      </c>
      <c r="P2751" s="1" t="s">
        <v>24703</v>
      </c>
    </row>
    <row r="2752" spans="1:16" ht="49.75" x14ac:dyDescent="0.3">
      <c r="A2752" s="6" t="str">
        <f>HYPERLINK("https://www.ti.com/product/TPS92690", "TPS92690")</f>
        <v>TPS92690</v>
      </c>
      <c r="B2752" s="5" t="s">
        <v>24704</v>
      </c>
      <c r="C2752" s="6" t="str">
        <f>HYPERLINK("https://www.ti.com/lit/gpn/TPS92690", "PDF")</f>
        <v>PDF</v>
      </c>
      <c r="D2752" s="5" t="s">
        <v>24705</v>
      </c>
      <c r="E2752" s="5" t="s">
        <v>24706</v>
      </c>
      <c r="F2752" s="5" t="s">
        <v>24707</v>
      </c>
      <c r="G2752" s="5" t="s">
        <v>24708</v>
      </c>
      <c r="H2752" s="1" t="s">
        <v>24709</v>
      </c>
      <c r="I2752" s="5" t="s">
        <v>24710</v>
      </c>
      <c r="J2752" s="7">
        <v>16</v>
      </c>
      <c r="K2752" s="7">
        <v>32</v>
      </c>
      <c r="L2752" s="5" t="s">
        <v>24711</v>
      </c>
      <c r="M2752" s="7">
        <v>1.2</v>
      </c>
      <c r="N2752" s="7">
        <v>0.65</v>
      </c>
      <c r="O2752" s="7">
        <v>1.869</v>
      </c>
      <c r="P2752" s="1" t="s">
        <v>24712</v>
      </c>
    </row>
    <row r="2753" spans="1:16" ht="17.05" x14ac:dyDescent="0.3">
      <c r="A2753" s="6" t="str">
        <f>HYPERLINK("https://www.ti.com/product/CSD43301Q5M", "CSD43301Q5M")</f>
        <v>CSD43301Q5M</v>
      </c>
      <c r="B2753" s="5" t="s">
        <v>24713</v>
      </c>
      <c r="C2753" s="6" t="str">
        <f>HYPERLINK("https://www.ti.com/lit/gpn/CSD43301Q5M", "PDF")</f>
        <v>PDF</v>
      </c>
      <c r="D2753" s="5" t="s">
        <v>24714</v>
      </c>
      <c r="E2753" s="5" t="s">
        <v>24715</v>
      </c>
      <c r="F2753" s="5"/>
      <c r="G2753" s="5" t="s">
        <v>24716</v>
      </c>
      <c r="H2753" s="1" t="s">
        <v>24717</v>
      </c>
      <c r="I2753" s="5" t="s">
        <v>24718</v>
      </c>
      <c r="J2753" s="7">
        <v>12</v>
      </c>
      <c r="K2753" s="7">
        <v>30</v>
      </c>
      <c r="L2753" s="5" t="s">
        <v>24719</v>
      </c>
      <c r="M2753" s="7">
        <v>1.5</v>
      </c>
      <c r="N2753" s="7">
        <v>0.5</v>
      </c>
      <c r="O2753" s="7">
        <v>1.5489999999999999</v>
      </c>
      <c r="P2753" s="1" t="s">
        <v>24720</v>
      </c>
    </row>
    <row r="2754" spans="1:16" ht="33.4" x14ac:dyDescent="0.3">
      <c r="A2754" s="6" t="str">
        <f>HYPERLINK("https://www.ti.com/product/TPS65281-1", "TPS65281-1")</f>
        <v>TPS65281-1</v>
      </c>
      <c r="B2754" s="5" t="s">
        <v>24721</v>
      </c>
      <c r="C2754" s="6" t="str">
        <f>HYPERLINK("https://www.ti.com/lit/gpn/TPS65281-1", "PDF")</f>
        <v>PDF</v>
      </c>
      <c r="D2754" s="5" t="s">
        <v>24722</v>
      </c>
      <c r="E2754" s="5" t="s">
        <v>24723</v>
      </c>
      <c r="F2754" s="5" t="s">
        <v>24724</v>
      </c>
      <c r="G2754" s="5" t="s">
        <v>24725</v>
      </c>
      <c r="H2754" s="1" t="s">
        <v>24726</v>
      </c>
      <c r="I2754" s="5" t="s">
        <v>24727</v>
      </c>
      <c r="J2754" s="7">
        <v>16</v>
      </c>
      <c r="K2754" s="7">
        <v>16</v>
      </c>
      <c r="L2754" s="5" t="s">
        <v>24728</v>
      </c>
      <c r="M2754" s="7">
        <v>1</v>
      </c>
      <c r="N2754" s="7">
        <v>0.65</v>
      </c>
      <c r="O2754" s="7">
        <v>0.85</v>
      </c>
      <c r="P2754" s="1" t="s">
        <v>24729</v>
      </c>
    </row>
    <row r="2755" spans="1:16" ht="33.4" x14ac:dyDescent="0.3">
      <c r="A2755" s="6" t="str">
        <f>HYPERLINK("https://www.ti.com/product/CSD87351ZQ5D", "CSD87351ZQ5D")</f>
        <v>CSD87351ZQ5D</v>
      </c>
      <c r="B2755" s="5" t="s">
        <v>24730</v>
      </c>
      <c r="C2755" s="6" t="str">
        <f>HYPERLINK("https://www.ti.com/lit/gpn/CSD87351ZQ5D", "PDF")</f>
        <v>PDF</v>
      </c>
      <c r="D2755" s="5" t="s">
        <v>24731</v>
      </c>
      <c r="E2755" s="5" t="s">
        <v>24732</v>
      </c>
      <c r="F2755" s="5"/>
      <c r="G2755" s="5" t="s">
        <v>24733</v>
      </c>
      <c r="H2755" s="1" t="s">
        <v>24734</v>
      </c>
      <c r="I2755" s="5" t="s">
        <v>24735</v>
      </c>
      <c r="J2755" s="7">
        <v>8</v>
      </c>
      <c r="K2755" s="7">
        <v>30</v>
      </c>
      <c r="L2755" s="5" t="s">
        <v>24736</v>
      </c>
      <c r="M2755" s="7">
        <v>1.6</v>
      </c>
      <c r="N2755" s="7">
        <v>1.27</v>
      </c>
      <c r="O2755" s="7">
        <v>0.69699999999999995</v>
      </c>
      <c r="P2755" s="1" t="s">
        <v>24737</v>
      </c>
    </row>
    <row r="2756" spans="1:16" ht="49.75" x14ac:dyDescent="0.3">
      <c r="A2756" s="6" t="str">
        <f>HYPERLINK("https://www.ti.com/product/TPS50601-SP", "TPS50601-SP")</f>
        <v>TPS50601-SP</v>
      </c>
      <c r="B2756" s="5" t="s">
        <v>24738</v>
      </c>
      <c r="C2756" s="6" t="str">
        <f>HYPERLINK("https://www.ti.com/lit/gpn/TPS50601-SP", "PDF")</f>
        <v>PDF</v>
      </c>
      <c r="D2756" s="5" t="s">
        <v>24739</v>
      </c>
      <c r="E2756" s="5" t="s">
        <v>24740</v>
      </c>
      <c r="F2756" s="5" t="s">
        <v>24741</v>
      </c>
      <c r="G2756" s="5" t="s">
        <v>24742</v>
      </c>
      <c r="H2756" s="1" t="s">
        <v>24743</v>
      </c>
      <c r="I2756" s="5" t="s">
        <v>24744</v>
      </c>
      <c r="J2756" s="7" t="s">
        <v>24745</v>
      </c>
      <c r="K2756" s="7" t="s">
        <v>24746</v>
      </c>
      <c r="L2756" s="5" t="s">
        <v>24747</v>
      </c>
      <c r="M2756" s="7" t="s">
        <v>24748</v>
      </c>
      <c r="N2756" s="7" t="s">
        <v>24749</v>
      </c>
      <c r="O2756" s="7">
        <v>2684.9789999999998</v>
      </c>
      <c r="P2756" s="1" t="s">
        <v>24750</v>
      </c>
    </row>
    <row r="2757" spans="1:16" ht="49.75" x14ac:dyDescent="0.3">
      <c r="A2757" s="6" t="str">
        <f>HYPERLINK("https://www.ti.com/product/TPS826745", "TPS826745")</f>
        <v>TPS826745</v>
      </c>
      <c r="B2757" s="5" t="s">
        <v>24751</v>
      </c>
      <c r="C2757" s="6" t="str">
        <f>HYPERLINK("https://www.ti.com/lit/gpn/TPS826745", "PDF")</f>
        <v>PDF</v>
      </c>
      <c r="D2757" s="5" t="s">
        <v>24752</v>
      </c>
      <c r="E2757" s="5" t="s">
        <v>24753</v>
      </c>
      <c r="F2757" s="5" t="s">
        <v>24754</v>
      </c>
      <c r="G2757" s="5" t="s">
        <v>24755</v>
      </c>
      <c r="H2757" s="1" t="s">
        <v>24756</v>
      </c>
      <c r="I2757" s="5" t="s">
        <v>24757</v>
      </c>
      <c r="J2757" s="7">
        <v>8</v>
      </c>
      <c r="K2757" s="7">
        <v>6.67</v>
      </c>
      <c r="L2757" s="5" t="s">
        <v>24758</v>
      </c>
      <c r="M2757" s="7">
        <v>1</v>
      </c>
      <c r="N2757" s="7">
        <v>1</v>
      </c>
      <c r="O2757" s="7">
        <v>1.012</v>
      </c>
      <c r="P2757" s="1" t="s">
        <v>24759</v>
      </c>
    </row>
    <row r="2758" spans="1:16" ht="33.4" x14ac:dyDescent="0.3">
      <c r="A2758" s="6" t="str">
        <f>HYPERLINK("https://www.ti.com/product/UCC27528", "UCC27528")</f>
        <v>UCC27528</v>
      </c>
      <c r="B2758" s="5" t="s">
        <v>24760</v>
      </c>
      <c r="C2758" s="6" t="str">
        <f>HYPERLINK("https://www.ti.com/lit/gpn/UCC27528", "PDF")</f>
        <v>PDF</v>
      </c>
      <c r="D2758" s="5" t="s">
        <v>24761</v>
      </c>
      <c r="E2758" s="5" t="s">
        <v>24762</v>
      </c>
      <c r="F2758" s="5"/>
      <c r="G2758" s="5" t="s">
        <v>24763</v>
      </c>
      <c r="H2758" s="1" t="s">
        <v>24764</v>
      </c>
      <c r="I2758" s="5" t="s">
        <v>24765</v>
      </c>
      <c r="J2758" s="7">
        <v>8</v>
      </c>
      <c r="K2758" s="7" t="s">
        <v>24766</v>
      </c>
      <c r="L2758" s="5" t="s">
        <v>24767</v>
      </c>
      <c r="M2758" s="7" t="s">
        <v>24768</v>
      </c>
      <c r="N2758" s="7" t="s">
        <v>24769</v>
      </c>
      <c r="O2758" s="7">
        <v>0.48299999999999998</v>
      </c>
      <c r="P2758" s="1" t="s">
        <v>24770</v>
      </c>
    </row>
    <row r="2759" spans="1:16" ht="17.05" x14ac:dyDescent="0.3">
      <c r="A2759" s="6" t="str">
        <f>HYPERLINK("https://www.ti.com/product/TPS92560", "TPS92560")</f>
        <v>TPS92560</v>
      </c>
      <c r="B2759" s="5" t="s">
        <v>24771</v>
      </c>
      <c r="C2759" s="6" t="str">
        <f>HYPERLINK("https://www.ti.com/lit/gpn/TPS92560", "PDF")</f>
        <v>PDF</v>
      </c>
      <c r="D2759" s="5" t="s">
        <v>24772</v>
      </c>
      <c r="E2759" s="5" t="s">
        <v>24773</v>
      </c>
      <c r="F2759" s="5" t="s">
        <v>24774</v>
      </c>
      <c r="G2759" s="5" t="s">
        <v>24775</v>
      </c>
      <c r="H2759" s="1" t="s">
        <v>24776</v>
      </c>
      <c r="I2759" s="5" t="s">
        <v>24777</v>
      </c>
      <c r="J2759" s="7">
        <v>10</v>
      </c>
      <c r="K2759" s="7">
        <v>14.7</v>
      </c>
      <c r="L2759" s="5" t="s">
        <v>24778</v>
      </c>
      <c r="M2759" s="7">
        <v>1.1000000000000001</v>
      </c>
      <c r="N2759" s="7">
        <v>0.5</v>
      </c>
      <c r="O2759" s="7">
        <v>0.34499999999999997</v>
      </c>
      <c r="P2759" s="1" t="s">
        <v>24779</v>
      </c>
    </row>
    <row r="2760" spans="1:16" ht="33.4" x14ac:dyDescent="0.3">
      <c r="A2760" s="6" t="str">
        <f>HYPERLINK("https://www.ti.com/product/TPS92075", "TPS92075")</f>
        <v>TPS92075</v>
      </c>
      <c r="B2760" s="5" t="s">
        <v>24780</v>
      </c>
      <c r="C2760" s="6" t="str">
        <f>HYPERLINK("https://www.ti.com/lit/gpn/TPS92075", "PDF")</f>
        <v>PDF</v>
      </c>
      <c r="D2760" s="5" t="s">
        <v>24781</v>
      </c>
      <c r="E2760" s="5" t="s">
        <v>24782</v>
      </c>
      <c r="F2760" s="5" t="s">
        <v>24783</v>
      </c>
      <c r="G2760" s="5" t="s">
        <v>24784</v>
      </c>
      <c r="H2760" s="1" t="s">
        <v>24785</v>
      </c>
      <c r="I2760" s="5" t="s">
        <v>24786</v>
      </c>
      <c r="J2760" s="7" t="s">
        <v>24787</v>
      </c>
      <c r="K2760" s="7" t="s">
        <v>24788</v>
      </c>
      <c r="L2760" s="5" t="s">
        <v>24789</v>
      </c>
      <c r="M2760" s="7" t="s">
        <v>24790</v>
      </c>
      <c r="N2760" s="7" t="s">
        <v>24791</v>
      </c>
      <c r="O2760" s="7">
        <v>0.46</v>
      </c>
      <c r="P2760" s="1" t="s">
        <v>24792</v>
      </c>
    </row>
    <row r="2761" spans="1:16" ht="33.4" x14ac:dyDescent="0.3">
      <c r="A2761" s="6" t="str">
        <f>HYPERLINK("https://www.ti.com/product/TPS51631", "TPS51631")</f>
        <v>TPS51631</v>
      </c>
      <c r="B2761" s="5" t="s">
        <v>24793</v>
      </c>
      <c r="C2761" s="6" t="str">
        <f>HYPERLINK("https://www.ti.com/lit/gpn/TPS51631", "PDF")</f>
        <v>PDF</v>
      </c>
      <c r="D2761" s="5" t="s">
        <v>24794</v>
      </c>
      <c r="E2761" s="5" t="s">
        <v>24795</v>
      </c>
      <c r="F2761" s="5" t="s">
        <v>24796</v>
      </c>
      <c r="G2761" s="5" t="s">
        <v>24797</v>
      </c>
      <c r="H2761" s="1" t="s">
        <v>24798</v>
      </c>
      <c r="I2761" s="5" t="s">
        <v>24799</v>
      </c>
      <c r="J2761" s="7">
        <v>32</v>
      </c>
      <c r="K2761" s="7">
        <v>16</v>
      </c>
      <c r="L2761" s="5" t="s">
        <v>24800</v>
      </c>
      <c r="M2761" s="7">
        <v>1</v>
      </c>
      <c r="N2761" s="7">
        <v>0.4</v>
      </c>
      <c r="O2761" s="7">
        <v>1.837</v>
      </c>
      <c r="P2761" s="1" t="s">
        <v>24801</v>
      </c>
    </row>
    <row r="2762" spans="1:16" ht="33.4" x14ac:dyDescent="0.3">
      <c r="A2762" s="6" t="str">
        <f>HYPERLINK("https://www.ti.com/product/TPS54339E", "TPS54339E")</f>
        <v>TPS54339E</v>
      </c>
      <c r="B2762" s="5" t="s">
        <v>24802</v>
      </c>
      <c r="C2762" s="6" t="str">
        <f>HYPERLINK("https://www.ti.com/lit/gpn/TPS54339E", "PDF")</f>
        <v>PDF</v>
      </c>
      <c r="D2762" s="5" t="s">
        <v>24803</v>
      </c>
      <c r="E2762" s="5" t="s">
        <v>24804</v>
      </c>
      <c r="F2762" s="5" t="s">
        <v>24805</v>
      </c>
      <c r="G2762" s="5" t="s">
        <v>24806</v>
      </c>
      <c r="H2762" s="1" t="s">
        <v>24807</v>
      </c>
      <c r="I2762" s="5" t="s">
        <v>24808</v>
      </c>
      <c r="J2762" s="7">
        <v>8</v>
      </c>
      <c r="K2762" s="7">
        <v>29.4</v>
      </c>
      <c r="L2762" s="5" t="s">
        <v>24809</v>
      </c>
      <c r="M2762" s="7">
        <v>1.7</v>
      </c>
      <c r="N2762" s="7">
        <v>1.27</v>
      </c>
      <c r="O2762" s="7">
        <v>0.53800000000000003</v>
      </c>
      <c r="P2762" s="1" t="s">
        <v>24810</v>
      </c>
    </row>
    <row r="2763" spans="1:16" ht="49.75" x14ac:dyDescent="0.3">
      <c r="A2763" s="6" t="str">
        <f>HYPERLINK("https://www.ti.com/product/TPS62698", "TPS62698")</f>
        <v>TPS62698</v>
      </c>
      <c r="B2763" s="5" t="s">
        <v>24811</v>
      </c>
      <c r="C2763" s="6" t="str">
        <f>HYPERLINK("https://www.ti.com/lit/gpn/TPS62698", "PDF")</f>
        <v>PDF</v>
      </c>
      <c r="D2763" s="5" t="s">
        <v>24812</v>
      </c>
      <c r="E2763" s="5" t="s">
        <v>24813</v>
      </c>
      <c r="F2763" s="5" t="s">
        <v>24814</v>
      </c>
      <c r="G2763" s="5" t="s">
        <v>24815</v>
      </c>
      <c r="H2763" s="1" t="s">
        <v>24816</v>
      </c>
      <c r="I2763" s="5" t="s">
        <v>24817</v>
      </c>
      <c r="J2763" s="7">
        <v>6</v>
      </c>
      <c r="K2763" s="7">
        <v>1.4000000000000001</v>
      </c>
      <c r="L2763" s="5" t="s">
        <v>24818</v>
      </c>
      <c r="M2763" s="7">
        <v>0.4</v>
      </c>
      <c r="N2763" s="7">
        <v>0.4</v>
      </c>
      <c r="O2763" s="7">
        <v>0.53400000000000003</v>
      </c>
      <c r="P2763" s="1" t="s">
        <v>24819</v>
      </c>
    </row>
    <row r="2764" spans="1:16" ht="17.05" x14ac:dyDescent="0.3">
      <c r="A2764" s="6" t="str">
        <f>HYPERLINK("https://www.ti.com/product/TPS659119-Q1", "TPS659119-Q1")</f>
        <v>TPS659119-Q1</v>
      </c>
      <c r="B2764" s="5" t="s">
        <v>24820</v>
      </c>
      <c r="C2764" s="6" t="str">
        <f>HYPERLINK("https://www.ti.com/lit/gpn/TPS659119-Q1", "PDF")</f>
        <v>PDF</v>
      </c>
      <c r="D2764" s="5" t="s">
        <v>24821</v>
      </c>
      <c r="E2764" s="5" t="s">
        <v>24822</v>
      </c>
      <c r="F2764" s="5"/>
      <c r="G2764" s="5" t="s">
        <v>24823</v>
      </c>
      <c r="H2764" s="1" t="s">
        <v>24824</v>
      </c>
      <c r="I2764" s="5" t="s">
        <v>24825</v>
      </c>
      <c r="J2764" s="7">
        <v>80</v>
      </c>
      <c r="K2764" s="7">
        <v>196</v>
      </c>
      <c r="L2764" s="5" t="s">
        <v>24826</v>
      </c>
      <c r="M2764" s="7">
        <v>1.2</v>
      </c>
      <c r="N2764" s="7">
        <v>0.5</v>
      </c>
      <c r="O2764" s="7">
        <v>4.58</v>
      </c>
      <c r="P2764" s="1" t="s">
        <v>24827</v>
      </c>
    </row>
    <row r="2765" spans="1:16" ht="33.4" x14ac:dyDescent="0.3">
      <c r="A2765" s="6" t="str">
        <f>HYPERLINK("https://www.ti.com/product/UCC27611", "UCC27611")</f>
        <v>UCC27611</v>
      </c>
      <c r="B2765" s="5" t="s">
        <v>24828</v>
      </c>
      <c r="C2765" s="6" t="str">
        <f>HYPERLINK("https://www.ti.com/lit/gpn/UCC27611", "PDF")</f>
        <v>PDF</v>
      </c>
      <c r="D2765" s="5" t="s">
        <v>24829</v>
      </c>
      <c r="E2765" s="5" t="s">
        <v>24830</v>
      </c>
      <c r="F2765" s="5"/>
      <c r="G2765" s="5" t="s">
        <v>24831</v>
      </c>
      <c r="H2765" s="1" t="s">
        <v>24832</v>
      </c>
      <c r="I2765" s="5" t="s">
        <v>24833</v>
      </c>
      <c r="J2765" s="7">
        <v>6</v>
      </c>
      <c r="K2765" s="7">
        <v>4</v>
      </c>
      <c r="L2765" s="5" t="s">
        <v>24834</v>
      </c>
      <c r="M2765" s="7">
        <v>0.8</v>
      </c>
      <c r="N2765" s="7">
        <v>0.65</v>
      </c>
      <c r="O2765" s="7">
        <v>0.51800000000000002</v>
      </c>
      <c r="P2765" s="1" t="s">
        <v>24835</v>
      </c>
    </row>
    <row r="2766" spans="1:16" ht="49.75" x14ac:dyDescent="0.3">
      <c r="A2766" s="6" t="str">
        <f>HYPERLINK("https://www.ti.com/product/TPS62693", "TPS62693")</f>
        <v>TPS62693</v>
      </c>
      <c r="B2766" s="5" t="s">
        <v>24836</v>
      </c>
      <c r="C2766" s="6" t="str">
        <f>HYPERLINK("https://www.ti.com/lit/gpn/TPS62693", "PDF")</f>
        <v>PDF</v>
      </c>
      <c r="D2766" s="5" t="s">
        <v>24837</v>
      </c>
      <c r="E2766" s="5" t="s">
        <v>24838</v>
      </c>
      <c r="F2766" s="5" t="s">
        <v>24839</v>
      </c>
      <c r="G2766" s="5" t="s">
        <v>24840</v>
      </c>
      <c r="H2766" s="1" t="s">
        <v>24841</v>
      </c>
      <c r="I2766" s="5" t="s">
        <v>24842</v>
      </c>
      <c r="J2766" s="7">
        <v>6</v>
      </c>
      <c r="K2766" s="7">
        <v>1.4000000000000001</v>
      </c>
      <c r="L2766" s="5" t="s">
        <v>24843</v>
      </c>
      <c r="M2766" s="7">
        <v>0.4</v>
      </c>
      <c r="N2766" s="7">
        <v>0.4</v>
      </c>
      <c r="O2766" s="7">
        <v>0.53400000000000003</v>
      </c>
      <c r="P2766" s="1" t="s">
        <v>24844</v>
      </c>
    </row>
    <row r="2767" spans="1:16" ht="49.75" x14ac:dyDescent="0.3">
      <c r="A2767" s="6" t="str">
        <f>HYPERLINK("https://www.ti.com/product/TLC5949", "TLC5949")</f>
        <v>TLC5949</v>
      </c>
      <c r="B2767" s="5" t="s">
        <v>24845</v>
      </c>
      <c r="C2767" s="6" t="str">
        <f>HYPERLINK("https://www.ti.com/lit/gpn/TLC5949", "PDF")</f>
        <v>PDF</v>
      </c>
      <c r="D2767" s="5" t="s">
        <v>24846</v>
      </c>
      <c r="E2767" s="5" t="s">
        <v>24847</v>
      </c>
      <c r="F2767" s="5"/>
      <c r="G2767" s="5" t="s">
        <v>24848</v>
      </c>
      <c r="H2767" s="1" t="s">
        <v>24849</v>
      </c>
      <c r="I2767" s="5" t="s">
        <v>24850</v>
      </c>
      <c r="J2767" s="7">
        <v>24</v>
      </c>
      <c r="K2767" s="7" t="s">
        <v>24851</v>
      </c>
      <c r="L2767" s="5" t="s">
        <v>24852</v>
      </c>
      <c r="M2767" s="7" t="s">
        <v>24853</v>
      </c>
      <c r="N2767" s="7" t="s">
        <v>24854</v>
      </c>
      <c r="O2767" s="7">
        <v>1.0629999999999999</v>
      </c>
      <c r="P2767" s="1" t="s">
        <v>24855</v>
      </c>
    </row>
    <row r="2768" spans="1:16" ht="33.4" x14ac:dyDescent="0.3">
      <c r="A2768" s="6" t="str">
        <f>HYPERLINK("https://www.ti.com/product/TPS65175", "TPS65175")</f>
        <v>TPS65175</v>
      </c>
      <c r="B2768" s="5" t="s">
        <v>24856</v>
      </c>
      <c r="C2768" s="6" t="str">
        <f>HYPERLINK("https://www.ti.com/lit/gpn/TPS65175", "PDF")</f>
        <v>PDF</v>
      </c>
      <c r="D2768" s="5" t="s">
        <v>24857</v>
      </c>
      <c r="E2768" s="5" t="s">
        <v>24858</v>
      </c>
      <c r="F2768" s="5" t="s">
        <v>24859</v>
      </c>
      <c r="G2768" s="5" t="s">
        <v>24860</v>
      </c>
      <c r="H2768" s="1" t="s">
        <v>24861</v>
      </c>
      <c r="I2768" s="5" t="s">
        <v>24862</v>
      </c>
      <c r="J2768" s="7">
        <v>56</v>
      </c>
      <c r="K2768" s="7">
        <v>49</v>
      </c>
      <c r="L2768" s="5" t="s">
        <v>24863</v>
      </c>
      <c r="M2768" s="7">
        <v>1</v>
      </c>
      <c r="N2768" s="7">
        <v>0.4</v>
      </c>
      <c r="O2768" s="7">
        <v>0.81</v>
      </c>
      <c r="P2768" s="1" t="s">
        <v>24864</v>
      </c>
    </row>
    <row r="2769" spans="1:16" ht="33.4" x14ac:dyDescent="0.3">
      <c r="A2769" s="6" t="str">
        <f>HYPERLINK("https://www.ti.com/product/TPS50301-HT", "TPS50301-HT")</f>
        <v>TPS50301-HT</v>
      </c>
      <c r="B2769" s="5" t="s">
        <v>24865</v>
      </c>
      <c r="C2769" s="6" t="str">
        <f>HYPERLINK("https://www.ti.com/lit/gpn/TPS50301-HT", "PDF")</f>
        <v>PDF</v>
      </c>
      <c r="D2769" s="5" t="s">
        <v>24866</v>
      </c>
      <c r="E2769" s="5" t="s">
        <v>24867</v>
      </c>
      <c r="F2769" s="5" t="s">
        <v>24868</v>
      </c>
      <c r="G2769" s="5" t="s">
        <v>24869</v>
      </c>
      <c r="H2769" s="1" t="s">
        <v>24870</v>
      </c>
      <c r="I2769" s="5" t="s">
        <v>24871</v>
      </c>
      <c r="J2769" s="7">
        <v>20</v>
      </c>
      <c r="K2769" s="7">
        <v>93.725999999999999</v>
      </c>
      <c r="L2769" s="5" t="s">
        <v>24872</v>
      </c>
      <c r="M2769" s="7">
        <v>2.54</v>
      </c>
      <c r="N2769" s="7">
        <v>1.27</v>
      </c>
      <c r="O2769" s="7">
        <v>1437.5</v>
      </c>
      <c r="P2769" s="1" t="s">
        <v>24873</v>
      </c>
    </row>
    <row r="2770" spans="1:16" ht="33.4" x14ac:dyDescent="0.3">
      <c r="A2770" s="6" t="str">
        <f>HYPERLINK("https://www.ti.com/product/TPS51604", "TPS51604")</f>
        <v>TPS51604</v>
      </c>
      <c r="B2770" s="5" t="s">
        <v>24874</v>
      </c>
      <c r="C2770" s="6" t="str">
        <f>HYPERLINK("https://www.ti.com/lit/gpn/TPS51604", "PDF")</f>
        <v>PDF</v>
      </c>
      <c r="D2770" s="5" t="s">
        <v>24875</v>
      </c>
      <c r="E2770" s="5" t="s">
        <v>24876</v>
      </c>
      <c r="F2770" s="5"/>
      <c r="G2770" s="5" t="s">
        <v>24877</v>
      </c>
      <c r="H2770" s="1" t="s">
        <v>24878</v>
      </c>
      <c r="I2770" s="5" t="s">
        <v>24879</v>
      </c>
      <c r="J2770" s="7">
        <v>8</v>
      </c>
      <c r="K2770" s="7">
        <v>4</v>
      </c>
      <c r="L2770" s="5" t="s">
        <v>24880</v>
      </c>
      <c r="M2770" s="7">
        <v>0.8</v>
      </c>
      <c r="N2770" s="7">
        <v>0.5</v>
      </c>
      <c r="O2770" s="7">
        <v>0.65900000000000003</v>
      </c>
      <c r="P2770" s="1" t="s">
        <v>24881</v>
      </c>
    </row>
    <row r="2771" spans="1:16" ht="33.4" x14ac:dyDescent="0.3">
      <c r="A2771" s="6" t="str">
        <f>HYPERLINK("https://www.ti.com/product/TPS61176", "TPS61176")</f>
        <v>TPS61176</v>
      </c>
      <c r="B2771" s="5" t="s">
        <v>24882</v>
      </c>
      <c r="C2771" s="6" t="str">
        <f>HYPERLINK("https://www.ti.com/lit/gpn/TPS61176", "PDF")</f>
        <v>PDF</v>
      </c>
      <c r="D2771" s="5" t="s">
        <v>24883</v>
      </c>
      <c r="E2771" s="5" t="s">
        <v>24884</v>
      </c>
      <c r="F2771" s="5" t="s">
        <v>24885</v>
      </c>
      <c r="G2771" s="5" t="s">
        <v>24886</v>
      </c>
      <c r="H2771" s="1" t="s">
        <v>24887</v>
      </c>
      <c r="I2771" s="5" t="s">
        <v>24888</v>
      </c>
      <c r="J2771" s="7">
        <v>16</v>
      </c>
      <c r="K2771" s="7">
        <v>9</v>
      </c>
      <c r="L2771" s="5" t="s">
        <v>24889</v>
      </c>
      <c r="M2771" s="7">
        <v>0.8</v>
      </c>
      <c r="N2771" s="7">
        <v>0.5</v>
      </c>
      <c r="O2771" s="7">
        <v>0.78500000000000003</v>
      </c>
      <c r="P2771" s="1" t="s">
        <v>24890</v>
      </c>
    </row>
    <row r="2772" spans="1:16" ht="33.4" x14ac:dyDescent="0.3">
      <c r="A2772" s="6" t="str">
        <f>HYPERLINK("https://www.ti.com/product/UCC28702", "UCC28702")</f>
        <v>UCC28702</v>
      </c>
      <c r="B2772" s="5" t="s">
        <v>24891</v>
      </c>
      <c r="C2772" s="6" t="str">
        <f>HYPERLINK("https://www.ti.com/lit/gpn/UCC28702", "PDF")</f>
        <v>PDF</v>
      </c>
      <c r="D2772" s="5" t="s">
        <v>24892</v>
      </c>
      <c r="E2772" s="5" t="s">
        <v>24893</v>
      </c>
      <c r="F2772" s="5" t="s">
        <v>24894</v>
      </c>
      <c r="G2772" s="5" t="s">
        <v>24895</v>
      </c>
      <c r="H2772" s="1" t="s">
        <v>24896</v>
      </c>
      <c r="I2772" s="5" t="s">
        <v>24897</v>
      </c>
      <c r="J2772" s="7">
        <v>6</v>
      </c>
      <c r="K2772" s="7">
        <v>8.1199999999999992</v>
      </c>
      <c r="L2772" s="5" t="s">
        <v>24898</v>
      </c>
      <c r="M2772" s="7">
        <v>1.45</v>
      </c>
      <c r="N2772" s="7">
        <v>0.95</v>
      </c>
      <c r="O2772" s="7">
        <v>0.443</v>
      </c>
      <c r="P2772" s="1" t="s">
        <v>24899</v>
      </c>
    </row>
    <row r="2773" spans="1:16" ht="33.4" x14ac:dyDescent="0.3">
      <c r="A2773" s="6" t="str">
        <f>HYPERLINK("https://www.ti.com/product/UCC28703", "UCC28703")</f>
        <v>UCC28703</v>
      </c>
      <c r="B2773" s="5" t="s">
        <v>24900</v>
      </c>
      <c r="C2773" s="6" t="str">
        <f>HYPERLINK("https://www.ti.com/lit/gpn/UCC28703", "PDF")</f>
        <v>PDF</v>
      </c>
      <c r="D2773" s="5" t="s">
        <v>24901</v>
      </c>
      <c r="E2773" s="5" t="s">
        <v>24902</v>
      </c>
      <c r="F2773" s="5" t="s">
        <v>24903</v>
      </c>
      <c r="G2773" s="5" t="s">
        <v>24904</v>
      </c>
      <c r="H2773" s="1" t="s">
        <v>24905</v>
      </c>
      <c r="I2773" s="5" t="s">
        <v>24906</v>
      </c>
      <c r="J2773" s="7">
        <v>6</v>
      </c>
      <c r="K2773" s="7">
        <v>8.1199999999999992</v>
      </c>
      <c r="L2773" s="5" t="s">
        <v>24907</v>
      </c>
      <c r="M2773" s="7">
        <v>1.45</v>
      </c>
      <c r="N2773" s="7">
        <v>0.95</v>
      </c>
      <c r="O2773" s="7">
        <v>0.443</v>
      </c>
      <c r="P2773" s="1" t="s">
        <v>24908</v>
      </c>
    </row>
    <row r="2774" spans="1:16" ht="33.4" x14ac:dyDescent="0.3">
      <c r="A2774" s="6" t="str">
        <f>HYPERLINK("https://www.ti.com/product/CSD16556Q5B", "CSD16556Q5B")</f>
        <v>CSD16556Q5B</v>
      </c>
      <c r="B2774" s="5" t="s">
        <v>24909</v>
      </c>
      <c r="C2774" s="6" t="str">
        <f>HYPERLINK("https://www.ti.com/lit/gpn/CSD16556Q5B", "PDF")</f>
        <v>PDF</v>
      </c>
      <c r="D2774" s="5" t="s">
        <v>24910</v>
      </c>
      <c r="E2774" s="5" t="s">
        <v>24911</v>
      </c>
      <c r="F2774" s="5"/>
      <c r="G2774" s="5" t="s">
        <v>24912</v>
      </c>
      <c r="H2774" s="1" t="s">
        <v>24913</v>
      </c>
      <c r="I2774" s="5" t="s">
        <v>24914</v>
      </c>
      <c r="J2774" s="7">
        <v>8</v>
      </c>
      <c r="K2774" s="7">
        <v>30</v>
      </c>
      <c r="L2774" s="5" t="s">
        <v>24915</v>
      </c>
      <c r="M2774" s="7">
        <v>1</v>
      </c>
      <c r="N2774" s="7">
        <v>1.27</v>
      </c>
      <c r="O2774" s="7">
        <v>0.75</v>
      </c>
      <c r="P2774" s="1" t="s">
        <v>24916</v>
      </c>
    </row>
    <row r="2775" spans="1:16" ht="33.4" x14ac:dyDescent="0.3">
      <c r="A2775" s="6" t="str">
        <f>HYPERLINK("https://www.ti.com/product/CSD18502Q5B", "CSD18502Q5B")</f>
        <v>CSD18502Q5B</v>
      </c>
      <c r="B2775" s="5" t="s">
        <v>24917</v>
      </c>
      <c r="C2775" s="6" t="str">
        <f>HYPERLINK("https://www.ti.com/lit/gpn/CSD18502Q5B", "PDF")</f>
        <v>PDF</v>
      </c>
      <c r="D2775" s="5" t="s">
        <v>24918</v>
      </c>
      <c r="E2775" s="5" t="s">
        <v>24919</v>
      </c>
      <c r="F2775" s="5"/>
      <c r="G2775" s="5" t="s">
        <v>24920</v>
      </c>
      <c r="H2775" s="1" t="s">
        <v>24921</v>
      </c>
      <c r="I2775" s="5" t="s">
        <v>24922</v>
      </c>
      <c r="J2775" s="7">
        <v>8</v>
      </c>
      <c r="K2775" s="7">
        <v>30</v>
      </c>
      <c r="L2775" s="5" t="s">
        <v>24923</v>
      </c>
      <c r="M2775" s="7">
        <v>1</v>
      </c>
      <c r="N2775" s="7">
        <v>1.27</v>
      </c>
      <c r="O2775" s="7">
        <v>0.84099999999999997</v>
      </c>
      <c r="P2775" s="1" t="s">
        <v>24924</v>
      </c>
    </row>
    <row r="2776" spans="1:16" ht="33.4" x14ac:dyDescent="0.3">
      <c r="A2776" s="6" t="str">
        <f>HYPERLINK("https://www.ti.com/product/CSD18532Q5B", "CSD18532Q5B")</f>
        <v>CSD18532Q5B</v>
      </c>
      <c r="B2776" s="5" t="s">
        <v>24925</v>
      </c>
      <c r="C2776" s="6" t="str">
        <f>HYPERLINK("https://www.ti.com/lit/gpn/CSD18532Q5B", "PDF")</f>
        <v>PDF</v>
      </c>
      <c r="D2776" s="5" t="s">
        <v>24926</v>
      </c>
      <c r="E2776" s="5" t="s">
        <v>24927</v>
      </c>
      <c r="F2776" s="5"/>
      <c r="G2776" s="5" t="s">
        <v>24928</v>
      </c>
      <c r="H2776" s="1" t="s">
        <v>24929</v>
      </c>
      <c r="I2776" s="5" t="s">
        <v>24930</v>
      </c>
      <c r="J2776" s="7">
        <v>8</v>
      </c>
      <c r="K2776" s="7">
        <v>30</v>
      </c>
      <c r="L2776" s="5" t="s">
        <v>24931</v>
      </c>
      <c r="M2776" s="7">
        <v>1</v>
      </c>
      <c r="N2776" s="7">
        <v>1.27</v>
      </c>
      <c r="O2776" s="7">
        <v>0.73</v>
      </c>
      <c r="P2776" s="1" t="s">
        <v>24932</v>
      </c>
    </row>
    <row r="2777" spans="1:16" ht="17.05" x14ac:dyDescent="0.3">
      <c r="A2777" s="6" t="str">
        <f>HYPERLINK("https://www.ti.com/product/CSD96371Q5M", "CSD96371Q5M")</f>
        <v>CSD96371Q5M</v>
      </c>
      <c r="B2777" s="5" t="s">
        <v>24933</v>
      </c>
      <c r="C2777" s="6" t="str">
        <f>HYPERLINK("https://www.ti.com/lit/gpn/CSD96371Q5M", "PDF")</f>
        <v>PDF</v>
      </c>
      <c r="D2777" s="5" t="s">
        <v>24934</v>
      </c>
      <c r="E2777" s="5" t="s">
        <v>24935</v>
      </c>
      <c r="F2777" s="5"/>
      <c r="G2777" s="5" t="s">
        <v>24936</v>
      </c>
      <c r="H2777" s="1" t="s">
        <v>24937</v>
      </c>
      <c r="I2777" s="5" t="s">
        <v>24938</v>
      </c>
      <c r="J2777" s="7">
        <v>22</v>
      </c>
      <c r="K2777" s="7">
        <v>30</v>
      </c>
      <c r="L2777" s="5" t="s">
        <v>24939</v>
      </c>
      <c r="M2777" s="7">
        <v>1.5</v>
      </c>
      <c r="N2777" s="7">
        <v>0.5</v>
      </c>
      <c r="O2777" s="7">
        <v>1.4490000000000001</v>
      </c>
      <c r="P2777" s="1" t="s">
        <v>24940</v>
      </c>
    </row>
    <row r="2778" spans="1:16" ht="33.4" x14ac:dyDescent="0.3">
      <c r="A2778" s="6" t="str">
        <f>HYPERLINK("https://www.ti.com/product/TPS62732", "TPS62732")</f>
        <v>TPS62732</v>
      </c>
      <c r="B2778" s="5" t="s">
        <v>24941</v>
      </c>
      <c r="C2778" s="6" t="str">
        <f>HYPERLINK("https://www.ti.com/lit/gpn/TPS62732", "PDF")</f>
        <v>PDF</v>
      </c>
      <c r="D2778" s="5" t="s">
        <v>24942</v>
      </c>
      <c r="E2778" s="5" t="s">
        <v>24943</v>
      </c>
      <c r="F2778" s="5" t="s">
        <v>24944</v>
      </c>
      <c r="G2778" s="5" t="s">
        <v>24945</v>
      </c>
      <c r="H2778" s="1" t="s">
        <v>24946</v>
      </c>
      <c r="I2778" s="5" t="s">
        <v>24947</v>
      </c>
      <c r="J2778" s="7">
        <v>6</v>
      </c>
      <c r="K2778" s="7">
        <v>1.45</v>
      </c>
      <c r="L2778" s="5" t="s">
        <v>24948</v>
      </c>
      <c r="M2778" s="7">
        <v>0.6</v>
      </c>
      <c r="N2778" s="7">
        <v>0.5</v>
      </c>
      <c r="O2778" s="7">
        <v>0.49</v>
      </c>
      <c r="P2778" s="1" t="s">
        <v>24949</v>
      </c>
    </row>
    <row r="2779" spans="1:16" ht="33.4" x14ac:dyDescent="0.3">
      <c r="A2779" s="6" t="str">
        <f>HYPERLINK("https://www.ti.com/product/CSD17552Q5A", "CSD17552Q5A")</f>
        <v>CSD17552Q5A</v>
      </c>
      <c r="B2779" s="5" t="s">
        <v>24950</v>
      </c>
      <c r="C2779" s="6" t="str">
        <f>HYPERLINK("https://www.ti.com/lit/gpn/CSD17552Q5A", "PDF")</f>
        <v>PDF</v>
      </c>
      <c r="D2779" s="5" t="s">
        <v>24951</v>
      </c>
      <c r="E2779" s="5" t="s">
        <v>24952</v>
      </c>
      <c r="F2779" s="5"/>
      <c r="G2779" s="5" t="s">
        <v>24953</v>
      </c>
      <c r="H2779" s="1" t="s">
        <v>24954</v>
      </c>
      <c r="I2779" s="5" t="s">
        <v>24955</v>
      </c>
      <c r="J2779" s="7">
        <v>8</v>
      </c>
      <c r="K2779" s="7">
        <v>29.4</v>
      </c>
      <c r="L2779" s="5" t="s">
        <v>24956</v>
      </c>
      <c r="M2779" s="7">
        <v>1.1000000000000001</v>
      </c>
      <c r="N2779" s="7">
        <v>1.27</v>
      </c>
      <c r="O2779" s="7">
        <v>0.29899999999999999</v>
      </c>
      <c r="P2779" s="1" t="s">
        <v>24957</v>
      </c>
    </row>
    <row r="2780" spans="1:16" ht="33.4" x14ac:dyDescent="0.3">
      <c r="A2780" s="6" t="str">
        <f>HYPERLINK("https://www.ti.com/product/UCC27531", "UCC27531")</f>
        <v>UCC27531</v>
      </c>
      <c r="B2780" s="5" t="s">
        <v>24958</v>
      </c>
      <c r="C2780" s="6" t="str">
        <f>HYPERLINK("https://www.ti.com/lit/gpn/UCC27531", "PDF")</f>
        <v>PDF</v>
      </c>
      <c r="D2780" s="5" t="s">
        <v>24959</v>
      </c>
      <c r="E2780" s="5" t="s">
        <v>24960</v>
      </c>
      <c r="F2780" s="5"/>
      <c r="G2780" s="5" t="s">
        <v>24961</v>
      </c>
      <c r="H2780" s="1" t="s">
        <v>24962</v>
      </c>
      <c r="I2780" s="5" t="s">
        <v>24963</v>
      </c>
      <c r="J2780" s="7" t="s">
        <v>24964</v>
      </c>
      <c r="K2780" s="7" t="s">
        <v>24965</v>
      </c>
      <c r="L2780" s="5" t="s">
        <v>24966</v>
      </c>
      <c r="M2780" s="7" t="s">
        <v>24967</v>
      </c>
      <c r="N2780" s="7" t="s">
        <v>24968</v>
      </c>
      <c r="O2780" s="7">
        <v>0.49199999999999999</v>
      </c>
      <c r="P2780" s="1" t="s">
        <v>24969</v>
      </c>
    </row>
    <row r="2781" spans="1:16" ht="33.4" x14ac:dyDescent="0.3">
      <c r="A2781" s="6" t="str">
        <f>HYPERLINK("https://www.ti.com/product/CSD17559Q5", "CSD17559Q5")</f>
        <v>CSD17559Q5</v>
      </c>
      <c r="B2781" s="5" t="s">
        <v>24970</v>
      </c>
      <c r="C2781" s="6" t="str">
        <f>HYPERLINK("https://www.ti.com/lit/gpn/CSD17559Q5", "PDF")</f>
        <v>PDF</v>
      </c>
      <c r="D2781" s="5" t="s">
        <v>24971</v>
      </c>
      <c r="E2781" s="5" t="s">
        <v>24972</v>
      </c>
      <c r="F2781" s="5"/>
      <c r="G2781" s="5" t="s">
        <v>24973</v>
      </c>
      <c r="H2781" s="1" t="s">
        <v>24974</v>
      </c>
      <c r="I2781" s="5" t="s">
        <v>24975</v>
      </c>
      <c r="J2781" s="7">
        <v>8</v>
      </c>
      <c r="K2781" s="7">
        <v>30</v>
      </c>
      <c r="L2781" s="5" t="s">
        <v>24976</v>
      </c>
      <c r="M2781" s="7">
        <v>1.05</v>
      </c>
      <c r="N2781" s="7">
        <v>1.27</v>
      </c>
      <c r="O2781" s="7">
        <v>0.90500000000000003</v>
      </c>
      <c r="P2781" s="1" t="s">
        <v>24977</v>
      </c>
    </row>
    <row r="2782" spans="1:16" ht="33.4" x14ac:dyDescent="0.3">
      <c r="A2782" s="6" t="str">
        <f>HYPERLINK("https://www.ti.com/product/CSD18504KCS", "CSD18504KCS")</f>
        <v>CSD18504KCS</v>
      </c>
      <c r="B2782" s="5" t="s">
        <v>24978</v>
      </c>
      <c r="C2782" s="6" t="str">
        <f>HYPERLINK("https://www.ti.com/lit/gpn/CSD18504KCS", "PDF")</f>
        <v>PDF</v>
      </c>
      <c r="D2782" s="5" t="s">
        <v>24979</v>
      </c>
      <c r="E2782" s="5" t="s">
        <v>24980</v>
      </c>
      <c r="F2782" s="5"/>
      <c r="G2782" s="5" t="s">
        <v>24981</v>
      </c>
      <c r="H2782" s="1" t="s">
        <v>24982</v>
      </c>
      <c r="I2782" s="5" t="s">
        <v>24983</v>
      </c>
      <c r="J2782" s="7">
        <v>3</v>
      </c>
      <c r="K2782" s="7">
        <v>46.228000000000002</v>
      </c>
      <c r="L2782" s="5" t="s">
        <v>24984</v>
      </c>
      <c r="M2782" s="7">
        <v>4.7</v>
      </c>
      <c r="N2782" s="7">
        <v>2.54</v>
      </c>
      <c r="O2782" s="7">
        <v>0.44600000000000001</v>
      </c>
      <c r="P2782" s="1" t="s">
        <v>24985</v>
      </c>
    </row>
    <row r="2783" spans="1:16" ht="33.4" x14ac:dyDescent="0.3">
      <c r="A2783" s="6" t="str">
        <f>HYPERLINK("https://www.ti.com/product/CSD18534Q5A", "CSD18534Q5A")</f>
        <v>CSD18534Q5A</v>
      </c>
      <c r="B2783" s="5" t="s">
        <v>24986</v>
      </c>
      <c r="C2783" s="6" t="str">
        <f>HYPERLINK("https://www.ti.com/lit/gpn/CSD18534Q5A", "PDF")</f>
        <v>PDF</v>
      </c>
      <c r="D2783" s="5" t="s">
        <v>24987</v>
      </c>
      <c r="E2783" s="5" t="s">
        <v>24988</v>
      </c>
      <c r="F2783" s="5"/>
      <c r="G2783" s="5" t="s">
        <v>24989</v>
      </c>
      <c r="H2783" s="1" t="s">
        <v>24990</v>
      </c>
      <c r="I2783" s="5" t="s">
        <v>24991</v>
      </c>
      <c r="J2783" s="7">
        <v>8</v>
      </c>
      <c r="K2783" s="7">
        <v>29.4</v>
      </c>
      <c r="L2783" s="5" t="s">
        <v>24992</v>
      </c>
      <c r="M2783" s="7">
        <v>1.1000000000000001</v>
      </c>
      <c r="N2783" s="7">
        <v>1.27</v>
      </c>
      <c r="O2783" s="7">
        <v>0.28000000000000003</v>
      </c>
      <c r="P2783" s="1" t="s">
        <v>24993</v>
      </c>
    </row>
    <row r="2784" spans="1:16" ht="66.150000000000006" x14ac:dyDescent="0.3">
      <c r="A2784" s="6" t="str">
        <f>HYPERLINK("https://www.ti.com/product/TPS7A4501-SP", "TPS7A4501-SP")</f>
        <v>TPS7A4501-SP</v>
      </c>
      <c r="B2784" s="5" t="s">
        <v>24994</v>
      </c>
      <c r="C2784" s="6" t="str">
        <f>HYPERLINK("https://www.ti.com/lit/gpn/TPS7A4501-SP", "PDF")</f>
        <v>PDF</v>
      </c>
      <c r="D2784" s="5" t="s">
        <v>24995</v>
      </c>
      <c r="E2784" s="5" t="s">
        <v>24996</v>
      </c>
      <c r="F2784" s="5"/>
      <c r="G2784" s="5" t="s">
        <v>24997</v>
      </c>
      <c r="H2784" s="1" t="s">
        <v>24998</v>
      </c>
      <c r="I2784" s="5" t="s">
        <v>24999</v>
      </c>
      <c r="J2784" s="7" t="s">
        <v>25000</v>
      </c>
      <c r="K2784" s="7" t="s">
        <v>25001</v>
      </c>
      <c r="L2784" s="5" t="s">
        <v>25002</v>
      </c>
      <c r="M2784" s="7" t="s">
        <v>25003</v>
      </c>
      <c r="N2784" s="7" t="s">
        <v>25004</v>
      </c>
      <c r="O2784" s="7">
        <v>971.995</v>
      </c>
      <c r="P2784" s="1" t="s">
        <v>25005</v>
      </c>
    </row>
    <row r="2785" spans="1:16" ht="33.4" x14ac:dyDescent="0.3">
      <c r="A2785" s="6" t="str">
        <f>HYPERLINK("https://www.ti.com/product/TPS2002C", "TPS2002C")</f>
        <v>TPS2002C</v>
      </c>
      <c r="B2785" s="5" t="s">
        <v>25006</v>
      </c>
      <c r="C2785" s="6" t="str">
        <f>HYPERLINK("https://www.ti.com/lit/gpn/TPS2002C", "PDF")</f>
        <v>PDF</v>
      </c>
      <c r="D2785" s="5" t="s">
        <v>25007</v>
      </c>
      <c r="E2785" s="5" t="s">
        <v>25008</v>
      </c>
      <c r="F2785" s="5"/>
      <c r="G2785" s="5" t="s">
        <v>25009</v>
      </c>
      <c r="H2785" s="1" t="s">
        <v>25010</v>
      </c>
      <c r="I2785" s="5" t="s">
        <v>25011</v>
      </c>
      <c r="J2785" s="7">
        <v>10</v>
      </c>
      <c r="K2785" s="7">
        <v>9</v>
      </c>
      <c r="L2785" s="5" t="s">
        <v>25012</v>
      </c>
      <c r="M2785" s="7">
        <v>1</v>
      </c>
      <c r="N2785" s="7">
        <v>0.5</v>
      </c>
      <c r="O2785" s="7">
        <v>0.46</v>
      </c>
      <c r="P2785" s="1" t="s">
        <v>25013</v>
      </c>
    </row>
    <row r="2786" spans="1:16" ht="33.4" x14ac:dyDescent="0.3">
      <c r="A2786" s="6" t="str">
        <f>HYPERLINK("https://www.ti.com/product/TPS2003C", "TPS2003C")</f>
        <v>TPS2003C</v>
      </c>
      <c r="B2786" s="5" t="s">
        <v>25014</v>
      </c>
      <c r="C2786" s="6" t="str">
        <f>HYPERLINK("https://www.ti.com/lit/gpn/TPS2003C", "PDF")</f>
        <v>PDF</v>
      </c>
      <c r="D2786" s="5" t="s">
        <v>25015</v>
      </c>
      <c r="E2786" s="5" t="s">
        <v>25016</v>
      </c>
      <c r="F2786" s="5"/>
      <c r="G2786" s="5" t="s">
        <v>25017</v>
      </c>
      <c r="H2786" s="1" t="s">
        <v>25018</v>
      </c>
      <c r="I2786" s="5" t="s">
        <v>25019</v>
      </c>
      <c r="J2786" s="7">
        <v>10</v>
      </c>
      <c r="K2786" s="7">
        <v>9</v>
      </c>
      <c r="L2786" s="5" t="s">
        <v>25020</v>
      </c>
      <c r="M2786" s="7">
        <v>1</v>
      </c>
      <c r="N2786" s="7">
        <v>0.5</v>
      </c>
      <c r="O2786" s="7">
        <v>0.46</v>
      </c>
      <c r="P2786" s="1" t="s">
        <v>25021</v>
      </c>
    </row>
    <row r="2787" spans="1:16" ht="33.4" x14ac:dyDescent="0.3">
      <c r="A2787" s="6" t="str">
        <f>HYPERLINK("https://www.ti.com/product/TPS22981", "TPS22981")</f>
        <v>TPS22981</v>
      </c>
      <c r="B2787" s="5" t="s">
        <v>25022</v>
      </c>
      <c r="C2787" s="6" t="str">
        <f>HYPERLINK("https://www.ti.com/lit/gpn/TPS22981", "PDF")</f>
        <v>PDF</v>
      </c>
      <c r="D2787" s="5" t="s">
        <v>25023</v>
      </c>
      <c r="E2787" s="5" t="s">
        <v>25024</v>
      </c>
      <c r="F2787" s="5"/>
      <c r="G2787" s="5" t="s">
        <v>25025</v>
      </c>
      <c r="H2787" s="1" t="s">
        <v>25026</v>
      </c>
      <c r="I2787" s="5" t="s">
        <v>25027</v>
      </c>
      <c r="J2787" s="7">
        <v>20</v>
      </c>
      <c r="K2787" s="7">
        <v>16</v>
      </c>
      <c r="L2787" s="5" t="s">
        <v>25028</v>
      </c>
      <c r="M2787" s="7">
        <v>1</v>
      </c>
      <c r="N2787" s="7">
        <v>0.5</v>
      </c>
      <c r="O2787" s="7">
        <v>1.2250000000000001</v>
      </c>
      <c r="P2787" s="1" t="s">
        <v>25029</v>
      </c>
    </row>
    <row r="2788" spans="1:16" ht="33.4" x14ac:dyDescent="0.3">
      <c r="A2788" s="6" t="str">
        <f>HYPERLINK("https://www.ti.com/product/CSD87312Q3E", "CSD87312Q3E")</f>
        <v>CSD87312Q3E</v>
      </c>
      <c r="B2788" s="5" t="s">
        <v>25030</v>
      </c>
      <c r="C2788" s="6" t="str">
        <f>HYPERLINK("https://www.ti.com/lit/gpn/CSD87312Q3E", "PDF")</f>
        <v>PDF</v>
      </c>
      <c r="D2788" s="5" t="s">
        <v>25031</v>
      </c>
      <c r="E2788" s="5" t="s">
        <v>25032</v>
      </c>
      <c r="F2788" s="5"/>
      <c r="G2788" s="5" t="s">
        <v>25033</v>
      </c>
      <c r="H2788" s="1" t="s">
        <v>25034</v>
      </c>
      <c r="I2788" s="5" t="s">
        <v>25035</v>
      </c>
      <c r="J2788" s="7">
        <v>8</v>
      </c>
      <c r="K2788" s="7">
        <v>10.89</v>
      </c>
      <c r="L2788" s="5" t="s">
        <v>25036</v>
      </c>
      <c r="M2788" s="7">
        <v>1</v>
      </c>
      <c r="N2788" s="7">
        <v>0.65</v>
      </c>
      <c r="O2788" s="7">
        <v>0.43</v>
      </c>
      <c r="P2788" s="1" t="s">
        <v>25037</v>
      </c>
    </row>
    <row r="2789" spans="1:16" ht="33.4" x14ac:dyDescent="0.3">
      <c r="A2789" s="6" t="str">
        <f>HYPERLINK("https://www.ti.com/product/TPS43061", "TPS43061")</f>
        <v>TPS43061</v>
      </c>
      <c r="B2789" s="5" t="s">
        <v>25038</v>
      </c>
      <c r="C2789" s="6" t="str">
        <f>HYPERLINK("https://www.ti.com/lit/gpn/TPS43061", "PDF")</f>
        <v>PDF</v>
      </c>
      <c r="D2789" s="5" t="s">
        <v>25039</v>
      </c>
      <c r="E2789" s="5" t="s">
        <v>25040</v>
      </c>
      <c r="F2789" s="5" t="s">
        <v>25041</v>
      </c>
      <c r="G2789" s="5" t="s">
        <v>25042</v>
      </c>
      <c r="H2789" s="1" t="s">
        <v>25043</v>
      </c>
      <c r="I2789" s="5" t="s">
        <v>25044</v>
      </c>
      <c r="J2789" s="7">
        <v>16</v>
      </c>
      <c r="K2789" s="7">
        <v>9</v>
      </c>
      <c r="L2789" s="5" t="s">
        <v>25045</v>
      </c>
      <c r="M2789" s="7">
        <v>0.8</v>
      </c>
      <c r="N2789" s="7">
        <v>0.5</v>
      </c>
      <c r="O2789" s="7">
        <v>1.0880000000000001</v>
      </c>
      <c r="P2789" s="1" t="s">
        <v>25046</v>
      </c>
    </row>
    <row r="2790" spans="1:16" ht="33.4" x14ac:dyDescent="0.3">
      <c r="A2790" s="6" t="str">
        <f>HYPERLINK("https://www.ti.com/product/TPS2041C", "TPS2041C")</f>
        <v>TPS2041C</v>
      </c>
      <c r="B2790" s="5" t="s">
        <v>25047</v>
      </c>
      <c r="C2790" s="6" t="str">
        <f>HYPERLINK("https://www.ti.com/lit/gpn/TPS2041C", "PDF")</f>
        <v>PDF</v>
      </c>
      <c r="D2790" s="5" t="s">
        <v>25048</v>
      </c>
      <c r="E2790" s="5" t="s">
        <v>25049</v>
      </c>
      <c r="F2790" s="5"/>
      <c r="G2790" s="5" t="s">
        <v>25050</v>
      </c>
      <c r="H2790" s="1" t="s">
        <v>25051</v>
      </c>
      <c r="I2790" s="5" t="s">
        <v>25052</v>
      </c>
      <c r="J2790" s="7">
        <v>5</v>
      </c>
      <c r="K2790" s="7">
        <v>8.1199999999999992</v>
      </c>
      <c r="L2790" s="5" t="s">
        <v>25053</v>
      </c>
      <c r="M2790" s="7">
        <v>1.45</v>
      </c>
      <c r="N2790" s="7">
        <v>0.95</v>
      </c>
      <c r="O2790" s="7">
        <v>0.215</v>
      </c>
      <c r="P2790" s="1" t="s">
        <v>25054</v>
      </c>
    </row>
    <row r="2791" spans="1:16" ht="33.4" x14ac:dyDescent="0.3">
      <c r="A2791" s="6" t="str">
        <f>HYPERLINK("https://www.ti.com/product/TPS2052C", "TPS2052C")</f>
        <v>TPS2052C</v>
      </c>
      <c r="B2791" s="5" t="s">
        <v>25055</v>
      </c>
      <c r="C2791" s="6" t="str">
        <f>HYPERLINK("https://www.ti.com/lit/gpn/TPS2052C", "PDF")</f>
        <v>PDF</v>
      </c>
      <c r="D2791" s="5" t="s">
        <v>25056</v>
      </c>
      <c r="E2791" s="5" t="s">
        <v>25057</v>
      </c>
      <c r="F2791" s="5"/>
      <c r="G2791" s="5" t="s">
        <v>25058</v>
      </c>
      <c r="H2791" s="1" t="s">
        <v>25059</v>
      </c>
      <c r="I2791" s="5" t="s">
        <v>25060</v>
      </c>
      <c r="J2791" s="7">
        <v>8</v>
      </c>
      <c r="K2791" s="7">
        <v>14.7</v>
      </c>
      <c r="L2791" s="5" t="s">
        <v>25061</v>
      </c>
      <c r="M2791" s="7">
        <v>1.1000000000000001</v>
      </c>
      <c r="N2791" s="7">
        <v>0.65</v>
      </c>
      <c r="O2791" s="7">
        <v>0.65200000000000002</v>
      </c>
      <c r="P2791" s="1" t="s">
        <v>25062</v>
      </c>
    </row>
    <row r="2792" spans="1:16" ht="33.4" x14ac:dyDescent="0.3">
      <c r="A2792" s="6" t="str">
        <f>HYPERLINK("https://www.ti.com/product/TPS2061C", "TPS2061C")</f>
        <v>TPS2061C</v>
      </c>
      <c r="B2792" s="5" t="s">
        <v>25063</v>
      </c>
      <c r="C2792" s="6" t="str">
        <f>HYPERLINK("https://www.ti.com/lit/gpn/TPS2061C", "PDF")</f>
        <v>PDF</v>
      </c>
      <c r="D2792" s="5" t="s">
        <v>25064</v>
      </c>
      <c r="E2792" s="5" t="s">
        <v>25065</v>
      </c>
      <c r="F2792" s="5"/>
      <c r="G2792" s="5" t="s">
        <v>25066</v>
      </c>
      <c r="H2792" s="1" t="s">
        <v>25067</v>
      </c>
      <c r="I2792" s="5" t="s">
        <v>25068</v>
      </c>
      <c r="J2792" s="7" t="s">
        <v>25069</v>
      </c>
      <c r="K2792" s="7" t="s">
        <v>25070</v>
      </c>
      <c r="L2792" s="5" t="s">
        <v>25071</v>
      </c>
      <c r="M2792" s="7" t="s">
        <v>25072</v>
      </c>
      <c r="N2792" s="7" t="s">
        <v>25073</v>
      </c>
      <c r="O2792" s="7">
        <v>0.20399999999999999</v>
      </c>
      <c r="P2792" s="1" t="s">
        <v>25074</v>
      </c>
    </row>
    <row r="2793" spans="1:16" ht="33.4" x14ac:dyDescent="0.3">
      <c r="A2793" s="6" t="str">
        <f>HYPERLINK("https://www.ti.com/product/TPS2065C-2", "TPS2065C-2")</f>
        <v>TPS2065C-2</v>
      </c>
      <c r="B2793" s="5" t="s">
        <v>25075</v>
      </c>
      <c r="C2793" s="6" t="str">
        <f>HYPERLINK("https://www.ti.com/lit/gpn/TPS2065C-2", "PDF")</f>
        <v>PDF</v>
      </c>
      <c r="D2793" s="5" t="s">
        <v>25076</v>
      </c>
      <c r="E2793" s="5" t="s">
        <v>25077</v>
      </c>
      <c r="F2793" s="5"/>
      <c r="G2793" s="5" t="s">
        <v>25078</v>
      </c>
      <c r="H2793" s="1" t="s">
        <v>25079</v>
      </c>
      <c r="I2793" s="5" t="s">
        <v>25080</v>
      </c>
      <c r="J2793" s="7" t="s">
        <v>25081</v>
      </c>
      <c r="K2793" s="7" t="s">
        <v>25082</v>
      </c>
      <c r="L2793" s="5" t="s">
        <v>25083</v>
      </c>
      <c r="M2793" s="7" t="s">
        <v>25084</v>
      </c>
      <c r="N2793" s="7" t="s">
        <v>25085</v>
      </c>
      <c r="O2793" s="7">
        <v>0.26500000000000001</v>
      </c>
      <c r="P2793" s="1" t="s">
        <v>25086</v>
      </c>
    </row>
    <row r="2794" spans="1:16" ht="33.4" x14ac:dyDescent="0.3">
      <c r="A2794" s="6" t="str">
        <f>HYPERLINK("https://www.ti.com/product/TPS2068C", "TPS2068C")</f>
        <v>TPS2068C</v>
      </c>
      <c r="B2794" s="5" t="s">
        <v>25087</v>
      </c>
      <c r="C2794" s="6" t="str">
        <f>HYPERLINK("https://www.ti.com/lit/gpn/TPS2068C", "PDF")</f>
        <v>PDF</v>
      </c>
      <c r="D2794" s="5" t="s">
        <v>25088</v>
      </c>
      <c r="E2794" s="5" t="s">
        <v>25089</v>
      </c>
      <c r="F2794" s="5"/>
      <c r="G2794" s="5" t="s">
        <v>25090</v>
      </c>
      <c r="H2794" s="1" t="s">
        <v>25091</v>
      </c>
      <c r="I2794" s="5" t="s">
        <v>25092</v>
      </c>
      <c r="J2794" s="7">
        <v>8</v>
      </c>
      <c r="K2794" s="7">
        <v>14.7</v>
      </c>
      <c r="L2794" s="5" t="s">
        <v>25093</v>
      </c>
      <c r="M2794" s="7">
        <v>1.1000000000000001</v>
      </c>
      <c r="N2794" s="7">
        <v>0.65</v>
      </c>
      <c r="O2794" s="7">
        <v>0.30399999999999999</v>
      </c>
      <c r="P2794" s="1" t="s">
        <v>25094</v>
      </c>
    </row>
    <row r="2795" spans="1:16" ht="33.4" x14ac:dyDescent="0.3">
      <c r="A2795" s="6" t="str">
        <f>HYPERLINK("https://www.ti.com/product/TPS2069C-2", "TPS2069C-2")</f>
        <v>TPS2069C-2</v>
      </c>
      <c r="B2795" s="5" t="s">
        <v>25095</v>
      </c>
      <c r="C2795" s="6" t="str">
        <f>HYPERLINK("https://www.ti.com/lit/gpn/TPS2069C-2", "PDF")</f>
        <v>PDF</v>
      </c>
      <c r="D2795" s="5" t="s">
        <v>25096</v>
      </c>
      <c r="E2795" s="5" t="s">
        <v>25097</v>
      </c>
      <c r="F2795" s="5"/>
      <c r="G2795" s="5" t="s">
        <v>25098</v>
      </c>
      <c r="H2795" s="1" t="s">
        <v>25099</v>
      </c>
      <c r="I2795" s="5" t="s">
        <v>25100</v>
      </c>
      <c r="J2795" s="7">
        <v>8</v>
      </c>
      <c r="K2795" s="7">
        <v>14.7</v>
      </c>
      <c r="L2795" s="5" t="s">
        <v>25101</v>
      </c>
      <c r="M2795" s="7">
        <v>1.1000000000000001</v>
      </c>
      <c r="N2795" s="7">
        <v>0.65</v>
      </c>
      <c r="O2795" s="7">
        <v>0.30399999999999999</v>
      </c>
      <c r="P2795" s="1" t="s">
        <v>25102</v>
      </c>
    </row>
    <row r="2796" spans="1:16" ht="33.4" x14ac:dyDescent="0.3">
      <c r="A2796" s="6" t="str">
        <f>HYPERLINK("https://www.ti.com/product/TPS51716", "TPS51716")</f>
        <v>TPS51716</v>
      </c>
      <c r="B2796" s="5" t="s">
        <v>25103</v>
      </c>
      <c r="C2796" s="6" t="str">
        <f>HYPERLINK("https://www.ti.com/lit/gpn/TPS51716", "PDF")</f>
        <v>PDF</v>
      </c>
      <c r="D2796" s="5" t="s">
        <v>25104</v>
      </c>
      <c r="E2796" s="5" t="s">
        <v>25105</v>
      </c>
      <c r="F2796" s="5"/>
      <c r="G2796" s="5" t="s">
        <v>25106</v>
      </c>
      <c r="H2796" s="1" t="s">
        <v>25107</v>
      </c>
      <c r="I2796" s="5" t="s">
        <v>25108</v>
      </c>
      <c r="J2796" s="7">
        <v>20</v>
      </c>
      <c r="K2796" s="7">
        <v>9</v>
      </c>
      <c r="L2796" s="5" t="s">
        <v>25109</v>
      </c>
      <c r="M2796" s="7">
        <v>0.8</v>
      </c>
      <c r="N2796" s="7">
        <v>0.4</v>
      </c>
      <c r="O2796" s="7">
        <v>0.496</v>
      </c>
      <c r="P2796" s="1" t="s">
        <v>25110</v>
      </c>
    </row>
    <row r="2797" spans="1:16" ht="33.4" x14ac:dyDescent="0.3">
      <c r="A2797" s="6" t="str">
        <f>HYPERLINK("https://www.ti.com/product/TPS2553-Q1", "TPS2553-Q1")</f>
        <v>TPS2553-Q1</v>
      </c>
      <c r="B2797" s="5" t="s">
        <v>25111</v>
      </c>
      <c r="C2797" s="6" t="str">
        <f>HYPERLINK("https://www.ti.com/lit/gpn/TPS2553-Q1", "PDF")</f>
        <v>PDF</v>
      </c>
      <c r="D2797" s="5" t="s">
        <v>25112</v>
      </c>
      <c r="E2797" s="5" t="s">
        <v>25113</v>
      </c>
      <c r="F2797" s="5"/>
      <c r="G2797" s="5" t="s">
        <v>25114</v>
      </c>
      <c r="H2797" s="1" t="s">
        <v>25115</v>
      </c>
      <c r="I2797" s="5" t="s">
        <v>25116</v>
      </c>
      <c r="J2797" s="7">
        <v>6</v>
      </c>
      <c r="K2797" s="7">
        <v>8.1199999999999992</v>
      </c>
      <c r="L2797" s="5" t="s">
        <v>25117</v>
      </c>
      <c r="M2797" s="7">
        <v>1.45</v>
      </c>
      <c r="N2797" s="7">
        <v>0.95</v>
      </c>
      <c r="O2797" s="7">
        <v>0.47</v>
      </c>
      <c r="P2797" s="1" t="s">
        <v>25118</v>
      </c>
    </row>
    <row r="2798" spans="1:16" ht="33.4" x14ac:dyDescent="0.3">
      <c r="A2798" s="6" t="str">
        <f>HYPERLINK("https://www.ti.com/product/TPS62733", "TPS62733")</f>
        <v>TPS62733</v>
      </c>
      <c r="B2798" s="5" t="s">
        <v>25119</v>
      </c>
      <c r="C2798" s="6" t="str">
        <f>HYPERLINK("https://www.ti.com/lit/gpn/TPS62733", "PDF")</f>
        <v>PDF</v>
      </c>
      <c r="D2798" s="5" t="s">
        <v>25120</v>
      </c>
      <c r="E2798" s="5" t="s">
        <v>25121</v>
      </c>
      <c r="F2798" s="5" t="s">
        <v>25122</v>
      </c>
      <c r="G2798" s="5" t="s">
        <v>25123</v>
      </c>
      <c r="H2798" s="1" t="s">
        <v>25124</v>
      </c>
      <c r="I2798" s="5" t="s">
        <v>25125</v>
      </c>
      <c r="J2798" s="7">
        <v>6</v>
      </c>
      <c r="K2798" s="7">
        <v>1.45</v>
      </c>
      <c r="L2798" s="5" t="s">
        <v>25126</v>
      </c>
      <c r="M2798" s="7">
        <v>0.6</v>
      </c>
      <c r="N2798" s="7">
        <v>0.5</v>
      </c>
      <c r="O2798" s="7">
        <v>0.49</v>
      </c>
      <c r="P2798" s="1" t="s">
        <v>25127</v>
      </c>
    </row>
    <row r="2799" spans="1:16" ht="33.4" x14ac:dyDescent="0.3">
      <c r="A2799" s="6" t="str">
        <f>HYPERLINK("https://www.ti.com/product/UCD74111", "UCD74111")</f>
        <v>UCD74111</v>
      </c>
      <c r="B2799" s="5" t="s">
        <v>25128</v>
      </c>
      <c r="C2799" s="6" t="str">
        <f>HYPERLINK("https://www.ti.com/lit/gpn/UCD74111", "PDF")</f>
        <v>PDF</v>
      </c>
      <c r="D2799" s="5" t="s">
        <v>25129</v>
      </c>
      <c r="E2799" s="5" t="s">
        <v>25130</v>
      </c>
      <c r="F2799" s="5"/>
      <c r="G2799" s="5" t="s">
        <v>25131</v>
      </c>
      <c r="H2799" s="1" t="s">
        <v>25132</v>
      </c>
      <c r="I2799" s="5" t="s">
        <v>25133</v>
      </c>
      <c r="J2799" s="7">
        <v>40</v>
      </c>
      <c r="K2799" s="7">
        <v>35</v>
      </c>
      <c r="L2799" s="5" t="s">
        <v>25134</v>
      </c>
      <c r="M2799" s="7">
        <v>1.52</v>
      </c>
      <c r="N2799" s="7">
        <v>0.5</v>
      </c>
      <c r="O2799" s="7">
        <v>2.9849999999999999</v>
      </c>
      <c r="P2799" s="1" t="s">
        <v>25135</v>
      </c>
    </row>
    <row r="2800" spans="1:16" ht="33.4" x14ac:dyDescent="0.3">
      <c r="A2800" s="6" t="str">
        <f>HYPERLINK("https://www.ti.com/product/UCD74120", "UCD74120")</f>
        <v>UCD74120</v>
      </c>
      <c r="B2800" s="5" t="s">
        <v>25136</v>
      </c>
      <c r="C2800" s="6" t="str">
        <f>HYPERLINK("https://www.ti.com/lit/gpn/UCD74120", "PDF")</f>
        <v>PDF</v>
      </c>
      <c r="D2800" s="5" t="s">
        <v>25137</v>
      </c>
      <c r="E2800" s="5" t="s">
        <v>25138</v>
      </c>
      <c r="F2800" s="5"/>
      <c r="G2800" s="5" t="s">
        <v>25139</v>
      </c>
      <c r="H2800" s="1" t="s">
        <v>25140</v>
      </c>
      <c r="I2800" s="5" t="s">
        <v>25141</v>
      </c>
      <c r="J2800" s="7">
        <v>40</v>
      </c>
      <c r="K2800" s="7">
        <v>35</v>
      </c>
      <c r="L2800" s="5" t="s">
        <v>25142</v>
      </c>
      <c r="M2800" s="7">
        <v>1.52</v>
      </c>
      <c r="N2800" s="7">
        <v>0.5</v>
      </c>
      <c r="O2800" s="7">
        <v>3.9969999999999999</v>
      </c>
      <c r="P2800" s="1" t="s">
        <v>25143</v>
      </c>
    </row>
    <row r="2801" spans="1:16" ht="33.4" x14ac:dyDescent="0.3">
      <c r="A2801" s="6" t="str">
        <f>HYPERLINK("https://www.ti.com/product/UCC28710", "UCC28710")</f>
        <v>UCC28710</v>
      </c>
      <c r="B2801" s="5" t="s">
        <v>25144</v>
      </c>
      <c r="C2801" s="6" t="str">
        <f>HYPERLINK("https://www.ti.com/lit/gpn/UCC28710", "PDF")</f>
        <v>PDF</v>
      </c>
      <c r="D2801" s="5" t="s">
        <v>25145</v>
      </c>
      <c r="E2801" s="5" t="s">
        <v>25146</v>
      </c>
      <c r="F2801" s="5" t="s">
        <v>25147</v>
      </c>
      <c r="G2801" s="5" t="s">
        <v>25148</v>
      </c>
      <c r="H2801" s="1" t="s">
        <v>25149</v>
      </c>
      <c r="I2801" s="5" t="s">
        <v>25150</v>
      </c>
      <c r="J2801" s="7">
        <v>7</v>
      </c>
      <c r="K2801" s="7">
        <v>29.4</v>
      </c>
      <c r="L2801" s="5" t="s">
        <v>25151</v>
      </c>
      <c r="M2801" s="7">
        <v>1.75</v>
      </c>
      <c r="N2801" s="7">
        <v>1.27</v>
      </c>
      <c r="O2801" s="7">
        <v>0.53200000000000003</v>
      </c>
      <c r="P2801" s="1" t="s">
        <v>25152</v>
      </c>
    </row>
    <row r="2802" spans="1:16" ht="33.4" x14ac:dyDescent="0.3">
      <c r="A2802" s="6" t="str">
        <f>HYPERLINK("https://www.ti.com/product/UCC28711", "UCC28711")</f>
        <v>UCC28711</v>
      </c>
      <c r="B2802" s="5" t="s">
        <v>25153</v>
      </c>
      <c r="C2802" s="6" t="str">
        <f>HYPERLINK("https://www.ti.com/lit/gpn/UCC28711", "PDF")</f>
        <v>PDF</v>
      </c>
      <c r="D2802" s="5" t="s">
        <v>25154</v>
      </c>
      <c r="E2802" s="5" t="s">
        <v>25155</v>
      </c>
      <c r="F2802" s="5" t="s">
        <v>25156</v>
      </c>
      <c r="G2802" s="5" t="s">
        <v>25157</v>
      </c>
      <c r="H2802" s="1" t="s">
        <v>25158</v>
      </c>
      <c r="I2802" s="5" t="s">
        <v>25159</v>
      </c>
      <c r="J2802" s="7">
        <v>7</v>
      </c>
      <c r="K2802" s="7">
        <v>29.4</v>
      </c>
      <c r="L2802" s="5" t="s">
        <v>25160</v>
      </c>
      <c r="M2802" s="7">
        <v>1.75</v>
      </c>
      <c r="N2802" s="7">
        <v>1.27</v>
      </c>
      <c r="O2802" s="7">
        <v>0.53200000000000003</v>
      </c>
      <c r="P2802" s="1" t="s">
        <v>25161</v>
      </c>
    </row>
    <row r="2803" spans="1:16" ht="33.4" x14ac:dyDescent="0.3">
      <c r="A2803" s="6" t="str">
        <f>HYPERLINK("https://www.ti.com/product/TPS53819A", "TPS53819A")</f>
        <v>TPS53819A</v>
      </c>
      <c r="B2803" s="5" t="s">
        <v>25162</v>
      </c>
      <c r="C2803" s="6" t="str">
        <f>HYPERLINK("https://www.ti.com/lit/gpn/TPS53819A", "PDF")</f>
        <v>PDF</v>
      </c>
      <c r="D2803" s="5" t="s">
        <v>25163</v>
      </c>
      <c r="E2803" s="5" t="s">
        <v>25164</v>
      </c>
      <c r="F2803" s="5" t="s">
        <v>25165</v>
      </c>
      <c r="G2803" s="5" t="s">
        <v>25166</v>
      </c>
      <c r="H2803" s="1" t="s">
        <v>25167</v>
      </c>
      <c r="I2803" s="5" t="s">
        <v>25168</v>
      </c>
      <c r="J2803" s="7">
        <v>16</v>
      </c>
      <c r="K2803" s="7">
        <v>9</v>
      </c>
      <c r="L2803" s="5" t="s">
        <v>25169</v>
      </c>
      <c r="M2803" s="7">
        <v>1</v>
      </c>
      <c r="N2803" s="7">
        <v>0.5</v>
      </c>
      <c r="O2803" s="7">
        <v>0.96399999999999997</v>
      </c>
      <c r="P2803" s="1" t="s">
        <v>25170</v>
      </c>
    </row>
    <row r="2804" spans="1:16" ht="17.05" x14ac:dyDescent="0.3">
      <c r="A2804" s="6" t="str">
        <f>HYPERLINK("https://www.ti.com/product/TPS61311", "TPS61311")</f>
        <v>TPS61311</v>
      </c>
      <c r="B2804" s="5" t="s">
        <v>25171</v>
      </c>
      <c r="C2804" s="6" t="str">
        <f>HYPERLINK("https://www.ti.com/lit/gpn/TPS61311", "PDF")</f>
        <v>PDF</v>
      </c>
      <c r="D2804" s="5" t="s">
        <v>25172</v>
      </c>
      <c r="E2804" s="5" t="s">
        <v>25173</v>
      </c>
      <c r="F2804" s="5" t="s">
        <v>25174</v>
      </c>
      <c r="G2804" s="5" t="s">
        <v>25175</v>
      </c>
      <c r="H2804" s="1" t="s">
        <v>25176</v>
      </c>
      <c r="I2804" s="5" t="s">
        <v>25177</v>
      </c>
      <c r="J2804" s="7">
        <v>20</v>
      </c>
      <c r="K2804" s="7">
        <v>3.96</v>
      </c>
      <c r="L2804" s="5" t="s">
        <v>25178</v>
      </c>
      <c r="M2804" s="7">
        <v>0.625</v>
      </c>
      <c r="N2804" s="7">
        <v>0.4</v>
      </c>
      <c r="O2804" s="7">
        <v>0.52700000000000002</v>
      </c>
      <c r="P2804" s="1" t="s">
        <v>25179</v>
      </c>
    </row>
    <row r="2805" spans="1:16" ht="33.4" x14ac:dyDescent="0.3">
      <c r="A2805" s="6" t="str">
        <f>HYPERLINK("https://www.ti.com/product/TPS709", "TPS709")</f>
        <v>TPS709</v>
      </c>
      <c r="B2805" s="5" t="s">
        <v>25180</v>
      </c>
      <c r="C2805" s="6" t="str">
        <f>HYPERLINK("https://www.ti.com/lit/gpn/TPS709", "PDF")</f>
        <v>PDF</v>
      </c>
      <c r="D2805" s="5" t="s">
        <v>25181</v>
      </c>
      <c r="E2805" s="5" t="s">
        <v>25182</v>
      </c>
      <c r="F2805" s="5"/>
      <c r="G2805" s="5" t="s">
        <v>25183</v>
      </c>
      <c r="H2805" s="1" t="s">
        <v>25184</v>
      </c>
      <c r="I2805" s="5" t="s">
        <v>25185</v>
      </c>
      <c r="J2805" s="7" t="s">
        <v>25186</v>
      </c>
      <c r="K2805" s="7" t="s">
        <v>25187</v>
      </c>
      <c r="L2805" s="5" t="s">
        <v>25188</v>
      </c>
      <c r="M2805" s="7" t="s">
        <v>25189</v>
      </c>
      <c r="N2805" s="7" t="s">
        <v>25190</v>
      </c>
      <c r="O2805" s="7">
        <v>0.373</v>
      </c>
      <c r="P2805" s="1" t="s">
        <v>25191</v>
      </c>
    </row>
    <row r="2806" spans="1:16" ht="49.75" x14ac:dyDescent="0.3">
      <c r="A2806" s="6" t="str">
        <f>HYPERLINK("https://www.ti.com/product/TPS51116-EP", "TPS51116-EP")</f>
        <v>TPS51116-EP</v>
      </c>
      <c r="B2806" s="5" t="s">
        <v>25192</v>
      </c>
      <c r="C2806" s="6" t="str">
        <f>HYPERLINK("https://www.ti.com/lit/gpn/TPS51116-EP", "PDF")</f>
        <v>PDF</v>
      </c>
      <c r="D2806" s="5" t="s">
        <v>25193</v>
      </c>
      <c r="E2806" s="5" t="s">
        <v>25194</v>
      </c>
      <c r="F2806" s="5"/>
      <c r="G2806" s="5" t="s">
        <v>25195</v>
      </c>
      <c r="H2806" s="1" t="s">
        <v>25196</v>
      </c>
      <c r="I2806" s="5" t="s">
        <v>25197</v>
      </c>
      <c r="J2806" s="7">
        <v>20</v>
      </c>
      <c r="K2806" s="7">
        <v>41.6</v>
      </c>
      <c r="L2806" s="5" t="s">
        <v>25198</v>
      </c>
      <c r="M2806" s="7">
        <v>1.2</v>
      </c>
      <c r="N2806" s="7">
        <v>0.65</v>
      </c>
      <c r="O2806" s="7">
        <v>3.2610000000000001</v>
      </c>
      <c r="P2806" s="1" t="s">
        <v>25199</v>
      </c>
    </row>
    <row r="2807" spans="1:16" ht="33.4" x14ac:dyDescent="0.3">
      <c r="A2807" s="6" t="str">
        <f>HYPERLINK("https://www.ti.com/product/TLV713", "TLV713")</f>
        <v>TLV713</v>
      </c>
      <c r="B2807" s="5" t="s">
        <v>25200</v>
      </c>
      <c r="C2807" s="6" t="str">
        <f>HYPERLINK("https://www.ti.com/lit/gpn/TLV713", "PDF")</f>
        <v>PDF</v>
      </c>
      <c r="D2807" s="5" t="s">
        <v>25201</v>
      </c>
      <c r="E2807" s="5" t="s">
        <v>25202</v>
      </c>
      <c r="F2807" s="5"/>
      <c r="G2807" s="5" t="s">
        <v>25203</v>
      </c>
      <c r="H2807" s="1" t="s">
        <v>25204</v>
      </c>
      <c r="I2807" s="5" t="s">
        <v>25205</v>
      </c>
      <c r="J2807" s="7">
        <v>4</v>
      </c>
      <c r="K2807" s="7">
        <v>1</v>
      </c>
      <c r="L2807" s="5" t="s">
        <v>25206</v>
      </c>
      <c r="M2807" s="7">
        <v>0.4</v>
      </c>
      <c r="N2807" s="7">
        <v>0.65</v>
      </c>
      <c r="O2807" s="7">
        <v>3.6999999999999998E-2</v>
      </c>
      <c r="P2807" s="1" t="s">
        <v>25207</v>
      </c>
    </row>
    <row r="2808" spans="1:16" ht="33.4" x14ac:dyDescent="0.3">
      <c r="A2808" s="6" t="str">
        <f>HYPERLINK("https://www.ti.com/product/TPS3839", "TPS3839")</f>
        <v>TPS3839</v>
      </c>
      <c r="B2808" s="5" t="s">
        <v>25208</v>
      </c>
      <c r="C2808" s="6" t="str">
        <f>HYPERLINK("https://www.ti.com/lit/gpn/TPS3839", "PDF")</f>
        <v>PDF</v>
      </c>
      <c r="D2808" s="5" t="s">
        <v>25209</v>
      </c>
      <c r="E2808" s="5" t="s">
        <v>25210</v>
      </c>
      <c r="F2808" s="5"/>
      <c r="G2808" s="5" t="s">
        <v>25211</v>
      </c>
      <c r="H2808" s="1" t="s">
        <v>25212</v>
      </c>
      <c r="I2808" s="5" t="s">
        <v>25213</v>
      </c>
      <c r="J2808" s="7" t="s">
        <v>25214</v>
      </c>
      <c r="K2808" s="7" t="s">
        <v>25215</v>
      </c>
      <c r="L2808" s="5" t="s">
        <v>25216</v>
      </c>
      <c r="M2808" s="7" t="s">
        <v>25217</v>
      </c>
      <c r="N2808" s="7" t="s">
        <v>25218</v>
      </c>
      <c r="O2808" s="7">
        <v>0.13700000000000001</v>
      </c>
      <c r="P2808" s="1" t="s">
        <v>25219</v>
      </c>
    </row>
    <row r="2809" spans="1:16" ht="17.05" x14ac:dyDescent="0.3">
      <c r="A2809" s="6" t="str">
        <f>HYPERLINK("https://www.ti.com/product/TPS65051-Q1", "TPS65051-Q1")</f>
        <v>TPS65051-Q1</v>
      </c>
      <c r="B2809" s="5" t="s">
        <v>25220</v>
      </c>
      <c r="C2809" s="6" t="str">
        <f>HYPERLINK("https://www.ti.com/lit/gpn/TPS65051-Q1", "PDF")</f>
        <v>PDF</v>
      </c>
      <c r="D2809" s="5" t="s">
        <v>25221</v>
      </c>
      <c r="E2809" s="5" t="s">
        <v>25222</v>
      </c>
      <c r="F2809" s="5"/>
      <c r="G2809" s="5" t="s">
        <v>25223</v>
      </c>
      <c r="H2809" s="1" t="s">
        <v>25224</v>
      </c>
      <c r="I2809" s="5" t="s">
        <v>25225</v>
      </c>
      <c r="J2809" s="7">
        <v>32</v>
      </c>
      <c r="K2809" s="7">
        <v>16</v>
      </c>
      <c r="L2809" s="5" t="s">
        <v>25226</v>
      </c>
      <c r="M2809" s="7">
        <v>1</v>
      </c>
      <c r="N2809" s="7">
        <v>0.4</v>
      </c>
      <c r="O2809" s="7">
        <v>2.613</v>
      </c>
      <c r="P2809" s="1" t="s">
        <v>25227</v>
      </c>
    </row>
    <row r="2810" spans="1:16" ht="33.4" x14ac:dyDescent="0.3">
      <c r="A2810" s="6" t="str">
        <f>HYPERLINK("https://www.ti.com/product/TLV1171", "TLV1171")</f>
        <v>TLV1171</v>
      </c>
      <c r="B2810" s="5" t="s">
        <v>25228</v>
      </c>
      <c r="C2810" s="6" t="str">
        <f>HYPERLINK("https://www.ti.com/lit/gpn/TLV1171", "PDF")</f>
        <v>PDF</v>
      </c>
      <c r="D2810" s="5" t="s">
        <v>25229</v>
      </c>
      <c r="E2810" s="5" t="s">
        <v>25230</v>
      </c>
      <c r="F2810" s="5"/>
      <c r="G2810" s="5" t="s">
        <v>25231</v>
      </c>
      <c r="H2810" s="1" t="s">
        <v>25232</v>
      </c>
      <c r="I2810" s="5" t="s">
        <v>25233</v>
      </c>
      <c r="J2810" s="7">
        <v>4</v>
      </c>
      <c r="K2810" s="7">
        <v>45.5</v>
      </c>
      <c r="L2810" s="5" t="s">
        <v>25234</v>
      </c>
      <c r="M2810" s="7">
        <v>1.8</v>
      </c>
      <c r="N2810" s="7">
        <v>2.2999999999999998</v>
      </c>
      <c r="O2810" s="7">
        <v>0.19</v>
      </c>
      <c r="P2810" s="1" t="s">
        <v>25235</v>
      </c>
    </row>
    <row r="2811" spans="1:16" ht="33.4" x14ac:dyDescent="0.3">
      <c r="A2811" s="6" t="str">
        <f>HYPERLINK("https://www.ti.com/product/TPS54340", "TPS54340")</f>
        <v>TPS54340</v>
      </c>
      <c r="B2811" s="5" t="s">
        <v>25236</v>
      </c>
      <c r="C2811" s="6" t="str">
        <f>HYPERLINK("https://www.ti.com/lit/gpn/TPS54340", "PDF")</f>
        <v>PDF</v>
      </c>
      <c r="D2811" s="5" t="s">
        <v>25237</v>
      </c>
      <c r="E2811" s="5" t="s">
        <v>25238</v>
      </c>
      <c r="F2811" s="5" t="s">
        <v>25239</v>
      </c>
      <c r="G2811" s="5" t="s">
        <v>25240</v>
      </c>
      <c r="H2811" s="1" t="s">
        <v>25241</v>
      </c>
      <c r="I2811" s="5" t="s">
        <v>25242</v>
      </c>
      <c r="J2811" s="7">
        <v>8</v>
      </c>
      <c r="K2811" s="7">
        <v>29.4</v>
      </c>
      <c r="L2811" s="5" t="s">
        <v>25243</v>
      </c>
      <c r="M2811" s="7">
        <v>1.7</v>
      </c>
      <c r="N2811" s="7">
        <v>1.27</v>
      </c>
      <c r="O2811" s="7">
        <v>1.835</v>
      </c>
      <c r="P2811" s="1" t="s">
        <v>25244</v>
      </c>
    </row>
    <row r="2812" spans="1:16" ht="17.05" x14ac:dyDescent="0.3">
      <c r="A2812" s="6" t="str">
        <f>HYPERLINK("https://www.ti.com/product/TPS65631", "TPS65631")</f>
        <v>TPS65631</v>
      </c>
      <c r="B2812" s="5" t="s">
        <v>25245</v>
      </c>
      <c r="C2812" s="6" t="str">
        <f>HYPERLINK("https://www.ti.com/lit/gpn/TPS65631", "PDF")</f>
        <v>PDF</v>
      </c>
      <c r="D2812" s="5" t="s">
        <v>25246</v>
      </c>
      <c r="E2812" s="5" t="s">
        <v>25247</v>
      </c>
      <c r="F2812" s="5" t="s">
        <v>25248</v>
      </c>
      <c r="G2812" s="5" t="s">
        <v>25249</v>
      </c>
      <c r="H2812" s="1" t="s">
        <v>25250</v>
      </c>
      <c r="I2812" s="5" t="s">
        <v>25251</v>
      </c>
      <c r="J2812" s="7">
        <v>12</v>
      </c>
      <c r="K2812" s="7">
        <v>9</v>
      </c>
      <c r="L2812" s="5" t="s">
        <v>25252</v>
      </c>
      <c r="M2812" s="7">
        <v>0.8</v>
      </c>
      <c r="N2812" s="7">
        <v>0.45</v>
      </c>
      <c r="O2812" s="7">
        <v>1.22</v>
      </c>
      <c r="P2812" s="1" t="s">
        <v>25253</v>
      </c>
    </row>
    <row r="2813" spans="1:16" ht="33.4" x14ac:dyDescent="0.3">
      <c r="A2813" s="6" t="str">
        <f>HYPERLINK("https://www.ti.com/product/TPS62175", "TPS62175")</f>
        <v>TPS62175</v>
      </c>
      <c r="B2813" s="5" t="s">
        <v>25254</v>
      </c>
      <c r="C2813" s="6" t="str">
        <f>HYPERLINK("https://www.ti.com/lit/gpn/TPS62175", "PDF")</f>
        <v>PDF</v>
      </c>
      <c r="D2813" s="5" t="s">
        <v>25255</v>
      </c>
      <c r="E2813" s="5" t="s">
        <v>25256</v>
      </c>
      <c r="F2813" s="5" t="s">
        <v>25257</v>
      </c>
      <c r="G2813" s="5" t="s">
        <v>25258</v>
      </c>
      <c r="H2813" s="1" t="s">
        <v>25259</v>
      </c>
      <c r="I2813" s="5" t="s">
        <v>25260</v>
      </c>
      <c r="J2813" s="7">
        <v>10</v>
      </c>
      <c r="K2813" s="7">
        <v>6</v>
      </c>
      <c r="L2813" s="5" t="s">
        <v>25261</v>
      </c>
      <c r="M2813" s="7">
        <v>0.8</v>
      </c>
      <c r="N2813" s="7">
        <v>0.5</v>
      </c>
      <c r="O2813" s="7">
        <v>0.54100000000000004</v>
      </c>
      <c r="P2813" s="1" t="s">
        <v>25262</v>
      </c>
    </row>
    <row r="2814" spans="1:16" ht="33.4" x14ac:dyDescent="0.3">
      <c r="A2814" s="6" t="str">
        <f>HYPERLINK("https://www.ti.com/product/TPS62177", "TPS62177")</f>
        <v>TPS62177</v>
      </c>
      <c r="B2814" s="5" t="s">
        <v>25263</v>
      </c>
      <c r="C2814" s="6" t="str">
        <f>HYPERLINK("https://www.ti.com/lit/gpn/TPS62177", "PDF")</f>
        <v>PDF</v>
      </c>
      <c r="D2814" s="5" t="s">
        <v>25264</v>
      </c>
      <c r="E2814" s="5" t="s">
        <v>25265</v>
      </c>
      <c r="F2814" s="5" t="s">
        <v>25266</v>
      </c>
      <c r="G2814" s="5" t="s">
        <v>25267</v>
      </c>
      <c r="H2814" s="1" t="s">
        <v>25268</v>
      </c>
      <c r="I2814" s="5" t="s">
        <v>25269</v>
      </c>
      <c r="J2814" s="7">
        <v>10</v>
      </c>
      <c r="K2814" s="7">
        <v>6</v>
      </c>
      <c r="L2814" s="5" t="s">
        <v>25270</v>
      </c>
      <c r="M2814" s="7">
        <v>0.8</v>
      </c>
      <c r="N2814" s="7">
        <v>0.5</v>
      </c>
      <c r="O2814" s="7">
        <v>0.54100000000000004</v>
      </c>
      <c r="P2814" s="1" t="s">
        <v>25271</v>
      </c>
    </row>
    <row r="2815" spans="1:16" ht="49.75" x14ac:dyDescent="0.3">
      <c r="A2815" s="6" t="str">
        <f>HYPERLINK("https://www.ti.com/product/TPS826765", "TPS826765")</f>
        <v>TPS826765</v>
      </c>
      <c r="B2815" s="5" t="s">
        <v>25272</v>
      </c>
      <c r="C2815" s="6" t="str">
        <f>HYPERLINK("https://www.ti.com/lit/gpn/TPS826765", "PDF")</f>
        <v>PDF</v>
      </c>
      <c r="D2815" s="5" t="s">
        <v>25273</v>
      </c>
      <c r="E2815" s="5" t="s">
        <v>25274</v>
      </c>
      <c r="F2815" s="5" t="s">
        <v>25275</v>
      </c>
      <c r="G2815" s="5" t="s">
        <v>25276</v>
      </c>
      <c r="H2815" s="1" t="s">
        <v>25277</v>
      </c>
      <c r="I2815" s="5" t="s">
        <v>25278</v>
      </c>
      <c r="J2815" s="7">
        <v>8</v>
      </c>
      <c r="K2815" s="7">
        <v>6.67</v>
      </c>
      <c r="L2815" s="5" t="s">
        <v>25279</v>
      </c>
      <c r="M2815" s="7">
        <v>1</v>
      </c>
      <c r="N2815" s="7">
        <v>1</v>
      </c>
      <c r="O2815" s="7">
        <v>1.012</v>
      </c>
      <c r="P2815" s="1" t="s">
        <v>25280</v>
      </c>
    </row>
    <row r="2816" spans="1:16" ht="17.05" x14ac:dyDescent="0.3">
      <c r="A2816" s="6" t="str">
        <f>HYPERLINK("https://www.ti.com/product/TPS92510", "TPS92510")</f>
        <v>TPS92510</v>
      </c>
      <c r="B2816" s="5" t="s">
        <v>25281</v>
      </c>
      <c r="C2816" s="6" t="str">
        <f>HYPERLINK("https://www.ti.com/lit/gpn/TPS92510", "PDF")</f>
        <v>PDF</v>
      </c>
      <c r="D2816" s="5" t="s">
        <v>25282</v>
      </c>
      <c r="E2816" s="5" t="s">
        <v>25283</v>
      </c>
      <c r="F2816" s="5" t="s">
        <v>25284</v>
      </c>
      <c r="G2816" s="5" t="s">
        <v>25285</v>
      </c>
      <c r="H2816" s="1" t="s">
        <v>25286</v>
      </c>
      <c r="I2816" s="5" t="s">
        <v>25287</v>
      </c>
      <c r="J2816" s="7">
        <v>10</v>
      </c>
      <c r="K2816" s="7">
        <v>14.7</v>
      </c>
      <c r="L2816" s="5" t="s">
        <v>25288</v>
      </c>
      <c r="M2816" s="7">
        <v>1.1000000000000001</v>
      </c>
      <c r="N2816" s="7">
        <v>0.5</v>
      </c>
      <c r="O2816" s="7">
        <v>0.748</v>
      </c>
      <c r="P2816" s="1" t="s">
        <v>25289</v>
      </c>
    </row>
    <row r="2817" spans="1:16" ht="33.4" x14ac:dyDescent="0.3">
      <c r="A2817" s="6" t="str">
        <f>HYPERLINK("https://www.ti.com/product/LM10502", "LM10502")</f>
        <v>LM10502</v>
      </c>
      <c r="B2817" s="5" t="s">
        <v>25290</v>
      </c>
      <c r="C2817" s="6" t="str">
        <f>HYPERLINK("https://www.ti.com/lit/gpn/LM10502", "PDF")</f>
        <v>PDF</v>
      </c>
      <c r="D2817" s="5" t="s">
        <v>25291</v>
      </c>
      <c r="E2817" s="5" t="s">
        <v>25292</v>
      </c>
      <c r="F2817" s="5"/>
      <c r="G2817" s="5" t="s">
        <v>25293</v>
      </c>
      <c r="H2817" s="1" t="s">
        <v>25294</v>
      </c>
      <c r="I2817" s="5" t="s">
        <v>25295</v>
      </c>
      <c r="J2817" s="7">
        <v>25</v>
      </c>
      <c r="K2817" s="7">
        <v>7.5625</v>
      </c>
      <c r="L2817" s="5" t="s">
        <v>25296</v>
      </c>
      <c r="M2817" s="7">
        <v>0.67500000000000004</v>
      </c>
      <c r="N2817" s="7">
        <v>0.5</v>
      </c>
      <c r="O2817" s="7">
        <v>0.996</v>
      </c>
      <c r="P2817" s="1" t="s">
        <v>25297</v>
      </c>
    </row>
    <row r="2818" spans="1:16" ht="49.75" x14ac:dyDescent="0.3">
      <c r="A2818" s="6" t="str">
        <f>HYPERLINK("https://www.ti.com/product/LM22673-Q1", "LM22673-Q1")</f>
        <v>LM22673-Q1</v>
      </c>
      <c r="B2818" s="5" t="s">
        <v>25298</v>
      </c>
      <c r="C2818" s="6" t="str">
        <f>HYPERLINK("https://www.ti.com/lit/gpn/LM22673-Q1", "PDF")</f>
        <v>PDF</v>
      </c>
      <c r="D2818" s="5" t="s">
        <v>25299</v>
      </c>
      <c r="E2818" s="5" t="s">
        <v>25300</v>
      </c>
      <c r="F2818" s="5" t="s">
        <v>25301</v>
      </c>
      <c r="G2818" s="5" t="s">
        <v>25302</v>
      </c>
      <c r="H2818" s="1" t="s">
        <v>25303</v>
      </c>
      <c r="I2818" s="5" t="s">
        <v>25304</v>
      </c>
      <c r="J2818" s="7" t="s">
        <v>25305</v>
      </c>
      <c r="K2818" s="7" t="s">
        <v>25306</v>
      </c>
      <c r="L2818" s="5" t="s">
        <v>25307</v>
      </c>
      <c r="M2818" s="7" t="s">
        <v>25308</v>
      </c>
      <c r="N2818" s="7">
        <v>1.27</v>
      </c>
      <c r="O2818" s="7">
        <v>2.5049999999999999</v>
      </c>
      <c r="P2818" s="1" t="s">
        <v>25309</v>
      </c>
    </row>
    <row r="2819" spans="1:16" ht="33.4" x14ac:dyDescent="0.3">
      <c r="A2819" s="6" t="str">
        <f>HYPERLINK("https://www.ti.com/product/LM22679-Q1", "LM22679-Q1")</f>
        <v>LM22679-Q1</v>
      </c>
      <c r="B2819" s="5" t="s">
        <v>25310</v>
      </c>
      <c r="C2819" s="6" t="str">
        <f>HYPERLINK("https://www.ti.com/lit/gpn/LM22679-Q1", "PDF")</f>
        <v>PDF</v>
      </c>
      <c r="D2819" s="5" t="s">
        <v>25311</v>
      </c>
      <c r="E2819" s="5" t="s">
        <v>25312</v>
      </c>
      <c r="F2819" s="5" t="s">
        <v>25313</v>
      </c>
      <c r="G2819" s="5" t="s">
        <v>25314</v>
      </c>
      <c r="H2819" s="1" t="s">
        <v>25315</v>
      </c>
      <c r="I2819" s="5" t="s">
        <v>25316</v>
      </c>
      <c r="J2819" s="7">
        <v>7</v>
      </c>
      <c r="K2819" s="7">
        <v>142.3416</v>
      </c>
      <c r="L2819" s="5" t="s">
        <v>25317</v>
      </c>
      <c r="M2819" s="7">
        <v>2.1</v>
      </c>
      <c r="N2819" s="7">
        <v>1.27</v>
      </c>
      <c r="O2819" s="7">
        <v>3.6829999999999998</v>
      </c>
      <c r="P2819" s="1" t="s">
        <v>25318</v>
      </c>
    </row>
    <row r="2820" spans="1:16" ht="33.4" x14ac:dyDescent="0.3">
      <c r="A2820" s="6" t="str">
        <f>HYPERLINK("https://www.ti.com/product/LM25066I", "LM25066I")</f>
        <v>LM25066I</v>
      </c>
      <c r="B2820" s="5" t="s">
        <v>25319</v>
      </c>
      <c r="C2820" s="6" t="str">
        <f>HYPERLINK("https://www.ti.com/lit/gpn/LM25066I", "PDF")</f>
        <v>PDF</v>
      </c>
      <c r="D2820" s="5" t="s">
        <v>25320</v>
      </c>
      <c r="E2820" s="5" t="s">
        <v>25321</v>
      </c>
      <c r="F2820" s="5"/>
      <c r="G2820" s="5" t="s">
        <v>25322</v>
      </c>
      <c r="H2820" s="1" t="s">
        <v>25323</v>
      </c>
      <c r="I2820" s="5" t="s">
        <v>25324</v>
      </c>
      <c r="J2820" s="7">
        <v>24</v>
      </c>
      <c r="K2820" s="7">
        <v>20</v>
      </c>
      <c r="L2820" s="5" t="s">
        <v>25325</v>
      </c>
      <c r="M2820" s="7">
        <v>0.8</v>
      </c>
      <c r="N2820" s="7">
        <v>0.5</v>
      </c>
      <c r="O2820" s="7">
        <v>2.1869999999999998</v>
      </c>
      <c r="P2820" s="1" t="s">
        <v>25326</v>
      </c>
    </row>
    <row r="2821" spans="1:16" ht="33.4" x14ac:dyDescent="0.3">
      <c r="A2821" s="6" t="str">
        <f>HYPERLINK("https://www.ti.com/product/LM25066IA", "LM25066IA")</f>
        <v>LM25066IA</v>
      </c>
      <c r="B2821" s="5" t="s">
        <v>25327</v>
      </c>
      <c r="C2821" s="6" t="str">
        <f>HYPERLINK("https://www.ti.com/lit/gpn/LM25066IA", "PDF")</f>
        <v>PDF</v>
      </c>
      <c r="D2821" s="5" t="s">
        <v>25328</v>
      </c>
      <c r="E2821" s="5" t="s">
        <v>25329</v>
      </c>
      <c r="F2821" s="5"/>
      <c r="G2821" s="5" t="s">
        <v>25330</v>
      </c>
      <c r="H2821" s="1" t="s">
        <v>25331</v>
      </c>
      <c r="I2821" s="5" t="s">
        <v>25332</v>
      </c>
      <c r="J2821" s="7">
        <v>24</v>
      </c>
      <c r="K2821" s="7">
        <v>20</v>
      </c>
      <c r="L2821" s="5" t="s">
        <v>25333</v>
      </c>
      <c r="M2821" s="7">
        <v>0.8</v>
      </c>
      <c r="N2821" s="7">
        <v>0.5</v>
      </c>
      <c r="O2821" s="7">
        <v>2.2589999999999999</v>
      </c>
      <c r="P2821" s="1" t="s">
        <v>25334</v>
      </c>
    </row>
    <row r="2822" spans="1:16" ht="33.4" x14ac:dyDescent="0.3">
      <c r="A2822" s="6" t="str">
        <f>HYPERLINK("https://www.ti.com/product/TPS92314A", "TPS92314A")</f>
        <v>TPS92314A</v>
      </c>
      <c r="B2822" s="5" t="s">
        <v>25335</v>
      </c>
      <c r="C2822" s="6" t="str">
        <f>HYPERLINK("https://www.ti.com/lit/gpn/TPS92314A", "PDF")</f>
        <v>PDF</v>
      </c>
      <c r="D2822" s="5" t="s">
        <v>25336</v>
      </c>
      <c r="E2822" s="5" t="s">
        <v>25337</v>
      </c>
      <c r="F2822" s="5" t="s">
        <v>25338</v>
      </c>
      <c r="G2822" s="5" t="s">
        <v>25339</v>
      </c>
      <c r="H2822" s="1" t="s">
        <v>25340</v>
      </c>
      <c r="I2822" s="5" t="s">
        <v>25341</v>
      </c>
      <c r="J2822" s="7">
        <v>8</v>
      </c>
      <c r="K2822" s="7">
        <v>29.4</v>
      </c>
      <c r="L2822" s="5" t="s">
        <v>25342</v>
      </c>
      <c r="M2822" s="7">
        <v>1.75</v>
      </c>
      <c r="N2822" s="7">
        <v>1.27</v>
      </c>
      <c r="O2822" s="7">
        <v>0.34799999999999998</v>
      </c>
      <c r="P2822" s="1" t="s">
        <v>25343</v>
      </c>
    </row>
    <row r="2823" spans="1:16" ht="17.05" x14ac:dyDescent="0.3">
      <c r="A2823" s="6" t="str">
        <f>HYPERLINK("https://www.ti.com/product/TPS92314", "TPS92314")</f>
        <v>TPS92314</v>
      </c>
      <c r="B2823" s="5" t="s">
        <v>25344</v>
      </c>
      <c r="C2823" s="6" t="str">
        <f>HYPERLINK("https://www.ti.com/lit/gpn/TPS92314", "PDF")</f>
        <v>PDF</v>
      </c>
      <c r="D2823" s="5" t="s">
        <v>25345</v>
      </c>
      <c r="E2823" s="5" t="s">
        <v>25346</v>
      </c>
      <c r="F2823" s="5" t="s">
        <v>25347</v>
      </c>
      <c r="G2823" s="5" t="s">
        <v>25348</v>
      </c>
      <c r="H2823" s="1" t="s">
        <v>25349</v>
      </c>
      <c r="I2823" s="5" t="s">
        <v>25350</v>
      </c>
      <c r="J2823" s="7">
        <v>8</v>
      </c>
      <c r="K2823" s="7">
        <v>29.4</v>
      </c>
      <c r="L2823" s="5" t="s">
        <v>25351</v>
      </c>
      <c r="M2823" s="7">
        <v>1.75</v>
      </c>
      <c r="N2823" s="7">
        <v>1.27</v>
      </c>
      <c r="O2823" s="7">
        <v>0.34799999999999998</v>
      </c>
      <c r="P2823" s="1" t="s">
        <v>25352</v>
      </c>
    </row>
    <row r="2824" spans="1:16" ht="17.05" x14ac:dyDescent="0.3">
      <c r="A2824" s="6" t="str">
        <f>HYPERLINK("https://www.ti.com/product/TLC59284", "TLC59284")</f>
        <v>TLC59284</v>
      </c>
      <c r="B2824" s="5" t="s">
        <v>25353</v>
      </c>
      <c r="C2824" s="6" t="str">
        <f>HYPERLINK("https://www.ti.com/lit/gpn/TLC59284", "PDF")</f>
        <v>PDF</v>
      </c>
      <c r="D2824" s="5" t="s">
        <v>25354</v>
      </c>
      <c r="E2824" s="5" t="s">
        <v>25355</v>
      </c>
      <c r="F2824" s="5"/>
      <c r="G2824" s="5" t="s">
        <v>25356</v>
      </c>
      <c r="H2824" s="1" t="s">
        <v>25357</v>
      </c>
      <c r="I2824" s="5" t="s">
        <v>25358</v>
      </c>
      <c r="J2824" s="7">
        <v>24</v>
      </c>
      <c r="K2824" s="7">
        <v>51.9</v>
      </c>
      <c r="L2824" s="5" t="s">
        <v>25359</v>
      </c>
      <c r="M2824" s="7">
        <v>1.75</v>
      </c>
      <c r="N2824" s="7">
        <v>0.63500000000000001</v>
      </c>
      <c r="O2824" s="7">
        <v>0.44</v>
      </c>
      <c r="P2824" s="1" t="s">
        <v>25360</v>
      </c>
    </row>
    <row r="2825" spans="1:16" ht="33.4" x14ac:dyDescent="0.3">
      <c r="A2825" s="6" t="str">
        <f>HYPERLINK("https://www.ti.com/product/CSD17552Q3A", "CSD17552Q3A")</f>
        <v>CSD17552Q3A</v>
      </c>
      <c r="B2825" s="5" t="s">
        <v>25361</v>
      </c>
      <c r="C2825" s="6" t="str">
        <f>HYPERLINK("https://www.ti.com/lit/gpn/CSD17552Q3A", "PDF")</f>
        <v>PDF</v>
      </c>
      <c r="D2825" s="5" t="s">
        <v>25362</v>
      </c>
      <c r="E2825" s="5" t="s">
        <v>25363</v>
      </c>
      <c r="F2825" s="5"/>
      <c r="G2825" s="5" t="s">
        <v>25364</v>
      </c>
      <c r="H2825" s="1" t="s">
        <v>25365</v>
      </c>
      <c r="I2825" s="5" t="s">
        <v>25366</v>
      </c>
      <c r="J2825" s="7">
        <v>8</v>
      </c>
      <c r="K2825" s="7">
        <v>10.89</v>
      </c>
      <c r="L2825" s="5" t="s">
        <v>25367</v>
      </c>
      <c r="M2825" s="7">
        <v>0.9</v>
      </c>
      <c r="N2825" s="7">
        <v>0.65</v>
      </c>
      <c r="O2825" s="7">
        <v>0.27900000000000003</v>
      </c>
      <c r="P2825" s="1" t="s">
        <v>25368</v>
      </c>
    </row>
    <row r="2826" spans="1:16" ht="17.05" x14ac:dyDescent="0.3">
      <c r="A2826" s="6" t="str">
        <f>HYPERLINK("https://www.ti.com/product/TPS22930A", "TPS22930A")</f>
        <v>TPS22930A</v>
      </c>
      <c r="B2826" s="5" t="s">
        <v>25369</v>
      </c>
      <c r="C2826" s="6" t="str">
        <f>HYPERLINK("https://www.ti.com/lit/gpn/TPS22930A", "PDF")</f>
        <v>PDF</v>
      </c>
      <c r="D2826" s="5" t="s">
        <v>25370</v>
      </c>
      <c r="E2826" s="5" t="s">
        <v>25371</v>
      </c>
      <c r="F2826" s="5"/>
      <c r="G2826" s="5" t="s">
        <v>25372</v>
      </c>
      <c r="H2826" s="1" t="s">
        <v>25373</v>
      </c>
      <c r="I2826" s="5" t="s">
        <v>25374</v>
      </c>
      <c r="J2826" s="7">
        <v>4</v>
      </c>
      <c r="K2826" s="7">
        <v>1.5625</v>
      </c>
      <c r="L2826" s="5" t="s">
        <v>25375</v>
      </c>
      <c r="M2826" s="7">
        <v>0.5</v>
      </c>
      <c r="N2826" s="7">
        <v>0.5</v>
      </c>
      <c r="O2826" s="7">
        <v>0.224</v>
      </c>
      <c r="P2826" s="1" t="s">
        <v>25376</v>
      </c>
    </row>
    <row r="2827" spans="1:16" ht="33.4" x14ac:dyDescent="0.3">
      <c r="A2827" s="6" t="str">
        <f>HYPERLINK("https://www.ti.com/product/TPS61196", "TPS61196")</f>
        <v>TPS61196</v>
      </c>
      <c r="B2827" s="5" t="s">
        <v>25377</v>
      </c>
      <c r="C2827" s="6" t="str">
        <f>HYPERLINK("https://www.ti.com/lit/gpn/TPS61196", "PDF")</f>
        <v>PDF</v>
      </c>
      <c r="D2827" s="5" t="s">
        <v>25378</v>
      </c>
      <c r="E2827" s="5" t="s">
        <v>25379</v>
      </c>
      <c r="F2827" s="5" t="s">
        <v>25380</v>
      </c>
      <c r="G2827" s="5" t="s">
        <v>25381</v>
      </c>
      <c r="H2827" s="1" t="s">
        <v>25382</v>
      </c>
      <c r="I2827" s="5" t="s">
        <v>25383</v>
      </c>
      <c r="J2827" s="7">
        <v>28</v>
      </c>
      <c r="K2827" s="7">
        <v>62.08</v>
      </c>
      <c r="L2827" s="5" t="s">
        <v>25384</v>
      </c>
      <c r="M2827" s="7">
        <v>1.2</v>
      </c>
      <c r="N2827" s="7">
        <v>0.65</v>
      </c>
      <c r="O2827" s="7">
        <v>1.25</v>
      </c>
      <c r="P2827" s="1" t="s">
        <v>25385</v>
      </c>
    </row>
    <row r="2828" spans="1:16" ht="33.4" x14ac:dyDescent="0.3">
      <c r="A2828" s="6" t="str">
        <f>HYPERLINK("https://www.ti.com/product/TPS717-Q1", "TPS717-Q1")</f>
        <v>TPS717-Q1</v>
      </c>
      <c r="B2828" s="5" t="s">
        <v>25386</v>
      </c>
      <c r="C2828" s="6" t="str">
        <f>HYPERLINK("https://www.ti.com/lit/gpn/TPS717-Q1", "PDF")</f>
        <v>PDF</v>
      </c>
      <c r="D2828" s="5" t="s">
        <v>25387</v>
      </c>
      <c r="E2828" s="5" t="s">
        <v>25388</v>
      </c>
      <c r="F2828" s="5"/>
      <c r="G2828" s="5" t="s">
        <v>25389</v>
      </c>
      <c r="H2828" s="1" t="s">
        <v>25390</v>
      </c>
      <c r="I2828" s="5" t="s">
        <v>25391</v>
      </c>
      <c r="J2828" s="7" t="s">
        <v>25392</v>
      </c>
      <c r="K2828" s="7" t="s">
        <v>25393</v>
      </c>
      <c r="L2828" s="5" t="s">
        <v>25394</v>
      </c>
      <c r="M2828" s="7" t="s">
        <v>25395</v>
      </c>
      <c r="N2828" s="7" t="s">
        <v>25396</v>
      </c>
      <c r="O2828" s="7">
        <v>0.44400000000000001</v>
      </c>
      <c r="P2828" s="1" t="s">
        <v>25397</v>
      </c>
    </row>
    <row r="2829" spans="1:16" ht="33.4" x14ac:dyDescent="0.3">
      <c r="A2829" s="6" t="str">
        <f>HYPERLINK("https://www.ti.com/product/CSD18503KCS", "CSD18503KCS")</f>
        <v>CSD18503KCS</v>
      </c>
      <c r="B2829" s="5" t="s">
        <v>25398</v>
      </c>
      <c r="C2829" s="6" t="str">
        <f>HYPERLINK("https://www.ti.com/lit/gpn/CSD18503KCS", "PDF")</f>
        <v>PDF</v>
      </c>
      <c r="D2829" s="5" t="s">
        <v>25399</v>
      </c>
      <c r="E2829" s="5" t="s">
        <v>25400</v>
      </c>
      <c r="F2829" s="5"/>
      <c r="G2829" s="5" t="s">
        <v>25401</v>
      </c>
      <c r="H2829" s="1" t="s">
        <v>25402</v>
      </c>
      <c r="I2829" s="5" t="s">
        <v>25403</v>
      </c>
      <c r="J2829" s="7">
        <v>3</v>
      </c>
      <c r="K2829" s="7">
        <v>46.228000000000002</v>
      </c>
      <c r="L2829" s="5" t="s">
        <v>25404</v>
      </c>
      <c r="M2829" s="7">
        <v>4.7</v>
      </c>
      <c r="N2829" s="7">
        <v>2.54</v>
      </c>
      <c r="O2829" s="7">
        <v>0.57499999999999996</v>
      </c>
      <c r="P2829" s="1" t="s">
        <v>25405</v>
      </c>
    </row>
    <row r="2830" spans="1:16" ht="33.4" x14ac:dyDescent="0.3">
      <c r="A2830" s="6" t="str">
        <f>HYPERLINK("https://www.ti.com/product/TPS51312", "TPS51312")</f>
        <v>TPS51312</v>
      </c>
      <c r="B2830" s="5" t="s">
        <v>25406</v>
      </c>
      <c r="C2830" s="6" t="str">
        <f>HYPERLINK("https://www.ti.com/lit/gpn/TPS51312", "PDF")</f>
        <v>PDF</v>
      </c>
      <c r="D2830" s="5" t="s">
        <v>25407</v>
      </c>
      <c r="E2830" s="5" t="s">
        <v>25408</v>
      </c>
      <c r="F2830" s="5" t="s">
        <v>25409</v>
      </c>
      <c r="G2830" s="5" t="s">
        <v>25410</v>
      </c>
      <c r="H2830" s="1" t="s">
        <v>25411</v>
      </c>
      <c r="I2830" s="5" t="s">
        <v>25412</v>
      </c>
      <c r="J2830" s="7">
        <v>10</v>
      </c>
      <c r="K2830" s="7">
        <v>9</v>
      </c>
      <c r="L2830" s="5" t="s">
        <v>25413</v>
      </c>
      <c r="M2830" s="7">
        <v>1</v>
      </c>
      <c r="N2830" s="7">
        <v>0.5</v>
      </c>
      <c r="O2830" s="7">
        <v>0.20699999999999999</v>
      </c>
      <c r="P2830" s="1" t="s">
        <v>25414</v>
      </c>
    </row>
    <row r="2831" spans="1:16" ht="33.4" x14ac:dyDescent="0.3">
      <c r="A2831" s="6" t="str">
        <f>HYPERLINK("https://www.ti.com/product/TPS51313", "TPS51313")</f>
        <v>TPS51313</v>
      </c>
      <c r="B2831" s="5" t="s">
        <v>25415</v>
      </c>
      <c r="C2831" s="6" t="str">
        <f>HYPERLINK("https://www.ti.com/lit/gpn/TPS51313", "PDF")</f>
        <v>PDF</v>
      </c>
      <c r="D2831" s="5" t="s">
        <v>25416</v>
      </c>
      <c r="E2831" s="5" t="s">
        <v>25417</v>
      </c>
      <c r="F2831" s="5" t="s">
        <v>25418</v>
      </c>
      <c r="G2831" s="5" t="s">
        <v>25419</v>
      </c>
      <c r="H2831" s="1" t="s">
        <v>25420</v>
      </c>
      <c r="I2831" s="5" t="s">
        <v>25421</v>
      </c>
      <c r="J2831" s="7">
        <v>10</v>
      </c>
      <c r="K2831" s="7">
        <v>9</v>
      </c>
      <c r="L2831" s="5" t="s">
        <v>25422</v>
      </c>
      <c r="M2831" s="7">
        <v>1</v>
      </c>
      <c r="N2831" s="7">
        <v>0.5</v>
      </c>
      <c r="O2831" s="7">
        <v>1.627</v>
      </c>
      <c r="P2831" s="1" t="s">
        <v>25423</v>
      </c>
    </row>
    <row r="2832" spans="1:16" ht="49.75" x14ac:dyDescent="0.3">
      <c r="A2832" s="6" t="str">
        <f>HYPERLINK("https://www.ti.com/product/TPS61222-EP", "TPS61222-EP")</f>
        <v>TPS61222-EP</v>
      </c>
      <c r="B2832" s="5" t="s">
        <v>25424</v>
      </c>
      <c r="C2832" s="6" t="str">
        <f>HYPERLINK("https://www.ti.com/lit/gpn/TPS61222-EP", "PDF")</f>
        <v>PDF</v>
      </c>
      <c r="D2832" s="5" t="s">
        <v>25425</v>
      </c>
      <c r="E2832" s="5" t="s">
        <v>25426</v>
      </c>
      <c r="F2832" s="5" t="s">
        <v>25427</v>
      </c>
      <c r="G2832" s="5" t="s">
        <v>25428</v>
      </c>
      <c r="H2832" s="1" t="s">
        <v>25429</v>
      </c>
      <c r="I2832" s="5" t="s">
        <v>25430</v>
      </c>
      <c r="J2832" s="7">
        <v>6</v>
      </c>
      <c r="K2832" s="7">
        <v>4.2</v>
      </c>
      <c r="L2832" s="5" t="s">
        <v>25431</v>
      </c>
      <c r="M2832" s="7">
        <v>1.1000000000000001</v>
      </c>
      <c r="N2832" s="7">
        <v>0.65</v>
      </c>
      <c r="O2832" s="7">
        <v>2.2770000000000001</v>
      </c>
      <c r="P2832" s="1" t="s">
        <v>25432</v>
      </c>
    </row>
    <row r="2833" spans="1:16" ht="33.4" x14ac:dyDescent="0.3">
      <c r="A2833" s="6" t="str">
        <f>HYPERLINK("https://www.ti.com/product/CSD17551Q3A", "CSD17551Q3A")</f>
        <v>CSD17551Q3A</v>
      </c>
      <c r="B2833" s="5" t="s">
        <v>25433</v>
      </c>
      <c r="C2833" s="6" t="str">
        <f>HYPERLINK("https://www.ti.com/lit/gpn/CSD17551Q3A", "PDF")</f>
        <v>PDF</v>
      </c>
      <c r="D2833" s="5" t="s">
        <v>25434</v>
      </c>
      <c r="E2833" s="5" t="s">
        <v>25435</v>
      </c>
      <c r="F2833" s="5"/>
      <c r="G2833" s="5" t="s">
        <v>25436</v>
      </c>
      <c r="H2833" s="1" t="s">
        <v>25437</v>
      </c>
      <c r="I2833" s="5" t="s">
        <v>25438</v>
      </c>
      <c r="J2833" s="7">
        <v>8</v>
      </c>
      <c r="K2833" s="7">
        <v>10.89</v>
      </c>
      <c r="L2833" s="5" t="s">
        <v>25439</v>
      </c>
      <c r="M2833" s="7">
        <v>0.9</v>
      </c>
      <c r="N2833" s="7">
        <v>0.65</v>
      </c>
      <c r="O2833" s="7">
        <v>0.19</v>
      </c>
      <c r="P2833" s="1" t="s">
        <v>25440</v>
      </c>
    </row>
    <row r="2834" spans="1:16" ht="33.4" x14ac:dyDescent="0.3">
      <c r="A2834" s="6" t="str">
        <f>HYPERLINK("https://www.ti.com/product/CSD18533KCS", "CSD18533KCS")</f>
        <v>CSD18533KCS</v>
      </c>
      <c r="B2834" s="5" t="s">
        <v>25441</v>
      </c>
      <c r="C2834" s="6" t="str">
        <f>HYPERLINK("https://www.ti.com/lit/gpn/CSD18533KCS", "PDF")</f>
        <v>PDF</v>
      </c>
      <c r="D2834" s="5" t="s">
        <v>25442</v>
      </c>
      <c r="E2834" s="5" t="s">
        <v>25443</v>
      </c>
      <c r="F2834" s="5"/>
      <c r="G2834" s="5" t="s">
        <v>25444</v>
      </c>
      <c r="H2834" s="1" t="s">
        <v>25445</v>
      </c>
      <c r="I2834" s="5" t="s">
        <v>25446</v>
      </c>
      <c r="J2834" s="7">
        <v>3</v>
      </c>
      <c r="K2834" s="7">
        <v>46.228000000000002</v>
      </c>
      <c r="L2834" s="5" t="s">
        <v>25447</v>
      </c>
      <c r="M2834" s="7">
        <v>4.7</v>
      </c>
      <c r="N2834" s="7">
        <v>2.54</v>
      </c>
      <c r="O2834" s="7">
        <v>0.51</v>
      </c>
      <c r="P2834" s="1" t="s">
        <v>25448</v>
      </c>
    </row>
    <row r="2835" spans="1:16" ht="33.4" x14ac:dyDescent="0.3">
      <c r="A2835" s="6" t="str">
        <f>HYPERLINK("https://www.ti.com/product/CSD18533Q5A", "CSD18533Q5A")</f>
        <v>CSD18533Q5A</v>
      </c>
      <c r="B2835" s="5" t="s">
        <v>25449</v>
      </c>
      <c r="C2835" s="6" t="str">
        <f>HYPERLINK("https://www.ti.com/lit/gpn/CSD18533Q5A", "PDF")</f>
        <v>PDF</v>
      </c>
      <c r="D2835" s="5" t="s">
        <v>25450</v>
      </c>
      <c r="E2835" s="5" t="s">
        <v>25451</v>
      </c>
      <c r="F2835" s="5"/>
      <c r="G2835" s="5" t="s">
        <v>25452</v>
      </c>
      <c r="H2835" s="1" t="s">
        <v>25453</v>
      </c>
      <c r="I2835" s="5" t="s">
        <v>25454</v>
      </c>
      <c r="J2835" s="7">
        <v>8</v>
      </c>
      <c r="K2835" s="7">
        <v>29.4</v>
      </c>
      <c r="L2835" s="5" t="s">
        <v>25455</v>
      </c>
      <c r="M2835" s="7">
        <v>1.1000000000000001</v>
      </c>
      <c r="N2835" s="7">
        <v>1.27</v>
      </c>
      <c r="O2835" s="7">
        <v>0.33</v>
      </c>
      <c r="P2835" s="1" t="s">
        <v>25456</v>
      </c>
    </row>
    <row r="2836" spans="1:16" ht="33.4" x14ac:dyDescent="0.3">
      <c r="A2836" s="6" t="str">
        <f>HYPERLINK("https://www.ti.com/product/CSD18534KCS", "CSD18534KCS")</f>
        <v>CSD18534KCS</v>
      </c>
      <c r="B2836" s="5" t="s">
        <v>25457</v>
      </c>
      <c r="C2836" s="6" t="str">
        <f>HYPERLINK("https://www.ti.com/lit/gpn/CSD18534KCS", "PDF")</f>
        <v>PDF</v>
      </c>
      <c r="D2836" s="5" t="s">
        <v>25458</v>
      </c>
      <c r="E2836" s="5" t="s">
        <v>25459</v>
      </c>
      <c r="F2836" s="5"/>
      <c r="G2836" s="5" t="s">
        <v>25460</v>
      </c>
      <c r="H2836" s="1" t="s">
        <v>25461</v>
      </c>
      <c r="I2836" s="5" t="s">
        <v>25462</v>
      </c>
      <c r="J2836" s="7">
        <v>3</v>
      </c>
      <c r="K2836" s="7">
        <v>46.228000000000002</v>
      </c>
      <c r="L2836" s="5" t="s">
        <v>25463</v>
      </c>
      <c r="M2836" s="7">
        <v>4.7</v>
      </c>
      <c r="N2836" s="7">
        <v>2.54</v>
      </c>
      <c r="O2836" s="7">
        <v>0.38100000000000001</v>
      </c>
      <c r="P2836" s="1" t="s">
        <v>25464</v>
      </c>
    </row>
    <row r="2837" spans="1:16" ht="33.4" x14ac:dyDescent="0.3">
      <c r="A2837" s="6" t="str">
        <f>HYPERLINK("https://www.ti.com/product/CSD86360Q5D", "CSD86360Q5D")</f>
        <v>CSD86360Q5D</v>
      </c>
      <c r="B2837" s="5" t="s">
        <v>25465</v>
      </c>
      <c r="C2837" s="6" t="str">
        <f>HYPERLINK("https://www.ti.com/lit/gpn/CSD86360Q5D", "PDF")</f>
        <v>PDF</v>
      </c>
      <c r="D2837" s="5" t="s">
        <v>25466</v>
      </c>
      <c r="E2837" s="5" t="s">
        <v>25467</v>
      </c>
      <c r="F2837" s="5"/>
      <c r="G2837" s="5" t="s">
        <v>25468</v>
      </c>
      <c r="H2837" s="1" t="s">
        <v>25469</v>
      </c>
      <c r="I2837" s="5" t="s">
        <v>25470</v>
      </c>
      <c r="J2837" s="7">
        <v>8</v>
      </c>
      <c r="K2837" s="7">
        <v>30</v>
      </c>
      <c r="L2837" s="5" t="s">
        <v>25471</v>
      </c>
      <c r="M2837" s="7">
        <v>1.6</v>
      </c>
      <c r="N2837" s="7">
        <v>1.27</v>
      </c>
      <c r="O2837" s="7">
        <v>0.81100000000000005</v>
      </c>
      <c r="P2837" s="1" t="s">
        <v>25472</v>
      </c>
    </row>
    <row r="2838" spans="1:16" ht="33.4" x14ac:dyDescent="0.3">
      <c r="A2838" s="6" t="str">
        <f>HYPERLINK("https://www.ti.com/product/TLV713P", "TLV713P")</f>
        <v>TLV713P</v>
      </c>
      <c r="B2838" s="5" t="s">
        <v>25473</v>
      </c>
      <c r="C2838" s="6" t="str">
        <f>HYPERLINK("https://www.ti.com/lit/gpn/TLV713P", "PDF")</f>
        <v>PDF</v>
      </c>
      <c r="D2838" s="5" t="s">
        <v>25474</v>
      </c>
      <c r="E2838" s="5" t="s">
        <v>25475</v>
      </c>
      <c r="F2838" s="5"/>
      <c r="G2838" s="5" t="s">
        <v>25476</v>
      </c>
      <c r="H2838" s="1" t="s">
        <v>25477</v>
      </c>
      <c r="I2838" s="5" t="s">
        <v>25478</v>
      </c>
      <c r="J2838" s="7" t="s">
        <v>25479</v>
      </c>
      <c r="K2838" s="7" t="s">
        <v>25480</v>
      </c>
      <c r="L2838" s="5" t="s">
        <v>25481</v>
      </c>
      <c r="M2838" s="7" t="s">
        <v>25482</v>
      </c>
      <c r="N2838" s="7" t="s">
        <v>25483</v>
      </c>
      <c r="O2838" s="7">
        <v>3.6999999999999998E-2</v>
      </c>
      <c r="P2838" s="1" t="s">
        <v>25484</v>
      </c>
    </row>
    <row r="2839" spans="1:16" ht="33.4" x14ac:dyDescent="0.3">
      <c r="A2839" s="6" t="str">
        <f>HYPERLINK("https://www.ti.com/product/TPS54360", "TPS54360")</f>
        <v>TPS54360</v>
      </c>
      <c r="B2839" s="5" t="s">
        <v>25485</v>
      </c>
      <c r="C2839" s="6" t="str">
        <f>HYPERLINK("https://www.ti.com/lit/gpn/TPS54360", "PDF")</f>
        <v>PDF</v>
      </c>
      <c r="D2839" s="5" t="s">
        <v>25486</v>
      </c>
      <c r="E2839" s="5" t="s">
        <v>25487</v>
      </c>
      <c r="F2839" s="5" t="s">
        <v>25488</v>
      </c>
      <c r="G2839" s="5" t="s">
        <v>25489</v>
      </c>
      <c r="H2839" s="1" t="s">
        <v>25490</v>
      </c>
      <c r="I2839" s="5" t="s">
        <v>25491</v>
      </c>
      <c r="J2839" s="7">
        <v>8</v>
      </c>
      <c r="K2839" s="7">
        <v>29.4</v>
      </c>
      <c r="L2839" s="5" t="s">
        <v>25492</v>
      </c>
      <c r="M2839" s="7">
        <v>1.7</v>
      </c>
      <c r="N2839" s="7">
        <v>1.27</v>
      </c>
      <c r="O2839" s="7">
        <v>1.849</v>
      </c>
      <c r="P2839" s="1" t="s">
        <v>25493</v>
      </c>
    </row>
    <row r="2840" spans="1:16" ht="17.05" x14ac:dyDescent="0.3">
      <c r="A2840" s="6" t="str">
        <f>HYPERLINK("https://www.ti.com/product/TPS27081A", "TPS27081A")</f>
        <v>TPS27081A</v>
      </c>
      <c r="B2840" s="5" t="s">
        <v>25494</v>
      </c>
      <c r="C2840" s="6" t="str">
        <f>HYPERLINK("https://www.ti.com/lit/gpn/TPS27081A", "PDF")</f>
        <v>PDF</v>
      </c>
      <c r="D2840" s="5" t="s">
        <v>25495</v>
      </c>
      <c r="E2840" s="5" t="s">
        <v>25496</v>
      </c>
      <c r="F2840" s="5"/>
      <c r="G2840" s="5" t="s">
        <v>25497</v>
      </c>
      <c r="H2840" s="1" t="s">
        <v>25498</v>
      </c>
      <c r="I2840" s="5" t="s">
        <v>25499</v>
      </c>
      <c r="J2840" s="7">
        <v>6</v>
      </c>
      <c r="K2840" s="7">
        <v>8.1199999999999992</v>
      </c>
      <c r="L2840" s="5" t="s">
        <v>25500</v>
      </c>
      <c r="M2840" s="7">
        <v>1.1000000000000001</v>
      </c>
      <c r="N2840" s="7">
        <v>0.95</v>
      </c>
      <c r="O2840" s="7">
        <v>0.249</v>
      </c>
      <c r="P2840" s="1" t="s">
        <v>25501</v>
      </c>
    </row>
    <row r="2841" spans="1:16" ht="33.4" x14ac:dyDescent="0.3">
      <c r="A2841" s="6" t="str">
        <f>HYPERLINK("https://www.ti.com/product/TPS5402", "TPS5402")</f>
        <v>TPS5402</v>
      </c>
      <c r="B2841" s="5" t="s">
        <v>25502</v>
      </c>
      <c r="C2841" s="6" t="str">
        <f>HYPERLINK("https://www.ti.com/lit/gpn/TPS5402", "PDF")</f>
        <v>PDF</v>
      </c>
      <c r="D2841" s="5" t="s">
        <v>25503</v>
      </c>
      <c r="E2841" s="5" t="s">
        <v>25504</v>
      </c>
      <c r="F2841" s="5" t="s">
        <v>25505</v>
      </c>
      <c r="G2841" s="5" t="s">
        <v>25506</v>
      </c>
      <c r="H2841" s="1" t="s">
        <v>25507</v>
      </c>
      <c r="I2841" s="5" t="s">
        <v>25508</v>
      </c>
      <c r="J2841" s="7">
        <v>8</v>
      </c>
      <c r="K2841" s="7">
        <v>29.4</v>
      </c>
      <c r="L2841" s="5" t="s">
        <v>25509</v>
      </c>
      <c r="M2841" s="7">
        <v>1.75</v>
      </c>
      <c r="N2841" s="7">
        <v>1.27</v>
      </c>
      <c r="O2841" s="7">
        <v>0.69599999999999995</v>
      </c>
      <c r="P2841" s="1" t="s">
        <v>25510</v>
      </c>
    </row>
    <row r="2842" spans="1:16" ht="33.4" x14ac:dyDescent="0.3">
      <c r="A2842" s="6" t="str">
        <f>HYPERLINK("https://www.ti.com/product/TPS5403", "TPS5403")</f>
        <v>TPS5403</v>
      </c>
      <c r="B2842" s="5" t="s">
        <v>25511</v>
      </c>
      <c r="C2842" s="6" t="str">
        <f>HYPERLINK("https://www.ti.com/lit/gpn/TPS5403", "PDF")</f>
        <v>PDF</v>
      </c>
      <c r="D2842" s="5" t="s">
        <v>25512</v>
      </c>
      <c r="E2842" s="5" t="s">
        <v>25513</v>
      </c>
      <c r="F2842" s="5" t="s">
        <v>25514</v>
      </c>
      <c r="G2842" s="5" t="s">
        <v>25515</v>
      </c>
      <c r="H2842" s="1" t="s">
        <v>25516</v>
      </c>
      <c r="I2842" s="5" t="s">
        <v>25517</v>
      </c>
      <c r="J2842" s="7">
        <v>8</v>
      </c>
      <c r="K2842" s="7">
        <v>29.4</v>
      </c>
      <c r="L2842" s="5" t="s">
        <v>25518</v>
      </c>
      <c r="M2842" s="7">
        <v>1.75</v>
      </c>
      <c r="N2842" s="7">
        <v>1.27</v>
      </c>
      <c r="O2842" s="7">
        <v>0.69599999999999995</v>
      </c>
      <c r="P2842" s="1" t="s">
        <v>25519</v>
      </c>
    </row>
    <row r="2843" spans="1:16" ht="17.05" x14ac:dyDescent="0.3">
      <c r="A2843" s="6" t="str">
        <f>HYPERLINK("https://www.ti.com/product/TPS23751", "TPS23751")</f>
        <v>TPS23751</v>
      </c>
      <c r="B2843" s="5" t="s">
        <v>25520</v>
      </c>
      <c r="C2843" s="6" t="str">
        <f>HYPERLINK("https://www.ti.com/lit/gpn/TPS23751", "PDF")</f>
        <v>PDF</v>
      </c>
      <c r="D2843" s="5" t="s">
        <v>25521</v>
      </c>
      <c r="E2843" s="5" t="s">
        <v>25522</v>
      </c>
      <c r="F2843" s="5"/>
      <c r="G2843" s="5" t="s">
        <v>25523</v>
      </c>
      <c r="H2843" s="1" t="s">
        <v>25524</v>
      </c>
      <c r="I2843" s="5" t="s">
        <v>25525</v>
      </c>
      <c r="J2843" s="7">
        <v>16</v>
      </c>
      <c r="K2843" s="7">
        <v>32</v>
      </c>
      <c r="L2843" s="5" t="s">
        <v>25526</v>
      </c>
      <c r="M2843" s="7">
        <v>1.2</v>
      </c>
      <c r="N2843" s="7">
        <v>0.65</v>
      </c>
      <c r="O2843" s="7">
        <v>0.96299999999999997</v>
      </c>
      <c r="P2843" s="1" t="s">
        <v>25527</v>
      </c>
    </row>
    <row r="2844" spans="1:16" ht="33.4" x14ac:dyDescent="0.3">
      <c r="A2844" s="6" t="str">
        <f>HYPERLINK("https://www.ti.com/product/TPS23752", "TPS23752")</f>
        <v>TPS23752</v>
      </c>
      <c r="B2844" s="5" t="s">
        <v>25528</v>
      </c>
      <c r="C2844" s="6" t="str">
        <f>HYPERLINK("https://www.ti.com/lit/gpn/TPS23752", "PDF")</f>
        <v>PDF</v>
      </c>
      <c r="D2844" s="5" t="s">
        <v>25529</v>
      </c>
      <c r="E2844" s="5" t="s">
        <v>25530</v>
      </c>
      <c r="F2844" s="5"/>
      <c r="G2844" s="5" t="s">
        <v>25531</v>
      </c>
      <c r="H2844" s="1" t="s">
        <v>25532</v>
      </c>
      <c r="I2844" s="5" t="s">
        <v>25533</v>
      </c>
      <c r="J2844" s="7">
        <v>20</v>
      </c>
      <c r="K2844" s="7">
        <v>41.6</v>
      </c>
      <c r="L2844" s="5" t="s">
        <v>25534</v>
      </c>
      <c r="M2844" s="7">
        <v>1.2</v>
      </c>
      <c r="N2844" s="7">
        <v>0.65</v>
      </c>
      <c r="O2844" s="7">
        <v>0.96299999999999997</v>
      </c>
      <c r="P2844" s="1" t="s">
        <v>25535</v>
      </c>
    </row>
    <row r="2845" spans="1:16" ht="33.4" x14ac:dyDescent="0.3">
      <c r="A2845" s="6" t="str">
        <f>HYPERLINK("https://www.ti.com/product/TPS53015", "TPS53015")</f>
        <v>TPS53015</v>
      </c>
      <c r="B2845" s="5" t="s">
        <v>25536</v>
      </c>
      <c r="C2845" s="6" t="str">
        <f>HYPERLINK("https://www.ti.com/lit/gpn/TPS53015", "PDF")</f>
        <v>PDF</v>
      </c>
      <c r="D2845" s="5" t="s">
        <v>25537</v>
      </c>
      <c r="E2845" s="5" t="s">
        <v>25538</v>
      </c>
      <c r="F2845" s="5" t="s">
        <v>25539</v>
      </c>
      <c r="G2845" s="5" t="s">
        <v>25540</v>
      </c>
      <c r="H2845" s="1" t="s">
        <v>25541</v>
      </c>
      <c r="I2845" s="5" t="s">
        <v>25542</v>
      </c>
      <c r="J2845" s="7">
        <v>10</v>
      </c>
      <c r="K2845" s="7">
        <v>14.7</v>
      </c>
      <c r="L2845" s="5" t="s">
        <v>25543</v>
      </c>
      <c r="M2845" s="7">
        <v>1.1000000000000001</v>
      </c>
      <c r="N2845" s="7">
        <v>0.5</v>
      </c>
      <c r="O2845" s="7">
        <v>0.54100000000000004</v>
      </c>
      <c r="P2845" s="1" t="s">
        <v>25544</v>
      </c>
    </row>
    <row r="2846" spans="1:16" ht="33.4" x14ac:dyDescent="0.3">
      <c r="A2846" s="6" t="str">
        <f>HYPERLINK("https://www.ti.com/product/TPS54362-HT", "TPS54362-HT")</f>
        <v>TPS54362-HT</v>
      </c>
      <c r="B2846" s="5" t="s">
        <v>25545</v>
      </c>
      <c r="C2846" s="6" t="str">
        <f>HYPERLINK("https://www.ti.com/lit/gpn/TPS54362-HT", "PDF")</f>
        <v>PDF</v>
      </c>
      <c r="D2846" s="5" t="s">
        <v>25546</v>
      </c>
      <c r="E2846" s="5" t="s">
        <v>25547</v>
      </c>
      <c r="F2846" s="5" t="s">
        <v>25548</v>
      </c>
      <c r="G2846" s="5" t="s">
        <v>25549</v>
      </c>
      <c r="H2846" s="1" t="s">
        <v>25550</v>
      </c>
      <c r="I2846" s="5" t="s">
        <v>25551</v>
      </c>
      <c r="J2846" s="7">
        <v>20</v>
      </c>
      <c r="K2846" s="7">
        <v>41.6</v>
      </c>
      <c r="L2846" s="5" t="s">
        <v>25552</v>
      </c>
      <c r="M2846" s="7">
        <v>1.2</v>
      </c>
      <c r="N2846" s="7">
        <v>0.65</v>
      </c>
      <c r="O2846" s="7">
        <v>130.548</v>
      </c>
      <c r="P2846" s="1" t="s">
        <v>25553</v>
      </c>
    </row>
    <row r="2847" spans="1:16" ht="33.4" x14ac:dyDescent="0.3">
      <c r="A2847" s="6" t="str">
        <f>HYPERLINK("https://www.ti.com/product/UCD3020A", "UCD3020A")</f>
        <v>UCD3020A</v>
      </c>
      <c r="B2847" s="5" t="s">
        <v>25554</v>
      </c>
      <c r="C2847" s="6" t="str">
        <f>HYPERLINK("https://www.ti.com/lit/gpn/UCD3020A", "PDF")</f>
        <v>PDF</v>
      </c>
      <c r="D2847" s="5" t="s">
        <v>25555</v>
      </c>
      <c r="E2847" s="5" t="s">
        <v>25556</v>
      </c>
      <c r="F2847" s="5"/>
      <c r="G2847" s="5" t="s">
        <v>25557</v>
      </c>
      <c r="H2847" s="1" t="s">
        <v>25558</v>
      </c>
      <c r="I2847" s="5" t="s">
        <v>25559</v>
      </c>
      <c r="J2847" s="7">
        <v>48</v>
      </c>
      <c r="K2847" s="7">
        <v>49</v>
      </c>
      <c r="L2847" s="5" t="s">
        <v>25560</v>
      </c>
      <c r="M2847" s="7">
        <v>1</v>
      </c>
      <c r="N2847" s="7">
        <v>0.5</v>
      </c>
      <c r="O2847" s="7">
        <v>2.4790000000000001</v>
      </c>
      <c r="P2847" s="1" t="s">
        <v>25561</v>
      </c>
    </row>
    <row r="2848" spans="1:16" ht="49.75" x14ac:dyDescent="0.3">
      <c r="A2848" s="6" t="str">
        <f>HYPERLINK("https://www.ti.com/product/LM25101", "LM25101")</f>
        <v>LM25101</v>
      </c>
      <c r="B2848" s="5" t="s">
        <v>25562</v>
      </c>
      <c r="C2848" s="6" t="str">
        <f>HYPERLINK("https://www.ti.com/lit/gpn/LM25101", "PDF")</f>
        <v>PDF</v>
      </c>
      <c r="D2848" s="5" t="s">
        <v>25563</v>
      </c>
      <c r="E2848" s="5" t="s">
        <v>25564</v>
      </c>
      <c r="F2848" s="5"/>
      <c r="G2848" s="5" t="s">
        <v>25565</v>
      </c>
      <c r="H2848" s="1" t="s">
        <v>25566</v>
      </c>
      <c r="I2848" s="5" t="s">
        <v>25567</v>
      </c>
      <c r="J2848" s="7" t="s">
        <v>25568</v>
      </c>
      <c r="K2848" s="7" t="s">
        <v>25569</v>
      </c>
      <c r="L2848" s="5" t="s">
        <v>25570</v>
      </c>
      <c r="M2848" s="7" t="s">
        <v>25571</v>
      </c>
      <c r="N2848" s="7" t="s">
        <v>25572</v>
      </c>
      <c r="O2848" s="7">
        <v>1.5049999999999999</v>
      </c>
      <c r="P2848" s="1" t="s">
        <v>25573</v>
      </c>
    </row>
    <row r="2849" spans="1:16" ht="82.5" x14ac:dyDescent="0.3">
      <c r="A2849" s="6" t="str">
        <f>HYPERLINK("https://www.ti.com/product/LM3262", "LM3262")</f>
        <v>LM3262</v>
      </c>
      <c r="B2849" s="5" t="s">
        <v>25574</v>
      </c>
      <c r="C2849" s="6" t="str">
        <f>HYPERLINK("https://www.ti.com/lit/gpn/LM3262", "PDF")</f>
        <v>PDF</v>
      </c>
      <c r="D2849" s="5" t="s">
        <v>25575</v>
      </c>
      <c r="E2849" s="5" t="s">
        <v>25576</v>
      </c>
      <c r="F2849" s="5" t="s">
        <v>25577</v>
      </c>
      <c r="G2849" s="5" t="s">
        <v>25578</v>
      </c>
      <c r="H2849" s="1" t="s">
        <v>25579</v>
      </c>
      <c r="I2849" s="5" t="s">
        <v>25580</v>
      </c>
      <c r="J2849" s="7">
        <v>9</v>
      </c>
      <c r="K2849" s="7">
        <v>1.9600000000000002</v>
      </c>
      <c r="L2849" s="5" t="s">
        <v>25581</v>
      </c>
      <c r="M2849" s="7">
        <v>0.67500000000000004</v>
      </c>
      <c r="N2849" s="7">
        <v>0.4</v>
      </c>
      <c r="O2849" s="7">
        <v>0.59499999999999997</v>
      </c>
      <c r="P2849" s="1" t="s">
        <v>25582</v>
      </c>
    </row>
    <row r="2850" spans="1:16" ht="17.05" x14ac:dyDescent="0.3">
      <c r="A2850" s="6" t="str">
        <f>HYPERLINK("https://www.ti.com/product/TPS25910", "TPS25910")</f>
        <v>TPS25910</v>
      </c>
      <c r="B2850" s="5" t="s">
        <v>25583</v>
      </c>
      <c r="C2850" s="6" t="str">
        <f>HYPERLINK("https://www.ti.com/lit/gpn/TPS25910", "PDF")</f>
        <v>PDF</v>
      </c>
      <c r="D2850" s="5" t="s">
        <v>25584</v>
      </c>
      <c r="E2850" s="5" t="s">
        <v>25585</v>
      </c>
      <c r="F2850" s="5"/>
      <c r="G2850" s="5" t="s">
        <v>25586</v>
      </c>
      <c r="H2850" s="1" t="s">
        <v>25587</v>
      </c>
      <c r="I2850" s="5" t="s">
        <v>25588</v>
      </c>
      <c r="J2850" s="7">
        <v>16</v>
      </c>
      <c r="K2850" s="7">
        <v>16</v>
      </c>
      <c r="L2850" s="5" t="s">
        <v>25589</v>
      </c>
      <c r="M2850" s="7">
        <v>1</v>
      </c>
      <c r="N2850" s="7">
        <v>0.65</v>
      </c>
      <c r="O2850" s="7">
        <v>1.0580000000000001</v>
      </c>
      <c r="P2850" s="1" t="s">
        <v>25590</v>
      </c>
    </row>
    <row r="2851" spans="1:16" ht="17.05" x14ac:dyDescent="0.3">
      <c r="A2851" s="6" t="str">
        <f>HYPERLINK("https://www.ti.com/product/LM3642", "LM3642")</f>
        <v>LM3642</v>
      </c>
      <c r="B2851" s="5" t="s">
        <v>25591</v>
      </c>
      <c r="C2851" s="6" t="str">
        <f>HYPERLINK("https://www.ti.com/lit/gpn/LM3642", "PDF")</f>
        <v>PDF</v>
      </c>
      <c r="D2851" s="5" t="s">
        <v>25592</v>
      </c>
      <c r="E2851" s="5" t="s">
        <v>25593</v>
      </c>
      <c r="F2851" s="5" t="s">
        <v>25594</v>
      </c>
      <c r="G2851" s="5" t="s">
        <v>25595</v>
      </c>
      <c r="H2851" s="1" t="s">
        <v>25596</v>
      </c>
      <c r="I2851" s="5" t="s">
        <v>25597</v>
      </c>
      <c r="J2851" s="7">
        <v>9</v>
      </c>
      <c r="K2851" s="7">
        <v>3.0625</v>
      </c>
      <c r="L2851" s="5" t="s">
        <v>25598</v>
      </c>
      <c r="M2851" s="7">
        <v>0.67500000000000004</v>
      </c>
      <c r="N2851" s="7">
        <v>0.5</v>
      </c>
      <c r="O2851" s="7">
        <v>0.41399999999999998</v>
      </c>
      <c r="P2851" s="1" t="s">
        <v>25599</v>
      </c>
    </row>
    <row r="2852" spans="1:16" ht="33.4" x14ac:dyDescent="0.3">
      <c r="A2852" s="6" t="str">
        <f>HYPERLINK("https://www.ti.com/product/TPS22965", "TPS22965")</f>
        <v>TPS22965</v>
      </c>
      <c r="B2852" s="5" t="s">
        <v>25600</v>
      </c>
      <c r="C2852" s="6" t="str">
        <f>HYPERLINK("https://www.ti.com/lit/gpn/TPS22965", "PDF")</f>
        <v>PDF</v>
      </c>
      <c r="D2852" s="5" t="s">
        <v>25601</v>
      </c>
      <c r="E2852" s="5" t="s">
        <v>25602</v>
      </c>
      <c r="F2852" s="5"/>
      <c r="G2852" s="5" t="s">
        <v>25603</v>
      </c>
      <c r="H2852" s="1" t="s">
        <v>25604</v>
      </c>
      <c r="I2852" s="5" t="s">
        <v>25605</v>
      </c>
      <c r="J2852" s="7">
        <v>8</v>
      </c>
      <c r="K2852" s="7">
        <v>4</v>
      </c>
      <c r="L2852" s="5" t="s">
        <v>25606</v>
      </c>
      <c r="M2852" s="7">
        <v>0.8</v>
      </c>
      <c r="N2852" s="7">
        <v>0.5</v>
      </c>
      <c r="O2852" s="7">
        <v>0.27600000000000002</v>
      </c>
      <c r="P2852" s="1" t="s">
        <v>25607</v>
      </c>
    </row>
    <row r="2853" spans="1:16" ht="33.4" x14ac:dyDescent="0.3">
      <c r="A2853" s="6" t="str">
        <f>HYPERLINK("https://www.ti.com/product/TPS84259", "TPS84259")</f>
        <v>TPS84259</v>
      </c>
      <c r="B2853" s="5" t="s">
        <v>25608</v>
      </c>
      <c r="C2853" s="6" t="str">
        <f>HYPERLINK("https://www.ti.com/lit/gpn/TPS84259", "PDF")</f>
        <v>PDF</v>
      </c>
      <c r="D2853" s="5" t="s">
        <v>25609</v>
      </c>
      <c r="E2853" s="5" t="s">
        <v>25610</v>
      </c>
      <c r="F2853" s="5" t="s">
        <v>25611</v>
      </c>
      <c r="G2853" s="5" t="s">
        <v>25612</v>
      </c>
      <c r="H2853" s="1" t="s">
        <v>25613</v>
      </c>
      <c r="I2853" s="5" t="s">
        <v>25614</v>
      </c>
      <c r="J2853" s="7">
        <v>41</v>
      </c>
      <c r="K2853" s="7">
        <v>99</v>
      </c>
      <c r="L2853" s="5" t="s">
        <v>25615</v>
      </c>
      <c r="M2853" s="7">
        <v>2.9</v>
      </c>
      <c r="N2853" s="7">
        <v>0.9</v>
      </c>
      <c r="O2853" s="7">
        <v>6.6070000000000002</v>
      </c>
      <c r="P2853" s="1" t="s">
        <v>25616</v>
      </c>
    </row>
    <row r="2854" spans="1:16" ht="33.4" x14ac:dyDescent="0.3">
      <c r="A2854" s="6" t="str">
        <f>HYPERLINK("https://www.ti.com/product/CSD18502KCS", "CSD18502KCS")</f>
        <v>CSD18502KCS</v>
      </c>
      <c r="B2854" s="5" t="s">
        <v>25617</v>
      </c>
      <c r="C2854" s="6" t="str">
        <f>HYPERLINK("https://www.ti.com/lit/gpn/CSD18502KCS", "PDF")</f>
        <v>PDF</v>
      </c>
      <c r="D2854" s="5" t="s">
        <v>25618</v>
      </c>
      <c r="E2854" s="5" t="s">
        <v>25619</v>
      </c>
      <c r="F2854" s="5"/>
      <c r="G2854" s="5" t="s">
        <v>25620</v>
      </c>
      <c r="H2854" s="1" t="s">
        <v>25621</v>
      </c>
      <c r="I2854" s="5" t="s">
        <v>25622</v>
      </c>
      <c r="J2854" s="7">
        <v>3</v>
      </c>
      <c r="K2854" s="7">
        <v>46.228000000000002</v>
      </c>
      <c r="L2854" s="5" t="s">
        <v>25623</v>
      </c>
      <c r="M2854" s="7">
        <v>4.7</v>
      </c>
      <c r="N2854" s="7">
        <v>2.54</v>
      </c>
      <c r="O2854" s="7">
        <v>0.81100000000000005</v>
      </c>
      <c r="P2854" s="1" t="s">
        <v>25624</v>
      </c>
    </row>
    <row r="2855" spans="1:16" ht="33.4" x14ac:dyDescent="0.3">
      <c r="A2855" s="6" t="str">
        <f>HYPERLINK("https://www.ti.com/product/CSD18532KCS", "CSD18532KCS")</f>
        <v>CSD18532KCS</v>
      </c>
      <c r="B2855" s="5" t="s">
        <v>25625</v>
      </c>
      <c r="C2855" s="6" t="str">
        <f>HYPERLINK("https://www.ti.com/lit/gpn/CSD18532KCS", "PDF")</f>
        <v>PDF</v>
      </c>
      <c r="D2855" s="5" t="s">
        <v>25626</v>
      </c>
      <c r="E2855" s="5" t="s">
        <v>25627</v>
      </c>
      <c r="F2855" s="5"/>
      <c r="G2855" s="5" t="s">
        <v>25628</v>
      </c>
      <c r="H2855" s="1" t="s">
        <v>25629</v>
      </c>
      <c r="I2855" s="5" t="s">
        <v>25630</v>
      </c>
      <c r="J2855" s="7">
        <v>3</v>
      </c>
      <c r="K2855" s="7">
        <v>46.228000000000002</v>
      </c>
      <c r="L2855" s="5" t="s">
        <v>25631</v>
      </c>
      <c r="M2855" s="7">
        <v>4.7</v>
      </c>
      <c r="N2855" s="7">
        <v>2.54</v>
      </c>
      <c r="O2855" s="7">
        <v>0.7</v>
      </c>
      <c r="P2855" s="1" t="s">
        <v>25632</v>
      </c>
    </row>
    <row r="2856" spans="1:16" ht="33.4" x14ac:dyDescent="0.3">
      <c r="A2856" s="6" t="str">
        <f>HYPERLINK("https://www.ti.com/product/TPS63036", "TPS63036")</f>
        <v>TPS63036</v>
      </c>
      <c r="B2856" s="5" t="s">
        <v>25633</v>
      </c>
      <c r="C2856" s="6" t="str">
        <f>HYPERLINK("https://www.ti.com/lit/gpn/TPS63036", "PDF")</f>
        <v>PDF</v>
      </c>
      <c r="D2856" s="5" t="s">
        <v>25634</v>
      </c>
      <c r="E2856" s="5" t="s">
        <v>25635</v>
      </c>
      <c r="F2856" s="5" t="s">
        <v>25636</v>
      </c>
      <c r="G2856" s="5" t="s">
        <v>25637</v>
      </c>
      <c r="H2856" s="1" t="s">
        <v>25638</v>
      </c>
      <c r="I2856" s="5" t="s">
        <v>25639</v>
      </c>
      <c r="J2856" s="7">
        <v>8</v>
      </c>
      <c r="K2856" s="7">
        <v>1.8</v>
      </c>
      <c r="L2856" s="5" t="s">
        <v>25640</v>
      </c>
      <c r="M2856" s="7">
        <v>0.625</v>
      </c>
      <c r="N2856" s="7">
        <v>0.4</v>
      </c>
      <c r="O2856" s="7">
        <v>0.79400000000000004</v>
      </c>
      <c r="P2856" s="1" t="s">
        <v>25641</v>
      </c>
    </row>
    <row r="2857" spans="1:16" ht="82.5" x14ac:dyDescent="0.3">
      <c r="A2857" s="6" t="str">
        <f>HYPERLINK("https://www.ti.com/product/TPS61259", "TPS61259")</f>
        <v>TPS61259</v>
      </c>
      <c r="B2857" s="5" t="s">
        <v>25642</v>
      </c>
      <c r="C2857" s="6" t="str">
        <f>HYPERLINK("https://www.ti.com/lit/gpn/TPS61259", "PDF")</f>
        <v>PDF</v>
      </c>
      <c r="D2857" s="5" t="s">
        <v>25643</v>
      </c>
      <c r="E2857" s="5" t="s">
        <v>25644</v>
      </c>
      <c r="F2857" s="5" t="s">
        <v>25645</v>
      </c>
      <c r="G2857" s="5" t="s">
        <v>25646</v>
      </c>
      <c r="H2857" s="1" t="s">
        <v>25647</v>
      </c>
      <c r="I2857" s="5" t="s">
        <v>25648</v>
      </c>
      <c r="J2857" s="7">
        <v>9</v>
      </c>
      <c r="K2857" s="7">
        <v>1.9600000000000002</v>
      </c>
      <c r="L2857" s="5" t="s">
        <v>25649</v>
      </c>
      <c r="M2857" s="7">
        <v>0.625</v>
      </c>
      <c r="N2857" s="7">
        <v>0.4</v>
      </c>
      <c r="O2857" s="7">
        <v>0.42</v>
      </c>
      <c r="P2857" s="1" t="s">
        <v>25650</v>
      </c>
    </row>
    <row r="2858" spans="1:16" ht="17.05" x14ac:dyDescent="0.3">
      <c r="A2858" s="6" t="str">
        <f>HYPERLINK("https://www.ti.com/product/TPS84250", "TPS84250")</f>
        <v>TPS84250</v>
      </c>
      <c r="B2858" s="5" t="s">
        <v>25651</v>
      </c>
      <c r="C2858" s="6" t="str">
        <f>HYPERLINK("https://www.ti.com/lit/gpn/TPS84250", "PDF")</f>
        <v>PDF</v>
      </c>
      <c r="D2858" s="5" t="s">
        <v>25652</v>
      </c>
      <c r="E2858" s="5" t="s">
        <v>25653</v>
      </c>
      <c r="F2858" s="5" t="s">
        <v>25654</v>
      </c>
      <c r="G2858" s="5" t="s">
        <v>25655</v>
      </c>
      <c r="H2858" s="1" t="s">
        <v>25656</v>
      </c>
      <c r="I2858" s="5" t="s">
        <v>25657</v>
      </c>
      <c r="J2858" s="7">
        <v>41</v>
      </c>
      <c r="K2858" s="7">
        <v>99</v>
      </c>
      <c r="L2858" s="5" t="s">
        <v>25658</v>
      </c>
      <c r="M2858" s="7">
        <v>2.9</v>
      </c>
      <c r="N2858" s="7">
        <v>0.9</v>
      </c>
      <c r="O2858" s="7">
        <v>8.85</v>
      </c>
      <c r="P2858" s="1" t="s">
        <v>25659</v>
      </c>
    </row>
    <row r="2859" spans="1:16" ht="33.4" x14ac:dyDescent="0.3">
      <c r="A2859" s="6" t="str">
        <f>HYPERLINK("https://www.ti.com/product/LMR10530", "LMR10530")</f>
        <v>LMR10530</v>
      </c>
      <c r="B2859" s="5" t="s">
        <v>25660</v>
      </c>
      <c r="C2859" s="6" t="str">
        <f>HYPERLINK("https://www.ti.com/lit/gpn/LMR10530", "PDF")</f>
        <v>PDF</v>
      </c>
      <c r="D2859" s="5" t="s">
        <v>25661</v>
      </c>
      <c r="E2859" s="5" t="s">
        <v>25662</v>
      </c>
      <c r="F2859" s="5" t="s">
        <v>25663</v>
      </c>
      <c r="G2859" s="5" t="s">
        <v>25664</v>
      </c>
      <c r="H2859" s="1" t="s">
        <v>25665</v>
      </c>
      <c r="I2859" s="5" t="s">
        <v>25666</v>
      </c>
      <c r="J2859" s="7">
        <v>10</v>
      </c>
      <c r="K2859" s="7">
        <v>9</v>
      </c>
      <c r="L2859" s="5" t="s">
        <v>25667</v>
      </c>
      <c r="M2859" s="7">
        <v>0.8</v>
      </c>
      <c r="N2859" s="7">
        <v>0.5</v>
      </c>
      <c r="O2859" s="7">
        <v>0.53100000000000003</v>
      </c>
      <c r="P2859" s="1" t="s">
        <v>25668</v>
      </c>
    </row>
    <row r="2860" spans="1:16" ht="33.4" x14ac:dyDescent="0.3">
      <c r="A2860" s="6" t="str">
        <f>HYPERLINK("https://www.ti.com/product/LMR12015", "LMR12015")</f>
        <v>LMR12015</v>
      </c>
      <c r="B2860" s="5" t="s">
        <v>25669</v>
      </c>
      <c r="C2860" s="6" t="str">
        <f>HYPERLINK("https://www.ti.com/lit/gpn/LMR12015", "PDF")</f>
        <v>PDF</v>
      </c>
      <c r="D2860" s="5" t="s">
        <v>25670</v>
      </c>
      <c r="E2860" s="5" t="s">
        <v>25671</v>
      </c>
      <c r="F2860" s="5" t="s">
        <v>25672</v>
      </c>
      <c r="G2860" s="5" t="s">
        <v>25673</v>
      </c>
      <c r="H2860" s="1" t="s">
        <v>25674</v>
      </c>
      <c r="I2860" s="5" t="s">
        <v>25675</v>
      </c>
      <c r="J2860" s="7">
        <v>10</v>
      </c>
      <c r="K2860" s="7">
        <v>9</v>
      </c>
      <c r="L2860" s="5" t="s">
        <v>25676</v>
      </c>
      <c r="M2860" s="7">
        <v>0.8</v>
      </c>
      <c r="N2860" s="7">
        <v>0.5</v>
      </c>
      <c r="O2860" s="7">
        <v>1.0880000000000001</v>
      </c>
      <c r="P2860" s="1" t="s">
        <v>25677</v>
      </c>
    </row>
    <row r="2861" spans="1:16" ht="33.4" x14ac:dyDescent="0.3">
      <c r="A2861" s="6" t="str">
        <f>HYPERLINK("https://www.ti.com/product/LMR12020", "LMR12020")</f>
        <v>LMR12020</v>
      </c>
      <c r="B2861" s="5" t="s">
        <v>25678</v>
      </c>
      <c r="C2861" s="6" t="str">
        <f>HYPERLINK("https://www.ti.com/lit/gpn/LMR12020", "PDF")</f>
        <v>PDF</v>
      </c>
      <c r="D2861" s="5" t="s">
        <v>25679</v>
      </c>
      <c r="E2861" s="5" t="s">
        <v>25680</v>
      </c>
      <c r="F2861" s="5" t="s">
        <v>25681</v>
      </c>
      <c r="G2861" s="5" t="s">
        <v>25682</v>
      </c>
      <c r="H2861" s="1" t="s">
        <v>25683</v>
      </c>
      <c r="I2861" s="5" t="s">
        <v>25684</v>
      </c>
      <c r="J2861" s="7">
        <v>10</v>
      </c>
      <c r="K2861" s="7">
        <v>9</v>
      </c>
      <c r="L2861" s="5" t="s">
        <v>25685</v>
      </c>
      <c r="M2861" s="7">
        <v>0.8</v>
      </c>
      <c r="N2861" s="7">
        <v>0.5</v>
      </c>
      <c r="O2861" s="7">
        <v>1.216</v>
      </c>
      <c r="P2861" s="1" t="s">
        <v>25686</v>
      </c>
    </row>
    <row r="2862" spans="1:16" ht="33.4" x14ac:dyDescent="0.3">
      <c r="A2862" s="6" t="str">
        <f>HYPERLINK("https://www.ti.com/product/LMR61428", "LMR61428")</f>
        <v>LMR61428</v>
      </c>
      <c r="B2862" s="5" t="s">
        <v>25687</v>
      </c>
      <c r="C2862" s="6" t="str">
        <f>HYPERLINK("https://www.ti.com/lit/gpn/LMR61428", "PDF")</f>
        <v>PDF</v>
      </c>
      <c r="D2862" s="5" t="s">
        <v>25688</v>
      </c>
      <c r="E2862" s="5" t="s">
        <v>25689</v>
      </c>
      <c r="F2862" s="5" t="s">
        <v>25690</v>
      </c>
      <c r="G2862" s="5" t="s">
        <v>25691</v>
      </c>
      <c r="H2862" s="1" t="s">
        <v>25692</v>
      </c>
      <c r="I2862" s="5" t="s">
        <v>25693</v>
      </c>
      <c r="J2862" s="7">
        <v>8</v>
      </c>
      <c r="K2862" s="7">
        <v>14.7</v>
      </c>
      <c r="L2862" s="5" t="s">
        <v>25694</v>
      </c>
      <c r="M2862" s="7">
        <v>1.1000000000000001</v>
      </c>
      <c r="N2862" s="7">
        <v>0.65</v>
      </c>
      <c r="O2862" s="7">
        <v>0.75700000000000001</v>
      </c>
      <c r="P2862" s="1" t="s">
        <v>25695</v>
      </c>
    </row>
    <row r="2863" spans="1:16" ht="33.4" x14ac:dyDescent="0.3">
      <c r="A2863" s="6" t="str">
        <f>HYPERLINK("https://www.ti.com/product/UCC27201A-DIE", "UCC27201A-DIE")</f>
        <v>UCC27201A-DIE</v>
      </c>
      <c r="B2863" s="5" t="s">
        <v>25696</v>
      </c>
      <c r="C2863" s="6" t="str">
        <f>HYPERLINK("https://www.ti.com/lit/gpn/UCC27201A-DIE", "PDF")</f>
        <v>PDF</v>
      </c>
      <c r="D2863" s="5" t="s">
        <v>25697</v>
      </c>
      <c r="E2863" s="5" t="s">
        <v>25698</v>
      </c>
      <c r="F2863" s="5"/>
      <c r="G2863" s="5" t="s">
        <v>25699</v>
      </c>
      <c r="H2863" s="1" t="s">
        <v>25700</v>
      </c>
      <c r="I2863" s="5" t="s">
        <v>25701</v>
      </c>
      <c r="J2863" s="7">
        <v>0</v>
      </c>
      <c r="K2863" s="7" t="s">
        <v>25702</v>
      </c>
      <c r="L2863" s="5" t="s">
        <v>25703</v>
      </c>
      <c r="M2863" s="7" t="s">
        <v>25704</v>
      </c>
      <c r="N2863" s="7" t="s">
        <v>25705</v>
      </c>
      <c r="O2863" s="7">
        <v>2.9910000000000001</v>
      </c>
      <c r="P2863" s="1" t="s">
        <v>25706</v>
      </c>
    </row>
    <row r="2864" spans="1:16" ht="33.4" x14ac:dyDescent="0.3">
      <c r="A2864" s="6" t="str">
        <f>HYPERLINK("https://www.ti.com/product/LM34925", "LM34925")</f>
        <v>LM34925</v>
      </c>
      <c r="B2864" s="5" t="s">
        <v>25707</v>
      </c>
      <c r="C2864" s="6" t="str">
        <f>HYPERLINK("https://www.ti.com/lit/gpn/LM34925", "PDF")</f>
        <v>PDF</v>
      </c>
      <c r="D2864" s="5" t="s">
        <v>25708</v>
      </c>
      <c r="E2864" s="5" t="s">
        <v>25709</v>
      </c>
      <c r="F2864" s="5" t="s">
        <v>25710</v>
      </c>
      <c r="G2864" s="5" t="s">
        <v>25711</v>
      </c>
      <c r="H2864" s="1" t="s">
        <v>25712</v>
      </c>
      <c r="I2864" s="5" t="s">
        <v>25713</v>
      </c>
      <c r="J2864" s="7">
        <v>8</v>
      </c>
      <c r="K2864" s="7" t="s">
        <v>25714</v>
      </c>
      <c r="L2864" s="5" t="s">
        <v>25715</v>
      </c>
      <c r="M2864" s="7" t="s">
        <v>25716</v>
      </c>
      <c r="N2864" s="7" t="s">
        <v>25717</v>
      </c>
      <c r="O2864" s="7">
        <v>0.98699999999999999</v>
      </c>
      <c r="P2864" s="1" t="s">
        <v>25718</v>
      </c>
    </row>
    <row r="2865" spans="1:16" ht="33.4" x14ac:dyDescent="0.3">
      <c r="A2865" s="6" t="str">
        <f>HYPERLINK("https://www.ti.com/product/LM34926", "LM34926")</f>
        <v>LM34926</v>
      </c>
      <c r="B2865" s="5" t="s">
        <v>25719</v>
      </c>
      <c r="C2865" s="6" t="str">
        <f>HYPERLINK("https://www.ti.com/lit/gpn/LM34926", "PDF")</f>
        <v>PDF</v>
      </c>
      <c r="D2865" s="5" t="s">
        <v>25720</v>
      </c>
      <c r="E2865" s="5" t="s">
        <v>25721</v>
      </c>
      <c r="F2865" s="5" t="s">
        <v>25722</v>
      </c>
      <c r="G2865" s="5" t="s">
        <v>25723</v>
      </c>
      <c r="H2865" s="1" t="s">
        <v>25724</v>
      </c>
      <c r="I2865" s="5" t="s">
        <v>25725</v>
      </c>
      <c r="J2865" s="7">
        <v>8</v>
      </c>
      <c r="K2865" s="7" t="s">
        <v>25726</v>
      </c>
      <c r="L2865" s="5" t="s">
        <v>25727</v>
      </c>
      <c r="M2865" s="7" t="s">
        <v>25728</v>
      </c>
      <c r="N2865" s="7" t="s">
        <v>25729</v>
      </c>
      <c r="O2865" s="7">
        <v>1.2270000000000001</v>
      </c>
      <c r="P2865" s="1" t="s">
        <v>25730</v>
      </c>
    </row>
    <row r="2866" spans="1:16" ht="33.4" x14ac:dyDescent="0.3">
      <c r="A2866" s="6" t="str">
        <f>HYPERLINK("https://www.ti.com/product/LM5018", "LM5018")</f>
        <v>LM5018</v>
      </c>
      <c r="B2866" s="5" t="s">
        <v>25731</v>
      </c>
      <c r="C2866" s="6" t="str">
        <f>HYPERLINK("https://www.ti.com/lit/gpn/LM5018", "PDF")</f>
        <v>PDF</v>
      </c>
      <c r="D2866" s="5" t="s">
        <v>25732</v>
      </c>
      <c r="E2866" s="5" t="s">
        <v>25733</v>
      </c>
      <c r="F2866" s="5" t="s">
        <v>25734</v>
      </c>
      <c r="G2866" s="5" t="s">
        <v>25735</v>
      </c>
      <c r="H2866" s="1" t="s">
        <v>25736</v>
      </c>
      <c r="I2866" s="5" t="s">
        <v>25737</v>
      </c>
      <c r="J2866" s="7">
        <v>8</v>
      </c>
      <c r="K2866" s="7" t="s">
        <v>25738</v>
      </c>
      <c r="L2866" s="5" t="s">
        <v>25739</v>
      </c>
      <c r="M2866" s="7" t="s">
        <v>25740</v>
      </c>
      <c r="N2866" s="7" t="s">
        <v>25741</v>
      </c>
      <c r="O2866" s="7">
        <v>1.3660000000000001</v>
      </c>
      <c r="P2866" s="1" t="s">
        <v>25742</v>
      </c>
    </row>
    <row r="2867" spans="1:16" ht="33.4" x14ac:dyDescent="0.3">
      <c r="A2867" s="6" t="str">
        <f>HYPERLINK("https://www.ti.com/product/LM5019", "LM5019")</f>
        <v>LM5019</v>
      </c>
      <c r="B2867" s="5" t="s">
        <v>25743</v>
      </c>
      <c r="C2867" s="6" t="str">
        <f>HYPERLINK("https://www.ti.com/lit/gpn/LM5019", "PDF")</f>
        <v>PDF</v>
      </c>
      <c r="D2867" s="5" t="s">
        <v>25744</v>
      </c>
      <c r="E2867" s="5" t="s">
        <v>25745</v>
      </c>
      <c r="F2867" s="5" t="s">
        <v>25746</v>
      </c>
      <c r="G2867" s="5" t="s">
        <v>25747</v>
      </c>
      <c r="H2867" s="1" t="s">
        <v>25748</v>
      </c>
      <c r="I2867" s="5" t="s">
        <v>25749</v>
      </c>
      <c r="J2867" s="7">
        <v>8</v>
      </c>
      <c r="K2867" s="7" t="s">
        <v>25750</v>
      </c>
      <c r="L2867" s="5" t="s">
        <v>25751</v>
      </c>
      <c r="M2867" s="7" t="s">
        <v>25752</v>
      </c>
      <c r="N2867" s="7" t="s">
        <v>25753</v>
      </c>
      <c r="O2867" s="7">
        <v>1.101</v>
      </c>
      <c r="P2867" s="1" t="s">
        <v>25754</v>
      </c>
    </row>
    <row r="2868" spans="1:16" ht="33.4" x14ac:dyDescent="0.3">
      <c r="A2868" s="6" t="str">
        <f>HYPERLINK("https://www.ti.com/product/TPS43333-Q1", "TPS43333-Q1")</f>
        <v>TPS43333-Q1</v>
      </c>
      <c r="B2868" s="5" t="s">
        <v>25755</v>
      </c>
      <c r="C2868" s="6" t="str">
        <f>HYPERLINK("https://www.ti.com/lit/gpn/TPS43333-Q1", "PDF")</f>
        <v>PDF</v>
      </c>
      <c r="D2868" s="5" t="s">
        <v>25756</v>
      </c>
      <c r="E2868" s="5" t="s">
        <v>25757</v>
      </c>
      <c r="F2868" s="5"/>
      <c r="G2868" s="5" t="s">
        <v>25758</v>
      </c>
      <c r="H2868" s="1" t="s">
        <v>25759</v>
      </c>
      <c r="I2868" s="5" t="s">
        <v>25760</v>
      </c>
      <c r="J2868" s="7">
        <v>38</v>
      </c>
      <c r="K2868" s="7">
        <v>101.25</v>
      </c>
      <c r="L2868" s="5" t="s">
        <v>25761</v>
      </c>
      <c r="M2868" s="7">
        <v>1.2</v>
      </c>
      <c r="N2868" s="7">
        <v>0.65</v>
      </c>
      <c r="O2868" s="7">
        <v>2.5350000000000001</v>
      </c>
      <c r="P2868" s="1" t="s">
        <v>25762</v>
      </c>
    </row>
    <row r="2869" spans="1:16" ht="33.4" x14ac:dyDescent="0.3">
      <c r="A2869" s="6" t="str">
        <f>HYPERLINK("https://www.ti.com/product/LP38869", "LP38869")</f>
        <v>LP38869</v>
      </c>
      <c r="B2869" s="5" t="s">
        <v>25763</v>
      </c>
      <c r="C2869" s="6" t="str">
        <f>HYPERLINK("https://www.ti.com/lit/gpn/LP38869", "PDF")</f>
        <v>PDF</v>
      </c>
      <c r="D2869" s="5" t="s">
        <v>25764</v>
      </c>
      <c r="E2869" s="5" t="s">
        <v>25765</v>
      </c>
      <c r="F2869" s="5"/>
      <c r="G2869" s="5" t="s">
        <v>25766</v>
      </c>
      <c r="H2869" s="1" t="s">
        <v>25767</v>
      </c>
      <c r="I2869" s="5" t="s">
        <v>25768</v>
      </c>
      <c r="J2869" s="7">
        <v>16</v>
      </c>
      <c r="K2869" s="7">
        <v>32</v>
      </c>
      <c r="L2869" s="5" t="s">
        <v>25769</v>
      </c>
      <c r="M2869" s="7">
        <v>1.2</v>
      </c>
      <c r="N2869" s="7">
        <v>0.65</v>
      </c>
      <c r="O2869" s="7">
        <v>1.0760000000000001</v>
      </c>
      <c r="P2869" s="1" t="s">
        <v>25770</v>
      </c>
    </row>
    <row r="2870" spans="1:16" ht="33.4" x14ac:dyDescent="0.3">
      <c r="A2870" s="6" t="str">
        <f>HYPERLINK("https://www.ti.com/product/LP8556", "LP8556")</f>
        <v>LP8556</v>
      </c>
      <c r="B2870" s="5" t="s">
        <v>25771</v>
      </c>
      <c r="C2870" s="6" t="str">
        <f>HYPERLINK("https://www.ti.com/lit/gpn/LP8556", "PDF")</f>
        <v>PDF</v>
      </c>
      <c r="D2870" s="5" t="s">
        <v>25772</v>
      </c>
      <c r="E2870" s="5" t="s">
        <v>25773</v>
      </c>
      <c r="F2870" s="5" t="s">
        <v>25774</v>
      </c>
      <c r="G2870" s="5" t="s">
        <v>25775</v>
      </c>
      <c r="H2870" s="1" t="s">
        <v>25776</v>
      </c>
      <c r="I2870" s="5" t="s">
        <v>25777</v>
      </c>
      <c r="J2870" s="7" t="s">
        <v>25778</v>
      </c>
      <c r="K2870" s="7" t="s">
        <v>25779</v>
      </c>
      <c r="L2870" s="5" t="s">
        <v>25780</v>
      </c>
      <c r="M2870" s="7" t="s">
        <v>25781</v>
      </c>
      <c r="N2870" s="7" t="s">
        <v>25782</v>
      </c>
      <c r="O2870" s="7">
        <v>0.34499999999999997</v>
      </c>
      <c r="P2870" s="1" t="s">
        <v>25783</v>
      </c>
    </row>
    <row r="2871" spans="1:16" ht="33.4" x14ac:dyDescent="0.3">
      <c r="A2871" s="6" t="str">
        <f>HYPERLINK("https://www.ti.com/product/TPS2530", "TPS2530")</f>
        <v>TPS2530</v>
      </c>
      <c r="B2871" s="5" t="s">
        <v>25784</v>
      </c>
      <c r="C2871" s="6" t="str">
        <f>HYPERLINK("https://www.ti.com/lit/gpn/TPS2530", "PDF")</f>
        <v>PDF</v>
      </c>
      <c r="D2871" s="5" t="s">
        <v>25785</v>
      </c>
      <c r="E2871" s="5" t="s">
        <v>25786</v>
      </c>
      <c r="F2871" s="5"/>
      <c r="G2871" s="5" t="s">
        <v>25787</v>
      </c>
      <c r="H2871" s="1" t="s">
        <v>25788</v>
      </c>
      <c r="I2871" s="5" t="s">
        <v>25789</v>
      </c>
      <c r="J2871" s="7">
        <v>5</v>
      </c>
      <c r="K2871" s="7">
        <v>8.1199999999999992</v>
      </c>
      <c r="L2871" s="5" t="s">
        <v>25790</v>
      </c>
      <c r="M2871" s="7">
        <v>1.45</v>
      </c>
      <c r="N2871" s="7">
        <v>0.95</v>
      </c>
      <c r="O2871" s="7">
        <v>0.54200000000000004</v>
      </c>
      <c r="P2871" s="1" t="s">
        <v>25791</v>
      </c>
    </row>
    <row r="2872" spans="1:16" ht="33.4" x14ac:dyDescent="0.3">
      <c r="A2872" s="6" t="str">
        <f>HYPERLINK("https://www.ti.com/product/TPS65281", "TPS65281")</f>
        <v>TPS65281</v>
      </c>
      <c r="B2872" s="5" t="s">
        <v>25792</v>
      </c>
      <c r="C2872" s="6" t="str">
        <f>HYPERLINK("https://www.ti.com/lit/gpn/TPS65281", "PDF")</f>
        <v>PDF</v>
      </c>
      <c r="D2872" s="5" t="s">
        <v>25793</v>
      </c>
      <c r="E2872" s="5" t="s">
        <v>25794</v>
      </c>
      <c r="F2872" s="5" t="s">
        <v>25795</v>
      </c>
      <c r="G2872" s="5" t="s">
        <v>25796</v>
      </c>
      <c r="H2872" s="1" t="s">
        <v>25797</v>
      </c>
      <c r="I2872" s="5" t="s">
        <v>25798</v>
      </c>
      <c r="J2872" s="7">
        <v>16</v>
      </c>
      <c r="K2872" s="7">
        <v>16</v>
      </c>
      <c r="L2872" s="5" t="s">
        <v>25799</v>
      </c>
      <c r="M2872" s="7">
        <v>1</v>
      </c>
      <c r="N2872" s="7">
        <v>0.65</v>
      </c>
      <c r="O2872" s="7">
        <v>0.85</v>
      </c>
      <c r="P2872" s="1" t="s">
        <v>25800</v>
      </c>
    </row>
    <row r="2873" spans="1:16" ht="17.05" x14ac:dyDescent="0.3">
      <c r="A2873" s="6" t="str">
        <f>HYPERLINK("https://www.ti.com/product/TPS65632A", "TPS65632A")</f>
        <v>TPS65632A</v>
      </c>
      <c r="B2873" s="5" t="s">
        <v>25801</v>
      </c>
      <c r="C2873" s="6" t="str">
        <f>HYPERLINK("https://www.ti.com/lit/gpn/TPS65632A", "PDF")</f>
        <v>PDF</v>
      </c>
      <c r="D2873" s="5" t="s">
        <v>25802</v>
      </c>
      <c r="E2873" s="5" t="s">
        <v>25803</v>
      </c>
      <c r="F2873" s="5" t="s">
        <v>25804</v>
      </c>
      <c r="G2873" s="5" t="s">
        <v>25805</v>
      </c>
      <c r="H2873" s="1" t="s">
        <v>25806</v>
      </c>
      <c r="I2873" s="5" t="s">
        <v>25807</v>
      </c>
      <c r="J2873" s="7">
        <v>16</v>
      </c>
      <c r="K2873" s="7">
        <v>9</v>
      </c>
      <c r="L2873" s="5" t="s">
        <v>25808</v>
      </c>
      <c r="M2873" s="7">
        <v>0.8</v>
      </c>
      <c r="N2873" s="7">
        <v>0.5</v>
      </c>
      <c r="O2873" s="7">
        <v>0.86</v>
      </c>
      <c r="P2873" s="1" t="s">
        <v>25809</v>
      </c>
    </row>
    <row r="2874" spans="1:16" ht="33.4" x14ac:dyDescent="0.3">
      <c r="A2874" s="6" t="str">
        <f>HYPERLINK("https://www.ti.com/product/UCC28701", "UCC28701")</f>
        <v>UCC28701</v>
      </c>
      <c r="B2874" s="5" t="s">
        <v>25810</v>
      </c>
      <c r="C2874" s="6" t="str">
        <f>HYPERLINK("https://www.ti.com/lit/gpn/UCC28701", "PDF")</f>
        <v>PDF</v>
      </c>
      <c r="D2874" s="5" t="s">
        <v>25811</v>
      </c>
      <c r="E2874" s="5" t="s">
        <v>25812</v>
      </c>
      <c r="F2874" s="5" t="s">
        <v>25813</v>
      </c>
      <c r="G2874" s="5" t="s">
        <v>25814</v>
      </c>
      <c r="H2874" s="1" t="s">
        <v>25815</v>
      </c>
      <c r="I2874" s="5" t="s">
        <v>25816</v>
      </c>
      <c r="J2874" s="7">
        <v>6</v>
      </c>
      <c r="K2874" s="7">
        <v>8.1199999999999992</v>
      </c>
      <c r="L2874" s="5" t="s">
        <v>25817</v>
      </c>
      <c r="M2874" s="7">
        <v>1.45</v>
      </c>
      <c r="N2874" s="7">
        <v>0.95</v>
      </c>
      <c r="O2874" s="7">
        <v>0.443</v>
      </c>
      <c r="P2874" s="1" t="s">
        <v>25818</v>
      </c>
    </row>
    <row r="2875" spans="1:16" ht="49.75" x14ac:dyDescent="0.3">
      <c r="A2875" s="6" t="str">
        <f>HYPERLINK("https://www.ti.com/product/TPS62366A", "TPS62366A")</f>
        <v>TPS62366A</v>
      </c>
      <c r="B2875" s="5" t="s">
        <v>25819</v>
      </c>
      <c r="C2875" s="6" t="str">
        <f>HYPERLINK("https://www.ti.com/lit/gpn/TPS62366A", "PDF")</f>
        <v>PDF</v>
      </c>
      <c r="D2875" s="5" t="s">
        <v>25820</v>
      </c>
      <c r="E2875" s="5" t="s">
        <v>25821</v>
      </c>
      <c r="F2875" s="5" t="s">
        <v>25822</v>
      </c>
      <c r="G2875" s="5" t="s">
        <v>25823</v>
      </c>
      <c r="H2875" s="1" t="s">
        <v>25824</v>
      </c>
      <c r="I2875" s="5" t="s">
        <v>25825</v>
      </c>
      <c r="J2875" s="7">
        <v>16</v>
      </c>
      <c r="K2875" s="7">
        <v>5.0625</v>
      </c>
      <c r="L2875" s="5" t="s">
        <v>25826</v>
      </c>
      <c r="M2875" s="7">
        <v>0.625</v>
      </c>
      <c r="N2875" s="7">
        <v>0.5</v>
      </c>
      <c r="O2875" s="7">
        <v>0.88</v>
      </c>
      <c r="P2875" s="1" t="s">
        <v>25827</v>
      </c>
    </row>
    <row r="2876" spans="1:16" ht="49.75" x14ac:dyDescent="0.3">
      <c r="A2876" s="6" t="str">
        <f>HYPERLINK("https://www.ti.com/product/TPS62366B", "TPS62366B")</f>
        <v>TPS62366B</v>
      </c>
      <c r="B2876" s="5" t="s">
        <v>25828</v>
      </c>
      <c r="C2876" s="6" t="str">
        <f>HYPERLINK("https://www.ti.com/lit/gpn/TPS62366B", "PDF")</f>
        <v>PDF</v>
      </c>
      <c r="D2876" s="5" t="s">
        <v>25829</v>
      </c>
      <c r="E2876" s="5" t="s">
        <v>25830</v>
      </c>
      <c r="F2876" s="5" t="s">
        <v>25831</v>
      </c>
      <c r="G2876" s="5" t="s">
        <v>25832</v>
      </c>
      <c r="H2876" s="1" t="s">
        <v>25833</v>
      </c>
      <c r="I2876" s="5" t="s">
        <v>25834</v>
      </c>
      <c r="J2876" s="7">
        <v>16</v>
      </c>
      <c r="K2876" s="7">
        <v>5.0625</v>
      </c>
      <c r="L2876" s="5" t="s">
        <v>25835</v>
      </c>
      <c r="M2876" s="7">
        <v>0.625</v>
      </c>
      <c r="N2876" s="7">
        <v>0.5</v>
      </c>
      <c r="O2876" s="7">
        <v>0.88</v>
      </c>
      <c r="P2876" s="1" t="s">
        <v>25836</v>
      </c>
    </row>
    <row r="2877" spans="1:16" ht="33.4" x14ac:dyDescent="0.3">
      <c r="A2877" s="6" t="str">
        <f>HYPERLINK("https://www.ti.com/product/TPS542951", "TPS542951")</f>
        <v>TPS542951</v>
      </c>
      <c r="B2877" s="5" t="s">
        <v>25837</v>
      </c>
      <c r="C2877" s="6" t="str">
        <f>HYPERLINK("https://www.ti.com/lit/gpn/TPS542951", "PDF")</f>
        <v>PDF</v>
      </c>
      <c r="D2877" s="5" t="s">
        <v>25838</v>
      </c>
      <c r="E2877" s="5" t="s">
        <v>25839</v>
      </c>
      <c r="F2877" s="5" t="s">
        <v>25840</v>
      </c>
      <c r="G2877" s="5" t="s">
        <v>25841</v>
      </c>
      <c r="H2877" s="1" t="s">
        <v>25842</v>
      </c>
      <c r="I2877" s="5" t="s">
        <v>25843</v>
      </c>
      <c r="J2877" s="7">
        <v>16</v>
      </c>
      <c r="K2877" s="7" t="s">
        <v>25844</v>
      </c>
      <c r="L2877" s="5" t="s">
        <v>25845</v>
      </c>
      <c r="M2877" s="7" t="s">
        <v>25846</v>
      </c>
      <c r="N2877" s="7">
        <v>0.65</v>
      </c>
      <c r="O2877" s="7">
        <v>1.1679999999999999</v>
      </c>
      <c r="P2877" s="1" t="s">
        <v>25847</v>
      </c>
    </row>
    <row r="2878" spans="1:16" ht="33.4" x14ac:dyDescent="0.3">
      <c r="A2878" s="6" t="str">
        <f>HYPERLINK("https://www.ti.com/product/TPS7A33", "TPS7A33")</f>
        <v>TPS7A33</v>
      </c>
      <c r="B2878" s="5" t="s">
        <v>25848</v>
      </c>
      <c r="C2878" s="6" t="str">
        <f>HYPERLINK("https://www.ti.com/lit/gpn/TPS7A33", "PDF")</f>
        <v>PDF</v>
      </c>
      <c r="D2878" s="5" t="s">
        <v>25849</v>
      </c>
      <c r="E2878" s="5" t="s">
        <v>25850</v>
      </c>
      <c r="F2878" s="5"/>
      <c r="G2878" s="5" t="s">
        <v>25851</v>
      </c>
      <c r="H2878" s="1" t="s">
        <v>25852</v>
      </c>
      <c r="I2878" s="5" t="s">
        <v>25853</v>
      </c>
      <c r="J2878" s="7">
        <v>20</v>
      </c>
      <c r="K2878" s="7">
        <v>25</v>
      </c>
      <c r="L2878" s="5" t="s">
        <v>25854</v>
      </c>
      <c r="M2878" s="7">
        <v>1</v>
      </c>
      <c r="N2878" s="7">
        <v>0.65</v>
      </c>
      <c r="O2878" s="7">
        <v>2.66</v>
      </c>
      <c r="P2878" s="1" t="s">
        <v>25855</v>
      </c>
    </row>
    <row r="2879" spans="1:16" ht="33.4" x14ac:dyDescent="0.3">
      <c r="A2879" s="6" t="str">
        <f>HYPERLINK("https://www.ti.com/product/TPS542941", "TPS542941")</f>
        <v>TPS542941</v>
      </c>
      <c r="B2879" s="5" t="s">
        <v>25856</v>
      </c>
      <c r="C2879" s="6" t="str">
        <f>HYPERLINK("https://www.ti.com/lit/gpn/TPS542941", "PDF")</f>
        <v>PDF</v>
      </c>
      <c r="D2879" s="5" t="s">
        <v>25857</v>
      </c>
      <c r="E2879" s="5" t="s">
        <v>25858</v>
      </c>
      <c r="F2879" s="5" t="s">
        <v>25859</v>
      </c>
      <c r="G2879" s="5" t="s">
        <v>25860</v>
      </c>
      <c r="H2879" s="1" t="s">
        <v>25861</v>
      </c>
      <c r="I2879" s="5" t="s">
        <v>25862</v>
      </c>
      <c r="J2879" s="7">
        <v>16</v>
      </c>
      <c r="K2879" s="7" t="s">
        <v>25863</v>
      </c>
      <c r="L2879" s="5" t="s">
        <v>25864</v>
      </c>
      <c r="M2879" s="7" t="s">
        <v>25865</v>
      </c>
      <c r="N2879" s="7">
        <v>0.65</v>
      </c>
      <c r="O2879" s="7">
        <v>1.1679999999999999</v>
      </c>
      <c r="P2879" s="1" t="s">
        <v>25866</v>
      </c>
    </row>
    <row r="2880" spans="1:16" ht="33.4" x14ac:dyDescent="0.3">
      <c r="A2880" s="6" t="str">
        <f>HYPERLINK("https://www.ti.com/product/TPS2456A", "TPS2456A")</f>
        <v>TPS2456A</v>
      </c>
      <c r="B2880" s="5" t="s">
        <v>25867</v>
      </c>
      <c r="C2880" s="6" t="str">
        <f>HYPERLINK("https://www.ti.com/lit/gpn/TPS2456A", "PDF")</f>
        <v>PDF</v>
      </c>
      <c r="D2880" s="5" t="s">
        <v>25868</v>
      </c>
      <c r="E2880" s="5" t="s">
        <v>25869</v>
      </c>
      <c r="F2880" s="5"/>
      <c r="G2880" s="5" t="s">
        <v>25870</v>
      </c>
      <c r="H2880" s="1" t="s">
        <v>25871</v>
      </c>
      <c r="I2880" s="5" t="s">
        <v>25872</v>
      </c>
      <c r="J2880" s="7">
        <v>36</v>
      </c>
      <c r="K2880" s="7">
        <v>36</v>
      </c>
      <c r="L2880" s="5" t="s">
        <v>25873</v>
      </c>
      <c r="M2880" s="7">
        <v>1</v>
      </c>
      <c r="N2880" s="7">
        <v>0.5</v>
      </c>
      <c r="O2880" s="7">
        <v>4.0149999999999997</v>
      </c>
      <c r="P2880" s="1" t="s">
        <v>25874</v>
      </c>
    </row>
    <row r="2881" spans="1:16" ht="33.4" x14ac:dyDescent="0.3">
      <c r="A2881" s="6" t="str">
        <f>HYPERLINK("https://www.ti.com/product/LM3269", "LM3269")</f>
        <v>LM3269</v>
      </c>
      <c r="B2881" s="5" t="s">
        <v>25875</v>
      </c>
      <c r="C2881" s="6" t="str">
        <f>HYPERLINK("https://www.ti.com/lit/gpn/LM3269", "PDF")</f>
        <v>PDF</v>
      </c>
      <c r="D2881" s="5" t="s">
        <v>25876</v>
      </c>
      <c r="E2881" s="5" t="s">
        <v>25877</v>
      </c>
      <c r="F2881" s="5" t="s">
        <v>25878</v>
      </c>
      <c r="G2881" s="5" t="s">
        <v>25879</v>
      </c>
      <c r="H2881" s="1" t="s">
        <v>25880</v>
      </c>
      <c r="I2881" s="5" t="s">
        <v>25881</v>
      </c>
      <c r="J2881" s="7">
        <v>12</v>
      </c>
      <c r="K2881" s="7">
        <v>3.9375</v>
      </c>
      <c r="L2881" s="5" t="s">
        <v>25882</v>
      </c>
      <c r="M2881" s="7">
        <v>0.67500000000000004</v>
      </c>
      <c r="N2881" s="7">
        <v>0.5</v>
      </c>
      <c r="O2881" s="7">
        <v>0.75900000000000001</v>
      </c>
      <c r="P2881" s="1" t="s">
        <v>25883</v>
      </c>
    </row>
    <row r="2882" spans="1:16" ht="17.05" x14ac:dyDescent="0.3">
      <c r="A2882" s="6" t="str">
        <f>HYPERLINK("https://www.ti.com/product/TPS22908", "TPS22908")</f>
        <v>TPS22908</v>
      </c>
      <c r="B2882" s="5" t="s">
        <v>25884</v>
      </c>
      <c r="C2882" s="6" t="str">
        <f>HYPERLINK("https://www.ti.com/lit/gpn/TPS22908", "PDF")</f>
        <v>PDF</v>
      </c>
      <c r="D2882" s="5" t="s">
        <v>25885</v>
      </c>
      <c r="E2882" s="5" t="s">
        <v>25886</v>
      </c>
      <c r="F2882" s="5"/>
      <c r="G2882" s="5" t="s">
        <v>25887</v>
      </c>
      <c r="H2882" s="1" t="s">
        <v>25888</v>
      </c>
      <c r="I2882" s="5" t="s">
        <v>25889</v>
      </c>
      <c r="J2882" s="7">
        <v>4</v>
      </c>
      <c r="K2882" s="7">
        <v>1.5625</v>
      </c>
      <c r="L2882" s="5" t="s">
        <v>25890</v>
      </c>
      <c r="M2882" s="7">
        <v>0.625</v>
      </c>
      <c r="N2882" s="7">
        <v>0.5</v>
      </c>
      <c r="O2882" s="7">
        <v>0.20699999999999999</v>
      </c>
      <c r="P2882" s="1" t="s">
        <v>25891</v>
      </c>
    </row>
    <row r="2883" spans="1:16" ht="33.4" x14ac:dyDescent="0.3">
      <c r="A2883" s="6" t="str">
        <f>HYPERLINK("https://www.ti.com/product/UCC27512", "UCC27512")</f>
        <v>UCC27512</v>
      </c>
      <c r="B2883" s="5" t="s">
        <v>25892</v>
      </c>
      <c r="C2883" s="6" t="str">
        <f>HYPERLINK("https://www.ti.com/lit/gpn/UCC27512", "PDF")</f>
        <v>PDF</v>
      </c>
      <c r="D2883" s="5" t="s">
        <v>25893</v>
      </c>
      <c r="E2883" s="5" t="s">
        <v>25894</v>
      </c>
      <c r="F2883" s="5"/>
      <c r="G2883" s="5" t="s">
        <v>25895</v>
      </c>
      <c r="H2883" s="1" t="s">
        <v>25896</v>
      </c>
      <c r="I2883" s="5" t="s">
        <v>25897</v>
      </c>
      <c r="J2883" s="7">
        <v>6</v>
      </c>
      <c r="K2883" s="7">
        <v>9</v>
      </c>
      <c r="L2883" s="5" t="s">
        <v>25898</v>
      </c>
      <c r="M2883" s="7">
        <v>0.8</v>
      </c>
      <c r="N2883" s="7">
        <v>0.95</v>
      </c>
      <c r="O2883" s="7">
        <v>0.32200000000000001</v>
      </c>
      <c r="P2883" s="1" t="s">
        <v>25899</v>
      </c>
    </row>
    <row r="2884" spans="1:16" ht="33.4" x14ac:dyDescent="0.3">
      <c r="A2884" s="6" t="str">
        <f>HYPERLINK("https://www.ti.com/product/LMR70503", "LMR70503")</f>
        <v>LMR70503</v>
      </c>
      <c r="B2884" s="5" t="s">
        <v>25900</v>
      </c>
      <c r="C2884" s="6" t="str">
        <f>HYPERLINK("https://www.ti.com/lit/gpn/LMR70503", "PDF")</f>
        <v>PDF</v>
      </c>
      <c r="D2884" s="5" t="s">
        <v>25901</v>
      </c>
      <c r="E2884" s="5" t="s">
        <v>25902</v>
      </c>
      <c r="F2884" s="5" t="s">
        <v>25903</v>
      </c>
      <c r="G2884" s="5" t="s">
        <v>25904</v>
      </c>
      <c r="H2884" s="1" t="s">
        <v>25905</v>
      </c>
      <c r="I2884" s="5" t="s">
        <v>25906</v>
      </c>
      <c r="J2884" s="7">
        <v>8</v>
      </c>
      <c r="K2884" s="7">
        <v>1.8</v>
      </c>
      <c r="L2884" s="5" t="s">
        <v>25907</v>
      </c>
      <c r="M2884" s="7">
        <v>0.67500000000000004</v>
      </c>
      <c r="N2884" s="7">
        <v>0.4</v>
      </c>
      <c r="O2884" s="7">
        <v>0.80500000000000005</v>
      </c>
      <c r="P2884" s="1" t="s">
        <v>25908</v>
      </c>
    </row>
    <row r="2885" spans="1:16" ht="33.4" x14ac:dyDescent="0.3">
      <c r="A2885" s="6" t="str">
        <f>HYPERLINK("https://www.ti.com/product/TPS54678", "TPS54678")</f>
        <v>TPS54678</v>
      </c>
      <c r="B2885" s="5" t="s">
        <v>25909</v>
      </c>
      <c r="C2885" s="6" t="str">
        <f>HYPERLINK("https://www.ti.com/lit/gpn/TPS54678", "PDF")</f>
        <v>PDF</v>
      </c>
      <c r="D2885" s="5" t="s">
        <v>25910</v>
      </c>
      <c r="E2885" s="5" t="s">
        <v>25911</v>
      </c>
      <c r="F2885" s="5" t="s">
        <v>25912</v>
      </c>
      <c r="G2885" s="5" t="s">
        <v>25913</v>
      </c>
      <c r="H2885" s="1" t="s">
        <v>25914</v>
      </c>
      <c r="I2885" s="5" t="s">
        <v>25915</v>
      </c>
      <c r="J2885" s="7">
        <v>16</v>
      </c>
      <c r="K2885" s="7">
        <v>9</v>
      </c>
      <c r="L2885" s="5" t="s">
        <v>25916</v>
      </c>
      <c r="M2885" s="7">
        <v>0.8</v>
      </c>
      <c r="N2885" s="7">
        <v>0.5</v>
      </c>
      <c r="O2885" s="7">
        <v>1.5640000000000001</v>
      </c>
      <c r="P2885" s="1" t="s">
        <v>25917</v>
      </c>
    </row>
    <row r="2886" spans="1:16" ht="33.4" x14ac:dyDescent="0.3">
      <c r="A2886" s="6" t="str">
        <f>HYPERLINK("https://www.ti.com/product/UCC28700", "UCC28700")</f>
        <v>UCC28700</v>
      </c>
      <c r="B2886" s="5" t="s">
        <v>25918</v>
      </c>
      <c r="C2886" s="6" t="str">
        <f>HYPERLINK("https://www.ti.com/lit/gpn/UCC28700", "PDF")</f>
        <v>PDF</v>
      </c>
      <c r="D2886" s="5" t="s">
        <v>25919</v>
      </c>
      <c r="E2886" s="5" t="s">
        <v>25920</v>
      </c>
      <c r="F2886" s="5" t="s">
        <v>25921</v>
      </c>
      <c r="G2886" s="5" t="s">
        <v>25922</v>
      </c>
      <c r="H2886" s="1" t="s">
        <v>25923</v>
      </c>
      <c r="I2886" s="5" t="s">
        <v>25924</v>
      </c>
      <c r="J2886" s="7">
        <v>6</v>
      </c>
      <c r="K2886" s="7">
        <v>8.1199999999999992</v>
      </c>
      <c r="L2886" s="5" t="s">
        <v>25925</v>
      </c>
      <c r="M2886" s="7">
        <v>1.45</v>
      </c>
      <c r="N2886" s="7">
        <v>0.95</v>
      </c>
      <c r="O2886" s="7">
        <v>0.443</v>
      </c>
      <c r="P2886" s="1" t="s">
        <v>25926</v>
      </c>
    </row>
    <row r="2887" spans="1:16" ht="17.05" x14ac:dyDescent="0.3">
      <c r="A2887" s="6" t="str">
        <f>HYPERLINK("https://www.ti.com/product/LM3565", "LM3565")</f>
        <v>LM3565</v>
      </c>
      <c r="B2887" s="5" t="s">
        <v>25927</v>
      </c>
      <c r="C2887" s="6" t="str">
        <f>HYPERLINK("https://www.ti.com/lit/gpn/LM3565", "PDF")</f>
        <v>PDF</v>
      </c>
      <c r="D2887" s="5" t="s">
        <v>25928</v>
      </c>
      <c r="E2887" s="5" t="s">
        <v>25929</v>
      </c>
      <c r="F2887" s="5" t="s">
        <v>25930</v>
      </c>
      <c r="G2887" s="5" t="s">
        <v>25931</v>
      </c>
      <c r="H2887" s="1" t="s">
        <v>25932</v>
      </c>
      <c r="I2887" s="5" t="s">
        <v>25933</v>
      </c>
      <c r="J2887" s="7">
        <v>16</v>
      </c>
      <c r="K2887" s="7">
        <v>5.0625</v>
      </c>
      <c r="L2887" s="5" t="s">
        <v>25934</v>
      </c>
      <c r="M2887" s="7">
        <v>0.67500000000000004</v>
      </c>
      <c r="N2887" s="7">
        <v>0.5</v>
      </c>
      <c r="O2887" s="7">
        <v>0.38700000000000001</v>
      </c>
      <c r="P2887" s="1" t="s">
        <v>25935</v>
      </c>
    </row>
    <row r="2888" spans="1:16" ht="33.4" x14ac:dyDescent="0.3">
      <c r="A2888" s="6" t="str">
        <f>HYPERLINK("https://www.ti.com/product/CSD17555Q5A", "CSD17555Q5A")</f>
        <v>CSD17555Q5A</v>
      </c>
      <c r="B2888" s="5" t="s">
        <v>25936</v>
      </c>
      <c r="C2888" s="6" t="str">
        <f>HYPERLINK("https://www.ti.com/lit/gpn/CSD17555Q5A", "PDF")</f>
        <v>PDF</v>
      </c>
      <c r="D2888" s="5" t="s">
        <v>25937</v>
      </c>
      <c r="E2888" s="5" t="s">
        <v>25938</v>
      </c>
      <c r="F2888" s="5"/>
      <c r="G2888" s="5" t="s">
        <v>25939</v>
      </c>
      <c r="H2888" s="1" t="s">
        <v>25940</v>
      </c>
      <c r="I2888" s="5" t="s">
        <v>25941</v>
      </c>
      <c r="J2888" s="7">
        <v>8</v>
      </c>
      <c r="K2888" s="7">
        <v>29.4</v>
      </c>
      <c r="L2888" s="5" t="s">
        <v>25942</v>
      </c>
      <c r="M2888" s="7">
        <v>1.1000000000000001</v>
      </c>
      <c r="N2888" s="7">
        <v>1.27</v>
      </c>
      <c r="O2888" s="7">
        <v>0.51600000000000001</v>
      </c>
      <c r="P2888" s="1" t="s">
        <v>25943</v>
      </c>
    </row>
    <row r="2889" spans="1:16" ht="33.4" x14ac:dyDescent="0.3">
      <c r="A2889" s="6" t="str">
        <f>HYPERLINK("https://www.ti.com/product/TPS7A47", "TPS7A47")</f>
        <v>TPS7A47</v>
      </c>
      <c r="B2889" s="5" t="s">
        <v>25944</v>
      </c>
      <c r="C2889" s="6" t="str">
        <f>HYPERLINK("https://www.ti.com/lit/gpn/TPS7A47", "PDF")</f>
        <v>PDF</v>
      </c>
      <c r="D2889" s="5" t="s">
        <v>25945</v>
      </c>
      <c r="E2889" s="5" t="s">
        <v>25946</v>
      </c>
      <c r="F2889" s="5"/>
      <c r="G2889" s="5" t="s">
        <v>25947</v>
      </c>
      <c r="H2889" s="1" t="s">
        <v>25948</v>
      </c>
      <c r="I2889" s="5" t="s">
        <v>25949</v>
      </c>
      <c r="J2889" s="7">
        <v>20</v>
      </c>
      <c r="K2889" s="7">
        <v>25</v>
      </c>
      <c r="L2889" s="5" t="s">
        <v>25950</v>
      </c>
      <c r="M2889" s="7">
        <v>1</v>
      </c>
      <c r="N2889" s="7">
        <v>0.65</v>
      </c>
      <c r="O2889" s="7">
        <v>2.1859999999999999</v>
      </c>
      <c r="P2889" s="1" t="s">
        <v>25951</v>
      </c>
    </row>
    <row r="2890" spans="1:16" ht="33.4" x14ac:dyDescent="0.3">
      <c r="A2890" s="6" t="str">
        <f>HYPERLINK("https://www.ti.com/product/CSD17551Q5A", "CSD17551Q5A")</f>
        <v>CSD17551Q5A</v>
      </c>
      <c r="B2890" s="5" t="s">
        <v>25952</v>
      </c>
      <c r="C2890" s="6" t="str">
        <f>HYPERLINK("https://www.ti.com/lit/gpn/CSD17551Q5A", "PDF")</f>
        <v>PDF</v>
      </c>
      <c r="D2890" s="5" t="s">
        <v>25953</v>
      </c>
      <c r="E2890" s="5" t="s">
        <v>25954</v>
      </c>
      <c r="F2890" s="5"/>
      <c r="G2890" s="5" t="s">
        <v>25955</v>
      </c>
      <c r="H2890" s="1" t="s">
        <v>25956</v>
      </c>
      <c r="I2890" s="5" t="s">
        <v>25957</v>
      </c>
      <c r="J2890" s="7">
        <v>8</v>
      </c>
      <c r="K2890" s="7">
        <v>29.4</v>
      </c>
      <c r="L2890" s="5" t="s">
        <v>25958</v>
      </c>
      <c r="M2890" s="7">
        <v>1.1000000000000001</v>
      </c>
      <c r="N2890" s="7">
        <v>1.27</v>
      </c>
      <c r="O2890" s="7">
        <v>0.26300000000000001</v>
      </c>
      <c r="P2890" s="1" t="s">
        <v>25959</v>
      </c>
    </row>
    <row r="2891" spans="1:16" ht="33.4" x14ac:dyDescent="0.3">
      <c r="A2891" s="6" t="str">
        <f>HYPERLINK("https://www.ti.com/product/UCC27523", "UCC27523")</f>
        <v>UCC27523</v>
      </c>
      <c r="B2891" s="5" t="s">
        <v>25960</v>
      </c>
      <c r="C2891" s="6" t="str">
        <f>HYPERLINK("https://www.ti.com/lit/gpn/UCC27523", "PDF")</f>
        <v>PDF</v>
      </c>
      <c r="D2891" s="5" t="s">
        <v>25961</v>
      </c>
      <c r="E2891" s="5" t="s">
        <v>25962</v>
      </c>
      <c r="F2891" s="5"/>
      <c r="G2891" s="5" t="s">
        <v>25963</v>
      </c>
      <c r="H2891" s="1" t="s">
        <v>25964</v>
      </c>
      <c r="I2891" s="5" t="s">
        <v>25965</v>
      </c>
      <c r="J2891" s="7">
        <v>8</v>
      </c>
      <c r="K2891" s="7" t="s">
        <v>25966</v>
      </c>
      <c r="L2891" s="5" t="s">
        <v>25967</v>
      </c>
      <c r="M2891" s="7" t="s">
        <v>25968</v>
      </c>
      <c r="N2891" s="7" t="s">
        <v>25969</v>
      </c>
      <c r="O2891" s="7">
        <v>0.47499999999999998</v>
      </c>
      <c r="P2891" s="1" t="s">
        <v>25970</v>
      </c>
    </row>
    <row r="2892" spans="1:16" ht="33.4" x14ac:dyDescent="0.3">
      <c r="A2892" s="6" t="str">
        <f>HYPERLINK("https://www.ti.com/product/UCC27525", "UCC27525")</f>
        <v>UCC27525</v>
      </c>
      <c r="B2892" s="5" t="s">
        <v>25971</v>
      </c>
      <c r="C2892" s="6" t="str">
        <f>HYPERLINK("https://www.ti.com/lit/gpn/UCC27525", "PDF")</f>
        <v>PDF</v>
      </c>
      <c r="D2892" s="5" t="s">
        <v>25972</v>
      </c>
      <c r="E2892" s="5" t="s">
        <v>25973</v>
      </c>
      <c r="F2892" s="5"/>
      <c r="G2892" s="5" t="s">
        <v>25974</v>
      </c>
      <c r="H2892" s="1" t="s">
        <v>25975</v>
      </c>
      <c r="I2892" s="5" t="s">
        <v>25976</v>
      </c>
      <c r="J2892" s="7">
        <v>8</v>
      </c>
      <c r="K2892" s="7" t="s">
        <v>25977</v>
      </c>
      <c r="L2892" s="5" t="s">
        <v>25978</v>
      </c>
      <c r="M2892" s="7" t="s">
        <v>25979</v>
      </c>
      <c r="N2892" s="7" t="s">
        <v>25980</v>
      </c>
      <c r="O2892" s="7">
        <v>0.47499999999999998</v>
      </c>
      <c r="P2892" s="1" t="s">
        <v>25981</v>
      </c>
    </row>
    <row r="2893" spans="1:16" ht="33.4" x14ac:dyDescent="0.3">
      <c r="A2893" s="6" t="str">
        <f>HYPERLINK("https://www.ti.com/product/CSD18501Q5A", "CSD18501Q5A")</f>
        <v>CSD18501Q5A</v>
      </c>
      <c r="B2893" s="5" t="s">
        <v>25982</v>
      </c>
      <c r="C2893" s="6" t="str">
        <f>HYPERLINK("https://www.ti.com/lit/gpn/CSD18501Q5A", "PDF")</f>
        <v>PDF</v>
      </c>
      <c r="D2893" s="5" t="s">
        <v>25983</v>
      </c>
      <c r="E2893" s="5" t="s">
        <v>25984</v>
      </c>
      <c r="F2893" s="5"/>
      <c r="G2893" s="5" t="s">
        <v>25985</v>
      </c>
      <c r="H2893" s="1" t="s">
        <v>25986</v>
      </c>
      <c r="I2893" s="5" t="s">
        <v>25987</v>
      </c>
      <c r="J2893" s="7">
        <v>8</v>
      </c>
      <c r="K2893" s="7">
        <v>29.4</v>
      </c>
      <c r="L2893" s="5" t="s">
        <v>25988</v>
      </c>
      <c r="M2893" s="7">
        <v>1.1000000000000001</v>
      </c>
      <c r="N2893" s="7">
        <v>1.27</v>
      </c>
      <c r="O2893" s="7">
        <v>0.73499999999999999</v>
      </c>
      <c r="P2893" s="1" t="s">
        <v>25989</v>
      </c>
    </row>
    <row r="2894" spans="1:16" ht="33.4" x14ac:dyDescent="0.3">
      <c r="A2894" s="6" t="str">
        <f>HYPERLINK("https://www.ti.com/product/TPS22966", "TPS22966")</f>
        <v>TPS22966</v>
      </c>
      <c r="B2894" s="5" t="s">
        <v>25990</v>
      </c>
      <c r="C2894" s="6" t="str">
        <f>HYPERLINK("https://www.ti.com/lit/gpn/TPS22966", "PDF")</f>
        <v>PDF</v>
      </c>
      <c r="D2894" s="5" t="s">
        <v>25991</v>
      </c>
      <c r="E2894" s="5" t="s">
        <v>25992</v>
      </c>
      <c r="F2894" s="5"/>
      <c r="G2894" s="5" t="s">
        <v>25993</v>
      </c>
      <c r="H2894" s="1" t="s">
        <v>25994</v>
      </c>
      <c r="I2894" s="5" t="s">
        <v>25995</v>
      </c>
      <c r="J2894" s="7">
        <v>14</v>
      </c>
      <c r="K2894" s="7">
        <v>6</v>
      </c>
      <c r="L2894" s="5" t="s">
        <v>25996</v>
      </c>
      <c r="M2894" s="7">
        <v>0.8</v>
      </c>
      <c r="N2894" s="7">
        <v>0.4</v>
      </c>
      <c r="O2894" s="7">
        <v>0.34599999999999997</v>
      </c>
      <c r="P2894" s="1" t="s">
        <v>25997</v>
      </c>
    </row>
    <row r="2895" spans="1:16" ht="33.4" x14ac:dyDescent="0.3">
      <c r="A2895" s="6" t="str">
        <f>HYPERLINK("https://www.ti.com/product/TPS5405", "TPS5405")</f>
        <v>TPS5405</v>
      </c>
      <c r="B2895" s="5" t="s">
        <v>25998</v>
      </c>
      <c r="C2895" s="6" t="str">
        <f>HYPERLINK("https://www.ti.com/lit/gpn/TPS5405", "PDF")</f>
        <v>PDF</v>
      </c>
      <c r="D2895" s="5" t="s">
        <v>25999</v>
      </c>
      <c r="E2895" s="5" t="s">
        <v>26000</v>
      </c>
      <c r="F2895" s="5" t="s">
        <v>26001</v>
      </c>
      <c r="G2895" s="5" t="s">
        <v>26002</v>
      </c>
      <c r="H2895" s="1" t="s">
        <v>26003</v>
      </c>
      <c r="I2895" s="5" t="s">
        <v>26004</v>
      </c>
      <c r="J2895" s="7">
        <v>8</v>
      </c>
      <c r="K2895" s="7">
        <v>29.4</v>
      </c>
      <c r="L2895" s="5" t="s">
        <v>26005</v>
      </c>
      <c r="M2895" s="7">
        <v>1.75</v>
      </c>
      <c r="N2895" s="7">
        <v>1.27</v>
      </c>
      <c r="O2895" s="7">
        <v>0.69599999999999995</v>
      </c>
      <c r="P2895" s="1" t="s">
        <v>26006</v>
      </c>
    </row>
    <row r="2896" spans="1:16" ht="33.4" x14ac:dyDescent="0.3">
      <c r="A2896" s="6" t="str">
        <f>HYPERLINK("https://www.ti.com/product/TPS65280", "TPS65280")</f>
        <v>TPS65280</v>
      </c>
      <c r="B2896" s="5" t="s">
        <v>26007</v>
      </c>
      <c r="C2896" s="6" t="str">
        <f>HYPERLINK("https://www.ti.com/lit/gpn/TPS65280", "PDF")</f>
        <v>PDF</v>
      </c>
      <c r="D2896" s="5" t="s">
        <v>26008</v>
      </c>
      <c r="E2896" s="5" t="s">
        <v>26009</v>
      </c>
      <c r="F2896" s="5" t="s">
        <v>26010</v>
      </c>
      <c r="G2896" s="5" t="s">
        <v>26011</v>
      </c>
      <c r="H2896" s="1" t="s">
        <v>26012</v>
      </c>
      <c r="I2896" s="5" t="s">
        <v>26013</v>
      </c>
      <c r="J2896" s="7">
        <v>24</v>
      </c>
      <c r="K2896" s="7">
        <v>16</v>
      </c>
      <c r="L2896" s="5" t="s">
        <v>26014</v>
      </c>
      <c r="M2896" s="7">
        <v>1</v>
      </c>
      <c r="N2896" s="7">
        <v>0.5</v>
      </c>
      <c r="O2896" s="7">
        <v>1.496</v>
      </c>
      <c r="P2896" s="1" t="s">
        <v>26015</v>
      </c>
    </row>
    <row r="2897" spans="1:16" ht="33.4" x14ac:dyDescent="0.3">
      <c r="A2897" s="6" t="str">
        <f>HYPERLINK("https://www.ti.com/product/CSD18503Q5A", "CSD18503Q5A")</f>
        <v>CSD18503Q5A</v>
      </c>
      <c r="B2897" s="5" t="s">
        <v>26016</v>
      </c>
      <c r="C2897" s="6" t="str">
        <f>HYPERLINK("https://www.ti.com/lit/gpn/CSD18503Q5A", "PDF")</f>
        <v>PDF</v>
      </c>
      <c r="D2897" s="5" t="s">
        <v>26017</v>
      </c>
      <c r="E2897" s="5" t="s">
        <v>26018</v>
      </c>
      <c r="F2897" s="5"/>
      <c r="G2897" s="5" t="s">
        <v>26019</v>
      </c>
      <c r="H2897" s="1" t="s">
        <v>26020</v>
      </c>
      <c r="I2897" s="5" t="s">
        <v>26021</v>
      </c>
      <c r="J2897" s="7">
        <v>8</v>
      </c>
      <c r="K2897" s="7">
        <v>29.4</v>
      </c>
      <c r="L2897" s="5" t="s">
        <v>26022</v>
      </c>
      <c r="M2897" s="7">
        <v>1.1000000000000001</v>
      </c>
      <c r="N2897" s="7">
        <v>1.27</v>
      </c>
      <c r="O2897" s="7">
        <v>0.46</v>
      </c>
      <c r="P2897" s="1" t="s">
        <v>26023</v>
      </c>
    </row>
    <row r="2898" spans="1:16" ht="33.4" x14ac:dyDescent="0.3">
      <c r="A2898" s="6" t="str">
        <f>HYPERLINK("https://www.ti.com/product/CSD18504Q5A", "CSD18504Q5A")</f>
        <v>CSD18504Q5A</v>
      </c>
      <c r="B2898" s="5" t="s">
        <v>26024</v>
      </c>
      <c r="C2898" s="6" t="str">
        <f>HYPERLINK("https://www.ti.com/lit/gpn/CSD18504Q5A", "PDF")</f>
        <v>PDF</v>
      </c>
      <c r="D2898" s="5" t="s">
        <v>26025</v>
      </c>
      <c r="E2898" s="5" t="s">
        <v>26026</v>
      </c>
      <c r="F2898" s="5"/>
      <c r="G2898" s="5" t="s">
        <v>26027</v>
      </c>
      <c r="H2898" s="1" t="s">
        <v>26028</v>
      </c>
      <c r="I2898" s="5" t="s">
        <v>26029</v>
      </c>
      <c r="J2898" s="7">
        <v>8</v>
      </c>
      <c r="K2898" s="7">
        <v>29.4</v>
      </c>
      <c r="L2898" s="5" t="s">
        <v>26030</v>
      </c>
      <c r="M2898" s="7">
        <v>1.1000000000000001</v>
      </c>
      <c r="N2898" s="7">
        <v>1.27</v>
      </c>
      <c r="O2898" s="7">
        <v>0.32800000000000001</v>
      </c>
      <c r="P2898" s="1" t="s">
        <v>26031</v>
      </c>
    </row>
    <row r="2899" spans="1:16" ht="33.4" x14ac:dyDescent="0.3">
      <c r="A2899" s="6" t="str">
        <f>HYPERLINK("https://www.ti.com/product/CSD18531Q5A", "CSD18531Q5A")</f>
        <v>CSD18531Q5A</v>
      </c>
      <c r="B2899" s="5" t="s">
        <v>26032</v>
      </c>
      <c r="C2899" s="6" t="str">
        <f>HYPERLINK("https://www.ti.com/lit/gpn/CSD18531Q5A", "PDF")</f>
        <v>PDF</v>
      </c>
      <c r="D2899" s="5" t="s">
        <v>26033</v>
      </c>
      <c r="E2899" s="5" t="s">
        <v>26034</v>
      </c>
      <c r="F2899" s="5"/>
      <c r="G2899" s="5" t="s">
        <v>26035</v>
      </c>
      <c r="H2899" s="1" t="s">
        <v>26036</v>
      </c>
      <c r="I2899" s="5" t="s">
        <v>26037</v>
      </c>
      <c r="J2899" s="7">
        <v>8</v>
      </c>
      <c r="K2899" s="7">
        <v>29.4</v>
      </c>
      <c r="L2899" s="5" t="s">
        <v>26038</v>
      </c>
      <c r="M2899" s="7">
        <v>1.1000000000000001</v>
      </c>
      <c r="N2899" s="7">
        <v>1.27</v>
      </c>
      <c r="O2899" s="7">
        <v>0.44500000000000001</v>
      </c>
      <c r="P2899" s="1" t="s">
        <v>26039</v>
      </c>
    </row>
    <row r="2900" spans="1:16" ht="33.4" x14ac:dyDescent="0.3">
      <c r="A2900" s="6" t="str">
        <f>HYPERLINK("https://www.ti.com/product/TPS51275", "TPS51275")</f>
        <v>TPS51275</v>
      </c>
      <c r="B2900" s="5" t="s">
        <v>26040</v>
      </c>
      <c r="C2900" s="6" t="str">
        <f>HYPERLINK("https://www.ti.com/lit/gpn/TPS51275", "PDF")</f>
        <v>PDF</v>
      </c>
      <c r="D2900" s="5" t="s">
        <v>26041</v>
      </c>
      <c r="E2900" s="5" t="s">
        <v>26042</v>
      </c>
      <c r="F2900" s="5" t="s">
        <v>26043</v>
      </c>
      <c r="G2900" s="5" t="s">
        <v>26044</v>
      </c>
      <c r="H2900" s="1" t="s">
        <v>26045</v>
      </c>
      <c r="I2900" s="5" t="s">
        <v>26046</v>
      </c>
      <c r="J2900" s="7">
        <v>20</v>
      </c>
      <c r="K2900" s="7">
        <v>9</v>
      </c>
      <c r="L2900" s="5" t="s">
        <v>26047</v>
      </c>
      <c r="M2900" s="7">
        <v>0.8</v>
      </c>
      <c r="N2900" s="7">
        <v>0.4</v>
      </c>
      <c r="O2900" s="7">
        <v>0.34799999999999998</v>
      </c>
      <c r="P2900" s="1" t="s">
        <v>26048</v>
      </c>
    </row>
    <row r="2901" spans="1:16" ht="33.4" x14ac:dyDescent="0.3">
      <c r="A2901" s="6" t="str">
        <f>HYPERLINK("https://www.ti.com/product/TPS51275C", "TPS51275C")</f>
        <v>TPS51275C</v>
      </c>
      <c r="B2901" s="5" t="s">
        <v>26049</v>
      </c>
      <c r="C2901" s="6" t="str">
        <f>HYPERLINK("https://www.ti.com/lit/gpn/TPS51275C", "PDF")</f>
        <v>PDF</v>
      </c>
      <c r="D2901" s="5" t="s">
        <v>26050</v>
      </c>
      <c r="E2901" s="5" t="s">
        <v>26051</v>
      </c>
      <c r="F2901" s="5" t="s">
        <v>26052</v>
      </c>
      <c r="G2901" s="5" t="s">
        <v>26053</v>
      </c>
      <c r="H2901" s="1" t="s">
        <v>26054</v>
      </c>
      <c r="I2901" s="5" t="s">
        <v>26055</v>
      </c>
      <c r="J2901" s="7">
        <v>20</v>
      </c>
      <c r="K2901" s="7">
        <v>9</v>
      </c>
      <c r="L2901" s="5" t="s">
        <v>26056</v>
      </c>
      <c r="M2901" s="7">
        <v>0.8</v>
      </c>
      <c r="N2901" s="7">
        <v>0.4</v>
      </c>
      <c r="O2901" s="7">
        <v>0.253</v>
      </c>
      <c r="P2901" s="1" t="s">
        <v>26057</v>
      </c>
    </row>
    <row r="2902" spans="1:16" ht="33.4" x14ac:dyDescent="0.3">
      <c r="A2902" s="6" t="str">
        <f>HYPERLINK("https://www.ti.com/product/TPS53318", "TPS53318")</f>
        <v>TPS53318</v>
      </c>
      <c r="B2902" s="5" t="s">
        <v>26058</v>
      </c>
      <c r="C2902" s="6" t="str">
        <f>HYPERLINK("https://www.ti.com/lit/gpn/TPS53318", "PDF")</f>
        <v>PDF</v>
      </c>
      <c r="D2902" s="5" t="s">
        <v>26059</v>
      </c>
      <c r="E2902" s="5" t="s">
        <v>26060</v>
      </c>
      <c r="F2902" s="5" t="s">
        <v>26061</v>
      </c>
      <c r="G2902" s="5" t="s">
        <v>26062</v>
      </c>
      <c r="H2902" s="1" t="s">
        <v>26063</v>
      </c>
      <c r="I2902" s="5" t="s">
        <v>26064</v>
      </c>
      <c r="J2902" s="7">
        <v>22</v>
      </c>
      <c r="K2902" s="7">
        <v>30</v>
      </c>
      <c r="L2902" s="5" t="s">
        <v>26065</v>
      </c>
      <c r="M2902" s="7">
        <v>1.5</v>
      </c>
      <c r="N2902" s="7">
        <v>0.5</v>
      </c>
      <c r="O2902" s="7">
        <v>2.5</v>
      </c>
      <c r="P2902" s="1" t="s">
        <v>26066</v>
      </c>
    </row>
    <row r="2903" spans="1:16" ht="33.4" x14ac:dyDescent="0.3">
      <c r="A2903" s="6" t="str">
        <f>HYPERLINK("https://www.ti.com/product/TPS54394", "TPS54394")</f>
        <v>TPS54394</v>
      </c>
      <c r="B2903" s="5" t="s">
        <v>26067</v>
      </c>
      <c r="C2903" s="6" t="str">
        <f>HYPERLINK("https://www.ti.com/lit/gpn/TPS54394", "PDF")</f>
        <v>PDF</v>
      </c>
      <c r="D2903" s="5" t="s">
        <v>26068</v>
      </c>
      <c r="E2903" s="5" t="s">
        <v>26069</v>
      </c>
      <c r="F2903" s="5" t="s">
        <v>26070</v>
      </c>
      <c r="G2903" s="5" t="s">
        <v>26071</v>
      </c>
      <c r="H2903" s="1" t="s">
        <v>26072</v>
      </c>
      <c r="I2903" s="5" t="s">
        <v>26073</v>
      </c>
      <c r="J2903" s="7">
        <v>16</v>
      </c>
      <c r="K2903" s="7" t="s">
        <v>26074</v>
      </c>
      <c r="L2903" s="5" t="s">
        <v>26075</v>
      </c>
      <c r="M2903" s="7" t="s">
        <v>26076</v>
      </c>
      <c r="N2903" s="7">
        <v>0.65</v>
      </c>
      <c r="O2903" s="7">
        <v>1.2250000000000001</v>
      </c>
      <c r="P2903" s="1" t="s">
        <v>26077</v>
      </c>
    </row>
    <row r="2904" spans="1:16" ht="33.4" x14ac:dyDescent="0.3">
      <c r="A2904" s="6" t="str">
        <f>HYPERLINK("https://www.ti.com/product/TPS54395", "TPS54395")</f>
        <v>TPS54395</v>
      </c>
      <c r="B2904" s="5" t="s">
        <v>26078</v>
      </c>
      <c r="C2904" s="6" t="str">
        <f>HYPERLINK("https://www.ti.com/lit/gpn/TPS54395", "PDF")</f>
        <v>PDF</v>
      </c>
      <c r="D2904" s="5" t="s">
        <v>26079</v>
      </c>
      <c r="E2904" s="5" t="s">
        <v>26080</v>
      </c>
      <c r="F2904" s="5" t="s">
        <v>26081</v>
      </c>
      <c r="G2904" s="5" t="s">
        <v>26082</v>
      </c>
      <c r="H2904" s="1" t="s">
        <v>26083</v>
      </c>
      <c r="I2904" s="5" t="s">
        <v>26084</v>
      </c>
      <c r="J2904" s="7">
        <v>16</v>
      </c>
      <c r="K2904" s="7" t="s">
        <v>26085</v>
      </c>
      <c r="L2904" s="5" t="s">
        <v>26086</v>
      </c>
      <c r="M2904" s="7" t="s">
        <v>26087</v>
      </c>
      <c r="N2904" s="7">
        <v>0.65</v>
      </c>
      <c r="O2904" s="7">
        <v>1.2250000000000001</v>
      </c>
      <c r="P2904" s="1" t="s">
        <v>26088</v>
      </c>
    </row>
    <row r="2905" spans="1:16" ht="33.4" x14ac:dyDescent="0.3">
      <c r="A2905" s="6" t="str">
        <f>HYPERLINK("https://www.ti.com/product/TPS54494", "TPS54494")</f>
        <v>TPS54494</v>
      </c>
      <c r="B2905" s="5" t="s">
        <v>26089</v>
      </c>
      <c r="C2905" s="6" t="str">
        <f>HYPERLINK("https://www.ti.com/lit/gpn/TPS54494", "PDF")</f>
        <v>PDF</v>
      </c>
      <c r="D2905" s="5" t="s">
        <v>26090</v>
      </c>
      <c r="E2905" s="5" t="s">
        <v>26091</v>
      </c>
      <c r="F2905" s="5" t="s">
        <v>26092</v>
      </c>
      <c r="G2905" s="5" t="s">
        <v>26093</v>
      </c>
      <c r="H2905" s="1" t="s">
        <v>26094</v>
      </c>
      <c r="I2905" s="5" t="s">
        <v>26095</v>
      </c>
      <c r="J2905" s="7">
        <v>16</v>
      </c>
      <c r="K2905" s="7" t="s">
        <v>26096</v>
      </c>
      <c r="L2905" s="5" t="s">
        <v>26097</v>
      </c>
      <c r="M2905" s="7" t="s">
        <v>26098</v>
      </c>
      <c r="N2905" s="7">
        <v>0.65</v>
      </c>
      <c r="O2905" s="7">
        <v>1.4470000000000001</v>
      </c>
      <c r="P2905" s="1" t="s">
        <v>26099</v>
      </c>
    </row>
    <row r="2906" spans="1:16" ht="33.4" x14ac:dyDescent="0.3">
      <c r="A2906" s="6" t="str">
        <f>HYPERLINK("https://www.ti.com/product/TPS54495", "TPS54495")</f>
        <v>TPS54495</v>
      </c>
      <c r="B2906" s="5" t="s">
        <v>26100</v>
      </c>
      <c r="C2906" s="6" t="str">
        <f>HYPERLINK("https://www.ti.com/lit/gpn/TPS54495", "PDF")</f>
        <v>PDF</v>
      </c>
      <c r="D2906" s="5" t="s">
        <v>26101</v>
      </c>
      <c r="E2906" s="5" t="s">
        <v>26102</v>
      </c>
      <c r="F2906" s="5" t="s">
        <v>26103</v>
      </c>
      <c r="G2906" s="5" t="s">
        <v>26104</v>
      </c>
      <c r="H2906" s="1" t="s">
        <v>26105</v>
      </c>
      <c r="I2906" s="5" t="s">
        <v>26106</v>
      </c>
      <c r="J2906" s="7">
        <v>16</v>
      </c>
      <c r="K2906" s="7" t="s">
        <v>26107</v>
      </c>
      <c r="L2906" s="5" t="s">
        <v>26108</v>
      </c>
      <c r="M2906" s="7" t="s">
        <v>26109</v>
      </c>
      <c r="N2906" s="7">
        <v>0.65</v>
      </c>
      <c r="O2906" s="7">
        <v>1.4470000000000001</v>
      </c>
      <c r="P2906" s="1" t="s">
        <v>26110</v>
      </c>
    </row>
    <row r="2907" spans="1:16" ht="49.75" x14ac:dyDescent="0.3">
      <c r="A2907" s="6" t="str">
        <f>HYPERLINK("https://www.ti.com/product/TPS826711", "TPS826711")</f>
        <v>TPS826711</v>
      </c>
      <c r="B2907" s="5" t="s">
        <v>26111</v>
      </c>
      <c r="C2907" s="6" t="str">
        <f>HYPERLINK("https://www.ti.com/lit/gpn/TPS826711", "PDF")</f>
        <v>PDF</v>
      </c>
      <c r="D2907" s="5" t="s">
        <v>26112</v>
      </c>
      <c r="E2907" s="5" t="s">
        <v>26113</v>
      </c>
      <c r="F2907" s="5" t="s">
        <v>26114</v>
      </c>
      <c r="G2907" s="5" t="s">
        <v>26115</v>
      </c>
      <c r="H2907" s="1" t="s">
        <v>26116</v>
      </c>
      <c r="I2907" s="5" t="s">
        <v>26117</v>
      </c>
      <c r="J2907" s="7">
        <v>8</v>
      </c>
      <c r="K2907" s="7">
        <v>6.67</v>
      </c>
      <c r="L2907" s="5" t="s">
        <v>26118</v>
      </c>
      <c r="M2907" s="7">
        <v>1</v>
      </c>
      <c r="N2907" s="7">
        <v>1</v>
      </c>
      <c r="O2907" s="7">
        <v>1.012</v>
      </c>
      <c r="P2907" s="1" t="s">
        <v>26119</v>
      </c>
    </row>
    <row r="2908" spans="1:16" ht="33.4" x14ac:dyDescent="0.3">
      <c r="A2908" s="6" t="str">
        <f>HYPERLINK("https://www.ti.com/product/TLV700-Q1", "TLV700-Q1")</f>
        <v>TLV700-Q1</v>
      </c>
      <c r="B2908" s="5" t="s">
        <v>26120</v>
      </c>
      <c r="C2908" s="6" t="str">
        <f>HYPERLINK("https://www.ti.com/lit/gpn/TLV700-Q1", "PDF")</f>
        <v>PDF</v>
      </c>
      <c r="D2908" s="5" t="s">
        <v>26121</v>
      </c>
      <c r="E2908" s="5" t="s">
        <v>26122</v>
      </c>
      <c r="F2908" s="5"/>
      <c r="G2908" s="5" t="s">
        <v>26123</v>
      </c>
      <c r="H2908" s="1" t="s">
        <v>26124</v>
      </c>
      <c r="I2908" s="5" t="s">
        <v>26125</v>
      </c>
      <c r="J2908" s="7">
        <v>5</v>
      </c>
      <c r="K2908" s="7">
        <v>4.2</v>
      </c>
      <c r="L2908" s="5" t="s">
        <v>26126</v>
      </c>
      <c r="M2908" s="7">
        <v>1.1000000000000001</v>
      </c>
      <c r="N2908" s="7">
        <v>0.65</v>
      </c>
      <c r="O2908" s="7">
        <v>0.30599999999999999</v>
      </c>
      <c r="P2908" s="1" t="s">
        <v>26127</v>
      </c>
    </row>
    <row r="2909" spans="1:16" ht="33.4" x14ac:dyDescent="0.3">
      <c r="A2909" s="6" t="str">
        <f>HYPERLINK("https://www.ti.com/product/TPS54525", "TPS54525")</f>
        <v>TPS54525</v>
      </c>
      <c r="B2909" s="5" t="s">
        <v>26128</v>
      </c>
      <c r="C2909" s="6" t="str">
        <f>HYPERLINK("https://www.ti.com/lit/gpn/TPS54525", "PDF")</f>
        <v>PDF</v>
      </c>
      <c r="D2909" s="5" t="s">
        <v>26129</v>
      </c>
      <c r="E2909" s="5" t="s">
        <v>26130</v>
      </c>
      <c r="F2909" s="5" t="s">
        <v>26131</v>
      </c>
      <c r="G2909" s="5" t="s">
        <v>26132</v>
      </c>
      <c r="H2909" s="1" t="s">
        <v>26133</v>
      </c>
      <c r="I2909" s="5" t="s">
        <v>26134</v>
      </c>
      <c r="J2909" s="7">
        <v>14</v>
      </c>
      <c r="K2909" s="7">
        <v>32</v>
      </c>
      <c r="L2909" s="5" t="s">
        <v>26135</v>
      </c>
      <c r="M2909" s="7">
        <v>1.2</v>
      </c>
      <c r="N2909" s="7">
        <v>0.65</v>
      </c>
      <c r="O2909" s="7">
        <v>1.0349999999999999</v>
      </c>
      <c r="P2909" s="1" t="s">
        <v>26136</v>
      </c>
    </row>
    <row r="2910" spans="1:16" ht="33.4" x14ac:dyDescent="0.3">
      <c r="A2910" s="6" t="str">
        <f>HYPERLINK("https://www.ti.com/product/TPS54526", "TPS54526")</f>
        <v>TPS54526</v>
      </c>
      <c r="B2910" s="5" t="s">
        <v>26137</v>
      </c>
      <c r="C2910" s="6" t="str">
        <f>HYPERLINK("https://www.ti.com/lit/gpn/TPS54526", "PDF")</f>
        <v>PDF</v>
      </c>
      <c r="D2910" s="5" t="s">
        <v>26138</v>
      </c>
      <c r="E2910" s="5" t="s">
        <v>26139</v>
      </c>
      <c r="F2910" s="5" t="s">
        <v>26140</v>
      </c>
      <c r="G2910" s="5" t="s">
        <v>26141</v>
      </c>
      <c r="H2910" s="1" t="s">
        <v>26142</v>
      </c>
      <c r="I2910" s="5" t="s">
        <v>26143</v>
      </c>
      <c r="J2910" s="7" t="s">
        <v>26144</v>
      </c>
      <c r="K2910" s="7" t="s">
        <v>26145</v>
      </c>
      <c r="L2910" s="5" t="s">
        <v>26146</v>
      </c>
      <c r="M2910" s="7" t="s">
        <v>26147</v>
      </c>
      <c r="N2910" s="7">
        <v>0.65</v>
      </c>
      <c r="O2910" s="7">
        <v>1.0549999999999999</v>
      </c>
      <c r="P2910" s="1" t="s">
        <v>26148</v>
      </c>
    </row>
    <row r="2911" spans="1:16" ht="33.4" x14ac:dyDescent="0.3">
      <c r="A2911" s="6" t="str">
        <f>HYPERLINK("https://www.ti.com/product/UCD8220-Q1", "UCD8220-Q1")</f>
        <v>UCD8220-Q1</v>
      </c>
      <c r="B2911" s="5" t="s">
        <v>26149</v>
      </c>
      <c r="C2911" s="6" t="str">
        <f>HYPERLINK("https://www.ti.com/lit/gpn/UCD8220-Q1", "PDF")</f>
        <v>PDF</v>
      </c>
      <c r="D2911" s="5" t="s">
        <v>26150</v>
      </c>
      <c r="E2911" s="5" t="s">
        <v>26151</v>
      </c>
      <c r="F2911" s="5" t="s">
        <v>26152</v>
      </c>
      <c r="G2911" s="5" t="s">
        <v>26153</v>
      </c>
      <c r="H2911" s="1" t="s">
        <v>26154</v>
      </c>
      <c r="I2911" s="5" t="s">
        <v>26155</v>
      </c>
      <c r="J2911" s="7">
        <v>16</v>
      </c>
      <c r="K2911" s="7">
        <v>32</v>
      </c>
      <c r="L2911" s="5" t="s">
        <v>26156</v>
      </c>
      <c r="M2911" s="7">
        <v>1.2</v>
      </c>
      <c r="N2911" s="7">
        <v>0.65</v>
      </c>
      <c r="O2911" s="7">
        <v>2.3279999999999998</v>
      </c>
      <c r="P2911" s="1" t="s">
        <v>26157</v>
      </c>
    </row>
    <row r="2912" spans="1:16" ht="33.4" x14ac:dyDescent="0.3">
      <c r="A2912" s="6" t="str">
        <f>HYPERLINK("https://www.ti.com/product/LM137QML-SP", "LM137QML-SP")</f>
        <v>LM137QML-SP</v>
      </c>
      <c r="B2912" s="5" t="s">
        <v>26158</v>
      </c>
      <c r="C2912" s="6" t="str">
        <f>HYPERLINK("https://www.ti.com/lit/gpn/LM137QML-SP", "PDF")</f>
        <v>PDF</v>
      </c>
      <c r="D2912" s="5" t="s">
        <v>26159</v>
      </c>
      <c r="E2912" s="5" t="s">
        <v>26160</v>
      </c>
      <c r="F2912" s="5"/>
      <c r="G2912" s="5" t="s">
        <v>26161</v>
      </c>
      <c r="H2912" s="1" t="s">
        <v>26162</v>
      </c>
      <c r="I2912" s="5" t="s">
        <v>26163</v>
      </c>
      <c r="J2912" s="7">
        <v>3</v>
      </c>
      <c r="K2912" s="7">
        <v>91.674199999999999</v>
      </c>
      <c r="L2912" s="5" t="s">
        <v>26164</v>
      </c>
      <c r="M2912" s="7">
        <v>4.7</v>
      </c>
      <c r="N2912" s="7">
        <v>5.08</v>
      </c>
      <c r="O2912" s="7">
        <v>493.58699999999999</v>
      </c>
      <c r="P2912" s="1" t="s">
        <v>26165</v>
      </c>
    </row>
    <row r="2913" spans="1:16" ht="33.4" x14ac:dyDescent="0.3">
      <c r="A2913" s="6" t="str">
        <f>HYPERLINK("https://www.ti.com/product/TPS53319", "TPS53319")</f>
        <v>TPS53319</v>
      </c>
      <c r="B2913" s="5" t="s">
        <v>26166</v>
      </c>
      <c r="C2913" s="6" t="str">
        <f>HYPERLINK("https://www.ti.com/lit/gpn/TPS53319", "PDF")</f>
        <v>PDF</v>
      </c>
      <c r="D2913" s="5" t="s">
        <v>26167</v>
      </c>
      <c r="E2913" s="5" t="s">
        <v>26168</v>
      </c>
      <c r="F2913" s="5" t="s">
        <v>26169</v>
      </c>
      <c r="G2913" s="5" t="s">
        <v>26170</v>
      </c>
      <c r="H2913" s="1" t="s">
        <v>26171</v>
      </c>
      <c r="I2913" s="5" t="s">
        <v>26172</v>
      </c>
      <c r="J2913" s="7">
        <v>22</v>
      </c>
      <c r="K2913" s="7">
        <v>30</v>
      </c>
      <c r="L2913" s="5" t="s">
        <v>26173</v>
      </c>
      <c r="M2913" s="7">
        <v>1.5</v>
      </c>
      <c r="N2913" s="7">
        <v>0.5</v>
      </c>
      <c r="O2913" s="7">
        <v>3.105</v>
      </c>
      <c r="P2913" s="1" t="s">
        <v>26174</v>
      </c>
    </row>
    <row r="2914" spans="1:16" ht="33.4" x14ac:dyDescent="0.3">
      <c r="A2914" s="6" t="str">
        <f>HYPERLINK("https://www.ti.com/product/TPS54719", "TPS54719")</f>
        <v>TPS54719</v>
      </c>
      <c r="B2914" s="5" t="s">
        <v>26175</v>
      </c>
      <c r="C2914" s="6" t="str">
        <f>HYPERLINK("https://www.ti.com/lit/gpn/TPS54719", "PDF")</f>
        <v>PDF</v>
      </c>
      <c r="D2914" s="5" t="s">
        <v>26176</v>
      </c>
      <c r="E2914" s="5" t="s">
        <v>26177</v>
      </c>
      <c r="F2914" s="5" t="s">
        <v>26178</v>
      </c>
      <c r="G2914" s="5" t="s">
        <v>26179</v>
      </c>
      <c r="H2914" s="1" t="s">
        <v>26180</v>
      </c>
      <c r="I2914" s="5" t="s">
        <v>26181</v>
      </c>
      <c r="J2914" s="7">
        <v>16</v>
      </c>
      <c r="K2914" s="7">
        <v>9</v>
      </c>
      <c r="L2914" s="5" t="s">
        <v>26182</v>
      </c>
      <c r="M2914" s="7">
        <v>0.8</v>
      </c>
      <c r="N2914" s="7">
        <v>0.5</v>
      </c>
      <c r="O2914" s="7">
        <v>1.4419999999999999</v>
      </c>
      <c r="P2914" s="1" t="s">
        <v>26183</v>
      </c>
    </row>
    <row r="2915" spans="1:16" ht="33.4" x14ac:dyDescent="0.3">
      <c r="A2915" s="6" t="str">
        <f>HYPERLINK("https://www.ti.com/product/TPS2511", "TPS2511")</f>
        <v>TPS2511</v>
      </c>
      <c r="B2915" s="5" t="s">
        <v>26184</v>
      </c>
      <c r="C2915" s="6" t="str">
        <f>HYPERLINK("https://www.ti.com/lit/gpn/TPS2511", "PDF")</f>
        <v>PDF</v>
      </c>
      <c r="D2915" s="5" t="s">
        <v>26185</v>
      </c>
      <c r="E2915" s="5" t="s">
        <v>26186</v>
      </c>
      <c r="F2915" s="5"/>
      <c r="G2915" s="5" t="s">
        <v>26187</v>
      </c>
      <c r="H2915" s="1" t="s">
        <v>26188</v>
      </c>
      <c r="I2915" s="5" t="s">
        <v>26189</v>
      </c>
      <c r="J2915" s="7">
        <v>8</v>
      </c>
      <c r="K2915" s="7">
        <v>14.7</v>
      </c>
      <c r="L2915" s="5" t="s">
        <v>26190</v>
      </c>
      <c r="M2915" s="7">
        <v>1.1000000000000001</v>
      </c>
      <c r="N2915" s="7">
        <v>0.65</v>
      </c>
      <c r="O2915" s="7">
        <v>0.45800000000000002</v>
      </c>
      <c r="P2915" s="1" t="s">
        <v>26191</v>
      </c>
    </row>
    <row r="2916" spans="1:16" ht="33.4" x14ac:dyDescent="0.3">
      <c r="A2916" s="6" t="str">
        <f>HYPERLINK("https://www.ti.com/product/TPS65300-Q1", "TPS65300-Q1")</f>
        <v>TPS65300-Q1</v>
      </c>
      <c r="B2916" s="5" t="s">
        <v>26192</v>
      </c>
      <c r="C2916" s="6" t="str">
        <f>HYPERLINK("https://www.ti.com/lit/gpn/TPS65300-Q1", "PDF")</f>
        <v>PDF</v>
      </c>
      <c r="D2916" s="5" t="s">
        <v>26193</v>
      </c>
      <c r="E2916" s="5" t="s">
        <v>26194</v>
      </c>
      <c r="F2916" s="5"/>
      <c r="G2916" s="5" t="s">
        <v>26195</v>
      </c>
      <c r="H2916" s="1" t="s">
        <v>26196</v>
      </c>
      <c r="I2916" s="5" t="s">
        <v>26197</v>
      </c>
      <c r="J2916" s="7">
        <v>24</v>
      </c>
      <c r="K2916" s="7" t="s">
        <v>26198</v>
      </c>
      <c r="L2916" s="5" t="s">
        <v>26199</v>
      </c>
      <c r="M2916" s="7" t="s">
        <v>26200</v>
      </c>
      <c r="N2916" s="7" t="s">
        <v>26201</v>
      </c>
      <c r="O2916" s="7">
        <v>2.2949999999999999</v>
      </c>
      <c r="P2916" s="1" t="s">
        <v>26202</v>
      </c>
    </row>
    <row r="2917" spans="1:16" ht="33.4" x14ac:dyDescent="0.3">
      <c r="A2917" s="6" t="str">
        <f>HYPERLINK("https://www.ti.com/product/CSD17553Q5A", "CSD17553Q5A")</f>
        <v>CSD17553Q5A</v>
      </c>
      <c r="B2917" s="5" t="s">
        <v>26203</v>
      </c>
      <c r="C2917" s="6" t="str">
        <f>HYPERLINK("https://www.ti.com/lit/gpn/CSD17553Q5A", "PDF")</f>
        <v>PDF</v>
      </c>
      <c r="D2917" s="5" t="s">
        <v>26204</v>
      </c>
      <c r="E2917" s="5" t="s">
        <v>26205</v>
      </c>
      <c r="F2917" s="5"/>
      <c r="G2917" s="5" t="s">
        <v>26206</v>
      </c>
      <c r="H2917" s="1" t="s">
        <v>26207</v>
      </c>
      <c r="I2917" s="5" t="s">
        <v>26208</v>
      </c>
      <c r="J2917" s="7">
        <v>8</v>
      </c>
      <c r="K2917" s="7">
        <v>29.4</v>
      </c>
      <c r="L2917" s="5" t="s">
        <v>26209</v>
      </c>
      <c r="M2917" s="7">
        <v>1.1000000000000001</v>
      </c>
      <c r="N2917" s="7">
        <v>1.27</v>
      </c>
      <c r="O2917" s="7">
        <v>0.41099999999999998</v>
      </c>
      <c r="P2917" s="1" t="s">
        <v>26210</v>
      </c>
    </row>
    <row r="2918" spans="1:16" ht="33.4" x14ac:dyDescent="0.3">
      <c r="A2918" s="6" t="str">
        <f>HYPERLINK("https://www.ti.com/product/UCC27516", "UCC27516")</f>
        <v>UCC27516</v>
      </c>
      <c r="B2918" s="5" t="s">
        <v>26211</v>
      </c>
      <c r="C2918" s="6" t="str">
        <f>HYPERLINK("https://www.ti.com/lit/gpn/UCC27516", "PDF")</f>
        <v>PDF</v>
      </c>
      <c r="D2918" s="5" t="s">
        <v>26212</v>
      </c>
      <c r="E2918" s="5" t="s">
        <v>26213</v>
      </c>
      <c r="F2918" s="5"/>
      <c r="G2918" s="5" t="s">
        <v>26214</v>
      </c>
      <c r="H2918" s="1" t="s">
        <v>26215</v>
      </c>
      <c r="I2918" s="5" t="s">
        <v>26216</v>
      </c>
      <c r="J2918" s="7">
        <v>6</v>
      </c>
      <c r="K2918" s="7">
        <v>9</v>
      </c>
      <c r="L2918" s="5" t="s">
        <v>26217</v>
      </c>
      <c r="M2918" s="7">
        <v>0.8</v>
      </c>
      <c r="N2918" s="7">
        <v>0.95</v>
      </c>
      <c r="O2918" s="7">
        <v>0.27500000000000002</v>
      </c>
      <c r="P2918" s="1" t="s">
        <v>26218</v>
      </c>
    </row>
    <row r="2919" spans="1:16" ht="33.4" x14ac:dyDescent="0.3">
      <c r="A2919" s="6" t="str">
        <f>HYPERLINK("https://www.ti.com/product/TLC59283", "TLC59283")</f>
        <v>TLC59283</v>
      </c>
      <c r="B2919" s="5" t="s">
        <v>26219</v>
      </c>
      <c r="C2919" s="6" t="str">
        <f>HYPERLINK("https://www.ti.com/lit/gpn/TLC59283", "PDF")</f>
        <v>PDF</v>
      </c>
      <c r="D2919" s="5" t="s">
        <v>26220</v>
      </c>
      <c r="E2919" s="5" t="s">
        <v>26221</v>
      </c>
      <c r="F2919" s="5"/>
      <c r="G2919" s="5" t="s">
        <v>26222</v>
      </c>
      <c r="H2919" s="1" t="s">
        <v>26223</v>
      </c>
      <c r="I2919" s="5" t="s">
        <v>26224</v>
      </c>
      <c r="J2919" s="7">
        <v>24</v>
      </c>
      <c r="K2919" s="7" t="s">
        <v>26225</v>
      </c>
      <c r="L2919" s="5" t="s">
        <v>26226</v>
      </c>
      <c r="M2919" s="7" t="s">
        <v>26227</v>
      </c>
      <c r="N2919" s="7" t="s">
        <v>26228</v>
      </c>
      <c r="O2919" s="7">
        <v>0.24299999999999999</v>
      </c>
      <c r="P2919" s="1" t="s">
        <v>26229</v>
      </c>
    </row>
    <row r="2920" spans="1:16" ht="33.4" x14ac:dyDescent="0.3">
      <c r="A2920" s="6" t="str">
        <f>HYPERLINK("https://www.ti.com/product/TLV61220", "TLV61220")</f>
        <v>TLV61220</v>
      </c>
      <c r="B2920" s="5" t="s">
        <v>26230</v>
      </c>
      <c r="C2920" s="6" t="str">
        <f>HYPERLINK("https://www.ti.com/lit/gpn/TLV61220", "PDF")</f>
        <v>PDF</v>
      </c>
      <c r="D2920" s="5" t="s">
        <v>26231</v>
      </c>
      <c r="E2920" s="5" t="s">
        <v>26232</v>
      </c>
      <c r="F2920" s="5" t="s">
        <v>26233</v>
      </c>
      <c r="G2920" s="5" t="s">
        <v>26234</v>
      </c>
      <c r="H2920" s="1" t="s">
        <v>26235</v>
      </c>
      <c r="I2920" s="5" t="s">
        <v>26236</v>
      </c>
      <c r="J2920" s="7">
        <v>6</v>
      </c>
      <c r="K2920" s="7">
        <v>8.1199999999999992</v>
      </c>
      <c r="L2920" s="5" t="s">
        <v>26237</v>
      </c>
      <c r="M2920" s="7">
        <v>1.45</v>
      </c>
      <c r="N2920" s="7">
        <v>0.95</v>
      </c>
      <c r="O2920" s="7">
        <v>0.28799999999999998</v>
      </c>
      <c r="P2920" s="1" t="s">
        <v>26238</v>
      </c>
    </row>
    <row r="2921" spans="1:16" ht="33.4" x14ac:dyDescent="0.3">
      <c r="A2921" s="6" t="str">
        <f>HYPERLINK("https://www.ti.com/product/TPS59641", "TPS59641")</f>
        <v>TPS59641</v>
      </c>
      <c r="B2921" s="5" t="s">
        <v>26239</v>
      </c>
      <c r="C2921" s="6" t="str">
        <f>HYPERLINK("https://www.ti.com/lit/gpn/TPS59641", "PDF")</f>
        <v>PDF</v>
      </c>
      <c r="D2921" s="5" t="s">
        <v>26240</v>
      </c>
      <c r="E2921" s="5" t="s">
        <v>26241</v>
      </c>
      <c r="F2921" s="5" t="s">
        <v>26242</v>
      </c>
      <c r="G2921" s="5" t="s">
        <v>26243</v>
      </c>
      <c r="H2921" s="1" t="s">
        <v>26244</v>
      </c>
      <c r="I2921" s="5" t="s">
        <v>26245</v>
      </c>
      <c r="J2921" s="7">
        <v>48</v>
      </c>
      <c r="K2921" s="7">
        <v>36</v>
      </c>
      <c r="L2921" s="5" t="s">
        <v>26246</v>
      </c>
      <c r="M2921" s="7">
        <v>1</v>
      </c>
      <c r="N2921" s="7">
        <v>0.4</v>
      </c>
      <c r="O2921" s="7">
        <v>2.5049999999999999</v>
      </c>
      <c r="P2921" s="1" t="s">
        <v>26247</v>
      </c>
    </row>
    <row r="2922" spans="1:16" ht="33.4" x14ac:dyDescent="0.3">
      <c r="A2922" s="6" t="str">
        <f>HYPERLINK("https://www.ti.com/product/ULN2003V12", "ULN2003V12")</f>
        <v>ULN2003V12</v>
      </c>
      <c r="B2922" s="5" t="s">
        <v>26248</v>
      </c>
      <c r="C2922" s="6" t="str">
        <f>HYPERLINK("https://www.ti.com/lit/gpn/ULN2003V12", "PDF")</f>
        <v>PDF</v>
      </c>
      <c r="D2922" s="5" t="s">
        <v>26249</v>
      </c>
      <c r="E2922" s="5" t="s">
        <v>26250</v>
      </c>
      <c r="F2922" s="5"/>
      <c r="G2922" s="5" t="s">
        <v>26251</v>
      </c>
      <c r="H2922" s="1" t="s">
        <v>26252</v>
      </c>
      <c r="I2922" s="5" t="s">
        <v>26253</v>
      </c>
      <c r="J2922" s="7">
        <v>16</v>
      </c>
      <c r="K2922" s="7" t="s">
        <v>26254</v>
      </c>
      <c r="L2922" s="5" t="s">
        <v>26255</v>
      </c>
      <c r="M2922" s="7" t="s">
        <v>26256</v>
      </c>
      <c r="N2922" s="7" t="s">
        <v>26257</v>
      </c>
      <c r="O2922" s="7">
        <v>0.184</v>
      </c>
      <c r="P2922" s="1" t="s">
        <v>26258</v>
      </c>
    </row>
    <row r="2923" spans="1:16" ht="33.4" x14ac:dyDescent="0.3">
      <c r="A2923" s="6" t="str">
        <f>HYPERLINK("https://www.ti.com/product/LM5134", "LM5134")</f>
        <v>LM5134</v>
      </c>
      <c r="B2923" s="5" t="s">
        <v>26259</v>
      </c>
      <c r="C2923" s="6" t="str">
        <f>HYPERLINK("https://www.ti.com/lit/gpn/LM5134", "PDF")</f>
        <v>PDF</v>
      </c>
      <c r="D2923" s="5" t="s">
        <v>26260</v>
      </c>
      <c r="E2923" s="5" t="s">
        <v>26261</v>
      </c>
      <c r="F2923" s="5"/>
      <c r="G2923" s="5" t="s">
        <v>26262</v>
      </c>
      <c r="H2923" s="1" t="s">
        <v>26263</v>
      </c>
      <c r="I2923" s="5" t="s">
        <v>26264</v>
      </c>
      <c r="J2923" s="7">
        <v>6</v>
      </c>
      <c r="K2923" s="7" t="s">
        <v>26265</v>
      </c>
      <c r="L2923" s="5" t="s">
        <v>26266</v>
      </c>
      <c r="M2923" s="7" t="s">
        <v>26267</v>
      </c>
      <c r="N2923" s="7">
        <v>0.95</v>
      </c>
      <c r="O2923" s="7">
        <v>0.69799999999999995</v>
      </c>
      <c r="P2923" s="1" t="s">
        <v>26268</v>
      </c>
    </row>
    <row r="2924" spans="1:16" ht="33.4" x14ac:dyDescent="0.3">
      <c r="A2924" s="6" t="str">
        <f>HYPERLINK("https://www.ti.com/product/TPS51601A", "TPS51601A")</f>
        <v>TPS51601A</v>
      </c>
      <c r="B2924" s="5" t="s">
        <v>26269</v>
      </c>
      <c r="C2924" s="6" t="str">
        <f>HYPERLINK("https://www.ti.com/lit/gpn/TPS51601A", "PDF")</f>
        <v>PDF</v>
      </c>
      <c r="D2924" s="5" t="s">
        <v>26270</v>
      </c>
      <c r="E2924" s="5" t="s">
        <v>26271</v>
      </c>
      <c r="F2924" s="5"/>
      <c r="G2924" s="5" t="s">
        <v>26272</v>
      </c>
      <c r="H2924" s="1" t="s">
        <v>26273</v>
      </c>
      <c r="I2924" s="5" t="s">
        <v>26274</v>
      </c>
      <c r="J2924" s="7">
        <v>8</v>
      </c>
      <c r="K2924" s="7">
        <v>9</v>
      </c>
      <c r="L2924" s="5" t="s">
        <v>26275</v>
      </c>
      <c r="M2924" s="7">
        <v>1</v>
      </c>
      <c r="N2924" s="7">
        <v>0.65</v>
      </c>
      <c r="O2924" s="7">
        <v>0.54300000000000004</v>
      </c>
      <c r="P2924" s="1" t="s">
        <v>26276</v>
      </c>
    </row>
    <row r="2925" spans="1:16" ht="33.4" x14ac:dyDescent="0.3">
      <c r="A2925" s="6" t="str">
        <f>HYPERLINK("https://www.ti.com/product/TPS53014", "TPS53014")</f>
        <v>TPS53014</v>
      </c>
      <c r="B2925" s="5" t="s">
        <v>26277</v>
      </c>
      <c r="C2925" s="6" t="str">
        <f>HYPERLINK("https://www.ti.com/lit/gpn/TPS53014", "PDF")</f>
        <v>PDF</v>
      </c>
      <c r="D2925" s="5" t="s">
        <v>26278</v>
      </c>
      <c r="E2925" s="5" t="s">
        <v>26279</v>
      </c>
      <c r="F2925" s="5" t="s">
        <v>26280</v>
      </c>
      <c r="G2925" s="5" t="s">
        <v>26281</v>
      </c>
      <c r="H2925" s="1" t="s">
        <v>26282</v>
      </c>
      <c r="I2925" s="5" t="s">
        <v>26283</v>
      </c>
      <c r="J2925" s="7">
        <v>10</v>
      </c>
      <c r="K2925" s="7">
        <v>14.7</v>
      </c>
      <c r="L2925" s="5" t="s">
        <v>26284</v>
      </c>
      <c r="M2925" s="7">
        <v>1.1000000000000001</v>
      </c>
      <c r="N2925" s="7">
        <v>0.5</v>
      </c>
      <c r="O2925" s="7">
        <v>0.88600000000000001</v>
      </c>
      <c r="P2925" s="1" t="s">
        <v>26285</v>
      </c>
    </row>
    <row r="2926" spans="1:16" ht="33.4" x14ac:dyDescent="0.3">
      <c r="A2926" s="6" t="str">
        <f>HYPERLINK("https://www.ti.com/product/TPS54061", "TPS54061")</f>
        <v>TPS54061</v>
      </c>
      <c r="B2926" s="5" t="s">
        <v>26286</v>
      </c>
      <c r="C2926" s="6" t="str">
        <f>HYPERLINK("https://www.ti.com/lit/gpn/TPS54061", "PDF")</f>
        <v>PDF</v>
      </c>
      <c r="D2926" s="5" t="s">
        <v>26287</v>
      </c>
      <c r="E2926" s="5" t="s">
        <v>26288</v>
      </c>
      <c r="F2926" s="5" t="s">
        <v>26289</v>
      </c>
      <c r="G2926" s="5" t="s">
        <v>26290</v>
      </c>
      <c r="H2926" s="1" t="s">
        <v>26291</v>
      </c>
      <c r="I2926" s="5" t="s">
        <v>26292</v>
      </c>
      <c r="J2926" s="7">
        <v>8</v>
      </c>
      <c r="K2926" s="7">
        <v>9</v>
      </c>
      <c r="L2926" s="5" t="s">
        <v>26293</v>
      </c>
      <c r="M2926" s="7">
        <v>1</v>
      </c>
      <c r="N2926" s="7">
        <v>0.65</v>
      </c>
      <c r="O2926" s="7">
        <v>0.85199999999999998</v>
      </c>
      <c r="P2926" s="1" t="s">
        <v>26294</v>
      </c>
    </row>
    <row r="2927" spans="1:16" ht="33.4" x14ac:dyDescent="0.3">
      <c r="A2927" s="6" t="str">
        <f>HYPERLINK("https://www.ti.com/product/TPS54140A", "TPS54140A")</f>
        <v>TPS54140A</v>
      </c>
      <c r="B2927" s="5" t="s">
        <v>26295</v>
      </c>
      <c r="C2927" s="6" t="str">
        <f>HYPERLINK("https://www.ti.com/lit/gpn/TPS54140A", "PDF")</f>
        <v>PDF</v>
      </c>
      <c r="D2927" s="5" t="s">
        <v>26296</v>
      </c>
      <c r="E2927" s="5" t="s">
        <v>26297</v>
      </c>
      <c r="F2927" s="5" t="s">
        <v>26298</v>
      </c>
      <c r="G2927" s="5" t="s">
        <v>26299</v>
      </c>
      <c r="H2927" s="1" t="s">
        <v>26300</v>
      </c>
      <c r="I2927" s="5" t="s">
        <v>26301</v>
      </c>
      <c r="J2927" s="7">
        <v>10</v>
      </c>
      <c r="K2927" s="7" t="s">
        <v>26302</v>
      </c>
      <c r="L2927" s="5" t="s">
        <v>26303</v>
      </c>
      <c r="M2927" s="7" t="s">
        <v>26304</v>
      </c>
      <c r="N2927" s="7">
        <v>0.5</v>
      </c>
      <c r="O2927" s="7">
        <v>1.1499999999999999</v>
      </c>
      <c r="P2927" s="1" t="s">
        <v>26305</v>
      </c>
    </row>
    <row r="2928" spans="1:16" ht="33.4" x14ac:dyDescent="0.3">
      <c r="A2928" s="6" t="str">
        <f>HYPERLINK("https://www.ti.com/product/TPS54160A", "TPS54160A")</f>
        <v>TPS54160A</v>
      </c>
      <c r="B2928" s="5" t="s">
        <v>26306</v>
      </c>
      <c r="C2928" s="6" t="str">
        <f>HYPERLINK("https://www.ti.com/lit/gpn/TPS54160A", "PDF")</f>
        <v>PDF</v>
      </c>
      <c r="D2928" s="5" t="s">
        <v>26307</v>
      </c>
      <c r="E2928" s="5" t="s">
        <v>26308</v>
      </c>
      <c r="F2928" s="5" t="s">
        <v>26309</v>
      </c>
      <c r="G2928" s="5" t="s">
        <v>26310</v>
      </c>
      <c r="H2928" s="1" t="s">
        <v>26311</v>
      </c>
      <c r="I2928" s="5" t="s">
        <v>26312</v>
      </c>
      <c r="J2928" s="7">
        <v>10</v>
      </c>
      <c r="K2928" s="7" t="s">
        <v>26313</v>
      </c>
      <c r="L2928" s="5" t="s">
        <v>26314</v>
      </c>
      <c r="M2928" s="7" t="s">
        <v>26315</v>
      </c>
      <c r="N2928" s="7">
        <v>0.5</v>
      </c>
      <c r="O2928" s="7">
        <v>1.5529999999999999</v>
      </c>
      <c r="P2928" s="1" t="s">
        <v>26316</v>
      </c>
    </row>
    <row r="2929" spans="1:16" ht="17.05" x14ac:dyDescent="0.3">
      <c r="A2929" s="6" t="str">
        <f>HYPERLINK("https://www.ti.com/product/TPS22912C", "TPS22912C")</f>
        <v>TPS22912C</v>
      </c>
      <c r="B2929" s="5" t="s">
        <v>26317</v>
      </c>
      <c r="C2929" s="6" t="str">
        <f>HYPERLINK("https://www.ti.com/lit/gpn/TPS22912C", "PDF")</f>
        <v>PDF</v>
      </c>
      <c r="D2929" s="5" t="s">
        <v>26318</v>
      </c>
      <c r="E2929" s="5" t="s">
        <v>26319</v>
      </c>
      <c r="F2929" s="5"/>
      <c r="G2929" s="5" t="s">
        <v>26320</v>
      </c>
      <c r="H2929" s="1" t="s">
        <v>26321</v>
      </c>
      <c r="I2929" s="5" t="s">
        <v>26322</v>
      </c>
      <c r="J2929" s="7">
        <v>4</v>
      </c>
      <c r="K2929" s="7">
        <v>1.5625</v>
      </c>
      <c r="L2929" s="5" t="s">
        <v>26323</v>
      </c>
      <c r="M2929" s="7">
        <v>0.5</v>
      </c>
      <c r="N2929" s="7">
        <v>0.5</v>
      </c>
      <c r="O2929" s="7">
        <v>0.224</v>
      </c>
      <c r="P2929" s="1" t="s">
        <v>26324</v>
      </c>
    </row>
    <row r="2930" spans="1:16" ht="33.4" x14ac:dyDescent="0.3">
      <c r="A2930" s="6" t="str">
        <f>HYPERLINK("https://www.ti.com/product/TPS55340", "TPS55340")</f>
        <v>TPS55340</v>
      </c>
      <c r="B2930" s="5" t="s">
        <v>26325</v>
      </c>
      <c r="C2930" s="6" t="str">
        <f>HYPERLINK("https://www.ti.com/lit/gpn/TPS55340", "PDF")</f>
        <v>PDF</v>
      </c>
      <c r="D2930" s="5" t="s">
        <v>26326</v>
      </c>
      <c r="E2930" s="5" t="s">
        <v>26327</v>
      </c>
      <c r="F2930" s="5" t="s">
        <v>26328</v>
      </c>
      <c r="G2930" s="5" t="s">
        <v>26329</v>
      </c>
      <c r="H2930" s="1" t="s">
        <v>26330</v>
      </c>
      <c r="I2930" s="5" t="s">
        <v>26331</v>
      </c>
      <c r="J2930" s="7" t="s">
        <v>26332</v>
      </c>
      <c r="K2930" s="7" t="s">
        <v>26333</v>
      </c>
      <c r="L2930" s="5" t="s">
        <v>26334</v>
      </c>
      <c r="M2930" s="7" t="s">
        <v>26335</v>
      </c>
      <c r="N2930" s="7" t="s">
        <v>26336</v>
      </c>
      <c r="O2930" s="7">
        <v>1.0629999999999999</v>
      </c>
      <c r="P2930" s="1" t="s">
        <v>26337</v>
      </c>
    </row>
    <row r="2931" spans="1:16" ht="17.05" x14ac:dyDescent="0.3">
      <c r="A2931" s="6" t="str">
        <f>HYPERLINK("https://www.ti.com/product/UCC27518", "UCC27518")</f>
        <v>UCC27518</v>
      </c>
      <c r="B2931" s="5" t="s">
        <v>26338</v>
      </c>
      <c r="C2931" s="6" t="str">
        <f>HYPERLINK("https://www.ti.com/lit/gpn/UCC27518", "PDF")</f>
        <v>PDF</v>
      </c>
      <c r="D2931" s="5" t="s">
        <v>26339</v>
      </c>
      <c r="E2931" s="5" t="s">
        <v>26340</v>
      </c>
      <c r="F2931" s="5"/>
      <c r="G2931" s="5" t="s">
        <v>26341</v>
      </c>
      <c r="H2931" s="1" t="s">
        <v>26342</v>
      </c>
      <c r="I2931" s="5" t="s">
        <v>26343</v>
      </c>
      <c r="J2931" s="7">
        <v>5</v>
      </c>
      <c r="K2931" s="7">
        <v>8.1199999999999992</v>
      </c>
      <c r="L2931" s="5" t="s">
        <v>26344</v>
      </c>
      <c r="M2931" s="7">
        <v>1.45</v>
      </c>
      <c r="N2931" s="7">
        <v>0.95</v>
      </c>
      <c r="O2931" s="7">
        <v>0.27500000000000002</v>
      </c>
      <c r="P2931" s="1" t="s">
        <v>26345</v>
      </c>
    </row>
    <row r="2932" spans="1:16" ht="33.4" x14ac:dyDescent="0.3">
      <c r="A2932" s="6" t="str">
        <f>HYPERLINK("https://www.ti.com/product/UCC27519", "UCC27519")</f>
        <v>UCC27519</v>
      </c>
      <c r="B2932" s="5" t="s">
        <v>26346</v>
      </c>
      <c r="C2932" s="6" t="str">
        <f>HYPERLINK("https://www.ti.com/lit/gpn/UCC27519", "PDF")</f>
        <v>PDF</v>
      </c>
      <c r="D2932" s="5" t="s">
        <v>26347</v>
      </c>
      <c r="E2932" s="5" t="s">
        <v>26348</v>
      </c>
      <c r="F2932" s="5"/>
      <c r="G2932" s="5" t="s">
        <v>26349</v>
      </c>
      <c r="H2932" s="1" t="s">
        <v>26350</v>
      </c>
      <c r="I2932" s="5" t="s">
        <v>26351</v>
      </c>
      <c r="J2932" s="7">
        <v>5</v>
      </c>
      <c r="K2932" s="7">
        <v>8.1199999999999992</v>
      </c>
      <c r="L2932" s="5" t="s">
        <v>26352</v>
      </c>
      <c r="M2932" s="7">
        <v>1.45</v>
      </c>
      <c r="N2932" s="7">
        <v>0.95</v>
      </c>
      <c r="O2932" s="7">
        <v>0.27500000000000002</v>
      </c>
      <c r="P2932" s="1" t="s">
        <v>26353</v>
      </c>
    </row>
    <row r="2933" spans="1:16" ht="82.5" x14ac:dyDescent="0.3">
      <c r="A2933" s="6" t="str">
        <f>HYPERLINK("https://www.ti.com/product/TPS61253", "TPS61253")</f>
        <v>TPS61253</v>
      </c>
      <c r="B2933" s="5" t="s">
        <v>26354</v>
      </c>
      <c r="C2933" s="6" t="str">
        <f>HYPERLINK("https://www.ti.com/lit/gpn/TPS61253", "PDF")</f>
        <v>PDF</v>
      </c>
      <c r="D2933" s="5" t="s">
        <v>26355</v>
      </c>
      <c r="E2933" s="5" t="s">
        <v>26356</v>
      </c>
      <c r="F2933" s="5" t="s">
        <v>26357</v>
      </c>
      <c r="G2933" s="5" t="s">
        <v>26358</v>
      </c>
      <c r="H2933" s="1" t="s">
        <v>26359</v>
      </c>
      <c r="I2933" s="5" t="s">
        <v>26360</v>
      </c>
      <c r="J2933" s="7">
        <v>9</v>
      </c>
      <c r="K2933" s="7">
        <v>1.9600000000000002</v>
      </c>
      <c r="L2933" s="5" t="s">
        <v>26361</v>
      </c>
      <c r="M2933" s="7">
        <v>0.625</v>
      </c>
      <c r="N2933" s="7">
        <v>0.4</v>
      </c>
      <c r="O2933" s="7">
        <v>0.42</v>
      </c>
      <c r="P2933" s="1" t="s">
        <v>26362</v>
      </c>
    </row>
    <row r="2934" spans="1:16" ht="82.5" x14ac:dyDescent="0.3">
      <c r="A2934" s="6" t="str">
        <f>HYPERLINK("https://www.ti.com/product/TPS61258", "TPS61258")</f>
        <v>TPS61258</v>
      </c>
      <c r="B2934" s="5" t="s">
        <v>26363</v>
      </c>
      <c r="C2934" s="6" t="str">
        <f>HYPERLINK("https://www.ti.com/lit/gpn/TPS61258", "PDF")</f>
        <v>PDF</v>
      </c>
      <c r="D2934" s="5" t="s">
        <v>26364</v>
      </c>
      <c r="E2934" s="5" t="s">
        <v>26365</v>
      </c>
      <c r="F2934" s="5" t="s">
        <v>26366</v>
      </c>
      <c r="G2934" s="5" t="s">
        <v>26367</v>
      </c>
      <c r="H2934" s="1" t="s">
        <v>26368</v>
      </c>
      <c r="I2934" s="5" t="s">
        <v>26369</v>
      </c>
      <c r="J2934" s="7">
        <v>9</v>
      </c>
      <c r="K2934" s="7">
        <v>1.9600000000000002</v>
      </c>
      <c r="L2934" s="5" t="s">
        <v>26370</v>
      </c>
      <c r="M2934" s="7">
        <v>0.625</v>
      </c>
      <c r="N2934" s="7">
        <v>0.4</v>
      </c>
      <c r="O2934" s="7">
        <v>0.42</v>
      </c>
      <c r="P2934" s="1" t="s">
        <v>26371</v>
      </c>
    </row>
    <row r="2935" spans="1:16" ht="33.4" x14ac:dyDescent="0.3">
      <c r="A2935" s="6" t="str">
        <f>HYPERLINK("https://www.ti.com/product/UCD3138", "UCD3138")</f>
        <v>UCD3138</v>
      </c>
      <c r="B2935" s="5" t="s">
        <v>26372</v>
      </c>
      <c r="C2935" s="6" t="str">
        <f>HYPERLINK("https://www.ti.com/lit/gpn/UCD3138", "PDF")</f>
        <v>PDF</v>
      </c>
      <c r="D2935" s="5" t="s">
        <v>26373</v>
      </c>
      <c r="E2935" s="5" t="s">
        <v>26374</v>
      </c>
      <c r="F2935" s="5"/>
      <c r="G2935" s="5" t="s">
        <v>26375</v>
      </c>
      <c r="H2935" s="1" t="s">
        <v>26376</v>
      </c>
      <c r="I2935" s="5" t="s">
        <v>26377</v>
      </c>
      <c r="J2935" s="7" t="s">
        <v>26378</v>
      </c>
      <c r="K2935" s="7" t="s">
        <v>26379</v>
      </c>
      <c r="L2935" s="5" t="s">
        <v>26380</v>
      </c>
      <c r="M2935" s="7" t="s">
        <v>26381</v>
      </c>
      <c r="N2935" s="7">
        <v>0.5</v>
      </c>
      <c r="O2935" s="7">
        <v>4.5999999999999996</v>
      </c>
      <c r="P2935" s="1" t="s">
        <v>26382</v>
      </c>
    </row>
    <row r="2936" spans="1:16" ht="33.4" x14ac:dyDescent="0.3">
      <c r="A2936" s="6" t="str">
        <f>HYPERLINK("https://www.ti.com/product/TPS799L", "TPS799L")</f>
        <v>TPS799L</v>
      </c>
      <c r="B2936" s="5" t="s">
        <v>26383</v>
      </c>
      <c r="C2936" s="6" t="str">
        <f>HYPERLINK("https://www.ti.com/lit/gpn/TPS799L", "PDF")</f>
        <v>PDF</v>
      </c>
      <c r="D2936" s="5" t="s">
        <v>26384</v>
      </c>
      <c r="E2936" s="5" t="s">
        <v>26385</v>
      </c>
      <c r="F2936" s="5"/>
      <c r="G2936" s="5" t="s">
        <v>26386</v>
      </c>
      <c r="H2936" s="1" t="s">
        <v>26387</v>
      </c>
      <c r="I2936" s="5" t="s">
        <v>26388</v>
      </c>
      <c r="J2936" s="7">
        <v>5</v>
      </c>
      <c r="K2936" s="7">
        <v>2.02</v>
      </c>
      <c r="L2936" s="5" t="s">
        <v>26389</v>
      </c>
      <c r="M2936" s="7">
        <v>0.5</v>
      </c>
      <c r="N2936" s="7">
        <v>0.5</v>
      </c>
      <c r="O2936" s="7">
        <v>0.23</v>
      </c>
      <c r="P2936" s="1" t="s">
        <v>26390</v>
      </c>
    </row>
    <row r="2937" spans="1:16" ht="33.4" x14ac:dyDescent="0.3">
      <c r="A2937" s="6" t="str">
        <f>HYPERLINK("https://www.ti.com/product/LM3463", "LM3463")</f>
        <v>LM3463</v>
      </c>
      <c r="B2937" s="5" t="s">
        <v>26391</v>
      </c>
      <c r="C2937" s="6" t="str">
        <f>HYPERLINK("https://www.ti.com/lit/gpn/LM3463", "PDF")</f>
        <v>PDF</v>
      </c>
      <c r="D2937" s="5" t="s">
        <v>26392</v>
      </c>
      <c r="E2937" s="5" t="s">
        <v>26393</v>
      </c>
      <c r="F2937" s="5" t="s">
        <v>26394</v>
      </c>
      <c r="G2937" s="5" t="s">
        <v>26395</v>
      </c>
      <c r="H2937" s="1" t="s">
        <v>26396</v>
      </c>
      <c r="I2937" s="5" t="s">
        <v>26397</v>
      </c>
      <c r="J2937" s="7">
        <v>48</v>
      </c>
      <c r="K2937" s="7">
        <v>49</v>
      </c>
      <c r="L2937" s="5" t="s">
        <v>26398</v>
      </c>
      <c r="M2937" s="7">
        <v>0.8</v>
      </c>
      <c r="N2937" s="7">
        <v>0.5</v>
      </c>
      <c r="O2937" s="7">
        <v>3.036</v>
      </c>
      <c r="P2937" s="1" t="s">
        <v>26399</v>
      </c>
    </row>
    <row r="2938" spans="1:16" ht="33.4" x14ac:dyDescent="0.3">
      <c r="A2938" s="6" t="str">
        <f>HYPERLINK("https://www.ti.com/product/UCC27526", "UCC27526")</f>
        <v>UCC27526</v>
      </c>
      <c r="B2938" s="5" t="s">
        <v>26400</v>
      </c>
      <c r="C2938" s="6" t="str">
        <f>HYPERLINK("https://www.ti.com/lit/gpn/UCC27526", "PDF")</f>
        <v>PDF</v>
      </c>
      <c r="D2938" s="5" t="s">
        <v>26401</v>
      </c>
      <c r="E2938" s="5" t="s">
        <v>26402</v>
      </c>
      <c r="F2938" s="5"/>
      <c r="G2938" s="5" t="s">
        <v>26403</v>
      </c>
      <c r="H2938" s="1" t="s">
        <v>26404</v>
      </c>
      <c r="I2938" s="5" t="s">
        <v>26405</v>
      </c>
      <c r="J2938" s="7">
        <v>8</v>
      </c>
      <c r="K2938" s="7">
        <v>9</v>
      </c>
      <c r="L2938" s="5" t="s">
        <v>26406</v>
      </c>
      <c r="M2938" s="7">
        <v>0.8</v>
      </c>
      <c r="N2938" s="7">
        <v>0.65</v>
      </c>
      <c r="O2938" s="7">
        <v>0.47499999999999998</v>
      </c>
      <c r="P2938" s="1" t="s">
        <v>26407</v>
      </c>
    </row>
    <row r="2939" spans="1:16" ht="33.4" x14ac:dyDescent="0.3">
      <c r="A2939" s="6" t="str">
        <f>HYPERLINK("https://www.ti.com/product/TPS92550", "TPS92550")</f>
        <v>TPS92550</v>
      </c>
      <c r="B2939" s="5" t="s">
        <v>26408</v>
      </c>
      <c r="C2939" s="6" t="str">
        <f>HYPERLINK("https://www.ti.com/lit/gpn/TPS92550", "PDF")</f>
        <v>PDF</v>
      </c>
      <c r="D2939" s="5" t="s">
        <v>26409</v>
      </c>
      <c r="E2939" s="5" t="s">
        <v>26410</v>
      </c>
      <c r="F2939" s="5" t="s">
        <v>26411</v>
      </c>
      <c r="G2939" s="5" t="s">
        <v>26412</v>
      </c>
      <c r="H2939" s="1" t="s">
        <v>26413</v>
      </c>
      <c r="I2939" s="5" t="s">
        <v>26414</v>
      </c>
      <c r="J2939" s="7">
        <v>7</v>
      </c>
      <c r="K2939" s="7">
        <v>139.9032</v>
      </c>
      <c r="L2939" s="5" t="s">
        <v>26415</v>
      </c>
      <c r="M2939" s="7">
        <v>4.58</v>
      </c>
      <c r="N2939" s="7">
        <v>1.27</v>
      </c>
      <c r="O2939" s="7">
        <v>3.45</v>
      </c>
      <c r="P2939" s="1" t="s">
        <v>26416</v>
      </c>
    </row>
    <row r="2940" spans="1:16" ht="33.4" x14ac:dyDescent="0.3">
      <c r="A2940" s="6" t="str">
        <f>HYPERLINK("https://www.ti.com/product/TPS92551", "TPS92551")</f>
        <v>TPS92551</v>
      </c>
      <c r="B2940" s="5" t="s">
        <v>26417</v>
      </c>
      <c r="C2940" s="6" t="str">
        <f>HYPERLINK("https://www.ti.com/lit/gpn/TPS92551", "PDF")</f>
        <v>PDF</v>
      </c>
      <c r="D2940" s="5" t="s">
        <v>26418</v>
      </c>
      <c r="E2940" s="5" t="s">
        <v>26419</v>
      </c>
      <c r="F2940" s="5" t="s">
        <v>26420</v>
      </c>
      <c r="G2940" s="5" t="s">
        <v>26421</v>
      </c>
      <c r="H2940" s="1" t="s">
        <v>26422</v>
      </c>
      <c r="I2940" s="5" t="s">
        <v>26423</v>
      </c>
      <c r="J2940" s="7">
        <v>7</v>
      </c>
      <c r="K2940" s="7">
        <v>139.9032</v>
      </c>
      <c r="L2940" s="5" t="s">
        <v>26424</v>
      </c>
      <c r="M2940" s="7">
        <v>4.58</v>
      </c>
      <c r="N2940" s="7">
        <v>1.27</v>
      </c>
      <c r="O2940" s="7">
        <v>3.2519999999999998</v>
      </c>
      <c r="P2940" s="1" t="s">
        <v>26425</v>
      </c>
    </row>
    <row r="2941" spans="1:16" ht="33.4" x14ac:dyDescent="0.3">
      <c r="A2941" s="6" t="str">
        <f>HYPERLINK("https://www.ti.com/product/TPS62125", "TPS62125")</f>
        <v>TPS62125</v>
      </c>
      <c r="B2941" s="5" t="s">
        <v>26426</v>
      </c>
      <c r="C2941" s="6" t="str">
        <f>HYPERLINK("https://www.ti.com/lit/gpn/TPS62125", "PDF")</f>
        <v>PDF</v>
      </c>
      <c r="D2941" s="5" t="s">
        <v>26427</v>
      </c>
      <c r="E2941" s="5" t="s">
        <v>26428</v>
      </c>
      <c r="F2941" s="5" t="s">
        <v>26429</v>
      </c>
      <c r="G2941" s="5" t="s">
        <v>26430</v>
      </c>
      <c r="H2941" s="1" t="s">
        <v>26431</v>
      </c>
      <c r="I2941" s="5" t="s">
        <v>26432</v>
      </c>
      <c r="J2941" s="7">
        <v>8</v>
      </c>
      <c r="K2941" s="7">
        <v>4</v>
      </c>
      <c r="L2941" s="5" t="s">
        <v>26433</v>
      </c>
      <c r="M2941" s="7">
        <v>0.8</v>
      </c>
      <c r="N2941" s="7">
        <v>0.5</v>
      </c>
      <c r="O2941" s="7">
        <v>0.46800000000000003</v>
      </c>
      <c r="P2941" s="1" t="s">
        <v>26434</v>
      </c>
    </row>
    <row r="2942" spans="1:16" ht="33.4" x14ac:dyDescent="0.3">
      <c r="A2942" s="6" t="str">
        <f>HYPERLINK("https://www.ti.com/product/TPS65197", "TPS65197")</f>
        <v>TPS65197</v>
      </c>
      <c r="B2942" s="5" t="s">
        <v>26435</v>
      </c>
      <c r="C2942" s="6" t="str">
        <f>HYPERLINK("https://www.ti.com/lit/gpn/TPS65197", "PDF")</f>
        <v>PDF</v>
      </c>
      <c r="D2942" s="5" t="s">
        <v>26436</v>
      </c>
      <c r="E2942" s="5" t="s">
        <v>26437</v>
      </c>
      <c r="F2942" s="5"/>
      <c r="G2942" s="5" t="s">
        <v>26438</v>
      </c>
      <c r="H2942" s="1" t="s">
        <v>26439</v>
      </c>
      <c r="I2942" s="5" t="s">
        <v>26440</v>
      </c>
      <c r="J2942" s="7">
        <v>28</v>
      </c>
      <c r="K2942" s="7">
        <v>16</v>
      </c>
      <c r="L2942" s="5" t="s">
        <v>26441</v>
      </c>
      <c r="M2942" s="7">
        <v>0.8</v>
      </c>
      <c r="N2942" s="7">
        <v>0.4</v>
      </c>
      <c r="O2942" s="7">
        <v>0.316</v>
      </c>
      <c r="P2942" s="1" t="s">
        <v>26442</v>
      </c>
    </row>
    <row r="2943" spans="1:16" ht="33.4" x14ac:dyDescent="0.3">
      <c r="A2943" s="6" t="str">
        <f>HYPERLINK("https://www.ti.com/product/LM2700Q-Q1", "LM2700Q-Q1")</f>
        <v>LM2700Q-Q1</v>
      </c>
      <c r="B2943" s="5" t="s">
        <v>26443</v>
      </c>
      <c r="C2943" s="6" t="str">
        <f>HYPERLINK("https://www.ti.com/lit/gpn/LM2700Q-Q1", "PDF")</f>
        <v>PDF</v>
      </c>
      <c r="D2943" s="5" t="s">
        <v>26444</v>
      </c>
      <c r="E2943" s="5" t="s">
        <v>26445</v>
      </c>
      <c r="F2943" s="5" t="s">
        <v>26446</v>
      </c>
      <c r="G2943" s="5" t="s">
        <v>26447</v>
      </c>
      <c r="H2943" s="1" t="s">
        <v>26448</v>
      </c>
      <c r="I2943" s="5" t="s">
        <v>26449</v>
      </c>
      <c r="J2943" s="7">
        <v>14</v>
      </c>
      <c r="K2943" s="7">
        <v>32</v>
      </c>
      <c r="L2943" s="5" t="s">
        <v>26450</v>
      </c>
      <c r="M2943" s="7">
        <v>1.2</v>
      </c>
      <c r="N2943" s="7">
        <v>0.65</v>
      </c>
      <c r="O2943" s="7">
        <v>2.2400000000000002</v>
      </c>
      <c r="P2943" s="1" t="s">
        <v>26451</v>
      </c>
    </row>
    <row r="2944" spans="1:16" ht="49.75" x14ac:dyDescent="0.3">
      <c r="A2944" s="6" t="str">
        <f>HYPERLINK("https://www.ti.com/product/TPS82670", "TPS82670")</f>
        <v>TPS82670</v>
      </c>
      <c r="B2944" s="5" t="s">
        <v>26452</v>
      </c>
      <c r="C2944" s="6" t="str">
        <f>HYPERLINK("https://www.ti.com/lit/gpn/TPS82670", "PDF")</f>
        <v>PDF</v>
      </c>
      <c r="D2944" s="5" t="s">
        <v>26453</v>
      </c>
      <c r="E2944" s="5" t="s">
        <v>26454</v>
      </c>
      <c r="F2944" s="5" t="s">
        <v>26455</v>
      </c>
      <c r="G2944" s="5" t="s">
        <v>26456</v>
      </c>
      <c r="H2944" s="1" t="s">
        <v>26457</v>
      </c>
      <c r="I2944" s="5" t="s">
        <v>26458</v>
      </c>
      <c r="J2944" s="7">
        <v>8</v>
      </c>
      <c r="K2944" s="7" t="s">
        <v>26459</v>
      </c>
      <c r="L2944" s="5" t="s">
        <v>26460</v>
      </c>
      <c r="M2944" s="7" t="s">
        <v>26461</v>
      </c>
      <c r="N2944" s="7" t="s">
        <v>26462</v>
      </c>
      <c r="O2944" s="7">
        <v>1.012</v>
      </c>
      <c r="P2944" s="1" t="s">
        <v>26463</v>
      </c>
    </row>
    <row r="2945" spans="1:16" ht="49.75" x14ac:dyDescent="0.3">
      <c r="A2945" s="6" t="str">
        <f>HYPERLINK("https://www.ti.com/product/TPS82673", "TPS82673")</f>
        <v>TPS82673</v>
      </c>
      <c r="B2945" s="5" t="s">
        <v>26464</v>
      </c>
      <c r="C2945" s="6" t="str">
        <f>HYPERLINK("https://www.ti.com/lit/gpn/TPS82673", "PDF")</f>
        <v>PDF</v>
      </c>
      <c r="D2945" s="5" t="s">
        <v>26465</v>
      </c>
      <c r="E2945" s="5" t="s">
        <v>26466</v>
      </c>
      <c r="F2945" s="5" t="s">
        <v>26467</v>
      </c>
      <c r="G2945" s="5" t="s">
        <v>26468</v>
      </c>
      <c r="H2945" s="1" t="s">
        <v>26469</v>
      </c>
      <c r="I2945" s="5" t="s">
        <v>26470</v>
      </c>
      <c r="J2945" s="7">
        <v>8</v>
      </c>
      <c r="K2945" s="7">
        <v>6.67</v>
      </c>
      <c r="L2945" s="5" t="s">
        <v>26471</v>
      </c>
      <c r="M2945" s="7">
        <v>1</v>
      </c>
      <c r="N2945" s="7">
        <v>1</v>
      </c>
      <c r="O2945" s="7">
        <v>1.012</v>
      </c>
      <c r="P2945" s="1" t="s">
        <v>26472</v>
      </c>
    </row>
    <row r="2946" spans="1:16" ht="33.4" x14ac:dyDescent="0.3">
      <c r="A2946" s="6" t="str">
        <f>HYPERLINK("https://www.ti.com/product/TLV717P", "TLV717P")</f>
        <v>TLV717P</v>
      </c>
      <c r="B2946" s="5" t="s">
        <v>26473</v>
      </c>
      <c r="C2946" s="6" t="str">
        <f>HYPERLINK("https://www.ti.com/lit/gpn/TLV717P", "PDF")</f>
        <v>PDF</v>
      </c>
      <c r="D2946" s="5" t="s">
        <v>26474</v>
      </c>
      <c r="E2946" s="5" t="s">
        <v>26475</v>
      </c>
      <c r="F2946" s="5"/>
      <c r="G2946" s="5" t="s">
        <v>26476</v>
      </c>
      <c r="H2946" s="1" t="s">
        <v>26477</v>
      </c>
      <c r="I2946" s="5" t="s">
        <v>26478</v>
      </c>
      <c r="J2946" s="7">
        <v>4</v>
      </c>
      <c r="K2946" s="7">
        <v>1</v>
      </c>
      <c r="L2946" s="5" t="s">
        <v>26479</v>
      </c>
      <c r="M2946" s="7">
        <v>0.4</v>
      </c>
      <c r="N2946" s="7">
        <v>0.65</v>
      </c>
      <c r="O2946" s="7">
        <v>8.5999999999999993E-2</v>
      </c>
      <c r="P2946" s="1" t="s">
        <v>26480</v>
      </c>
    </row>
    <row r="2947" spans="1:16" ht="33.4" x14ac:dyDescent="0.3">
      <c r="A2947" s="6" t="str">
        <f>HYPERLINK("https://www.ti.com/product/LM3447", "LM3447")</f>
        <v>LM3447</v>
      </c>
      <c r="B2947" s="5" t="s">
        <v>26481</v>
      </c>
      <c r="C2947" s="6" t="str">
        <f>HYPERLINK("https://www.ti.com/lit/gpn/LM3447", "PDF")</f>
        <v>PDF</v>
      </c>
      <c r="D2947" s="5" t="s">
        <v>26482</v>
      </c>
      <c r="E2947" s="5" t="s">
        <v>26483</v>
      </c>
      <c r="F2947" s="5" t="s">
        <v>26484</v>
      </c>
      <c r="G2947" s="5" t="s">
        <v>26485</v>
      </c>
      <c r="H2947" s="1" t="s">
        <v>26486</v>
      </c>
      <c r="I2947" s="5" t="s">
        <v>26487</v>
      </c>
      <c r="J2947" s="7">
        <v>14</v>
      </c>
      <c r="K2947" s="7">
        <v>32</v>
      </c>
      <c r="L2947" s="5" t="s">
        <v>26488</v>
      </c>
      <c r="M2947" s="7">
        <v>1.2</v>
      </c>
      <c r="N2947" s="7">
        <v>0.65</v>
      </c>
      <c r="O2947" s="7">
        <v>0.51900000000000002</v>
      </c>
      <c r="P2947" s="1" t="s">
        <v>26489</v>
      </c>
    </row>
    <row r="2948" spans="1:16" ht="17.05" x14ac:dyDescent="0.3">
      <c r="A2948" s="6" t="str">
        <f>HYPERLINK("https://www.ti.com/product/LM3533", "LM3533")</f>
        <v>LM3533</v>
      </c>
      <c r="B2948" s="5" t="s">
        <v>26490</v>
      </c>
      <c r="C2948" s="6" t="str">
        <f>HYPERLINK("https://www.ti.com/lit/gpn/LM3533", "PDF")</f>
        <v>PDF</v>
      </c>
      <c r="D2948" s="5" t="s">
        <v>26491</v>
      </c>
      <c r="E2948" s="5" t="s">
        <v>26492</v>
      </c>
      <c r="F2948" s="5" t="s">
        <v>26493</v>
      </c>
      <c r="G2948" s="5" t="s">
        <v>26494</v>
      </c>
      <c r="H2948" s="1" t="s">
        <v>26495</v>
      </c>
      <c r="I2948" s="5" t="s">
        <v>26496</v>
      </c>
      <c r="J2948" s="7">
        <v>20</v>
      </c>
      <c r="K2948" s="7">
        <v>3.96</v>
      </c>
      <c r="L2948" s="5" t="s">
        <v>26497</v>
      </c>
      <c r="M2948" s="7">
        <v>0.67500000000000004</v>
      </c>
      <c r="N2948" s="7">
        <v>0.4</v>
      </c>
      <c r="O2948" s="7">
        <v>0.74399999999999999</v>
      </c>
      <c r="P2948" s="1" t="s">
        <v>26498</v>
      </c>
    </row>
    <row r="2949" spans="1:16" ht="33.4" x14ac:dyDescent="0.3">
      <c r="A2949" s="6" t="str">
        <f>HYPERLINK("https://www.ti.com/product/ULN2003LV", "ULN2003LV")</f>
        <v>ULN2003LV</v>
      </c>
      <c r="B2949" s="5" t="s">
        <v>26499</v>
      </c>
      <c r="C2949" s="6" t="str">
        <f>HYPERLINK("https://www.ti.com/lit/gpn/ULN2003LV", "PDF")</f>
        <v>PDF</v>
      </c>
      <c r="D2949" s="5" t="s">
        <v>26500</v>
      </c>
      <c r="E2949" s="5" t="s">
        <v>26501</v>
      </c>
      <c r="F2949" s="5"/>
      <c r="G2949" s="5" t="s">
        <v>26502</v>
      </c>
      <c r="H2949" s="1" t="s">
        <v>26503</v>
      </c>
      <c r="I2949" s="5" t="s">
        <v>26504</v>
      </c>
      <c r="J2949" s="7">
        <v>16</v>
      </c>
      <c r="K2949" s="7" t="s">
        <v>26505</v>
      </c>
      <c r="L2949" s="5" t="s">
        <v>26506</v>
      </c>
      <c r="M2949" s="7" t="s">
        <v>26507</v>
      </c>
      <c r="N2949" s="7" t="s">
        <v>26508</v>
      </c>
      <c r="O2949" s="7">
        <v>0.185</v>
      </c>
      <c r="P2949" s="1" t="s">
        <v>26509</v>
      </c>
    </row>
    <row r="2950" spans="1:16" ht="49.75" x14ac:dyDescent="0.3">
      <c r="A2950" s="6" t="str">
        <f>HYPERLINK("https://www.ti.com/product/TPS3700", "TPS3700")</f>
        <v>TPS3700</v>
      </c>
      <c r="B2950" s="5" t="s">
        <v>26510</v>
      </c>
      <c r="C2950" s="6" t="str">
        <f>HYPERLINK("https://www.ti.com/lit/gpn/TPS3700", "PDF")</f>
        <v>PDF</v>
      </c>
      <c r="D2950" s="5" t="s">
        <v>26511</v>
      </c>
      <c r="E2950" s="5" t="s">
        <v>26512</v>
      </c>
      <c r="F2950" s="5"/>
      <c r="G2950" s="5" t="s">
        <v>26513</v>
      </c>
      <c r="H2950" s="1" t="s">
        <v>26514</v>
      </c>
      <c r="I2950" s="5" t="s">
        <v>26515</v>
      </c>
      <c r="J2950" s="7">
        <v>6</v>
      </c>
      <c r="K2950" s="7" t="s">
        <v>26516</v>
      </c>
      <c r="L2950" s="5" t="s">
        <v>26517</v>
      </c>
      <c r="M2950" s="7" t="s">
        <v>26518</v>
      </c>
      <c r="N2950" s="7" t="s">
        <v>26519</v>
      </c>
      <c r="O2950" s="7">
        <v>0.8</v>
      </c>
      <c r="P2950" s="1" t="s">
        <v>26520</v>
      </c>
    </row>
    <row r="2951" spans="1:16" ht="17.05" x14ac:dyDescent="0.3">
      <c r="A2951" s="6" t="str">
        <f>HYPERLINK("https://www.ti.com/product/TPS2379", "TPS2379")</f>
        <v>TPS2379</v>
      </c>
      <c r="B2951" s="5" t="s">
        <v>26521</v>
      </c>
      <c r="C2951" s="6" t="str">
        <f>HYPERLINK("https://www.ti.com/lit/gpn/TPS2379", "PDF")</f>
        <v>PDF</v>
      </c>
      <c r="D2951" s="5" t="s">
        <v>26522</v>
      </c>
      <c r="E2951" s="5" t="s">
        <v>26523</v>
      </c>
      <c r="F2951" s="5"/>
      <c r="G2951" s="5" t="s">
        <v>26524</v>
      </c>
      <c r="H2951" s="1" t="s">
        <v>26525</v>
      </c>
      <c r="I2951" s="5" t="s">
        <v>26526</v>
      </c>
      <c r="J2951" s="7">
        <v>8</v>
      </c>
      <c r="K2951" s="7">
        <v>29.4</v>
      </c>
      <c r="L2951" s="5" t="s">
        <v>26527</v>
      </c>
      <c r="M2951" s="7">
        <v>1.7</v>
      </c>
      <c r="N2951" s="7">
        <v>1.27</v>
      </c>
      <c r="O2951" s="7">
        <v>0.74399999999999999</v>
      </c>
      <c r="P2951" s="1" t="s">
        <v>26528</v>
      </c>
    </row>
    <row r="2952" spans="1:16" ht="33.4" x14ac:dyDescent="0.3">
      <c r="A2952" s="6" t="str">
        <f>HYPERLINK("https://www.ti.com/product/LP5560", "LP5560")</f>
        <v>LP5560</v>
      </c>
      <c r="B2952" s="5" t="s">
        <v>26529</v>
      </c>
      <c r="C2952" s="6" t="str">
        <f>HYPERLINK("https://www.ti.com/lit/gpn/LP5560", "PDF")</f>
        <v>PDF</v>
      </c>
      <c r="D2952" s="5" t="s">
        <v>26530</v>
      </c>
      <c r="E2952" s="5" t="s">
        <v>26531</v>
      </c>
      <c r="F2952" s="5" t="s">
        <v>26532</v>
      </c>
      <c r="G2952" s="5" t="s">
        <v>26533</v>
      </c>
      <c r="H2952" s="1" t="s">
        <v>26534</v>
      </c>
      <c r="I2952" s="5" t="s">
        <v>26535</v>
      </c>
      <c r="J2952" s="7">
        <v>4</v>
      </c>
      <c r="K2952" s="7">
        <v>1</v>
      </c>
      <c r="L2952" s="5" t="s">
        <v>26536</v>
      </c>
      <c r="M2952" s="7">
        <v>0.67500000000000004</v>
      </c>
      <c r="N2952" s="7">
        <v>0.4</v>
      </c>
      <c r="O2952" s="7">
        <v>0.18099999999999999</v>
      </c>
      <c r="P2952" s="1" t="s">
        <v>26537</v>
      </c>
    </row>
    <row r="2953" spans="1:16" ht="33.4" x14ac:dyDescent="0.3">
      <c r="A2953" s="6" t="str">
        <f>HYPERLINK("https://www.ti.com/product/LM25117-Q1", "LM25117-Q1")</f>
        <v>LM25117-Q1</v>
      </c>
      <c r="B2953" s="5" t="s">
        <v>26538</v>
      </c>
      <c r="C2953" s="6" t="str">
        <f>HYPERLINK("https://www.ti.com/lit/gpn/LM25117-Q1", "PDF")</f>
        <v>PDF</v>
      </c>
      <c r="D2953" s="5" t="s">
        <v>26539</v>
      </c>
      <c r="E2953" s="5" t="s">
        <v>26540</v>
      </c>
      <c r="F2953" s="5" t="s">
        <v>26541</v>
      </c>
      <c r="G2953" s="5" t="s">
        <v>26542</v>
      </c>
      <c r="H2953" s="1" t="s">
        <v>26543</v>
      </c>
      <c r="I2953" s="5" t="s">
        <v>26544</v>
      </c>
      <c r="J2953" s="7" t="s">
        <v>26545</v>
      </c>
      <c r="K2953" s="7" t="s">
        <v>26546</v>
      </c>
      <c r="L2953" s="5" t="s">
        <v>26547</v>
      </c>
      <c r="M2953" s="7" t="s">
        <v>26548</v>
      </c>
      <c r="N2953" s="7" t="s">
        <v>26549</v>
      </c>
      <c r="O2953" s="7">
        <v>2.3660000000000001</v>
      </c>
      <c r="P2953" s="1" t="s">
        <v>26550</v>
      </c>
    </row>
    <row r="2954" spans="1:16" ht="33.4" x14ac:dyDescent="0.3">
      <c r="A2954" s="6" t="str">
        <f>HYPERLINK("https://www.ti.com/product/LM4040-N-Q1", "LM4040-N-Q1")</f>
        <v>LM4040-N-Q1</v>
      </c>
      <c r="B2954" s="5" t="s">
        <v>26551</v>
      </c>
      <c r="C2954" s="6" t="str">
        <f>HYPERLINK("https://www.ti.com/lit/gpn/LM4040-N-Q1", "PDF")</f>
        <v>PDF</v>
      </c>
      <c r="D2954" s="5" t="s">
        <v>26552</v>
      </c>
      <c r="E2954" s="5" t="s">
        <v>26553</v>
      </c>
      <c r="F2954" s="5"/>
      <c r="G2954" s="5" t="s">
        <v>26554</v>
      </c>
      <c r="H2954" s="1" t="s">
        <v>26555</v>
      </c>
      <c r="I2954" s="5" t="s">
        <v>26556</v>
      </c>
      <c r="J2954" s="7">
        <v>3</v>
      </c>
      <c r="K2954" s="7">
        <v>6.9203999999999999</v>
      </c>
      <c r="L2954" s="5" t="s">
        <v>26557</v>
      </c>
      <c r="M2954" s="7">
        <v>1.1200000000000001</v>
      </c>
      <c r="N2954" s="7">
        <v>0.96</v>
      </c>
      <c r="O2954" s="7">
        <v>0.23300000000000001</v>
      </c>
      <c r="P2954" s="1" t="s">
        <v>26558</v>
      </c>
    </row>
    <row r="2955" spans="1:16" ht="49.75" x14ac:dyDescent="0.3">
      <c r="A2955" s="6" t="str">
        <f>HYPERLINK("https://www.ti.com/product/TLC5948A", "TLC5948A")</f>
        <v>TLC5948A</v>
      </c>
      <c r="B2955" s="5" t="s">
        <v>26559</v>
      </c>
      <c r="C2955" s="6" t="str">
        <f>HYPERLINK("https://www.ti.com/lit/gpn/TLC5948A", "PDF")</f>
        <v>PDF</v>
      </c>
      <c r="D2955" s="5" t="s">
        <v>26560</v>
      </c>
      <c r="E2955" s="5" t="s">
        <v>26561</v>
      </c>
      <c r="F2955" s="5"/>
      <c r="G2955" s="5" t="s">
        <v>26562</v>
      </c>
      <c r="H2955" s="1" t="s">
        <v>26563</v>
      </c>
      <c r="I2955" s="5" t="s">
        <v>26564</v>
      </c>
      <c r="J2955" s="7">
        <v>24</v>
      </c>
      <c r="K2955" s="7" t="s">
        <v>26565</v>
      </c>
      <c r="L2955" s="5" t="s">
        <v>26566</v>
      </c>
      <c r="M2955" s="7" t="s">
        <v>26567</v>
      </c>
      <c r="N2955" s="7" t="s">
        <v>26568</v>
      </c>
      <c r="O2955" s="7">
        <v>0.84599999999999997</v>
      </c>
      <c r="P2955" s="1" t="s">
        <v>26569</v>
      </c>
    </row>
    <row r="2956" spans="1:16" ht="33.4" x14ac:dyDescent="0.3">
      <c r="A2956" s="6" t="str">
        <f>HYPERLINK("https://www.ti.com/product/TPS2560A", "TPS2560A")</f>
        <v>TPS2560A</v>
      </c>
      <c r="B2956" s="5" t="s">
        <v>26570</v>
      </c>
      <c r="C2956" s="6" t="str">
        <f>HYPERLINK("https://www.ti.com/lit/gpn/TPS2560A", "PDF")</f>
        <v>PDF</v>
      </c>
      <c r="D2956" s="5" t="s">
        <v>26571</v>
      </c>
      <c r="E2956" s="5" t="s">
        <v>26572</v>
      </c>
      <c r="F2956" s="5"/>
      <c r="G2956" s="5" t="s">
        <v>26573</v>
      </c>
      <c r="H2956" s="1" t="s">
        <v>26574</v>
      </c>
      <c r="I2956" s="5" t="s">
        <v>26575</v>
      </c>
      <c r="J2956" s="7">
        <v>10</v>
      </c>
      <c r="K2956" s="7">
        <v>9</v>
      </c>
      <c r="L2956" s="5" t="s">
        <v>26576</v>
      </c>
      <c r="M2956" s="7">
        <v>1</v>
      </c>
      <c r="N2956" s="7">
        <v>0.5</v>
      </c>
      <c r="O2956" s="7">
        <v>0.5</v>
      </c>
      <c r="P2956" s="1" t="s">
        <v>26577</v>
      </c>
    </row>
    <row r="2957" spans="1:16" ht="33.4" x14ac:dyDescent="0.3">
      <c r="A2957" s="6" t="str">
        <f>HYPERLINK("https://www.ti.com/product/TPS2561A", "TPS2561A")</f>
        <v>TPS2561A</v>
      </c>
      <c r="B2957" s="5" t="s">
        <v>26578</v>
      </c>
      <c r="C2957" s="6" t="str">
        <f>HYPERLINK("https://www.ti.com/lit/gpn/TPS2561A", "PDF")</f>
        <v>PDF</v>
      </c>
      <c r="D2957" s="5" t="s">
        <v>26579</v>
      </c>
      <c r="E2957" s="5" t="s">
        <v>26580</v>
      </c>
      <c r="F2957" s="5"/>
      <c r="G2957" s="5" t="s">
        <v>26581</v>
      </c>
      <c r="H2957" s="1" t="s">
        <v>26582</v>
      </c>
      <c r="I2957" s="5" t="s">
        <v>26583</v>
      </c>
      <c r="J2957" s="7">
        <v>10</v>
      </c>
      <c r="K2957" s="7">
        <v>9</v>
      </c>
      <c r="L2957" s="5" t="s">
        <v>26584</v>
      </c>
      <c r="M2957" s="7">
        <v>1</v>
      </c>
      <c r="N2957" s="7">
        <v>0.5</v>
      </c>
      <c r="O2957" s="7">
        <v>0.5</v>
      </c>
      <c r="P2957" s="1" t="s">
        <v>26585</v>
      </c>
    </row>
    <row r="2958" spans="1:16" ht="17.05" x14ac:dyDescent="0.3">
      <c r="A2958" s="6" t="str">
        <f>HYPERLINK("https://www.ti.com/product/TPS2378", "TPS2378")</f>
        <v>TPS2378</v>
      </c>
      <c r="B2958" s="5" t="s">
        <v>26586</v>
      </c>
      <c r="C2958" s="6" t="str">
        <f>HYPERLINK("https://www.ti.com/lit/gpn/TPS2378", "PDF")</f>
        <v>PDF</v>
      </c>
      <c r="D2958" s="5" t="s">
        <v>26587</v>
      </c>
      <c r="E2958" s="5" t="s">
        <v>26588</v>
      </c>
      <c r="F2958" s="5"/>
      <c r="G2958" s="5" t="s">
        <v>26589</v>
      </c>
      <c r="H2958" s="1" t="s">
        <v>26590</v>
      </c>
      <c r="I2958" s="5" t="s">
        <v>26591</v>
      </c>
      <c r="J2958" s="7">
        <v>8</v>
      </c>
      <c r="K2958" s="7">
        <v>29.4</v>
      </c>
      <c r="L2958" s="5" t="s">
        <v>26592</v>
      </c>
      <c r="M2958" s="7">
        <v>1.7</v>
      </c>
      <c r="N2958" s="7">
        <v>1.27</v>
      </c>
      <c r="O2958" s="7">
        <v>0.68400000000000005</v>
      </c>
      <c r="P2958" s="1" t="s">
        <v>26593</v>
      </c>
    </row>
    <row r="2959" spans="1:16" ht="33.4" x14ac:dyDescent="0.3">
      <c r="A2959" s="6" t="str">
        <f>HYPERLINK("https://www.ti.com/product/TPS2060C", "TPS2060C")</f>
        <v>TPS2060C</v>
      </c>
      <c r="B2959" s="5" t="s">
        <v>26594</v>
      </c>
      <c r="C2959" s="6" t="str">
        <f>HYPERLINK("https://www.ti.com/lit/gpn/TPS2060C", "PDF")</f>
        <v>PDF</v>
      </c>
      <c r="D2959" s="5" t="s">
        <v>26595</v>
      </c>
      <c r="E2959" s="5" t="s">
        <v>26596</v>
      </c>
      <c r="F2959" s="5"/>
      <c r="G2959" s="5" t="s">
        <v>26597</v>
      </c>
      <c r="H2959" s="1" t="s">
        <v>26598</v>
      </c>
      <c r="I2959" s="5" t="s">
        <v>26599</v>
      </c>
      <c r="J2959" s="7">
        <v>8</v>
      </c>
      <c r="K2959" s="7">
        <v>14.7</v>
      </c>
      <c r="L2959" s="5" t="s">
        <v>26600</v>
      </c>
      <c r="M2959" s="7">
        <v>1.1000000000000001</v>
      </c>
      <c r="N2959" s="7">
        <v>0.65</v>
      </c>
      <c r="O2959" s="7">
        <v>0.42</v>
      </c>
      <c r="P2959" s="1" t="s">
        <v>26601</v>
      </c>
    </row>
    <row r="2960" spans="1:16" ht="33.4" x14ac:dyDescent="0.3">
      <c r="A2960" s="6" t="str">
        <f>HYPERLINK("https://www.ti.com/product/TPS40170-Q1", "TPS40170-Q1")</f>
        <v>TPS40170-Q1</v>
      </c>
      <c r="B2960" s="5" t="s">
        <v>26602</v>
      </c>
      <c r="C2960" s="6" t="str">
        <f>HYPERLINK("https://www.ti.com/lit/gpn/TPS40170-Q1", "PDF")</f>
        <v>PDF</v>
      </c>
      <c r="D2960" s="5" t="s">
        <v>26603</v>
      </c>
      <c r="E2960" s="5" t="s">
        <v>26604</v>
      </c>
      <c r="F2960" s="5" t="s">
        <v>26605</v>
      </c>
      <c r="G2960" s="5" t="s">
        <v>26606</v>
      </c>
      <c r="H2960" s="1" t="s">
        <v>26607</v>
      </c>
      <c r="I2960" s="5" t="s">
        <v>26608</v>
      </c>
      <c r="J2960" s="7">
        <v>20</v>
      </c>
      <c r="K2960" s="7">
        <v>15.75</v>
      </c>
      <c r="L2960" s="5" t="s">
        <v>26609</v>
      </c>
      <c r="M2960" s="7">
        <v>1</v>
      </c>
      <c r="N2960" s="7">
        <v>0.5</v>
      </c>
      <c r="O2960" s="7">
        <v>2.9950000000000001</v>
      </c>
      <c r="P2960" s="1" t="s">
        <v>26610</v>
      </c>
    </row>
    <row r="2961" spans="1:16" ht="33.4" x14ac:dyDescent="0.3">
      <c r="A2961" s="6" t="str">
        <f>HYPERLINK("https://www.ti.com/product/TPS54386-Q1", "TPS54386-Q1")</f>
        <v>TPS54386-Q1</v>
      </c>
      <c r="B2961" s="5" t="s">
        <v>26611</v>
      </c>
      <c r="C2961" s="6" t="str">
        <f>HYPERLINK("https://www.ti.com/lit/gpn/TPS54386-Q1", "PDF")</f>
        <v>PDF</v>
      </c>
      <c r="D2961" s="5" t="s">
        <v>26612</v>
      </c>
      <c r="E2961" s="5" t="s">
        <v>26613</v>
      </c>
      <c r="F2961" s="5" t="s">
        <v>26614</v>
      </c>
      <c r="G2961" s="5" t="s">
        <v>26615</v>
      </c>
      <c r="H2961" s="1" t="s">
        <v>26616</v>
      </c>
      <c r="I2961" s="5" t="s">
        <v>26617</v>
      </c>
      <c r="J2961" s="7">
        <v>14</v>
      </c>
      <c r="K2961" s="7">
        <v>32</v>
      </c>
      <c r="L2961" s="5" t="s">
        <v>26618</v>
      </c>
      <c r="M2961" s="7">
        <v>1.2</v>
      </c>
      <c r="N2961" s="7">
        <v>0.65</v>
      </c>
      <c r="O2961" s="7">
        <v>1.2809999999999999</v>
      </c>
      <c r="P2961" s="1" t="s">
        <v>26619</v>
      </c>
    </row>
    <row r="2962" spans="1:16" ht="33.4" x14ac:dyDescent="0.3">
      <c r="A2962" s="6" t="str">
        <f>HYPERLINK("https://www.ti.com/product/TPS62242-Q1", "TPS62242-Q1")</f>
        <v>TPS62242-Q1</v>
      </c>
      <c r="B2962" s="5" t="s">
        <v>26620</v>
      </c>
      <c r="C2962" s="6" t="str">
        <f>HYPERLINK("https://www.ti.com/lit/gpn/TPS62242-Q1", "PDF")</f>
        <v>PDF</v>
      </c>
      <c r="D2962" s="5" t="s">
        <v>26621</v>
      </c>
      <c r="E2962" s="5" t="s">
        <v>26622</v>
      </c>
      <c r="F2962" s="5" t="s">
        <v>26623</v>
      </c>
      <c r="G2962" s="5" t="s">
        <v>26624</v>
      </c>
      <c r="H2962" s="1" t="s">
        <v>26625</v>
      </c>
      <c r="I2962" s="5" t="s">
        <v>26626</v>
      </c>
      <c r="J2962" s="7">
        <v>5</v>
      </c>
      <c r="K2962" s="7">
        <v>8.1199999999999992</v>
      </c>
      <c r="L2962" s="5" t="s">
        <v>26627</v>
      </c>
      <c r="M2962" s="7">
        <v>1.1000000000000001</v>
      </c>
      <c r="N2962" s="7">
        <v>0.95</v>
      </c>
      <c r="O2962" s="7">
        <v>0.53700000000000003</v>
      </c>
      <c r="P2962" s="1" t="s">
        <v>26628</v>
      </c>
    </row>
    <row r="2963" spans="1:16" ht="33.4" x14ac:dyDescent="0.3">
      <c r="A2963" s="6" t="str">
        <f>HYPERLINK("https://www.ti.com/product/TPS7A16-Q1", "TPS7A16-Q1")</f>
        <v>TPS7A16-Q1</v>
      </c>
      <c r="B2963" s="5" t="s">
        <v>26629</v>
      </c>
      <c r="C2963" s="6" t="str">
        <f>HYPERLINK("https://www.ti.com/lit/gpn/TPS7A16-Q1", "PDF")</f>
        <v>PDF</v>
      </c>
      <c r="D2963" s="5" t="s">
        <v>26630</v>
      </c>
      <c r="E2963" s="5" t="s">
        <v>26631</v>
      </c>
      <c r="F2963" s="5"/>
      <c r="G2963" s="5" t="s">
        <v>26632</v>
      </c>
      <c r="H2963" s="1" t="s">
        <v>26633</v>
      </c>
      <c r="I2963" s="5" t="s">
        <v>26634</v>
      </c>
      <c r="J2963" s="7">
        <v>8</v>
      </c>
      <c r="K2963" s="7">
        <v>14.7</v>
      </c>
      <c r="L2963" s="5" t="s">
        <v>26635</v>
      </c>
      <c r="M2963" s="7">
        <v>1.1000000000000001</v>
      </c>
      <c r="N2963" s="7">
        <v>0.65</v>
      </c>
      <c r="O2963" s="7">
        <v>1.859</v>
      </c>
      <c r="P2963" s="1" t="s">
        <v>26636</v>
      </c>
    </row>
    <row r="2964" spans="1:16" ht="82.5" x14ac:dyDescent="0.3">
      <c r="A2964" s="6" t="str">
        <f>HYPERLINK("https://www.ti.com/product/LP5907", "LP5907")</f>
        <v>LP5907</v>
      </c>
      <c r="B2964" s="5" t="s">
        <v>26637</v>
      </c>
      <c r="C2964" s="6" t="str">
        <f>HYPERLINK("https://www.ti.com/lit/gpn/LP5907", "PDF")</f>
        <v>PDF</v>
      </c>
      <c r="D2964" s="5" t="s">
        <v>26638</v>
      </c>
      <c r="E2964" s="5" t="s">
        <v>26639</v>
      </c>
      <c r="F2964" s="5"/>
      <c r="G2964" s="5" t="s">
        <v>26640</v>
      </c>
      <c r="H2964" s="1" t="s">
        <v>26641</v>
      </c>
      <c r="I2964" s="5" t="s">
        <v>26642</v>
      </c>
      <c r="J2964" s="7" t="s">
        <v>26643</v>
      </c>
      <c r="K2964" s="7" t="s">
        <v>26644</v>
      </c>
      <c r="L2964" s="5" t="s">
        <v>26645</v>
      </c>
      <c r="M2964" s="7" t="s">
        <v>26646</v>
      </c>
      <c r="N2964" s="7" t="s">
        <v>26647</v>
      </c>
      <c r="O2964" s="7">
        <v>0.17199999999999999</v>
      </c>
      <c r="P2964" s="1" t="s">
        <v>26648</v>
      </c>
    </row>
    <row r="2965" spans="1:16" ht="33.4" x14ac:dyDescent="0.3">
      <c r="A2965" s="6" t="str">
        <f>HYPERLINK("https://www.ti.com/product/TLV62090", "TLV62090")</f>
        <v>TLV62090</v>
      </c>
      <c r="B2965" s="5" t="s">
        <v>26649</v>
      </c>
      <c r="C2965" s="6" t="str">
        <f>HYPERLINK("https://www.ti.com/lit/gpn/TLV62090", "PDF")</f>
        <v>PDF</v>
      </c>
      <c r="D2965" s="5" t="s">
        <v>26650</v>
      </c>
      <c r="E2965" s="5" t="s">
        <v>26651</v>
      </c>
      <c r="F2965" s="5" t="s">
        <v>26652</v>
      </c>
      <c r="G2965" s="5" t="s">
        <v>26653</v>
      </c>
      <c r="H2965" s="1" t="s">
        <v>26654</v>
      </c>
      <c r="I2965" s="5" t="s">
        <v>26655</v>
      </c>
      <c r="J2965" s="7">
        <v>16</v>
      </c>
      <c r="K2965" s="7">
        <v>9</v>
      </c>
      <c r="L2965" s="5" t="s">
        <v>26656</v>
      </c>
      <c r="M2965" s="7">
        <v>1</v>
      </c>
      <c r="N2965" s="7">
        <v>0.5</v>
      </c>
      <c r="O2965" s="7">
        <v>0.64400000000000002</v>
      </c>
      <c r="P2965" s="1" t="s">
        <v>26657</v>
      </c>
    </row>
    <row r="2966" spans="1:16" ht="33.4" x14ac:dyDescent="0.3">
      <c r="A2966" s="6" t="str">
        <f>HYPERLINK("https://www.ti.com/product/TLV70012-Q1", "TLV70012-Q1")</f>
        <v>TLV70012-Q1</v>
      </c>
      <c r="B2966" s="5" t="s">
        <v>26658</v>
      </c>
      <c r="C2966" s="6" t="str">
        <f>HYPERLINK("https://www.ti.com/lit/gpn/TLV70012-Q1", "PDF")</f>
        <v>PDF</v>
      </c>
      <c r="D2966" s="5" t="s">
        <v>26659</v>
      </c>
      <c r="E2966" s="5" t="s">
        <v>26660</v>
      </c>
      <c r="F2966" s="5"/>
      <c r="G2966" s="5" t="s">
        <v>26661</v>
      </c>
      <c r="H2966" s="1" t="s">
        <v>26662</v>
      </c>
      <c r="I2966" s="5" t="s">
        <v>26663</v>
      </c>
      <c r="J2966" s="7">
        <v>5</v>
      </c>
      <c r="K2966" s="7">
        <v>8.1199999999999992</v>
      </c>
      <c r="L2966" s="5" t="s">
        <v>26664</v>
      </c>
      <c r="M2966" s="7">
        <v>1.1000000000000001</v>
      </c>
      <c r="N2966" s="7">
        <v>0.95</v>
      </c>
      <c r="O2966" s="7">
        <v>0.30599999999999999</v>
      </c>
      <c r="P2966" s="1" t="s">
        <v>26665</v>
      </c>
    </row>
    <row r="2967" spans="1:16" ht="33.4" x14ac:dyDescent="0.3">
      <c r="A2967" s="6" t="str">
        <f>HYPERLINK("https://www.ti.com/product/TPS54233-Q1", "TPS54233-Q1")</f>
        <v>TPS54233-Q1</v>
      </c>
      <c r="B2967" s="5" t="s">
        <v>26666</v>
      </c>
      <c r="C2967" s="6" t="str">
        <f>HYPERLINK("https://www.ti.com/lit/gpn/TPS54233-Q1", "PDF")</f>
        <v>PDF</v>
      </c>
      <c r="D2967" s="5" t="s">
        <v>26667</v>
      </c>
      <c r="E2967" s="5" t="s">
        <v>26668</v>
      </c>
      <c r="F2967" s="5" t="s">
        <v>26669</v>
      </c>
      <c r="G2967" s="5" t="s">
        <v>26670</v>
      </c>
      <c r="H2967" s="1" t="s">
        <v>26671</v>
      </c>
      <c r="I2967" s="5" t="s">
        <v>26672</v>
      </c>
      <c r="J2967" s="7">
        <v>8</v>
      </c>
      <c r="K2967" s="7">
        <v>29.4</v>
      </c>
      <c r="L2967" s="5" t="s">
        <v>26673</v>
      </c>
      <c r="M2967" s="7">
        <v>1.75</v>
      </c>
      <c r="N2967" s="7">
        <v>1.27</v>
      </c>
      <c r="O2967" s="7">
        <v>1.758</v>
      </c>
      <c r="P2967" s="1" t="s">
        <v>26674</v>
      </c>
    </row>
    <row r="2968" spans="1:16" ht="33.4" x14ac:dyDescent="0.3">
      <c r="A2968" s="6" t="str">
        <f>HYPERLINK("https://www.ti.com/product/TPS62090", "TPS62090")</f>
        <v>TPS62090</v>
      </c>
      <c r="B2968" s="5" t="s">
        <v>26675</v>
      </c>
      <c r="C2968" s="6" t="str">
        <f>HYPERLINK("https://www.ti.com/lit/gpn/TPS62090", "PDF")</f>
        <v>PDF</v>
      </c>
      <c r="D2968" s="5" t="s">
        <v>26676</v>
      </c>
      <c r="E2968" s="5" t="s">
        <v>26677</v>
      </c>
      <c r="F2968" s="5" t="s">
        <v>26678</v>
      </c>
      <c r="G2968" s="5" t="s">
        <v>26679</v>
      </c>
      <c r="H2968" s="1" t="s">
        <v>26680</v>
      </c>
      <c r="I2968" s="5" t="s">
        <v>26681</v>
      </c>
      <c r="J2968" s="7">
        <v>16</v>
      </c>
      <c r="K2968" s="7">
        <v>9</v>
      </c>
      <c r="L2968" s="5" t="s">
        <v>26682</v>
      </c>
      <c r="M2968" s="7">
        <v>1</v>
      </c>
      <c r="N2968" s="7">
        <v>0.5</v>
      </c>
      <c r="O2968" s="7">
        <v>0.92</v>
      </c>
      <c r="P2968" s="1" t="s">
        <v>26683</v>
      </c>
    </row>
    <row r="2969" spans="1:16" ht="33.4" x14ac:dyDescent="0.3">
      <c r="A2969" s="6" t="str">
        <f>HYPERLINK("https://www.ti.com/product/TPS62091", "TPS62091")</f>
        <v>TPS62091</v>
      </c>
      <c r="B2969" s="5" t="s">
        <v>26684</v>
      </c>
      <c r="C2969" s="6" t="str">
        <f>HYPERLINK("https://www.ti.com/lit/gpn/TPS62091", "PDF")</f>
        <v>PDF</v>
      </c>
      <c r="D2969" s="5" t="s">
        <v>26685</v>
      </c>
      <c r="E2969" s="5" t="s">
        <v>26686</v>
      </c>
      <c r="F2969" s="5" t="s">
        <v>26687</v>
      </c>
      <c r="G2969" s="5" t="s">
        <v>26688</v>
      </c>
      <c r="H2969" s="1" t="s">
        <v>26689</v>
      </c>
      <c r="I2969" s="5" t="s">
        <v>26690</v>
      </c>
      <c r="J2969" s="7">
        <v>16</v>
      </c>
      <c r="K2969" s="7">
        <v>9</v>
      </c>
      <c r="L2969" s="5" t="s">
        <v>26691</v>
      </c>
      <c r="M2969" s="7">
        <v>1</v>
      </c>
      <c r="N2969" s="7">
        <v>0.5</v>
      </c>
      <c r="O2969" s="7">
        <v>0.92</v>
      </c>
      <c r="P2969" s="1" t="s">
        <v>26692</v>
      </c>
    </row>
    <row r="2970" spans="1:16" ht="33.4" x14ac:dyDescent="0.3">
      <c r="A2970" s="6" t="str">
        <f>HYPERLINK("https://www.ti.com/product/TPS62092", "TPS62092")</f>
        <v>TPS62092</v>
      </c>
      <c r="B2970" s="5" t="s">
        <v>26693</v>
      </c>
      <c r="C2970" s="6" t="str">
        <f>HYPERLINK("https://www.ti.com/lit/gpn/TPS62092", "PDF")</f>
        <v>PDF</v>
      </c>
      <c r="D2970" s="5" t="s">
        <v>26694</v>
      </c>
      <c r="E2970" s="5" t="s">
        <v>26695</v>
      </c>
      <c r="F2970" s="5" t="s">
        <v>26696</v>
      </c>
      <c r="G2970" s="5" t="s">
        <v>26697</v>
      </c>
      <c r="H2970" s="1" t="s">
        <v>26698</v>
      </c>
      <c r="I2970" s="5" t="s">
        <v>26699</v>
      </c>
      <c r="J2970" s="7">
        <v>16</v>
      </c>
      <c r="K2970" s="7">
        <v>9</v>
      </c>
      <c r="L2970" s="5" t="s">
        <v>26700</v>
      </c>
      <c r="M2970" s="7">
        <v>1</v>
      </c>
      <c r="N2970" s="7">
        <v>0.5</v>
      </c>
      <c r="O2970" s="7">
        <v>0.92</v>
      </c>
      <c r="P2970" s="1" t="s">
        <v>26701</v>
      </c>
    </row>
    <row r="2971" spans="1:16" ht="33.4" x14ac:dyDescent="0.3">
      <c r="A2971" s="6" t="str">
        <f>HYPERLINK("https://www.ti.com/product/TPS62093", "TPS62093")</f>
        <v>TPS62093</v>
      </c>
      <c r="B2971" s="5" t="s">
        <v>26702</v>
      </c>
      <c r="C2971" s="6" t="str">
        <f>HYPERLINK("https://www.ti.com/lit/gpn/TPS62093", "PDF")</f>
        <v>PDF</v>
      </c>
      <c r="D2971" s="5" t="s">
        <v>26703</v>
      </c>
      <c r="E2971" s="5" t="s">
        <v>26704</v>
      </c>
      <c r="F2971" s="5" t="s">
        <v>26705</v>
      </c>
      <c r="G2971" s="5" t="s">
        <v>26706</v>
      </c>
      <c r="H2971" s="1" t="s">
        <v>26707</v>
      </c>
      <c r="I2971" s="5" t="s">
        <v>26708</v>
      </c>
      <c r="J2971" s="7">
        <v>16</v>
      </c>
      <c r="K2971" s="7">
        <v>9</v>
      </c>
      <c r="L2971" s="5" t="s">
        <v>26709</v>
      </c>
      <c r="M2971" s="7">
        <v>1</v>
      </c>
      <c r="N2971" s="7">
        <v>0.5</v>
      </c>
      <c r="O2971" s="7">
        <v>0.92</v>
      </c>
      <c r="P2971" s="1" t="s">
        <v>26710</v>
      </c>
    </row>
    <row r="2972" spans="1:16" ht="82.5" x14ac:dyDescent="0.3">
      <c r="A2972" s="6" t="str">
        <f>HYPERLINK("https://www.ti.com/product/TPS62650-Q1", "TPS62650-Q1")</f>
        <v>TPS62650-Q1</v>
      </c>
      <c r="B2972" s="5" t="s">
        <v>26711</v>
      </c>
      <c r="C2972" s="6" t="str">
        <f>HYPERLINK("https://www.ti.com/lit/gpn/TPS62650-Q1", "PDF")</f>
        <v>PDF</v>
      </c>
      <c r="D2972" s="5" t="s">
        <v>26712</v>
      </c>
      <c r="E2972" s="5" t="s">
        <v>26713</v>
      </c>
      <c r="F2972" s="5" t="s">
        <v>26714</v>
      </c>
      <c r="G2972" s="5" t="s">
        <v>26715</v>
      </c>
      <c r="H2972" s="1" t="s">
        <v>26716</v>
      </c>
      <c r="I2972" s="5" t="s">
        <v>26717</v>
      </c>
      <c r="J2972" s="7">
        <v>9</v>
      </c>
      <c r="K2972" s="7">
        <v>1.9600000000000002</v>
      </c>
      <c r="L2972" s="5" t="s">
        <v>26718</v>
      </c>
      <c r="M2972" s="7">
        <v>0.625</v>
      </c>
      <c r="N2972" s="7">
        <v>0.4</v>
      </c>
      <c r="O2972" s="7">
        <v>0.77600000000000002</v>
      </c>
      <c r="P2972" s="1" t="s">
        <v>26719</v>
      </c>
    </row>
    <row r="2973" spans="1:16" ht="33.4" x14ac:dyDescent="0.3">
      <c r="A2973" s="6" t="str">
        <f>HYPERLINK("https://www.ti.com/product/TPS79633-Q1", "TPS79633-Q1")</f>
        <v>TPS79633-Q1</v>
      </c>
      <c r="B2973" s="5" t="s">
        <v>26720</v>
      </c>
      <c r="C2973" s="6" t="str">
        <f>HYPERLINK("https://www.ti.com/lit/gpn/TPS79633-Q1", "PDF")</f>
        <v>PDF</v>
      </c>
      <c r="D2973" s="5" t="s">
        <v>26721</v>
      </c>
      <c r="E2973" s="5" t="s">
        <v>26722</v>
      </c>
      <c r="F2973" s="5"/>
      <c r="G2973" s="5" t="s">
        <v>26723</v>
      </c>
      <c r="H2973" s="1" t="s">
        <v>26724</v>
      </c>
      <c r="I2973" s="5" t="s">
        <v>26725</v>
      </c>
      <c r="J2973" s="7">
        <v>6</v>
      </c>
      <c r="K2973" s="7">
        <v>45.89</v>
      </c>
      <c r="L2973" s="5" t="s">
        <v>26726</v>
      </c>
      <c r="M2973" s="7">
        <v>1.8</v>
      </c>
      <c r="N2973" s="7">
        <v>1.27</v>
      </c>
      <c r="O2973" s="7">
        <v>1.0489999999999999</v>
      </c>
      <c r="P2973" s="1" t="s">
        <v>26727</v>
      </c>
    </row>
    <row r="2974" spans="1:16" ht="33.4" x14ac:dyDescent="0.3">
      <c r="A2974" s="6" t="str">
        <f>HYPERLINK("https://www.ti.com/product/UCC28061-Q1", "UCC28061-Q1")</f>
        <v>UCC28061-Q1</v>
      </c>
      <c r="B2974" s="5" t="s">
        <v>26728</v>
      </c>
      <c r="C2974" s="6" t="str">
        <f>HYPERLINK("https://www.ti.com/lit/gpn/UCC28061-Q1", "PDF")</f>
        <v>PDF</v>
      </c>
      <c r="D2974" s="5" t="s">
        <v>26729</v>
      </c>
      <c r="E2974" s="5" t="s">
        <v>26730</v>
      </c>
      <c r="F2974" s="5" t="s">
        <v>26731</v>
      </c>
      <c r="G2974" s="5" t="s">
        <v>26732</v>
      </c>
      <c r="H2974" s="1" t="s">
        <v>26733</v>
      </c>
      <c r="I2974" s="5" t="s">
        <v>26734</v>
      </c>
      <c r="J2974" s="7">
        <v>16</v>
      </c>
      <c r="K2974" s="7">
        <v>59.4</v>
      </c>
      <c r="L2974" s="5" t="s">
        <v>26735</v>
      </c>
      <c r="M2974" s="7">
        <v>1.75</v>
      </c>
      <c r="N2974" s="7">
        <v>1.27</v>
      </c>
      <c r="O2974" s="7">
        <v>1.272</v>
      </c>
      <c r="P2974" s="1" t="s">
        <v>26736</v>
      </c>
    </row>
    <row r="2975" spans="1:16" ht="33.4" x14ac:dyDescent="0.3">
      <c r="A2975" s="6" t="str">
        <f>HYPERLINK("https://www.ti.com/product/TPS62080A", "TPS62080A")</f>
        <v>TPS62080A</v>
      </c>
      <c r="B2975" s="5" t="s">
        <v>26737</v>
      </c>
      <c r="C2975" s="6" t="str">
        <f>HYPERLINK("https://www.ti.com/lit/gpn/TPS62080A", "PDF")</f>
        <v>PDF</v>
      </c>
      <c r="D2975" s="5" t="s">
        <v>26738</v>
      </c>
      <c r="E2975" s="5" t="s">
        <v>26739</v>
      </c>
      <c r="F2975" s="5" t="s">
        <v>26740</v>
      </c>
      <c r="G2975" s="5" t="s">
        <v>26741</v>
      </c>
      <c r="H2975" s="1" t="s">
        <v>26742</v>
      </c>
      <c r="I2975" s="5" t="s">
        <v>26743</v>
      </c>
      <c r="J2975" s="7">
        <v>8</v>
      </c>
      <c r="K2975" s="7">
        <v>4</v>
      </c>
      <c r="L2975" s="5" t="s">
        <v>26744</v>
      </c>
      <c r="M2975" s="7">
        <v>0.8</v>
      </c>
      <c r="N2975" s="7">
        <v>0.5</v>
      </c>
      <c r="O2975" s="7">
        <v>0.63500000000000001</v>
      </c>
      <c r="P2975" s="1" t="s">
        <v>26745</v>
      </c>
    </row>
    <row r="2976" spans="1:16" ht="33.4" x14ac:dyDescent="0.3">
      <c r="A2976" s="6" t="str">
        <f>HYPERLINK("https://www.ti.com/product/TPS7A7100", "TPS7A7100")</f>
        <v>TPS7A7100</v>
      </c>
      <c r="B2976" s="5" t="s">
        <v>26746</v>
      </c>
      <c r="C2976" s="6" t="str">
        <f>HYPERLINK("https://www.ti.com/lit/gpn/TPS7A7100", "PDF")</f>
        <v>PDF</v>
      </c>
      <c r="D2976" s="5" t="s">
        <v>26747</v>
      </c>
      <c r="E2976" s="5" t="s">
        <v>26748</v>
      </c>
      <c r="F2976" s="5"/>
      <c r="G2976" s="5" t="s">
        <v>26749</v>
      </c>
      <c r="H2976" s="1" t="s">
        <v>26750</v>
      </c>
      <c r="I2976" s="5" t="s">
        <v>26751</v>
      </c>
      <c r="J2976" s="7" t="s">
        <v>26752</v>
      </c>
      <c r="K2976" s="7" t="s">
        <v>26753</v>
      </c>
      <c r="L2976" s="5" t="s">
        <v>26754</v>
      </c>
      <c r="M2976" s="7">
        <v>1</v>
      </c>
      <c r="N2976" s="7" t="s">
        <v>26755</v>
      </c>
      <c r="O2976" s="7">
        <v>0.94099999999999995</v>
      </c>
      <c r="P2976" s="1" t="s">
        <v>26756</v>
      </c>
    </row>
    <row r="2977" spans="1:16" ht="33.4" x14ac:dyDescent="0.3">
      <c r="A2977" s="6" t="str">
        <f>HYPERLINK("https://www.ti.com/product/TPS7A7200", "TPS7A7200")</f>
        <v>TPS7A7200</v>
      </c>
      <c r="B2977" s="5" t="s">
        <v>26757</v>
      </c>
      <c r="C2977" s="6" t="str">
        <f>HYPERLINK("https://www.ti.com/lit/gpn/TPS7A7200", "PDF")</f>
        <v>PDF</v>
      </c>
      <c r="D2977" s="5" t="s">
        <v>26758</v>
      </c>
      <c r="E2977" s="5" t="s">
        <v>26759</v>
      </c>
      <c r="F2977" s="5"/>
      <c r="G2977" s="5" t="s">
        <v>26760</v>
      </c>
      <c r="H2977" s="1" t="s">
        <v>26761</v>
      </c>
      <c r="I2977" s="5" t="s">
        <v>26762</v>
      </c>
      <c r="J2977" s="7" t="s">
        <v>26763</v>
      </c>
      <c r="K2977" s="7" t="s">
        <v>26764</v>
      </c>
      <c r="L2977" s="5" t="s">
        <v>26765</v>
      </c>
      <c r="M2977" s="7">
        <v>1</v>
      </c>
      <c r="N2977" s="7" t="s">
        <v>26766</v>
      </c>
      <c r="O2977" s="7">
        <v>0.59799999999999998</v>
      </c>
      <c r="P2977" s="1" t="s">
        <v>26767</v>
      </c>
    </row>
    <row r="2978" spans="1:16" ht="33.4" x14ac:dyDescent="0.3">
      <c r="A2978" s="6" t="str">
        <f>HYPERLINK("https://www.ti.com/product/TPS7A7300", "TPS7A7300")</f>
        <v>TPS7A7300</v>
      </c>
      <c r="B2978" s="5" t="s">
        <v>26768</v>
      </c>
      <c r="C2978" s="6" t="str">
        <f>HYPERLINK("https://www.ti.com/lit/gpn/TPS7A7300", "PDF")</f>
        <v>PDF</v>
      </c>
      <c r="D2978" s="5" t="s">
        <v>26769</v>
      </c>
      <c r="E2978" s="5" t="s">
        <v>26770</v>
      </c>
      <c r="F2978" s="5"/>
      <c r="G2978" s="5" t="s">
        <v>26771</v>
      </c>
      <c r="H2978" s="1" t="s">
        <v>26772</v>
      </c>
      <c r="I2978" s="5" t="s">
        <v>26773</v>
      </c>
      <c r="J2978" s="7">
        <v>20</v>
      </c>
      <c r="K2978" s="7">
        <v>25</v>
      </c>
      <c r="L2978" s="5" t="s">
        <v>26774</v>
      </c>
      <c r="M2978" s="7">
        <v>1</v>
      </c>
      <c r="N2978" s="7">
        <v>0.65</v>
      </c>
      <c r="O2978" s="7">
        <v>1.73</v>
      </c>
      <c r="P2978" s="1" t="s">
        <v>26775</v>
      </c>
    </row>
    <row r="2979" spans="1:16" ht="33.4" x14ac:dyDescent="0.3">
      <c r="A2979" s="6" t="str">
        <f>HYPERLINK("https://www.ti.com/product/LM3492HC-Q1", "LM3492HC-Q1")</f>
        <v>LM3492HC-Q1</v>
      </c>
      <c r="B2979" s="5" t="s">
        <v>26776</v>
      </c>
      <c r="C2979" s="6" t="str">
        <f>HYPERLINK("https://www.ti.com/lit/gpn/LM3492HC-Q1", "PDF")</f>
        <v>PDF</v>
      </c>
      <c r="D2979" s="5" t="s">
        <v>26777</v>
      </c>
      <c r="E2979" s="5" t="s">
        <v>26778</v>
      </c>
      <c r="F2979" s="5" t="s">
        <v>26779</v>
      </c>
      <c r="G2979" s="5" t="s">
        <v>26780</v>
      </c>
      <c r="H2979" s="1" t="s">
        <v>26781</v>
      </c>
      <c r="I2979" s="5" t="s">
        <v>26782</v>
      </c>
      <c r="J2979" s="7">
        <v>20</v>
      </c>
      <c r="K2979" s="7">
        <v>41.6</v>
      </c>
      <c r="L2979" s="5" t="s">
        <v>26783</v>
      </c>
      <c r="M2979" s="7">
        <v>1.2</v>
      </c>
      <c r="N2979" s="7">
        <v>0.65</v>
      </c>
      <c r="O2979" s="7">
        <v>2.2429999999999999</v>
      </c>
      <c r="P2979" s="1" t="s">
        <v>26784</v>
      </c>
    </row>
    <row r="2980" spans="1:16" ht="33.4" x14ac:dyDescent="0.3">
      <c r="A2980" s="6" t="str">
        <f>HYPERLINK("https://www.ti.com/product/TPS54040A", "TPS54040A")</f>
        <v>TPS54040A</v>
      </c>
      <c r="B2980" s="5" t="s">
        <v>26785</v>
      </c>
      <c r="C2980" s="6" t="str">
        <f>HYPERLINK("https://www.ti.com/lit/gpn/TPS54040A", "PDF")</f>
        <v>PDF</v>
      </c>
      <c r="D2980" s="5" t="s">
        <v>26786</v>
      </c>
      <c r="E2980" s="5" t="s">
        <v>26787</v>
      </c>
      <c r="F2980" s="5" t="s">
        <v>26788</v>
      </c>
      <c r="G2980" s="5" t="s">
        <v>26789</v>
      </c>
      <c r="H2980" s="1" t="s">
        <v>26790</v>
      </c>
      <c r="I2980" s="5" t="s">
        <v>26791</v>
      </c>
      <c r="J2980" s="7">
        <v>10</v>
      </c>
      <c r="K2980" s="7" t="s">
        <v>26792</v>
      </c>
      <c r="L2980" s="5" t="s">
        <v>26793</v>
      </c>
      <c r="M2980" s="7" t="s">
        <v>26794</v>
      </c>
      <c r="N2980" s="7">
        <v>0.5</v>
      </c>
      <c r="O2980" s="7">
        <v>0.89300000000000002</v>
      </c>
      <c r="P2980" s="1" t="s">
        <v>26795</v>
      </c>
    </row>
    <row r="2981" spans="1:16" ht="33.4" x14ac:dyDescent="0.3">
      <c r="A2981" s="6" t="str">
        <f>HYPERLINK("https://www.ti.com/product/TPS54060A", "TPS54060A")</f>
        <v>TPS54060A</v>
      </c>
      <c r="B2981" s="5" t="s">
        <v>26796</v>
      </c>
      <c r="C2981" s="6" t="str">
        <f>HYPERLINK("https://www.ti.com/lit/gpn/TPS54060A", "PDF")</f>
        <v>PDF</v>
      </c>
      <c r="D2981" s="5" t="s">
        <v>26797</v>
      </c>
      <c r="E2981" s="5" t="s">
        <v>26798</v>
      </c>
      <c r="F2981" s="5" t="s">
        <v>26799</v>
      </c>
      <c r="G2981" s="5" t="s">
        <v>26800</v>
      </c>
      <c r="H2981" s="1" t="s">
        <v>26801</v>
      </c>
      <c r="I2981" s="5" t="s">
        <v>26802</v>
      </c>
      <c r="J2981" s="7">
        <v>10</v>
      </c>
      <c r="K2981" s="7" t="s">
        <v>26803</v>
      </c>
      <c r="L2981" s="5" t="s">
        <v>26804</v>
      </c>
      <c r="M2981" s="7" t="s">
        <v>26805</v>
      </c>
      <c r="N2981" s="7">
        <v>0.5</v>
      </c>
      <c r="O2981" s="7">
        <v>0.92900000000000005</v>
      </c>
      <c r="P2981" s="1" t="s">
        <v>26806</v>
      </c>
    </row>
    <row r="2982" spans="1:16" ht="33.4" x14ac:dyDescent="0.3">
      <c r="A2982" s="6" t="str">
        <f>HYPERLINK("https://www.ti.com/product/TPS62363", "TPS62363")</f>
        <v>TPS62363</v>
      </c>
      <c r="B2982" s="5" t="s">
        <v>26807</v>
      </c>
      <c r="C2982" s="6" t="str">
        <f>HYPERLINK("https://www.ti.com/lit/gpn/TPS62363", "PDF")</f>
        <v>PDF</v>
      </c>
      <c r="D2982" s="5" t="s">
        <v>26808</v>
      </c>
      <c r="E2982" s="5" t="s">
        <v>26809</v>
      </c>
      <c r="F2982" s="5" t="s">
        <v>26810</v>
      </c>
      <c r="G2982" s="5" t="s">
        <v>26811</v>
      </c>
      <c r="H2982" s="1" t="s">
        <v>26812</v>
      </c>
      <c r="I2982" s="5" t="s">
        <v>26813</v>
      </c>
      <c r="J2982" s="7">
        <v>16</v>
      </c>
      <c r="K2982" s="7">
        <v>5.0625</v>
      </c>
      <c r="L2982" s="5" t="s">
        <v>26814</v>
      </c>
      <c r="M2982" s="7">
        <v>0.625</v>
      </c>
      <c r="N2982" s="7">
        <v>0.5</v>
      </c>
      <c r="O2982" s="7">
        <v>0.81200000000000006</v>
      </c>
      <c r="P2982" s="1" t="s">
        <v>26815</v>
      </c>
    </row>
    <row r="2983" spans="1:16" ht="33.4" x14ac:dyDescent="0.3">
      <c r="A2983" s="6" t="str">
        <f>HYPERLINK("https://www.ti.com/product/TPS54120", "TPS54120")</f>
        <v>TPS54120</v>
      </c>
      <c r="B2983" s="5" t="s">
        <v>26816</v>
      </c>
      <c r="C2983" s="6" t="str">
        <f>HYPERLINK("https://www.ti.com/lit/gpn/TPS54120", "PDF")</f>
        <v>PDF</v>
      </c>
      <c r="D2983" s="5" t="s">
        <v>26817</v>
      </c>
      <c r="E2983" s="5" t="s">
        <v>26818</v>
      </c>
      <c r="F2983" s="5" t="s">
        <v>26819</v>
      </c>
      <c r="G2983" s="5" t="s">
        <v>26820</v>
      </c>
      <c r="H2983" s="1" t="s">
        <v>26821</v>
      </c>
      <c r="I2983" s="5" t="s">
        <v>26822</v>
      </c>
      <c r="J2983" s="7">
        <v>24</v>
      </c>
      <c r="K2983" s="7">
        <v>19.25</v>
      </c>
      <c r="L2983" s="5" t="s">
        <v>26823</v>
      </c>
      <c r="M2983" s="7">
        <v>1</v>
      </c>
      <c r="N2983" s="7">
        <v>0.5</v>
      </c>
      <c r="O2983" s="7">
        <v>2.0339999999999998</v>
      </c>
      <c r="P2983" s="1" t="s">
        <v>26824</v>
      </c>
    </row>
    <row r="2984" spans="1:16" ht="33.4" x14ac:dyDescent="0.3">
      <c r="A2984" s="6" t="str">
        <f>HYPERLINK("https://www.ti.com/product/TPS5432", "TPS5432")</f>
        <v>TPS5432</v>
      </c>
      <c r="B2984" s="5" t="s">
        <v>26825</v>
      </c>
      <c r="C2984" s="6" t="str">
        <f>HYPERLINK("https://www.ti.com/lit/gpn/TPS5432", "PDF")</f>
        <v>PDF</v>
      </c>
      <c r="D2984" s="5" t="s">
        <v>26826</v>
      </c>
      <c r="E2984" s="5" t="s">
        <v>26827</v>
      </c>
      <c r="F2984" s="5" t="s">
        <v>26828</v>
      </c>
      <c r="G2984" s="5" t="s">
        <v>26829</v>
      </c>
      <c r="H2984" s="1" t="s">
        <v>26830</v>
      </c>
      <c r="I2984" s="5" t="s">
        <v>26831</v>
      </c>
      <c r="J2984" s="7">
        <v>8</v>
      </c>
      <c r="K2984" s="7">
        <v>29.4</v>
      </c>
      <c r="L2984" s="5" t="s">
        <v>26832</v>
      </c>
      <c r="M2984" s="7">
        <v>1.7</v>
      </c>
      <c r="N2984" s="7">
        <v>1.27</v>
      </c>
      <c r="O2984" s="7">
        <v>0.26600000000000001</v>
      </c>
      <c r="P2984" s="1" t="s">
        <v>26833</v>
      </c>
    </row>
    <row r="2985" spans="1:16" ht="33.4" x14ac:dyDescent="0.3">
      <c r="A2985" s="6" t="str">
        <f>HYPERLINK("https://www.ti.com/product/UCC28070A", "UCC28070A")</f>
        <v>UCC28070A</v>
      </c>
      <c r="B2985" s="5" t="s">
        <v>26834</v>
      </c>
      <c r="C2985" s="6" t="str">
        <f>HYPERLINK("https://www.ti.com/lit/gpn/UCC28070A", "PDF")</f>
        <v>PDF</v>
      </c>
      <c r="D2985" s="5" t="s">
        <v>26835</v>
      </c>
      <c r="E2985" s="5" t="s">
        <v>26836</v>
      </c>
      <c r="F2985" s="5" t="s">
        <v>26837</v>
      </c>
      <c r="G2985" s="5" t="s">
        <v>26838</v>
      </c>
      <c r="H2985" s="1" t="s">
        <v>26839</v>
      </c>
      <c r="I2985" s="5" t="s">
        <v>26840</v>
      </c>
      <c r="J2985" s="7">
        <v>20</v>
      </c>
      <c r="K2985" s="7">
        <v>41.6</v>
      </c>
      <c r="L2985" s="5" t="s">
        <v>26841</v>
      </c>
      <c r="M2985" s="7">
        <v>1.2</v>
      </c>
      <c r="N2985" s="7">
        <v>0.65</v>
      </c>
      <c r="O2985" s="7">
        <v>1.694</v>
      </c>
      <c r="P2985" s="1" t="s">
        <v>26842</v>
      </c>
    </row>
    <row r="2986" spans="1:16" ht="33.4" x14ac:dyDescent="0.3">
      <c r="A2986" s="6" t="str">
        <f>HYPERLINK("https://www.ti.com/product/LM3492HC", "LM3492HC")</f>
        <v>LM3492HC</v>
      </c>
      <c r="B2986" s="5" t="s">
        <v>26843</v>
      </c>
      <c r="C2986" s="6" t="str">
        <f>HYPERLINK("https://www.ti.com/lit/gpn/LM3492HC", "PDF")</f>
        <v>PDF</v>
      </c>
      <c r="D2986" s="5" t="s">
        <v>26844</v>
      </c>
      <c r="E2986" s="5" t="s">
        <v>26845</v>
      </c>
      <c r="F2986" s="5" t="s">
        <v>26846</v>
      </c>
      <c r="G2986" s="5" t="s">
        <v>26847</v>
      </c>
      <c r="H2986" s="1" t="s">
        <v>26848</v>
      </c>
      <c r="I2986" s="5" t="s">
        <v>26849</v>
      </c>
      <c r="J2986" s="7">
        <v>20</v>
      </c>
      <c r="K2986" s="7">
        <v>41.6</v>
      </c>
      <c r="L2986" s="5" t="s">
        <v>26850</v>
      </c>
      <c r="M2986" s="7">
        <v>1.2</v>
      </c>
      <c r="N2986" s="7">
        <v>0.65</v>
      </c>
      <c r="O2986" s="7">
        <v>2.0329999999999999</v>
      </c>
      <c r="P2986" s="1" t="s">
        <v>26851</v>
      </c>
    </row>
    <row r="2987" spans="1:16" ht="33.4" x14ac:dyDescent="0.3">
      <c r="A2987" s="6" t="str">
        <f>HYPERLINK("https://www.ti.com/product/TPS2062C", "TPS2062C")</f>
        <v>TPS2062C</v>
      </c>
      <c r="B2987" s="5" t="s">
        <v>26852</v>
      </c>
      <c r="C2987" s="6" t="str">
        <f>HYPERLINK("https://www.ti.com/lit/gpn/TPS2062C", "PDF")</f>
        <v>PDF</v>
      </c>
      <c r="D2987" s="5" t="s">
        <v>26853</v>
      </c>
      <c r="E2987" s="5" t="s">
        <v>26854</v>
      </c>
      <c r="F2987" s="5"/>
      <c r="G2987" s="5" t="s">
        <v>26855</v>
      </c>
      <c r="H2987" s="1" t="s">
        <v>26856</v>
      </c>
      <c r="I2987" s="5" t="s">
        <v>26857</v>
      </c>
      <c r="J2987" s="7">
        <v>8</v>
      </c>
      <c r="K2987" s="7" t="s">
        <v>26858</v>
      </c>
      <c r="L2987" s="5" t="s">
        <v>26859</v>
      </c>
      <c r="M2987" s="7" t="s">
        <v>26860</v>
      </c>
      <c r="N2987" s="7" t="s">
        <v>26861</v>
      </c>
      <c r="O2987" s="7">
        <v>0.35699999999999998</v>
      </c>
      <c r="P2987" s="1" t="s">
        <v>26862</v>
      </c>
    </row>
    <row r="2988" spans="1:16" ht="33.4" x14ac:dyDescent="0.3">
      <c r="A2988" s="6" t="str">
        <f>HYPERLINK("https://www.ti.com/product/TPS2066C", "TPS2066C")</f>
        <v>TPS2066C</v>
      </c>
      <c r="B2988" s="5" t="s">
        <v>26863</v>
      </c>
      <c r="C2988" s="6" t="str">
        <f>HYPERLINK("https://www.ti.com/lit/gpn/TPS2066C", "PDF")</f>
        <v>PDF</v>
      </c>
      <c r="D2988" s="5" t="s">
        <v>26864</v>
      </c>
      <c r="E2988" s="5" t="s">
        <v>26865</v>
      </c>
      <c r="F2988" s="5"/>
      <c r="G2988" s="5" t="s">
        <v>26866</v>
      </c>
      <c r="H2988" s="1" t="s">
        <v>26867</v>
      </c>
      <c r="I2988" s="5" t="s">
        <v>26868</v>
      </c>
      <c r="J2988" s="7">
        <v>8</v>
      </c>
      <c r="K2988" s="7" t="s">
        <v>26869</v>
      </c>
      <c r="L2988" s="5" t="s">
        <v>26870</v>
      </c>
      <c r="M2988" s="7" t="s">
        <v>26871</v>
      </c>
      <c r="N2988" s="7" t="s">
        <v>26872</v>
      </c>
      <c r="O2988" s="7">
        <v>0.35699999999999998</v>
      </c>
      <c r="P2988" s="1" t="s">
        <v>26873</v>
      </c>
    </row>
    <row r="2989" spans="1:16" ht="33.4" x14ac:dyDescent="0.3">
      <c r="A2989" s="6" t="str">
        <f>HYPERLINK("https://www.ti.com/product/UCC27517", "UCC27517")</f>
        <v>UCC27517</v>
      </c>
      <c r="B2989" s="5" t="s">
        <v>26874</v>
      </c>
      <c r="C2989" s="6" t="str">
        <f>HYPERLINK("https://www.ti.com/lit/gpn/UCC27517", "PDF")</f>
        <v>PDF</v>
      </c>
      <c r="D2989" s="5" t="s">
        <v>26875</v>
      </c>
      <c r="E2989" s="5" t="s">
        <v>26876</v>
      </c>
      <c r="F2989" s="5"/>
      <c r="G2989" s="5" t="s">
        <v>26877</v>
      </c>
      <c r="H2989" s="1" t="s">
        <v>26878</v>
      </c>
      <c r="I2989" s="5" t="s">
        <v>26879</v>
      </c>
      <c r="J2989" s="7">
        <v>5</v>
      </c>
      <c r="K2989" s="7">
        <v>8.1199999999999992</v>
      </c>
      <c r="L2989" s="5" t="s">
        <v>26880</v>
      </c>
      <c r="M2989" s="7">
        <v>1.45</v>
      </c>
      <c r="N2989" s="7">
        <v>0.95</v>
      </c>
      <c r="O2989" s="7">
        <v>0.27500000000000002</v>
      </c>
      <c r="P2989" s="1" t="s">
        <v>26881</v>
      </c>
    </row>
    <row r="2990" spans="1:16" ht="17.05" x14ac:dyDescent="0.3">
      <c r="A2990" s="6" t="str">
        <f>HYPERLINK("https://www.ti.com/product/LM3556", "LM3556")</f>
        <v>LM3556</v>
      </c>
      <c r="B2990" s="5" t="s">
        <v>26882</v>
      </c>
      <c r="C2990" s="6" t="str">
        <f>HYPERLINK("https://www.ti.com/lit/gpn/LM3556", "PDF")</f>
        <v>PDF</v>
      </c>
      <c r="D2990" s="5" t="s">
        <v>26883</v>
      </c>
      <c r="E2990" s="5" t="s">
        <v>26884</v>
      </c>
      <c r="F2990" s="5" t="s">
        <v>26885</v>
      </c>
      <c r="G2990" s="5" t="s">
        <v>26886</v>
      </c>
      <c r="H2990" s="1" t="s">
        <v>26887</v>
      </c>
      <c r="I2990" s="5" t="s">
        <v>26888</v>
      </c>
      <c r="J2990" s="7">
        <v>16</v>
      </c>
      <c r="K2990" s="7">
        <v>3.24</v>
      </c>
      <c r="L2990" s="5" t="s">
        <v>26889</v>
      </c>
      <c r="M2990" s="7">
        <v>0.67500000000000004</v>
      </c>
      <c r="N2990" s="7">
        <v>0.4</v>
      </c>
      <c r="O2990" s="7">
        <v>0.44</v>
      </c>
      <c r="P2990" s="1" t="s">
        <v>26890</v>
      </c>
    </row>
    <row r="2991" spans="1:16" ht="33.4" x14ac:dyDescent="0.3">
      <c r="A2991" s="6" t="str">
        <f>HYPERLINK("https://www.ti.com/product/LM26420-Q1", "LM26420-Q1")</f>
        <v>LM26420-Q1</v>
      </c>
      <c r="B2991" s="5" t="s">
        <v>26891</v>
      </c>
      <c r="C2991" s="6" t="str">
        <f>HYPERLINK("https://www.ti.com/lit/gpn/LM26420-Q1", "PDF")</f>
        <v>PDF</v>
      </c>
      <c r="D2991" s="5" t="s">
        <v>26892</v>
      </c>
      <c r="E2991" s="5" t="s">
        <v>26893</v>
      </c>
      <c r="F2991" s="5" t="s">
        <v>26894</v>
      </c>
      <c r="G2991" s="5" t="s">
        <v>26895</v>
      </c>
      <c r="H2991" s="1" t="s">
        <v>26896</v>
      </c>
      <c r="I2991" s="5" t="s">
        <v>26897</v>
      </c>
      <c r="J2991" s="7" t="s">
        <v>26898</v>
      </c>
      <c r="K2991" s="7" t="s">
        <v>26899</v>
      </c>
      <c r="L2991" s="5" t="s">
        <v>26900</v>
      </c>
      <c r="M2991" s="7" t="s">
        <v>26901</v>
      </c>
      <c r="N2991" s="7">
        <v>0.65</v>
      </c>
      <c r="O2991" s="7">
        <v>1.28</v>
      </c>
      <c r="P2991" s="1" t="s">
        <v>26902</v>
      </c>
    </row>
    <row r="2992" spans="1:16" ht="33.4" x14ac:dyDescent="0.3">
      <c r="A2992" s="6" t="str">
        <f>HYPERLINK("https://www.ti.com/product/TPS65912", "TPS65912")</f>
        <v>TPS65912</v>
      </c>
      <c r="B2992" s="5" t="s">
        <v>26903</v>
      </c>
      <c r="C2992" s="6" t="str">
        <f>HYPERLINK("https://www.ti.com/lit/gpn/TPS65912", "PDF")</f>
        <v>PDF</v>
      </c>
      <c r="D2992" s="5" t="s">
        <v>26904</v>
      </c>
      <c r="E2992" s="5" t="s">
        <v>26905</v>
      </c>
      <c r="F2992" s="5"/>
      <c r="G2992" s="5" t="s">
        <v>26906</v>
      </c>
      <c r="H2992" s="1" t="s">
        <v>26907</v>
      </c>
      <c r="I2992" s="5" t="s">
        <v>26908</v>
      </c>
      <c r="J2992" s="7">
        <v>81</v>
      </c>
      <c r="K2992" s="7">
        <v>16</v>
      </c>
      <c r="L2992" s="5" t="s">
        <v>26909</v>
      </c>
      <c r="M2992" s="7">
        <v>0.625</v>
      </c>
      <c r="N2992" s="7">
        <v>0.4</v>
      </c>
      <c r="O2992" s="7">
        <v>3.34</v>
      </c>
      <c r="P2992" s="1" t="s">
        <v>26910</v>
      </c>
    </row>
    <row r="2993" spans="1:16" ht="33.4" x14ac:dyDescent="0.3">
      <c r="A2993" s="6" t="str">
        <f>HYPERLINK("https://www.ti.com/product/CSD16342Q5A", "CSD16342Q5A")</f>
        <v>CSD16342Q5A</v>
      </c>
      <c r="B2993" s="5" t="s">
        <v>26911</v>
      </c>
      <c r="C2993" s="6" t="str">
        <f>HYPERLINK("https://www.ti.com/lit/gpn/CSD16342Q5A", "PDF")</f>
        <v>PDF</v>
      </c>
      <c r="D2993" s="5" t="s">
        <v>26912</v>
      </c>
      <c r="E2993" s="5" t="s">
        <v>26913</v>
      </c>
      <c r="F2993" s="5"/>
      <c r="G2993" s="5" t="s">
        <v>26914</v>
      </c>
      <c r="H2993" s="1" t="s">
        <v>26915</v>
      </c>
      <c r="I2993" s="5" t="s">
        <v>26916</v>
      </c>
      <c r="J2993" s="7">
        <v>8</v>
      </c>
      <c r="K2993" s="7">
        <v>29.4</v>
      </c>
      <c r="L2993" s="5" t="s">
        <v>26917</v>
      </c>
      <c r="M2993" s="7">
        <v>1.1000000000000001</v>
      </c>
      <c r="N2993" s="7">
        <v>1.27</v>
      </c>
      <c r="O2993" s="7">
        <v>0.318</v>
      </c>
      <c r="P2993" s="1" t="s">
        <v>26918</v>
      </c>
    </row>
    <row r="2994" spans="1:16" ht="33.4" x14ac:dyDescent="0.3">
      <c r="A2994" s="6" t="str">
        <f>HYPERLINK("https://www.ti.com/product/TPS51463", "TPS51463")</f>
        <v>TPS51463</v>
      </c>
      <c r="B2994" s="5" t="s">
        <v>26919</v>
      </c>
      <c r="C2994" s="6" t="str">
        <f>HYPERLINK("https://www.ti.com/lit/gpn/TPS51463", "PDF")</f>
        <v>PDF</v>
      </c>
      <c r="D2994" s="5" t="s">
        <v>26920</v>
      </c>
      <c r="E2994" s="5" t="s">
        <v>26921</v>
      </c>
      <c r="F2994" s="5" t="s">
        <v>26922</v>
      </c>
      <c r="G2994" s="5" t="s">
        <v>26923</v>
      </c>
      <c r="H2994" s="1" t="s">
        <v>26924</v>
      </c>
      <c r="I2994" s="5" t="s">
        <v>26925</v>
      </c>
      <c r="J2994" s="7">
        <v>24</v>
      </c>
      <c r="K2994" s="7">
        <v>16</v>
      </c>
      <c r="L2994" s="5" t="s">
        <v>26926</v>
      </c>
      <c r="M2994" s="7">
        <v>1</v>
      </c>
      <c r="N2994" s="7">
        <v>0.5</v>
      </c>
      <c r="O2994" s="7">
        <v>2.7829999999999999</v>
      </c>
      <c r="P2994" s="1" t="s">
        <v>26927</v>
      </c>
    </row>
    <row r="2995" spans="1:16" ht="33.4" x14ac:dyDescent="0.3">
      <c r="A2995" s="6" t="str">
        <f>HYPERLINK("https://www.ti.com/product/TPS59650", "TPS59650")</f>
        <v>TPS59650</v>
      </c>
      <c r="B2995" s="5" t="s">
        <v>26928</v>
      </c>
      <c r="C2995" s="6" t="str">
        <f>HYPERLINK("https://www.ti.com/lit/gpn/TPS59650", "PDF")</f>
        <v>PDF</v>
      </c>
      <c r="D2995" s="5" t="s">
        <v>26929</v>
      </c>
      <c r="E2995" s="5" t="s">
        <v>26930</v>
      </c>
      <c r="F2995" s="5" t="s">
        <v>26931</v>
      </c>
      <c r="G2995" s="5" t="s">
        <v>26932</v>
      </c>
      <c r="H2995" s="1" t="s">
        <v>26933</v>
      </c>
      <c r="I2995" s="5" t="s">
        <v>26934</v>
      </c>
      <c r="J2995" s="7">
        <v>48</v>
      </c>
      <c r="K2995" s="7">
        <v>36</v>
      </c>
      <c r="L2995" s="5" t="s">
        <v>26935</v>
      </c>
      <c r="M2995" s="7">
        <v>1</v>
      </c>
      <c r="N2995" s="7">
        <v>0.4</v>
      </c>
      <c r="O2995" s="7">
        <v>2.95</v>
      </c>
      <c r="P2995" s="1" t="s">
        <v>26936</v>
      </c>
    </row>
    <row r="2996" spans="1:16" ht="33.4" x14ac:dyDescent="0.3">
      <c r="A2996" s="6" t="str">
        <f>HYPERLINK("https://www.ti.com/product/TLV62080", "TLV62080")</f>
        <v>TLV62080</v>
      </c>
      <c r="B2996" s="5" t="s">
        <v>26937</v>
      </c>
      <c r="C2996" s="6" t="str">
        <f>HYPERLINK("https://www.ti.com/lit/gpn/TLV62080", "PDF")</f>
        <v>PDF</v>
      </c>
      <c r="D2996" s="5" t="s">
        <v>26938</v>
      </c>
      <c r="E2996" s="5" t="s">
        <v>26939</v>
      </c>
      <c r="F2996" s="5" t="s">
        <v>26940</v>
      </c>
      <c r="G2996" s="5" t="s">
        <v>26941</v>
      </c>
      <c r="H2996" s="1" t="s">
        <v>26942</v>
      </c>
      <c r="I2996" s="5" t="s">
        <v>26943</v>
      </c>
      <c r="J2996" s="7">
        <v>8</v>
      </c>
      <c r="K2996" s="7">
        <v>4</v>
      </c>
      <c r="L2996" s="5" t="s">
        <v>26944</v>
      </c>
      <c r="M2996" s="7">
        <v>0.8</v>
      </c>
      <c r="N2996" s="7">
        <v>0.5</v>
      </c>
      <c r="O2996" s="7">
        <v>0.51900000000000002</v>
      </c>
      <c r="P2996" s="1" t="s">
        <v>26945</v>
      </c>
    </row>
    <row r="2997" spans="1:16" ht="33.4" x14ac:dyDescent="0.3">
      <c r="A2997" s="6" t="str">
        <f>HYPERLINK("https://www.ti.com/product/TPS65217", "TPS65217")</f>
        <v>TPS65217</v>
      </c>
      <c r="B2997" s="5" t="s">
        <v>26946</v>
      </c>
      <c r="C2997" s="6" t="str">
        <f>HYPERLINK("https://www.ti.com/lit/gpn/TPS65217", "PDF")</f>
        <v>PDF</v>
      </c>
      <c r="D2997" s="5" t="s">
        <v>26947</v>
      </c>
      <c r="E2997" s="5" t="s">
        <v>26948</v>
      </c>
      <c r="F2997" s="5"/>
      <c r="G2997" s="5" t="s">
        <v>26949</v>
      </c>
      <c r="H2997" s="1" t="s">
        <v>26950</v>
      </c>
      <c r="I2997" s="5" t="s">
        <v>26951</v>
      </c>
      <c r="J2997" s="7">
        <v>48</v>
      </c>
      <c r="K2997" s="7">
        <v>36</v>
      </c>
      <c r="L2997" s="5" t="s">
        <v>26952</v>
      </c>
      <c r="M2997" s="7">
        <v>1</v>
      </c>
      <c r="N2997" s="7">
        <v>0.4</v>
      </c>
      <c r="O2997" s="7">
        <v>2.0699999999999998</v>
      </c>
      <c r="P2997" s="1" t="s">
        <v>26953</v>
      </c>
    </row>
    <row r="2998" spans="1:16" ht="33.4" x14ac:dyDescent="0.3">
      <c r="A2998" s="6" t="str">
        <f>HYPERLINK("https://www.ti.com/product/UCC27511", "UCC27511")</f>
        <v>UCC27511</v>
      </c>
      <c r="B2998" s="5" t="s">
        <v>26954</v>
      </c>
      <c r="C2998" s="6" t="str">
        <f>HYPERLINK("https://www.ti.com/lit/gpn/UCC27511", "PDF")</f>
        <v>PDF</v>
      </c>
      <c r="D2998" s="5" t="s">
        <v>26955</v>
      </c>
      <c r="E2998" s="5" t="s">
        <v>26956</v>
      </c>
      <c r="F2998" s="5"/>
      <c r="G2998" s="5" t="s">
        <v>26957</v>
      </c>
      <c r="H2998" s="1" t="s">
        <v>26958</v>
      </c>
      <c r="I2998" s="5" t="s">
        <v>26959</v>
      </c>
      <c r="J2998" s="7">
        <v>6</v>
      </c>
      <c r="K2998" s="7">
        <v>8.1199999999999992</v>
      </c>
      <c r="L2998" s="5" t="s">
        <v>26960</v>
      </c>
      <c r="M2998" s="7">
        <v>1.45</v>
      </c>
      <c r="N2998" s="7">
        <v>0.95</v>
      </c>
      <c r="O2998" s="7">
        <v>0.32200000000000001</v>
      </c>
      <c r="P2998" s="1" t="s">
        <v>26961</v>
      </c>
    </row>
    <row r="2999" spans="1:16" ht="33.4" x14ac:dyDescent="0.3">
      <c r="A2999" s="6" t="str">
        <f>HYPERLINK("https://www.ti.com/product/SM72445", "SM72445")</f>
        <v>SM72445</v>
      </c>
      <c r="B2999" s="5" t="s">
        <v>26962</v>
      </c>
      <c r="C2999" s="6" t="str">
        <f>HYPERLINK("https://www.ti.com/lit/gpn/SM72445", "PDF")</f>
        <v>PDF</v>
      </c>
      <c r="D2999" s="5" t="s">
        <v>26963</v>
      </c>
      <c r="E2999" s="5" t="s">
        <v>26964</v>
      </c>
      <c r="F2999" s="5" t="s">
        <v>26965</v>
      </c>
      <c r="G2999" s="5" t="s">
        <v>26966</v>
      </c>
      <c r="H2999" s="1" t="s">
        <v>26967</v>
      </c>
      <c r="I2999" s="5" t="s">
        <v>26968</v>
      </c>
      <c r="J2999" s="7">
        <v>28</v>
      </c>
      <c r="K2999" s="7">
        <v>62.08</v>
      </c>
      <c r="L2999" s="5" t="s">
        <v>26969</v>
      </c>
      <c r="M2999" s="7">
        <v>1.2</v>
      </c>
      <c r="N2999" s="7">
        <v>0.65</v>
      </c>
      <c r="O2999" s="7">
        <v>5.173</v>
      </c>
      <c r="P2999" s="1" t="s">
        <v>26970</v>
      </c>
    </row>
    <row r="3000" spans="1:16" ht="33.4" x14ac:dyDescent="0.3">
      <c r="A3000" s="6" t="str">
        <f>HYPERLINK("https://www.ti.com/product/TLV62130", "TLV62130")</f>
        <v>TLV62130</v>
      </c>
      <c r="B3000" s="5" t="s">
        <v>26971</v>
      </c>
      <c r="C3000" s="6" t="str">
        <f>HYPERLINK("https://www.ti.com/lit/gpn/TLV62130", "PDF")</f>
        <v>PDF</v>
      </c>
      <c r="D3000" s="5" t="s">
        <v>26972</v>
      </c>
      <c r="E3000" s="5" t="s">
        <v>26973</v>
      </c>
      <c r="F3000" s="5" t="s">
        <v>26974</v>
      </c>
      <c r="G3000" s="5" t="s">
        <v>26975</v>
      </c>
      <c r="H3000" s="1" t="s">
        <v>26976</v>
      </c>
      <c r="I3000" s="5" t="s">
        <v>26977</v>
      </c>
      <c r="J3000" s="7">
        <v>16</v>
      </c>
      <c r="K3000" s="7">
        <v>9</v>
      </c>
      <c r="L3000" s="5" t="s">
        <v>26978</v>
      </c>
      <c r="M3000" s="7">
        <v>1</v>
      </c>
      <c r="N3000" s="7">
        <v>0.5</v>
      </c>
      <c r="O3000" s="7">
        <v>0.63300000000000001</v>
      </c>
      <c r="P3000" s="1" t="s">
        <v>26979</v>
      </c>
    </row>
    <row r="3001" spans="1:16" ht="33.4" x14ac:dyDescent="0.3">
      <c r="A3001" s="6" t="str">
        <f>HYPERLINK("https://www.ti.com/product/TLV62150", "TLV62150")</f>
        <v>TLV62150</v>
      </c>
      <c r="B3001" s="5" t="s">
        <v>26980</v>
      </c>
      <c r="C3001" s="6" t="str">
        <f>HYPERLINK("https://www.ti.com/lit/gpn/TLV62150", "PDF")</f>
        <v>PDF</v>
      </c>
      <c r="D3001" s="5" t="s">
        <v>26981</v>
      </c>
      <c r="E3001" s="5" t="s">
        <v>26982</v>
      </c>
      <c r="F3001" s="5" t="s">
        <v>26983</v>
      </c>
      <c r="G3001" s="5" t="s">
        <v>26984</v>
      </c>
      <c r="H3001" s="1" t="s">
        <v>26985</v>
      </c>
      <c r="I3001" s="5" t="s">
        <v>26986</v>
      </c>
      <c r="J3001" s="7">
        <v>16</v>
      </c>
      <c r="K3001" s="7">
        <v>9</v>
      </c>
      <c r="L3001" s="5" t="s">
        <v>26987</v>
      </c>
      <c r="M3001" s="7">
        <v>1</v>
      </c>
      <c r="N3001" s="7">
        <v>0.5</v>
      </c>
      <c r="O3001" s="7">
        <v>0.52</v>
      </c>
      <c r="P3001" s="1" t="s">
        <v>26988</v>
      </c>
    </row>
    <row r="3002" spans="1:16" ht="33.4" x14ac:dyDescent="0.3">
      <c r="A3002" s="6" t="str">
        <f>HYPERLINK("https://www.ti.com/product/TPS2543", "TPS2543")</f>
        <v>TPS2543</v>
      </c>
      <c r="B3002" s="5" t="s">
        <v>26989</v>
      </c>
      <c r="C3002" s="6" t="str">
        <f>HYPERLINK("https://www.ti.com/lit/gpn/TPS2543", "PDF")</f>
        <v>PDF</v>
      </c>
      <c r="D3002" s="5" t="s">
        <v>26990</v>
      </c>
      <c r="E3002" s="5" t="s">
        <v>26991</v>
      </c>
      <c r="F3002" s="5"/>
      <c r="G3002" s="5" t="s">
        <v>26992</v>
      </c>
      <c r="H3002" s="1" t="s">
        <v>26993</v>
      </c>
      <c r="I3002" s="5" t="s">
        <v>26994</v>
      </c>
      <c r="J3002" s="7">
        <v>16</v>
      </c>
      <c r="K3002" s="7">
        <v>9</v>
      </c>
      <c r="L3002" s="5" t="s">
        <v>26995</v>
      </c>
      <c r="M3002" s="7">
        <v>0.8</v>
      </c>
      <c r="N3002" s="7">
        <v>0.5</v>
      </c>
      <c r="O3002" s="7">
        <v>0.26100000000000001</v>
      </c>
      <c r="P3002" s="1" t="s">
        <v>26996</v>
      </c>
    </row>
    <row r="3003" spans="1:16" ht="17.05" x14ac:dyDescent="0.3">
      <c r="A3003" s="6" t="str">
        <f>HYPERLINK("https://www.ti.com/product/TPS92310", "TPS92310")</f>
        <v>TPS92310</v>
      </c>
      <c r="B3003" s="5" t="s">
        <v>26997</v>
      </c>
      <c r="C3003" s="6" t="str">
        <f>HYPERLINK("https://www.ti.com/lit/gpn/TPS92310", "PDF")</f>
        <v>PDF</v>
      </c>
      <c r="D3003" s="5" t="s">
        <v>26998</v>
      </c>
      <c r="E3003" s="5" t="s">
        <v>26999</v>
      </c>
      <c r="F3003" s="5" t="s">
        <v>27000</v>
      </c>
      <c r="G3003" s="5" t="s">
        <v>27001</v>
      </c>
      <c r="H3003" s="1" t="s">
        <v>27002</v>
      </c>
      <c r="I3003" s="5" t="s">
        <v>27003</v>
      </c>
      <c r="J3003" s="7">
        <v>10</v>
      </c>
      <c r="K3003" s="7">
        <v>14.7</v>
      </c>
      <c r="L3003" s="5" t="s">
        <v>27004</v>
      </c>
      <c r="M3003" s="7">
        <v>1.1000000000000001</v>
      </c>
      <c r="N3003" s="7">
        <v>0.5</v>
      </c>
      <c r="O3003" s="7">
        <v>0.46</v>
      </c>
      <c r="P3003" s="1" t="s">
        <v>27005</v>
      </c>
    </row>
    <row r="3004" spans="1:16" ht="33.4" x14ac:dyDescent="0.3">
      <c r="A3004" s="6" t="str">
        <f>HYPERLINK("https://www.ti.com/product/TPS80032", "TPS80032")</f>
        <v>TPS80032</v>
      </c>
      <c r="B3004" s="5" t="s">
        <v>27006</v>
      </c>
      <c r="C3004" s="6" t="str">
        <f>HYPERLINK("https://www.ti.com/lit/gpn/TPS80032", "PDF")</f>
        <v>PDF</v>
      </c>
      <c r="D3004" s="5" t="s">
        <v>27007</v>
      </c>
      <c r="E3004" s="5" t="s">
        <v>27008</v>
      </c>
      <c r="F3004" s="5"/>
      <c r="G3004" s="5" t="s">
        <v>27009</v>
      </c>
      <c r="H3004" s="1" t="s">
        <v>27010</v>
      </c>
      <c r="I3004" s="5" t="s">
        <v>27011</v>
      </c>
      <c r="J3004" s="7">
        <v>155</v>
      </c>
      <c r="K3004" s="7">
        <v>31.36</v>
      </c>
      <c r="L3004" s="5" t="s">
        <v>27012</v>
      </c>
      <c r="M3004" s="7">
        <v>0.625</v>
      </c>
      <c r="N3004" s="7">
        <v>0.4</v>
      </c>
      <c r="O3004" s="7"/>
      <c r="P3004" s="1" t="s">
        <v>27013</v>
      </c>
    </row>
    <row r="3005" spans="1:16" ht="33.4" x14ac:dyDescent="0.3">
      <c r="A3005" s="6" t="str">
        <f>HYPERLINK("https://www.ti.com/product/CSD25211W1015", "CSD25211W1015")</f>
        <v>CSD25211W1015</v>
      </c>
      <c r="B3005" s="5" t="s">
        <v>27014</v>
      </c>
      <c r="C3005" s="6" t="str">
        <f>HYPERLINK("https://www.ti.com/lit/gpn/CSD25211W1015", "PDF")</f>
        <v>PDF</v>
      </c>
      <c r="D3005" s="5" t="s">
        <v>27015</v>
      </c>
      <c r="E3005" s="5" t="s">
        <v>27016</v>
      </c>
      <c r="F3005" s="5"/>
      <c r="G3005" s="5" t="s">
        <v>27017</v>
      </c>
      <c r="H3005" s="1" t="s">
        <v>27018</v>
      </c>
      <c r="I3005" s="5" t="s">
        <v>27019</v>
      </c>
      <c r="J3005" s="7">
        <v>6</v>
      </c>
      <c r="K3005" s="7">
        <v>2.1875</v>
      </c>
      <c r="L3005" s="5" t="s">
        <v>27020</v>
      </c>
      <c r="M3005" s="7">
        <v>1</v>
      </c>
      <c r="N3005" s="7">
        <v>0.5</v>
      </c>
      <c r="O3005" s="7">
        <v>0.11700000000000001</v>
      </c>
      <c r="P3005" s="1" t="s">
        <v>27021</v>
      </c>
    </row>
    <row r="3006" spans="1:16" ht="33.4" x14ac:dyDescent="0.3">
      <c r="A3006" s="6" t="str">
        <f>HYPERLINK("https://www.ti.com/product/TPS51225", "TPS51225")</f>
        <v>TPS51225</v>
      </c>
      <c r="B3006" s="5" t="s">
        <v>27022</v>
      </c>
      <c r="C3006" s="6" t="str">
        <f>HYPERLINK("https://www.ti.com/lit/gpn/TPS51225", "PDF")</f>
        <v>PDF</v>
      </c>
      <c r="D3006" s="5" t="s">
        <v>27023</v>
      </c>
      <c r="E3006" s="5" t="s">
        <v>27024</v>
      </c>
      <c r="F3006" s="5" t="s">
        <v>27025</v>
      </c>
      <c r="G3006" s="5" t="s">
        <v>27026</v>
      </c>
      <c r="H3006" s="1" t="s">
        <v>27027</v>
      </c>
      <c r="I3006" s="5" t="s">
        <v>27028</v>
      </c>
      <c r="J3006" s="7">
        <v>20</v>
      </c>
      <c r="K3006" s="7">
        <v>9</v>
      </c>
      <c r="L3006" s="5" t="s">
        <v>27029</v>
      </c>
      <c r="M3006" s="7">
        <v>0.8</v>
      </c>
      <c r="N3006" s="7">
        <v>0.4</v>
      </c>
      <c r="O3006" s="7">
        <v>0.82299999999999995</v>
      </c>
      <c r="P3006" s="1" t="s">
        <v>27030</v>
      </c>
    </row>
    <row r="3007" spans="1:16" ht="33.4" x14ac:dyDescent="0.3">
      <c r="A3007" s="6" t="str">
        <f>HYPERLINK("https://www.ti.com/product/TPS51225B", "TPS51225B")</f>
        <v>TPS51225B</v>
      </c>
      <c r="B3007" s="5" t="s">
        <v>27031</v>
      </c>
      <c r="C3007" s="6" t="str">
        <f>HYPERLINK("https://www.ti.com/lit/gpn/TPS51225B", "PDF")</f>
        <v>PDF</v>
      </c>
      <c r="D3007" s="5" t="s">
        <v>27032</v>
      </c>
      <c r="E3007" s="5" t="s">
        <v>27033</v>
      </c>
      <c r="F3007" s="5" t="s">
        <v>27034</v>
      </c>
      <c r="G3007" s="5" t="s">
        <v>27035</v>
      </c>
      <c r="H3007" s="1" t="s">
        <v>27036</v>
      </c>
      <c r="I3007" s="5" t="s">
        <v>27037</v>
      </c>
      <c r="J3007" s="7">
        <v>20</v>
      </c>
      <c r="K3007" s="7">
        <v>9</v>
      </c>
      <c r="L3007" s="5" t="s">
        <v>27038</v>
      </c>
      <c r="M3007" s="7">
        <v>0.8</v>
      </c>
      <c r="N3007" s="7">
        <v>0.4</v>
      </c>
      <c r="O3007" s="7">
        <v>0.82299999999999995</v>
      </c>
      <c r="P3007" s="1" t="s">
        <v>27039</v>
      </c>
    </row>
    <row r="3008" spans="1:16" ht="33.4" x14ac:dyDescent="0.3">
      <c r="A3008" s="6" t="str">
        <f>HYPERLINK("https://www.ti.com/product/LM34927", "LM34927")</f>
        <v>LM34927</v>
      </c>
      <c r="B3008" s="5" t="s">
        <v>27040</v>
      </c>
      <c r="C3008" s="6" t="str">
        <f>HYPERLINK("https://www.ti.com/lit/gpn/LM34927", "PDF")</f>
        <v>PDF</v>
      </c>
      <c r="D3008" s="5" t="s">
        <v>27041</v>
      </c>
      <c r="E3008" s="5" t="s">
        <v>27042</v>
      </c>
      <c r="F3008" s="5" t="s">
        <v>27043</v>
      </c>
      <c r="G3008" s="5" t="s">
        <v>27044</v>
      </c>
      <c r="H3008" s="1" t="s">
        <v>27045</v>
      </c>
      <c r="I3008" s="5" t="s">
        <v>27046</v>
      </c>
      <c r="J3008" s="7">
        <v>8</v>
      </c>
      <c r="K3008" s="7" t="s">
        <v>27047</v>
      </c>
      <c r="L3008" s="5" t="s">
        <v>27048</v>
      </c>
      <c r="M3008" s="7" t="s">
        <v>27049</v>
      </c>
      <c r="N3008" s="7" t="s">
        <v>27050</v>
      </c>
      <c r="O3008" s="7">
        <v>1.3280000000000001</v>
      </c>
      <c r="P3008" s="1" t="s">
        <v>27051</v>
      </c>
    </row>
    <row r="3009" spans="1:16" ht="33.4" x14ac:dyDescent="0.3">
      <c r="A3009" s="6" t="str">
        <f>HYPERLINK("https://www.ti.com/product/LM5114", "LM5114")</f>
        <v>LM5114</v>
      </c>
      <c r="B3009" s="5" t="s">
        <v>27052</v>
      </c>
      <c r="C3009" s="6" t="str">
        <f>HYPERLINK("https://www.ti.com/lit/gpn/LM5114", "PDF")</f>
        <v>PDF</v>
      </c>
      <c r="D3009" s="5" t="s">
        <v>27053</v>
      </c>
      <c r="E3009" s="5" t="s">
        <v>27054</v>
      </c>
      <c r="F3009" s="5"/>
      <c r="G3009" s="5" t="s">
        <v>27055</v>
      </c>
      <c r="H3009" s="1" t="s">
        <v>27056</v>
      </c>
      <c r="I3009" s="5" t="s">
        <v>27057</v>
      </c>
      <c r="J3009" s="7">
        <v>6</v>
      </c>
      <c r="K3009" s="7" t="s">
        <v>27058</v>
      </c>
      <c r="L3009" s="5" t="s">
        <v>27059</v>
      </c>
      <c r="M3009" s="7" t="s">
        <v>27060</v>
      </c>
      <c r="N3009" s="7">
        <v>0.95</v>
      </c>
      <c r="O3009" s="7">
        <v>0.56399999999999995</v>
      </c>
      <c r="P3009" s="1" t="s">
        <v>27061</v>
      </c>
    </row>
    <row r="3010" spans="1:16" ht="33.4" x14ac:dyDescent="0.3">
      <c r="A3010" s="6" t="str">
        <f>HYPERLINK("https://www.ti.com/product/LM5017", "LM5017")</f>
        <v>LM5017</v>
      </c>
      <c r="B3010" s="5" t="s">
        <v>27062</v>
      </c>
      <c r="C3010" s="6" t="str">
        <f>HYPERLINK("https://www.ti.com/lit/gpn/LM5017", "PDF")</f>
        <v>PDF</v>
      </c>
      <c r="D3010" s="5" t="s">
        <v>27063</v>
      </c>
      <c r="E3010" s="5" t="s">
        <v>27064</v>
      </c>
      <c r="F3010" s="5" t="s">
        <v>27065</v>
      </c>
      <c r="G3010" s="5" t="s">
        <v>27066</v>
      </c>
      <c r="H3010" s="1" t="s">
        <v>27067</v>
      </c>
      <c r="I3010" s="5" t="s">
        <v>27068</v>
      </c>
      <c r="J3010" s="7">
        <v>8</v>
      </c>
      <c r="K3010" s="7" t="s">
        <v>27069</v>
      </c>
      <c r="L3010" s="5" t="s">
        <v>27070</v>
      </c>
      <c r="M3010" s="7" t="s">
        <v>27071</v>
      </c>
      <c r="N3010" s="7" t="s">
        <v>27072</v>
      </c>
      <c r="O3010" s="7">
        <v>1.3660000000000001</v>
      </c>
      <c r="P3010" s="1" t="s">
        <v>27073</v>
      </c>
    </row>
    <row r="3011" spans="1:16" ht="17.05" x14ac:dyDescent="0.3">
      <c r="A3011" s="6" t="str">
        <f>HYPERLINK("https://www.ti.com/product/TPS65155", "TPS65155")</f>
        <v>TPS65155</v>
      </c>
      <c r="B3011" s="5" t="s">
        <v>27074</v>
      </c>
      <c r="C3011" s="6" t="str">
        <f>HYPERLINK("https://www.ti.com/lit/gpn/TPS65155", "PDF")</f>
        <v>PDF</v>
      </c>
      <c r="D3011" s="5" t="s">
        <v>27075</v>
      </c>
      <c r="E3011" s="5" t="s">
        <v>27076</v>
      </c>
      <c r="F3011" s="5" t="s">
        <v>27077</v>
      </c>
      <c r="G3011" s="5" t="s">
        <v>27078</v>
      </c>
      <c r="H3011" s="1" t="s">
        <v>27079</v>
      </c>
      <c r="I3011" s="5" t="s">
        <v>27080</v>
      </c>
      <c r="J3011" s="7">
        <v>40</v>
      </c>
      <c r="K3011" s="7">
        <v>25</v>
      </c>
      <c r="L3011" s="5" t="s">
        <v>27081</v>
      </c>
      <c r="M3011" s="7">
        <v>1</v>
      </c>
      <c r="N3011" s="7">
        <v>0.4</v>
      </c>
      <c r="O3011" s="7">
        <v>2.1760000000000002</v>
      </c>
      <c r="P3011" s="1" t="s">
        <v>27082</v>
      </c>
    </row>
    <row r="3012" spans="1:16" ht="49.75" x14ac:dyDescent="0.3">
      <c r="A3012" s="6" t="str">
        <f>HYPERLINK("https://www.ti.com/product/TPS82695", "TPS82695")</f>
        <v>TPS82695</v>
      </c>
      <c r="B3012" s="5" t="s">
        <v>27083</v>
      </c>
      <c r="C3012" s="6" t="str">
        <f>HYPERLINK("https://www.ti.com/lit/gpn/TPS82695", "PDF")</f>
        <v>PDF</v>
      </c>
      <c r="D3012" s="5" t="s">
        <v>27084</v>
      </c>
      <c r="E3012" s="5" t="s">
        <v>27085</v>
      </c>
      <c r="F3012" s="5" t="s">
        <v>27086</v>
      </c>
      <c r="G3012" s="5" t="s">
        <v>27087</v>
      </c>
      <c r="H3012" s="1" t="s">
        <v>27088</v>
      </c>
      <c r="I3012" s="5" t="s">
        <v>27089</v>
      </c>
      <c r="J3012" s="7">
        <v>8</v>
      </c>
      <c r="K3012" s="7">
        <v>6.67</v>
      </c>
      <c r="L3012" s="5" t="s">
        <v>27090</v>
      </c>
      <c r="M3012" s="7">
        <v>1</v>
      </c>
      <c r="N3012" s="7">
        <v>1</v>
      </c>
      <c r="O3012" s="7">
        <v>1.1000000000000001</v>
      </c>
      <c r="P3012" s="1" t="s">
        <v>27091</v>
      </c>
    </row>
    <row r="3013" spans="1:16" ht="33.4" x14ac:dyDescent="0.3">
      <c r="A3013" s="6" t="str">
        <f>HYPERLINK("https://www.ti.com/product/TLC59711", "TLC59711")</f>
        <v>TLC59711</v>
      </c>
      <c r="B3013" s="5" t="s">
        <v>27092</v>
      </c>
      <c r="C3013" s="6" t="str">
        <f>HYPERLINK("https://www.ti.com/lit/gpn/TLC59711", "PDF")</f>
        <v>PDF</v>
      </c>
      <c r="D3013" s="5" t="s">
        <v>27093</v>
      </c>
      <c r="E3013" s="5" t="s">
        <v>27094</v>
      </c>
      <c r="F3013" s="5"/>
      <c r="G3013" s="5" t="s">
        <v>27095</v>
      </c>
      <c r="H3013" s="1" t="s">
        <v>27096</v>
      </c>
      <c r="I3013" s="5" t="s">
        <v>27097</v>
      </c>
      <c r="J3013" s="7">
        <v>20</v>
      </c>
      <c r="K3013" s="7">
        <v>41.6</v>
      </c>
      <c r="L3013" s="5" t="s">
        <v>27098</v>
      </c>
      <c r="M3013" s="7">
        <v>1.2</v>
      </c>
      <c r="N3013" s="7">
        <v>0.65</v>
      </c>
      <c r="O3013" s="7">
        <v>1.38</v>
      </c>
      <c r="P3013" s="1" t="s">
        <v>27099</v>
      </c>
    </row>
    <row r="3014" spans="1:16" ht="49.75" x14ac:dyDescent="0.3">
      <c r="A3014" s="6" t="str">
        <f>HYPERLINK("https://www.ti.com/product/TPS82672", "TPS82672")</f>
        <v>TPS82672</v>
      </c>
      <c r="B3014" s="5" t="s">
        <v>27100</v>
      </c>
      <c r="C3014" s="6" t="str">
        <f>HYPERLINK("https://www.ti.com/lit/gpn/TPS82672", "PDF")</f>
        <v>PDF</v>
      </c>
      <c r="D3014" s="5" t="s">
        <v>27101</v>
      </c>
      <c r="E3014" s="5" t="s">
        <v>27102</v>
      </c>
      <c r="F3014" s="5" t="s">
        <v>27103</v>
      </c>
      <c r="G3014" s="5" t="s">
        <v>27104</v>
      </c>
      <c r="H3014" s="1" t="s">
        <v>27105</v>
      </c>
      <c r="I3014" s="5" t="s">
        <v>27106</v>
      </c>
      <c r="J3014" s="7">
        <v>8</v>
      </c>
      <c r="K3014" s="7">
        <v>6.67</v>
      </c>
      <c r="L3014" s="5" t="s">
        <v>27107</v>
      </c>
      <c r="M3014" s="7">
        <v>1</v>
      </c>
      <c r="N3014" s="7">
        <v>1</v>
      </c>
      <c r="O3014" s="7">
        <v>1.012</v>
      </c>
      <c r="P3014" s="1" t="s">
        <v>27108</v>
      </c>
    </row>
    <row r="3015" spans="1:16" ht="33.4" x14ac:dyDescent="0.3">
      <c r="A3015" s="6" t="str">
        <f>HYPERLINK("https://www.ti.com/product/TPS51650", "TPS51650")</f>
        <v>TPS51650</v>
      </c>
      <c r="B3015" s="5" t="s">
        <v>27109</v>
      </c>
      <c r="C3015" s="6" t="str">
        <f>HYPERLINK("https://www.ti.com/lit/gpn/TPS51650", "PDF")</f>
        <v>PDF</v>
      </c>
      <c r="D3015" s="5" t="s">
        <v>27110</v>
      </c>
      <c r="E3015" s="5" t="s">
        <v>27111</v>
      </c>
      <c r="F3015" s="5" t="s">
        <v>27112</v>
      </c>
      <c r="G3015" s="5" t="s">
        <v>27113</v>
      </c>
      <c r="H3015" s="1" t="s">
        <v>27114</v>
      </c>
      <c r="I3015" s="5" t="s">
        <v>27115</v>
      </c>
      <c r="J3015" s="7">
        <v>48</v>
      </c>
      <c r="K3015" s="7">
        <v>36</v>
      </c>
      <c r="L3015" s="5" t="s">
        <v>27116</v>
      </c>
      <c r="M3015" s="7">
        <v>1</v>
      </c>
      <c r="N3015" s="7">
        <v>0.4</v>
      </c>
      <c r="O3015" s="7">
        <v>2.95</v>
      </c>
      <c r="P3015" s="1" t="s">
        <v>27117</v>
      </c>
    </row>
    <row r="3016" spans="1:16" ht="33.4" x14ac:dyDescent="0.3">
      <c r="A3016" s="6" t="str">
        <f>HYPERLINK("https://www.ti.com/product/TPS7A7001", "TPS7A7001")</f>
        <v>TPS7A7001</v>
      </c>
      <c r="B3016" s="5" t="s">
        <v>27118</v>
      </c>
      <c r="C3016" s="6" t="str">
        <f>HYPERLINK("https://www.ti.com/lit/gpn/TPS7A7001", "PDF")</f>
        <v>PDF</v>
      </c>
      <c r="D3016" s="5" t="s">
        <v>27119</v>
      </c>
      <c r="E3016" s="5" t="s">
        <v>27120</v>
      </c>
      <c r="F3016" s="5"/>
      <c r="G3016" s="5" t="s">
        <v>27121</v>
      </c>
      <c r="H3016" s="1" t="s">
        <v>27122</v>
      </c>
      <c r="I3016" s="5" t="s">
        <v>27123</v>
      </c>
      <c r="J3016" s="7">
        <v>8</v>
      </c>
      <c r="K3016" s="7">
        <v>29.4</v>
      </c>
      <c r="L3016" s="5" t="s">
        <v>27124</v>
      </c>
      <c r="M3016" s="7">
        <v>1.7</v>
      </c>
      <c r="N3016" s="7">
        <v>1.27</v>
      </c>
      <c r="O3016" s="7">
        <v>0.50900000000000001</v>
      </c>
      <c r="P3016" s="1" t="s">
        <v>27125</v>
      </c>
    </row>
    <row r="3017" spans="1:16" ht="33.4" x14ac:dyDescent="0.3">
      <c r="A3017" s="6" t="str">
        <f>HYPERLINK("https://www.ti.com/product/TPS51640A", "TPS51640A")</f>
        <v>TPS51640A</v>
      </c>
      <c r="B3017" s="5" t="s">
        <v>27126</v>
      </c>
      <c r="C3017" s="6" t="str">
        <f>HYPERLINK("https://www.ti.com/lit/gpn/TPS51640A", "PDF")</f>
        <v>PDF</v>
      </c>
      <c r="D3017" s="5" t="s">
        <v>27127</v>
      </c>
      <c r="E3017" s="5" t="s">
        <v>27128</v>
      </c>
      <c r="F3017" s="5" t="s">
        <v>27129</v>
      </c>
      <c r="G3017" s="5" t="s">
        <v>27130</v>
      </c>
      <c r="H3017" s="1" t="s">
        <v>27131</v>
      </c>
      <c r="I3017" s="5" t="s">
        <v>27132</v>
      </c>
      <c r="J3017" s="7">
        <v>48</v>
      </c>
      <c r="K3017" s="7">
        <v>36</v>
      </c>
      <c r="L3017" s="5" t="s">
        <v>27133</v>
      </c>
      <c r="M3017" s="7">
        <v>1</v>
      </c>
      <c r="N3017" s="7">
        <v>0.4</v>
      </c>
      <c r="O3017" s="7">
        <v>2.5049999999999999</v>
      </c>
      <c r="P3017" s="1" t="s">
        <v>27134</v>
      </c>
    </row>
    <row r="3018" spans="1:16" ht="33.4" x14ac:dyDescent="0.3">
      <c r="A3018" s="6" t="str">
        <f>HYPERLINK("https://www.ti.com/product/TPS59640", "TPS59640")</f>
        <v>TPS59640</v>
      </c>
      <c r="B3018" s="5" t="s">
        <v>27135</v>
      </c>
      <c r="C3018" s="6" t="str">
        <f>HYPERLINK("https://www.ti.com/lit/gpn/TPS59640", "PDF")</f>
        <v>PDF</v>
      </c>
      <c r="D3018" s="5" t="s">
        <v>27136</v>
      </c>
      <c r="E3018" s="5" t="s">
        <v>27137</v>
      </c>
      <c r="F3018" s="5" t="s">
        <v>27138</v>
      </c>
      <c r="G3018" s="5" t="s">
        <v>27139</v>
      </c>
      <c r="H3018" s="1" t="s">
        <v>27140</v>
      </c>
      <c r="I3018" s="5" t="s">
        <v>27141</v>
      </c>
      <c r="J3018" s="7">
        <v>48</v>
      </c>
      <c r="K3018" s="7">
        <v>36</v>
      </c>
      <c r="L3018" s="5" t="s">
        <v>27142</v>
      </c>
      <c r="M3018" s="7">
        <v>1</v>
      </c>
      <c r="N3018" s="7">
        <v>0.4</v>
      </c>
      <c r="O3018" s="7">
        <v>2.5049999999999999</v>
      </c>
      <c r="P3018" s="1" t="s">
        <v>27143</v>
      </c>
    </row>
    <row r="3019" spans="1:16" ht="49.75" x14ac:dyDescent="0.3">
      <c r="A3019" s="6" t="str">
        <f>HYPERLINK("https://www.ti.com/product/TPS82674", "TPS82674")</f>
        <v>TPS82674</v>
      </c>
      <c r="B3019" s="5" t="s">
        <v>27144</v>
      </c>
      <c r="C3019" s="6" t="str">
        <f>HYPERLINK("https://www.ti.com/lit/gpn/TPS82674", "PDF")</f>
        <v>PDF</v>
      </c>
      <c r="D3019" s="5" t="s">
        <v>27145</v>
      </c>
      <c r="E3019" s="5" t="s">
        <v>27146</v>
      </c>
      <c r="F3019" s="5" t="s">
        <v>27147</v>
      </c>
      <c r="G3019" s="5" t="s">
        <v>27148</v>
      </c>
      <c r="H3019" s="1" t="s">
        <v>27149</v>
      </c>
      <c r="I3019" s="5" t="s">
        <v>27150</v>
      </c>
      <c r="J3019" s="7">
        <v>8</v>
      </c>
      <c r="K3019" s="7">
        <v>6.67</v>
      </c>
      <c r="L3019" s="5" t="s">
        <v>27151</v>
      </c>
      <c r="M3019" s="7">
        <v>1</v>
      </c>
      <c r="N3019" s="7">
        <v>1</v>
      </c>
      <c r="O3019" s="7">
        <v>1.012</v>
      </c>
      <c r="P3019" s="1" t="s">
        <v>27152</v>
      </c>
    </row>
    <row r="3020" spans="1:16" ht="33.4" x14ac:dyDescent="0.3">
      <c r="A3020" s="6" t="str">
        <f>HYPERLINK("https://www.ti.com/product/LM3253", "LM3253")</f>
        <v>LM3253</v>
      </c>
      <c r="B3020" s="5" t="s">
        <v>27153</v>
      </c>
      <c r="C3020" s="6" t="str">
        <f>HYPERLINK("https://www.ti.com/lit/gpn/LM3253", "PDF")</f>
        <v>PDF</v>
      </c>
      <c r="D3020" s="5" t="s">
        <v>27154</v>
      </c>
      <c r="E3020" s="5" t="s">
        <v>27155</v>
      </c>
      <c r="F3020" s="5" t="s">
        <v>27156</v>
      </c>
      <c r="G3020" s="5" t="s">
        <v>27157</v>
      </c>
      <c r="H3020" s="1" t="s">
        <v>27158</v>
      </c>
      <c r="I3020" s="5" t="s">
        <v>27159</v>
      </c>
      <c r="J3020" s="7">
        <v>16</v>
      </c>
      <c r="K3020" s="7">
        <v>3.24</v>
      </c>
      <c r="L3020" s="5" t="s">
        <v>27160</v>
      </c>
      <c r="M3020" s="7">
        <v>0.67500000000000004</v>
      </c>
      <c r="N3020" s="7">
        <v>0.4</v>
      </c>
      <c r="O3020" s="7">
        <v>1</v>
      </c>
      <c r="P3020" s="1" t="s">
        <v>27161</v>
      </c>
    </row>
    <row r="3021" spans="1:16" ht="33.4" x14ac:dyDescent="0.3">
      <c r="A3021" s="6" t="str">
        <f>HYPERLINK("https://www.ti.com/product/LM3253-C", "LM3253-C")</f>
        <v>LM3253-C</v>
      </c>
      <c r="B3021" s="5" t="s">
        <v>27162</v>
      </c>
      <c r="C3021" s="6" t="str">
        <f>HYPERLINK("https://www.ti.com/lit/gpn/LM3253-C", "PDF")</f>
        <v>PDF</v>
      </c>
      <c r="D3021" s="5" t="s">
        <v>27163</v>
      </c>
      <c r="E3021" s="5" t="s">
        <v>27164</v>
      </c>
      <c r="F3021" s="5" t="s">
        <v>27165</v>
      </c>
      <c r="G3021" s="5" t="s">
        <v>27166</v>
      </c>
      <c r="H3021" s="1" t="s">
        <v>27167</v>
      </c>
      <c r="I3021" s="5" t="s">
        <v>27168</v>
      </c>
      <c r="J3021" s="7">
        <v>16</v>
      </c>
      <c r="K3021" s="7">
        <v>3.24</v>
      </c>
      <c r="L3021" s="5" t="s">
        <v>27169</v>
      </c>
      <c r="M3021" s="7">
        <v>0.67500000000000004</v>
      </c>
      <c r="N3021" s="7">
        <v>0.4</v>
      </c>
      <c r="O3021" s="7">
        <v>0.83299999999999996</v>
      </c>
      <c r="P3021" s="1" t="s">
        <v>27170</v>
      </c>
    </row>
    <row r="3022" spans="1:16" ht="33.4" x14ac:dyDescent="0.3">
      <c r="A3022" s="6" t="str">
        <f>HYPERLINK("https://www.ti.com/product/TWL6041", "TWL6041")</f>
        <v>TWL6041</v>
      </c>
      <c r="B3022" s="5" t="s">
        <v>27171</v>
      </c>
      <c r="C3022" s="6" t="str">
        <f>HYPERLINK("https://www.ti.com/lit/gpn/TWL6041", "PDF")</f>
        <v>PDF</v>
      </c>
      <c r="D3022" s="5" t="s">
        <v>27172</v>
      </c>
      <c r="E3022" s="5" t="s">
        <v>27173</v>
      </c>
      <c r="F3022" s="5"/>
      <c r="G3022" s="5" t="s">
        <v>27174</v>
      </c>
      <c r="H3022" s="1" t="s">
        <v>27175</v>
      </c>
      <c r="I3022" s="5" t="s">
        <v>27176</v>
      </c>
      <c r="J3022" s="7">
        <v>81</v>
      </c>
      <c r="K3022" s="7">
        <v>16</v>
      </c>
      <c r="L3022" s="5" t="s">
        <v>27177</v>
      </c>
      <c r="M3022" s="7">
        <v>0.625</v>
      </c>
      <c r="N3022" s="7">
        <v>0.4</v>
      </c>
      <c r="O3022" s="7">
        <v>1.921</v>
      </c>
      <c r="P3022" s="1" t="s">
        <v>27178</v>
      </c>
    </row>
    <row r="3023" spans="1:16" ht="33.4" x14ac:dyDescent="0.3">
      <c r="A3023" s="6" t="str">
        <f>HYPERLINK("https://www.ti.com/product/UCD90124A", "UCD90124A")</f>
        <v>UCD90124A</v>
      </c>
      <c r="B3023" s="5" t="s">
        <v>27179</v>
      </c>
      <c r="C3023" s="6" t="str">
        <f>HYPERLINK("https://www.ti.com/lit/gpn/UCD90124A", "PDF")</f>
        <v>PDF</v>
      </c>
      <c r="D3023" s="5" t="s">
        <v>27180</v>
      </c>
      <c r="E3023" s="5" t="s">
        <v>27181</v>
      </c>
      <c r="F3023" s="5"/>
      <c r="G3023" s="5" t="s">
        <v>27182</v>
      </c>
      <c r="H3023" s="1" t="s">
        <v>27183</v>
      </c>
      <c r="I3023" s="5" t="s">
        <v>27184</v>
      </c>
      <c r="J3023" s="7">
        <v>64</v>
      </c>
      <c r="K3023" s="7">
        <v>81</v>
      </c>
      <c r="L3023" s="5" t="s">
        <v>27185</v>
      </c>
      <c r="M3023" s="7">
        <v>1</v>
      </c>
      <c r="N3023" s="7">
        <v>0.5</v>
      </c>
      <c r="O3023" s="7">
        <v>6.5270000000000001</v>
      </c>
      <c r="P3023" s="1" t="s">
        <v>27186</v>
      </c>
    </row>
    <row r="3024" spans="1:16" ht="33.4" x14ac:dyDescent="0.3">
      <c r="A3024" s="6" t="str">
        <f>HYPERLINK("https://www.ti.com/product/TPS51225C", "TPS51225C")</f>
        <v>TPS51225C</v>
      </c>
      <c r="B3024" s="5" t="s">
        <v>27187</v>
      </c>
      <c r="C3024" s="6" t="str">
        <f>HYPERLINK("https://www.ti.com/lit/gpn/TPS51225C", "PDF")</f>
        <v>PDF</v>
      </c>
      <c r="D3024" s="5" t="s">
        <v>27188</v>
      </c>
      <c r="E3024" s="5" t="s">
        <v>27189</v>
      </c>
      <c r="F3024" s="5" t="s">
        <v>27190</v>
      </c>
      <c r="G3024" s="5" t="s">
        <v>27191</v>
      </c>
      <c r="H3024" s="1" t="s">
        <v>27192</v>
      </c>
      <c r="I3024" s="5" t="s">
        <v>27193</v>
      </c>
      <c r="J3024" s="7">
        <v>20</v>
      </c>
      <c r="K3024" s="7">
        <v>9</v>
      </c>
      <c r="L3024" s="5" t="s">
        <v>27194</v>
      </c>
      <c r="M3024" s="7">
        <v>0.8</v>
      </c>
      <c r="N3024" s="7">
        <v>0.4</v>
      </c>
      <c r="O3024" s="7">
        <v>0.82299999999999995</v>
      </c>
      <c r="P3024" s="1" t="s">
        <v>27195</v>
      </c>
    </row>
    <row r="3025" spans="1:16" ht="33.4" x14ac:dyDescent="0.3">
      <c r="A3025" s="6" t="str">
        <f>HYPERLINK("https://www.ti.com/product/TPS40422", "TPS40422")</f>
        <v>TPS40422</v>
      </c>
      <c r="B3025" s="5" t="s">
        <v>27196</v>
      </c>
      <c r="C3025" s="6" t="str">
        <f>HYPERLINK("https://www.ti.com/lit/gpn/TPS40422", "PDF")</f>
        <v>PDF</v>
      </c>
      <c r="D3025" s="5" t="s">
        <v>27197</v>
      </c>
      <c r="E3025" s="5" t="s">
        <v>27198</v>
      </c>
      <c r="F3025" s="5" t="s">
        <v>27199</v>
      </c>
      <c r="G3025" s="5" t="s">
        <v>27200</v>
      </c>
      <c r="H3025" s="1" t="s">
        <v>27201</v>
      </c>
      <c r="I3025" s="5" t="s">
        <v>27202</v>
      </c>
      <c r="J3025" s="7">
        <v>40</v>
      </c>
      <c r="K3025" s="7" t="s">
        <v>27203</v>
      </c>
      <c r="L3025" s="5" t="s">
        <v>27204</v>
      </c>
      <c r="M3025" s="7" t="s">
        <v>27205</v>
      </c>
      <c r="N3025" s="7" t="s">
        <v>27206</v>
      </c>
      <c r="O3025" s="7">
        <v>2.3929999999999998</v>
      </c>
      <c r="P3025" s="1" t="s">
        <v>27207</v>
      </c>
    </row>
    <row r="3026" spans="1:16" ht="33.4" x14ac:dyDescent="0.3">
      <c r="A3026" s="6" t="str">
        <f>HYPERLINK("https://www.ti.com/product/TWL6032", "TWL6032")</f>
        <v>TWL6032</v>
      </c>
      <c r="B3026" s="5" t="s">
        <v>27208</v>
      </c>
      <c r="C3026" s="6" t="str">
        <f>HYPERLINK("https://www.ti.com/lit/gpn/TWL6032", "PDF")</f>
        <v>PDF</v>
      </c>
      <c r="D3026" s="5" t="s">
        <v>27209</v>
      </c>
      <c r="E3026" s="5" t="s">
        <v>27210</v>
      </c>
      <c r="F3026" s="5"/>
      <c r="G3026" s="5" t="s">
        <v>27211</v>
      </c>
      <c r="H3026" s="1" t="s">
        <v>27212</v>
      </c>
      <c r="I3026" s="5" t="s">
        <v>27213</v>
      </c>
      <c r="J3026" s="7">
        <v>155</v>
      </c>
      <c r="K3026" s="7">
        <v>31.36</v>
      </c>
      <c r="L3026" s="5" t="s">
        <v>27214</v>
      </c>
      <c r="M3026" s="7">
        <v>0.625</v>
      </c>
      <c r="N3026" s="7">
        <v>0.4</v>
      </c>
      <c r="O3026" s="7">
        <v>5.5039999999999996</v>
      </c>
      <c r="P3026" s="1" t="s">
        <v>27215</v>
      </c>
    </row>
    <row r="3027" spans="1:16" ht="33.4" x14ac:dyDescent="0.3">
      <c r="A3027" s="6" t="str">
        <f>HYPERLINK("https://www.ti.com/product/LM3102-Q1", "LM3102-Q1")</f>
        <v>LM3102-Q1</v>
      </c>
      <c r="B3027" s="5" t="s">
        <v>27216</v>
      </c>
      <c r="C3027" s="6" t="str">
        <f>HYPERLINK("https://www.ti.com/lit/gpn/LM3102-Q1", "PDF")</f>
        <v>PDF</v>
      </c>
      <c r="D3027" s="5" t="s">
        <v>27217</v>
      </c>
      <c r="E3027" s="5" t="s">
        <v>27218</v>
      </c>
      <c r="F3027" s="5" t="s">
        <v>27219</v>
      </c>
      <c r="G3027" s="5" t="s">
        <v>27220</v>
      </c>
      <c r="H3027" s="1" t="s">
        <v>27221</v>
      </c>
      <c r="I3027" s="5" t="s">
        <v>27222</v>
      </c>
      <c r="J3027" s="7">
        <v>20</v>
      </c>
      <c r="K3027" s="7">
        <v>41.6</v>
      </c>
      <c r="L3027" s="5" t="s">
        <v>27223</v>
      </c>
      <c r="M3027" s="7">
        <v>1.2</v>
      </c>
      <c r="N3027" s="7">
        <v>0.65</v>
      </c>
      <c r="O3027" s="7">
        <v>2.7589999999999999</v>
      </c>
      <c r="P3027" s="1" t="s">
        <v>27224</v>
      </c>
    </row>
    <row r="3028" spans="1:16" ht="33.4" x14ac:dyDescent="0.3">
      <c r="A3028" s="6" t="str">
        <f>HYPERLINK("https://www.ti.com/product/LM3243", "LM3243")</f>
        <v>LM3243</v>
      </c>
      <c r="B3028" s="5" t="s">
        <v>27225</v>
      </c>
      <c r="C3028" s="6" t="str">
        <f>HYPERLINK("https://www.ti.com/lit/gpn/LM3243", "PDF")</f>
        <v>PDF</v>
      </c>
      <c r="D3028" s="5" t="s">
        <v>27226</v>
      </c>
      <c r="E3028" s="5" t="s">
        <v>27227</v>
      </c>
      <c r="F3028" s="5" t="s">
        <v>27228</v>
      </c>
      <c r="G3028" s="5" t="s">
        <v>27229</v>
      </c>
      <c r="H3028" s="1" t="s">
        <v>27230</v>
      </c>
      <c r="I3028" s="5" t="s">
        <v>27231</v>
      </c>
      <c r="J3028" s="7">
        <v>16</v>
      </c>
      <c r="K3028" s="7">
        <v>3.24</v>
      </c>
      <c r="L3028" s="5" t="s">
        <v>27232</v>
      </c>
      <c r="M3028" s="7">
        <v>0.67500000000000004</v>
      </c>
      <c r="N3028" s="7">
        <v>0.4</v>
      </c>
      <c r="O3028" s="7">
        <v>0.42899999999999999</v>
      </c>
      <c r="P3028" s="1" t="s">
        <v>27233</v>
      </c>
    </row>
    <row r="3029" spans="1:16" ht="33.4" x14ac:dyDescent="0.3">
      <c r="A3029" s="6" t="str">
        <f>HYPERLINK("https://www.ti.com/product/TPS7A16", "TPS7A16")</f>
        <v>TPS7A16</v>
      </c>
      <c r="B3029" s="5" t="s">
        <v>27234</v>
      </c>
      <c r="C3029" s="6" t="str">
        <f>HYPERLINK("https://www.ti.com/lit/gpn/TPS7A16", "PDF")</f>
        <v>PDF</v>
      </c>
      <c r="D3029" s="5" t="s">
        <v>27235</v>
      </c>
      <c r="E3029" s="5" t="s">
        <v>27236</v>
      </c>
      <c r="F3029" s="5"/>
      <c r="G3029" s="5" t="s">
        <v>27237</v>
      </c>
      <c r="H3029" s="1" t="s">
        <v>27238</v>
      </c>
      <c r="I3029" s="5" t="s">
        <v>27239</v>
      </c>
      <c r="J3029" s="7">
        <v>8</v>
      </c>
      <c r="K3029" s="7" t="s">
        <v>27240</v>
      </c>
      <c r="L3029" s="5" t="s">
        <v>27241</v>
      </c>
      <c r="M3029" s="7" t="s">
        <v>27242</v>
      </c>
      <c r="N3029" s="7">
        <v>0.65</v>
      </c>
      <c r="O3029" s="7">
        <v>1.452</v>
      </c>
      <c r="P3029" s="1" t="s">
        <v>27243</v>
      </c>
    </row>
    <row r="3030" spans="1:16" ht="33.4" x14ac:dyDescent="0.3">
      <c r="A3030" s="6" t="str">
        <f>HYPERLINK("https://www.ti.com/product/TPS53219A", "TPS53219A")</f>
        <v>TPS53219A</v>
      </c>
      <c r="B3030" s="5" t="s">
        <v>27244</v>
      </c>
      <c r="C3030" s="6" t="str">
        <f>HYPERLINK("https://www.ti.com/lit/gpn/TPS53219A", "PDF")</f>
        <v>PDF</v>
      </c>
      <c r="D3030" s="5" t="s">
        <v>27245</v>
      </c>
      <c r="E3030" s="5" t="s">
        <v>27246</v>
      </c>
      <c r="F3030" s="5" t="s">
        <v>27247</v>
      </c>
      <c r="G3030" s="5" t="s">
        <v>27248</v>
      </c>
      <c r="H3030" s="1" t="s">
        <v>27249</v>
      </c>
      <c r="I3030" s="5" t="s">
        <v>27250</v>
      </c>
      <c r="J3030" s="7">
        <v>16</v>
      </c>
      <c r="K3030" s="7">
        <v>9</v>
      </c>
      <c r="L3030" s="5" t="s">
        <v>27251</v>
      </c>
      <c r="M3030" s="7">
        <v>1</v>
      </c>
      <c r="N3030" s="7">
        <v>0.5</v>
      </c>
      <c r="O3030" s="7">
        <v>0.65800000000000003</v>
      </c>
      <c r="P3030" s="1" t="s">
        <v>27252</v>
      </c>
    </row>
    <row r="3031" spans="1:16" ht="33.4" x14ac:dyDescent="0.3">
      <c r="A3031" s="6" t="str">
        <f>HYPERLINK("https://www.ti.com/product/TLV70018-Q1", "TLV70018-Q1")</f>
        <v>TLV70018-Q1</v>
      </c>
      <c r="B3031" s="5" t="s">
        <v>27253</v>
      </c>
      <c r="C3031" s="6" t="str">
        <f>HYPERLINK("https://www.ti.com/lit/gpn/TLV70018-Q1", "PDF")</f>
        <v>PDF</v>
      </c>
      <c r="D3031" s="5" t="s">
        <v>27254</v>
      </c>
      <c r="E3031" s="5" t="s">
        <v>27255</v>
      </c>
      <c r="F3031" s="5"/>
      <c r="G3031" s="5" t="s">
        <v>27256</v>
      </c>
      <c r="H3031" s="1" t="s">
        <v>27257</v>
      </c>
      <c r="I3031" s="5" t="s">
        <v>27258</v>
      </c>
      <c r="J3031" s="7">
        <v>5</v>
      </c>
      <c r="K3031" s="7">
        <v>8.1199999999999992</v>
      </c>
      <c r="L3031" s="5" t="s">
        <v>27259</v>
      </c>
      <c r="M3031" s="7">
        <v>1.1000000000000001</v>
      </c>
      <c r="N3031" s="7">
        <v>0.95</v>
      </c>
      <c r="O3031" s="7">
        <v>0.30599999999999999</v>
      </c>
      <c r="P3031" s="1" t="s">
        <v>27260</v>
      </c>
    </row>
    <row r="3032" spans="1:16" ht="33.4" x14ac:dyDescent="0.3">
      <c r="A3032" s="6" t="str">
        <f>HYPERLINK("https://www.ti.com/product/TPS51462", "TPS51462")</f>
        <v>TPS51462</v>
      </c>
      <c r="B3032" s="5" t="s">
        <v>27261</v>
      </c>
      <c r="C3032" s="6" t="str">
        <f>HYPERLINK("https://www.ti.com/lit/gpn/TPS51462", "PDF")</f>
        <v>PDF</v>
      </c>
      <c r="D3032" s="5" t="s">
        <v>27262</v>
      </c>
      <c r="E3032" s="5" t="s">
        <v>27263</v>
      </c>
      <c r="F3032" s="5" t="s">
        <v>27264</v>
      </c>
      <c r="G3032" s="5" t="s">
        <v>27265</v>
      </c>
      <c r="H3032" s="1" t="s">
        <v>27266</v>
      </c>
      <c r="I3032" s="5" t="s">
        <v>27267</v>
      </c>
      <c r="J3032" s="7">
        <v>24</v>
      </c>
      <c r="K3032" s="7">
        <v>16</v>
      </c>
      <c r="L3032" s="5" t="s">
        <v>27268</v>
      </c>
      <c r="M3032" s="7">
        <v>1</v>
      </c>
      <c r="N3032" s="7">
        <v>0.5</v>
      </c>
      <c r="O3032" s="7">
        <v>2.95</v>
      </c>
      <c r="P3032" s="1" t="s">
        <v>27269</v>
      </c>
    </row>
    <row r="3033" spans="1:16" ht="33.4" x14ac:dyDescent="0.3">
      <c r="A3033" s="6" t="str">
        <f>HYPERLINK("https://www.ti.com/product/TPS61165-Q1", "TPS61165-Q1")</f>
        <v>TPS61165-Q1</v>
      </c>
      <c r="B3033" s="5" t="s">
        <v>27270</v>
      </c>
      <c r="C3033" s="6" t="str">
        <f>HYPERLINK("https://www.ti.com/lit/gpn/TPS61165-Q1", "PDF")</f>
        <v>PDF</v>
      </c>
      <c r="D3033" s="5" t="s">
        <v>27271</v>
      </c>
      <c r="E3033" s="5" t="s">
        <v>27272</v>
      </c>
      <c r="F3033" s="5" t="s">
        <v>27273</v>
      </c>
      <c r="G3033" s="5" t="s">
        <v>27274</v>
      </c>
      <c r="H3033" s="1" t="s">
        <v>27275</v>
      </c>
      <c r="I3033" s="5" t="s">
        <v>27276</v>
      </c>
      <c r="J3033" s="7">
        <v>6</v>
      </c>
      <c r="K3033" s="7">
        <v>8.1199999999999992</v>
      </c>
      <c r="L3033" s="5" t="s">
        <v>27277</v>
      </c>
      <c r="M3033" s="7">
        <v>1.45</v>
      </c>
      <c r="N3033" s="7">
        <v>0.95</v>
      </c>
      <c r="O3033" s="7">
        <v>0.93899999999999995</v>
      </c>
      <c r="P3033" s="1" t="s">
        <v>27278</v>
      </c>
    </row>
    <row r="3034" spans="1:16" ht="17.05" x14ac:dyDescent="0.3">
      <c r="A3034" s="6" t="str">
        <f>HYPERLINK("https://www.ti.com/product/TPS22929D", "TPS22929D")</f>
        <v>TPS22929D</v>
      </c>
      <c r="B3034" s="5" t="s">
        <v>27279</v>
      </c>
      <c r="C3034" s="6" t="str">
        <f>HYPERLINK("https://www.ti.com/lit/gpn/TPS22929D", "PDF")</f>
        <v>PDF</v>
      </c>
      <c r="D3034" s="5" t="s">
        <v>27280</v>
      </c>
      <c r="E3034" s="5" t="s">
        <v>27281</v>
      </c>
      <c r="F3034" s="5"/>
      <c r="G3034" s="5" t="s">
        <v>27282</v>
      </c>
      <c r="H3034" s="1" t="s">
        <v>27283</v>
      </c>
      <c r="I3034" s="5" t="s">
        <v>27284</v>
      </c>
      <c r="J3034" s="7">
        <v>6</v>
      </c>
      <c r="K3034" s="7">
        <v>8.1199999999999992</v>
      </c>
      <c r="L3034" s="5" t="s">
        <v>27285</v>
      </c>
      <c r="M3034" s="7">
        <v>1.45</v>
      </c>
      <c r="N3034" s="7">
        <v>0.95</v>
      </c>
      <c r="O3034" s="7">
        <v>0.24299999999999999</v>
      </c>
      <c r="P3034" s="1" t="s">
        <v>27286</v>
      </c>
    </row>
    <row r="3035" spans="1:16" ht="33.4" x14ac:dyDescent="0.3">
      <c r="A3035" s="6" t="str">
        <f>HYPERLINK("https://www.ti.com/product/TPS2561-Q1", "TPS2561-Q1")</f>
        <v>TPS2561-Q1</v>
      </c>
      <c r="B3035" s="5" t="s">
        <v>27287</v>
      </c>
      <c r="C3035" s="6" t="str">
        <f>HYPERLINK("https://www.ti.com/lit/gpn/TPS2561-Q1", "PDF")</f>
        <v>PDF</v>
      </c>
      <c r="D3035" s="5" t="s">
        <v>27288</v>
      </c>
      <c r="E3035" s="5" t="s">
        <v>27289</v>
      </c>
      <c r="F3035" s="5"/>
      <c r="G3035" s="5" t="s">
        <v>27290</v>
      </c>
      <c r="H3035" s="1" t="s">
        <v>27291</v>
      </c>
      <c r="I3035" s="5" t="s">
        <v>27292</v>
      </c>
      <c r="J3035" s="7">
        <v>10</v>
      </c>
      <c r="K3035" s="7">
        <v>9</v>
      </c>
      <c r="L3035" s="5" t="s">
        <v>27293</v>
      </c>
      <c r="M3035" s="7">
        <v>1</v>
      </c>
      <c r="N3035" s="7">
        <v>0.5</v>
      </c>
      <c r="O3035" s="7">
        <v>0.57499999999999996</v>
      </c>
      <c r="P3035" s="1" t="s">
        <v>27294</v>
      </c>
    </row>
    <row r="3036" spans="1:16" ht="33.4" x14ac:dyDescent="0.3">
      <c r="A3036" s="6" t="str">
        <f>HYPERLINK("https://www.ti.com/product/TPS61087-Q1", "TPS61087-Q1")</f>
        <v>TPS61087-Q1</v>
      </c>
      <c r="B3036" s="5" t="s">
        <v>27295</v>
      </c>
      <c r="C3036" s="6" t="str">
        <f>HYPERLINK("https://www.ti.com/lit/gpn/TPS61087-Q1", "PDF")</f>
        <v>PDF</v>
      </c>
      <c r="D3036" s="5" t="s">
        <v>27296</v>
      </c>
      <c r="E3036" s="5" t="s">
        <v>27297</v>
      </c>
      <c r="F3036" s="5" t="s">
        <v>27298</v>
      </c>
      <c r="G3036" s="5" t="s">
        <v>27299</v>
      </c>
      <c r="H3036" s="1" t="s">
        <v>27300</v>
      </c>
      <c r="I3036" s="5" t="s">
        <v>27301</v>
      </c>
      <c r="J3036" s="7">
        <v>10</v>
      </c>
      <c r="K3036" s="7">
        <v>9</v>
      </c>
      <c r="L3036" s="5" t="s">
        <v>27302</v>
      </c>
      <c r="M3036" s="7">
        <v>1</v>
      </c>
      <c r="N3036" s="7">
        <v>0.5</v>
      </c>
      <c r="O3036" s="7">
        <v>0.71499999999999997</v>
      </c>
      <c r="P3036" s="1" t="s">
        <v>27303</v>
      </c>
    </row>
    <row r="3037" spans="1:16" ht="33.4" x14ac:dyDescent="0.3">
      <c r="A3037" s="6" t="str">
        <f>HYPERLINK("https://www.ti.com/product/TPS62231-Q1", "TPS62231-Q1")</f>
        <v>TPS62231-Q1</v>
      </c>
      <c r="B3037" s="5" t="s">
        <v>27304</v>
      </c>
      <c r="C3037" s="6" t="str">
        <f>HYPERLINK("https://www.ti.com/lit/gpn/TPS62231-Q1", "PDF")</f>
        <v>PDF</v>
      </c>
      <c r="D3037" s="5" t="s">
        <v>27305</v>
      </c>
      <c r="E3037" s="5" t="s">
        <v>27306</v>
      </c>
      <c r="F3037" s="5" t="s">
        <v>27307</v>
      </c>
      <c r="G3037" s="5" t="s">
        <v>27308</v>
      </c>
      <c r="H3037" s="1" t="s">
        <v>27309</v>
      </c>
      <c r="I3037" s="5" t="s">
        <v>27310</v>
      </c>
      <c r="J3037" s="7">
        <v>6</v>
      </c>
      <c r="K3037" s="7">
        <v>1.45</v>
      </c>
      <c r="L3037" s="5" t="s">
        <v>27311</v>
      </c>
      <c r="M3037" s="7">
        <v>0.6</v>
      </c>
      <c r="N3037" s="7">
        <v>0.5</v>
      </c>
      <c r="O3037" s="7">
        <v>0.59199999999999997</v>
      </c>
      <c r="P3037" s="1" t="s">
        <v>27312</v>
      </c>
    </row>
    <row r="3038" spans="1:16" ht="33.4" x14ac:dyDescent="0.3">
      <c r="A3038" s="6" t="str">
        <f>HYPERLINK("https://www.ti.com/product/TPS622314-Q1", "TPS622314-Q1")</f>
        <v>TPS622314-Q1</v>
      </c>
      <c r="B3038" s="5" t="s">
        <v>27313</v>
      </c>
      <c r="C3038" s="6" t="str">
        <f>HYPERLINK("https://www.ti.com/lit/gpn/TPS622314-Q1", "PDF")</f>
        <v>PDF</v>
      </c>
      <c r="D3038" s="5" t="s">
        <v>27314</v>
      </c>
      <c r="E3038" s="5" t="s">
        <v>27315</v>
      </c>
      <c r="F3038" s="5" t="s">
        <v>27316</v>
      </c>
      <c r="G3038" s="5" t="s">
        <v>27317</v>
      </c>
      <c r="H3038" s="1" t="s">
        <v>27318</v>
      </c>
      <c r="I3038" s="5" t="s">
        <v>27319</v>
      </c>
      <c r="J3038" s="7">
        <v>6</v>
      </c>
      <c r="K3038" s="7">
        <v>1.45</v>
      </c>
      <c r="L3038" s="5" t="s">
        <v>27320</v>
      </c>
      <c r="M3038" s="7">
        <v>0.6</v>
      </c>
      <c r="N3038" s="7">
        <v>0.5</v>
      </c>
      <c r="O3038" s="7">
        <v>0.59199999999999997</v>
      </c>
      <c r="P3038" s="1" t="s">
        <v>27321</v>
      </c>
    </row>
    <row r="3039" spans="1:16" ht="33.4" x14ac:dyDescent="0.3">
      <c r="A3039" s="6" t="str">
        <f>HYPERLINK("https://www.ti.com/product/TPS63060", "TPS63060")</f>
        <v>TPS63060</v>
      </c>
      <c r="B3039" s="5" t="s">
        <v>27322</v>
      </c>
      <c r="C3039" s="6" t="str">
        <f>HYPERLINK("https://www.ti.com/lit/gpn/TPS63060", "PDF")</f>
        <v>PDF</v>
      </c>
      <c r="D3039" s="5" t="s">
        <v>27323</v>
      </c>
      <c r="E3039" s="5" t="s">
        <v>27324</v>
      </c>
      <c r="F3039" s="5" t="s">
        <v>27325</v>
      </c>
      <c r="G3039" s="5" t="s">
        <v>27326</v>
      </c>
      <c r="H3039" s="1" t="s">
        <v>27327</v>
      </c>
      <c r="I3039" s="5" t="s">
        <v>27328</v>
      </c>
      <c r="J3039" s="7">
        <v>10</v>
      </c>
      <c r="K3039" s="7">
        <v>9</v>
      </c>
      <c r="L3039" s="5" t="s">
        <v>27329</v>
      </c>
      <c r="M3039" s="7">
        <v>0.8</v>
      </c>
      <c r="N3039" s="7">
        <v>0.5</v>
      </c>
      <c r="O3039" s="7">
        <v>1.133</v>
      </c>
      <c r="P3039" s="1" t="s">
        <v>27330</v>
      </c>
    </row>
    <row r="3040" spans="1:16" ht="33.4" x14ac:dyDescent="0.3">
      <c r="A3040" s="6" t="str">
        <f>HYPERLINK("https://www.ti.com/product/TPS63061", "TPS63061")</f>
        <v>TPS63061</v>
      </c>
      <c r="B3040" s="5" t="s">
        <v>27331</v>
      </c>
      <c r="C3040" s="6" t="str">
        <f>HYPERLINK("https://www.ti.com/lit/gpn/TPS63061", "PDF")</f>
        <v>PDF</v>
      </c>
      <c r="D3040" s="5" t="s">
        <v>27332</v>
      </c>
      <c r="E3040" s="5" t="s">
        <v>27333</v>
      </c>
      <c r="F3040" s="5" t="s">
        <v>27334</v>
      </c>
      <c r="G3040" s="5" t="s">
        <v>27335</v>
      </c>
      <c r="H3040" s="1" t="s">
        <v>27336</v>
      </c>
      <c r="I3040" s="5" t="s">
        <v>27337</v>
      </c>
      <c r="J3040" s="7">
        <v>10</v>
      </c>
      <c r="K3040" s="7">
        <v>9</v>
      </c>
      <c r="L3040" s="5" t="s">
        <v>27338</v>
      </c>
      <c r="M3040" s="7">
        <v>0.8</v>
      </c>
      <c r="N3040" s="7">
        <v>0.5</v>
      </c>
      <c r="O3040" s="7">
        <v>1.133</v>
      </c>
      <c r="P3040" s="1" t="s">
        <v>27339</v>
      </c>
    </row>
    <row r="3041" spans="1:16" ht="33.4" x14ac:dyDescent="0.3">
      <c r="A3041" s="6" t="str">
        <f>HYPERLINK("https://www.ti.com/product/TPS73433-Q1", "TPS73433-Q1")</f>
        <v>TPS73433-Q1</v>
      </c>
      <c r="B3041" s="5" t="s">
        <v>27340</v>
      </c>
      <c r="C3041" s="6" t="str">
        <f>HYPERLINK("https://www.ti.com/lit/gpn/TPS73433-Q1", "PDF")</f>
        <v>PDF</v>
      </c>
      <c r="D3041" s="5" t="s">
        <v>27341</v>
      </c>
      <c r="E3041" s="5" t="s">
        <v>27342</v>
      </c>
      <c r="F3041" s="5"/>
      <c r="G3041" s="5" t="s">
        <v>27343</v>
      </c>
      <c r="H3041" s="1" t="s">
        <v>27344</v>
      </c>
      <c r="I3041" s="5" t="s">
        <v>27345</v>
      </c>
      <c r="J3041" s="7">
        <v>5</v>
      </c>
      <c r="K3041" s="7">
        <v>8.1199999999999992</v>
      </c>
      <c r="L3041" s="5" t="s">
        <v>27346</v>
      </c>
      <c r="M3041" s="7">
        <v>1.1000000000000001</v>
      </c>
      <c r="N3041" s="7">
        <v>0.95</v>
      </c>
      <c r="O3041" s="7">
        <v>0.502</v>
      </c>
      <c r="P3041" s="1" t="s">
        <v>27347</v>
      </c>
    </row>
    <row r="3042" spans="1:16" ht="33.4" x14ac:dyDescent="0.3">
      <c r="A3042" s="6" t="str">
        <f>HYPERLINK("https://www.ti.com/product/CSD16327Q3", "CSD16327Q3")</f>
        <v>CSD16327Q3</v>
      </c>
      <c r="B3042" s="5" t="s">
        <v>27348</v>
      </c>
      <c r="C3042" s="6" t="str">
        <f>HYPERLINK("https://www.ti.com/lit/gpn/CSD16327Q3", "PDF")</f>
        <v>PDF</v>
      </c>
      <c r="D3042" s="5" t="s">
        <v>27349</v>
      </c>
      <c r="E3042" s="5" t="s">
        <v>27350</v>
      </c>
      <c r="F3042" s="5"/>
      <c r="G3042" s="5" t="s">
        <v>27351</v>
      </c>
      <c r="H3042" s="1" t="s">
        <v>27352</v>
      </c>
      <c r="I3042" s="5" t="s">
        <v>27353</v>
      </c>
      <c r="J3042" s="7">
        <v>8</v>
      </c>
      <c r="K3042" s="7">
        <v>10.89</v>
      </c>
      <c r="L3042" s="5" t="s">
        <v>27354</v>
      </c>
      <c r="M3042" s="7">
        <v>1.1000000000000001</v>
      </c>
      <c r="N3042" s="7">
        <v>0.65</v>
      </c>
      <c r="O3042" s="7">
        <v>0.31900000000000001</v>
      </c>
      <c r="P3042" s="1" t="s">
        <v>27355</v>
      </c>
    </row>
    <row r="3043" spans="1:16" ht="33.4" x14ac:dyDescent="0.3">
      <c r="A3043" s="6" t="str">
        <f>HYPERLINK("https://www.ti.com/product/TPIC74101-Q1", "TPIC74101-Q1")</f>
        <v>TPIC74101-Q1</v>
      </c>
      <c r="B3043" s="5" t="s">
        <v>27356</v>
      </c>
      <c r="C3043" s="6" t="str">
        <f>HYPERLINK("https://www.ti.com/lit/gpn/TPIC74101-Q1", "PDF")</f>
        <v>PDF</v>
      </c>
      <c r="D3043" s="5" t="s">
        <v>27357</v>
      </c>
      <c r="E3043" s="5" t="s">
        <v>27358</v>
      </c>
      <c r="F3043" s="5" t="s">
        <v>27359</v>
      </c>
      <c r="G3043" s="5" t="s">
        <v>27360</v>
      </c>
      <c r="H3043" s="1" t="s">
        <v>27361</v>
      </c>
      <c r="I3043" s="5" t="s">
        <v>27362</v>
      </c>
      <c r="J3043" s="7">
        <v>20</v>
      </c>
      <c r="K3043" s="7">
        <v>41.6</v>
      </c>
      <c r="L3043" s="5" t="s">
        <v>27363</v>
      </c>
      <c r="M3043" s="7">
        <v>1.2</v>
      </c>
      <c r="N3043" s="7">
        <v>0.65</v>
      </c>
      <c r="O3043" s="7">
        <v>1.798</v>
      </c>
      <c r="P3043" s="1" t="s">
        <v>27364</v>
      </c>
    </row>
    <row r="3044" spans="1:16" ht="33.4" x14ac:dyDescent="0.3">
      <c r="A3044" s="6" t="str">
        <f>HYPERLINK("https://www.ti.com/product/TPS28225-Q1", "TPS28225-Q1")</f>
        <v>TPS28225-Q1</v>
      </c>
      <c r="B3044" s="5" t="s">
        <v>27365</v>
      </c>
      <c r="C3044" s="6" t="str">
        <f>HYPERLINK("https://www.ti.com/lit/gpn/TPS28225-Q1", "PDF")</f>
        <v>PDF</v>
      </c>
      <c r="D3044" s="5" t="s">
        <v>27366</v>
      </c>
      <c r="E3044" s="5" t="s">
        <v>27367</v>
      </c>
      <c r="F3044" s="5"/>
      <c r="G3044" s="5" t="s">
        <v>27368</v>
      </c>
      <c r="H3044" s="1" t="s">
        <v>27369</v>
      </c>
      <c r="I3044" s="5" t="s">
        <v>27370</v>
      </c>
      <c r="J3044" s="7">
        <v>8</v>
      </c>
      <c r="K3044" s="7" t="s">
        <v>27371</v>
      </c>
      <c r="L3044" s="5" t="s">
        <v>27372</v>
      </c>
      <c r="M3044" s="7" t="s">
        <v>27373</v>
      </c>
      <c r="N3044" s="7" t="s">
        <v>27374</v>
      </c>
      <c r="O3044" s="7">
        <v>0.752</v>
      </c>
      <c r="P3044" s="1" t="s">
        <v>27375</v>
      </c>
    </row>
    <row r="3045" spans="1:16" ht="33.4" x14ac:dyDescent="0.3">
      <c r="A3045" s="6" t="str">
        <f>HYPERLINK("https://www.ti.com/product/TPS43340-Q1", "TPS43340-Q1")</f>
        <v>TPS43340-Q1</v>
      </c>
      <c r="B3045" s="5" t="s">
        <v>27376</v>
      </c>
      <c r="C3045" s="6" t="str">
        <f>HYPERLINK("https://www.ti.com/lit/gpn/TPS43340-Q1", "PDF")</f>
        <v>PDF</v>
      </c>
      <c r="D3045" s="5" t="s">
        <v>27377</v>
      </c>
      <c r="E3045" s="5" t="s">
        <v>27378</v>
      </c>
      <c r="F3045" s="5"/>
      <c r="G3045" s="5" t="s">
        <v>27379</v>
      </c>
      <c r="H3045" s="1" t="s">
        <v>27380</v>
      </c>
      <c r="I3045" s="5" t="s">
        <v>27381</v>
      </c>
      <c r="J3045" s="7">
        <v>48</v>
      </c>
      <c r="K3045" s="7">
        <v>81</v>
      </c>
      <c r="L3045" s="5" t="s">
        <v>27382</v>
      </c>
      <c r="M3045" s="7">
        <v>1.2</v>
      </c>
      <c r="N3045" s="7">
        <v>0.5</v>
      </c>
      <c r="O3045" s="7">
        <v>4.3129999999999997</v>
      </c>
      <c r="P3045" s="1" t="s">
        <v>27383</v>
      </c>
    </row>
    <row r="3046" spans="1:16" ht="33.4" x14ac:dyDescent="0.3">
      <c r="A3046" s="6" t="str">
        <f>HYPERLINK("https://www.ti.com/product/TPS53316", "TPS53316")</f>
        <v>TPS53316</v>
      </c>
      <c r="B3046" s="5" t="s">
        <v>27384</v>
      </c>
      <c r="C3046" s="6" t="str">
        <f>HYPERLINK("https://www.ti.com/lit/gpn/TPS53316", "PDF")</f>
        <v>PDF</v>
      </c>
      <c r="D3046" s="5" t="s">
        <v>27385</v>
      </c>
      <c r="E3046" s="5" t="s">
        <v>27386</v>
      </c>
      <c r="F3046" s="5" t="s">
        <v>27387</v>
      </c>
      <c r="G3046" s="5" t="s">
        <v>27388</v>
      </c>
      <c r="H3046" s="1" t="s">
        <v>27389</v>
      </c>
      <c r="I3046" s="5" t="s">
        <v>27390</v>
      </c>
      <c r="J3046" s="7">
        <v>16</v>
      </c>
      <c r="K3046" s="7">
        <v>9</v>
      </c>
      <c r="L3046" s="5" t="s">
        <v>27391</v>
      </c>
      <c r="M3046" s="7">
        <v>1</v>
      </c>
      <c r="N3046" s="7">
        <v>0.5</v>
      </c>
      <c r="O3046" s="7">
        <v>0.92400000000000004</v>
      </c>
      <c r="P3046" s="1" t="s">
        <v>27392</v>
      </c>
    </row>
    <row r="3047" spans="1:16" ht="33.4" x14ac:dyDescent="0.3">
      <c r="A3047" s="6" t="str">
        <f>HYPERLINK("https://www.ti.com/product/LM25118", "LM25118")</f>
        <v>LM25118</v>
      </c>
      <c r="B3047" s="5" t="s">
        <v>27393</v>
      </c>
      <c r="C3047" s="6" t="str">
        <f>HYPERLINK("https://www.ti.com/lit/gpn/LM25118", "PDF")</f>
        <v>PDF</v>
      </c>
      <c r="D3047" s="5" t="s">
        <v>27394</v>
      </c>
      <c r="E3047" s="5" t="s">
        <v>27395</v>
      </c>
      <c r="F3047" s="5" t="s">
        <v>27396</v>
      </c>
      <c r="G3047" s="5" t="s">
        <v>27397</v>
      </c>
      <c r="H3047" s="1" t="s">
        <v>27398</v>
      </c>
      <c r="I3047" s="5" t="s">
        <v>27399</v>
      </c>
      <c r="J3047" s="7">
        <v>20</v>
      </c>
      <c r="K3047" s="7">
        <v>41.6</v>
      </c>
      <c r="L3047" s="5" t="s">
        <v>27400</v>
      </c>
      <c r="M3047" s="7">
        <v>1.2</v>
      </c>
      <c r="N3047" s="7">
        <v>0.65</v>
      </c>
      <c r="O3047" s="7">
        <v>2.226</v>
      </c>
      <c r="P3047" s="1" t="s">
        <v>27401</v>
      </c>
    </row>
    <row r="3048" spans="1:16" ht="33.4" x14ac:dyDescent="0.3">
      <c r="A3048" s="6" t="str">
        <f>HYPERLINK("https://www.ti.com/product/TPS51518", "TPS51518")</f>
        <v>TPS51518</v>
      </c>
      <c r="B3048" s="5" t="s">
        <v>27402</v>
      </c>
      <c r="C3048" s="6" t="str">
        <f>HYPERLINK("https://www.ti.com/lit/gpn/TPS51518", "PDF")</f>
        <v>PDF</v>
      </c>
      <c r="D3048" s="5" t="s">
        <v>27403</v>
      </c>
      <c r="E3048" s="5" t="s">
        <v>27404</v>
      </c>
      <c r="F3048" s="5" t="s">
        <v>27405</v>
      </c>
      <c r="G3048" s="5" t="s">
        <v>27406</v>
      </c>
      <c r="H3048" s="1" t="s">
        <v>27407</v>
      </c>
      <c r="I3048" s="5" t="s">
        <v>27408</v>
      </c>
      <c r="J3048" s="7">
        <v>20</v>
      </c>
      <c r="K3048" s="7">
        <v>9</v>
      </c>
      <c r="L3048" s="5" t="s">
        <v>27409</v>
      </c>
      <c r="M3048" s="7">
        <v>0.8</v>
      </c>
      <c r="N3048" s="7">
        <v>0.4</v>
      </c>
      <c r="O3048" s="7">
        <v>0.65900000000000003</v>
      </c>
      <c r="P3048" s="1" t="s">
        <v>27410</v>
      </c>
    </row>
    <row r="3049" spans="1:16" ht="33.4" x14ac:dyDescent="0.3">
      <c r="A3049" s="6" t="str">
        <f>HYPERLINK("https://www.ti.com/product/TPS7A8101", "TPS7A8101")</f>
        <v>TPS7A8101</v>
      </c>
      <c r="B3049" s="5" t="s">
        <v>27411</v>
      </c>
      <c r="C3049" s="6" t="str">
        <f>HYPERLINK("https://www.ti.com/lit/gpn/TPS7A8101", "PDF")</f>
        <v>PDF</v>
      </c>
      <c r="D3049" s="5" t="s">
        <v>27412</v>
      </c>
      <c r="E3049" s="5" t="s">
        <v>27413</v>
      </c>
      <c r="F3049" s="5"/>
      <c r="G3049" s="5" t="s">
        <v>27414</v>
      </c>
      <c r="H3049" s="1" t="s">
        <v>27415</v>
      </c>
      <c r="I3049" s="5" t="s">
        <v>27416</v>
      </c>
      <c r="J3049" s="7">
        <v>8</v>
      </c>
      <c r="K3049" s="7">
        <v>9</v>
      </c>
      <c r="L3049" s="5" t="s">
        <v>27417</v>
      </c>
      <c r="M3049" s="7">
        <v>1</v>
      </c>
      <c r="N3049" s="7">
        <v>0.65</v>
      </c>
      <c r="O3049" s="7">
        <v>1.274</v>
      </c>
      <c r="P3049" s="1" t="s">
        <v>27418</v>
      </c>
    </row>
    <row r="3050" spans="1:16" ht="17.05" x14ac:dyDescent="0.3">
      <c r="A3050" s="6" t="str">
        <f>HYPERLINK("https://www.ti.com/product/TPS22980", "TPS22980")</f>
        <v>TPS22980</v>
      </c>
      <c r="B3050" s="5" t="s">
        <v>27419</v>
      </c>
      <c r="C3050" s="6" t="str">
        <f>HYPERLINK("https://www.ti.com/lit/gpn/TPS22980", "PDF")</f>
        <v>PDF</v>
      </c>
      <c r="D3050" s="5" t="s">
        <v>27420</v>
      </c>
      <c r="E3050" s="5" t="s">
        <v>27421</v>
      </c>
      <c r="F3050" s="5"/>
      <c r="G3050" s="5" t="s">
        <v>27422</v>
      </c>
      <c r="H3050" s="1" t="s">
        <v>27423</v>
      </c>
      <c r="I3050" s="5" t="s">
        <v>27424</v>
      </c>
      <c r="J3050" s="7">
        <v>20</v>
      </c>
      <c r="K3050" s="7">
        <v>16</v>
      </c>
      <c r="L3050" s="5" t="s">
        <v>27425</v>
      </c>
      <c r="M3050" s="7">
        <v>1</v>
      </c>
      <c r="N3050" s="7">
        <v>0.5</v>
      </c>
      <c r="O3050" s="7">
        <v>1.2250000000000001</v>
      </c>
      <c r="P3050" s="1" t="s">
        <v>27426</v>
      </c>
    </row>
    <row r="3051" spans="1:16" ht="33.4" x14ac:dyDescent="0.3">
      <c r="A3051" s="6" t="str">
        <f>HYPERLINK("https://www.ti.com/product/LP2953QML", "LP2953QML")</f>
        <v>LP2953QML</v>
      </c>
      <c r="B3051" s="5" t="s">
        <v>27427</v>
      </c>
      <c r="C3051" s="6" t="str">
        <f>HYPERLINK("https://www.ti.com/lit/gpn/LP2953QML", "PDF")</f>
        <v>PDF</v>
      </c>
      <c r="D3051" s="5" t="s">
        <v>27428</v>
      </c>
      <c r="E3051" s="5" t="s">
        <v>27429</v>
      </c>
      <c r="F3051" s="5"/>
      <c r="G3051" s="5" t="s">
        <v>27430</v>
      </c>
      <c r="H3051" s="1" t="s">
        <v>27431</v>
      </c>
      <c r="I3051" s="5" t="s">
        <v>27432</v>
      </c>
      <c r="J3051" s="7">
        <v>16</v>
      </c>
      <c r="K3051" s="7">
        <v>62.9285</v>
      </c>
      <c r="L3051" s="5" t="s">
        <v>27433</v>
      </c>
      <c r="M3051" s="7">
        <v>2.0299999999999998</v>
      </c>
      <c r="N3051" s="7">
        <v>1.27</v>
      </c>
      <c r="O3051" s="7">
        <v>100.536</v>
      </c>
      <c r="P3051" s="1" t="s">
        <v>27434</v>
      </c>
    </row>
    <row r="3052" spans="1:16" ht="33.4" x14ac:dyDescent="0.3">
      <c r="A3052" s="6" t="str">
        <f>HYPERLINK("https://www.ti.com/product/TLV701", "TLV701")</f>
        <v>TLV701</v>
      </c>
      <c r="B3052" s="5" t="s">
        <v>27435</v>
      </c>
      <c r="C3052" s="6" t="str">
        <f>HYPERLINK("https://www.ti.com/lit/gpn/TLV701", "PDF")</f>
        <v>PDF</v>
      </c>
      <c r="D3052" s="5" t="s">
        <v>27436</v>
      </c>
      <c r="E3052" s="5" t="s">
        <v>27437</v>
      </c>
      <c r="F3052" s="5"/>
      <c r="G3052" s="5" t="s">
        <v>27438</v>
      </c>
      <c r="H3052" s="1" t="s">
        <v>27439</v>
      </c>
      <c r="I3052" s="5" t="s">
        <v>27440</v>
      </c>
      <c r="J3052" s="7">
        <v>5</v>
      </c>
      <c r="K3052" s="7">
        <v>8.1199999999999992</v>
      </c>
      <c r="L3052" s="5" t="s">
        <v>27441</v>
      </c>
      <c r="M3052" s="7">
        <v>1.45</v>
      </c>
      <c r="N3052" s="7">
        <v>0.95</v>
      </c>
      <c r="O3052" s="7">
        <v>0.19700000000000001</v>
      </c>
      <c r="P3052" s="1" t="s">
        <v>27442</v>
      </c>
    </row>
    <row r="3053" spans="1:16" ht="33.4" x14ac:dyDescent="0.3">
      <c r="A3053" s="6" t="str">
        <f>HYPERLINK("https://www.ti.com/product/TPS7A4101", "TPS7A4101")</f>
        <v>TPS7A4101</v>
      </c>
      <c r="B3053" s="5" t="s">
        <v>27443</v>
      </c>
      <c r="C3053" s="6" t="str">
        <f>HYPERLINK("https://www.ti.com/lit/gpn/TPS7A4101", "PDF")</f>
        <v>PDF</v>
      </c>
      <c r="D3053" s="5" t="s">
        <v>27444</v>
      </c>
      <c r="E3053" s="5" t="s">
        <v>27445</v>
      </c>
      <c r="F3053" s="5"/>
      <c r="G3053" s="5" t="s">
        <v>27446</v>
      </c>
      <c r="H3053" s="1" t="s">
        <v>27447</v>
      </c>
      <c r="I3053" s="5" t="s">
        <v>27448</v>
      </c>
      <c r="J3053" s="7">
        <v>8</v>
      </c>
      <c r="K3053" s="7">
        <v>14.7</v>
      </c>
      <c r="L3053" s="5" t="s">
        <v>27449</v>
      </c>
      <c r="M3053" s="7">
        <v>1.1000000000000001</v>
      </c>
      <c r="N3053" s="7">
        <v>0.65</v>
      </c>
      <c r="O3053" s="7">
        <v>0.309</v>
      </c>
      <c r="P3053" s="1" t="s">
        <v>27450</v>
      </c>
    </row>
    <row r="3054" spans="1:16" ht="33.4" x14ac:dyDescent="0.3">
      <c r="A3054" s="6" t="str">
        <f>HYPERLINK("https://www.ti.com/product/TPS7A4201", "TPS7A4201")</f>
        <v>TPS7A4201</v>
      </c>
      <c r="B3054" s="5" t="s">
        <v>27451</v>
      </c>
      <c r="C3054" s="6" t="str">
        <f>HYPERLINK("https://www.ti.com/lit/gpn/TPS7A4201", "PDF")</f>
        <v>PDF</v>
      </c>
      <c r="D3054" s="5" t="s">
        <v>27452</v>
      </c>
      <c r="E3054" s="5" t="s">
        <v>27453</v>
      </c>
      <c r="F3054" s="5"/>
      <c r="G3054" s="5" t="s">
        <v>27454</v>
      </c>
      <c r="H3054" s="1" t="s">
        <v>27455</v>
      </c>
      <c r="I3054" s="5" t="s">
        <v>27456</v>
      </c>
      <c r="J3054" s="7">
        <v>8</v>
      </c>
      <c r="K3054" s="7">
        <v>14.7</v>
      </c>
      <c r="L3054" s="5" t="s">
        <v>27457</v>
      </c>
      <c r="M3054" s="7">
        <v>1.1000000000000001</v>
      </c>
      <c r="N3054" s="7">
        <v>0.65</v>
      </c>
      <c r="O3054" s="7">
        <v>0.317</v>
      </c>
      <c r="P3054" s="1" t="s">
        <v>27458</v>
      </c>
    </row>
    <row r="3055" spans="1:16" ht="33.4" x14ac:dyDescent="0.3">
      <c r="A3055" s="6" t="str">
        <f>HYPERLINK("https://www.ti.com/product/TPS84621", "TPS84621")</f>
        <v>TPS84621</v>
      </c>
      <c r="B3055" s="5" t="s">
        <v>27459</v>
      </c>
      <c r="C3055" s="6" t="str">
        <f>HYPERLINK("https://www.ti.com/lit/gpn/TPS84621", "PDF")</f>
        <v>PDF</v>
      </c>
      <c r="D3055" s="5" t="s">
        <v>27460</v>
      </c>
      <c r="E3055" s="5" t="s">
        <v>27461</v>
      </c>
      <c r="F3055" s="5" t="s">
        <v>27462</v>
      </c>
      <c r="G3055" s="5" t="s">
        <v>27463</v>
      </c>
      <c r="H3055" s="1" t="s">
        <v>27464</v>
      </c>
      <c r="I3055" s="5" t="s">
        <v>27465</v>
      </c>
      <c r="J3055" s="7">
        <v>47</v>
      </c>
      <c r="K3055" s="7">
        <v>135</v>
      </c>
      <c r="L3055" s="5" t="s">
        <v>27466</v>
      </c>
      <c r="M3055" s="7">
        <v>2.9</v>
      </c>
      <c r="N3055" s="7">
        <v>0.9</v>
      </c>
      <c r="O3055" s="7">
        <v>6.5780000000000003</v>
      </c>
      <c r="P3055" s="1" t="s">
        <v>27467</v>
      </c>
    </row>
    <row r="3056" spans="1:16" ht="66.150000000000006" x14ac:dyDescent="0.3">
      <c r="A3056" s="6" t="str">
        <f>HYPERLINK("https://www.ti.com/product/UCC27524", "UCC27524")</f>
        <v>UCC27524</v>
      </c>
      <c r="B3056" s="5" t="s">
        <v>27468</v>
      </c>
      <c r="C3056" s="6" t="str">
        <f>HYPERLINK("https://www.ti.com/lit/gpn/UCC27524", "PDF")</f>
        <v>PDF</v>
      </c>
      <c r="D3056" s="5" t="s">
        <v>27469</v>
      </c>
      <c r="E3056" s="5" t="s">
        <v>27470</v>
      </c>
      <c r="F3056" s="5"/>
      <c r="G3056" s="5" t="s">
        <v>27471</v>
      </c>
      <c r="H3056" s="1" t="s">
        <v>27472</v>
      </c>
      <c r="I3056" s="5" t="s">
        <v>27473</v>
      </c>
      <c r="J3056" s="7">
        <v>8</v>
      </c>
      <c r="K3056" s="7" t="s">
        <v>27474</v>
      </c>
      <c r="L3056" s="5" t="s">
        <v>27475</v>
      </c>
      <c r="M3056" s="7" t="s">
        <v>27476</v>
      </c>
      <c r="N3056" s="7" t="s">
        <v>27477</v>
      </c>
      <c r="O3056" s="7">
        <v>0.47499999999999998</v>
      </c>
      <c r="P3056" s="1" t="s">
        <v>27478</v>
      </c>
    </row>
    <row r="3057" spans="1:16" ht="33.4" x14ac:dyDescent="0.3">
      <c r="A3057" s="6" t="str">
        <f>HYPERLINK("https://www.ti.com/product/TPS658643", "TPS658643")</f>
        <v>TPS658643</v>
      </c>
      <c r="B3057" s="5" t="s">
        <v>27479</v>
      </c>
      <c r="C3057" s="6" t="str">
        <f>HYPERLINK("https://www.ti.com/lit/gpn/TPS658643", "PDF")</f>
        <v>PDF</v>
      </c>
      <c r="D3057" s="5" t="s">
        <v>27480</v>
      </c>
      <c r="E3057" s="5" t="s">
        <v>27481</v>
      </c>
      <c r="F3057" s="5"/>
      <c r="G3057" s="5" t="s">
        <v>27482</v>
      </c>
      <c r="H3057" s="1" t="s">
        <v>27483</v>
      </c>
      <c r="I3057" s="5" t="s">
        <v>27484</v>
      </c>
      <c r="J3057" s="7">
        <v>169</v>
      </c>
      <c r="K3057" s="7">
        <v>144</v>
      </c>
      <c r="L3057" s="5" t="s">
        <v>27485</v>
      </c>
      <c r="M3057" s="7">
        <v>1.4</v>
      </c>
      <c r="N3057" s="7">
        <v>0.8</v>
      </c>
      <c r="O3057" s="7">
        <v>5.5110000000000001</v>
      </c>
      <c r="P3057" s="1" t="s">
        <v>27486</v>
      </c>
    </row>
    <row r="3058" spans="1:16" ht="49.75" x14ac:dyDescent="0.3">
      <c r="A3058" s="6" t="str">
        <f>HYPERLINK("https://www.ti.com/product/LM3671-Q1", "LM3671-Q1")</f>
        <v>LM3671-Q1</v>
      </c>
      <c r="B3058" s="5" t="s">
        <v>27487</v>
      </c>
      <c r="C3058" s="6" t="str">
        <f>HYPERLINK("https://www.ti.com/lit/gpn/LM3671-Q1", "PDF")</f>
        <v>PDF</v>
      </c>
      <c r="D3058" s="5" t="s">
        <v>27488</v>
      </c>
      <c r="E3058" s="5" t="s">
        <v>27489</v>
      </c>
      <c r="F3058" s="5" t="s">
        <v>27490</v>
      </c>
      <c r="G3058" s="5" t="s">
        <v>27491</v>
      </c>
      <c r="H3058" s="1" t="s">
        <v>27492</v>
      </c>
      <c r="I3058" s="5" t="s">
        <v>27493</v>
      </c>
      <c r="J3058" s="7">
        <v>5</v>
      </c>
      <c r="K3058" s="7" t="s">
        <v>27494</v>
      </c>
      <c r="L3058" s="5" t="s">
        <v>27495</v>
      </c>
      <c r="M3058" s="7" t="s">
        <v>27496</v>
      </c>
      <c r="N3058" s="7" t="s">
        <v>27497</v>
      </c>
      <c r="O3058" s="7">
        <v>0.63</v>
      </c>
      <c r="P3058" s="1" t="s">
        <v>27498</v>
      </c>
    </row>
    <row r="3059" spans="1:16" ht="33.4" x14ac:dyDescent="0.3">
      <c r="A3059" s="6" t="str">
        <f>HYPERLINK("https://www.ti.com/product/TPS43332-Q1", "TPS43332-Q1")</f>
        <v>TPS43332-Q1</v>
      </c>
      <c r="B3059" s="5" t="s">
        <v>27499</v>
      </c>
      <c r="C3059" s="6" t="str">
        <f>HYPERLINK("https://www.ti.com/lit/gpn/TPS43332-Q1", "PDF")</f>
        <v>PDF</v>
      </c>
      <c r="D3059" s="5" t="s">
        <v>27500</v>
      </c>
      <c r="E3059" s="5" t="s">
        <v>27501</v>
      </c>
      <c r="F3059" s="5"/>
      <c r="G3059" s="5" t="s">
        <v>27502</v>
      </c>
      <c r="H3059" s="1" t="s">
        <v>27503</v>
      </c>
      <c r="I3059" s="5" t="s">
        <v>27504</v>
      </c>
      <c r="J3059" s="7">
        <v>38</v>
      </c>
      <c r="K3059" s="7">
        <v>101.25</v>
      </c>
      <c r="L3059" s="5" t="s">
        <v>27505</v>
      </c>
      <c r="M3059" s="7">
        <v>1.2</v>
      </c>
      <c r="N3059" s="7">
        <v>0.65</v>
      </c>
      <c r="O3059" s="7">
        <v>2.5649999999999999</v>
      </c>
      <c r="P3059" s="1" t="s">
        <v>27506</v>
      </c>
    </row>
    <row r="3060" spans="1:16" ht="33.4" x14ac:dyDescent="0.3">
      <c r="A3060" s="6" t="str">
        <f>HYPERLINK("https://www.ti.com/product/TPS54294", "TPS54294")</f>
        <v>TPS54294</v>
      </c>
      <c r="B3060" s="5" t="s">
        <v>27507</v>
      </c>
      <c r="C3060" s="6" t="str">
        <f>HYPERLINK("https://www.ti.com/lit/gpn/TPS54294", "PDF")</f>
        <v>PDF</v>
      </c>
      <c r="D3060" s="5" t="s">
        <v>27508</v>
      </c>
      <c r="E3060" s="5" t="s">
        <v>27509</v>
      </c>
      <c r="F3060" s="5" t="s">
        <v>27510</v>
      </c>
      <c r="G3060" s="5" t="s">
        <v>27511</v>
      </c>
      <c r="H3060" s="1" t="s">
        <v>27512</v>
      </c>
      <c r="I3060" s="5" t="s">
        <v>27513</v>
      </c>
      <c r="J3060" s="7">
        <v>16</v>
      </c>
      <c r="K3060" s="7" t="s">
        <v>27514</v>
      </c>
      <c r="L3060" s="5" t="s">
        <v>27515</v>
      </c>
      <c r="M3060" s="7" t="s">
        <v>27516</v>
      </c>
      <c r="N3060" s="7">
        <v>0.65</v>
      </c>
      <c r="O3060" s="7">
        <v>1.0580000000000001</v>
      </c>
      <c r="P3060" s="1" t="s">
        <v>27517</v>
      </c>
    </row>
    <row r="3061" spans="1:16" ht="33.4" x14ac:dyDescent="0.3">
      <c r="A3061" s="6" t="str">
        <f>HYPERLINK("https://www.ti.com/product/TPS54428", "TPS54428")</f>
        <v>TPS54428</v>
      </c>
      <c r="B3061" s="5" t="s">
        <v>27518</v>
      </c>
      <c r="C3061" s="6" t="str">
        <f>HYPERLINK("https://www.ti.com/lit/gpn/TPS54428", "PDF")</f>
        <v>PDF</v>
      </c>
      <c r="D3061" s="5" t="s">
        <v>27519</v>
      </c>
      <c r="E3061" s="5" t="s">
        <v>27520</v>
      </c>
      <c r="F3061" s="5" t="s">
        <v>27521</v>
      </c>
      <c r="G3061" s="5" t="s">
        <v>27522</v>
      </c>
      <c r="H3061" s="1" t="s">
        <v>27523</v>
      </c>
      <c r="I3061" s="5" t="s">
        <v>27524</v>
      </c>
      <c r="J3061" s="7" t="s">
        <v>27525</v>
      </c>
      <c r="K3061" s="7" t="s">
        <v>27526</v>
      </c>
      <c r="L3061" s="5" t="s">
        <v>27527</v>
      </c>
      <c r="M3061" s="7" t="s">
        <v>27528</v>
      </c>
      <c r="N3061" s="7" t="s">
        <v>27529</v>
      </c>
      <c r="O3061" s="7">
        <v>0.56899999999999995</v>
      </c>
      <c r="P3061" s="1" t="s">
        <v>27530</v>
      </c>
    </row>
    <row r="3062" spans="1:16" ht="33.4" x14ac:dyDescent="0.3">
      <c r="A3062" s="6" t="str">
        <f>HYPERLINK("https://www.ti.com/product/TPS43335-Q1", "TPS43335-Q1")</f>
        <v>TPS43335-Q1</v>
      </c>
      <c r="B3062" s="5" t="s">
        <v>27531</v>
      </c>
      <c r="C3062" s="6" t="str">
        <f>HYPERLINK("https://www.ti.com/lit/gpn/TPS43335-Q1", "PDF")</f>
        <v>PDF</v>
      </c>
      <c r="D3062" s="5" t="s">
        <v>27532</v>
      </c>
      <c r="E3062" s="5" t="s">
        <v>27533</v>
      </c>
      <c r="F3062" s="5"/>
      <c r="G3062" s="5" t="s">
        <v>27534</v>
      </c>
      <c r="H3062" s="1" t="s">
        <v>27535</v>
      </c>
      <c r="I3062" s="5" t="s">
        <v>27536</v>
      </c>
      <c r="J3062" s="7">
        <v>38</v>
      </c>
      <c r="K3062" s="7">
        <v>101.25</v>
      </c>
      <c r="L3062" s="5" t="s">
        <v>27537</v>
      </c>
      <c r="M3062" s="7">
        <v>1.2</v>
      </c>
      <c r="N3062" s="7">
        <v>0.65</v>
      </c>
      <c r="O3062" s="7">
        <v>2.5350000000000001</v>
      </c>
      <c r="P3062" s="1" t="s">
        <v>27538</v>
      </c>
    </row>
    <row r="3063" spans="1:16" ht="33.4" x14ac:dyDescent="0.3">
      <c r="A3063" s="6" t="str">
        <f>HYPERLINK("https://www.ti.com/product/TPS43336-Q1", "TPS43336-Q1")</f>
        <v>TPS43336-Q1</v>
      </c>
      <c r="B3063" s="5" t="s">
        <v>27539</v>
      </c>
      <c r="C3063" s="6" t="str">
        <f>HYPERLINK("https://www.ti.com/lit/gpn/TPS43336-Q1", "PDF")</f>
        <v>PDF</v>
      </c>
      <c r="D3063" s="5" t="s">
        <v>27540</v>
      </c>
      <c r="E3063" s="5" t="s">
        <v>27541</v>
      </c>
      <c r="F3063" s="5"/>
      <c r="G3063" s="5" t="s">
        <v>27542</v>
      </c>
      <c r="H3063" s="1" t="s">
        <v>27543</v>
      </c>
      <c r="I3063" s="5" t="s">
        <v>27544</v>
      </c>
      <c r="J3063" s="7">
        <v>38</v>
      </c>
      <c r="K3063" s="7">
        <v>101.25</v>
      </c>
      <c r="L3063" s="5" t="s">
        <v>27545</v>
      </c>
      <c r="M3063" s="7">
        <v>1.2</v>
      </c>
      <c r="N3063" s="7">
        <v>0.65</v>
      </c>
      <c r="O3063" s="7">
        <v>2.5649999999999999</v>
      </c>
      <c r="P3063" s="1" t="s">
        <v>27546</v>
      </c>
    </row>
    <row r="3064" spans="1:16" ht="17.05" x14ac:dyDescent="0.3">
      <c r="A3064" s="6" t="str">
        <f>HYPERLINK("https://www.ti.com/product/TPS43350-Q1", "TPS43350-Q1")</f>
        <v>TPS43350-Q1</v>
      </c>
      <c r="B3064" s="5" t="s">
        <v>27547</v>
      </c>
      <c r="C3064" s="6" t="str">
        <f>HYPERLINK("https://www.ti.com/lit/gpn/TPS43350-Q1", "PDF")</f>
        <v>PDF</v>
      </c>
      <c r="D3064" s="5" t="s">
        <v>27548</v>
      </c>
      <c r="E3064" s="5" t="s">
        <v>27549</v>
      </c>
      <c r="F3064" s="5"/>
      <c r="G3064" s="5" t="s">
        <v>27550</v>
      </c>
      <c r="H3064" s="1" t="s">
        <v>27551</v>
      </c>
      <c r="I3064" s="5" t="s">
        <v>27552</v>
      </c>
      <c r="J3064" s="7">
        <v>38</v>
      </c>
      <c r="K3064" s="7">
        <v>101.25</v>
      </c>
      <c r="L3064" s="5" t="s">
        <v>27553</v>
      </c>
      <c r="M3064" s="7">
        <v>1.2</v>
      </c>
      <c r="N3064" s="7">
        <v>0.65</v>
      </c>
      <c r="O3064" s="7">
        <v>2.077</v>
      </c>
      <c r="P3064" s="1" t="s">
        <v>27554</v>
      </c>
    </row>
    <row r="3065" spans="1:16" ht="33.4" x14ac:dyDescent="0.3">
      <c r="A3065" s="6" t="str">
        <f>HYPERLINK("https://www.ti.com/product/TPS43351-Q1", "TPS43351-Q1")</f>
        <v>TPS43351-Q1</v>
      </c>
      <c r="B3065" s="5" t="s">
        <v>27555</v>
      </c>
      <c r="C3065" s="6" t="str">
        <f>HYPERLINK("https://www.ti.com/lit/gpn/TPS43351-Q1", "PDF")</f>
        <v>PDF</v>
      </c>
      <c r="D3065" s="5" t="s">
        <v>27556</v>
      </c>
      <c r="E3065" s="5" t="s">
        <v>27557</v>
      </c>
      <c r="F3065" s="5"/>
      <c r="G3065" s="5" t="s">
        <v>27558</v>
      </c>
      <c r="H3065" s="1" t="s">
        <v>27559</v>
      </c>
      <c r="I3065" s="5" t="s">
        <v>27560</v>
      </c>
      <c r="J3065" s="7">
        <v>38</v>
      </c>
      <c r="K3065" s="7">
        <v>101.25</v>
      </c>
      <c r="L3065" s="5" t="s">
        <v>27561</v>
      </c>
      <c r="M3065" s="7">
        <v>1.2</v>
      </c>
      <c r="N3065" s="7">
        <v>0.65</v>
      </c>
      <c r="O3065" s="7">
        <v>2.1070000000000002</v>
      </c>
      <c r="P3065" s="1" t="s">
        <v>27562</v>
      </c>
    </row>
    <row r="3066" spans="1:16" ht="49.75" x14ac:dyDescent="0.3">
      <c r="A3066" s="6" t="str">
        <f>HYPERLINK("https://www.ti.com/product/TPS84610", "TPS84610")</f>
        <v>TPS84610</v>
      </c>
      <c r="B3066" s="5" t="s">
        <v>27563</v>
      </c>
      <c r="C3066" s="6" t="str">
        <f>HYPERLINK("https://www.ti.com/lit/gpn/TPS84610", "PDF")</f>
        <v>PDF</v>
      </c>
      <c r="D3066" s="5" t="s">
        <v>27564</v>
      </c>
      <c r="E3066" s="5" t="s">
        <v>27565</v>
      </c>
      <c r="F3066" s="5" t="s">
        <v>27566</v>
      </c>
      <c r="G3066" s="5" t="s">
        <v>27567</v>
      </c>
      <c r="H3066" s="1" t="s">
        <v>27568</v>
      </c>
      <c r="I3066" s="5" t="s">
        <v>27569</v>
      </c>
      <c r="J3066" s="7">
        <v>39</v>
      </c>
      <c r="K3066" s="7">
        <v>99</v>
      </c>
      <c r="L3066" s="5" t="s">
        <v>27570</v>
      </c>
      <c r="M3066" s="7">
        <v>2.9</v>
      </c>
      <c r="N3066" s="7">
        <v>0.9</v>
      </c>
      <c r="O3066" s="7">
        <v>3.105</v>
      </c>
      <c r="P3066" s="1" t="s">
        <v>27571</v>
      </c>
    </row>
    <row r="3067" spans="1:16" ht="33.4" x14ac:dyDescent="0.3">
      <c r="A3067" s="6" t="str">
        <f>HYPERLINK("https://www.ti.com/product/UCC27211", "UCC27211")</f>
        <v>UCC27211</v>
      </c>
      <c r="B3067" s="5" t="s">
        <v>27572</v>
      </c>
      <c r="C3067" s="6" t="str">
        <f>HYPERLINK("https://www.ti.com/lit/gpn/UCC27211", "PDF")</f>
        <v>PDF</v>
      </c>
      <c r="D3067" s="5" t="s">
        <v>27573</v>
      </c>
      <c r="E3067" s="5" t="s">
        <v>27574</v>
      </c>
      <c r="F3067" s="5"/>
      <c r="G3067" s="5" t="s">
        <v>27575</v>
      </c>
      <c r="H3067" s="1" t="s">
        <v>27576</v>
      </c>
      <c r="I3067" s="5" t="s">
        <v>27577</v>
      </c>
      <c r="J3067" s="7" t="s">
        <v>27578</v>
      </c>
      <c r="K3067" s="7" t="s">
        <v>27579</v>
      </c>
      <c r="L3067" s="5" t="s">
        <v>27580</v>
      </c>
      <c r="M3067" s="7" t="s">
        <v>27581</v>
      </c>
      <c r="N3067" s="7" t="s">
        <v>27582</v>
      </c>
      <c r="O3067" s="7">
        <v>0.82699999999999996</v>
      </c>
      <c r="P3067" s="1" t="s">
        <v>27583</v>
      </c>
    </row>
    <row r="3068" spans="1:16" ht="33.4" x14ac:dyDescent="0.3">
      <c r="A3068" s="6" t="str">
        <f>HYPERLINK("https://www.ti.com/product/TPS62150", "TPS62150")</f>
        <v>TPS62150</v>
      </c>
      <c r="B3068" s="5" t="s">
        <v>27584</v>
      </c>
      <c r="C3068" s="6" t="str">
        <f>HYPERLINK("https://www.ti.com/lit/gpn/TPS62150", "PDF")</f>
        <v>PDF</v>
      </c>
      <c r="D3068" s="5" t="s">
        <v>27585</v>
      </c>
      <c r="E3068" s="5" t="s">
        <v>27586</v>
      </c>
      <c r="F3068" s="5" t="s">
        <v>27587</v>
      </c>
      <c r="G3068" s="5" t="s">
        <v>27588</v>
      </c>
      <c r="H3068" s="1" t="s">
        <v>27589</v>
      </c>
      <c r="I3068" s="5" t="s">
        <v>27590</v>
      </c>
      <c r="J3068" s="7">
        <v>16</v>
      </c>
      <c r="K3068" s="7">
        <v>9</v>
      </c>
      <c r="L3068" s="5" t="s">
        <v>27591</v>
      </c>
      <c r="M3068" s="7">
        <v>1</v>
      </c>
      <c r="N3068" s="7">
        <v>0.5</v>
      </c>
      <c r="O3068" s="7">
        <v>0.57499999999999996</v>
      </c>
      <c r="P3068" s="1" t="s">
        <v>27592</v>
      </c>
    </row>
    <row r="3069" spans="1:16" ht="33.4" x14ac:dyDescent="0.3">
      <c r="A3069" s="6" t="str">
        <f>HYPERLINK("https://www.ti.com/product/TPS62151", "TPS62151")</f>
        <v>TPS62151</v>
      </c>
      <c r="B3069" s="5" t="s">
        <v>27593</v>
      </c>
      <c r="C3069" s="6" t="str">
        <f>HYPERLINK("https://www.ti.com/lit/gpn/TPS62151", "PDF")</f>
        <v>PDF</v>
      </c>
      <c r="D3069" s="5" t="s">
        <v>27594</v>
      </c>
      <c r="E3069" s="5" t="s">
        <v>27595</v>
      </c>
      <c r="F3069" s="5" t="s">
        <v>27596</v>
      </c>
      <c r="G3069" s="5" t="s">
        <v>27597</v>
      </c>
      <c r="H3069" s="1" t="s">
        <v>27598</v>
      </c>
      <c r="I3069" s="5" t="s">
        <v>27599</v>
      </c>
      <c r="J3069" s="7">
        <v>16</v>
      </c>
      <c r="K3069" s="7">
        <v>9</v>
      </c>
      <c r="L3069" s="5" t="s">
        <v>27600</v>
      </c>
      <c r="M3069" s="7">
        <v>1</v>
      </c>
      <c r="N3069" s="7">
        <v>0.5</v>
      </c>
      <c r="O3069" s="7">
        <v>0.57499999999999996</v>
      </c>
      <c r="P3069" s="1" t="s">
        <v>27601</v>
      </c>
    </row>
    <row r="3070" spans="1:16" ht="33.4" x14ac:dyDescent="0.3">
      <c r="A3070" s="6" t="str">
        <f>HYPERLINK("https://www.ti.com/product/TPS62152", "TPS62152")</f>
        <v>TPS62152</v>
      </c>
      <c r="B3070" s="5" t="s">
        <v>27602</v>
      </c>
      <c r="C3070" s="6" t="str">
        <f>HYPERLINK("https://www.ti.com/lit/gpn/TPS62152", "PDF")</f>
        <v>PDF</v>
      </c>
      <c r="D3070" s="5" t="s">
        <v>27603</v>
      </c>
      <c r="E3070" s="5" t="s">
        <v>27604</v>
      </c>
      <c r="F3070" s="5" t="s">
        <v>27605</v>
      </c>
      <c r="G3070" s="5" t="s">
        <v>27606</v>
      </c>
      <c r="H3070" s="1" t="s">
        <v>27607</v>
      </c>
      <c r="I3070" s="5" t="s">
        <v>27608</v>
      </c>
      <c r="J3070" s="7">
        <v>16</v>
      </c>
      <c r="K3070" s="7">
        <v>9</v>
      </c>
      <c r="L3070" s="5" t="s">
        <v>27609</v>
      </c>
      <c r="M3070" s="7">
        <v>1</v>
      </c>
      <c r="N3070" s="7">
        <v>0.5</v>
      </c>
      <c r="O3070" s="7">
        <v>0.57499999999999996</v>
      </c>
      <c r="P3070" s="1" t="s">
        <v>27610</v>
      </c>
    </row>
    <row r="3071" spans="1:16" ht="33.4" x14ac:dyDescent="0.3">
      <c r="A3071" s="6" t="str">
        <f>HYPERLINK("https://www.ti.com/product/TPS62153", "TPS62153")</f>
        <v>TPS62153</v>
      </c>
      <c r="B3071" s="5" t="s">
        <v>27611</v>
      </c>
      <c r="C3071" s="6" t="str">
        <f>HYPERLINK("https://www.ti.com/lit/gpn/TPS62153", "PDF")</f>
        <v>PDF</v>
      </c>
      <c r="D3071" s="5" t="s">
        <v>27612</v>
      </c>
      <c r="E3071" s="5" t="s">
        <v>27613</v>
      </c>
      <c r="F3071" s="5" t="s">
        <v>27614</v>
      </c>
      <c r="G3071" s="5" t="s">
        <v>27615</v>
      </c>
      <c r="H3071" s="1" t="s">
        <v>27616</v>
      </c>
      <c r="I3071" s="5" t="s">
        <v>27617</v>
      </c>
      <c r="J3071" s="7">
        <v>16</v>
      </c>
      <c r="K3071" s="7">
        <v>9</v>
      </c>
      <c r="L3071" s="5" t="s">
        <v>27618</v>
      </c>
      <c r="M3071" s="7">
        <v>1</v>
      </c>
      <c r="N3071" s="7">
        <v>0.5</v>
      </c>
      <c r="O3071" s="7">
        <v>0.57499999999999996</v>
      </c>
      <c r="P3071" s="1" t="s">
        <v>27619</v>
      </c>
    </row>
    <row r="3072" spans="1:16" ht="49.75" x14ac:dyDescent="0.3">
      <c r="A3072" s="6" t="str">
        <f>HYPERLINK("https://www.ti.com/product/LM3466", "LM3466")</f>
        <v>LM3466</v>
      </c>
      <c r="B3072" s="5" t="s">
        <v>27620</v>
      </c>
      <c r="C3072" s="6" t="str">
        <f>HYPERLINK("https://www.ti.com/lit/gpn/LM3466", "PDF")</f>
        <v>PDF</v>
      </c>
      <c r="D3072" s="5" t="s">
        <v>27621</v>
      </c>
      <c r="E3072" s="5" t="s">
        <v>27622</v>
      </c>
      <c r="F3072" s="5" t="s">
        <v>27623</v>
      </c>
      <c r="G3072" s="5" t="s">
        <v>27624</v>
      </c>
      <c r="H3072" s="1" t="s">
        <v>27625</v>
      </c>
      <c r="I3072" s="5" t="s">
        <v>27626</v>
      </c>
      <c r="J3072" s="7" t="s">
        <v>27627</v>
      </c>
      <c r="K3072" s="7" t="s">
        <v>27628</v>
      </c>
      <c r="L3072" s="5" t="s">
        <v>27629</v>
      </c>
      <c r="M3072" s="7" t="s">
        <v>27630</v>
      </c>
      <c r="N3072" s="7">
        <v>1.27</v>
      </c>
      <c r="O3072" s="7">
        <v>0.5</v>
      </c>
      <c r="P3072" s="1" t="s">
        <v>27631</v>
      </c>
    </row>
    <row r="3073" spans="1:16" ht="33.4" x14ac:dyDescent="0.3">
      <c r="A3073" s="6" t="str">
        <f>HYPERLINK("https://www.ti.com/product/TPS54295", "TPS54295")</f>
        <v>TPS54295</v>
      </c>
      <c r="B3073" s="5" t="s">
        <v>27632</v>
      </c>
      <c r="C3073" s="6" t="str">
        <f>HYPERLINK("https://www.ti.com/lit/gpn/TPS54295", "PDF")</f>
        <v>PDF</v>
      </c>
      <c r="D3073" s="5" t="s">
        <v>27633</v>
      </c>
      <c r="E3073" s="5" t="s">
        <v>27634</v>
      </c>
      <c r="F3073" s="5" t="s">
        <v>27635</v>
      </c>
      <c r="G3073" s="5" t="s">
        <v>27636</v>
      </c>
      <c r="H3073" s="1" t="s">
        <v>27637</v>
      </c>
      <c r="I3073" s="5" t="s">
        <v>27638</v>
      </c>
      <c r="J3073" s="7">
        <v>16</v>
      </c>
      <c r="K3073" s="7" t="s">
        <v>27639</v>
      </c>
      <c r="L3073" s="5" t="s">
        <v>27640</v>
      </c>
      <c r="M3073" s="7" t="s">
        <v>27641</v>
      </c>
      <c r="N3073" s="7">
        <v>0.65</v>
      </c>
      <c r="O3073" s="7">
        <v>1.0580000000000001</v>
      </c>
      <c r="P3073" s="1" t="s">
        <v>27642</v>
      </c>
    </row>
    <row r="3074" spans="1:16" ht="33.4" x14ac:dyDescent="0.3">
      <c r="A3074" s="6" t="str">
        <f>HYPERLINK("https://www.ti.com/product/TPS54427", "TPS54427")</f>
        <v>TPS54427</v>
      </c>
      <c r="B3074" s="5" t="s">
        <v>27643</v>
      </c>
      <c r="C3074" s="6" t="str">
        <f>HYPERLINK("https://www.ti.com/lit/gpn/TPS54427", "PDF")</f>
        <v>PDF</v>
      </c>
      <c r="D3074" s="5" t="s">
        <v>27644</v>
      </c>
      <c r="E3074" s="5" t="s">
        <v>27645</v>
      </c>
      <c r="F3074" s="5" t="s">
        <v>27646</v>
      </c>
      <c r="G3074" s="5" t="s">
        <v>27647</v>
      </c>
      <c r="H3074" s="1" t="s">
        <v>27648</v>
      </c>
      <c r="I3074" s="5" t="s">
        <v>27649</v>
      </c>
      <c r="J3074" s="7" t="s">
        <v>27650</v>
      </c>
      <c r="K3074" s="7" t="s">
        <v>27651</v>
      </c>
      <c r="L3074" s="5" t="s">
        <v>27652</v>
      </c>
      <c r="M3074" s="7" t="s">
        <v>27653</v>
      </c>
      <c r="N3074" s="7" t="s">
        <v>27654</v>
      </c>
      <c r="O3074" s="7">
        <v>0.56899999999999995</v>
      </c>
      <c r="P3074" s="1" t="s">
        <v>27655</v>
      </c>
    </row>
    <row r="3075" spans="1:16" ht="33.4" x14ac:dyDescent="0.3">
      <c r="A3075" s="6" t="str">
        <f>HYPERLINK("https://www.ti.com/product/TPS62130", "TPS62130")</f>
        <v>TPS62130</v>
      </c>
      <c r="B3075" s="5" t="s">
        <v>27656</v>
      </c>
      <c r="C3075" s="6" t="str">
        <f>HYPERLINK("https://www.ti.com/lit/gpn/TPS62130", "PDF")</f>
        <v>PDF</v>
      </c>
      <c r="D3075" s="5" t="s">
        <v>27657</v>
      </c>
      <c r="E3075" s="5" t="s">
        <v>27658</v>
      </c>
      <c r="F3075" s="5" t="s">
        <v>27659</v>
      </c>
      <c r="G3075" s="5" t="s">
        <v>27660</v>
      </c>
      <c r="H3075" s="1" t="s">
        <v>27661</v>
      </c>
      <c r="I3075" s="5" t="s">
        <v>27662</v>
      </c>
      <c r="J3075" s="7">
        <v>16</v>
      </c>
      <c r="K3075" s="7">
        <v>9</v>
      </c>
      <c r="L3075" s="5" t="s">
        <v>27663</v>
      </c>
      <c r="M3075" s="7">
        <v>1</v>
      </c>
      <c r="N3075" s="7">
        <v>0.5</v>
      </c>
      <c r="O3075" s="7">
        <v>0.70699999999999996</v>
      </c>
      <c r="P3075" s="1" t="s">
        <v>27664</v>
      </c>
    </row>
    <row r="3076" spans="1:16" ht="33.4" x14ac:dyDescent="0.3">
      <c r="A3076" s="6" t="str">
        <f>HYPERLINK("https://www.ti.com/product/TPS62131", "TPS62131")</f>
        <v>TPS62131</v>
      </c>
      <c r="B3076" s="5" t="s">
        <v>27665</v>
      </c>
      <c r="C3076" s="6" t="str">
        <f>HYPERLINK("https://www.ti.com/lit/gpn/TPS62131", "PDF")</f>
        <v>PDF</v>
      </c>
      <c r="D3076" s="5" t="s">
        <v>27666</v>
      </c>
      <c r="E3076" s="5" t="s">
        <v>27667</v>
      </c>
      <c r="F3076" s="5" t="s">
        <v>27668</v>
      </c>
      <c r="G3076" s="5" t="s">
        <v>27669</v>
      </c>
      <c r="H3076" s="1" t="s">
        <v>27670</v>
      </c>
      <c r="I3076" s="5" t="s">
        <v>27671</v>
      </c>
      <c r="J3076" s="7">
        <v>16</v>
      </c>
      <c r="K3076" s="7">
        <v>9</v>
      </c>
      <c r="L3076" s="5" t="s">
        <v>27672</v>
      </c>
      <c r="M3076" s="7">
        <v>1</v>
      </c>
      <c r="N3076" s="7">
        <v>0.5</v>
      </c>
      <c r="O3076" s="7">
        <v>0.70699999999999996</v>
      </c>
      <c r="P3076" s="1" t="s">
        <v>27673</v>
      </c>
    </row>
    <row r="3077" spans="1:16" ht="33.4" x14ac:dyDescent="0.3">
      <c r="A3077" s="6" t="str">
        <f>HYPERLINK("https://www.ti.com/product/TPS62132", "TPS62132")</f>
        <v>TPS62132</v>
      </c>
      <c r="B3077" s="5" t="s">
        <v>27674</v>
      </c>
      <c r="C3077" s="6" t="str">
        <f>HYPERLINK("https://www.ti.com/lit/gpn/TPS62132", "PDF")</f>
        <v>PDF</v>
      </c>
      <c r="D3077" s="5" t="s">
        <v>27675</v>
      </c>
      <c r="E3077" s="5" t="s">
        <v>27676</v>
      </c>
      <c r="F3077" s="5" t="s">
        <v>27677</v>
      </c>
      <c r="G3077" s="5" t="s">
        <v>27678</v>
      </c>
      <c r="H3077" s="1" t="s">
        <v>27679</v>
      </c>
      <c r="I3077" s="5" t="s">
        <v>27680</v>
      </c>
      <c r="J3077" s="7">
        <v>16</v>
      </c>
      <c r="K3077" s="7">
        <v>9</v>
      </c>
      <c r="L3077" s="5" t="s">
        <v>27681</v>
      </c>
      <c r="M3077" s="7">
        <v>1</v>
      </c>
      <c r="N3077" s="7">
        <v>0.5</v>
      </c>
      <c r="O3077" s="7">
        <v>0.70699999999999996</v>
      </c>
      <c r="P3077" s="1" t="s">
        <v>27682</v>
      </c>
    </row>
    <row r="3078" spans="1:16" ht="33.4" x14ac:dyDescent="0.3">
      <c r="A3078" s="6" t="str">
        <f>HYPERLINK("https://www.ti.com/product/TPS62133", "TPS62133")</f>
        <v>TPS62133</v>
      </c>
      <c r="B3078" s="5" t="s">
        <v>27683</v>
      </c>
      <c r="C3078" s="6" t="str">
        <f>HYPERLINK("https://www.ti.com/lit/gpn/TPS62133", "PDF")</f>
        <v>PDF</v>
      </c>
      <c r="D3078" s="5" t="s">
        <v>27684</v>
      </c>
      <c r="E3078" s="5" t="s">
        <v>27685</v>
      </c>
      <c r="F3078" s="5" t="s">
        <v>27686</v>
      </c>
      <c r="G3078" s="5" t="s">
        <v>27687</v>
      </c>
      <c r="H3078" s="1" t="s">
        <v>27688</v>
      </c>
      <c r="I3078" s="5" t="s">
        <v>27689</v>
      </c>
      <c r="J3078" s="7">
        <v>16</v>
      </c>
      <c r="K3078" s="7">
        <v>9</v>
      </c>
      <c r="L3078" s="5" t="s">
        <v>27690</v>
      </c>
      <c r="M3078" s="7">
        <v>1</v>
      </c>
      <c r="N3078" s="7">
        <v>0.5</v>
      </c>
      <c r="O3078" s="7">
        <v>0.70699999999999996</v>
      </c>
      <c r="P3078" s="1" t="s">
        <v>27691</v>
      </c>
    </row>
    <row r="3079" spans="1:16" ht="33.4" x14ac:dyDescent="0.3">
      <c r="A3079" s="6" t="str">
        <f>HYPERLINK("https://www.ti.com/product/TPS62140", "TPS62140")</f>
        <v>TPS62140</v>
      </c>
      <c r="B3079" s="5" t="s">
        <v>27692</v>
      </c>
      <c r="C3079" s="6" t="str">
        <f>HYPERLINK("https://www.ti.com/lit/gpn/TPS62140", "PDF")</f>
        <v>PDF</v>
      </c>
      <c r="D3079" s="5" t="s">
        <v>27693</v>
      </c>
      <c r="E3079" s="5" t="s">
        <v>27694</v>
      </c>
      <c r="F3079" s="5" t="s">
        <v>27695</v>
      </c>
      <c r="G3079" s="5" t="s">
        <v>27696</v>
      </c>
      <c r="H3079" s="1" t="s">
        <v>27697</v>
      </c>
      <c r="I3079" s="5" t="s">
        <v>27698</v>
      </c>
      <c r="J3079" s="7">
        <v>16</v>
      </c>
      <c r="K3079" s="7">
        <v>9</v>
      </c>
      <c r="L3079" s="5" t="s">
        <v>27699</v>
      </c>
      <c r="M3079" s="7">
        <v>1</v>
      </c>
      <c r="N3079" s="7">
        <v>0.5</v>
      </c>
      <c r="O3079" s="7">
        <v>0.65600000000000003</v>
      </c>
      <c r="P3079" s="1" t="s">
        <v>27700</v>
      </c>
    </row>
    <row r="3080" spans="1:16" ht="33.4" x14ac:dyDescent="0.3">
      <c r="A3080" s="6" t="str">
        <f>HYPERLINK("https://www.ti.com/product/TPS62141", "TPS62141")</f>
        <v>TPS62141</v>
      </c>
      <c r="B3080" s="5" t="s">
        <v>27701</v>
      </c>
      <c r="C3080" s="6" t="str">
        <f>HYPERLINK("https://www.ti.com/lit/gpn/TPS62141", "PDF")</f>
        <v>PDF</v>
      </c>
      <c r="D3080" s="5" t="s">
        <v>27702</v>
      </c>
      <c r="E3080" s="5" t="s">
        <v>27703</v>
      </c>
      <c r="F3080" s="5" t="s">
        <v>27704</v>
      </c>
      <c r="G3080" s="5" t="s">
        <v>27705</v>
      </c>
      <c r="H3080" s="1" t="s">
        <v>27706</v>
      </c>
      <c r="I3080" s="5" t="s">
        <v>27707</v>
      </c>
      <c r="J3080" s="7">
        <v>16</v>
      </c>
      <c r="K3080" s="7">
        <v>9</v>
      </c>
      <c r="L3080" s="5" t="s">
        <v>27708</v>
      </c>
      <c r="M3080" s="7">
        <v>1</v>
      </c>
      <c r="N3080" s="7">
        <v>0.5</v>
      </c>
      <c r="O3080" s="7">
        <v>0.65600000000000003</v>
      </c>
      <c r="P3080" s="1" t="s">
        <v>27709</v>
      </c>
    </row>
    <row r="3081" spans="1:16" ht="33.4" x14ac:dyDescent="0.3">
      <c r="A3081" s="6" t="str">
        <f>HYPERLINK("https://www.ti.com/product/TPS62142", "TPS62142")</f>
        <v>TPS62142</v>
      </c>
      <c r="B3081" s="5" t="s">
        <v>27710</v>
      </c>
      <c r="C3081" s="6" t="str">
        <f>HYPERLINK("https://www.ti.com/lit/gpn/TPS62142", "PDF")</f>
        <v>PDF</v>
      </c>
      <c r="D3081" s="5" t="s">
        <v>27711</v>
      </c>
      <c r="E3081" s="5" t="s">
        <v>27712</v>
      </c>
      <c r="F3081" s="5" t="s">
        <v>27713</v>
      </c>
      <c r="G3081" s="5" t="s">
        <v>27714</v>
      </c>
      <c r="H3081" s="1" t="s">
        <v>27715</v>
      </c>
      <c r="I3081" s="5" t="s">
        <v>27716</v>
      </c>
      <c r="J3081" s="7">
        <v>16</v>
      </c>
      <c r="K3081" s="7">
        <v>9</v>
      </c>
      <c r="L3081" s="5" t="s">
        <v>27717</v>
      </c>
      <c r="M3081" s="7">
        <v>1</v>
      </c>
      <c r="N3081" s="7">
        <v>0.5</v>
      </c>
      <c r="O3081" s="7">
        <v>0.65600000000000003</v>
      </c>
      <c r="P3081" s="1" t="s">
        <v>27718</v>
      </c>
    </row>
    <row r="3082" spans="1:16" ht="33.4" x14ac:dyDescent="0.3">
      <c r="A3082" s="6" t="str">
        <f>HYPERLINK("https://www.ti.com/product/TPS62143", "TPS62143")</f>
        <v>TPS62143</v>
      </c>
      <c r="B3082" s="5" t="s">
        <v>27719</v>
      </c>
      <c r="C3082" s="6" t="str">
        <f>HYPERLINK("https://www.ti.com/lit/gpn/TPS62143", "PDF")</f>
        <v>PDF</v>
      </c>
      <c r="D3082" s="5" t="s">
        <v>27720</v>
      </c>
      <c r="E3082" s="5" t="s">
        <v>27721</v>
      </c>
      <c r="F3082" s="5" t="s">
        <v>27722</v>
      </c>
      <c r="G3082" s="5" t="s">
        <v>27723</v>
      </c>
      <c r="H3082" s="1" t="s">
        <v>27724</v>
      </c>
      <c r="I3082" s="5" t="s">
        <v>27725</v>
      </c>
      <c r="J3082" s="7">
        <v>16</v>
      </c>
      <c r="K3082" s="7">
        <v>9</v>
      </c>
      <c r="L3082" s="5" t="s">
        <v>27726</v>
      </c>
      <c r="M3082" s="7">
        <v>1</v>
      </c>
      <c r="N3082" s="7">
        <v>0.5</v>
      </c>
      <c r="O3082" s="7">
        <v>0.65600000000000003</v>
      </c>
      <c r="P3082" s="1" t="s">
        <v>27727</v>
      </c>
    </row>
    <row r="3083" spans="1:16" ht="33.4" x14ac:dyDescent="0.3">
      <c r="A3083" s="6" t="str">
        <f>HYPERLINK("https://www.ti.com/product/TPS2064C", "TPS2064C")</f>
        <v>TPS2064C</v>
      </c>
      <c r="B3083" s="5" t="s">
        <v>27728</v>
      </c>
      <c r="C3083" s="6" t="str">
        <f>HYPERLINK("https://www.ti.com/lit/gpn/TPS2064C", "PDF")</f>
        <v>PDF</v>
      </c>
      <c r="D3083" s="5" t="s">
        <v>27729</v>
      </c>
      <c r="E3083" s="5" t="s">
        <v>27730</v>
      </c>
      <c r="F3083" s="5"/>
      <c r="G3083" s="5" t="s">
        <v>27731</v>
      </c>
      <c r="H3083" s="1" t="s">
        <v>27732</v>
      </c>
      <c r="I3083" s="5" t="s">
        <v>27733</v>
      </c>
      <c r="J3083" s="7">
        <v>8</v>
      </c>
      <c r="K3083" s="7">
        <v>14.7</v>
      </c>
      <c r="L3083" s="5" t="s">
        <v>27734</v>
      </c>
      <c r="M3083" s="7">
        <v>1.1000000000000001</v>
      </c>
      <c r="N3083" s="7">
        <v>0.65</v>
      </c>
      <c r="O3083" s="7">
        <v>0.42</v>
      </c>
      <c r="P3083" s="1" t="s">
        <v>27735</v>
      </c>
    </row>
    <row r="3084" spans="1:16" ht="49.75" x14ac:dyDescent="0.3">
      <c r="A3084" s="6" t="str">
        <f>HYPERLINK("https://www.ti.com/product/TPS65135", "TPS65135")</f>
        <v>TPS65135</v>
      </c>
      <c r="B3084" s="5" t="s">
        <v>27736</v>
      </c>
      <c r="C3084" s="6" t="str">
        <f>HYPERLINK("https://www.ti.com/lit/gpn/TPS65135", "PDF")</f>
        <v>PDF</v>
      </c>
      <c r="D3084" s="5" t="s">
        <v>27737</v>
      </c>
      <c r="E3084" s="5" t="s">
        <v>27738</v>
      </c>
      <c r="F3084" s="5" t="s">
        <v>27739</v>
      </c>
      <c r="G3084" s="5" t="s">
        <v>27740</v>
      </c>
      <c r="H3084" s="1" t="s">
        <v>27741</v>
      </c>
      <c r="I3084" s="5" t="s">
        <v>27742</v>
      </c>
      <c r="J3084" s="7">
        <v>16</v>
      </c>
      <c r="K3084" s="7">
        <v>9</v>
      </c>
      <c r="L3084" s="5" t="s">
        <v>27743</v>
      </c>
      <c r="M3084" s="7">
        <v>0.8</v>
      </c>
      <c r="N3084" s="7">
        <v>0.5</v>
      </c>
      <c r="O3084" s="7">
        <v>0.91100000000000003</v>
      </c>
      <c r="P3084" s="1" t="s">
        <v>27744</v>
      </c>
    </row>
    <row r="3085" spans="1:16" ht="33.4" x14ac:dyDescent="0.3">
      <c r="A3085" s="6" t="str">
        <f>HYPERLINK("https://www.ti.com/product/UCC25230", "UCC25230")</f>
        <v>UCC25230</v>
      </c>
      <c r="B3085" s="5" t="s">
        <v>27745</v>
      </c>
      <c r="C3085" s="6" t="str">
        <f>HYPERLINK("https://www.ti.com/lit/gpn/UCC25230", "PDF")</f>
        <v>PDF</v>
      </c>
      <c r="D3085" s="5" t="s">
        <v>27746</v>
      </c>
      <c r="E3085" s="5" t="s">
        <v>27747</v>
      </c>
      <c r="F3085" s="5" t="s">
        <v>27748</v>
      </c>
      <c r="G3085" s="5" t="s">
        <v>27749</v>
      </c>
      <c r="H3085" s="1" t="s">
        <v>27750</v>
      </c>
      <c r="I3085" s="5" t="s">
        <v>27751</v>
      </c>
      <c r="J3085" s="7">
        <v>8</v>
      </c>
      <c r="K3085" s="7">
        <v>16</v>
      </c>
      <c r="L3085" s="5" t="s">
        <v>27752</v>
      </c>
      <c r="M3085" s="7">
        <v>1</v>
      </c>
      <c r="N3085" s="7">
        <v>0.8</v>
      </c>
      <c r="O3085" s="7">
        <v>1.786</v>
      </c>
      <c r="P3085" s="1" t="s">
        <v>27753</v>
      </c>
    </row>
    <row r="3086" spans="1:16" ht="33.4" x14ac:dyDescent="0.3">
      <c r="A3086" s="6" t="str">
        <f>HYPERLINK("https://www.ti.com/product/TPS62160", "TPS62160")</f>
        <v>TPS62160</v>
      </c>
      <c r="B3086" s="5" t="s">
        <v>27754</v>
      </c>
      <c r="C3086" s="6" t="str">
        <f>HYPERLINK("https://www.ti.com/lit/gpn/TPS62160", "PDF")</f>
        <v>PDF</v>
      </c>
      <c r="D3086" s="5" t="s">
        <v>27755</v>
      </c>
      <c r="E3086" s="5" t="s">
        <v>27756</v>
      </c>
      <c r="F3086" s="5" t="s">
        <v>27757</v>
      </c>
      <c r="G3086" s="5" t="s">
        <v>27758</v>
      </c>
      <c r="H3086" s="1" t="s">
        <v>27759</v>
      </c>
      <c r="I3086" s="5" t="s">
        <v>27760</v>
      </c>
      <c r="J3086" s="7">
        <v>8</v>
      </c>
      <c r="K3086" s="7" t="s">
        <v>27761</v>
      </c>
      <c r="L3086" s="5" t="s">
        <v>27762</v>
      </c>
      <c r="M3086" s="7" t="s">
        <v>27763</v>
      </c>
      <c r="N3086" s="7" t="s">
        <v>27764</v>
      </c>
      <c r="O3086" s="7">
        <v>0.55800000000000005</v>
      </c>
      <c r="P3086" s="1" t="s">
        <v>27765</v>
      </c>
    </row>
    <row r="3087" spans="1:16" ht="33.4" x14ac:dyDescent="0.3">
      <c r="A3087" s="6" t="str">
        <f>HYPERLINK("https://www.ti.com/product/TPS62161", "TPS62161")</f>
        <v>TPS62161</v>
      </c>
      <c r="B3087" s="5" t="s">
        <v>27766</v>
      </c>
      <c r="C3087" s="6" t="str">
        <f>HYPERLINK("https://www.ti.com/lit/gpn/TPS62161", "PDF")</f>
        <v>PDF</v>
      </c>
      <c r="D3087" s="5" t="s">
        <v>27767</v>
      </c>
      <c r="E3087" s="5" t="s">
        <v>27768</v>
      </c>
      <c r="F3087" s="5" t="s">
        <v>27769</v>
      </c>
      <c r="G3087" s="5" t="s">
        <v>27770</v>
      </c>
      <c r="H3087" s="1" t="s">
        <v>27771</v>
      </c>
      <c r="I3087" s="5" t="s">
        <v>27772</v>
      </c>
      <c r="J3087" s="7">
        <v>8</v>
      </c>
      <c r="K3087" s="7">
        <v>4</v>
      </c>
      <c r="L3087" s="5" t="s">
        <v>27773</v>
      </c>
      <c r="M3087" s="7">
        <v>0.8</v>
      </c>
      <c r="N3087" s="7">
        <v>0.5</v>
      </c>
      <c r="O3087" s="7">
        <v>0.55800000000000005</v>
      </c>
      <c r="P3087" s="1" t="s">
        <v>27774</v>
      </c>
    </row>
    <row r="3088" spans="1:16" ht="33.4" x14ac:dyDescent="0.3">
      <c r="A3088" s="6" t="str">
        <f>HYPERLINK("https://www.ti.com/product/TPS62162", "TPS62162")</f>
        <v>TPS62162</v>
      </c>
      <c r="B3088" s="5" t="s">
        <v>27775</v>
      </c>
      <c r="C3088" s="6" t="str">
        <f>HYPERLINK("https://www.ti.com/lit/gpn/TPS62162", "PDF")</f>
        <v>PDF</v>
      </c>
      <c r="D3088" s="5" t="s">
        <v>27776</v>
      </c>
      <c r="E3088" s="5" t="s">
        <v>27777</v>
      </c>
      <c r="F3088" s="5" t="s">
        <v>27778</v>
      </c>
      <c r="G3088" s="5" t="s">
        <v>27779</v>
      </c>
      <c r="H3088" s="1" t="s">
        <v>27780</v>
      </c>
      <c r="I3088" s="5" t="s">
        <v>27781</v>
      </c>
      <c r="J3088" s="7">
        <v>8</v>
      </c>
      <c r="K3088" s="7">
        <v>4</v>
      </c>
      <c r="L3088" s="5" t="s">
        <v>27782</v>
      </c>
      <c r="M3088" s="7">
        <v>0.8</v>
      </c>
      <c r="N3088" s="7">
        <v>0.5</v>
      </c>
      <c r="O3088" s="7">
        <v>0.55800000000000005</v>
      </c>
      <c r="P3088" s="1" t="s">
        <v>27783</v>
      </c>
    </row>
    <row r="3089" spans="1:16" ht="33.4" x14ac:dyDescent="0.3">
      <c r="A3089" s="6" t="str">
        <f>HYPERLINK("https://www.ti.com/product/TPS62163", "TPS62163")</f>
        <v>TPS62163</v>
      </c>
      <c r="B3089" s="5" t="s">
        <v>27784</v>
      </c>
      <c r="C3089" s="6" t="str">
        <f>HYPERLINK("https://www.ti.com/lit/gpn/TPS62163", "PDF")</f>
        <v>PDF</v>
      </c>
      <c r="D3089" s="5" t="s">
        <v>27785</v>
      </c>
      <c r="E3089" s="5" t="s">
        <v>27786</v>
      </c>
      <c r="F3089" s="5" t="s">
        <v>27787</v>
      </c>
      <c r="G3089" s="5" t="s">
        <v>27788</v>
      </c>
      <c r="H3089" s="1" t="s">
        <v>27789</v>
      </c>
      <c r="I3089" s="5" t="s">
        <v>27790</v>
      </c>
      <c r="J3089" s="7">
        <v>8</v>
      </c>
      <c r="K3089" s="7">
        <v>4</v>
      </c>
      <c r="L3089" s="5" t="s">
        <v>27791</v>
      </c>
      <c r="M3089" s="7">
        <v>0.8</v>
      </c>
      <c r="N3089" s="7">
        <v>0.5</v>
      </c>
      <c r="O3089" s="7">
        <v>0.55800000000000005</v>
      </c>
      <c r="P3089" s="1" t="s">
        <v>27792</v>
      </c>
    </row>
    <row r="3090" spans="1:16" ht="33.4" x14ac:dyDescent="0.3">
      <c r="A3090" s="6" t="str">
        <f>HYPERLINK("https://www.ti.com/product/TPS62171", "TPS62171")</f>
        <v>TPS62171</v>
      </c>
      <c r="B3090" s="5" t="s">
        <v>27793</v>
      </c>
      <c r="C3090" s="6" t="str">
        <f>HYPERLINK("https://www.ti.com/lit/gpn/TPS62171", "PDF")</f>
        <v>PDF</v>
      </c>
      <c r="D3090" s="5" t="s">
        <v>27794</v>
      </c>
      <c r="E3090" s="5" t="s">
        <v>27795</v>
      </c>
      <c r="F3090" s="5" t="s">
        <v>27796</v>
      </c>
      <c r="G3090" s="5" t="s">
        <v>27797</v>
      </c>
      <c r="H3090" s="1" t="s">
        <v>27798</v>
      </c>
      <c r="I3090" s="5" t="s">
        <v>27799</v>
      </c>
      <c r="J3090" s="7">
        <v>8</v>
      </c>
      <c r="K3090" s="7">
        <v>4</v>
      </c>
      <c r="L3090" s="5" t="s">
        <v>27800</v>
      </c>
      <c r="M3090" s="7">
        <v>0.8</v>
      </c>
      <c r="N3090" s="7">
        <v>0.5</v>
      </c>
      <c r="O3090" s="7">
        <v>0.46</v>
      </c>
      <c r="P3090" s="1" t="s">
        <v>27801</v>
      </c>
    </row>
    <row r="3091" spans="1:16" ht="33.4" x14ac:dyDescent="0.3">
      <c r="A3091" s="6" t="str">
        <f>HYPERLINK("https://www.ti.com/product/TPS62172", "TPS62172")</f>
        <v>TPS62172</v>
      </c>
      <c r="B3091" s="5" t="s">
        <v>27802</v>
      </c>
      <c r="C3091" s="6" t="str">
        <f>HYPERLINK("https://www.ti.com/lit/gpn/TPS62172", "PDF")</f>
        <v>PDF</v>
      </c>
      <c r="D3091" s="5" t="s">
        <v>27803</v>
      </c>
      <c r="E3091" s="5" t="s">
        <v>27804</v>
      </c>
      <c r="F3091" s="5" t="s">
        <v>27805</v>
      </c>
      <c r="G3091" s="5" t="s">
        <v>27806</v>
      </c>
      <c r="H3091" s="1" t="s">
        <v>27807</v>
      </c>
      <c r="I3091" s="5" t="s">
        <v>27808</v>
      </c>
      <c r="J3091" s="7">
        <v>8</v>
      </c>
      <c r="K3091" s="7">
        <v>4</v>
      </c>
      <c r="L3091" s="5" t="s">
        <v>27809</v>
      </c>
      <c r="M3091" s="7">
        <v>0.8</v>
      </c>
      <c r="N3091" s="7">
        <v>0.5</v>
      </c>
      <c r="O3091" s="7">
        <v>0.46</v>
      </c>
      <c r="P3091" s="1" t="s">
        <v>27810</v>
      </c>
    </row>
    <row r="3092" spans="1:16" ht="33.4" x14ac:dyDescent="0.3">
      <c r="A3092" s="6" t="str">
        <f>HYPERLINK("https://www.ti.com/product/LM20144-Q1", "LM20144-Q1")</f>
        <v>LM20144-Q1</v>
      </c>
      <c r="B3092" s="5" t="s">
        <v>27811</v>
      </c>
      <c r="C3092" s="6" t="str">
        <f>HYPERLINK("https://www.ti.com/lit/gpn/LM20144-Q1", "PDF")</f>
        <v>PDF</v>
      </c>
      <c r="D3092" s="5" t="s">
        <v>27812</v>
      </c>
      <c r="E3092" s="5" t="s">
        <v>27813</v>
      </c>
      <c r="F3092" s="5" t="s">
        <v>27814</v>
      </c>
      <c r="G3092" s="5" t="s">
        <v>27815</v>
      </c>
      <c r="H3092" s="1" t="s">
        <v>27816</v>
      </c>
      <c r="I3092" s="5" t="s">
        <v>27817</v>
      </c>
      <c r="J3092" s="7">
        <v>16</v>
      </c>
      <c r="K3092" s="7">
        <v>32</v>
      </c>
      <c r="L3092" s="5" t="s">
        <v>27818</v>
      </c>
      <c r="M3092" s="7">
        <v>1.2</v>
      </c>
      <c r="N3092" s="7">
        <v>0.65</v>
      </c>
      <c r="O3092" s="7">
        <v>1.51</v>
      </c>
      <c r="P3092" s="1" t="s">
        <v>27819</v>
      </c>
    </row>
    <row r="3093" spans="1:16" ht="33.4" x14ac:dyDescent="0.3">
      <c r="A3093" s="6" t="str">
        <f>HYPERLINK("https://www.ti.com/product/LM20145-Q1", "LM20145-Q1")</f>
        <v>LM20145-Q1</v>
      </c>
      <c r="B3093" s="5" t="s">
        <v>27820</v>
      </c>
      <c r="C3093" s="6" t="str">
        <f>HYPERLINK("https://www.ti.com/lit/gpn/LM20145-Q1", "PDF")</f>
        <v>PDF</v>
      </c>
      <c r="D3093" s="5" t="s">
        <v>27821</v>
      </c>
      <c r="E3093" s="5" t="s">
        <v>27822</v>
      </c>
      <c r="F3093" s="5" t="s">
        <v>27823</v>
      </c>
      <c r="G3093" s="5" t="s">
        <v>27824</v>
      </c>
      <c r="H3093" s="1" t="s">
        <v>27825</v>
      </c>
      <c r="I3093" s="5" t="s">
        <v>27826</v>
      </c>
      <c r="J3093" s="7">
        <v>16</v>
      </c>
      <c r="K3093" s="7">
        <v>32</v>
      </c>
      <c r="L3093" s="5" t="s">
        <v>27827</v>
      </c>
      <c r="M3093" s="7">
        <v>1.2</v>
      </c>
      <c r="N3093" s="7">
        <v>0.65</v>
      </c>
      <c r="O3093" s="7">
        <v>1.5760000000000001</v>
      </c>
      <c r="P3093" s="1" t="s">
        <v>27828</v>
      </c>
    </row>
    <row r="3094" spans="1:16" ht="33.4" x14ac:dyDescent="0.3">
      <c r="A3094" s="6" t="str">
        <f>HYPERLINK("https://www.ti.com/product/TPS62170", "TPS62170")</f>
        <v>TPS62170</v>
      </c>
      <c r="B3094" s="5" t="s">
        <v>27829</v>
      </c>
      <c r="C3094" s="6" t="str">
        <f>HYPERLINK("https://www.ti.com/lit/gpn/TPS62170", "PDF")</f>
        <v>PDF</v>
      </c>
      <c r="D3094" s="5" t="s">
        <v>27830</v>
      </c>
      <c r="E3094" s="5" t="s">
        <v>27831</v>
      </c>
      <c r="F3094" s="5" t="s">
        <v>27832</v>
      </c>
      <c r="G3094" s="5" t="s">
        <v>27833</v>
      </c>
      <c r="H3094" s="1" t="s">
        <v>27834</v>
      </c>
      <c r="I3094" s="5" t="s">
        <v>27835</v>
      </c>
      <c r="J3094" s="7">
        <v>8</v>
      </c>
      <c r="K3094" s="7">
        <v>4</v>
      </c>
      <c r="L3094" s="5" t="s">
        <v>27836</v>
      </c>
      <c r="M3094" s="7">
        <v>0.8</v>
      </c>
      <c r="N3094" s="7">
        <v>0.5</v>
      </c>
      <c r="O3094" s="7">
        <v>0.46</v>
      </c>
      <c r="P3094" s="1" t="s">
        <v>27837</v>
      </c>
    </row>
    <row r="3095" spans="1:16" ht="33.4" x14ac:dyDescent="0.3">
      <c r="A3095" s="6" t="str">
        <f>HYPERLINK("https://www.ti.com/product/TPS62173", "TPS62173")</f>
        <v>TPS62173</v>
      </c>
      <c r="B3095" s="5" t="s">
        <v>27838</v>
      </c>
      <c r="C3095" s="6" t="str">
        <f>HYPERLINK("https://www.ti.com/lit/gpn/TPS62173", "PDF")</f>
        <v>PDF</v>
      </c>
      <c r="D3095" s="5" t="s">
        <v>27839</v>
      </c>
      <c r="E3095" s="5" t="s">
        <v>27840</v>
      </c>
      <c r="F3095" s="5" t="s">
        <v>27841</v>
      </c>
      <c r="G3095" s="5" t="s">
        <v>27842</v>
      </c>
      <c r="H3095" s="1" t="s">
        <v>27843</v>
      </c>
      <c r="I3095" s="5" t="s">
        <v>27844</v>
      </c>
      <c r="J3095" s="7">
        <v>8</v>
      </c>
      <c r="K3095" s="7">
        <v>4</v>
      </c>
      <c r="L3095" s="5" t="s">
        <v>27845</v>
      </c>
      <c r="M3095" s="7">
        <v>0.8</v>
      </c>
      <c r="N3095" s="7">
        <v>0.5</v>
      </c>
      <c r="O3095" s="7">
        <v>0.46</v>
      </c>
      <c r="P3095" s="1" t="s">
        <v>27846</v>
      </c>
    </row>
    <row r="3096" spans="1:16" ht="17.05" x14ac:dyDescent="0.3">
      <c r="A3096" s="6" t="str">
        <f>HYPERLINK("https://www.ti.com/product/TPS22910A", "TPS22910A")</f>
        <v>TPS22910A</v>
      </c>
      <c r="B3096" s="5" t="s">
        <v>27847</v>
      </c>
      <c r="C3096" s="6" t="str">
        <f>HYPERLINK("https://www.ti.com/lit/gpn/TPS22910A", "PDF")</f>
        <v>PDF</v>
      </c>
      <c r="D3096" s="5" t="s">
        <v>27848</v>
      </c>
      <c r="E3096" s="5" t="s">
        <v>27849</v>
      </c>
      <c r="F3096" s="5"/>
      <c r="G3096" s="5" t="s">
        <v>27850</v>
      </c>
      <c r="H3096" s="1" t="s">
        <v>27851</v>
      </c>
      <c r="I3096" s="5" t="s">
        <v>27852</v>
      </c>
      <c r="J3096" s="7">
        <v>4</v>
      </c>
      <c r="K3096" s="7">
        <v>1.5625</v>
      </c>
      <c r="L3096" s="5" t="s">
        <v>27853</v>
      </c>
      <c r="M3096" s="7">
        <v>0.5</v>
      </c>
      <c r="N3096" s="7">
        <v>0.5</v>
      </c>
      <c r="O3096" s="7">
        <v>0.224</v>
      </c>
      <c r="P3096" s="1" t="s">
        <v>27854</v>
      </c>
    </row>
    <row r="3097" spans="1:16" ht="33.4" x14ac:dyDescent="0.3">
      <c r="A3097" s="6" t="str">
        <f>HYPERLINK("https://www.ti.com/product/TPS2541A", "TPS2541A")</f>
        <v>TPS2541A</v>
      </c>
      <c r="B3097" s="5" t="s">
        <v>27855</v>
      </c>
      <c r="C3097" s="6" t="str">
        <f>HYPERLINK("https://www.ti.com/lit/gpn/TPS2541A", "PDF")</f>
        <v>PDF</v>
      </c>
      <c r="D3097" s="5" t="s">
        <v>27856</v>
      </c>
      <c r="E3097" s="5" t="s">
        <v>27857</v>
      </c>
      <c r="F3097" s="5"/>
      <c r="G3097" s="5" t="s">
        <v>27858</v>
      </c>
      <c r="H3097" s="1" t="s">
        <v>27859</v>
      </c>
      <c r="I3097" s="5" t="s">
        <v>27860</v>
      </c>
      <c r="J3097" s="7">
        <v>16</v>
      </c>
      <c r="K3097" s="7">
        <v>9</v>
      </c>
      <c r="L3097" s="5" t="s">
        <v>27861</v>
      </c>
      <c r="M3097" s="7">
        <v>0.8</v>
      </c>
      <c r="N3097" s="7">
        <v>0.5</v>
      </c>
      <c r="O3097" s="7">
        <v>0.69199999999999995</v>
      </c>
      <c r="P3097" s="1" t="s">
        <v>27862</v>
      </c>
    </row>
    <row r="3098" spans="1:16" ht="33.4" x14ac:dyDescent="0.3">
      <c r="A3098" s="6" t="str">
        <f>HYPERLINK("https://www.ti.com/product/TPS54329E", "TPS54329E")</f>
        <v>TPS54329E</v>
      </c>
      <c r="B3098" s="5" t="s">
        <v>27863</v>
      </c>
      <c r="C3098" s="6" t="str">
        <f>HYPERLINK("https://www.ti.com/lit/gpn/TPS54329E", "PDF")</f>
        <v>PDF</v>
      </c>
      <c r="D3098" s="5" t="s">
        <v>27864</v>
      </c>
      <c r="E3098" s="5" t="s">
        <v>27865</v>
      </c>
      <c r="F3098" s="5" t="s">
        <v>27866</v>
      </c>
      <c r="G3098" s="5" t="s">
        <v>27867</v>
      </c>
      <c r="H3098" s="1" t="s">
        <v>27868</v>
      </c>
      <c r="I3098" s="5" t="s">
        <v>27869</v>
      </c>
      <c r="J3098" s="7">
        <v>8</v>
      </c>
      <c r="K3098" s="7">
        <v>29.4</v>
      </c>
      <c r="L3098" s="5" t="s">
        <v>27870</v>
      </c>
      <c r="M3098" s="7">
        <v>1.7</v>
      </c>
      <c r="N3098" s="7">
        <v>1.27</v>
      </c>
      <c r="O3098" s="7">
        <v>0.65500000000000003</v>
      </c>
      <c r="P3098" s="1" t="s">
        <v>27871</v>
      </c>
    </row>
    <row r="3099" spans="1:16" ht="33.4" x14ac:dyDescent="0.3">
      <c r="A3099" s="6" t="str">
        <f>HYPERLINK("https://www.ti.com/product/TPS54229E", "TPS54229E")</f>
        <v>TPS54229E</v>
      </c>
      <c r="B3099" s="5" t="s">
        <v>27872</v>
      </c>
      <c r="C3099" s="6" t="str">
        <f>HYPERLINK("https://www.ti.com/lit/gpn/TPS54229E", "PDF")</f>
        <v>PDF</v>
      </c>
      <c r="D3099" s="5" t="s">
        <v>27873</v>
      </c>
      <c r="E3099" s="5" t="s">
        <v>27874</v>
      </c>
      <c r="F3099" s="5" t="s">
        <v>27875</v>
      </c>
      <c r="G3099" s="5" t="s">
        <v>27876</v>
      </c>
      <c r="H3099" s="1" t="s">
        <v>27877</v>
      </c>
      <c r="I3099" s="5" t="s">
        <v>27878</v>
      </c>
      <c r="J3099" s="7">
        <v>8</v>
      </c>
      <c r="K3099" s="7">
        <v>29.4</v>
      </c>
      <c r="L3099" s="5" t="s">
        <v>27879</v>
      </c>
      <c r="M3099" s="7">
        <v>1.7</v>
      </c>
      <c r="N3099" s="7">
        <v>1.27</v>
      </c>
      <c r="O3099" s="7">
        <v>0.377</v>
      </c>
      <c r="P3099" s="1" t="s">
        <v>27880</v>
      </c>
    </row>
    <row r="3100" spans="1:16" ht="82.5" x14ac:dyDescent="0.3">
      <c r="A3100" s="6" t="str">
        <f>HYPERLINK("https://www.ti.com/product/TPS61256", "TPS61256")</f>
        <v>TPS61256</v>
      </c>
      <c r="B3100" s="5" t="s">
        <v>27881</v>
      </c>
      <c r="C3100" s="6" t="str">
        <f>HYPERLINK("https://www.ti.com/lit/gpn/TPS61256", "PDF")</f>
        <v>PDF</v>
      </c>
      <c r="D3100" s="5" t="s">
        <v>27882</v>
      </c>
      <c r="E3100" s="5" t="s">
        <v>27883</v>
      </c>
      <c r="F3100" s="5" t="s">
        <v>27884</v>
      </c>
      <c r="G3100" s="5" t="s">
        <v>27885</v>
      </c>
      <c r="H3100" s="1" t="s">
        <v>27886</v>
      </c>
      <c r="I3100" s="5" t="s">
        <v>27887</v>
      </c>
      <c r="J3100" s="7">
        <v>9</v>
      </c>
      <c r="K3100" s="7">
        <v>1.9600000000000002</v>
      </c>
      <c r="L3100" s="5" t="s">
        <v>27888</v>
      </c>
      <c r="M3100" s="7">
        <v>0.625</v>
      </c>
      <c r="N3100" s="7">
        <v>0.4</v>
      </c>
      <c r="O3100" s="7">
        <v>0.41799999999999998</v>
      </c>
      <c r="P3100" s="1" t="s">
        <v>27889</v>
      </c>
    </row>
    <row r="3101" spans="1:16" ht="49.75" x14ac:dyDescent="0.3">
      <c r="A3101" s="6" t="str">
        <f>HYPERLINK("https://www.ti.com/product/UCC27200A", "UCC27200A")</f>
        <v>UCC27200A</v>
      </c>
      <c r="B3101" s="5" t="s">
        <v>27890</v>
      </c>
      <c r="C3101" s="6" t="str">
        <f>HYPERLINK("https://www.ti.com/lit/gpn/UCC27200A", "PDF")</f>
        <v>PDF</v>
      </c>
      <c r="D3101" s="5" t="s">
        <v>27891</v>
      </c>
      <c r="E3101" s="5" t="s">
        <v>27892</v>
      </c>
      <c r="F3101" s="5"/>
      <c r="G3101" s="5" t="s">
        <v>27893</v>
      </c>
      <c r="H3101" s="1" t="s">
        <v>27894</v>
      </c>
      <c r="I3101" s="5" t="s">
        <v>27895</v>
      </c>
      <c r="J3101" s="7" t="s">
        <v>27896</v>
      </c>
      <c r="K3101" s="7" t="s">
        <v>27897</v>
      </c>
      <c r="L3101" s="5" t="s">
        <v>27898</v>
      </c>
      <c r="M3101" s="7" t="s">
        <v>27899</v>
      </c>
      <c r="N3101" s="7" t="s">
        <v>27900</v>
      </c>
      <c r="O3101" s="7">
        <v>0.92100000000000004</v>
      </c>
      <c r="P3101" s="1" t="s">
        <v>27901</v>
      </c>
    </row>
    <row r="3102" spans="1:16" ht="17.05" x14ac:dyDescent="0.3">
      <c r="A3102" s="6" t="str">
        <f>HYPERLINK("https://www.ti.com/product/LM5051", "LM5051")</f>
        <v>LM5051</v>
      </c>
      <c r="B3102" s="5" t="s">
        <v>27902</v>
      </c>
      <c r="C3102" s="6" t="str">
        <f>HYPERLINK("https://www.ti.com/lit/gpn/LM5051", "PDF")</f>
        <v>PDF</v>
      </c>
      <c r="D3102" s="5" t="s">
        <v>27903</v>
      </c>
      <c r="E3102" s="5" t="s">
        <v>27904</v>
      </c>
      <c r="F3102" s="5"/>
      <c r="G3102" s="5" t="s">
        <v>27905</v>
      </c>
      <c r="H3102" s="1" t="s">
        <v>27906</v>
      </c>
      <c r="I3102" s="5" t="s">
        <v>27907</v>
      </c>
      <c r="J3102" s="7">
        <v>8</v>
      </c>
      <c r="K3102" s="7">
        <v>29.4</v>
      </c>
      <c r="L3102" s="5" t="s">
        <v>27908</v>
      </c>
      <c r="M3102" s="7">
        <v>1.75</v>
      </c>
      <c r="N3102" s="7">
        <v>1.27</v>
      </c>
      <c r="O3102" s="7">
        <v>1.002</v>
      </c>
      <c r="P3102" s="1" t="s">
        <v>27909</v>
      </c>
    </row>
    <row r="3103" spans="1:16" ht="33.4" x14ac:dyDescent="0.3">
      <c r="A3103" s="6" t="str">
        <f>HYPERLINK("https://www.ti.com/product/LM25118-Q1", "LM25118-Q1")</f>
        <v>LM25118-Q1</v>
      </c>
      <c r="B3103" s="5" t="s">
        <v>27910</v>
      </c>
      <c r="C3103" s="6" t="str">
        <f>HYPERLINK("https://www.ti.com/lit/gpn/LM25118-Q1", "PDF")</f>
        <v>PDF</v>
      </c>
      <c r="D3103" s="5" t="s">
        <v>27911</v>
      </c>
      <c r="E3103" s="5" t="s">
        <v>27912</v>
      </c>
      <c r="F3103" s="5" t="s">
        <v>27913</v>
      </c>
      <c r="G3103" s="5" t="s">
        <v>27914</v>
      </c>
      <c r="H3103" s="1" t="s">
        <v>27915</v>
      </c>
      <c r="I3103" s="5" t="s">
        <v>27916</v>
      </c>
      <c r="J3103" s="7">
        <v>20</v>
      </c>
      <c r="K3103" s="7">
        <v>41.6</v>
      </c>
      <c r="L3103" s="5" t="s">
        <v>27917</v>
      </c>
      <c r="M3103" s="7">
        <v>1.2</v>
      </c>
      <c r="N3103" s="7">
        <v>0.65</v>
      </c>
      <c r="O3103" s="7">
        <v>2.6269999999999998</v>
      </c>
      <c r="P3103" s="1" t="s">
        <v>27918</v>
      </c>
    </row>
    <row r="3104" spans="1:16" ht="17.05" x14ac:dyDescent="0.3">
      <c r="A3104" s="6" t="str">
        <f>HYPERLINK("https://www.ti.com/product/LM5064", "LM5064")</f>
        <v>LM5064</v>
      </c>
      <c r="B3104" s="5" t="s">
        <v>27919</v>
      </c>
      <c r="C3104" s="6" t="str">
        <f>HYPERLINK("https://www.ti.com/lit/gpn/LM5064", "PDF")</f>
        <v>PDF</v>
      </c>
      <c r="D3104" s="5" t="s">
        <v>27920</v>
      </c>
      <c r="E3104" s="5" t="s">
        <v>27921</v>
      </c>
      <c r="F3104" s="5"/>
      <c r="G3104" s="5" t="s">
        <v>27922</v>
      </c>
      <c r="H3104" s="1" t="s">
        <v>27923</v>
      </c>
      <c r="I3104" s="5" t="s">
        <v>27924</v>
      </c>
      <c r="J3104" s="7">
        <v>28</v>
      </c>
      <c r="K3104" s="7">
        <v>62.08</v>
      </c>
      <c r="L3104" s="5" t="s">
        <v>27925</v>
      </c>
      <c r="M3104" s="7">
        <v>1.2</v>
      </c>
      <c r="N3104" s="7">
        <v>0.65</v>
      </c>
      <c r="O3104" s="7">
        <v>2.6320000000000001</v>
      </c>
      <c r="P3104" s="1" t="s">
        <v>27926</v>
      </c>
    </row>
    <row r="3105" spans="1:16" ht="33.4" x14ac:dyDescent="0.3">
      <c r="A3105" s="6" t="str">
        <f>HYPERLINK("https://www.ti.com/product/LMR14203", "LMR14203")</f>
        <v>LMR14203</v>
      </c>
      <c r="B3105" s="5" t="s">
        <v>27927</v>
      </c>
      <c r="C3105" s="6" t="str">
        <f>HYPERLINK("https://www.ti.com/lit/gpn/LMR14203", "PDF")</f>
        <v>PDF</v>
      </c>
      <c r="D3105" s="5" t="s">
        <v>27928</v>
      </c>
      <c r="E3105" s="5" t="s">
        <v>27929</v>
      </c>
      <c r="F3105" s="5" t="s">
        <v>27930</v>
      </c>
      <c r="G3105" s="5" t="s">
        <v>27931</v>
      </c>
      <c r="H3105" s="1" t="s">
        <v>27932</v>
      </c>
      <c r="I3105" s="5" t="s">
        <v>27933</v>
      </c>
      <c r="J3105" s="7">
        <v>6</v>
      </c>
      <c r="K3105" s="7">
        <v>8.1199999999999992</v>
      </c>
      <c r="L3105" s="5" t="s">
        <v>27934</v>
      </c>
      <c r="M3105" s="7">
        <v>1.1000000000000001</v>
      </c>
      <c r="N3105" s="7">
        <v>0.95</v>
      </c>
      <c r="O3105" s="7">
        <v>0.95199999999999996</v>
      </c>
      <c r="P3105" s="1" t="s">
        <v>27935</v>
      </c>
    </row>
    <row r="3106" spans="1:16" ht="33.4" x14ac:dyDescent="0.3">
      <c r="A3106" s="6" t="str">
        <f>HYPERLINK("https://www.ti.com/product/LMR14206", "LMR14206")</f>
        <v>LMR14206</v>
      </c>
      <c r="B3106" s="5" t="s">
        <v>27936</v>
      </c>
      <c r="C3106" s="6" t="str">
        <f>HYPERLINK("https://www.ti.com/lit/gpn/LMR14206", "PDF")</f>
        <v>PDF</v>
      </c>
      <c r="D3106" s="5" t="s">
        <v>27937</v>
      </c>
      <c r="E3106" s="5" t="s">
        <v>27938</v>
      </c>
      <c r="F3106" s="5" t="s">
        <v>27939</v>
      </c>
      <c r="G3106" s="5" t="s">
        <v>27940</v>
      </c>
      <c r="H3106" s="1" t="s">
        <v>27941</v>
      </c>
      <c r="I3106" s="5" t="s">
        <v>27942</v>
      </c>
      <c r="J3106" s="7">
        <v>6</v>
      </c>
      <c r="K3106" s="7">
        <v>8.1199999999999992</v>
      </c>
      <c r="L3106" s="5" t="s">
        <v>27943</v>
      </c>
      <c r="M3106" s="7">
        <v>1.1000000000000001</v>
      </c>
      <c r="N3106" s="7">
        <v>0.95</v>
      </c>
      <c r="O3106" s="7">
        <v>0.85599999999999998</v>
      </c>
      <c r="P3106" s="1" t="s">
        <v>27944</v>
      </c>
    </row>
    <row r="3107" spans="1:16" ht="33.4" x14ac:dyDescent="0.3">
      <c r="A3107" s="6" t="str">
        <f>HYPERLINK("https://www.ti.com/product/LMR62421", "LMR62421")</f>
        <v>LMR62421</v>
      </c>
      <c r="B3107" s="5" t="s">
        <v>27945</v>
      </c>
      <c r="C3107" s="6" t="str">
        <f>HYPERLINK("https://www.ti.com/lit/gpn/LMR62421", "PDF")</f>
        <v>PDF</v>
      </c>
      <c r="D3107" s="5" t="s">
        <v>27946</v>
      </c>
      <c r="E3107" s="5" t="s">
        <v>27947</v>
      </c>
      <c r="F3107" s="5" t="s">
        <v>27948</v>
      </c>
      <c r="G3107" s="5" t="s">
        <v>27949</v>
      </c>
      <c r="H3107" s="1" t="s">
        <v>27950</v>
      </c>
      <c r="I3107" s="5" t="s">
        <v>27951</v>
      </c>
      <c r="J3107" s="7" t="s">
        <v>27952</v>
      </c>
      <c r="K3107" s="7" t="s">
        <v>27953</v>
      </c>
      <c r="L3107" s="5" t="s">
        <v>27954</v>
      </c>
      <c r="M3107" s="7" t="s">
        <v>27955</v>
      </c>
      <c r="N3107" s="7">
        <v>0.95</v>
      </c>
      <c r="O3107" s="7">
        <v>0.51600000000000001</v>
      </c>
      <c r="P3107" s="1" t="s">
        <v>27956</v>
      </c>
    </row>
    <row r="3108" spans="1:16" ht="33.4" x14ac:dyDescent="0.3">
      <c r="A3108" s="6" t="str">
        <f>HYPERLINK("https://www.ti.com/product/TPS3895", "TPS3895")</f>
        <v>TPS3895</v>
      </c>
      <c r="B3108" s="5" t="s">
        <v>27957</v>
      </c>
      <c r="C3108" s="6" t="str">
        <f>HYPERLINK("https://www.ti.com/lit/gpn/TPS3895", "PDF")</f>
        <v>PDF</v>
      </c>
      <c r="D3108" s="5" t="s">
        <v>27958</v>
      </c>
      <c r="E3108" s="5" t="s">
        <v>27959</v>
      </c>
      <c r="F3108" s="5"/>
      <c r="G3108" s="5" t="s">
        <v>27960</v>
      </c>
      <c r="H3108" s="1" t="s">
        <v>27961</v>
      </c>
      <c r="I3108" s="5" t="s">
        <v>27962</v>
      </c>
      <c r="J3108" s="7">
        <v>6</v>
      </c>
      <c r="K3108" s="7">
        <v>1.45</v>
      </c>
      <c r="L3108" s="5" t="s">
        <v>27963</v>
      </c>
      <c r="M3108" s="7">
        <v>0.6</v>
      </c>
      <c r="N3108" s="7">
        <v>0.5</v>
      </c>
      <c r="O3108" s="7">
        <v>0.30399999999999999</v>
      </c>
      <c r="P3108" s="1" t="s">
        <v>27964</v>
      </c>
    </row>
    <row r="3109" spans="1:16" ht="33.4" x14ac:dyDescent="0.3">
      <c r="A3109" s="6" t="str">
        <f>HYPERLINK("https://www.ti.com/product/TPS3896", "TPS3896")</f>
        <v>TPS3896</v>
      </c>
      <c r="B3109" s="5" t="s">
        <v>27965</v>
      </c>
      <c r="C3109" s="6" t="str">
        <f>HYPERLINK("https://www.ti.com/lit/gpn/TPS3896", "PDF")</f>
        <v>PDF</v>
      </c>
      <c r="D3109" s="5" t="s">
        <v>27966</v>
      </c>
      <c r="E3109" s="5" t="s">
        <v>27967</v>
      </c>
      <c r="F3109" s="5"/>
      <c r="G3109" s="5" t="s">
        <v>27968</v>
      </c>
      <c r="H3109" s="1" t="s">
        <v>27969</v>
      </c>
      <c r="I3109" s="5" t="s">
        <v>27970</v>
      </c>
      <c r="J3109" s="7">
        <v>6</v>
      </c>
      <c r="K3109" s="7">
        <v>1.45</v>
      </c>
      <c r="L3109" s="5" t="s">
        <v>27971</v>
      </c>
      <c r="M3109" s="7">
        <v>0.6</v>
      </c>
      <c r="N3109" s="7">
        <v>0.5</v>
      </c>
      <c r="O3109" s="7">
        <v>0.30399999999999999</v>
      </c>
      <c r="P3109" s="1" t="s">
        <v>27972</v>
      </c>
    </row>
    <row r="3110" spans="1:16" ht="33.4" x14ac:dyDescent="0.3">
      <c r="A3110" s="6" t="str">
        <f>HYPERLINK("https://www.ti.com/product/TPS3897", "TPS3897")</f>
        <v>TPS3897</v>
      </c>
      <c r="B3110" s="5" t="s">
        <v>27973</v>
      </c>
      <c r="C3110" s="6" t="str">
        <f>HYPERLINK("https://www.ti.com/lit/gpn/TPS3897", "PDF")</f>
        <v>PDF</v>
      </c>
      <c r="D3110" s="5" t="s">
        <v>27974</v>
      </c>
      <c r="E3110" s="5" t="s">
        <v>27975</v>
      </c>
      <c r="F3110" s="5"/>
      <c r="G3110" s="5" t="s">
        <v>27976</v>
      </c>
      <c r="H3110" s="1" t="s">
        <v>27977</v>
      </c>
      <c r="I3110" s="5" t="s">
        <v>27978</v>
      </c>
      <c r="J3110" s="7">
        <v>6</v>
      </c>
      <c r="K3110" s="7">
        <v>1.45</v>
      </c>
      <c r="L3110" s="5" t="s">
        <v>27979</v>
      </c>
      <c r="M3110" s="7">
        <v>0.6</v>
      </c>
      <c r="N3110" s="7">
        <v>0.5</v>
      </c>
      <c r="O3110" s="7">
        <v>0.26800000000000002</v>
      </c>
      <c r="P3110" s="1" t="s">
        <v>27980</v>
      </c>
    </row>
    <row r="3111" spans="1:16" ht="33.4" x14ac:dyDescent="0.3">
      <c r="A3111" s="6" t="str">
        <f>HYPERLINK("https://www.ti.com/product/TPS3898", "TPS3898")</f>
        <v>TPS3898</v>
      </c>
      <c r="B3111" s="5" t="s">
        <v>27981</v>
      </c>
      <c r="C3111" s="6" t="str">
        <f>HYPERLINK("https://www.ti.com/lit/gpn/TPS3898", "PDF")</f>
        <v>PDF</v>
      </c>
      <c r="D3111" s="5" t="s">
        <v>27982</v>
      </c>
      <c r="E3111" s="5" t="s">
        <v>27983</v>
      </c>
      <c r="F3111" s="5"/>
      <c r="G3111" s="5" t="s">
        <v>27984</v>
      </c>
      <c r="H3111" s="1" t="s">
        <v>27985</v>
      </c>
      <c r="I3111" s="5" t="s">
        <v>27986</v>
      </c>
      <c r="J3111" s="7">
        <v>6</v>
      </c>
      <c r="K3111" s="7">
        <v>1.45</v>
      </c>
      <c r="L3111" s="5" t="s">
        <v>27987</v>
      </c>
      <c r="M3111" s="7">
        <v>0.6</v>
      </c>
      <c r="N3111" s="7">
        <v>0.5</v>
      </c>
      <c r="O3111" s="7">
        <v>0.30399999999999999</v>
      </c>
      <c r="P3111" s="1" t="s">
        <v>27988</v>
      </c>
    </row>
    <row r="3112" spans="1:16" ht="33.4" x14ac:dyDescent="0.3">
      <c r="A3112" s="6" t="str">
        <f>HYPERLINK("https://www.ti.com/product/TPS65911", "TPS65911")</f>
        <v>TPS65911</v>
      </c>
      <c r="B3112" s="5" t="s">
        <v>27989</v>
      </c>
      <c r="C3112" s="6" t="str">
        <f>HYPERLINK("https://www.ti.com/lit/gpn/TPS65911", "PDF")</f>
        <v>PDF</v>
      </c>
      <c r="D3112" s="5" t="s">
        <v>27990</v>
      </c>
      <c r="E3112" s="5" t="s">
        <v>27991</v>
      </c>
      <c r="F3112" s="5"/>
      <c r="G3112" s="5" t="s">
        <v>27992</v>
      </c>
      <c r="H3112" s="1" t="s">
        <v>27993</v>
      </c>
      <c r="I3112" s="5" t="s">
        <v>27994</v>
      </c>
      <c r="J3112" s="7">
        <v>98</v>
      </c>
      <c r="K3112" s="7">
        <v>54</v>
      </c>
      <c r="L3112" s="5" t="s">
        <v>27995</v>
      </c>
      <c r="M3112" s="7">
        <v>1</v>
      </c>
      <c r="N3112" s="7">
        <v>0.65</v>
      </c>
      <c r="O3112" s="7">
        <v>4.1749999999999998</v>
      </c>
      <c r="P3112" s="1" t="s">
        <v>27996</v>
      </c>
    </row>
    <row r="3113" spans="1:16" ht="33.4" x14ac:dyDescent="0.3">
      <c r="A3113" s="6" t="str">
        <f>HYPERLINK("https://www.ti.com/product/LMR10510", "LMR10510")</f>
        <v>LMR10510</v>
      </c>
      <c r="B3113" s="5" t="s">
        <v>27997</v>
      </c>
      <c r="C3113" s="6" t="str">
        <f>HYPERLINK("https://www.ti.com/lit/gpn/LMR10510", "PDF")</f>
        <v>PDF</v>
      </c>
      <c r="D3113" s="5" t="s">
        <v>27998</v>
      </c>
      <c r="E3113" s="5" t="s">
        <v>27999</v>
      </c>
      <c r="F3113" s="5" t="s">
        <v>28000</v>
      </c>
      <c r="G3113" s="5" t="s">
        <v>28001</v>
      </c>
      <c r="H3113" s="1" t="s">
        <v>28002</v>
      </c>
      <c r="I3113" s="5" t="s">
        <v>28003</v>
      </c>
      <c r="J3113" s="7" t="s">
        <v>28004</v>
      </c>
      <c r="K3113" s="7" t="s">
        <v>28005</v>
      </c>
      <c r="L3113" s="5" t="s">
        <v>28006</v>
      </c>
      <c r="M3113" s="7" t="s">
        <v>28007</v>
      </c>
      <c r="N3113" s="7">
        <v>0.95</v>
      </c>
      <c r="O3113" s="7">
        <v>0.437</v>
      </c>
      <c r="P3113" s="1" t="s">
        <v>28008</v>
      </c>
    </row>
    <row r="3114" spans="1:16" ht="33.4" x14ac:dyDescent="0.3">
      <c r="A3114" s="6" t="str">
        <f>HYPERLINK("https://www.ti.com/product/LMR10515", "LMR10515")</f>
        <v>LMR10515</v>
      </c>
      <c r="B3114" s="5" t="s">
        <v>28009</v>
      </c>
      <c r="C3114" s="6" t="str">
        <f>HYPERLINK("https://www.ti.com/lit/gpn/LMR10515", "PDF")</f>
        <v>PDF</v>
      </c>
      <c r="D3114" s="5" t="s">
        <v>28010</v>
      </c>
      <c r="E3114" s="5" t="s">
        <v>28011</v>
      </c>
      <c r="F3114" s="5" t="s">
        <v>28012</v>
      </c>
      <c r="G3114" s="5" t="s">
        <v>28013</v>
      </c>
      <c r="H3114" s="1" t="s">
        <v>28014</v>
      </c>
      <c r="I3114" s="5" t="s">
        <v>28015</v>
      </c>
      <c r="J3114" s="7" t="s">
        <v>28016</v>
      </c>
      <c r="K3114" s="7" t="s">
        <v>28017</v>
      </c>
      <c r="L3114" s="5" t="s">
        <v>28018</v>
      </c>
      <c r="M3114" s="7" t="s">
        <v>28019</v>
      </c>
      <c r="N3114" s="7">
        <v>0.95</v>
      </c>
      <c r="O3114" s="7">
        <v>0.48299999999999998</v>
      </c>
      <c r="P3114" s="1" t="s">
        <v>28020</v>
      </c>
    </row>
    <row r="3115" spans="1:16" ht="33.4" x14ac:dyDescent="0.3">
      <c r="A3115" s="6" t="str">
        <f>HYPERLINK("https://www.ti.com/product/LMR10520", "LMR10520")</f>
        <v>LMR10520</v>
      </c>
      <c r="B3115" s="5" t="s">
        <v>28021</v>
      </c>
      <c r="C3115" s="6" t="str">
        <f>HYPERLINK("https://www.ti.com/lit/gpn/LMR10520", "PDF")</f>
        <v>PDF</v>
      </c>
      <c r="D3115" s="5" t="s">
        <v>28022</v>
      </c>
      <c r="E3115" s="5" t="s">
        <v>28023</v>
      </c>
      <c r="F3115" s="5" t="s">
        <v>28024</v>
      </c>
      <c r="G3115" s="5" t="s">
        <v>28025</v>
      </c>
      <c r="H3115" s="1" t="s">
        <v>28026</v>
      </c>
      <c r="I3115" s="5" t="s">
        <v>28027</v>
      </c>
      <c r="J3115" s="7">
        <v>6</v>
      </c>
      <c r="K3115" s="7">
        <v>9</v>
      </c>
      <c r="L3115" s="5" t="s">
        <v>28028</v>
      </c>
      <c r="M3115" s="7">
        <v>0.8</v>
      </c>
      <c r="N3115" s="7">
        <v>0.95</v>
      </c>
      <c r="O3115" s="7">
        <v>0.54100000000000004</v>
      </c>
      <c r="P3115" s="1" t="s">
        <v>28029</v>
      </c>
    </row>
    <row r="3116" spans="1:16" ht="49.75" x14ac:dyDescent="0.3">
      <c r="A3116" s="6" t="str">
        <f>HYPERLINK("https://www.ti.com/product/TPS7A3001-EP", "TPS7A3001-EP")</f>
        <v>TPS7A3001-EP</v>
      </c>
      <c r="B3116" s="5" t="s">
        <v>28030</v>
      </c>
      <c r="C3116" s="6" t="str">
        <f>HYPERLINK("https://www.ti.com/lit/gpn/TPS7A3001-EP", "PDF")</f>
        <v>PDF</v>
      </c>
      <c r="D3116" s="5" t="s">
        <v>28031</v>
      </c>
      <c r="E3116" s="5" t="s">
        <v>28032</v>
      </c>
      <c r="F3116" s="5"/>
      <c r="G3116" s="5" t="s">
        <v>28033</v>
      </c>
      <c r="H3116" s="1" t="s">
        <v>28034</v>
      </c>
      <c r="I3116" s="5" t="s">
        <v>28035</v>
      </c>
      <c r="J3116" s="7">
        <v>8</v>
      </c>
      <c r="K3116" s="7">
        <v>14.7</v>
      </c>
      <c r="L3116" s="5" t="s">
        <v>28036</v>
      </c>
      <c r="M3116" s="7">
        <v>1.1000000000000001</v>
      </c>
      <c r="N3116" s="7">
        <v>0.65</v>
      </c>
      <c r="O3116" s="7">
        <v>5.9009999999999998</v>
      </c>
      <c r="P3116" s="1" t="s">
        <v>28037</v>
      </c>
    </row>
    <row r="3117" spans="1:16" ht="33.4" x14ac:dyDescent="0.3">
      <c r="A3117" s="6" t="str">
        <f>HYPERLINK("https://www.ti.com/product/TPS54362-Q1", "TPS54362-Q1")</f>
        <v>TPS54362-Q1</v>
      </c>
      <c r="B3117" s="5" t="s">
        <v>28038</v>
      </c>
      <c r="C3117" s="6" t="str">
        <f>HYPERLINK("https://www.ti.com/lit/gpn/TPS54362-Q1", "PDF")</f>
        <v>PDF</v>
      </c>
      <c r="D3117" s="5" t="s">
        <v>28039</v>
      </c>
      <c r="E3117" s="5" t="s">
        <v>28040</v>
      </c>
      <c r="F3117" s="5" t="s">
        <v>28041</v>
      </c>
      <c r="G3117" s="5" t="s">
        <v>28042</v>
      </c>
      <c r="H3117" s="1" t="s">
        <v>28043</v>
      </c>
      <c r="I3117" s="5" t="s">
        <v>28044</v>
      </c>
      <c r="J3117" s="7">
        <v>20</v>
      </c>
      <c r="K3117" s="7">
        <v>41.6</v>
      </c>
      <c r="L3117" s="5" t="s">
        <v>28045</v>
      </c>
      <c r="M3117" s="7">
        <v>1.2</v>
      </c>
      <c r="N3117" s="7">
        <v>0.65</v>
      </c>
      <c r="O3117" s="7">
        <v>2.0129999999999999</v>
      </c>
      <c r="P3117" s="1" t="s">
        <v>28046</v>
      </c>
    </row>
    <row r="3118" spans="1:16" ht="33.4" x14ac:dyDescent="0.3">
      <c r="A3118" s="6" t="str">
        <f>HYPERLINK("https://www.ti.com/product/TPS54821", "TPS54821")</f>
        <v>TPS54821</v>
      </c>
      <c r="B3118" s="5" t="s">
        <v>28047</v>
      </c>
      <c r="C3118" s="6" t="str">
        <f>HYPERLINK("https://www.ti.com/lit/gpn/TPS54821", "PDF")</f>
        <v>PDF</v>
      </c>
      <c r="D3118" s="5" t="s">
        <v>28048</v>
      </c>
      <c r="E3118" s="5" t="s">
        <v>28049</v>
      </c>
      <c r="F3118" s="5" t="s">
        <v>28050</v>
      </c>
      <c r="G3118" s="5" t="s">
        <v>28051</v>
      </c>
      <c r="H3118" s="1" t="s">
        <v>28052</v>
      </c>
      <c r="I3118" s="5" t="s">
        <v>28053</v>
      </c>
      <c r="J3118" s="7">
        <v>14</v>
      </c>
      <c r="K3118" s="7">
        <v>12.25</v>
      </c>
      <c r="L3118" s="5" t="s">
        <v>28054</v>
      </c>
      <c r="M3118" s="7">
        <v>1</v>
      </c>
      <c r="N3118" s="7">
        <v>0.5</v>
      </c>
      <c r="O3118" s="7">
        <v>1.52</v>
      </c>
      <c r="P3118" s="1" t="s">
        <v>28055</v>
      </c>
    </row>
    <row r="3119" spans="1:16" ht="33.4" x14ac:dyDescent="0.3">
      <c r="A3119" s="6" t="str">
        <f>HYPERLINK("https://www.ti.com/product/TPS53211", "TPS53211")</f>
        <v>TPS53211</v>
      </c>
      <c r="B3119" s="5" t="s">
        <v>28056</v>
      </c>
      <c r="C3119" s="6" t="str">
        <f>HYPERLINK("https://www.ti.com/lit/gpn/TPS53211", "PDF")</f>
        <v>PDF</v>
      </c>
      <c r="D3119" s="5" t="s">
        <v>28057</v>
      </c>
      <c r="E3119" s="5" t="s">
        <v>28058</v>
      </c>
      <c r="F3119" s="5" t="s">
        <v>28059</v>
      </c>
      <c r="G3119" s="5" t="s">
        <v>28060</v>
      </c>
      <c r="H3119" s="1" t="s">
        <v>28061</v>
      </c>
      <c r="I3119" s="5" t="s">
        <v>28062</v>
      </c>
      <c r="J3119" s="7">
        <v>16</v>
      </c>
      <c r="K3119" s="7">
        <v>9</v>
      </c>
      <c r="L3119" s="5" t="s">
        <v>28063</v>
      </c>
      <c r="M3119" s="7">
        <v>1</v>
      </c>
      <c r="N3119" s="7">
        <v>0.5</v>
      </c>
      <c r="O3119" s="7">
        <v>0.67</v>
      </c>
      <c r="P3119" s="1" t="s">
        <v>28064</v>
      </c>
    </row>
    <row r="3120" spans="1:16" ht="33.4" x14ac:dyDescent="0.3">
      <c r="A3120" s="6" t="str">
        <f>HYPERLINK("https://www.ti.com/product/TLV863M", "TLV863M")</f>
        <v>TLV863M</v>
      </c>
      <c r="B3120" s="5" t="s">
        <v>28065</v>
      </c>
      <c r="C3120" s="6" t="str">
        <f>HYPERLINK("https://www.ti.com/lit/gpn/TLV863M", "PDF")</f>
        <v>PDF</v>
      </c>
      <c r="D3120" s="5" t="s">
        <v>28066</v>
      </c>
      <c r="E3120" s="5" t="s">
        <v>28067</v>
      </c>
      <c r="F3120" s="5"/>
      <c r="G3120" s="5" t="s">
        <v>28068</v>
      </c>
      <c r="H3120" s="1" t="s">
        <v>28069</v>
      </c>
      <c r="I3120" s="5" t="s">
        <v>28070</v>
      </c>
      <c r="J3120" s="7">
        <v>3</v>
      </c>
      <c r="K3120" s="7">
        <v>6.9203999999999999</v>
      </c>
      <c r="L3120" s="5" t="s">
        <v>28071</v>
      </c>
      <c r="M3120" s="7">
        <v>1.1200000000000001</v>
      </c>
      <c r="N3120" s="7">
        <v>0.96</v>
      </c>
      <c r="O3120" s="7">
        <v>0.221</v>
      </c>
      <c r="P3120" s="1" t="s">
        <v>28072</v>
      </c>
    </row>
    <row r="3121" spans="1:16" ht="17.05" x14ac:dyDescent="0.3">
      <c r="A3121" s="6" t="str">
        <f>HYPERLINK("https://www.ti.com/product/LM3435", "LM3435")</f>
        <v>LM3435</v>
      </c>
      <c r="B3121" s="5" t="s">
        <v>28073</v>
      </c>
      <c r="C3121" s="6" t="str">
        <f>HYPERLINK("https://www.ti.com/lit/gpn/LM3435", "PDF")</f>
        <v>PDF</v>
      </c>
      <c r="D3121" s="5" t="s">
        <v>28074</v>
      </c>
      <c r="E3121" s="5" t="s">
        <v>28075</v>
      </c>
      <c r="F3121" s="5"/>
      <c r="G3121" s="5" t="s">
        <v>28076</v>
      </c>
      <c r="H3121" s="1" t="s">
        <v>28077</v>
      </c>
      <c r="I3121" s="5" t="s">
        <v>28078</v>
      </c>
      <c r="J3121" s="7">
        <v>40</v>
      </c>
      <c r="K3121" s="7">
        <v>25</v>
      </c>
      <c r="L3121" s="5" t="s">
        <v>28079</v>
      </c>
      <c r="M3121" s="7">
        <v>0.8</v>
      </c>
      <c r="N3121" s="7">
        <v>0.4</v>
      </c>
      <c r="O3121" s="7">
        <v>3.117</v>
      </c>
      <c r="P3121" s="1" t="s">
        <v>28080</v>
      </c>
    </row>
    <row r="3122" spans="1:16" ht="33.4" x14ac:dyDescent="0.3">
      <c r="A3122" s="6" t="str">
        <f>HYPERLINK("https://www.ti.com/product/LMR24210", "LMR24210")</f>
        <v>LMR24210</v>
      </c>
      <c r="B3122" s="5" t="s">
        <v>28081</v>
      </c>
      <c r="C3122" s="6" t="str">
        <f>HYPERLINK("https://www.ti.com/lit/gpn/LMR24210", "PDF")</f>
        <v>PDF</v>
      </c>
      <c r="D3122" s="5" t="s">
        <v>28082</v>
      </c>
      <c r="E3122" s="5" t="s">
        <v>28083</v>
      </c>
      <c r="F3122" s="5" t="s">
        <v>28084</v>
      </c>
      <c r="G3122" s="5" t="s">
        <v>28085</v>
      </c>
      <c r="H3122" s="1" t="s">
        <v>28086</v>
      </c>
      <c r="I3122" s="5" t="s">
        <v>28087</v>
      </c>
      <c r="J3122" s="7">
        <v>28</v>
      </c>
      <c r="K3122" s="7">
        <v>0.5625</v>
      </c>
      <c r="L3122" s="5" t="s">
        <v>28088</v>
      </c>
      <c r="M3122" s="7">
        <v>0.67500000000000004</v>
      </c>
      <c r="N3122" s="7">
        <v>0.5</v>
      </c>
      <c r="O3122" s="7">
        <v>1.806</v>
      </c>
      <c r="P3122" s="1" t="s">
        <v>28089</v>
      </c>
    </row>
    <row r="3123" spans="1:16" ht="33.4" x14ac:dyDescent="0.3">
      <c r="A3123" s="6" t="str">
        <f>HYPERLINK("https://www.ti.com/product/LMR24220", "LMR24220")</f>
        <v>LMR24220</v>
      </c>
      <c r="B3123" s="5" t="s">
        <v>28090</v>
      </c>
      <c r="C3123" s="6" t="str">
        <f>HYPERLINK("https://www.ti.com/lit/gpn/LMR24220", "PDF")</f>
        <v>PDF</v>
      </c>
      <c r="D3123" s="5" t="s">
        <v>28091</v>
      </c>
      <c r="E3123" s="5" t="s">
        <v>28092</v>
      </c>
      <c r="F3123" s="5" t="s">
        <v>28093</v>
      </c>
      <c r="G3123" s="5" t="s">
        <v>28094</v>
      </c>
      <c r="H3123" s="1" t="s">
        <v>28095</v>
      </c>
      <c r="I3123" s="5" t="s">
        <v>28096</v>
      </c>
      <c r="J3123" s="7">
        <v>28</v>
      </c>
      <c r="K3123" s="7">
        <v>0.5625</v>
      </c>
      <c r="L3123" s="5" t="s">
        <v>28097</v>
      </c>
      <c r="M3123" s="7">
        <v>0.67500000000000004</v>
      </c>
      <c r="N3123" s="7">
        <v>0.5</v>
      </c>
      <c r="O3123" s="7">
        <v>1.9359999999999999</v>
      </c>
      <c r="P3123" s="1" t="s">
        <v>28098</v>
      </c>
    </row>
    <row r="3124" spans="1:16" ht="33.4" x14ac:dyDescent="0.3">
      <c r="A3124" s="6" t="str">
        <f>HYPERLINK("https://www.ti.com/product/CSD87330Q3D", "CSD87330Q3D")</f>
        <v>CSD87330Q3D</v>
      </c>
      <c r="B3124" s="5" t="s">
        <v>28099</v>
      </c>
      <c r="C3124" s="6" t="str">
        <f>HYPERLINK("https://www.ti.com/lit/gpn/CSD87330Q3D", "PDF")</f>
        <v>PDF</v>
      </c>
      <c r="D3124" s="5" t="s">
        <v>28100</v>
      </c>
      <c r="E3124" s="5" t="s">
        <v>28101</v>
      </c>
      <c r="F3124" s="5"/>
      <c r="G3124" s="5" t="s">
        <v>28102</v>
      </c>
      <c r="H3124" s="1" t="s">
        <v>28103</v>
      </c>
      <c r="I3124" s="5" t="s">
        <v>28104</v>
      </c>
      <c r="J3124" s="7">
        <v>8</v>
      </c>
      <c r="K3124" s="7">
        <v>10.89</v>
      </c>
      <c r="L3124" s="5" t="s">
        <v>28105</v>
      </c>
      <c r="M3124" s="7">
        <v>1.05</v>
      </c>
      <c r="N3124" s="7">
        <v>0.65</v>
      </c>
      <c r="O3124" s="7">
        <v>0.37</v>
      </c>
      <c r="P3124" s="1" t="s">
        <v>28106</v>
      </c>
    </row>
    <row r="3125" spans="1:16" ht="33.4" x14ac:dyDescent="0.3">
      <c r="A3125" s="6" t="str">
        <f>HYPERLINK("https://www.ti.com/product/CSD87331Q3D", "CSD87331Q3D")</f>
        <v>CSD87331Q3D</v>
      </c>
      <c r="B3125" s="5" t="s">
        <v>28107</v>
      </c>
      <c r="C3125" s="6" t="str">
        <f>HYPERLINK("https://www.ti.com/lit/gpn/CSD87331Q3D", "PDF")</f>
        <v>PDF</v>
      </c>
      <c r="D3125" s="5" t="s">
        <v>28108</v>
      </c>
      <c r="E3125" s="5" t="s">
        <v>28109</v>
      </c>
      <c r="F3125" s="5"/>
      <c r="G3125" s="5" t="s">
        <v>28110</v>
      </c>
      <c r="H3125" s="1" t="s">
        <v>28111</v>
      </c>
      <c r="I3125" s="5" t="s">
        <v>28112</v>
      </c>
      <c r="J3125" s="7">
        <v>8</v>
      </c>
      <c r="K3125" s="7">
        <v>10.89</v>
      </c>
      <c r="L3125" s="5" t="s">
        <v>28113</v>
      </c>
      <c r="M3125" s="7">
        <v>1.6</v>
      </c>
      <c r="N3125" s="7">
        <v>0.65</v>
      </c>
      <c r="O3125" s="7">
        <v>0.33500000000000002</v>
      </c>
      <c r="P3125" s="1" t="s">
        <v>28114</v>
      </c>
    </row>
    <row r="3126" spans="1:16" ht="33.4" x14ac:dyDescent="0.3">
      <c r="A3126" s="6" t="str">
        <f>HYPERLINK("https://www.ti.com/product/CSD87353Q5D", "CSD87353Q5D")</f>
        <v>CSD87353Q5D</v>
      </c>
      <c r="B3126" s="5" t="s">
        <v>28115</v>
      </c>
      <c r="C3126" s="6" t="str">
        <f>HYPERLINK("https://www.ti.com/lit/gpn/CSD87353Q5D", "PDF")</f>
        <v>PDF</v>
      </c>
      <c r="D3126" s="5" t="s">
        <v>28116</v>
      </c>
      <c r="E3126" s="5" t="s">
        <v>28117</v>
      </c>
      <c r="F3126" s="5"/>
      <c r="G3126" s="5" t="s">
        <v>28118</v>
      </c>
      <c r="H3126" s="1" t="s">
        <v>28119</v>
      </c>
      <c r="I3126" s="5" t="s">
        <v>28120</v>
      </c>
      <c r="J3126" s="7">
        <v>8</v>
      </c>
      <c r="K3126" s="7">
        <v>30</v>
      </c>
      <c r="L3126" s="5" t="s">
        <v>28121</v>
      </c>
      <c r="M3126" s="7">
        <v>1.6</v>
      </c>
      <c r="N3126" s="7">
        <v>1.27</v>
      </c>
      <c r="O3126" s="7">
        <v>0.85499999999999998</v>
      </c>
      <c r="P3126" s="1" t="s">
        <v>28122</v>
      </c>
    </row>
    <row r="3127" spans="1:16" ht="33.4" x14ac:dyDescent="0.3">
      <c r="A3127" s="6" t="str">
        <f>HYPERLINK("https://www.ti.com/product/CSD97370AQ5M", "CSD97370AQ5M")</f>
        <v>CSD97370AQ5M</v>
      </c>
      <c r="B3127" s="5" t="s">
        <v>28123</v>
      </c>
      <c r="C3127" s="6" t="str">
        <f>HYPERLINK("https://www.ti.com/lit/gpn/CSD97370AQ5M", "PDF")</f>
        <v>PDF</v>
      </c>
      <c r="D3127" s="5" t="s">
        <v>28124</v>
      </c>
      <c r="E3127" s="5" t="s">
        <v>28125</v>
      </c>
      <c r="F3127" s="5"/>
      <c r="G3127" s="5" t="s">
        <v>28126</v>
      </c>
      <c r="H3127" s="1" t="s">
        <v>28127</v>
      </c>
      <c r="I3127" s="5" t="s">
        <v>28128</v>
      </c>
      <c r="J3127" s="7">
        <v>22</v>
      </c>
      <c r="K3127" s="7">
        <v>30</v>
      </c>
      <c r="L3127" s="5" t="s">
        <v>28129</v>
      </c>
      <c r="M3127" s="7">
        <v>1.5</v>
      </c>
      <c r="N3127" s="7">
        <v>0.5</v>
      </c>
      <c r="O3127" s="7">
        <v>1.3560000000000001</v>
      </c>
      <c r="P3127" s="1" t="s">
        <v>28130</v>
      </c>
    </row>
    <row r="3128" spans="1:16" ht="33.4" x14ac:dyDescent="0.3">
      <c r="A3128" s="6" t="str">
        <f>HYPERLINK("https://www.ti.com/product/LMR62014", "LMR62014")</f>
        <v>LMR62014</v>
      </c>
      <c r="B3128" s="5" t="s">
        <v>28131</v>
      </c>
      <c r="C3128" s="6" t="str">
        <f>HYPERLINK("https://www.ti.com/lit/gpn/LMR62014", "PDF")</f>
        <v>PDF</v>
      </c>
      <c r="D3128" s="5" t="s">
        <v>28132</v>
      </c>
      <c r="E3128" s="5" t="s">
        <v>28133</v>
      </c>
      <c r="F3128" s="5" t="s">
        <v>28134</v>
      </c>
      <c r="G3128" s="5" t="s">
        <v>28135</v>
      </c>
      <c r="H3128" s="1" t="s">
        <v>28136</v>
      </c>
      <c r="I3128" s="5" t="s">
        <v>28137</v>
      </c>
      <c r="J3128" s="7">
        <v>5</v>
      </c>
      <c r="K3128" s="7">
        <v>8.1199999999999992</v>
      </c>
      <c r="L3128" s="5" t="s">
        <v>28138</v>
      </c>
      <c r="M3128" s="7">
        <v>1.45</v>
      </c>
      <c r="N3128" s="7">
        <v>0.95</v>
      </c>
      <c r="O3128" s="7">
        <v>0.41799999999999998</v>
      </c>
      <c r="P3128" s="1" t="s">
        <v>28139</v>
      </c>
    </row>
    <row r="3129" spans="1:16" ht="33.4" x14ac:dyDescent="0.3">
      <c r="A3129" s="6" t="str">
        <f>HYPERLINK("https://www.ti.com/product/TPS2066-Q1", "TPS2066-Q1")</f>
        <v>TPS2066-Q1</v>
      </c>
      <c r="B3129" s="5" t="s">
        <v>28140</v>
      </c>
      <c r="C3129" s="6" t="str">
        <f>HYPERLINK("https://www.ti.com/lit/gpn/TPS2066-Q1", "PDF")</f>
        <v>PDF</v>
      </c>
      <c r="D3129" s="5" t="s">
        <v>28141</v>
      </c>
      <c r="E3129" s="5" t="s">
        <v>28142</v>
      </c>
      <c r="F3129" s="5"/>
      <c r="G3129" s="5" t="s">
        <v>28143</v>
      </c>
      <c r="H3129" s="1" t="s">
        <v>28144</v>
      </c>
      <c r="I3129" s="5" t="s">
        <v>28145</v>
      </c>
      <c r="J3129" s="7">
        <v>8</v>
      </c>
      <c r="K3129" s="7">
        <v>14.7</v>
      </c>
      <c r="L3129" s="5" t="s">
        <v>28146</v>
      </c>
      <c r="M3129" s="7">
        <v>1.1000000000000001</v>
      </c>
      <c r="N3129" s="7">
        <v>0.65</v>
      </c>
      <c r="O3129" s="7">
        <v>0.96</v>
      </c>
      <c r="P3129" s="1" t="s">
        <v>28147</v>
      </c>
    </row>
    <row r="3130" spans="1:16" ht="33.4" x14ac:dyDescent="0.3">
      <c r="A3130" s="6" t="str">
        <f>HYPERLINK("https://www.ti.com/product/TPS54229", "TPS54229")</f>
        <v>TPS54229</v>
      </c>
      <c r="B3130" s="5" t="s">
        <v>28148</v>
      </c>
      <c r="C3130" s="6" t="str">
        <f>HYPERLINK("https://www.ti.com/lit/gpn/TPS54229", "PDF")</f>
        <v>PDF</v>
      </c>
      <c r="D3130" s="5" t="s">
        <v>28149</v>
      </c>
      <c r="E3130" s="5" t="s">
        <v>28150</v>
      </c>
      <c r="F3130" s="5" t="s">
        <v>28151</v>
      </c>
      <c r="G3130" s="5" t="s">
        <v>28152</v>
      </c>
      <c r="H3130" s="1" t="s">
        <v>28153</v>
      </c>
      <c r="I3130" s="5" t="s">
        <v>28154</v>
      </c>
      <c r="J3130" s="7">
        <v>8</v>
      </c>
      <c r="K3130" s="7">
        <v>29.4</v>
      </c>
      <c r="L3130" s="5" t="s">
        <v>28155</v>
      </c>
      <c r="M3130" s="7">
        <v>1.7</v>
      </c>
      <c r="N3130" s="7">
        <v>1.27</v>
      </c>
      <c r="O3130" s="7">
        <v>0.35699999999999998</v>
      </c>
      <c r="P3130" s="1" t="s">
        <v>28156</v>
      </c>
    </row>
    <row r="3131" spans="1:16" ht="33.4" x14ac:dyDescent="0.3">
      <c r="A3131" s="6" t="str">
        <f>HYPERLINK("https://www.ti.com/product/TPS652510", "TPS652510")</f>
        <v>TPS652510</v>
      </c>
      <c r="B3131" s="5" t="s">
        <v>28157</v>
      </c>
      <c r="C3131" s="6" t="str">
        <f>HYPERLINK("https://www.ti.com/lit/gpn/TPS652510", "PDF")</f>
        <v>PDF</v>
      </c>
      <c r="D3131" s="5" t="s">
        <v>28158</v>
      </c>
      <c r="E3131" s="5" t="s">
        <v>28159</v>
      </c>
      <c r="F3131" s="5" t="s">
        <v>28160</v>
      </c>
      <c r="G3131" s="5" t="s">
        <v>28161</v>
      </c>
      <c r="H3131" s="1" t="s">
        <v>28162</v>
      </c>
      <c r="I3131" s="5" t="s">
        <v>28163</v>
      </c>
      <c r="J3131" s="7">
        <v>40</v>
      </c>
      <c r="K3131" s="7">
        <v>36</v>
      </c>
      <c r="L3131" s="5" t="s">
        <v>28164</v>
      </c>
      <c r="M3131" s="7">
        <v>1</v>
      </c>
      <c r="N3131" s="7">
        <v>0.5</v>
      </c>
      <c r="O3131" s="7">
        <v>1.7809999999999999</v>
      </c>
      <c r="P3131" s="1" t="s">
        <v>28165</v>
      </c>
    </row>
    <row r="3132" spans="1:16" ht="33.4" x14ac:dyDescent="0.3">
      <c r="A3132" s="6" t="str">
        <f>HYPERLINK("https://www.ti.com/product/TPS7A6401-Q1", "TPS7A6401-Q1")</f>
        <v>TPS7A6401-Q1</v>
      </c>
      <c r="B3132" s="5" t="s">
        <v>28166</v>
      </c>
      <c r="C3132" s="6" t="str">
        <f>HYPERLINK("https://www.ti.com/lit/gpn/TPS7A6401-Q1", "PDF")</f>
        <v>PDF</v>
      </c>
      <c r="D3132" s="5" t="s">
        <v>28167</v>
      </c>
      <c r="E3132" s="5" t="s">
        <v>28168</v>
      </c>
      <c r="F3132" s="5"/>
      <c r="G3132" s="5" t="s">
        <v>28169</v>
      </c>
      <c r="H3132" s="1" t="s">
        <v>28170</v>
      </c>
      <c r="I3132" s="5" t="s">
        <v>28171</v>
      </c>
      <c r="J3132" s="7">
        <v>14</v>
      </c>
      <c r="K3132" s="7">
        <v>32</v>
      </c>
      <c r="L3132" s="5" t="s">
        <v>28172</v>
      </c>
      <c r="M3132" s="7">
        <v>1.2</v>
      </c>
      <c r="N3132" s="7">
        <v>0.65</v>
      </c>
      <c r="O3132" s="7">
        <v>1.4470000000000001</v>
      </c>
      <c r="P3132" s="1" t="s">
        <v>28173</v>
      </c>
    </row>
    <row r="3133" spans="1:16" ht="49.75" x14ac:dyDescent="0.3">
      <c r="A3133" s="6" t="str">
        <f>HYPERLINK("https://www.ti.com/product/TPS84210", "TPS84210")</f>
        <v>TPS84210</v>
      </c>
      <c r="B3133" s="5" t="s">
        <v>28174</v>
      </c>
      <c r="C3133" s="6" t="str">
        <f>HYPERLINK("https://www.ti.com/lit/gpn/TPS84210", "PDF")</f>
        <v>PDF</v>
      </c>
      <c r="D3133" s="5" t="s">
        <v>28175</v>
      </c>
      <c r="E3133" s="5" t="s">
        <v>28176</v>
      </c>
      <c r="F3133" s="5" t="s">
        <v>28177</v>
      </c>
      <c r="G3133" s="5" t="s">
        <v>28178</v>
      </c>
      <c r="H3133" s="1" t="s">
        <v>28179</v>
      </c>
      <c r="I3133" s="5" t="s">
        <v>28180</v>
      </c>
      <c r="J3133" s="7">
        <v>39</v>
      </c>
      <c r="K3133" s="7">
        <v>99</v>
      </c>
      <c r="L3133" s="5" t="s">
        <v>28181</v>
      </c>
      <c r="M3133" s="7">
        <v>2.9</v>
      </c>
      <c r="N3133" s="7">
        <v>0.9</v>
      </c>
      <c r="O3133" s="7">
        <v>2.34</v>
      </c>
      <c r="P3133" s="1" t="s">
        <v>28182</v>
      </c>
    </row>
    <row r="3134" spans="1:16" ht="33.4" x14ac:dyDescent="0.3">
      <c r="A3134" s="6" t="str">
        <f>HYPERLINK("https://www.ti.com/product/TPS84320", "TPS84320")</f>
        <v>TPS84320</v>
      </c>
      <c r="B3134" s="5" t="s">
        <v>28183</v>
      </c>
      <c r="C3134" s="6" t="str">
        <f>HYPERLINK("https://www.ti.com/lit/gpn/TPS84320", "PDF")</f>
        <v>PDF</v>
      </c>
      <c r="D3134" s="5" t="s">
        <v>28184</v>
      </c>
      <c r="E3134" s="5" t="s">
        <v>28185</v>
      </c>
      <c r="F3134" s="5" t="s">
        <v>28186</v>
      </c>
      <c r="G3134" s="5" t="s">
        <v>28187</v>
      </c>
      <c r="H3134" s="1" t="s">
        <v>28188</v>
      </c>
      <c r="I3134" s="5" t="s">
        <v>28189</v>
      </c>
      <c r="J3134" s="7">
        <v>47</v>
      </c>
      <c r="K3134" s="7">
        <v>135</v>
      </c>
      <c r="L3134" s="5" t="s">
        <v>28190</v>
      </c>
      <c r="M3134" s="7">
        <v>2.9</v>
      </c>
      <c r="N3134" s="7">
        <v>0.9</v>
      </c>
      <c r="O3134" s="7">
        <v>5.0599999999999996</v>
      </c>
      <c r="P3134" s="1" t="s">
        <v>28191</v>
      </c>
    </row>
    <row r="3135" spans="1:16" ht="49.75" x14ac:dyDescent="0.3">
      <c r="A3135" s="6" t="str">
        <f>HYPERLINK("https://www.ti.com/product/TPS84410", "TPS84410")</f>
        <v>TPS84410</v>
      </c>
      <c r="B3135" s="5" t="s">
        <v>28192</v>
      </c>
      <c r="C3135" s="6" t="str">
        <f>HYPERLINK("https://www.ti.com/lit/gpn/TPS84410", "PDF")</f>
        <v>PDF</v>
      </c>
      <c r="D3135" s="5" t="s">
        <v>28193</v>
      </c>
      <c r="E3135" s="5" t="s">
        <v>28194</v>
      </c>
      <c r="F3135" s="5" t="s">
        <v>28195</v>
      </c>
      <c r="G3135" s="5" t="s">
        <v>28196</v>
      </c>
      <c r="H3135" s="1" t="s">
        <v>28197</v>
      </c>
      <c r="I3135" s="5" t="s">
        <v>28198</v>
      </c>
      <c r="J3135" s="7">
        <v>39</v>
      </c>
      <c r="K3135" s="7">
        <v>99</v>
      </c>
      <c r="L3135" s="5" t="s">
        <v>28199</v>
      </c>
      <c r="M3135" s="7">
        <v>2.9</v>
      </c>
      <c r="N3135" s="7">
        <v>0.9</v>
      </c>
      <c r="O3135" s="7">
        <v>3.7949999999999999</v>
      </c>
      <c r="P3135" s="1" t="s">
        <v>28200</v>
      </c>
    </row>
    <row r="3136" spans="1:16" ht="33.4" x14ac:dyDescent="0.3">
      <c r="A3136" s="6" t="str">
        <f>HYPERLINK("https://www.ti.com/product/BUF20800-Q1", "BUF20800-Q1")</f>
        <v>BUF20800-Q1</v>
      </c>
      <c r="B3136" s="5" t="s">
        <v>28201</v>
      </c>
      <c r="C3136" s="6" t="str">
        <f>HYPERLINK("https://www.ti.com/lit/gpn/BUF20800-Q1", "PDF")</f>
        <v>PDF</v>
      </c>
      <c r="D3136" s="5" t="s">
        <v>28202</v>
      </c>
      <c r="E3136" s="5" t="s">
        <v>28203</v>
      </c>
      <c r="F3136" s="5"/>
      <c r="G3136" s="5" t="s">
        <v>28204</v>
      </c>
      <c r="H3136" s="1" t="s">
        <v>28205</v>
      </c>
      <c r="I3136" s="5" t="s">
        <v>28206</v>
      </c>
      <c r="J3136" s="7">
        <v>38</v>
      </c>
      <c r="K3136" s="7">
        <v>62.08</v>
      </c>
      <c r="L3136" s="5" t="s">
        <v>28207</v>
      </c>
      <c r="M3136" s="7">
        <v>1.2</v>
      </c>
      <c r="N3136" s="7">
        <v>0.5</v>
      </c>
      <c r="O3136" s="7">
        <v>3.5219999999999998</v>
      </c>
      <c r="P3136" s="1" t="s">
        <v>28208</v>
      </c>
    </row>
    <row r="3137" spans="1:16" ht="17.05" x14ac:dyDescent="0.3">
      <c r="A3137" s="6" t="str">
        <f>HYPERLINK("https://www.ti.com/product/TPS22933", "TPS22933")</f>
        <v>TPS22933</v>
      </c>
      <c r="B3137" s="5" t="s">
        <v>28209</v>
      </c>
      <c r="C3137" s="6" t="str">
        <f>HYPERLINK("https://www.ti.com/lit/gpn/TPS22933", "PDF")</f>
        <v>PDF</v>
      </c>
      <c r="D3137" s="5" t="s">
        <v>28210</v>
      </c>
      <c r="E3137" s="5" t="s">
        <v>28211</v>
      </c>
      <c r="F3137" s="5"/>
      <c r="G3137" s="5" t="s">
        <v>28212</v>
      </c>
      <c r="H3137" s="1" t="s">
        <v>28213</v>
      </c>
      <c r="I3137" s="5" t="s">
        <v>28214</v>
      </c>
      <c r="J3137" s="7">
        <v>8</v>
      </c>
      <c r="K3137" s="7">
        <v>2.25</v>
      </c>
      <c r="L3137" s="5" t="s">
        <v>28215</v>
      </c>
      <c r="M3137" s="7">
        <v>0.6</v>
      </c>
      <c r="N3137" s="7">
        <v>0.5</v>
      </c>
      <c r="O3137" s="7">
        <v>0.33700000000000002</v>
      </c>
      <c r="P3137" s="1" t="s">
        <v>28216</v>
      </c>
    </row>
    <row r="3138" spans="1:16" ht="33.4" x14ac:dyDescent="0.3">
      <c r="A3138" s="6" t="str">
        <f>HYPERLINK("https://www.ti.com/product/TPS54519", "TPS54519")</f>
        <v>TPS54519</v>
      </c>
      <c r="B3138" s="5" t="s">
        <v>28217</v>
      </c>
      <c r="C3138" s="6" t="str">
        <f>HYPERLINK("https://www.ti.com/lit/gpn/TPS54519", "PDF")</f>
        <v>PDF</v>
      </c>
      <c r="D3138" s="5" t="s">
        <v>28218</v>
      </c>
      <c r="E3138" s="5" t="s">
        <v>28219</v>
      </c>
      <c r="F3138" s="5" t="s">
        <v>28220</v>
      </c>
      <c r="G3138" s="5" t="s">
        <v>28221</v>
      </c>
      <c r="H3138" s="1" t="s">
        <v>28222</v>
      </c>
      <c r="I3138" s="5" t="s">
        <v>28223</v>
      </c>
      <c r="J3138" s="7">
        <v>16</v>
      </c>
      <c r="K3138" s="7">
        <v>9</v>
      </c>
      <c r="L3138" s="5" t="s">
        <v>28224</v>
      </c>
      <c r="M3138" s="7">
        <v>0.8</v>
      </c>
      <c r="N3138" s="7">
        <v>0.5</v>
      </c>
      <c r="O3138" s="7">
        <v>0.91100000000000003</v>
      </c>
      <c r="P3138" s="1" t="s">
        <v>28225</v>
      </c>
    </row>
    <row r="3139" spans="1:16" ht="33.4" x14ac:dyDescent="0.3">
      <c r="A3139" s="6" t="str">
        <f>HYPERLINK("https://www.ti.com/product/TPS54623", "TPS54623")</f>
        <v>TPS54623</v>
      </c>
      <c r="B3139" s="5" t="s">
        <v>28226</v>
      </c>
      <c r="C3139" s="6" t="str">
        <f>HYPERLINK("https://www.ti.com/lit/gpn/TPS54623", "PDF")</f>
        <v>PDF</v>
      </c>
      <c r="D3139" s="5" t="s">
        <v>28227</v>
      </c>
      <c r="E3139" s="5" t="s">
        <v>28228</v>
      </c>
      <c r="F3139" s="5" t="s">
        <v>28229</v>
      </c>
      <c r="G3139" s="5" t="s">
        <v>28230</v>
      </c>
      <c r="H3139" s="1" t="s">
        <v>28231</v>
      </c>
      <c r="I3139" s="5" t="s">
        <v>28232</v>
      </c>
      <c r="J3139" s="7">
        <v>14</v>
      </c>
      <c r="K3139" s="7">
        <v>12.25</v>
      </c>
      <c r="L3139" s="5" t="s">
        <v>28233</v>
      </c>
      <c r="M3139" s="7">
        <v>1</v>
      </c>
      <c r="N3139" s="7">
        <v>0.5</v>
      </c>
      <c r="O3139" s="7">
        <v>1.5049999999999999</v>
      </c>
      <c r="P3139" s="1" t="s">
        <v>28234</v>
      </c>
    </row>
    <row r="3140" spans="1:16" ht="33.4" x14ac:dyDescent="0.3">
      <c r="A3140" s="6" t="str">
        <f>HYPERLINK("https://www.ti.com/product/TPS61170-Q1", "TPS61170-Q1")</f>
        <v>TPS61170-Q1</v>
      </c>
      <c r="B3140" s="5" t="s">
        <v>28235</v>
      </c>
      <c r="C3140" s="6" t="str">
        <f>HYPERLINK("https://www.ti.com/lit/gpn/TPS61170-Q1", "PDF")</f>
        <v>PDF</v>
      </c>
      <c r="D3140" s="5" t="s">
        <v>28236</v>
      </c>
      <c r="E3140" s="5" t="s">
        <v>28237</v>
      </c>
      <c r="F3140" s="5" t="s">
        <v>28238</v>
      </c>
      <c r="G3140" s="5" t="s">
        <v>28239</v>
      </c>
      <c r="H3140" s="1" t="s">
        <v>28240</v>
      </c>
      <c r="I3140" s="5" t="s">
        <v>28241</v>
      </c>
      <c r="J3140" s="7">
        <v>6</v>
      </c>
      <c r="K3140" s="7">
        <v>4</v>
      </c>
      <c r="L3140" s="5" t="s">
        <v>28242</v>
      </c>
      <c r="M3140" s="7">
        <v>0.8</v>
      </c>
      <c r="N3140" s="7">
        <v>0.65</v>
      </c>
      <c r="O3140" s="7">
        <v>1.139</v>
      </c>
      <c r="P3140" s="1" t="s">
        <v>28243</v>
      </c>
    </row>
    <row r="3141" spans="1:16" ht="17.05" x14ac:dyDescent="0.3">
      <c r="A3141" s="6" t="str">
        <f>HYPERLINK("https://www.ti.com/product/TPS22913", "TPS22913")</f>
        <v>TPS22913</v>
      </c>
      <c r="B3141" s="5" t="s">
        <v>28244</v>
      </c>
      <c r="C3141" s="6" t="str">
        <f>HYPERLINK("https://www.ti.com/lit/gpn/TPS22913", "PDF")</f>
        <v>PDF</v>
      </c>
      <c r="D3141" s="5" t="s">
        <v>28245</v>
      </c>
      <c r="E3141" s="5" t="s">
        <v>28246</v>
      </c>
      <c r="F3141" s="5"/>
      <c r="G3141" s="5" t="s">
        <v>28247</v>
      </c>
      <c r="H3141" s="1" t="s">
        <v>28248</v>
      </c>
      <c r="I3141" s="5" t="s">
        <v>28249</v>
      </c>
      <c r="J3141" s="7">
        <v>4</v>
      </c>
      <c r="K3141" s="7">
        <v>1.5625</v>
      </c>
      <c r="L3141" s="5" t="s">
        <v>28250</v>
      </c>
      <c r="M3141" s="7">
        <v>0.5</v>
      </c>
      <c r="N3141" s="7">
        <v>0.5</v>
      </c>
      <c r="O3141" s="7">
        <v>0.224</v>
      </c>
      <c r="P3141" s="1" t="s">
        <v>28251</v>
      </c>
    </row>
    <row r="3142" spans="1:16" ht="33.4" x14ac:dyDescent="0.3">
      <c r="A3142" s="6" t="str">
        <f>HYPERLINK("https://www.ti.com/product/TPS54329", "TPS54329")</f>
        <v>TPS54329</v>
      </c>
      <c r="B3142" s="5" t="s">
        <v>28252</v>
      </c>
      <c r="C3142" s="6" t="str">
        <f>HYPERLINK("https://www.ti.com/lit/gpn/TPS54329", "PDF")</f>
        <v>PDF</v>
      </c>
      <c r="D3142" s="5" t="s">
        <v>28253</v>
      </c>
      <c r="E3142" s="5" t="s">
        <v>28254</v>
      </c>
      <c r="F3142" s="5" t="s">
        <v>28255</v>
      </c>
      <c r="G3142" s="5" t="s">
        <v>28256</v>
      </c>
      <c r="H3142" s="1" t="s">
        <v>28257</v>
      </c>
      <c r="I3142" s="5" t="s">
        <v>28258</v>
      </c>
      <c r="J3142" s="7">
        <v>8</v>
      </c>
      <c r="K3142" s="7">
        <v>29.4</v>
      </c>
      <c r="L3142" s="5" t="s">
        <v>28259</v>
      </c>
      <c r="M3142" s="7">
        <v>1.7</v>
      </c>
      <c r="N3142" s="7">
        <v>1.27</v>
      </c>
      <c r="O3142" s="7">
        <v>0.63500000000000001</v>
      </c>
      <c r="P3142" s="1" t="s">
        <v>28260</v>
      </c>
    </row>
    <row r="3143" spans="1:16" ht="33.4" x14ac:dyDescent="0.3">
      <c r="A3143" s="6" t="str">
        <f>HYPERLINK("https://www.ti.com/product/TPS62080", "TPS62080")</f>
        <v>TPS62080</v>
      </c>
      <c r="B3143" s="5" t="s">
        <v>28261</v>
      </c>
      <c r="C3143" s="6" t="str">
        <f>HYPERLINK("https://www.ti.com/lit/gpn/TPS62080", "PDF")</f>
        <v>PDF</v>
      </c>
      <c r="D3143" s="5" t="s">
        <v>28262</v>
      </c>
      <c r="E3143" s="5" t="s">
        <v>28263</v>
      </c>
      <c r="F3143" s="5" t="s">
        <v>28264</v>
      </c>
      <c r="G3143" s="5" t="s">
        <v>28265</v>
      </c>
      <c r="H3143" s="1" t="s">
        <v>28266</v>
      </c>
      <c r="I3143" s="5" t="s">
        <v>28267</v>
      </c>
      <c r="J3143" s="7">
        <v>8</v>
      </c>
      <c r="K3143" s="7">
        <v>4</v>
      </c>
      <c r="L3143" s="5" t="s">
        <v>28268</v>
      </c>
      <c r="M3143" s="7">
        <v>0.8</v>
      </c>
      <c r="N3143" s="7">
        <v>0.5</v>
      </c>
      <c r="O3143" s="7">
        <v>0.63500000000000001</v>
      </c>
      <c r="P3143" s="1" t="s">
        <v>28269</v>
      </c>
    </row>
    <row r="3144" spans="1:16" ht="33.4" x14ac:dyDescent="0.3">
      <c r="A3144" s="6" t="str">
        <f>HYPERLINK("https://www.ti.com/product/TPS62081", "TPS62081")</f>
        <v>TPS62081</v>
      </c>
      <c r="B3144" s="5" t="s">
        <v>28270</v>
      </c>
      <c r="C3144" s="6" t="str">
        <f>HYPERLINK("https://www.ti.com/lit/gpn/TPS62081", "PDF")</f>
        <v>PDF</v>
      </c>
      <c r="D3144" s="5" t="s">
        <v>28271</v>
      </c>
      <c r="E3144" s="5" t="s">
        <v>28272</v>
      </c>
      <c r="F3144" s="5" t="s">
        <v>28273</v>
      </c>
      <c r="G3144" s="5" t="s">
        <v>28274</v>
      </c>
      <c r="H3144" s="1" t="s">
        <v>28275</v>
      </c>
      <c r="I3144" s="5" t="s">
        <v>28276</v>
      </c>
      <c r="J3144" s="7">
        <v>8</v>
      </c>
      <c r="K3144" s="7">
        <v>4</v>
      </c>
      <c r="L3144" s="5" t="s">
        <v>28277</v>
      </c>
      <c r="M3144" s="7">
        <v>0.8</v>
      </c>
      <c r="N3144" s="7">
        <v>0.5</v>
      </c>
      <c r="O3144" s="7">
        <v>0.63500000000000001</v>
      </c>
      <c r="P3144" s="1" t="s">
        <v>28278</v>
      </c>
    </row>
    <row r="3145" spans="1:16" ht="33.4" x14ac:dyDescent="0.3">
      <c r="A3145" s="6" t="str">
        <f>HYPERLINK("https://www.ti.com/product/TPS62082", "TPS62082")</f>
        <v>TPS62082</v>
      </c>
      <c r="B3145" s="5" t="s">
        <v>28279</v>
      </c>
      <c r="C3145" s="6" t="str">
        <f>HYPERLINK("https://www.ti.com/lit/gpn/TPS62082", "PDF")</f>
        <v>PDF</v>
      </c>
      <c r="D3145" s="5" t="s">
        <v>28280</v>
      </c>
      <c r="E3145" s="5" t="s">
        <v>28281</v>
      </c>
      <c r="F3145" s="5" t="s">
        <v>28282</v>
      </c>
      <c r="G3145" s="5" t="s">
        <v>28283</v>
      </c>
      <c r="H3145" s="1" t="s">
        <v>28284</v>
      </c>
      <c r="I3145" s="5" t="s">
        <v>28285</v>
      </c>
      <c r="J3145" s="7">
        <v>8</v>
      </c>
      <c r="K3145" s="7">
        <v>4</v>
      </c>
      <c r="L3145" s="5" t="s">
        <v>28286</v>
      </c>
      <c r="M3145" s="7">
        <v>0.8</v>
      </c>
      <c r="N3145" s="7">
        <v>0.5</v>
      </c>
      <c r="O3145" s="7">
        <v>0.63500000000000001</v>
      </c>
      <c r="P3145" s="1" t="s">
        <v>28287</v>
      </c>
    </row>
    <row r="3146" spans="1:16" ht="33.4" x14ac:dyDescent="0.3">
      <c r="A3146" s="6" t="str">
        <f>HYPERLINK("https://www.ti.com/product/TPS65257", "TPS65257")</f>
        <v>TPS65257</v>
      </c>
      <c r="B3146" s="5" t="s">
        <v>28288</v>
      </c>
      <c r="C3146" s="6" t="str">
        <f>HYPERLINK("https://www.ti.com/lit/gpn/TPS65257", "PDF")</f>
        <v>PDF</v>
      </c>
      <c r="D3146" s="5" t="s">
        <v>28289</v>
      </c>
      <c r="E3146" s="5" t="s">
        <v>28290</v>
      </c>
      <c r="F3146" s="5" t="s">
        <v>28291</v>
      </c>
      <c r="G3146" s="5" t="s">
        <v>28292</v>
      </c>
      <c r="H3146" s="1" t="s">
        <v>28293</v>
      </c>
      <c r="I3146" s="5" t="s">
        <v>28294</v>
      </c>
      <c r="J3146" s="7">
        <v>40</v>
      </c>
      <c r="K3146" s="7">
        <v>36</v>
      </c>
      <c r="L3146" s="5" t="s">
        <v>28295</v>
      </c>
      <c r="M3146" s="7">
        <v>1</v>
      </c>
      <c r="N3146" s="7">
        <v>0.5</v>
      </c>
      <c r="O3146" s="7">
        <v>2.024</v>
      </c>
      <c r="P3146" s="1" t="s">
        <v>28296</v>
      </c>
    </row>
    <row r="3147" spans="1:16" ht="33.4" x14ac:dyDescent="0.3">
      <c r="A3147" s="6" t="str">
        <f>HYPERLINK("https://www.ti.com/product/TPS65258", "TPS65258")</f>
        <v>TPS65258</v>
      </c>
      <c r="B3147" s="5" t="s">
        <v>28297</v>
      </c>
      <c r="C3147" s="6" t="str">
        <f>HYPERLINK("https://www.ti.com/lit/gpn/TPS65258", "PDF")</f>
        <v>PDF</v>
      </c>
      <c r="D3147" s="5" t="s">
        <v>28298</v>
      </c>
      <c r="E3147" s="5" t="s">
        <v>28299</v>
      </c>
      <c r="F3147" s="5" t="s">
        <v>28300</v>
      </c>
      <c r="G3147" s="5" t="s">
        <v>28301</v>
      </c>
      <c r="H3147" s="1" t="s">
        <v>28302</v>
      </c>
      <c r="I3147" s="5" t="s">
        <v>28303</v>
      </c>
      <c r="J3147" s="7">
        <v>40</v>
      </c>
      <c r="K3147" s="7">
        <v>36</v>
      </c>
      <c r="L3147" s="5" t="s">
        <v>28304</v>
      </c>
      <c r="M3147" s="7">
        <v>1</v>
      </c>
      <c r="N3147" s="7">
        <v>0.5</v>
      </c>
      <c r="O3147" s="7">
        <v>2.3279999999999998</v>
      </c>
      <c r="P3147" s="1" t="s">
        <v>28305</v>
      </c>
    </row>
    <row r="3148" spans="1:16" ht="49.75" x14ac:dyDescent="0.3">
      <c r="A3148" s="6" t="str">
        <f>HYPERLINK("https://www.ti.com/product/TPS2041B-EP", "TPS2041B-EP")</f>
        <v>TPS2041B-EP</v>
      </c>
      <c r="B3148" s="5" t="s">
        <v>28306</v>
      </c>
      <c r="C3148" s="6" t="str">
        <f>HYPERLINK("https://www.ti.com/lit/gpn/TPS2041B-EP", "PDF")</f>
        <v>PDF</v>
      </c>
      <c r="D3148" s="5" t="s">
        <v>28307</v>
      </c>
      <c r="E3148" s="5" t="s">
        <v>28308</v>
      </c>
      <c r="F3148" s="5"/>
      <c r="G3148" s="5" t="s">
        <v>28309</v>
      </c>
      <c r="H3148" s="1" t="s">
        <v>28310</v>
      </c>
      <c r="I3148" s="5" t="s">
        <v>28311</v>
      </c>
      <c r="J3148" s="7">
        <v>5</v>
      </c>
      <c r="K3148" s="7">
        <v>8.1199999999999992</v>
      </c>
      <c r="L3148" s="5" t="s">
        <v>28312</v>
      </c>
      <c r="M3148" s="7">
        <v>1.45</v>
      </c>
      <c r="N3148" s="7">
        <v>0.95</v>
      </c>
      <c r="O3148" s="7">
        <v>1.7</v>
      </c>
      <c r="P3148" s="1" t="s">
        <v>28313</v>
      </c>
    </row>
    <row r="3149" spans="1:16" ht="82.5" x14ac:dyDescent="0.3">
      <c r="A3149" s="6" t="str">
        <f>HYPERLINK("https://www.ti.com/product/TPS61254", "TPS61254")</f>
        <v>TPS61254</v>
      </c>
      <c r="B3149" s="5" t="s">
        <v>28314</v>
      </c>
      <c r="C3149" s="6" t="str">
        <f>HYPERLINK("https://www.ti.com/lit/gpn/TPS61254", "PDF")</f>
        <v>PDF</v>
      </c>
      <c r="D3149" s="5" t="s">
        <v>28315</v>
      </c>
      <c r="E3149" s="5" t="s">
        <v>28316</v>
      </c>
      <c r="F3149" s="5" t="s">
        <v>28317</v>
      </c>
      <c r="G3149" s="5" t="s">
        <v>28318</v>
      </c>
      <c r="H3149" s="1" t="s">
        <v>28319</v>
      </c>
      <c r="I3149" s="5" t="s">
        <v>28320</v>
      </c>
      <c r="J3149" s="7">
        <v>9</v>
      </c>
      <c r="K3149" s="7">
        <v>1.9600000000000002</v>
      </c>
      <c r="L3149" s="5" t="s">
        <v>28321</v>
      </c>
      <c r="M3149" s="7">
        <v>0.625</v>
      </c>
      <c r="N3149" s="7">
        <v>0.4</v>
      </c>
      <c r="O3149" s="7">
        <v>0.41799999999999998</v>
      </c>
      <c r="P3149" s="1" t="s">
        <v>28322</v>
      </c>
    </row>
    <row r="3150" spans="1:16" ht="17.05" x14ac:dyDescent="0.3">
      <c r="A3150" s="6" t="str">
        <f>HYPERLINK("https://www.ti.com/product/TPS65176", "TPS65176")</f>
        <v>TPS65176</v>
      </c>
      <c r="B3150" s="5" t="s">
        <v>28323</v>
      </c>
      <c r="C3150" s="6" t="str">
        <f>HYPERLINK("https://www.ti.com/lit/gpn/TPS65176", "PDF")</f>
        <v>PDF</v>
      </c>
      <c r="D3150" s="5" t="s">
        <v>28324</v>
      </c>
      <c r="E3150" s="5" t="s">
        <v>28325</v>
      </c>
      <c r="F3150" s="5" t="s">
        <v>28326</v>
      </c>
      <c r="G3150" s="5" t="s">
        <v>28327</v>
      </c>
      <c r="H3150" s="1" t="s">
        <v>28328</v>
      </c>
      <c r="I3150" s="5" t="s">
        <v>28329</v>
      </c>
      <c r="J3150" s="7">
        <v>28</v>
      </c>
      <c r="K3150" s="7">
        <v>25</v>
      </c>
      <c r="L3150" s="5" t="s">
        <v>28330</v>
      </c>
      <c r="M3150" s="7">
        <v>1</v>
      </c>
      <c r="N3150" s="7">
        <v>0.5</v>
      </c>
      <c r="O3150" s="7">
        <v>1.1639999999999999</v>
      </c>
      <c r="P3150" s="1" t="s">
        <v>28331</v>
      </c>
    </row>
    <row r="3151" spans="1:16" ht="33.4" x14ac:dyDescent="0.3">
      <c r="A3151" s="6" t="str">
        <f>HYPERLINK("https://www.ti.com/product/LM5066", "LM5066")</f>
        <v>LM5066</v>
      </c>
      <c r="B3151" s="5" t="s">
        <v>28332</v>
      </c>
      <c r="C3151" s="6" t="str">
        <f>HYPERLINK("https://www.ti.com/lit/gpn/LM5066", "PDF")</f>
        <v>PDF</v>
      </c>
      <c r="D3151" s="5" t="s">
        <v>28333</v>
      </c>
      <c r="E3151" s="5" t="s">
        <v>28334</v>
      </c>
      <c r="F3151" s="5"/>
      <c r="G3151" s="5" t="s">
        <v>28335</v>
      </c>
      <c r="H3151" s="1" t="s">
        <v>28336</v>
      </c>
      <c r="I3151" s="5" t="s">
        <v>28337</v>
      </c>
      <c r="J3151" s="7">
        <v>28</v>
      </c>
      <c r="K3151" s="7">
        <v>62.08</v>
      </c>
      <c r="L3151" s="5" t="s">
        <v>28338</v>
      </c>
      <c r="M3151" s="7">
        <v>1.2</v>
      </c>
      <c r="N3151" s="7">
        <v>0.65</v>
      </c>
      <c r="O3151" s="7">
        <v>3.4980000000000002</v>
      </c>
      <c r="P3151" s="1" t="s">
        <v>28339</v>
      </c>
    </row>
    <row r="3152" spans="1:16" ht="33.4" x14ac:dyDescent="0.3">
      <c r="A3152" s="6" t="str">
        <f>HYPERLINK("https://www.ti.com/product/LMR12010", "LMR12010")</f>
        <v>LMR12010</v>
      </c>
      <c r="B3152" s="5" t="s">
        <v>28340</v>
      </c>
      <c r="C3152" s="6" t="str">
        <f>HYPERLINK("https://www.ti.com/lit/gpn/LMR12010", "PDF")</f>
        <v>PDF</v>
      </c>
      <c r="D3152" s="5" t="s">
        <v>28341</v>
      </c>
      <c r="E3152" s="5" t="s">
        <v>28342</v>
      </c>
      <c r="F3152" s="5" t="s">
        <v>28343</v>
      </c>
      <c r="G3152" s="5" t="s">
        <v>28344</v>
      </c>
      <c r="H3152" s="1" t="s">
        <v>28345</v>
      </c>
      <c r="I3152" s="5" t="s">
        <v>28346</v>
      </c>
      <c r="J3152" s="7">
        <v>6</v>
      </c>
      <c r="K3152" s="7">
        <v>8.1199999999999992</v>
      </c>
      <c r="L3152" s="5" t="s">
        <v>28347</v>
      </c>
      <c r="M3152" s="7">
        <v>1.1000000000000001</v>
      </c>
      <c r="N3152" s="7">
        <v>0.95</v>
      </c>
      <c r="O3152" s="7">
        <v>0.97899999999999998</v>
      </c>
      <c r="P3152" s="1" t="s">
        <v>28348</v>
      </c>
    </row>
    <row r="3153" spans="1:16" ht="33.4" x14ac:dyDescent="0.3">
      <c r="A3153" s="6" t="str">
        <f>HYPERLINK("https://www.ti.com/product/LMR64010", "LMR64010")</f>
        <v>LMR64010</v>
      </c>
      <c r="B3153" s="5" t="s">
        <v>28349</v>
      </c>
      <c r="C3153" s="6" t="str">
        <f>HYPERLINK("https://www.ti.com/lit/gpn/LMR64010", "PDF")</f>
        <v>PDF</v>
      </c>
      <c r="D3153" s="5" t="s">
        <v>28350</v>
      </c>
      <c r="E3153" s="5" t="s">
        <v>28351</v>
      </c>
      <c r="F3153" s="5" t="s">
        <v>28352</v>
      </c>
      <c r="G3153" s="5" t="s">
        <v>28353</v>
      </c>
      <c r="H3153" s="1" t="s">
        <v>28354</v>
      </c>
      <c r="I3153" s="5" t="s">
        <v>28355</v>
      </c>
      <c r="J3153" s="7">
        <v>5</v>
      </c>
      <c r="K3153" s="7">
        <v>8.1199999999999992</v>
      </c>
      <c r="L3153" s="5" t="s">
        <v>28356</v>
      </c>
      <c r="M3153" s="7">
        <v>1.45</v>
      </c>
      <c r="N3153" s="7">
        <v>0.95</v>
      </c>
      <c r="O3153" s="7">
        <v>0.66800000000000004</v>
      </c>
      <c r="P3153" s="1" t="s">
        <v>28357</v>
      </c>
    </row>
    <row r="3154" spans="1:16" ht="17.05" x14ac:dyDescent="0.3">
      <c r="A3154" s="6" t="str">
        <f>HYPERLINK("https://www.ti.com/product/TPS65186", "TPS65186")</f>
        <v>TPS65186</v>
      </c>
      <c r="B3154" s="5" t="s">
        <v>28358</v>
      </c>
      <c r="C3154" s="6" t="str">
        <f>HYPERLINK("https://www.ti.com/lit/gpn/TPS65186", "PDF")</f>
        <v>PDF</v>
      </c>
      <c r="D3154" s="5" t="s">
        <v>28359</v>
      </c>
      <c r="E3154" s="5" t="s">
        <v>28360</v>
      </c>
      <c r="F3154" s="5"/>
      <c r="G3154" s="5" t="s">
        <v>28361</v>
      </c>
      <c r="H3154" s="1" t="s">
        <v>28362</v>
      </c>
      <c r="I3154" s="5" t="s">
        <v>28363</v>
      </c>
      <c r="J3154" s="7">
        <v>48</v>
      </c>
      <c r="K3154" s="7">
        <v>49</v>
      </c>
      <c r="L3154" s="5" t="s">
        <v>28364</v>
      </c>
      <c r="M3154" s="7">
        <v>1</v>
      </c>
      <c r="N3154" s="7">
        <v>0.5</v>
      </c>
      <c r="O3154" s="7">
        <v>2.1520000000000001</v>
      </c>
      <c r="P3154" s="1" t="s">
        <v>28365</v>
      </c>
    </row>
    <row r="3155" spans="1:16" ht="33.4" x14ac:dyDescent="0.3">
      <c r="A3155" s="6" t="str">
        <f>HYPERLINK("https://www.ti.com/product/TPS65270", "TPS65270")</f>
        <v>TPS65270</v>
      </c>
      <c r="B3155" s="5" t="s">
        <v>28366</v>
      </c>
      <c r="C3155" s="6" t="str">
        <f>HYPERLINK("https://www.ti.com/lit/gpn/TPS65270", "PDF")</f>
        <v>PDF</v>
      </c>
      <c r="D3155" s="5" t="s">
        <v>28367</v>
      </c>
      <c r="E3155" s="5" t="s">
        <v>28368</v>
      </c>
      <c r="F3155" s="5" t="s">
        <v>28369</v>
      </c>
      <c r="G3155" s="5" t="s">
        <v>28370</v>
      </c>
      <c r="H3155" s="1" t="s">
        <v>28371</v>
      </c>
      <c r="I3155" s="5" t="s">
        <v>28372</v>
      </c>
      <c r="J3155" s="7">
        <v>24</v>
      </c>
      <c r="K3155" s="7" t="s">
        <v>28373</v>
      </c>
      <c r="L3155" s="5" t="s">
        <v>28374</v>
      </c>
      <c r="M3155" s="7" t="s">
        <v>28375</v>
      </c>
      <c r="N3155" s="7" t="s">
        <v>28376</v>
      </c>
      <c r="O3155" s="7">
        <v>1.113</v>
      </c>
      <c r="P3155" s="1" t="s">
        <v>28377</v>
      </c>
    </row>
    <row r="3156" spans="1:16" ht="33.4" x14ac:dyDescent="0.3">
      <c r="A3156" s="6" t="str">
        <f>HYPERLINK("https://www.ti.com/product/LP38691-Q1", "LP38691-Q1")</f>
        <v>LP38691-Q1</v>
      </c>
      <c r="B3156" s="5" t="s">
        <v>28378</v>
      </c>
      <c r="C3156" s="6" t="str">
        <f>HYPERLINK("https://www.ti.com/lit/gpn/LP38691-Q1", "PDF")</f>
        <v>PDF</v>
      </c>
      <c r="D3156" s="5" t="s">
        <v>28379</v>
      </c>
      <c r="E3156" s="5" t="s">
        <v>28380</v>
      </c>
      <c r="F3156" s="5"/>
      <c r="G3156" s="5" t="s">
        <v>28381</v>
      </c>
      <c r="H3156" s="1" t="s">
        <v>28382</v>
      </c>
      <c r="I3156" s="5" t="s">
        <v>28383</v>
      </c>
      <c r="J3156" s="7">
        <v>6</v>
      </c>
      <c r="K3156" s="7">
        <v>9</v>
      </c>
      <c r="L3156" s="5" t="s">
        <v>28384</v>
      </c>
      <c r="M3156" s="7">
        <v>0.8</v>
      </c>
      <c r="N3156" s="7">
        <v>0.95</v>
      </c>
      <c r="O3156" s="7">
        <v>0.71799999999999997</v>
      </c>
      <c r="P3156" s="1" t="s">
        <v>28385</v>
      </c>
    </row>
    <row r="3157" spans="1:16" ht="33.4" x14ac:dyDescent="0.3">
      <c r="A3157" s="6" t="str">
        <f>HYPERLINK("https://www.ti.com/product/LP5904", "LP5904")</f>
        <v>LP5904</v>
      </c>
      <c r="B3157" s="5" t="s">
        <v>28386</v>
      </c>
      <c r="C3157" s="6" t="str">
        <f>HYPERLINK("https://www.ti.com/lit/gpn/LP5904", "PDF")</f>
        <v>PDF</v>
      </c>
      <c r="D3157" s="5" t="s">
        <v>28387</v>
      </c>
      <c r="E3157" s="5" t="s">
        <v>28388</v>
      </c>
      <c r="F3157" s="5"/>
      <c r="G3157" s="5" t="s">
        <v>28389</v>
      </c>
      <c r="H3157" s="1" t="s">
        <v>28390</v>
      </c>
      <c r="I3157" s="5" t="s">
        <v>28391</v>
      </c>
      <c r="J3157" s="7">
        <v>4</v>
      </c>
      <c r="K3157" s="7">
        <v>1</v>
      </c>
      <c r="L3157" s="5" t="s">
        <v>28392</v>
      </c>
      <c r="M3157" s="7">
        <v>0.67500000000000004</v>
      </c>
      <c r="N3157" s="7">
        <v>0.4</v>
      </c>
      <c r="O3157" s="7">
        <v>0.253</v>
      </c>
      <c r="P3157" s="1" t="s">
        <v>28393</v>
      </c>
    </row>
    <row r="3158" spans="1:16" ht="33.4" x14ac:dyDescent="0.3">
      <c r="A3158" s="6" t="str">
        <f>HYPERLINK("https://www.ti.com/product/UCC28063", "UCC28063")</f>
        <v>UCC28063</v>
      </c>
      <c r="B3158" s="5" t="s">
        <v>28394</v>
      </c>
      <c r="C3158" s="6" t="str">
        <f>HYPERLINK("https://www.ti.com/lit/gpn/UCC28063", "PDF")</f>
        <v>PDF</v>
      </c>
      <c r="D3158" s="5" t="s">
        <v>28395</v>
      </c>
      <c r="E3158" s="5" t="s">
        <v>28396</v>
      </c>
      <c r="F3158" s="5" t="s">
        <v>28397</v>
      </c>
      <c r="G3158" s="5" t="s">
        <v>28398</v>
      </c>
      <c r="H3158" s="1" t="s">
        <v>28399</v>
      </c>
      <c r="I3158" s="5" t="s">
        <v>28400</v>
      </c>
      <c r="J3158" s="7">
        <v>16</v>
      </c>
      <c r="K3158" s="7">
        <v>59.4</v>
      </c>
      <c r="L3158" s="5" t="s">
        <v>28401</v>
      </c>
      <c r="M3158" s="7">
        <v>1.75</v>
      </c>
      <c r="N3158" s="7">
        <v>1.27</v>
      </c>
      <c r="O3158" s="7">
        <v>0.80500000000000005</v>
      </c>
      <c r="P3158" s="1" t="s">
        <v>28402</v>
      </c>
    </row>
    <row r="3159" spans="1:16" ht="33.4" x14ac:dyDescent="0.3">
      <c r="A3159" s="6" t="str">
        <f>HYPERLINK("https://www.ti.com/product/TLV705", "TLV705")</f>
        <v>TLV705</v>
      </c>
      <c r="B3159" s="5" t="s">
        <v>28403</v>
      </c>
      <c r="C3159" s="6" t="str">
        <f>HYPERLINK("https://www.ti.com/lit/gpn/TLV705", "PDF")</f>
        <v>PDF</v>
      </c>
      <c r="D3159" s="5" t="s">
        <v>28404</v>
      </c>
      <c r="E3159" s="5" t="s">
        <v>28405</v>
      </c>
      <c r="F3159" s="5"/>
      <c r="G3159" s="5" t="s">
        <v>28406</v>
      </c>
      <c r="H3159" s="1" t="s">
        <v>28407</v>
      </c>
      <c r="I3159" s="5" t="s">
        <v>28408</v>
      </c>
      <c r="J3159" s="7">
        <v>4</v>
      </c>
      <c r="K3159" s="7" t="s">
        <v>28409</v>
      </c>
      <c r="L3159" s="5" t="s">
        <v>28410</v>
      </c>
      <c r="M3159" s="7" t="s">
        <v>28411</v>
      </c>
      <c r="N3159" s="7">
        <v>0.4</v>
      </c>
      <c r="O3159" s="7">
        <v>0.114</v>
      </c>
      <c r="P3159" s="1" t="s">
        <v>28412</v>
      </c>
    </row>
    <row r="3160" spans="1:16" ht="33.4" x14ac:dyDescent="0.3">
      <c r="A3160" s="6" t="str">
        <f>HYPERLINK("https://www.ti.com/product/TPS2051C", "TPS2051C")</f>
        <v>TPS2051C</v>
      </c>
      <c r="B3160" s="5" t="s">
        <v>28413</v>
      </c>
      <c r="C3160" s="6" t="str">
        <f>HYPERLINK("https://www.ti.com/lit/gpn/TPS2051C", "PDF")</f>
        <v>PDF</v>
      </c>
      <c r="D3160" s="5" t="s">
        <v>28414</v>
      </c>
      <c r="E3160" s="5" t="s">
        <v>28415</v>
      </c>
      <c r="F3160" s="5"/>
      <c r="G3160" s="5" t="s">
        <v>28416</v>
      </c>
      <c r="H3160" s="1" t="s">
        <v>28417</v>
      </c>
      <c r="I3160" s="5" t="s">
        <v>28418</v>
      </c>
      <c r="J3160" s="7">
        <v>5</v>
      </c>
      <c r="K3160" s="7">
        <v>8.1199999999999992</v>
      </c>
      <c r="L3160" s="5" t="s">
        <v>28419</v>
      </c>
      <c r="M3160" s="7">
        <v>1.45</v>
      </c>
      <c r="N3160" s="7">
        <v>0.95</v>
      </c>
      <c r="O3160" s="7">
        <v>0.193</v>
      </c>
      <c r="P3160" s="1" t="s">
        <v>28420</v>
      </c>
    </row>
    <row r="3161" spans="1:16" ht="49.75" x14ac:dyDescent="0.3">
      <c r="A3161" s="6" t="str">
        <f>HYPERLINK("https://www.ti.com/product/TPS82676", "TPS82676")</f>
        <v>TPS82676</v>
      </c>
      <c r="B3161" s="5" t="s">
        <v>28421</v>
      </c>
      <c r="C3161" s="6" t="str">
        <f>HYPERLINK("https://www.ti.com/lit/gpn/TPS82676", "PDF")</f>
        <v>PDF</v>
      </c>
      <c r="D3161" s="5" t="s">
        <v>28422</v>
      </c>
      <c r="E3161" s="5" t="s">
        <v>28423</v>
      </c>
      <c r="F3161" s="5" t="s">
        <v>28424</v>
      </c>
      <c r="G3161" s="5" t="s">
        <v>28425</v>
      </c>
      <c r="H3161" s="1" t="s">
        <v>28426</v>
      </c>
      <c r="I3161" s="5" t="s">
        <v>28427</v>
      </c>
      <c r="J3161" s="7">
        <v>8</v>
      </c>
      <c r="K3161" s="7">
        <v>6.67</v>
      </c>
      <c r="L3161" s="5" t="s">
        <v>28428</v>
      </c>
      <c r="M3161" s="7">
        <v>1</v>
      </c>
      <c r="N3161" s="7">
        <v>1</v>
      </c>
      <c r="O3161" s="7">
        <v>1.012</v>
      </c>
      <c r="P3161" s="1" t="s">
        <v>28429</v>
      </c>
    </row>
    <row r="3162" spans="1:16" ht="33.4" x14ac:dyDescent="0.3">
      <c r="A3162" s="6" t="str">
        <f>HYPERLINK("https://www.ti.com/product/TPS65951", "TPS65951")</f>
        <v>TPS65951</v>
      </c>
      <c r="B3162" s="5" t="s">
        <v>28430</v>
      </c>
      <c r="C3162" s="6" t="str">
        <f>HYPERLINK("https://www.ti.com/lit/gpn/TPS65951", "PDF")</f>
        <v>PDF</v>
      </c>
      <c r="D3162" s="5" t="s">
        <v>28431</v>
      </c>
      <c r="E3162" s="5" t="s">
        <v>28432</v>
      </c>
      <c r="F3162" s="5"/>
      <c r="G3162" s="5" t="s">
        <v>28433</v>
      </c>
      <c r="H3162" s="1" t="s">
        <v>28434</v>
      </c>
      <c r="I3162" s="5" t="s">
        <v>28435</v>
      </c>
      <c r="J3162" s="7">
        <v>169</v>
      </c>
      <c r="K3162" s="7">
        <v>144</v>
      </c>
      <c r="L3162" s="5" t="s">
        <v>28436</v>
      </c>
      <c r="M3162" s="7">
        <v>1.4</v>
      </c>
      <c r="N3162" s="7">
        <v>0.8</v>
      </c>
      <c r="O3162" s="7">
        <v>5.8079999999999998</v>
      </c>
      <c r="P3162" s="1" t="s">
        <v>28437</v>
      </c>
    </row>
    <row r="3163" spans="1:16" ht="33.4" x14ac:dyDescent="0.3">
      <c r="A3163" s="6" t="str">
        <f>HYPERLINK("https://www.ti.com/product/TPS53353", "TPS53353")</f>
        <v>TPS53353</v>
      </c>
      <c r="B3163" s="5" t="s">
        <v>28438</v>
      </c>
      <c r="C3163" s="6" t="str">
        <f>HYPERLINK("https://www.ti.com/lit/gpn/TPS53353", "PDF")</f>
        <v>PDF</v>
      </c>
      <c r="D3163" s="5" t="s">
        <v>28439</v>
      </c>
      <c r="E3163" s="5" t="s">
        <v>28440</v>
      </c>
      <c r="F3163" s="5" t="s">
        <v>28441</v>
      </c>
      <c r="G3163" s="5" t="s">
        <v>28442</v>
      </c>
      <c r="H3163" s="1" t="s">
        <v>28443</v>
      </c>
      <c r="I3163" s="5" t="s">
        <v>28444</v>
      </c>
      <c r="J3163" s="7">
        <v>22</v>
      </c>
      <c r="K3163" s="7">
        <v>30</v>
      </c>
      <c r="L3163" s="5" t="s">
        <v>28445</v>
      </c>
      <c r="M3163" s="7">
        <v>1.5</v>
      </c>
      <c r="N3163" s="7">
        <v>0.5</v>
      </c>
      <c r="O3163" s="7">
        <v>2.9580000000000002</v>
      </c>
      <c r="P3163" s="1" t="s">
        <v>28446</v>
      </c>
    </row>
    <row r="3164" spans="1:16" ht="33.4" x14ac:dyDescent="0.3">
      <c r="A3164" s="6" t="str">
        <f>HYPERLINK("https://www.ti.com/product/TPS54527", "TPS54527")</f>
        <v>TPS54527</v>
      </c>
      <c r="B3164" s="5" t="s">
        <v>28447</v>
      </c>
      <c r="C3164" s="6" t="str">
        <f>HYPERLINK("https://www.ti.com/lit/gpn/TPS54527", "PDF")</f>
        <v>PDF</v>
      </c>
      <c r="D3164" s="5" t="s">
        <v>28448</v>
      </c>
      <c r="E3164" s="5" t="s">
        <v>28449</v>
      </c>
      <c r="F3164" s="5" t="s">
        <v>28450</v>
      </c>
      <c r="G3164" s="5" t="s">
        <v>28451</v>
      </c>
      <c r="H3164" s="1" t="s">
        <v>28452</v>
      </c>
      <c r="I3164" s="5" t="s">
        <v>28453</v>
      </c>
      <c r="J3164" s="7">
        <v>8</v>
      </c>
      <c r="K3164" s="7">
        <v>29.4</v>
      </c>
      <c r="L3164" s="5" t="s">
        <v>28454</v>
      </c>
      <c r="M3164" s="7">
        <v>1.7</v>
      </c>
      <c r="N3164" s="7">
        <v>1.27</v>
      </c>
      <c r="O3164" s="7">
        <v>0.69599999999999995</v>
      </c>
      <c r="P3164" s="1" t="s">
        <v>28455</v>
      </c>
    </row>
    <row r="3165" spans="1:16" ht="33.4" x14ac:dyDescent="0.3">
      <c r="A3165" s="6" t="str">
        <f>HYPERLINK("https://www.ti.com/product/TPS54528", "TPS54528")</f>
        <v>TPS54528</v>
      </c>
      <c r="B3165" s="5" t="s">
        <v>28456</v>
      </c>
      <c r="C3165" s="6" t="str">
        <f>HYPERLINK("https://www.ti.com/lit/gpn/TPS54528", "PDF")</f>
        <v>PDF</v>
      </c>
      <c r="D3165" s="5" t="s">
        <v>28457</v>
      </c>
      <c r="E3165" s="5" t="s">
        <v>28458</v>
      </c>
      <c r="F3165" s="5" t="s">
        <v>28459</v>
      </c>
      <c r="G3165" s="5" t="s">
        <v>28460</v>
      </c>
      <c r="H3165" s="1" t="s">
        <v>28461</v>
      </c>
      <c r="I3165" s="5" t="s">
        <v>28462</v>
      </c>
      <c r="J3165" s="7">
        <v>8</v>
      </c>
      <c r="K3165" s="7">
        <v>29.4</v>
      </c>
      <c r="L3165" s="5" t="s">
        <v>28463</v>
      </c>
      <c r="M3165" s="7">
        <v>1.7</v>
      </c>
      <c r="N3165" s="7">
        <v>1.27</v>
      </c>
      <c r="O3165" s="7">
        <v>0.71599999999999997</v>
      </c>
      <c r="P3165" s="1" t="s">
        <v>28464</v>
      </c>
    </row>
    <row r="3166" spans="1:16" ht="33.4" x14ac:dyDescent="0.3">
      <c r="A3166" s="6" t="str">
        <f>HYPERLINK("https://www.ti.com/product/TPS65137AS", "TPS65137AS")</f>
        <v>TPS65137AS</v>
      </c>
      <c r="B3166" s="5" t="s">
        <v>28465</v>
      </c>
      <c r="C3166" s="6" t="str">
        <f>HYPERLINK("https://www.ti.com/lit/gpn/TPS65137AS", "PDF")</f>
        <v>PDF</v>
      </c>
      <c r="D3166" s="5" t="s">
        <v>28466</v>
      </c>
      <c r="E3166" s="5" t="s">
        <v>28467</v>
      </c>
      <c r="F3166" s="5" t="s">
        <v>28468</v>
      </c>
      <c r="G3166" s="5" t="s">
        <v>28469</v>
      </c>
      <c r="H3166" s="1" t="s">
        <v>28470</v>
      </c>
      <c r="I3166" s="5" t="s">
        <v>28471</v>
      </c>
      <c r="J3166" s="7">
        <v>10</v>
      </c>
      <c r="K3166" s="7">
        <v>9</v>
      </c>
      <c r="L3166" s="5" t="s">
        <v>28472</v>
      </c>
      <c r="M3166" s="7">
        <v>0.8</v>
      </c>
      <c r="N3166" s="7">
        <v>0.5</v>
      </c>
      <c r="O3166" s="7">
        <v>0.43</v>
      </c>
      <c r="P3166" s="1" t="s">
        <v>28473</v>
      </c>
    </row>
    <row r="3167" spans="1:16" ht="33.4" x14ac:dyDescent="0.3">
      <c r="A3167" s="6" t="str">
        <f>HYPERLINK("https://www.ti.com/product/TPS62362", "TPS62362")</f>
        <v>TPS62362</v>
      </c>
      <c r="B3167" s="5" t="s">
        <v>28474</v>
      </c>
      <c r="C3167" s="6" t="str">
        <f>HYPERLINK("https://www.ti.com/lit/gpn/TPS62362", "PDF")</f>
        <v>PDF</v>
      </c>
      <c r="D3167" s="5" t="s">
        <v>28475</v>
      </c>
      <c r="E3167" s="5" t="s">
        <v>28476</v>
      </c>
      <c r="F3167" s="5" t="s">
        <v>28477</v>
      </c>
      <c r="G3167" s="5" t="s">
        <v>28478</v>
      </c>
      <c r="H3167" s="1" t="s">
        <v>28479</v>
      </c>
      <c r="I3167" s="5" t="s">
        <v>28480</v>
      </c>
      <c r="J3167" s="7">
        <v>16</v>
      </c>
      <c r="K3167" s="7">
        <v>5.0625</v>
      </c>
      <c r="L3167" s="5" t="s">
        <v>28481</v>
      </c>
      <c r="M3167" s="7">
        <v>0.625</v>
      </c>
      <c r="N3167" s="7">
        <v>0.5</v>
      </c>
      <c r="O3167" s="7">
        <v>0.81200000000000006</v>
      </c>
      <c r="P3167" s="1" t="s">
        <v>28482</v>
      </c>
    </row>
    <row r="3168" spans="1:16" ht="17.05" x14ac:dyDescent="0.3">
      <c r="A3168" s="6" t="str">
        <f>HYPERLINK("https://www.ti.com/product/UCD9090", "UCD9090")</f>
        <v>UCD9090</v>
      </c>
      <c r="B3168" s="5" t="s">
        <v>28483</v>
      </c>
      <c r="C3168" s="6" t="str">
        <f>HYPERLINK("https://www.ti.com/lit/gpn/UCD9090", "PDF")</f>
        <v>PDF</v>
      </c>
      <c r="D3168" s="5" t="s">
        <v>28484</v>
      </c>
      <c r="E3168" s="5" t="s">
        <v>28485</v>
      </c>
      <c r="F3168" s="5"/>
      <c r="G3168" s="5" t="s">
        <v>28486</v>
      </c>
      <c r="H3168" s="1" t="s">
        <v>28487</v>
      </c>
      <c r="I3168" s="5" t="s">
        <v>28488</v>
      </c>
      <c r="J3168" s="7">
        <v>48</v>
      </c>
      <c r="K3168" s="7">
        <v>49</v>
      </c>
      <c r="L3168" s="5" t="s">
        <v>28489</v>
      </c>
      <c r="M3168" s="7">
        <v>1</v>
      </c>
      <c r="N3168" s="7">
        <v>0.5</v>
      </c>
      <c r="O3168" s="7">
        <v>4.3570000000000002</v>
      </c>
      <c r="P3168" s="1" t="s">
        <v>28490</v>
      </c>
    </row>
    <row r="3169" spans="1:16" ht="33.4" x14ac:dyDescent="0.3">
      <c r="A3169" s="6" t="str">
        <f>HYPERLINK("https://www.ti.com/product/TPS2000C", "TPS2000C")</f>
        <v>TPS2000C</v>
      </c>
      <c r="B3169" s="5" t="s">
        <v>28491</v>
      </c>
      <c r="C3169" s="6" t="str">
        <f>HYPERLINK("https://www.ti.com/lit/gpn/TPS2000C", "PDF")</f>
        <v>PDF</v>
      </c>
      <c r="D3169" s="5" t="s">
        <v>28492</v>
      </c>
      <c r="E3169" s="5" t="s">
        <v>28493</v>
      </c>
      <c r="F3169" s="5"/>
      <c r="G3169" s="5" t="s">
        <v>28494</v>
      </c>
      <c r="H3169" s="1" t="s">
        <v>28495</v>
      </c>
      <c r="I3169" s="5" t="s">
        <v>28496</v>
      </c>
      <c r="J3169" s="7">
        <v>8</v>
      </c>
      <c r="K3169" s="7">
        <v>14.7</v>
      </c>
      <c r="L3169" s="5" t="s">
        <v>28497</v>
      </c>
      <c r="M3169" s="7">
        <v>1.1000000000000001</v>
      </c>
      <c r="N3169" s="7">
        <v>0.65</v>
      </c>
      <c r="O3169" s="7">
        <v>0.30399999999999999</v>
      </c>
      <c r="P3169" s="1" t="s">
        <v>28498</v>
      </c>
    </row>
    <row r="3170" spans="1:16" ht="33.4" x14ac:dyDescent="0.3">
      <c r="A3170" s="6" t="str">
        <f>HYPERLINK("https://www.ti.com/product/TPS2001C", "TPS2001C")</f>
        <v>TPS2001C</v>
      </c>
      <c r="B3170" s="5" t="s">
        <v>28499</v>
      </c>
      <c r="C3170" s="6" t="str">
        <f>HYPERLINK("https://www.ti.com/lit/gpn/TPS2001C", "PDF")</f>
        <v>PDF</v>
      </c>
      <c r="D3170" s="5" t="s">
        <v>28500</v>
      </c>
      <c r="E3170" s="5" t="s">
        <v>28501</v>
      </c>
      <c r="F3170" s="5"/>
      <c r="G3170" s="5" t="s">
        <v>28502</v>
      </c>
      <c r="H3170" s="1" t="s">
        <v>28503</v>
      </c>
      <c r="I3170" s="5" t="s">
        <v>28504</v>
      </c>
      <c r="J3170" s="7">
        <v>8</v>
      </c>
      <c r="K3170" s="7">
        <v>14.7</v>
      </c>
      <c r="L3170" s="5" t="s">
        <v>28505</v>
      </c>
      <c r="M3170" s="7">
        <v>1.1000000000000001</v>
      </c>
      <c r="N3170" s="7">
        <v>0.65</v>
      </c>
      <c r="O3170" s="7">
        <v>0.17299999999999999</v>
      </c>
      <c r="P3170" s="1" t="s">
        <v>28506</v>
      </c>
    </row>
    <row r="3171" spans="1:16" ht="33.4" x14ac:dyDescent="0.3">
      <c r="A3171" s="6" t="str">
        <f>HYPERLINK("https://www.ti.com/product/TPS2069C", "TPS2069C")</f>
        <v>TPS2069C</v>
      </c>
      <c r="B3171" s="5" t="s">
        <v>28507</v>
      </c>
      <c r="C3171" s="6" t="str">
        <f>HYPERLINK("https://www.ti.com/lit/gpn/TPS2069C", "PDF")</f>
        <v>PDF</v>
      </c>
      <c r="D3171" s="5" t="s">
        <v>28508</v>
      </c>
      <c r="E3171" s="5" t="s">
        <v>28509</v>
      </c>
      <c r="F3171" s="5"/>
      <c r="G3171" s="5" t="s">
        <v>28510</v>
      </c>
      <c r="H3171" s="1" t="s">
        <v>28511</v>
      </c>
      <c r="I3171" s="5" t="s">
        <v>28512</v>
      </c>
      <c r="J3171" s="7" t="s">
        <v>28513</v>
      </c>
      <c r="K3171" s="7" t="s">
        <v>28514</v>
      </c>
      <c r="L3171" s="5" t="s">
        <v>28515</v>
      </c>
      <c r="M3171" s="7" t="s">
        <v>28516</v>
      </c>
      <c r="N3171" s="7" t="s">
        <v>28517</v>
      </c>
      <c r="O3171" s="7">
        <v>0.26500000000000001</v>
      </c>
      <c r="P3171" s="1" t="s">
        <v>28518</v>
      </c>
    </row>
    <row r="3172" spans="1:16" ht="33.4" x14ac:dyDescent="0.3">
      <c r="A3172" s="6" t="str">
        <f>HYPERLINK("https://www.ti.com/product/TPS2065C", "TPS2065C")</f>
        <v>TPS2065C</v>
      </c>
      <c r="B3172" s="5" t="s">
        <v>28519</v>
      </c>
      <c r="C3172" s="6" t="str">
        <f>HYPERLINK("https://www.ti.com/lit/gpn/TPS2065C", "PDF")</f>
        <v>PDF</v>
      </c>
      <c r="D3172" s="5" t="s">
        <v>28520</v>
      </c>
      <c r="E3172" s="5" t="s">
        <v>28521</v>
      </c>
      <c r="F3172" s="5"/>
      <c r="G3172" s="5" t="s">
        <v>28522</v>
      </c>
      <c r="H3172" s="1" t="s">
        <v>28523</v>
      </c>
      <c r="I3172" s="5" t="s">
        <v>28524</v>
      </c>
      <c r="J3172" s="7" t="s">
        <v>28525</v>
      </c>
      <c r="K3172" s="7" t="s">
        <v>28526</v>
      </c>
      <c r="L3172" s="5" t="s">
        <v>28527</v>
      </c>
      <c r="M3172" s="7" t="s">
        <v>28528</v>
      </c>
      <c r="N3172" s="7" t="s">
        <v>28529</v>
      </c>
      <c r="O3172" s="7">
        <v>0.26500000000000001</v>
      </c>
      <c r="P3172" s="1" t="s">
        <v>28530</v>
      </c>
    </row>
    <row r="3173" spans="1:16" ht="33.4" x14ac:dyDescent="0.3">
      <c r="A3173" s="6" t="str">
        <f>HYPERLINK("https://www.ti.com/product/LP38693-ADJ-Q1", "LP38693-ADJ-Q1")</f>
        <v>LP38693-ADJ-Q1</v>
      </c>
      <c r="B3173" s="5" t="s">
        <v>28531</v>
      </c>
      <c r="C3173" s="6" t="str">
        <f>HYPERLINK("https://www.ti.com/lit/gpn/LP38693-ADJ-Q1", "PDF")</f>
        <v>PDF</v>
      </c>
      <c r="D3173" s="5" t="s">
        <v>28532</v>
      </c>
      <c r="E3173" s="5" t="s">
        <v>28533</v>
      </c>
      <c r="F3173" s="5"/>
      <c r="G3173" s="5" t="s">
        <v>28534</v>
      </c>
      <c r="H3173" s="1" t="s">
        <v>28535</v>
      </c>
      <c r="I3173" s="5" t="s">
        <v>28536</v>
      </c>
      <c r="J3173" s="7">
        <v>6</v>
      </c>
      <c r="K3173" s="7">
        <v>9</v>
      </c>
      <c r="L3173" s="5" t="s">
        <v>28537</v>
      </c>
      <c r="M3173" s="7">
        <v>0.8</v>
      </c>
      <c r="N3173" s="7">
        <v>0.95</v>
      </c>
      <c r="O3173" s="7">
        <v>0.59599999999999997</v>
      </c>
      <c r="P3173" s="1" t="s">
        <v>28538</v>
      </c>
    </row>
    <row r="3174" spans="1:16" ht="33.4" x14ac:dyDescent="0.3">
      <c r="A3174" s="6" t="str">
        <f>HYPERLINK("https://www.ti.com/product/LP38693-Q1", "LP38693-Q1")</f>
        <v>LP38693-Q1</v>
      </c>
      <c r="B3174" s="5" t="s">
        <v>28539</v>
      </c>
      <c r="C3174" s="6" t="str">
        <f>HYPERLINK("https://www.ti.com/lit/gpn/LP38693-Q1", "PDF")</f>
        <v>PDF</v>
      </c>
      <c r="D3174" s="5" t="s">
        <v>28540</v>
      </c>
      <c r="E3174" s="5" t="s">
        <v>28541</v>
      </c>
      <c r="F3174" s="5"/>
      <c r="G3174" s="5" t="s">
        <v>28542</v>
      </c>
      <c r="H3174" s="1" t="s">
        <v>28543</v>
      </c>
      <c r="I3174" s="5" t="s">
        <v>28544</v>
      </c>
      <c r="J3174" s="7">
        <v>6</v>
      </c>
      <c r="K3174" s="7">
        <v>9</v>
      </c>
      <c r="L3174" s="5" t="s">
        <v>28545</v>
      </c>
      <c r="M3174" s="7">
        <v>0.8</v>
      </c>
      <c r="N3174" s="7">
        <v>0.95</v>
      </c>
      <c r="O3174" s="7">
        <v>0.69099999999999995</v>
      </c>
      <c r="P3174" s="1" t="s">
        <v>28546</v>
      </c>
    </row>
    <row r="3175" spans="1:16" ht="33.4" x14ac:dyDescent="0.3">
      <c r="A3175" s="6" t="str">
        <f>HYPERLINK("https://www.ti.com/product/TWL6040", "TWL6040")</f>
        <v>TWL6040</v>
      </c>
      <c r="B3175" s="5" t="s">
        <v>28547</v>
      </c>
      <c r="C3175" s="6" t="str">
        <f>HYPERLINK("https://www.ti.com/lit/gpn/TWL6040", "PDF")</f>
        <v>PDF</v>
      </c>
      <c r="D3175" s="5" t="s">
        <v>28548</v>
      </c>
      <c r="E3175" s="5" t="s">
        <v>28549</v>
      </c>
      <c r="F3175" s="5"/>
      <c r="G3175" s="5" t="s">
        <v>28550</v>
      </c>
      <c r="H3175" s="1" t="s">
        <v>28551</v>
      </c>
      <c r="I3175" s="5" t="s">
        <v>28552</v>
      </c>
      <c r="J3175" s="7">
        <v>120</v>
      </c>
      <c r="K3175" s="7">
        <v>36</v>
      </c>
      <c r="L3175" s="5" t="s">
        <v>28553</v>
      </c>
      <c r="M3175" s="7">
        <v>1</v>
      </c>
      <c r="N3175" s="7">
        <v>0.5</v>
      </c>
      <c r="O3175" s="7">
        <v>1.496</v>
      </c>
      <c r="P3175" s="1" t="s">
        <v>28554</v>
      </c>
    </row>
    <row r="3176" spans="1:16" ht="33.4" x14ac:dyDescent="0.3">
      <c r="A3176" s="6" t="str">
        <f>HYPERLINK("https://www.ti.com/product/TPS65835", "TPS65835")</f>
        <v>TPS65835</v>
      </c>
      <c r="B3176" s="5" t="s">
        <v>28555</v>
      </c>
      <c r="C3176" s="6" t="str">
        <f>HYPERLINK("https://www.ti.com/lit/gpn/TPS65835", "PDF")</f>
        <v>PDF</v>
      </c>
      <c r="D3176" s="5" t="s">
        <v>28556</v>
      </c>
      <c r="E3176" s="5" t="s">
        <v>28557</v>
      </c>
      <c r="F3176" s="5"/>
      <c r="G3176" s="5" t="s">
        <v>28558</v>
      </c>
      <c r="H3176" s="1" t="s">
        <v>28559</v>
      </c>
      <c r="I3176" s="5" t="s">
        <v>28560</v>
      </c>
      <c r="J3176" s="7">
        <v>40</v>
      </c>
      <c r="K3176" s="7">
        <v>25</v>
      </c>
      <c r="L3176" s="5" t="s">
        <v>28561</v>
      </c>
      <c r="M3176" s="7">
        <v>1</v>
      </c>
      <c r="N3176" s="7">
        <v>0.4</v>
      </c>
      <c r="O3176" s="7">
        <v>1.8759999999999999</v>
      </c>
      <c r="P3176" s="1" t="s">
        <v>28562</v>
      </c>
    </row>
    <row r="3177" spans="1:16" ht="33.4" x14ac:dyDescent="0.3">
      <c r="A3177" s="6" t="str">
        <f>HYPERLINK("https://www.ti.com/product/LM27313-Q1", "LM27313-Q1")</f>
        <v>LM27313-Q1</v>
      </c>
      <c r="B3177" s="5" t="s">
        <v>28563</v>
      </c>
      <c r="C3177" s="6" t="str">
        <f>HYPERLINK("https://www.ti.com/lit/gpn/LM27313-Q1", "PDF")</f>
        <v>PDF</v>
      </c>
      <c r="D3177" s="5" t="s">
        <v>28564</v>
      </c>
      <c r="E3177" s="5" t="s">
        <v>28565</v>
      </c>
      <c r="F3177" s="5" t="s">
        <v>28566</v>
      </c>
      <c r="G3177" s="5" t="s">
        <v>28567</v>
      </c>
      <c r="H3177" s="1" t="s">
        <v>28568</v>
      </c>
      <c r="I3177" s="5" t="s">
        <v>28569</v>
      </c>
      <c r="J3177" s="7">
        <v>5</v>
      </c>
      <c r="K3177" s="7">
        <v>8.1199999999999992</v>
      </c>
      <c r="L3177" s="5" t="s">
        <v>28570</v>
      </c>
      <c r="M3177" s="7">
        <v>1.45</v>
      </c>
      <c r="N3177" s="7">
        <v>0.95</v>
      </c>
      <c r="O3177" s="7">
        <v>0.78800000000000003</v>
      </c>
      <c r="P3177" s="1" t="s">
        <v>28571</v>
      </c>
    </row>
    <row r="3178" spans="1:16" ht="33.4" x14ac:dyDescent="0.3">
      <c r="A3178" s="6" t="str">
        <f>HYPERLINK("https://www.ti.com/product/TPS2540A", "TPS2540A")</f>
        <v>TPS2540A</v>
      </c>
      <c r="B3178" s="5" t="s">
        <v>28572</v>
      </c>
      <c r="C3178" s="6" t="str">
        <f>HYPERLINK("https://www.ti.com/lit/gpn/TPS2540A", "PDF")</f>
        <v>PDF</v>
      </c>
      <c r="D3178" s="5" t="s">
        <v>28573</v>
      </c>
      <c r="E3178" s="5" t="s">
        <v>28574</v>
      </c>
      <c r="F3178" s="5"/>
      <c r="G3178" s="5" t="s">
        <v>28575</v>
      </c>
      <c r="H3178" s="1" t="s">
        <v>28576</v>
      </c>
      <c r="I3178" s="5" t="s">
        <v>28577</v>
      </c>
      <c r="J3178" s="7">
        <v>16</v>
      </c>
      <c r="K3178" s="7">
        <v>9</v>
      </c>
      <c r="L3178" s="5" t="s">
        <v>28578</v>
      </c>
      <c r="M3178" s="7">
        <v>0.8</v>
      </c>
      <c r="N3178" s="7">
        <v>0.5</v>
      </c>
      <c r="O3178" s="7">
        <v>0.69199999999999995</v>
      </c>
      <c r="P3178" s="1" t="s">
        <v>28579</v>
      </c>
    </row>
    <row r="3179" spans="1:16" ht="33.4" x14ac:dyDescent="0.3">
      <c r="A3179" s="6" t="str">
        <f>HYPERLINK("https://www.ti.com/product/TPS40400", "TPS40400")</f>
        <v>TPS40400</v>
      </c>
      <c r="B3179" s="5" t="s">
        <v>28580</v>
      </c>
      <c r="C3179" s="6" t="str">
        <f>HYPERLINK("https://www.ti.com/lit/gpn/TPS40400", "PDF")</f>
        <v>PDF</v>
      </c>
      <c r="D3179" s="5" t="s">
        <v>28581</v>
      </c>
      <c r="E3179" s="5" t="s">
        <v>28582</v>
      </c>
      <c r="F3179" s="5" t="s">
        <v>28583</v>
      </c>
      <c r="G3179" s="5" t="s">
        <v>28584</v>
      </c>
      <c r="H3179" s="1" t="s">
        <v>28585</v>
      </c>
      <c r="I3179" s="5" t="s">
        <v>28586</v>
      </c>
      <c r="J3179" s="7">
        <v>24</v>
      </c>
      <c r="K3179" s="7">
        <v>19.25</v>
      </c>
      <c r="L3179" s="5" t="s">
        <v>28587</v>
      </c>
      <c r="M3179" s="7">
        <v>1</v>
      </c>
      <c r="N3179" s="7">
        <v>0.5</v>
      </c>
      <c r="O3179" s="7">
        <v>1.9550000000000001</v>
      </c>
      <c r="P3179" s="1" t="s">
        <v>28588</v>
      </c>
    </row>
    <row r="3180" spans="1:16" ht="82.5" x14ac:dyDescent="0.3">
      <c r="A3180" s="6" t="str">
        <f>HYPERLINK("https://www.ti.com/product/TPS61256A", "TPS61256A")</f>
        <v>TPS61256A</v>
      </c>
      <c r="B3180" s="5" t="s">
        <v>28589</v>
      </c>
      <c r="C3180" s="6" t="str">
        <f>HYPERLINK("https://www.ti.com/lit/gpn/TPS61256A", "PDF")</f>
        <v>PDF</v>
      </c>
      <c r="D3180" s="5" t="s">
        <v>28590</v>
      </c>
      <c r="E3180" s="5" t="s">
        <v>28591</v>
      </c>
      <c r="F3180" s="5" t="s">
        <v>28592</v>
      </c>
      <c r="G3180" s="5" t="s">
        <v>28593</v>
      </c>
      <c r="H3180" s="1" t="s">
        <v>28594</v>
      </c>
      <c r="I3180" s="5" t="s">
        <v>28595</v>
      </c>
      <c r="J3180" s="7">
        <v>9</v>
      </c>
      <c r="K3180" s="7">
        <v>1.9600000000000002</v>
      </c>
      <c r="L3180" s="5" t="s">
        <v>28596</v>
      </c>
      <c r="M3180" s="7">
        <v>0.625</v>
      </c>
      <c r="N3180" s="7">
        <v>0.4</v>
      </c>
      <c r="O3180" s="7">
        <v>0.41799999999999998</v>
      </c>
      <c r="P3180" s="1" t="s">
        <v>28597</v>
      </c>
    </row>
    <row r="3181" spans="1:16" ht="33.4" x14ac:dyDescent="0.3">
      <c r="A3181" s="6" t="str">
        <f>HYPERLINK("https://www.ti.com/product/LM3532", "LM3532")</f>
        <v>LM3532</v>
      </c>
      <c r="B3181" s="5" t="s">
        <v>28598</v>
      </c>
      <c r="C3181" s="6" t="str">
        <f>HYPERLINK("https://www.ti.com/lit/gpn/LM3532", "PDF")</f>
        <v>PDF</v>
      </c>
      <c r="D3181" s="5" t="s">
        <v>28599</v>
      </c>
      <c r="E3181" s="5" t="s">
        <v>28600</v>
      </c>
      <c r="F3181" s="5" t="s">
        <v>28601</v>
      </c>
      <c r="G3181" s="5" t="s">
        <v>28602</v>
      </c>
      <c r="H3181" s="1" t="s">
        <v>28603</v>
      </c>
      <c r="I3181" s="5" t="s">
        <v>28604</v>
      </c>
      <c r="J3181" s="7">
        <v>16</v>
      </c>
      <c r="K3181" s="7">
        <v>3.24</v>
      </c>
      <c r="L3181" s="5" t="s">
        <v>28605</v>
      </c>
      <c r="M3181" s="7">
        <v>0.67500000000000004</v>
      </c>
      <c r="N3181" s="7">
        <v>0.4</v>
      </c>
      <c r="O3181" s="7">
        <v>0.47799999999999998</v>
      </c>
      <c r="P3181" s="1" t="s">
        <v>28606</v>
      </c>
    </row>
    <row r="3182" spans="1:16" ht="17.05" x14ac:dyDescent="0.3">
      <c r="A3182" s="6" t="str">
        <f>HYPERLINK("https://www.ti.com/product/TPS65142", "TPS65142")</f>
        <v>TPS65142</v>
      </c>
      <c r="B3182" s="5" t="s">
        <v>28607</v>
      </c>
      <c r="C3182" s="6" t="str">
        <f>HYPERLINK("https://www.ti.com/lit/gpn/TPS65142", "PDF")</f>
        <v>PDF</v>
      </c>
      <c r="D3182" s="5" t="s">
        <v>28608</v>
      </c>
      <c r="E3182" s="5" t="s">
        <v>28609</v>
      </c>
      <c r="F3182" s="5" t="s">
        <v>28610</v>
      </c>
      <c r="G3182" s="5" t="s">
        <v>28611</v>
      </c>
      <c r="H3182" s="1" t="s">
        <v>28612</v>
      </c>
      <c r="I3182" s="5" t="s">
        <v>28613</v>
      </c>
      <c r="J3182" s="7">
        <v>32</v>
      </c>
      <c r="K3182" s="7">
        <v>18</v>
      </c>
      <c r="L3182" s="5" t="s">
        <v>28614</v>
      </c>
      <c r="M3182" s="7">
        <v>0.8</v>
      </c>
      <c r="N3182" s="7">
        <v>0.4</v>
      </c>
      <c r="O3182" s="7">
        <v>1.2749999999999999</v>
      </c>
      <c r="P3182" s="1" t="s">
        <v>28615</v>
      </c>
    </row>
    <row r="3183" spans="1:16" ht="17.05" x14ac:dyDescent="0.3">
      <c r="A3183" s="6" t="str">
        <f>HYPERLINK("https://www.ti.com/product/TLV803", "TLV803")</f>
        <v>TLV803</v>
      </c>
      <c r="B3183" s="5" t="s">
        <v>28616</v>
      </c>
      <c r="C3183" s="6" t="str">
        <f>HYPERLINK("https://www.ti.com/lit/gpn/TLV803", "PDF")</f>
        <v>PDF</v>
      </c>
      <c r="D3183" s="5" t="s">
        <v>28617</v>
      </c>
      <c r="E3183" s="5" t="s">
        <v>28618</v>
      </c>
      <c r="F3183" s="5"/>
      <c r="G3183" s="5" t="s">
        <v>28619</v>
      </c>
      <c r="H3183" s="1" t="s">
        <v>28620</v>
      </c>
      <c r="I3183" s="5" t="s">
        <v>28621</v>
      </c>
      <c r="J3183" s="7">
        <v>3</v>
      </c>
      <c r="K3183" s="7">
        <v>6.9203999999999999</v>
      </c>
      <c r="L3183" s="5" t="s">
        <v>28622</v>
      </c>
      <c r="M3183" s="7">
        <v>1.1200000000000001</v>
      </c>
      <c r="N3183" s="7">
        <v>0.96</v>
      </c>
      <c r="O3183" s="7">
        <v>0.20599999999999999</v>
      </c>
      <c r="P3183" s="1" t="s">
        <v>28623</v>
      </c>
    </row>
    <row r="3184" spans="1:16" ht="17.05" x14ac:dyDescent="0.3">
      <c r="A3184" s="6" t="str">
        <f>HYPERLINK("https://www.ti.com/product/TLV810", "TLV810")</f>
        <v>TLV810</v>
      </c>
      <c r="B3184" s="5" t="s">
        <v>28624</v>
      </c>
      <c r="C3184" s="6" t="str">
        <f>HYPERLINK("https://www.ti.com/lit/gpn/TLV810", "PDF")</f>
        <v>PDF</v>
      </c>
      <c r="D3184" s="5" t="s">
        <v>28625</v>
      </c>
      <c r="E3184" s="5" t="s">
        <v>28626</v>
      </c>
      <c r="F3184" s="5"/>
      <c r="G3184" s="5" t="s">
        <v>28627</v>
      </c>
      <c r="H3184" s="1" t="s">
        <v>28628</v>
      </c>
      <c r="I3184" s="5" t="s">
        <v>28629</v>
      </c>
      <c r="J3184" s="7">
        <v>3</v>
      </c>
      <c r="K3184" s="7">
        <v>6.9203999999999999</v>
      </c>
      <c r="L3184" s="5" t="s">
        <v>28630</v>
      </c>
      <c r="M3184" s="7">
        <v>1.1200000000000001</v>
      </c>
      <c r="N3184" s="7">
        <v>0.96</v>
      </c>
      <c r="O3184" s="7">
        <v>0.252</v>
      </c>
      <c r="P3184" s="1" t="s">
        <v>28631</v>
      </c>
    </row>
    <row r="3185" spans="1:16" ht="33.4" x14ac:dyDescent="0.3">
      <c r="A3185" s="6" t="str">
        <f>HYPERLINK("https://www.ti.com/product/TPS65178", "TPS65178")</f>
        <v>TPS65178</v>
      </c>
      <c r="B3185" s="5" t="s">
        <v>28632</v>
      </c>
      <c r="C3185" s="6" t="str">
        <f>HYPERLINK("https://www.ti.com/lit/gpn/TPS65178", "PDF")</f>
        <v>PDF</v>
      </c>
      <c r="D3185" s="5" t="s">
        <v>28633</v>
      </c>
      <c r="E3185" s="5" t="s">
        <v>28634</v>
      </c>
      <c r="F3185" s="5" t="s">
        <v>28635</v>
      </c>
      <c r="G3185" s="5" t="s">
        <v>28636</v>
      </c>
      <c r="H3185" s="1" t="s">
        <v>28637</v>
      </c>
      <c r="I3185" s="5" t="s">
        <v>28638</v>
      </c>
      <c r="J3185" s="7">
        <v>48</v>
      </c>
      <c r="K3185" s="7">
        <v>36</v>
      </c>
      <c r="L3185" s="5" t="s">
        <v>28639</v>
      </c>
      <c r="M3185" s="7">
        <v>1</v>
      </c>
      <c r="N3185" s="7">
        <v>0.4</v>
      </c>
      <c r="O3185" s="7">
        <v>0.82799999999999996</v>
      </c>
      <c r="P3185" s="1" t="s">
        <v>28640</v>
      </c>
    </row>
    <row r="3186" spans="1:16" ht="33.4" x14ac:dyDescent="0.3">
      <c r="A3186" s="6" t="str">
        <f>HYPERLINK("https://www.ti.com/product/LM25117", "LM25117")</f>
        <v>LM25117</v>
      </c>
      <c r="B3186" s="5" t="s">
        <v>28641</v>
      </c>
      <c r="C3186" s="6" t="str">
        <f>HYPERLINK("https://www.ti.com/lit/gpn/LM25117", "PDF")</f>
        <v>PDF</v>
      </c>
      <c r="D3186" s="5" t="s">
        <v>28642</v>
      </c>
      <c r="E3186" s="5" t="s">
        <v>28643</v>
      </c>
      <c r="F3186" s="5" t="s">
        <v>28644</v>
      </c>
      <c r="G3186" s="5" t="s">
        <v>28645</v>
      </c>
      <c r="H3186" s="1" t="s">
        <v>28646</v>
      </c>
      <c r="I3186" s="5" t="s">
        <v>28647</v>
      </c>
      <c r="J3186" s="7" t="s">
        <v>28648</v>
      </c>
      <c r="K3186" s="7" t="s">
        <v>28649</v>
      </c>
      <c r="L3186" s="5" t="s">
        <v>28650</v>
      </c>
      <c r="M3186" s="7" t="s">
        <v>28651</v>
      </c>
      <c r="N3186" s="7" t="s">
        <v>28652</v>
      </c>
      <c r="O3186" s="7">
        <v>1.893</v>
      </c>
      <c r="P3186" s="1" t="s">
        <v>28653</v>
      </c>
    </row>
    <row r="3187" spans="1:16" ht="33.4" x14ac:dyDescent="0.3">
      <c r="A3187" s="6" t="str">
        <f>HYPERLINK("https://www.ti.com/product/CSD87352Q5D", "CSD87352Q5D")</f>
        <v>CSD87352Q5D</v>
      </c>
      <c r="B3187" s="5" t="s">
        <v>28654</v>
      </c>
      <c r="C3187" s="6" t="str">
        <f>HYPERLINK("https://www.ti.com/lit/gpn/CSD87352Q5D", "PDF")</f>
        <v>PDF</v>
      </c>
      <c r="D3187" s="5" t="s">
        <v>28655</v>
      </c>
      <c r="E3187" s="5" t="s">
        <v>28656</v>
      </c>
      <c r="F3187" s="5"/>
      <c r="G3187" s="5" t="s">
        <v>28657</v>
      </c>
      <c r="H3187" s="1" t="s">
        <v>28658</v>
      </c>
      <c r="I3187" s="5" t="s">
        <v>28659</v>
      </c>
      <c r="J3187" s="7">
        <v>8</v>
      </c>
      <c r="K3187" s="7">
        <v>30</v>
      </c>
      <c r="L3187" s="5" t="s">
        <v>28660</v>
      </c>
      <c r="M3187" s="7">
        <v>1.6</v>
      </c>
      <c r="N3187" s="7">
        <v>1.27</v>
      </c>
      <c r="O3187" s="7">
        <v>0.52200000000000002</v>
      </c>
      <c r="P3187" s="1" t="s">
        <v>28661</v>
      </c>
    </row>
    <row r="3188" spans="1:16" ht="33.4" x14ac:dyDescent="0.3">
      <c r="A3188" s="6" t="str">
        <f>HYPERLINK("https://www.ti.com/product/TPS7A3401", "TPS7A3401")</f>
        <v>TPS7A3401</v>
      </c>
      <c r="B3188" s="5" t="s">
        <v>28662</v>
      </c>
      <c r="C3188" s="6" t="str">
        <f>HYPERLINK("https://www.ti.com/lit/gpn/TPS7A3401", "PDF")</f>
        <v>PDF</v>
      </c>
      <c r="D3188" s="5" t="s">
        <v>28663</v>
      </c>
      <c r="E3188" s="5" t="s">
        <v>28664</v>
      </c>
      <c r="F3188" s="5"/>
      <c r="G3188" s="5" t="s">
        <v>28665</v>
      </c>
      <c r="H3188" s="1" t="s">
        <v>28666</v>
      </c>
      <c r="I3188" s="5" t="s">
        <v>28667</v>
      </c>
      <c r="J3188" s="7">
        <v>8</v>
      </c>
      <c r="K3188" s="7">
        <v>14.7</v>
      </c>
      <c r="L3188" s="5" t="s">
        <v>28668</v>
      </c>
      <c r="M3188" s="7">
        <v>1.1000000000000001</v>
      </c>
      <c r="N3188" s="7">
        <v>0.65</v>
      </c>
      <c r="O3188" s="7">
        <v>1.615</v>
      </c>
      <c r="P3188" s="1" t="s">
        <v>28669</v>
      </c>
    </row>
    <row r="3189" spans="1:16" ht="33.4" x14ac:dyDescent="0.3">
      <c r="A3189" s="6" t="str">
        <f>HYPERLINK("https://www.ti.com/product/CSD17322Q5A", "CSD17322Q5A")</f>
        <v>CSD17322Q5A</v>
      </c>
      <c r="B3189" s="5" t="s">
        <v>28670</v>
      </c>
      <c r="C3189" s="6" t="str">
        <f>HYPERLINK("https://www.ti.com/lit/gpn/CSD17322Q5A", "PDF")</f>
        <v>PDF</v>
      </c>
      <c r="D3189" s="5" t="s">
        <v>28671</v>
      </c>
      <c r="E3189" s="5" t="s">
        <v>28672</v>
      </c>
      <c r="F3189" s="5"/>
      <c r="G3189" s="5" t="s">
        <v>28673</v>
      </c>
      <c r="H3189" s="1" t="s">
        <v>28674</v>
      </c>
      <c r="I3189" s="5" t="s">
        <v>28675</v>
      </c>
      <c r="J3189" s="7">
        <v>8</v>
      </c>
      <c r="K3189" s="7">
        <v>29.4</v>
      </c>
      <c r="L3189" s="5" t="s">
        <v>28676</v>
      </c>
      <c r="M3189" s="7">
        <v>1.1000000000000001</v>
      </c>
      <c r="N3189" s="7">
        <v>1.27</v>
      </c>
      <c r="O3189" s="7">
        <v>0.34</v>
      </c>
      <c r="P3189" s="1" t="s">
        <v>28677</v>
      </c>
    </row>
    <row r="3190" spans="1:16" ht="33.4" x14ac:dyDescent="0.3">
      <c r="A3190" s="6" t="str">
        <f>HYPERLINK("https://www.ti.com/product/CSD17327Q5A", "CSD17327Q5A")</f>
        <v>CSD17327Q5A</v>
      </c>
      <c r="B3190" s="5" t="s">
        <v>28678</v>
      </c>
      <c r="C3190" s="6" t="str">
        <f>HYPERLINK("https://www.ti.com/lit/gpn/CSD17327Q5A", "PDF")</f>
        <v>PDF</v>
      </c>
      <c r="D3190" s="5" t="s">
        <v>28679</v>
      </c>
      <c r="E3190" s="5" t="s">
        <v>28680</v>
      </c>
      <c r="F3190" s="5"/>
      <c r="G3190" s="5" t="s">
        <v>28681</v>
      </c>
      <c r="H3190" s="1" t="s">
        <v>28682</v>
      </c>
      <c r="I3190" s="5" t="s">
        <v>28683</v>
      </c>
      <c r="J3190" s="7">
        <v>8</v>
      </c>
      <c r="K3190" s="7">
        <v>29.4</v>
      </c>
      <c r="L3190" s="5" t="s">
        <v>28684</v>
      </c>
      <c r="M3190" s="7">
        <v>1.1000000000000001</v>
      </c>
      <c r="N3190" s="7">
        <v>1.27</v>
      </c>
      <c r="O3190" s="7">
        <v>0.29199999999999998</v>
      </c>
      <c r="P3190" s="1" t="s">
        <v>28685</v>
      </c>
    </row>
    <row r="3191" spans="1:16" ht="33.4" x14ac:dyDescent="0.3">
      <c r="A3191" s="6" t="str">
        <f>HYPERLINK("https://www.ti.com/product/CSD17522Q5A", "CSD17522Q5A")</f>
        <v>CSD17522Q5A</v>
      </c>
      <c r="B3191" s="5" t="s">
        <v>28686</v>
      </c>
      <c r="C3191" s="6" t="str">
        <f>HYPERLINK("https://www.ti.com/lit/gpn/CSD17522Q5A", "PDF")</f>
        <v>PDF</v>
      </c>
      <c r="D3191" s="5" t="s">
        <v>28687</v>
      </c>
      <c r="E3191" s="5" t="s">
        <v>28688</v>
      </c>
      <c r="F3191" s="5"/>
      <c r="G3191" s="5" t="s">
        <v>28689</v>
      </c>
      <c r="H3191" s="1" t="s">
        <v>28690</v>
      </c>
      <c r="I3191" s="5" t="s">
        <v>28691</v>
      </c>
      <c r="J3191" s="7">
        <v>8</v>
      </c>
      <c r="K3191" s="7">
        <v>29.4</v>
      </c>
      <c r="L3191" s="5" t="s">
        <v>28692</v>
      </c>
      <c r="M3191" s="7">
        <v>1.1000000000000001</v>
      </c>
      <c r="N3191" s="7">
        <v>1.27</v>
      </c>
      <c r="O3191" s="7">
        <v>0.39100000000000001</v>
      </c>
      <c r="P3191" s="1" t="s">
        <v>28693</v>
      </c>
    </row>
    <row r="3192" spans="1:16" ht="33.4" x14ac:dyDescent="0.3">
      <c r="A3192" s="6" t="str">
        <f>HYPERLINK("https://www.ti.com/product/CSD17527Q5A", "CSD17527Q5A")</f>
        <v>CSD17527Q5A</v>
      </c>
      <c r="B3192" s="5" t="s">
        <v>28694</v>
      </c>
      <c r="C3192" s="6" t="str">
        <f>HYPERLINK("https://www.ti.com/lit/gpn/CSD17527Q5A", "PDF")</f>
        <v>PDF</v>
      </c>
      <c r="D3192" s="5" t="s">
        <v>28695</v>
      </c>
      <c r="E3192" s="5" t="s">
        <v>28696</v>
      </c>
      <c r="F3192" s="5"/>
      <c r="G3192" s="5" t="s">
        <v>28697</v>
      </c>
      <c r="H3192" s="1" t="s">
        <v>28698</v>
      </c>
      <c r="I3192" s="5" t="s">
        <v>28699</v>
      </c>
      <c r="J3192" s="7">
        <v>8</v>
      </c>
      <c r="K3192" s="7">
        <v>29.4</v>
      </c>
      <c r="L3192" s="5" t="s">
        <v>28700</v>
      </c>
      <c r="M3192" s="7">
        <v>1.1000000000000001</v>
      </c>
      <c r="N3192" s="7">
        <v>1.27</v>
      </c>
      <c r="O3192" s="7">
        <v>0.307</v>
      </c>
      <c r="P3192" s="1" t="s">
        <v>28701</v>
      </c>
    </row>
    <row r="3193" spans="1:16" ht="33.4" x14ac:dyDescent="0.3">
      <c r="A3193" s="6" t="str">
        <f>HYPERLINK("https://www.ti.com/product/LP2951-Q1", "LP2951-Q1")</f>
        <v>LP2951-Q1</v>
      </c>
      <c r="B3193" s="5" t="s">
        <v>28702</v>
      </c>
      <c r="C3193" s="6" t="str">
        <f>HYPERLINK("https://www.ti.com/lit/gpn/LP2951-Q1", "PDF")</f>
        <v>PDF</v>
      </c>
      <c r="D3193" s="5" t="s">
        <v>28703</v>
      </c>
      <c r="E3193" s="5" t="s">
        <v>28704</v>
      </c>
      <c r="F3193" s="5"/>
      <c r="G3193" s="5" t="s">
        <v>28705</v>
      </c>
      <c r="H3193" s="1" t="s">
        <v>28706</v>
      </c>
      <c r="I3193" s="5" t="s">
        <v>28707</v>
      </c>
      <c r="J3193" s="7">
        <v>8</v>
      </c>
      <c r="K3193" s="7" t="s">
        <v>28708</v>
      </c>
      <c r="L3193" s="5" t="s">
        <v>28709</v>
      </c>
      <c r="M3193" s="7" t="s">
        <v>28710</v>
      </c>
      <c r="N3193" s="7" t="s">
        <v>28711</v>
      </c>
      <c r="O3193" s="7">
        <v>0.28599999999999998</v>
      </c>
      <c r="P3193" s="1" t="s">
        <v>28712</v>
      </c>
    </row>
    <row r="3194" spans="1:16" ht="17.05" x14ac:dyDescent="0.3">
      <c r="A3194" s="6" t="str">
        <f>HYPERLINK("https://www.ti.com/product/TPS22920", "TPS22920")</f>
        <v>TPS22920</v>
      </c>
      <c r="B3194" s="5" t="s">
        <v>28713</v>
      </c>
      <c r="C3194" s="6" t="str">
        <f>HYPERLINK("https://www.ti.com/lit/gpn/TPS22920", "PDF")</f>
        <v>PDF</v>
      </c>
      <c r="D3194" s="5" t="s">
        <v>28714</v>
      </c>
      <c r="E3194" s="5" t="s">
        <v>28715</v>
      </c>
      <c r="F3194" s="5"/>
      <c r="G3194" s="5" t="s">
        <v>28716</v>
      </c>
      <c r="H3194" s="1" t="s">
        <v>28717</v>
      </c>
      <c r="I3194" s="5" t="s">
        <v>28718</v>
      </c>
      <c r="J3194" s="7">
        <v>8</v>
      </c>
      <c r="K3194" s="7">
        <v>2.8125</v>
      </c>
      <c r="L3194" s="5" t="s">
        <v>28719</v>
      </c>
      <c r="M3194" s="7">
        <v>0.5</v>
      </c>
      <c r="N3194" s="7">
        <v>0.5</v>
      </c>
      <c r="O3194" s="7">
        <v>0.34499999999999997</v>
      </c>
      <c r="P3194" s="1" t="s">
        <v>28720</v>
      </c>
    </row>
    <row r="3195" spans="1:16" ht="33.4" x14ac:dyDescent="0.3">
      <c r="A3195" s="6" t="str">
        <f>HYPERLINK("https://www.ti.com/product/TPS2554", "TPS2554")</f>
        <v>TPS2554</v>
      </c>
      <c r="B3195" s="5" t="s">
        <v>28721</v>
      </c>
      <c r="C3195" s="6" t="str">
        <f>HYPERLINK("https://www.ti.com/lit/gpn/TPS2554", "PDF")</f>
        <v>PDF</v>
      </c>
      <c r="D3195" s="5" t="s">
        <v>28722</v>
      </c>
      <c r="E3195" s="5" t="s">
        <v>28723</v>
      </c>
      <c r="F3195" s="5"/>
      <c r="G3195" s="5" t="s">
        <v>28724</v>
      </c>
      <c r="H3195" s="1" t="s">
        <v>28725</v>
      </c>
      <c r="I3195" s="5" t="s">
        <v>28726</v>
      </c>
      <c r="J3195" s="7">
        <v>10</v>
      </c>
      <c r="K3195" s="7">
        <v>9</v>
      </c>
      <c r="L3195" s="5" t="s">
        <v>28727</v>
      </c>
      <c r="M3195" s="7">
        <v>1</v>
      </c>
      <c r="N3195" s="7">
        <v>0.5</v>
      </c>
      <c r="O3195" s="7">
        <v>0.75900000000000001</v>
      </c>
      <c r="P3195" s="1" t="s">
        <v>28728</v>
      </c>
    </row>
    <row r="3196" spans="1:16" ht="33.4" x14ac:dyDescent="0.3">
      <c r="A3196" s="6" t="str">
        <f>HYPERLINK("https://www.ti.com/product/TPS2555", "TPS2555")</f>
        <v>TPS2555</v>
      </c>
      <c r="B3196" s="5" t="s">
        <v>28729</v>
      </c>
      <c r="C3196" s="6" t="str">
        <f>HYPERLINK("https://www.ti.com/lit/gpn/TPS2555", "PDF")</f>
        <v>PDF</v>
      </c>
      <c r="D3196" s="5" t="s">
        <v>28730</v>
      </c>
      <c r="E3196" s="5" t="s">
        <v>28731</v>
      </c>
      <c r="F3196" s="5"/>
      <c r="G3196" s="5" t="s">
        <v>28732</v>
      </c>
      <c r="H3196" s="1" t="s">
        <v>28733</v>
      </c>
      <c r="I3196" s="5" t="s">
        <v>28734</v>
      </c>
      <c r="J3196" s="7">
        <v>10</v>
      </c>
      <c r="K3196" s="7">
        <v>9</v>
      </c>
      <c r="L3196" s="5" t="s">
        <v>28735</v>
      </c>
      <c r="M3196" s="7">
        <v>1</v>
      </c>
      <c r="N3196" s="7">
        <v>0.5</v>
      </c>
      <c r="O3196" s="7">
        <v>0.75900000000000001</v>
      </c>
      <c r="P3196" s="1" t="s">
        <v>28736</v>
      </c>
    </row>
    <row r="3197" spans="1:16" ht="33.4" x14ac:dyDescent="0.3">
      <c r="A3197" s="6" t="str">
        <f>HYPERLINK("https://www.ti.com/product/TPS7A63-Q1", "TPS7A63-Q1")</f>
        <v>TPS7A63-Q1</v>
      </c>
      <c r="B3197" s="5" t="s">
        <v>28737</v>
      </c>
      <c r="C3197" s="6" t="str">
        <f>HYPERLINK("https://www.ti.com/lit/gpn/TPS7A63-Q1", "PDF")</f>
        <v>PDF</v>
      </c>
      <c r="D3197" s="5" t="s">
        <v>28738</v>
      </c>
      <c r="E3197" s="5" t="s">
        <v>28739</v>
      </c>
      <c r="F3197" s="5"/>
      <c r="G3197" s="5" t="s">
        <v>28740</v>
      </c>
      <c r="H3197" s="1" t="s">
        <v>28741</v>
      </c>
      <c r="I3197" s="5" t="s">
        <v>28742</v>
      </c>
      <c r="J3197" s="7" t="s">
        <v>28743</v>
      </c>
      <c r="K3197" s="7" t="s">
        <v>28744</v>
      </c>
      <c r="L3197" s="5" t="s">
        <v>28745</v>
      </c>
      <c r="M3197" s="7" t="s">
        <v>28746</v>
      </c>
      <c r="N3197" s="7" t="s">
        <v>28747</v>
      </c>
      <c r="O3197" s="7">
        <v>0.68799999999999994</v>
      </c>
      <c r="P3197" s="1" t="s">
        <v>28748</v>
      </c>
    </row>
    <row r="3198" spans="1:16" ht="82.5" x14ac:dyDescent="0.3">
      <c r="A3198" s="6" t="str">
        <f>HYPERLINK("https://www.ti.com/product/LM3242", "LM3242")</f>
        <v>LM3242</v>
      </c>
      <c r="B3198" s="5" t="s">
        <v>28749</v>
      </c>
      <c r="C3198" s="6" t="str">
        <f>HYPERLINK("https://www.ti.com/lit/gpn/LM3242", "PDF")</f>
        <v>PDF</v>
      </c>
      <c r="D3198" s="5" t="s">
        <v>28750</v>
      </c>
      <c r="E3198" s="5" t="s">
        <v>28751</v>
      </c>
      <c r="F3198" s="5" t="s">
        <v>28752</v>
      </c>
      <c r="G3198" s="5" t="s">
        <v>28753</v>
      </c>
      <c r="H3198" s="1" t="s">
        <v>28754</v>
      </c>
      <c r="I3198" s="5" t="s">
        <v>28755</v>
      </c>
      <c r="J3198" s="7">
        <v>9</v>
      </c>
      <c r="K3198" s="7">
        <v>1.9600000000000002</v>
      </c>
      <c r="L3198" s="5" t="s">
        <v>28756</v>
      </c>
      <c r="M3198" s="7">
        <v>0.67500000000000004</v>
      </c>
      <c r="N3198" s="7">
        <v>0.4</v>
      </c>
      <c r="O3198" s="7">
        <v>0.51700000000000002</v>
      </c>
      <c r="P3198" s="1" t="s">
        <v>28757</v>
      </c>
    </row>
    <row r="3199" spans="1:16" ht="33.4" x14ac:dyDescent="0.3">
      <c r="A3199" s="6" t="str">
        <f>HYPERLINK("https://www.ti.com/product/TPS54225-Q1", "TPS54225-Q1")</f>
        <v>TPS54225-Q1</v>
      </c>
      <c r="B3199" s="5" t="s">
        <v>28758</v>
      </c>
      <c r="C3199" s="6" t="str">
        <f>HYPERLINK("https://www.ti.com/lit/gpn/TPS54225-Q1", "PDF")</f>
        <v>PDF</v>
      </c>
      <c r="D3199" s="5" t="s">
        <v>28759</v>
      </c>
      <c r="E3199" s="5" t="s">
        <v>28760</v>
      </c>
      <c r="F3199" s="5" t="s">
        <v>28761</v>
      </c>
      <c r="G3199" s="5" t="s">
        <v>28762</v>
      </c>
      <c r="H3199" s="1" t="s">
        <v>28763</v>
      </c>
      <c r="I3199" s="5" t="s">
        <v>28764</v>
      </c>
      <c r="J3199" s="7">
        <v>14</v>
      </c>
      <c r="K3199" s="7">
        <v>32</v>
      </c>
      <c r="L3199" s="5" t="s">
        <v>28765</v>
      </c>
      <c r="M3199" s="7">
        <v>1.2</v>
      </c>
      <c r="N3199" s="7">
        <v>0.65</v>
      </c>
      <c r="O3199" s="7">
        <v>1.5760000000000001</v>
      </c>
      <c r="P3199" s="1" t="s">
        <v>28766</v>
      </c>
    </row>
    <row r="3200" spans="1:16" ht="33.4" x14ac:dyDescent="0.3">
      <c r="A3200" s="6" t="str">
        <f>HYPERLINK("https://www.ti.com/product/TPS54325-Q1", "TPS54325-Q1")</f>
        <v>TPS54325-Q1</v>
      </c>
      <c r="B3200" s="5" t="s">
        <v>28767</v>
      </c>
      <c r="C3200" s="6" t="str">
        <f>HYPERLINK("https://www.ti.com/lit/gpn/TPS54325-Q1", "PDF")</f>
        <v>PDF</v>
      </c>
      <c r="D3200" s="5" t="s">
        <v>28768</v>
      </c>
      <c r="E3200" s="5" t="s">
        <v>28769</v>
      </c>
      <c r="F3200" s="5" t="s">
        <v>28770</v>
      </c>
      <c r="G3200" s="5" t="s">
        <v>28771</v>
      </c>
      <c r="H3200" s="1" t="s">
        <v>28772</v>
      </c>
      <c r="I3200" s="5" t="s">
        <v>28773</v>
      </c>
      <c r="J3200" s="7">
        <v>14</v>
      </c>
      <c r="K3200" s="7">
        <v>32</v>
      </c>
      <c r="L3200" s="5" t="s">
        <v>28774</v>
      </c>
      <c r="M3200" s="7">
        <v>1.2</v>
      </c>
      <c r="N3200" s="7">
        <v>0.65</v>
      </c>
      <c r="O3200" s="7">
        <v>1.7090000000000001</v>
      </c>
      <c r="P3200" s="1" t="s">
        <v>28775</v>
      </c>
    </row>
    <row r="3201" spans="1:16" ht="33.4" x14ac:dyDescent="0.3">
      <c r="A3201" s="6" t="str">
        <f>HYPERLINK("https://www.ti.com/product/TPS740", "TPS740")</f>
        <v>TPS740</v>
      </c>
      <c r="B3201" s="5" t="s">
        <v>28776</v>
      </c>
      <c r="C3201" s="6" t="str">
        <f>HYPERLINK("https://www.ti.com/lit/gpn/TPS740", "PDF")</f>
        <v>PDF</v>
      </c>
      <c r="D3201" s="5" t="s">
        <v>28777</v>
      </c>
      <c r="E3201" s="5" t="s">
        <v>28778</v>
      </c>
      <c r="F3201" s="5"/>
      <c r="G3201" s="5" t="s">
        <v>28779</v>
      </c>
      <c r="H3201" s="1" t="s">
        <v>28780</v>
      </c>
      <c r="I3201" s="5" t="s">
        <v>28781</v>
      </c>
      <c r="J3201" s="7">
        <v>8</v>
      </c>
      <c r="K3201" s="7">
        <v>14.7</v>
      </c>
      <c r="L3201" s="5" t="s">
        <v>28782</v>
      </c>
      <c r="M3201" s="7">
        <v>1.1000000000000001</v>
      </c>
      <c r="N3201" s="7">
        <v>0.65</v>
      </c>
      <c r="O3201" s="7">
        <v>1.6579999999999999</v>
      </c>
      <c r="P3201" s="1" t="s">
        <v>28783</v>
      </c>
    </row>
    <row r="3202" spans="1:16" ht="17.05" x14ac:dyDescent="0.3">
      <c r="A3202" s="6" t="str">
        <f>HYPERLINK("https://www.ti.com/product/BUF18830", "BUF18830")</f>
        <v>BUF18830</v>
      </c>
      <c r="B3202" s="5" t="s">
        <v>28784</v>
      </c>
      <c r="C3202" s="6" t="str">
        <f>HYPERLINK("https://www.ti.com/lit/gpn/BUF18830", "PDF")</f>
        <v>PDF</v>
      </c>
      <c r="D3202" s="5" t="s">
        <v>28785</v>
      </c>
      <c r="E3202" s="5" t="s">
        <v>28786</v>
      </c>
      <c r="F3202" s="5"/>
      <c r="G3202" s="5" t="s">
        <v>28787</v>
      </c>
      <c r="H3202" s="1" t="s">
        <v>28788</v>
      </c>
      <c r="I3202" s="5" t="s">
        <v>28789</v>
      </c>
      <c r="J3202" s="7">
        <v>38</v>
      </c>
      <c r="K3202" s="7">
        <v>35</v>
      </c>
      <c r="L3202" s="5" t="s">
        <v>28790</v>
      </c>
      <c r="M3202" s="7">
        <v>1</v>
      </c>
      <c r="N3202" s="7">
        <v>0.5</v>
      </c>
      <c r="O3202" s="7">
        <v>3.1880000000000002</v>
      </c>
      <c r="P3202" s="1" t="s">
        <v>28791</v>
      </c>
    </row>
    <row r="3203" spans="1:16" ht="33.4" x14ac:dyDescent="0.3">
      <c r="A3203" s="6" t="str">
        <f>HYPERLINK("https://www.ti.com/product/TPS65053-Q1", "TPS65053-Q1")</f>
        <v>TPS65053-Q1</v>
      </c>
      <c r="B3203" s="5" t="s">
        <v>28792</v>
      </c>
      <c r="C3203" s="6" t="str">
        <f>HYPERLINK("https://www.ti.com/lit/gpn/TPS65053-Q1", "PDF")</f>
        <v>PDF</v>
      </c>
      <c r="D3203" s="5" t="s">
        <v>28793</v>
      </c>
      <c r="E3203" s="5" t="s">
        <v>28794</v>
      </c>
      <c r="F3203" s="5"/>
      <c r="G3203" s="5" t="s">
        <v>28795</v>
      </c>
      <c r="H3203" s="1" t="s">
        <v>28796</v>
      </c>
      <c r="I3203" s="5" t="s">
        <v>28797</v>
      </c>
      <c r="J3203" s="7">
        <v>24</v>
      </c>
      <c r="K3203" s="7">
        <v>16</v>
      </c>
      <c r="L3203" s="5" t="s">
        <v>28798</v>
      </c>
      <c r="M3203" s="7">
        <v>1</v>
      </c>
      <c r="N3203" s="7">
        <v>0.5</v>
      </c>
      <c r="O3203" s="7">
        <v>2.4670000000000001</v>
      </c>
      <c r="P3203" s="1" t="s">
        <v>28799</v>
      </c>
    </row>
    <row r="3204" spans="1:16" ht="33.4" x14ac:dyDescent="0.3">
      <c r="A3204" s="6" t="str">
        <f>HYPERLINK("https://www.ti.com/product/TPS54478", "TPS54478")</f>
        <v>TPS54478</v>
      </c>
      <c r="B3204" s="5" t="s">
        <v>28800</v>
      </c>
      <c r="C3204" s="6" t="str">
        <f>HYPERLINK("https://www.ti.com/lit/gpn/TPS54478", "PDF")</f>
        <v>PDF</v>
      </c>
      <c r="D3204" s="5" t="s">
        <v>28801</v>
      </c>
      <c r="E3204" s="5" t="s">
        <v>28802</v>
      </c>
      <c r="F3204" s="5" t="s">
        <v>28803</v>
      </c>
      <c r="G3204" s="5" t="s">
        <v>28804</v>
      </c>
      <c r="H3204" s="1" t="s">
        <v>28805</v>
      </c>
      <c r="I3204" s="5" t="s">
        <v>28806</v>
      </c>
      <c r="J3204" s="7">
        <v>16</v>
      </c>
      <c r="K3204" s="7">
        <v>9</v>
      </c>
      <c r="L3204" s="5" t="s">
        <v>28807</v>
      </c>
      <c r="M3204" s="7">
        <v>0.8</v>
      </c>
      <c r="N3204" s="7">
        <v>0.5</v>
      </c>
      <c r="O3204" s="7">
        <v>1.234</v>
      </c>
      <c r="P3204" s="1" t="s">
        <v>28808</v>
      </c>
    </row>
    <row r="3205" spans="1:16" ht="17.05" x14ac:dyDescent="0.3">
      <c r="A3205" s="6" t="str">
        <f>HYPERLINK("https://www.ti.com/product/TPS65198", "TPS65198")</f>
        <v>TPS65198</v>
      </c>
      <c r="B3205" s="5" t="s">
        <v>28809</v>
      </c>
      <c r="C3205" s="6" t="str">
        <f>HYPERLINK("https://www.ti.com/lit/gpn/TPS65198", "PDF")</f>
        <v>PDF</v>
      </c>
      <c r="D3205" s="5" t="s">
        <v>28810</v>
      </c>
      <c r="E3205" s="5" t="s">
        <v>28811</v>
      </c>
      <c r="F3205" s="5"/>
      <c r="G3205" s="5" t="s">
        <v>28812</v>
      </c>
      <c r="H3205" s="1" t="s">
        <v>28813</v>
      </c>
      <c r="I3205" s="5" t="s">
        <v>28814</v>
      </c>
      <c r="J3205" s="7">
        <v>28</v>
      </c>
      <c r="K3205" s="7">
        <v>16</v>
      </c>
      <c r="L3205" s="5" t="s">
        <v>28815</v>
      </c>
      <c r="M3205" s="7">
        <v>0.8</v>
      </c>
      <c r="N3205" s="7">
        <v>0.4</v>
      </c>
      <c r="O3205" s="7">
        <v>0.33</v>
      </c>
      <c r="P3205" s="1" t="s">
        <v>28816</v>
      </c>
    </row>
    <row r="3206" spans="1:16" ht="33.4" x14ac:dyDescent="0.3">
      <c r="A3206" s="6" t="str">
        <f>HYPERLINK("https://www.ti.com/product/TPS65253", "TPS65253")</f>
        <v>TPS65253</v>
      </c>
      <c r="B3206" s="5" t="s">
        <v>28817</v>
      </c>
      <c r="C3206" s="6" t="str">
        <f>HYPERLINK("https://www.ti.com/lit/gpn/TPS65253", "PDF")</f>
        <v>PDF</v>
      </c>
      <c r="D3206" s="5" t="s">
        <v>28818</v>
      </c>
      <c r="E3206" s="5" t="s">
        <v>28819</v>
      </c>
      <c r="F3206" s="5" t="s">
        <v>28820</v>
      </c>
      <c r="G3206" s="5" t="s">
        <v>28821</v>
      </c>
      <c r="H3206" s="1" t="s">
        <v>28822</v>
      </c>
      <c r="I3206" s="5" t="s">
        <v>28823</v>
      </c>
      <c r="J3206" s="7">
        <v>28</v>
      </c>
      <c r="K3206" s="7">
        <v>25</v>
      </c>
      <c r="L3206" s="5" t="s">
        <v>28824</v>
      </c>
      <c r="M3206" s="7">
        <v>1</v>
      </c>
      <c r="N3206" s="7">
        <v>0.5</v>
      </c>
      <c r="O3206" s="7">
        <v>1.7809999999999999</v>
      </c>
      <c r="P3206" s="1" t="s">
        <v>28825</v>
      </c>
    </row>
    <row r="3207" spans="1:16" ht="17.05" x14ac:dyDescent="0.3">
      <c r="A3207" s="6" t="str">
        <f>HYPERLINK("https://www.ti.com/product/CSD97370Q5M", "CSD97370Q5M")</f>
        <v>CSD97370Q5M</v>
      </c>
      <c r="B3207" s="5" t="s">
        <v>28826</v>
      </c>
      <c r="C3207" s="6" t="str">
        <f>HYPERLINK("https://www.ti.com/lit/gpn/CSD97370Q5M", "PDF")</f>
        <v>PDF</v>
      </c>
      <c r="D3207" s="5" t="s">
        <v>28827</v>
      </c>
      <c r="E3207" s="5" t="s">
        <v>28828</v>
      </c>
      <c r="F3207" s="5"/>
      <c r="G3207" s="5" t="s">
        <v>28829</v>
      </c>
      <c r="H3207" s="1" t="s">
        <v>28830</v>
      </c>
      <c r="I3207" s="5" t="s">
        <v>28831</v>
      </c>
      <c r="J3207" s="7">
        <v>22</v>
      </c>
      <c r="K3207" s="7">
        <v>30</v>
      </c>
      <c r="L3207" s="5" t="s">
        <v>28832</v>
      </c>
      <c r="M3207" s="7">
        <v>1.5</v>
      </c>
      <c r="N3207" s="7">
        <v>0.5</v>
      </c>
      <c r="O3207" s="7">
        <v>1.3560000000000001</v>
      </c>
      <c r="P3207" s="1" t="s">
        <v>28833</v>
      </c>
    </row>
    <row r="3208" spans="1:16" ht="49.75" x14ac:dyDescent="0.3">
      <c r="A3208" s="6" t="str">
        <f>HYPERLINK("https://www.ti.com/product/TLC5929", "TLC5929")</f>
        <v>TLC5929</v>
      </c>
      <c r="B3208" s="5" t="s">
        <v>28834</v>
      </c>
      <c r="C3208" s="6" t="str">
        <f>HYPERLINK("https://www.ti.com/lit/gpn/TLC5929", "PDF")</f>
        <v>PDF</v>
      </c>
      <c r="D3208" s="5" t="s">
        <v>28835</v>
      </c>
      <c r="E3208" s="5" t="s">
        <v>28836</v>
      </c>
      <c r="F3208" s="5"/>
      <c r="G3208" s="5" t="s">
        <v>28837</v>
      </c>
      <c r="H3208" s="1" t="s">
        <v>28838</v>
      </c>
      <c r="I3208" s="5" t="s">
        <v>28839</v>
      </c>
      <c r="J3208" s="7">
        <v>24</v>
      </c>
      <c r="K3208" s="7" t="s">
        <v>28840</v>
      </c>
      <c r="L3208" s="5" t="s">
        <v>28841</v>
      </c>
      <c r="M3208" s="7" t="s">
        <v>28842</v>
      </c>
      <c r="N3208" s="7" t="s">
        <v>28843</v>
      </c>
      <c r="O3208" s="7">
        <v>0.58099999999999996</v>
      </c>
      <c r="P3208" s="1" t="s">
        <v>28844</v>
      </c>
    </row>
    <row r="3209" spans="1:16" ht="33.4" x14ac:dyDescent="0.3">
      <c r="A3209" s="6" t="str">
        <f>HYPERLINK("https://www.ti.com/product/TPS55010", "TPS55010")</f>
        <v>TPS55010</v>
      </c>
      <c r="B3209" s="5" t="s">
        <v>28845</v>
      </c>
      <c r="C3209" s="6" t="str">
        <f>HYPERLINK("https://www.ti.com/lit/gpn/TPS55010", "PDF")</f>
        <v>PDF</v>
      </c>
      <c r="D3209" s="5" t="s">
        <v>28846</v>
      </c>
      <c r="E3209" s="5" t="s">
        <v>28847</v>
      </c>
      <c r="F3209" s="5" t="s">
        <v>28848</v>
      </c>
      <c r="G3209" s="5" t="s">
        <v>28849</v>
      </c>
      <c r="H3209" s="1" t="s">
        <v>28850</v>
      </c>
      <c r="I3209" s="5" t="s">
        <v>28851</v>
      </c>
      <c r="J3209" s="7">
        <v>16</v>
      </c>
      <c r="K3209" s="7">
        <v>9</v>
      </c>
      <c r="L3209" s="5" t="s">
        <v>28852</v>
      </c>
      <c r="M3209" s="7">
        <v>0.8</v>
      </c>
      <c r="N3209" s="7">
        <v>0.5</v>
      </c>
      <c r="O3209" s="7">
        <v>0.89800000000000002</v>
      </c>
      <c r="P3209" s="1" t="s">
        <v>28853</v>
      </c>
    </row>
    <row r="3210" spans="1:16" ht="17.05" x14ac:dyDescent="0.3">
      <c r="A3210" s="6" t="str">
        <f>HYPERLINK("https://www.ti.com/product/TPS65735", "TPS65735")</f>
        <v>TPS65735</v>
      </c>
      <c r="B3210" s="5" t="s">
        <v>28854</v>
      </c>
      <c r="C3210" s="6" t="str">
        <f>HYPERLINK("https://www.ti.com/lit/gpn/TPS65735", "PDF")</f>
        <v>PDF</v>
      </c>
      <c r="D3210" s="5" t="s">
        <v>28855</v>
      </c>
      <c r="E3210" s="5" t="s">
        <v>28856</v>
      </c>
      <c r="F3210" s="5"/>
      <c r="G3210" s="5" t="s">
        <v>28857</v>
      </c>
      <c r="H3210" s="1" t="s">
        <v>28858</v>
      </c>
      <c r="I3210" s="5" t="s">
        <v>28859</v>
      </c>
      <c r="J3210" s="7">
        <v>32</v>
      </c>
      <c r="K3210" s="7">
        <v>16</v>
      </c>
      <c r="L3210" s="5" t="s">
        <v>28860</v>
      </c>
      <c r="M3210" s="7">
        <v>0.8</v>
      </c>
      <c r="N3210" s="7">
        <v>0.4</v>
      </c>
      <c r="O3210" s="7">
        <v>0.86899999999999999</v>
      </c>
      <c r="P3210" s="1" t="s">
        <v>28861</v>
      </c>
    </row>
    <row r="3211" spans="1:16" ht="33.4" x14ac:dyDescent="0.3">
      <c r="A3211" s="6" t="str">
        <f>HYPERLINK("https://www.ti.com/product/LM3560", "LM3560")</f>
        <v>LM3560</v>
      </c>
      <c r="B3211" s="5" t="s">
        <v>28862</v>
      </c>
      <c r="C3211" s="6" t="str">
        <f>HYPERLINK("https://www.ti.com/lit/gpn/LM3560", "PDF")</f>
        <v>PDF</v>
      </c>
      <c r="D3211" s="5" t="s">
        <v>28863</v>
      </c>
      <c r="E3211" s="5" t="s">
        <v>28864</v>
      </c>
      <c r="F3211" s="5" t="s">
        <v>28865</v>
      </c>
      <c r="G3211" s="5" t="s">
        <v>28866</v>
      </c>
      <c r="H3211" s="1" t="s">
        <v>28867</v>
      </c>
      <c r="I3211" s="5" t="s">
        <v>28868</v>
      </c>
      <c r="J3211" s="7">
        <v>16</v>
      </c>
      <c r="K3211" s="7">
        <v>5.0625</v>
      </c>
      <c r="L3211" s="5" t="s">
        <v>28869</v>
      </c>
      <c r="M3211" s="7">
        <v>0.67500000000000004</v>
      </c>
      <c r="N3211" s="7">
        <v>0.5</v>
      </c>
      <c r="O3211" s="7">
        <v>0.81</v>
      </c>
      <c r="P3211" s="1" t="s">
        <v>28870</v>
      </c>
    </row>
    <row r="3212" spans="1:16" ht="33.4" x14ac:dyDescent="0.3">
      <c r="A3212" s="6" t="str">
        <f>HYPERLINK("https://www.ti.com/product/LM20143-Q1", "LM20143-Q1")</f>
        <v>LM20143-Q1</v>
      </c>
      <c r="B3212" s="5" t="s">
        <v>28871</v>
      </c>
      <c r="C3212" s="6" t="str">
        <f>HYPERLINK("https://www.ti.com/lit/gpn/LM20143-Q1", "PDF")</f>
        <v>PDF</v>
      </c>
      <c r="D3212" s="5" t="s">
        <v>28872</v>
      </c>
      <c r="E3212" s="5" t="s">
        <v>28873</v>
      </c>
      <c r="F3212" s="5" t="s">
        <v>28874</v>
      </c>
      <c r="G3212" s="5" t="s">
        <v>28875</v>
      </c>
      <c r="H3212" s="1" t="s">
        <v>28876</v>
      </c>
      <c r="I3212" s="5" t="s">
        <v>28877</v>
      </c>
      <c r="J3212" s="7">
        <v>16</v>
      </c>
      <c r="K3212" s="7">
        <v>32</v>
      </c>
      <c r="L3212" s="5" t="s">
        <v>28878</v>
      </c>
      <c r="M3212" s="7">
        <v>1.2</v>
      </c>
      <c r="N3212" s="7">
        <v>0.65</v>
      </c>
      <c r="O3212" s="7">
        <v>1.643</v>
      </c>
      <c r="P3212" s="1" t="s">
        <v>28879</v>
      </c>
    </row>
    <row r="3213" spans="1:16" ht="33.4" x14ac:dyDescent="0.3">
      <c r="A3213" s="6" t="str">
        <f>HYPERLINK("https://www.ti.com/product/TPS53317", "TPS53317")</f>
        <v>TPS53317</v>
      </c>
      <c r="B3213" s="5" t="s">
        <v>28880</v>
      </c>
      <c r="C3213" s="6" t="str">
        <f>HYPERLINK("https://www.ti.com/lit/gpn/TPS53317", "PDF")</f>
        <v>PDF</v>
      </c>
      <c r="D3213" s="5" t="s">
        <v>28881</v>
      </c>
      <c r="E3213" s="5" t="s">
        <v>28882</v>
      </c>
      <c r="F3213" s="5"/>
      <c r="G3213" s="5" t="s">
        <v>28883</v>
      </c>
      <c r="H3213" s="1" t="s">
        <v>28884</v>
      </c>
      <c r="I3213" s="5" t="s">
        <v>28885</v>
      </c>
      <c r="J3213" s="7">
        <v>20</v>
      </c>
      <c r="K3213" s="7">
        <v>14</v>
      </c>
      <c r="L3213" s="5" t="s">
        <v>28886</v>
      </c>
      <c r="M3213" s="7">
        <v>1</v>
      </c>
      <c r="N3213" s="7">
        <v>0.5</v>
      </c>
      <c r="O3213" s="7">
        <v>2.516</v>
      </c>
      <c r="P3213" s="1" t="s">
        <v>28887</v>
      </c>
    </row>
    <row r="3214" spans="1:16" ht="49.75" x14ac:dyDescent="0.3">
      <c r="A3214" s="6" t="str">
        <f>HYPERLINK("https://www.ti.com/product/LM3538", "LM3538")</f>
        <v>LM3538</v>
      </c>
      <c r="B3214" s="5" t="s">
        <v>28888</v>
      </c>
      <c r="C3214" s="6" t="str">
        <f>HYPERLINK("https://www.ti.com/lit/gpn/LM3538", "PDF")</f>
        <v>PDF</v>
      </c>
      <c r="D3214" s="5" t="s">
        <v>28889</v>
      </c>
      <c r="E3214" s="5" t="s">
        <v>28890</v>
      </c>
      <c r="F3214" s="5" t="s">
        <v>28891</v>
      </c>
      <c r="G3214" s="5" t="s">
        <v>28892</v>
      </c>
      <c r="H3214" s="1" t="s">
        <v>28893</v>
      </c>
      <c r="I3214" s="5" t="s">
        <v>28894</v>
      </c>
      <c r="J3214" s="7">
        <v>30</v>
      </c>
      <c r="K3214" s="7">
        <v>5.7199999999999989</v>
      </c>
      <c r="L3214" s="5" t="s">
        <v>28895</v>
      </c>
      <c r="M3214" s="7">
        <v>0.67500000000000004</v>
      </c>
      <c r="N3214" s="7">
        <v>0.4</v>
      </c>
      <c r="O3214" s="7">
        <v>0.73899999999999999</v>
      </c>
      <c r="P3214" s="1" t="s">
        <v>28896</v>
      </c>
    </row>
    <row r="3215" spans="1:16" ht="33.4" x14ac:dyDescent="0.3">
      <c r="A3215" s="6" t="str">
        <f>HYPERLINK("https://www.ti.com/product/TPS40322", "TPS40322")</f>
        <v>TPS40322</v>
      </c>
      <c r="B3215" s="5" t="s">
        <v>28897</v>
      </c>
      <c r="C3215" s="6" t="str">
        <f>HYPERLINK("https://www.ti.com/lit/gpn/TPS40322", "PDF")</f>
        <v>PDF</v>
      </c>
      <c r="D3215" s="5" t="s">
        <v>28898</v>
      </c>
      <c r="E3215" s="5" t="s">
        <v>28899</v>
      </c>
      <c r="F3215" s="5" t="s">
        <v>28900</v>
      </c>
      <c r="G3215" s="5" t="s">
        <v>28901</v>
      </c>
      <c r="H3215" s="1" t="s">
        <v>28902</v>
      </c>
      <c r="I3215" s="5" t="s">
        <v>28903</v>
      </c>
      <c r="J3215" s="7">
        <v>32</v>
      </c>
      <c r="K3215" s="7">
        <v>25</v>
      </c>
      <c r="L3215" s="5" t="s">
        <v>28904</v>
      </c>
      <c r="M3215" s="7">
        <v>1</v>
      </c>
      <c r="N3215" s="7">
        <v>0.5</v>
      </c>
      <c r="O3215" s="7">
        <v>1.5580000000000001</v>
      </c>
      <c r="P3215" s="1" t="s">
        <v>28905</v>
      </c>
    </row>
    <row r="3216" spans="1:16" ht="33.4" x14ac:dyDescent="0.3">
      <c r="A3216" s="6" t="str">
        <f>HYPERLINK("https://www.ti.com/product/TPS54429", "TPS54429")</f>
        <v>TPS54429</v>
      </c>
      <c r="B3216" s="5" t="s">
        <v>28906</v>
      </c>
      <c r="C3216" s="6" t="str">
        <f>HYPERLINK("https://www.ti.com/lit/gpn/TPS54429", "PDF")</f>
        <v>PDF</v>
      </c>
      <c r="D3216" s="5" t="s">
        <v>28907</v>
      </c>
      <c r="E3216" s="5" t="s">
        <v>28908</v>
      </c>
      <c r="F3216" s="5" t="s">
        <v>28909</v>
      </c>
      <c r="G3216" s="5" t="s">
        <v>28910</v>
      </c>
      <c r="H3216" s="1" t="s">
        <v>28911</v>
      </c>
      <c r="I3216" s="5" t="s">
        <v>28912</v>
      </c>
      <c r="J3216" s="7">
        <v>14</v>
      </c>
      <c r="K3216" s="7">
        <v>32</v>
      </c>
      <c r="L3216" s="5" t="s">
        <v>28913</v>
      </c>
      <c r="M3216" s="7">
        <v>1.2</v>
      </c>
      <c r="N3216" s="7">
        <v>0.65</v>
      </c>
      <c r="O3216" s="7">
        <v>0.69</v>
      </c>
      <c r="P3216" s="1" t="s">
        <v>28914</v>
      </c>
    </row>
    <row r="3217" spans="1:16" ht="33.4" x14ac:dyDescent="0.3">
      <c r="A3217" s="6" t="str">
        <f>HYPERLINK("https://www.ti.com/product/TPS54429E", "TPS54429E")</f>
        <v>TPS54429E</v>
      </c>
      <c r="B3217" s="5" t="s">
        <v>28915</v>
      </c>
      <c r="C3217" s="6" t="str">
        <f>HYPERLINK("https://www.ti.com/lit/gpn/TPS54429E", "PDF")</f>
        <v>PDF</v>
      </c>
      <c r="D3217" s="5" t="s">
        <v>28916</v>
      </c>
      <c r="E3217" s="5" t="s">
        <v>28917</v>
      </c>
      <c r="F3217" s="5" t="s">
        <v>28918</v>
      </c>
      <c r="G3217" s="5" t="s">
        <v>28919</v>
      </c>
      <c r="H3217" s="1" t="s">
        <v>28920</v>
      </c>
      <c r="I3217" s="5" t="s">
        <v>28921</v>
      </c>
      <c r="J3217" s="7" t="s">
        <v>28922</v>
      </c>
      <c r="K3217" s="7" t="s">
        <v>28923</v>
      </c>
      <c r="L3217" s="5" t="s">
        <v>28924</v>
      </c>
      <c r="M3217" s="7" t="s">
        <v>28925</v>
      </c>
      <c r="N3217" s="7">
        <v>0.65</v>
      </c>
      <c r="O3217" s="7">
        <v>0.71</v>
      </c>
      <c r="P3217" s="1" t="s">
        <v>28926</v>
      </c>
    </row>
    <row r="3218" spans="1:16" ht="33.4" x14ac:dyDescent="0.3">
      <c r="A3218" s="6" t="str">
        <f>HYPERLINK("https://www.ti.com/product/LM21305", "LM21305")</f>
        <v>LM21305</v>
      </c>
      <c r="B3218" s="5" t="s">
        <v>28927</v>
      </c>
      <c r="C3218" s="6" t="str">
        <f>HYPERLINK("https://www.ti.com/lit/gpn/LM21305", "PDF")</f>
        <v>PDF</v>
      </c>
      <c r="D3218" s="5" t="s">
        <v>28928</v>
      </c>
      <c r="E3218" s="5" t="s">
        <v>28929</v>
      </c>
      <c r="F3218" s="5" t="s">
        <v>28930</v>
      </c>
      <c r="G3218" s="5" t="s">
        <v>28931</v>
      </c>
      <c r="H3218" s="1" t="s">
        <v>28932</v>
      </c>
      <c r="I3218" s="5" t="s">
        <v>28933</v>
      </c>
      <c r="J3218" s="7">
        <v>28</v>
      </c>
      <c r="K3218" s="7">
        <v>25</v>
      </c>
      <c r="L3218" s="5" t="s">
        <v>28934</v>
      </c>
      <c r="M3218" s="7">
        <v>0.8</v>
      </c>
      <c r="N3218" s="7">
        <v>0.5</v>
      </c>
      <c r="O3218" s="7">
        <v>3.0609999999999999</v>
      </c>
      <c r="P3218" s="1" t="s">
        <v>28935</v>
      </c>
    </row>
    <row r="3219" spans="1:16" ht="49.75" x14ac:dyDescent="0.3">
      <c r="A3219" s="6" t="str">
        <f>HYPERLINK("https://www.ti.com/product/LM3537", "LM3537")</f>
        <v>LM3537</v>
      </c>
      <c r="B3219" s="5" t="s">
        <v>28936</v>
      </c>
      <c r="C3219" s="6" t="str">
        <f>HYPERLINK("https://www.ti.com/lit/gpn/LM3537", "PDF")</f>
        <v>PDF</v>
      </c>
      <c r="D3219" s="5" t="s">
        <v>28937</v>
      </c>
      <c r="E3219" s="5" t="s">
        <v>28938</v>
      </c>
      <c r="F3219" s="5" t="s">
        <v>28939</v>
      </c>
      <c r="G3219" s="5" t="s">
        <v>28940</v>
      </c>
      <c r="H3219" s="1" t="s">
        <v>28941</v>
      </c>
      <c r="I3219" s="5" t="s">
        <v>28942</v>
      </c>
      <c r="J3219" s="7">
        <v>30</v>
      </c>
      <c r="K3219" s="7">
        <v>5.7199999999999989</v>
      </c>
      <c r="L3219" s="5" t="s">
        <v>28943</v>
      </c>
      <c r="M3219" s="7">
        <v>0.67500000000000004</v>
      </c>
      <c r="N3219" s="7">
        <v>0.4</v>
      </c>
      <c r="O3219" s="7">
        <v>0.78500000000000003</v>
      </c>
      <c r="P3219" s="1" t="s">
        <v>28944</v>
      </c>
    </row>
    <row r="3220" spans="1:16" ht="33.4" x14ac:dyDescent="0.3">
      <c r="A3220" s="6" t="str">
        <f>HYPERLINK("https://www.ti.com/product/TPS62360", "TPS62360")</f>
        <v>TPS62360</v>
      </c>
      <c r="B3220" s="5" t="s">
        <v>28945</v>
      </c>
      <c r="C3220" s="6" t="str">
        <f>HYPERLINK("https://www.ti.com/lit/gpn/TPS62360", "PDF")</f>
        <v>PDF</v>
      </c>
      <c r="D3220" s="5" t="s">
        <v>28946</v>
      </c>
      <c r="E3220" s="5" t="s">
        <v>28947</v>
      </c>
      <c r="F3220" s="5" t="s">
        <v>28948</v>
      </c>
      <c r="G3220" s="5" t="s">
        <v>28949</v>
      </c>
      <c r="H3220" s="1" t="s">
        <v>28950</v>
      </c>
      <c r="I3220" s="5" t="s">
        <v>28951</v>
      </c>
      <c r="J3220" s="7">
        <v>16</v>
      </c>
      <c r="K3220" s="7">
        <v>5.0625</v>
      </c>
      <c r="L3220" s="5" t="s">
        <v>28952</v>
      </c>
      <c r="M3220" s="7">
        <v>0.625</v>
      </c>
      <c r="N3220" s="7">
        <v>0.5</v>
      </c>
      <c r="O3220" s="7">
        <v>0.81200000000000006</v>
      </c>
      <c r="P3220" s="1" t="s">
        <v>28953</v>
      </c>
    </row>
    <row r="3221" spans="1:16" ht="33.4" x14ac:dyDescent="0.3">
      <c r="A3221" s="6" t="str">
        <f>HYPERLINK("https://www.ti.com/product/TPS62361B", "TPS62361B")</f>
        <v>TPS62361B</v>
      </c>
      <c r="B3221" s="5" t="s">
        <v>28954</v>
      </c>
      <c r="C3221" s="6" t="str">
        <f>HYPERLINK("https://www.ti.com/lit/gpn/TPS62361B", "PDF")</f>
        <v>PDF</v>
      </c>
      <c r="D3221" s="5" t="s">
        <v>28955</v>
      </c>
      <c r="E3221" s="5" t="s">
        <v>28956</v>
      </c>
      <c r="F3221" s="5" t="s">
        <v>28957</v>
      </c>
      <c r="G3221" s="5" t="s">
        <v>28958</v>
      </c>
      <c r="H3221" s="1" t="s">
        <v>28959</v>
      </c>
      <c r="I3221" s="5" t="s">
        <v>28960</v>
      </c>
      <c r="J3221" s="7">
        <v>16</v>
      </c>
      <c r="K3221" s="7">
        <v>5.0625</v>
      </c>
      <c r="L3221" s="5" t="s">
        <v>28961</v>
      </c>
      <c r="M3221" s="7">
        <v>0.625</v>
      </c>
      <c r="N3221" s="7">
        <v>0.5</v>
      </c>
      <c r="O3221" s="7">
        <v>0.81200000000000006</v>
      </c>
      <c r="P3221" s="1" t="s">
        <v>28962</v>
      </c>
    </row>
    <row r="3222" spans="1:16" ht="33.4" x14ac:dyDescent="0.3">
      <c r="A3222" s="6" t="str">
        <f>HYPERLINK("https://www.ti.com/product/LM3559", "LM3559")</f>
        <v>LM3559</v>
      </c>
      <c r="B3222" s="5" t="s">
        <v>28963</v>
      </c>
      <c r="C3222" s="6" t="str">
        <f>HYPERLINK("https://www.ti.com/lit/gpn/LM3559", "PDF")</f>
        <v>PDF</v>
      </c>
      <c r="D3222" s="5" t="s">
        <v>28964</v>
      </c>
      <c r="E3222" s="5" t="s">
        <v>28965</v>
      </c>
      <c r="F3222" s="5" t="s">
        <v>28966</v>
      </c>
      <c r="G3222" s="5" t="s">
        <v>28967</v>
      </c>
      <c r="H3222" s="1" t="s">
        <v>28968</v>
      </c>
      <c r="I3222" s="5" t="s">
        <v>28969</v>
      </c>
      <c r="J3222" s="7">
        <v>16</v>
      </c>
      <c r="K3222" s="7">
        <v>5.0625</v>
      </c>
      <c r="L3222" s="5" t="s">
        <v>28970</v>
      </c>
      <c r="M3222" s="7">
        <v>0.67500000000000004</v>
      </c>
      <c r="N3222" s="7">
        <v>0.5</v>
      </c>
      <c r="O3222" s="7">
        <v>0.55700000000000005</v>
      </c>
      <c r="P3222" s="1" t="s">
        <v>28971</v>
      </c>
    </row>
    <row r="3223" spans="1:16" ht="33.4" x14ac:dyDescent="0.3">
      <c r="A3223" s="6" t="str">
        <f>HYPERLINK("https://www.ti.com/product/TPS65185", "TPS65185")</f>
        <v>TPS65185</v>
      </c>
      <c r="B3223" s="5" t="s">
        <v>28972</v>
      </c>
      <c r="C3223" s="6" t="str">
        <f>HYPERLINK("https://www.ti.com/lit/gpn/TPS65185", "PDF")</f>
        <v>PDF</v>
      </c>
      <c r="D3223" s="5" t="s">
        <v>28973</v>
      </c>
      <c r="E3223" s="5" t="s">
        <v>28974</v>
      </c>
      <c r="F3223" s="5"/>
      <c r="G3223" s="5" t="s">
        <v>28975</v>
      </c>
      <c r="H3223" s="1" t="s">
        <v>28976</v>
      </c>
      <c r="I3223" s="5" t="s">
        <v>28977</v>
      </c>
      <c r="J3223" s="7">
        <v>48</v>
      </c>
      <c r="K3223" s="7" t="s">
        <v>28978</v>
      </c>
      <c r="L3223" s="5" t="s">
        <v>28979</v>
      </c>
      <c r="M3223" s="7">
        <v>1</v>
      </c>
      <c r="N3223" s="7" t="s">
        <v>28980</v>
      </c>
      <c r="O3223" s="7">
        <v>1.45</v>
      </c>
      <c r="P3223" s="1" t="s">
        <v>28981</v>
      </c>
    </row>
    <row r="3224" spans="1:16" ht="33.4" x14ac:dyDescent="0.3">
      <c r="A3224" s="6" t="str">
        <f>HYPERLINK("https://www.ti.com/product/TPS62730", "TPS62730")</f>
        <v>TPS62730</v>
      </c>
      <c r="B3224" s="5" t="s">
        <v>28982</v>
      </c>
      <c r="C3224" s="6" t="str">
        <f>HYPERLINK("https://www.ti.com/lit/gpn/TPS62730", "PDF")</f>
        <v>PDF</v>
      </c>
      <c r="D3224" s="5" t="s">
        <v>28983</v>
      </c>
      <c r="E3224" s="5" t="s">
        <v>28984</v>
      </c>
      <c r="F3224" s="5" t="s">
        <v>28985</v>
      </c>
      <c r="G3224" s="5" t="s">
        <v>28986</v>
      </c>
      <c r="H3224" s="1" t="s">
        <v>28987</v>
      </c>
      <c r="I3224" s="5" t="s">
        <v>28988</v>
      </c>
      <c r="J3224" s="7">
        <v>6</v>
      </c>
      <c r="K3224" s="7">
        <v>1.45</v>
      </c>
      <c r="L3224" s="5" t="s">
        <v>28989</v>
      </c>
      <c r="M3224" s="7">
        <v>0.6</v>
      </c>
      <c r="N3224" s="7">
        <v>0.5</v>
      </c>
      <c r="O3224" s="7">
        <v>0.49</v>
      </c>
      <c r="P3224" s="1" t="s">
        <v>28990</v>
      </c>
    </row>
    <row r="3225" spans="1:16" ht="49.75" x14ac:dyDescent="0.3">
      <c r="A3225" s="6" t="str">
        <f>HYPERLINK("https://www.ti.com/product/TPS82677", "TPS82677")</f>
        <v>TPS82677</v>
      </c>
      <c r="B3225" s="5" t="s">
        <v>28991</v>
      </c>
      <c r="C3225" s="6" t="str">
        <f>HYPERLINK("https://www.ti.com/lit/gpn/TPS82677", "PDF")</f>
        <v>PDF</v>
      </c>
      <c r="D3225" s="5" t="s">
        <v>28992</v>
      </c>
      <c r="E3225" s="5" t="s">
        <v>28993</v>
      </c>
      <c r="F3225" s="5" t="s">
        <v>28994</v>
      </c>
      <c r="G3225" s="5" t="s">
        <v>28995</v>
      </c>
      <c r="H3225" s="1" t="s">
        <v>28996</v>
      </c>
      <c r="I3225" s="5" t="s">
        <v>28997</v>
      </c>
      <c r="J3225" s="7">
        <v>8</v>
      </c>
      <c r="K3225" s="7">
        <v>6.67</v>
      </c>
      <c r="L3225" s="5" t="s">
        <v>28998</v>
      </c>
      <c r="M3225" s="7">
        <v>1</v>
      </c>
      <c r="N3225" s="7">
        <v>1</v>
      </c>
      <c r="O3225" s="7">
        <v>1.012</v>
      </c>
      <c r="P3225" s="1" t="s">
        <v>28999</v>
      </c>
    </row>
    <row r="3226" spans="1:16" ht="33.4" x14ac:dyDescent="0.3">
      <c r="A3226" s="6" t="str">
        <f>HYPERLINK("https://www.ti.com/product/UCC29910A", "UCC29910A")</f>
        <v>UCC29910A</v>
      </c>
      <c r="B3226" s="5" t="s">
        <v>29000</v>
      </c>
      <c r="C3226" s="6" t="str">
        <f>HYPERLINK("https://www.ti.com/lit/gpn/UCC29910A", "PDF")</f>
        <v>PDF</v>
      </c>
      <c r="D3226" s="5" t="s">
        <v>29001</v>
      </c>
      <c r="E3226" s="5" t="s">
        <v>29002</v>
      </c>
      <c r="F3226" s="5" t="s">
        <v>29003</v>
      </c>
      <c r="G3226" s="5" t="s">
        <v>29004</v>
      </c>
      <c r="H3226" s="1" t="s">
        <v>29005</v>
      </c>
      <c r="I3226" s="5" t="s">
        <v>29006</v>
      </c>
      <c r="J3226" s="7">
        <v>14</v>
      </c>
      <c r="K3226" s="7">
        <v>32</v>
      </c>
      <c r="L3226" s="5" t="s">
        <v>29007</v>
      </c>
      <c r="M3226" s="7">
        <v>1.2</v>
      </c>
      <c r="N3226" s="7">
        <v>0.65</v>
      </c>
      <c r="O3226" s="7">
        <v>1.381</v>
      </c>
      <c r="P3226" s="1" t="s">
        <v>29008</v>
      </c>
    </row>
    <row r="3227" spans="1:16" ht="33.4" x14ac:dyDescent="0.3">
      <c r="A3227" s="6" t="str">
        <f>HYPERLINK("https://www.ti.com/product/TPS61261", "TPS61261")</f>
        <v>TPS61261</v>
      </c>
      <c r="B3227" s="5" t="s">
        <v>29009</v>
      </c>
      <c r="C3227" s="6" t="str">
        <f>HYPERLINK("https://www.ti.com/lit/gpn/TPS61261", "PDF")</f>
        <v>PDF</v>
      </c>
      <c r="D3227" s="5" t="s">
        <v>29010</v>
      </c>
      <c r="E3227" s="5" t="s">
        <v>29011</v>
      </c>
      <c r="F3227" s="5" t="s">
        <v>29012</v>
      </c>
      <c r="G3227" s="5" t="s">
        <v>29013</v>
      </c>
      <c r="H3227" s="1" t="s">
        <v>29014</v>
      </c>
      <c r="I3227" s="5" t="s">
        <v>29015</v>
      </c>
      <c r="J3227" s="7">
        <v>6</v>
      </c>
      <c r="K3227" s="7">
        <v>4</v>
      </c>
      <c r="L3227" s="5" t="s">
        <v>29016</v>
      </c>
      <c r="M3227" s="7">
        <v>0.8</v>
      </c>
      <c r="N3227" s="7">
        <v>0.65</v>
      </c>
      <c r="O3227" s="7">
        <v>0.42199999999999999</v>
      </c>
      <c r="P3227" s="1" t="s">
        <v>29017</v>
      </c>
    </row>
    <row r="3228" spans="1:16" ht="33.4" x14ac:dyDescent="0.3">
      <c r="A3228" s="6" t="str">
        <f>HYPERLINK("https://www.ti.com/product/TLV1117LV", "TLV1117LV")</f>
        <v>TLV1117LV</v>
      </c>
      <c r="B3228" s="5" t="s">
        <v>29018</v>
      </c>
      <c r="C3228" s="6" t="str">
        <f>HYPERLINK("https://www.ti.com/lit/gpn/TLV1117LV", "PDF")</f>
        <v>PDF</v>
      </c>
      <c r="D3228" s="5" t="s">
        <v>29019</v>
      </c>
      <c r="E3228" s="5" t="s">
        <v>29020</v>
      </c>
      <c r="F3228" s="5"/>
      <c r="G3228" s="5" t="s">
        <v>29021</v>
      </c>
      <c r="H3228" s="1" t="s">
        <v>29022</v>
      </c>
      <c r="I3228" s="5" t="s">
        <v>29023</v>
      </c>
      <c r="J3228" s="7">
        <v>4</v>
      </c>
      <c r="K3228" s="7">
        <v>45.5</v>
      </c>
      <c r="L3228" s="5" t="s">
        <v>29024</v>
      </c>
      <c r="M3228" s="7">
        <v>1.8</v>
      </c>
      <c r="N3228" s="7">
        <v>2.2999999999999998</v>
      </c>
      <c r="O3228" s="7">
        <v>6.9000000000000006E-2</v>
      </c>
      <c r="P3228" s="1" t="s">
        <v>29025</v>
      </c>
    </row>
    <row r="3229" spans="1:16" ht="33.4" x14ac:dyDescent="0.3">
      <c r="A3229" s="6" t="str">
        <f>HYPERLINK("https://www.ti.com/product/TPS53314", "TPS53314")</f>
        <v>TPS53314</v>
      </c>
      <c r="B3229" s="5" t="s">
        <v>29026</v>
      </c>
      <c r="C3229" s="6" t="str">
        <f>HYPERLINK("https://www.ti.com/lit/gpn/TPS53314", "PDF")</f>
        <v>PDF</v>
      </c>
      <c r="D3229" s="5" t="s">
        <v>29027</v>
      </c>
      <c r="E3229" s="5" t="s">
        <v>29028</v>
      </c>
      <c r="F3229" s="5" t="s">
        <v>29029</v>
      </c>
      <c r="G3229" s="5" t="s">
        <v>29030</v>
      </c>
      <c r="H3229" s="1" t="s">
        <v>29031</v>
      </c>
      <c r="I3229" s="5" t="s">
        <v>29032</v>
      </c>
      <c r="J3229" s="7">
        <v>40</v>
      </c>
      <c r="K3229" s="7">
        <v>35</v>
      </c>
      <c r="L3229" s="5" t="s">
        <v>29033</v>
      </c>
      <c r="M3229" s="7">
        <v>1</v>
      </c>
      <c r="N3229" s="7">
        <v>0.5</v>
      </c>
      <c r="O3229" s="7">
        <v>2.0630000000000002</v>
      </c>
      <c r="P3229" s="1" t="s">
        <v>29034</v>
      </c>
    </row>
    <row r="3230" spans="1:16" ht="33.4" x14ac:dyDescent="0.3">
      <c r="A3230" s="6" t="str">
        <f>HYPERLINK("https://www.ti.com/product/TPS54062", "TPS54062")</f>
        <v>TPS54062</v>
      </c>
      <c r="B3230" s="5" t="s">
        <v>29035</v>
      </c>
      <c r="C3230" s="6" t="str">
        <f>HYPERLINK("https://www.ti.com/lit/gpn/TPS54062", "PDF")</f>
        <v>PDF</v>
      </c>
      <c r="D3230" s="5" t="s">
        <v>29036</v>
      </c>
      <c r="E3230" s="5" t="s">
        <v>29037</v>
      </c>
      <c r="F3230" s="5" t="s">
        <v>29038</v>
      </c>
      <c r="G3230" s="5" t="s">
        <v>29039</v>
      </c>
      <c r="H3230" s="1" t="s">
        <v>29040</v>
      </c>
      <c r="I3230" s="5" t="s">
        <v>29041</v>
      </c>
      <c r="J3230" s="7">
        <v>8</v>
      </c>
      <c r="K3230" s="7" t="s">
        <v>29042</v>
      </c>
      <c r="L3230" s="5" t="s">
        <v>29043</v>
      </c>
      <c r="M3230" s="7" t="s">
        <v>29044</v>
      </c>
      <c r="N3230" s="7">
        <v>0.65</v>
      </c>
      <c r="O3230" s="7">
        <v>0.70499999999999996</v>
      </c>
      <c r="P3230" s="1" t="s">
        <v>29045</v>
      </c>
    </row>
    <row r="3231" spans="1:16" ht="33.4" x14ac:dyDescent="0.3">
      <c r="A3231" s="6" t="str">
        <f>HYPERLINK("https://www.ti.com/product/TPS61260", "TPS61260")</f>
        <v>TPS61260</v>
      </c>
      <c r="B3231" s="5" t="s">
        <v>29046</v>
      </c>
      <c r="C3231" s="6" t="str">
        <f>HYPERLINK("https://www.ti.com/lit/gpn/TPS61260", "PDF")</f>
        <v>PDF</v>
      </c>
      <c r="D3231" s="5" t="s">
        <v>29047</v>
      </c>
      <c r="E3231" s="5" t="s">
        <v>29048</v>
      </c>
      <c r="F3231" s="5" t="s">
        <v>29049</v>
      </c>
      <c r="G3231" s="5" t="s">
        <v>29050</v>
      </c>
      <c r="H3231" s="1" t="s">
        <v>29051</v>
      </c>
      <c r="I3231" s="5" t="s">
        <v>29052</v>
      </c>
      <c r="J3231" s="7">
        <v>6</v>
      </c>
      <c r="K3231" s="7">
        <v>4</v>
      </c>
      <c r="L3231" s="5" t="s">
        <v>29053</v>
      </c>
      <c r="M3231" s="7">
        <v>0.8</v>
      </c>
      <c r="N3231" s="7">
        <v>0.65</v>
      </c>
      <c r="O3231" s="7">
        <v>0.42199999999999999</v>
      </c>
      <c r="P3231" s="1" t="s">
        <v>29054</v>
      </c>
    </row>
    <row r="3232" spans="1:16" ht="33.4" x14ac:dyDescent="0.3">
      <c r="A3232" s="6" t="str">
        <f>HYPERLINK("https://www.ti.com/product/TPS54227", "TPS54227")</f>
        <v>TPS54227</v>
      </c>
      <c r="B3232" s="5" t="s">
        <v>29055</v>
      </c>
      <c r="C3232" s="6" t="str">
        <f>HYPERLINK("https://www.ti.com/lit/gpn/TPS54227", "PDF")</f>
        <v>PDF</v>
      </c>
      <c r="D3232" s="5" t="s">
        <v>29056</v>
      </c>
      <c r="E3232" s="5" t="s">
        <v>29057</v>
      </c>
      <c r="F3232" s="5" t="s">
        <v>29058</v>
      </c>
      <c r="G3232" s="5" t="s">
        <v>29059</v>
      </c>
      <c r="H3232" s="1" t="s">
        <v>29060</v>
      </c>
      <c r="I3232" s="5" t="s">
        <v>29061</v>
      </c>
      <c r="J3232" s="7" t="s">
        <v>29062</v>
      </c>
      <c r="K3232" s="7" t="s">
        <v>29063</v>
      </c>
      <c r="L3232" s="5" t="s">
        <v>29064</v>
      </c>
      <c r="M3232" s="7" t="s">
        <v>29065</v>
      </c>
      <c r="N3232" s="7" t="s">
        <v>29066</v>
      </c>
      <c r="O3232" s="7">
        <v>0.35699999999999998</v>
      </c>
      <c r="P3232" s="1" t="s">
        <v>29067</v>
      </c>
    </row>
    <row r="3233" spans="1:16" ht="33.4" x14ac:dyDescent="0.3">
      <c r="A3233" s="6" t="str">
        <f>HYPERLINK("https://www.ti.com/product/TPS54228", "TPS54228")</f>
        <v>TPS54228</v>
      </c>
      <c r="B3233" s="5" t="s">
        <v>29068</v>
      </c>
      <c r="C3233" s="6" t="str">
        <f>HYPERLINK("https://www.ti.com/lit/gpn/TPS54228", "PDF")</f>
        <v>PDF</v>
      </c>
      <c r="D3233" s="5" t="s">
        <v>29069</v>
      </c>
      <c r="E3233" s="5" t="s">
        <v>29070</v>
      </c>
      <c r="F3233" s="5" t="s">
        <v>29071</v>
      </c>
      <c r="G3233" s="5" t="s">
        <v>29072</v>
      </c>
      <c r="H3233" s="1" t="s">
        <v>29073</v>
      </c>
      <c r="I3233" s="5" t="s">
        <v>29074</v>
      </c>
      <c r="J3233" s="7" t="s">
        <v>29075</v>
      </c>
      <c r="K3233" s="7" t="s">
        <v>29076</v>
      </c>
      <c r="L3233" s="5" t="s">
        <v>29077</v>
      </c>
      <c r="M3233" s="7" t="s">
        <v>29078</v>
      </c>
      <c r="N3233" s="7" t="s">
        <v>29079</v>
      </c>
      <c r="O3233" s="7">
        <v>0.377</v>
      </c>
      <c r="P3233" s="1" t="s">
        <v>29080</v>
      </c>
    </row>
    <row r="3234" spans="1:16" ht="33.4" x14ac:dyDescent="0.3">
      <c r="A3234" s="6" t="str">
        <f>HYPERLINK("https://www.ti.com/product/TPS51206", "TPS51206")</f>
        <v>TPS51206</v>
      </c>
      <c r="B3234" s="5" t="s">
        <v>29081</v>
      </c>
      <c r="C3234" s="6" t="str">
        <f>HYPERLINK("https://www.ti.com/lit/gpn/TPS51206", "PDF")</f>
        <v>PDF</v>
      </c>
      <c r="D3234" s="5" t="s">
        <v>29082</v>
      </c>
      <c r="E3234" s="5" t="s">
        <v>29083</v>
      </c>
      <c r="F3234" s="5"/>
      <c r="G3234" s="5" t="s">
        <v>29084</v>
      </c>
      <c r="H3234" s="1" t="s">
        <v>29085</v>
      </c>
      <c r="I3234" s="5" t="s">
        <v>29086</v>
      </c>
      <c r="J3234" s="7">
        <v>10</v>
      </c>
      <c r="K3234" s="7">
        <v>4</v>
      </c>
      <c r="L3234" s="5" t="s">
        <v>29087</v>
      </c>
      <c r="M3234" s="7">
        <v>0.8</v>
      </c>
      <c r="N3234" s="7">
        <v>0.4</v>
      </c>
      <c r="O3234" s="7">
        <v>0.27500000000000002</v>
      </c>
      <c r="P3234" s="1" t="s">
        <v>29088</v>
      </c>
    </row>
    <row r="3235" spans="1:16" ht="33.4" x14ac:dyDescent="0.3">
      <c r="A3235" s="6" t="str">
        <f>HYPERLINK("https://www.ti.com/product/TPS65920", "TPS65920")</f>
        <v>TPS65920</v>
      </c>
      <c r="B3235" s="5" t="s">
        <v>29089</v>
      </c>
      <c r="C3235" s="6" t="str">
        <f>HYPERLINK("https://www.ti.com/lit/gpn/TPS65920", "PDF")</f>
        <v>PDF</v>
      </c>
      <c r="D3235" s="5" t="s">
        <v>29090</v>
      </c>
      <c r="E3235" s="5" t="s">
        <v>29091</v>
      </c>
      <c r="F3235" s="5"/>
      <c r="G3235" s="5" t="s">
        <v>29092</v>
      </c>
      <c r="H3235" s="1" t="s">
        <v>29093</v>
      </c>
      <c r="I3235" s="5" t="s">
        <v>29094</v>
      </c>
      <c r="J3235" s="7">
        <v>139</v>
      </c>
      <c r="K3235" s="7">
        <v>100</v>
      </c>
      <c r="L3235" s="5" t="s">
        <v>29095</v>
      </c>
      <c r="M3235" s="7">
        <v>1.3</v>
      </c>
      <c r="N3235" s="7">
        <v>0.65</v>
      </c>
      <c r="O3235" s="7">
        <v>4.8010000000000002</v>
      </c>
      <c r="P3235" s="1" t="s">
        <v>29096</v>
      </c>
    </row>
    <row r="3236" spans="1:16" ht="33.4" x14ac:dyDescent="0.3">
      <c r="A3236" s="6" t="str">
        <f>HYPERLINK("https://www.ti.com/product/TPS65930", "TPS65930")</f>
        <v>TPS65930</v>
      </c>
      <c r="B3236" s="5" t="s">
        <v>29097</v>
      </c>
      <c r="C3236" s="6" t="str">
        <f>HYPERLINK("https://www.ti.com/lit/gpn/TPS65930", "PDF")</f>
        <v>PDF</v>
      </c>
      <c r="D3236" s="5" t="s">
        <v>29098</v>
      </c>
      <c r="E3236" s="5" t="s">
        <v>29099</v>
      </c>
      <c r="F3236" s="5"/>
      <c r="G3236" s="5" t="s">
        <v>29100</v>
      </c>
      <c r="H3236" s="1" t="s">
        <v>29101</v>
      </c>
      <c r="I3236" s="5" t="s">
        <v>29102</v>
      </c>
      <c r="J3236" s="7">
        <v>139</v>
      </c>
      <c r="K3236" s="7">
        <v>100</v>
      </c>
      <c r="L3236" s="5" t="s">
        <v>29103</v>
      </c>
      <c r="M3236" s="7">
        <v>1.3</v>
      </c>
      <c r="N3236" s="7">
        <v>0.65</v>
      </c>
      <c r="O3236" s="7">
        <v>4.899</v>
      </c>
      <c r="P3236" s="1" t="s">
        <v>29104</v>
      </c>
    </row>
    <row r="3237" spans="1:16" ht="33.4" x14ac:dyDescent="0.3">
      <c r="A3237" s="6" t="str">
        <f>HYPERLINK("https://www.ti.com/product/LM5117", "LM5117")</f>
        <v>LM5117</v>
      </c>
      <c r="B3237" s="5" t="s">
        <v>29105</v>
      </c>
      <c r="C3237" s="6" t="str">
        <f>HYPERLINK("https://www.ti.com/lit/gpn/LM5117", "PDF")</f>
        <v>PDF</v>
      </c>
      <c r="D3237" s="5" t="s">
        <v>29106</v>
      </c>
      <c r="E3237" s="5" t="s">
        <v>29107</v>
      </c>
      <c r="F3237" s="5" t="s">
        <v>29108</v>
      </c>
      <c r="G3237" s="5" t="s">
        <v>29109</v>
      </c>
      <c r="H3237" s="1" t="s">
        <v>29110</v>
      </c>
      <c r="I3237" s="5" t="s">
        <v>29111</v>
      </c>
      <c r="J3237" s="7" t="s">
        <v>29112</v>
      </c>
      <c r="K3237" s="7" t="s">
        <v>29113</v>
      </c>
      <c r="L3237" s="5" t="s">
        <v>29114</v>
      </c>
      <c r="M3237" s="7" t="s">
        <v>29115</v>
      </c>
      <c r="N3237" s="7" t="s">
        <v>29116</v>
      </c>
      <c r="O3237" s="7">
        <v>2.3380000000000001</v>
      </c>
      <c r="P3237" s="1" t="s">
        <v>29117</v>
      </c>
    </row>
    <row r="3238" spans="1:16" ht="33.4" x14ac:dyDescent="0.3">
      <c r="A3238" s="6" t="str">
        <f>HYPERLINK("https://www.ti.com/product/LM5117-Q1", "LM5117-Q1")</f>
        <v>LM5117-Q1</v>
      </c>
      <c r="B3238" s="5" t="s">
        <v>29118</v>
      </c>
      <c r="C3238" s="6" t="str">
        <f>HYPERLINK("https://www.ti.com/lit/gpn/LM5117-Q1", "PDF")</f>
        <v>PDF</v>
      </c>
      <c r="D3238" s="5" t="s">
        <v>29119</v>
      </c>
      <c r="E3238" s="5" t="s">
        <v>29120</v>
      </c>
      <c r="F3238" s="5" t="s">
        <v>29121</v>
      </c>
      <c r="G3238" s="5" t="s">
        <v>29122</v>
      </c>
      <c r="H3238" s="1" t="s">
        <v>29123</v>
      </c>
      <c r="I3238" s="5" t="s">
        <v>29124</v>
      </c>
      <c r="J3238" s="7" t="s">
        <v>29125</v>
      </c>
      <c r="K3238" s="7" t="s">
        <v>29126</v>
      </c>
      <c r="L3238" s="5" t="s">
        <v>29127</v>
      </c>
      <c r="M3238" s="7" t="s">
        <v>29128</v>
      </c>
      <c r="N3238" s="7" t="s">
        <v>29129</v>
      </c>
      <c r="O3238" s="7">
        <v>2.7589999999999999</v>
      </c>
      <c r="P3238" s="1" t="s">
        <v>29130</v>
      </c>
    </row>
    <row r="3239" spans="1:16" ht="33.4" x14ac:dyDescent="0.3">
      <c r="A3239" s="6" t="str">
        <f>HYPERLINK("https://www.ti.com/product/UCD7232", "UCD7232")</f>
        <v>UCD7232</v>
      </c>
      <c r="B3239" s="5" t="s">
        <v>29131</v>
      </c>
      <c r="C3239" s="6" t="str">
        <f>HYPERLINK("https://www.ti.com/lit/gpn/UCD7232", "PDF")</f>
        <v>PDF</v>
      </c>
      <c r="D3239" s="5" t="s">
        <v>29132</v>
      </c>
      <c r="E3239" s="5" t="s">
        <v>29133</v>
      </c>
      <c r="F3239" s="5"/>
      <c r="G3239" s="5" t="s">
        <v>29134</v>
      </c>
      <c r="H3239" s="1" t="s">
        <v>29135</v>
      </c>
      <c r="I3239" s="5" t="s">
        <v>29136</v>
      </c>
      <c r="J3239" s="7">
        <v>20</v>
      </c>
      <c r="K3239" s="7">
        <v>16</v>
      </c>
      <c r="L3239" s="5" t="s">
        <v>29137</v>
      </c>
      <c r="M3239" s="7">
        <v>0.8</v>
      </c>
      <c r="N3239" s="7">
        <v>0.5</v>
      </c>
      <c r="O3239" s="7">
        <v>0.60699999999999998</v>
      </c>
      <c r="P3239" s="1" t="s">
        <v>29138</v>
      </c>
    </row>
    <row r="3240" spans="1:16" ht="33.4" x14ac:dyDescent="0.3">
      <c r="A3240" s="6" t="str">
        <f>HYPERLINK("https://www.ti.com/product/UCD74106", "UCD74106")</f>
        <v>UCD74106</v>
      </c>
      <c r="B3240" s="5" t="s">
        <v>29139</v>
      </c>
      <c r="C3240" s="6" t="str">
        <f>HYPERLINK("https://www.ti.com/lit/gpn/UCD74106", "PDF")</f>
        <v>PDF</v>
      </c>
      <c r="D3240" s="5" t="s">
        <v>29140</v>
      </c>
      <c r="E3240" s="5" t="s">
        <v>29141</v>
      </c>
      <c r="F3240" s="5"/>
      <c r="G3240" s="5" t="s">
        <v>29142</v>
      </c>
      <c r="H3240" s="1" t="s">
        <v>29143</v>
      </c>
      <c r="I3240" s="5" t="s">
        <v>29144</v>
      </c>
      <c r="J3240" s="7">
        <v>13</v>
      </c>
      <c r="K3240" s="7">
        <v>9</v>
      </c>
      <c r="L3240" s="5" t="s">
        <v>29145</v>
      </c>
      <c r="M3240" s="7">
        <v>1</v>
      </c>
      <c r="N3240" s="7">
        <v>0.5</v>
      </c>
      <c r="O3240" s="7">
        <v>1.113</v>
      </c>
      <c r="P3240" s="1" t="s">
        <v>29146</v>
      </c>
    </row>
    <row r="3241" spans="1:16" ht="33.4" x14ac:dyDescent="0.3">
      <c r="A3241" s="6" t="str">
        <f>HYPERLINK("https://www.ti.com/product/LMZ13608", "LMZ13608")</f>
        <v>LMZ13608</v>
      </c>
      <c r="B3241" s="5" t="s">
        <v>29147</v>
      </c>
      <c r="C3241" s="6" t="str">
        <f>HYPERLINK("https://www.ti.com/lit/gpn/LMZ13608", "PDF")</f>
        <v>PDF</v>
      </c>
      <c r="D3241" s="5" t="s">
        <v>29148</v>
      </c>
      <c r="E3241" s="5" t="s">
        <v>29149</v>
      </c>
      <c r="F3241" s="5" t="s">
        <v>29150</v>
      </c>
      <c r="G3241" s="5" t="s">
        <v>29151</v>
      </c>
      <c r="H3241" s="1" t="s">
        <v>29152</v>
      </c>
      <c r="I3241" s="5" t="s">
        <v>29153</v>
      </c>
      <c r="J3241" s="7">
        <v>11</v>
      </c>
      <c r="K3241" s="7">
        <v>266.85000000000002</v>
      </c>
      <c r="L3241" s="5" t="s">
        <v>29154</v>
      </c>
      <c r="M3241" s="7">
        <v>6</v>
      </c>
      <c r="N3241" s="7">
        <v>1.27</v>
      </c>
      <c r="O3241" s="7">
        <v>15.547000000000001</v>
      </c>
      <c r="P3241" s="1" t="s">
        <v>29155</v>
      </c>
    </row>
    <row r="3242" spans="1:16" ht="33.4" x14ac:dyDescent="0.3">
      <c r="A3242" s="6" t="str">
        <f>HYPERLINK("https://www.ti.com/product/LMZ13610", "LMZ13610")</f>
        <v>LMZ13610</v>
      </c>
      <c r="B3242" s="5" t="s">
        <v>29156</v>
      </c>
      <c r="C3242" s="6" t="str">
        <f>HYPERLINK("https://www.ti.com/lit/gpn/LMZ13610", "PDF")</f>
        <v>PDF</v>
      </c>
      <c r="D3242" s="5" t="s">
        <v>29157</v>
      </c>
      <c r="E3242" s="5" t="s">
        <v>29158</v>
      </c>
      <c r="F3242" s="5" t="s">
        <v>29159</v>
      </c>
      <c r="G3242" s="5" t="s">
        <v>29160</v>
      </c>
      <c r="H3242" s="1" t="s">
        <v>29161</v>
      </c>
      <c r="I3242" s="5" t="s">
        <v>29162</v>
      </c>
      <c r="J3242" s="7">
        <v>11</v>
      </c>
      <c r="K3242" s="7">
        <v>266.85000000000002</v>
      </c>
      <c r="L3242" s="5" t="s">
        <v>29163</v>
      </c>
      <c r="M3242" s="7">
        <v>6</v>
      </c>
      <c r="N3242" s="7">
        <v>1.27</v>
      </c>
      <c r="O3242" s="7">
        <v>16.427</v>
      </c>
      <c r="P3242" s="1" t="s">
        <v>29164</v>
      </c>
    </row>
    <row r="3243" spans="1:16" ht="33.4" x14ac:dyDescent="0.3">
      <c r="A3243" s="6" t="str">
        <f>HYPERLINK("https://www.ti.com/product/LMZ23608", "LMZ23608")</f>
        <v>LMZ23608</v>
      </c>
      <c r="B3243" s="5" t="s">
        <v>29165</v>
      </c>
      <c r="C3243" s="6" t="str">
        <f>HYPERLINK("https://www.ti.com/lit/gpn/LMZ23608", "PDF")</f>
        <v>PDF</v>
      </c>
      <c r="D3243" s="5" t="s">
        <v>29166</v>
      </c>
      <c r="E3243" s="5" t="s">
        <v>29167</v>
      </c>
      <c r="F3243" s="5" t="s">
        <v>29168</v>
      </c>
      <c r="G3243" s="5" t="s">
        <v>29169</v>
      </c>
      <c r="H3243" s="1" t="s">
        <v>29170</v>
      </c>
      <c r="I3243" s="5" t="s">
        <v>29171</v>
      </c>
      <c r="J3243" s="7">
        <v>11</v>
      </c>
      <c r="K3243" s="7">
        <v>266.85000000000002</v>
      </c>
      <c r="L3243" s="5" t="s">
        <v>29172</v>
      </c>
      <c r="M3243" s="7">
        <v>6</v>
      </c>
      <c r="N3243" s="7">
        <v>1.27</v>
      </c>
      <c r="O3243" s="7">
        <v>16.391999999999999</v>
      </c>
      <c r="P3243" s="1" t="s">
        <v>29173</v>
      </c>
    </row>
    <row r="3244" spans="1:16" ht="17.05" x14ac:dyDescent="0.3">
      <c r="A3244" s="6" t="str">
        <f>HYPERLINK("https://www.ti.com/product/TPS24700", "TPS24700")</f>
        <v>TPS24700</v>
      </c>
      <c r="B3244" s="5" t="s">
        <v>29174</v>
      </c>
      <c r="C3244" s="6" t="str">
        <f>HYPERLINK("https://www.ti.com/lit/gpn/TPS24700", "PDF")</f>
        <v>PDF</v>
      </c>
      <c r="D3244" s="5" t="s">
        <v>29175</v>
      </c>
      <c r="E3244" s="5" t="s">
        <v>29176</v>
      </c>
      <c r="F3244" s="5"/>
      <c r="G3244" s="5" t="s">
        <v>29177</v>
      </c>
      <c r="H3244" s="1" t="s">
        <v>29178</v>
      </c>
      <c r="I3244" s="5" t="s">
        <v>29179</v>
      </c>
      <c r="J3244" s="7">
        <v>8</v>
      </c>
      <c r="K3244" s="7">
        <v>14.7</v>
      </c>
      <c r="L3244" s="5" t="s">
        <v>29180</v>
      </c>
      <c r="M3244" s="7">
        <v>1.1000000000000001</v>
      </c>
      <c r="N3244" s="7">
        <v>0.65</v>
      </c>
      <c r="O3244" s="7">
        <v>1.105</v>
      </c>
      <c r="P3244" s="1" t="s">
        <v>29181</v>
      </c>
    </row>
    <row r="3245" spans="1:16" ht="17.05" x14ac:dyDescent="0.3">
      <c r="A3245" s="6" t="str">
        <f>HYPERLINK("https://www.ti.com/product/TPS24701", "TPS24701")</f>
        <v>TPS24701</v>
      </c>
      <c r="B3245" s="5" t="s">
        <v>29182</v>
      </c>
      <c r="C3245" s="6" t="str">
        <f>HYPERLINK("https://www.ti.com/lit/gpn/TPS24701", "PDF")</f>
        <v>PDF</v>
      </c>
      <c r="D3245" s="5" t="s">
        <v>29183</v>
      </c>
      <c r="E3245" s="5" t="s">
        <v>29184</v>
      </c>
      <c r="F3245" s="5"/>
      <c r="G3245" s="5" t="s">
        <v>29185</v>
      </c>
      <c r="H3245" s="1" t="s">
        <v>29186</v>
      </c>
      <c r="I3245" s="5" t="s">
        <v>29187</v>
      </c>
      <c r="J3245" s="7">
        <v>8</v>
      </c>
      <c r="K3245" s="7">
        <v>14.7</v>
      </c>
      <c r="L3245" s="5" t="s">
        <v>29188</v>
      </c>
      <c r="M3245" s="7">
        <v>1.1000000000000001</v>
      </c>
      <c r="N3245" s="7">
        <v>0.65</v>
      </c>
      <c r="O3245" s="7">
        <v>1.105</v>
      </c>
      <c r="P3245" s="1" t="s">
        <v>29189</v>
      </c>
    </row>
    <row r="3246" spans="1:16" ht="17.05" x14ac:dyDescent="0.3">
      <c r="A3246" s="6" t="str">
        <f>HYPERLINK("https://www.ti.com/product/TPS24710", "TPS24710")</f>
        <v>TPS24710</v>
      </c>
      <c r="B3246" s="5" t="s">
        <v>29190</v>
      </c>
      <c r="C3246" s="6" t="str">
        <f>HYPERLINK("https://www.ti.com/lit/gpn/TPS24710", "PDF")</f>
        <v>PDF</v>
      </c>
      <c r="D3246" s="5" t="s">
        <v>29191</v>
      </c>
      <c r="E3246" s="5" t="s">
        <v>29192</v>
      </c>
      <c r="F3246" s="5"/>
      <c r="G3246" s="5" t="s">
        <v>29193</v>
      </c>
      <c r="H3246" s="1" t="s">
        <v>29194</v>
      </c>
      <c r="I3246" s="5" t="s">
        <v>29195</v>
      </c>
      <c r="J3246" s="7">
        <v>10</v>
      </c>
      <c r="K3246" s="7">
        <v>14.7</v>
      </c>
      <c r="L3246" s="5" t="s">
        <v>29196</v>
      </c>
      <c r="M3246" s="7">
        <v>1.1000000000000001</v>
      </c>
      <c r="N3246" s="7">
        <v>0.5</v>
      </c>
      <c r="O3246" s="7">
        <v>1.2450000000000001</v>
      </c>
      <c r="P3246" s="1" t="s">
        <v>29197</v>
      </c>
    </row>
    <row r="3247" spans="1:16" ht="17.05" x14ac:dyDescent="0.3">
      <c r="A3247" s="6" t="str">
        <f>HYPERLINK("https://www.ti.com/product/TPS24711", "TPS24711")</f>
        <v>TPS24711</v>
      </c>
      <c r="B3247" s="5" t="s">
        <v>29198</v>
      </c>
      <c r="C3247" s="6" t="str">
        <f>HYPERLINK("https://www.ti.com/lit/gpn/TPS24711", "PDF")</f>
        <v>PDF</v>
      </c>
      <c r="D3247" s="5" t="s">
        <v>29199</v>
      </c>
      <c r="E3247" s="5" t="s">
        <v>29200</v>
      </c>
      <c r="F3247" s="5"/>
      <c r="G3247" s="5" t="s">
        <v>29201</v>
      </c>
      <c r="H3247" s="1" t="s">
        <v>29202</v>
      </c>
      <c r="I3247" s="5" t="s">
        <v>29203</v>
      </c>
      <c r="J3247" s="7">
        <v>10</v>
      </c>
      <c r="K3247" s="7">
        <v>14.7</v>
      </c>
      <c r="L3247" s="5" t="s">
        <v>29204</v>
      </c>
      <c r="M3247" s="7">
        <v>1.1000000000000001</v>
      </c>
      <c r="N3247" s="7">
        <v>0.5</v>
      </c>
      <c r="O3247" s="7">
        <v>1.2450000000000001</v>
      </c>
      <c r="P3247" s="1" t="s">
        <v>29205</v>
      </c>
    </row>
    <row r="3248" spans="1:16" ht="17.05" x14ac:dyDescent="0.3">
      <c r="A3248" s="6" t="str">
        <f>HYPERLINK("https://www.ti.com/product/TPS24712", "TPS24712")</f>
        <v>TPS24712</v>
      </c>
      <c r="B3248" s="5" t="s">
        <v>29206</v>
      </c>
      <c r="C3248" s="6" t="str">
        <f>HYPERLINK("https://www.ti.com/lit/gpn/TPS24712", "PDF")</f>
        <v>PDF</v>
      </c>
      <c r="D3248" s="5" t="s">
        <v>29207</v>
      </c>
      <c r="E3248" s="5" t="s">
        <v>29208</v>
      </c>
      <c r="F3248" s="5"/>
      <c r="G3248" s="5" t="s">
        <v>29209</v>
      </c>
      <c r="H3248" s="1" t="s">
        <v>29210</v>
      </c>
      <c r="I3248" s="5" t="s">
        <v>29211</v>
      </c>
      <c r="J3248" s="7">
        <v>10</v>
      </c>
      <c r="K3248" s="7">
        <v>14.7</v>
      </c>
      <c r="L3248" s="5" t="s">
        <v>29212</v>
      </c>
      <c r="M3248" s="7">
        <v>1.1000000000000001</v>
      </c>
      <c r="N3248" s="7">
        <v>0.5</v>
      </c>
      <c r="O3248" s="7">
        <v>1.2450000000000001</v>
      </c>
      <c r="P3248" s="1" t="s">
        <v>29213</v>
      </c>
    </row>
    <row r="3249" spans="1:16" ht="33.4" x14ac:dyDescent="0.3">
      <c r="A3249" s="6" t="str">
        <f>HYPERLINK("https://www.ti.com/product/TPS24713", "TPS24713")</f>
        <v>TPS24713</v>
      </c>
      <c r="B3249" s="5" t="s">
        <v>29214</v>
      </c>
      <c r="C3249" s="6" t="str">
        <f>HYPERLINK("https://www.ti.com/lit/gpn/TPS24713", "PDF")</f>
        <v>PDF</v>
      </c>
      <c r="D3249" s="5" t="s">
        <v>29215</v>
      </c>
      <c r="E3249" s="5" t="s">
        <v>29216</v>
      </c>
      <c r="F3249" s="5"/>
      <c r="G3249" s="5" t="s">
        <v>29217</v>
      </c>
      <c r="H3249" s="1" t="s">
        <v>29218</v>
      </c>
      <c r="I3249" s="5" t="s">
        <v>29219</v>
      </c>
      <c r="J3249" s="7">
        <v>10</v>
      </c>
      <c r="K3249" s="7">
        <v>14.7</v>
      </c>
      <c r="L3249" s="5" t="s">
        <v>29220</v>
      </c>
      <c r="M3249" s="7">
        <v>1.1000000000000001</v>
      </c>
      <c r="N3249" s="7">
        <v>0.5</v>
      </c>
      <c r="O3249" s="7">
        <v>1.2450000000000001</v>
      </c>
      <c r="P3249" s="1" t="s">
        <v>29221</v>
      </c>
    </row>
    <row r="3250" spans="1:16" ht="33.4" x14ac:dyDescent="0.3">
      <c r="A3250" s="6" t="str">
        <f>HYPERLINK("https://www.ti.com/product/TPS24720", "TPS24720")</f>
        <v>TPS24720</v>
      </c>
      <c r="B3250" s="5" t="s">
        <v>29222</v>
      </c>
      <c r="C3250" s="6" t="str">
        <f>HYPERLINK("https://www.ti.com/lit/gpn/TPS24720", "PDF")</f>
        <v>PDF</v>
      </c>
      <c r="D3250" s="5" t="s">
        <v>29223</v>
      </c>
      <c r="E3250" s="5" t="s">
        <v>29224</v>
      </c>
      <c r="F3250" s="5"/>
      <c r="G3250" s="5" t="s">
        <v>29225</v>
      </c>
      <c r="H3250" s="1" t="s">
        <v>29226</v>
      </c>
      <c r="I3250" s="5" t="s">
        <v>29227</v>
      </c>
      <c r="J3250" s="7">
        <v>16</v>
      </c>
      <c r="K3250" s="7">
        <v>9</v>
      </c>
      <c r="L3250" s="5" t="s">
        <v>29228</v>
      </c>
      <c r="M3250" s="7">
        <v>1</v>
      </c>
      <c r="N3250" s="7">
        <v>0.5</v>
      </c>
      <c r="O3250" s="7">
        <v>1.4550000000000001</v>
      </c>
      <c r="P3250" s="1" t="s">
        <v>29229</v>
      </c>
    </row>
    <row r="3251" spans="1:16" ht="17.05" x14ac:dyDescent="0.3">
      <c r="A3251" s="6" t="str">
        <f>HYPERLINK("https://www.ti.com/product/UCD90160", "UCD90160")</f>
        <v>UCD90160</v>
      </c>
      <c r="B3251" s="5" t="s">
        <v>29230</v>
      </c>
      <c r="C3251" s="6" t="str">
        <f>HYPERLINK("https://www.ti.com/lit/gpn/UCD90160", "PDF")</f>
        <v>PDF</v>
      </c>
      <c r="D3251" s="5" t="s">
        <v>29231</v>
      </c>
      <c r="E3251" s="5" t="s">
        <v>29232</v>
      </c>
      <c r="F3251" s="5"/>
      <c r="G3251" s="5" t="s">
        <v>29233</v>
      </c>
      <c r="H3251" s="1" t="s">
        <v>29234</v>
      </c>
      <c r="I3251" s="5" t="s">
        <v>29235</v>
      </c>
      <c r="J3251" s="7">
        <v>64</v>
      </c>
      <c r="K3251" s="7">
        <v>81</v>
      </c>
      <c r="L3251" s="5" t="s">
        <v>29236</v>
      </c>
      <c r="M3251" s="7">
        <v>1</v>
      </c>
      <c r="N3251" s="7">
        <v>0.5</v>
      </c>
      <c r="O3251" s="7">
        <v>7.2320000000000002</v>
      </c>
      <c r="P3251" s="1" t="s">
        <v>29237</v>
      </c>
    </row>
    <row r="3252" spans="1:16" ht="17.05" x14ac:dyDescent="0.3">
      <c r="A3252" s="6" t="str">
        <f>HYPERLINK("https://www.ti.com/product/LM5050-1", "LM5050-1")</f>
        <v>LM5050-1</v>
      </c>
      <c r="B3252" s="5" t="s">
        <v>29238</v>
      </c>
      <c r="C3252" s="6" t="str">
        <f>HYPERLINK("https://www.ti.com/lit/gpn/LM5050-1", "PDF")</f>
        <v>PDF</v>
      </c>
      <c r="D3252" s="5" t="s">
        <v>29239</v>
      </c>
      <c r="E3252" s="5" t="s">
        <v>29240</v>
      </c>
      <c r="F3252" s="5"/>
      <c r="G3252" s="5" t="s">
        <v>29241</v>
      </c>
      <c r="H3252" s="1" t="s">
        <v>29242</v>
      </c>
      <c r="I3252" s="5" t="s">
        <v>29243</v>
      </c>
      <c r="J3252" s="7">
        <v>6</v>
      </c>
      <c r="K3252" s="7">
        <v>8.1199999999999992</v>
      </c>
      <c r="L3252" s="5" t="s">
        <v>29244</v>
      </c>
      <c r="M3252" s="7">
        <v>1.1000000000000001</v>
      </c>
      <c r="N3252" s="7">
        <v>0.95</v>
      </c>
      <c r="O3252" s="7">
        <v>0.79400000000000004</v>
      </c>
      <c r="P3252" s="1" t="s">
        <v>29245</v>
      </c>
    </row>
    <row r="3253" spans="1:16" ht="17.05" x14ac:dyDescent="0.3">
      <c r="A3253" s="6" t="str">
        <f>HYPERLINK("https://www.ti.com/product/TPS65180B", "TPS65180B")</f>
        <v>TPS65180B</v>
      </c>
      <c r="B3253" s="5" t="s">
        <v>29246</v>
      </c>
      <c r="C3253" s="6" t="str">
        <f>HYPERLINK("https://www.ti.com/lit/gpn/TPS65180B", "PDF")</f>
        <v>PDF</v>
      </c>
      <c r="D3253" s="5" t="s">
        <v>29247</v>
      </c>
      <c r="E3253" s="5" t="s">
        <v>29248</v>
      </c>
      <c r="F3253" s="5"/>
      <c r="G3253" s="5" t="s">
        <v>29249</v>
      </c>
      <c r="H3253" s="1" t="s">
        <v>29250</v>
      </c>
      <c r="I3253" s="5" t="s">
        <v>29251</v>
      </c>
      <c r="J3253" s="7">
        <v>48</v>
      </c>
      <c r="K3253" s="7">
        <v>49</v>
      </c>
      <c r="L3253" s="5" t="s">
        <v>29252</v>
      </c>
      <c r="M3253" s="7">
        <v>1</v>
      </c>
      <c r="N3253" s="7">
        <v>0.5</v>
      </c>
      <c r="O3253" s="7">
        <v>2.468</v>
      </c>
      <c r="P3253" s="1" t="s">
        <v>29253</v>
      </c>
    </row>
    <row r="3254" spans="1:16" ht="17.05" x14ac:dyDescent="0.3">
      <c r="A3254" s="6" t="str">
        <f>HYPERLINK("https://www.ti.com/product/TPS65181B", "TPS65181B")</f>
        <v>TPS65181B</v>
      </c>
      <c r="B3254" s="5" t="s">
        <v>29254</v>
      </c>
      <c r="C3254" s="6" t="str">
        <f>HYPERLINK("https://www.ti.com/lit/gpn/TPS65181B", "PDF")</f>
        <v>PDF</v>
      </c>
      <c r="D3254" s="5" t="s">
        <v>29255</v>
      </c>
      <c r="E3254" s="5" t="s">
        <v>29256</v>
      </c>
      <c r="F3254" s="5"/>
      <c r="G3254" s="5" t="s">
        <v>29257</v>
      </c>
      <c r="H3254" s="1" t="s">
        <v>29258</v>
      </c>
      <c r="I3254" s="5" t="s">
        <v>29259</v>
      </c>
      <c r="J3254" s="7">
        <v>48</v>
      </c>
      <c r="K3254" s="7">
        <v>49</v>
      </c>
      <c r="L3254" s="5" t="s">
        <v>29260</v>
      </c>
      <c r="M3254" s="7">
        <v>1</v>
      </c>
      <c r="N3254" s="7">
        <v>0.5</v>
      </c>
      <c r="O3254" s="7">
        <v>2.468</v>
      </c>
      <c r="P3254" s="1" t="s">
        <v>29261</v>
      </c>
    </row>
    <row r="3255" spans="1:16" ht="17.05" x14ac:dyDescent="0.3">
      <c r="A3255" s="6" t="str">
        <f>HYPERLINK("https://www.ti.com/product/TPS65182B", "TPS65182B")</f>
        <v>TPS65182B</v>
      </c>
      <c r="B3255" s="5" t="s">
        <v>29262</v>
      </c>
      <c r="C3255" s="6" t="str">
        <f>HYPERLINK("https://www.ti.com/lit/gpn/TPS65182B", "PDF")</f>
        <v>PDF</v>
      </c>
      <c r="D3255" s="5" t="s">
        <v>29263</v>
      </c>
      <c r="E3255" s="5" t="s">
        <v>29264</v>
      </c>
      <c r="F3255" s="5"/>
      <c r="G3255" s="5" t="s">
        <v>29265</v>
      </c>
      <c r="H3255" s="1" t="s">
        <v>29266</v>
      </c>
      <c r="I3255" s="5" t="s">
        <v>29267</v>
      </c>
      <c r="J3255" s="7">
        <v>48</v>
      </c>
      <c r="K3255" s="7">
        <v>49</v>
      </c>
      <c r="L3255" s="5" t="s">
        <v>29268</v>
      </c>
      <c r="M3255" s="7">
        <v>1</v>
      </c>
      <c r="N3255" s="7">
        <v>0.5</v>
      </c>
      <c r="O3255" s="7">
        <v>2.468</v>
      </c>
      <c r="P3255" s="1" t="s">
        <v>29269</v>
      </c>
    </row>
    <row r="3256" spans="1:16" ht="33.4" x14ac:dyDescent="0.3">
      <c r="A3256" s="6" t="str">
        <f>HYPERLINK("https://www.ti.com/product/TPS62061", "TPS62061")</f>
        <v>TPS62061</v>
      </c>
      <c r="B3256" s="5" t="s">
        <v>29270</v>
      </c>
      <c r="C3256" s="6" t="str">
        <f>HYPERLINK("https://www.ti.com/lit/gpn/TPS62061", "PDF")</f>
        <v>PDF</v>
      </c>
      <c r="D3256" s="5" t="s">
        <v>29271</v>
      </c>
      <c r="E3256" s="5" t="s">
        <v>29272</v>
      </c>
      <c r="F3256" s="5" t="s">
        <v>29273</v>
      </c>
      <c r="G3256" s="5" t="s">
        <v>29274</v>
      </c>
      <c r="H3256" s="1" t="s">
        <v>29275</v>
      </c>
      <c r="I3256" s="5" t="s">
        <v>29276</v>
      </c>
      <c r="J3256" s="7">
        <v>8</v>
      </c>
      <c r="K3256" s="7">
        <v>4</v>
      </c>
      <c r="L3256" s="5" t="s">
        <v>29277</v>
      </c>
      <c r="M3256" s="7">
        <v>0.8</v>
      </c>
      <c r="N3256" s="7">
        <v>0.5</v>
      </c>
      <c r="O3256" s="7">
        <v>0.78400000000000003</v>
      </c>
      <c r="P3256" s="1" t="s">
        <v>29278</v>
      </c>
    </row>
    <row r="3257" spans="1:16" ht="33.4" x14ac:dyDescent="0.3">
      <c r="A3257" s="6" t="str">
        <f>HYPERLINK("https://www.ti.com/product/TPS62063", "TPS62063")</f>
        <v>TPS62063</v>
      </c>
      <c r="B3257" s="5" t="s">
        <v>29279</v>
      </c>
      <c r="C3257" s="6" t="str">
        <f>HYPERLINK("https://www.ti.com/lit/gpn/TPS62063", "PDF")</f>
        <v>PDF</v>
      </c>
      <c r="D3257" s="5" t="s">
        <v>29280</v>
      </c>
      <c r="E3257" s="5" t="s">
        <v>29281</v>
      </c>
      <c r="F3257" s="5" t="s">
        <v>29282</v>
      </c>
      <c r="G3257" s="5" t="s">
        <v>29283</v>
      </c>
      <c r="H3257" s="1" t="s">
        <v>29284</v>
      </c>
      <c r="I3257" s="5" t="s">
        <v>29285</v>
      </c>
      <c r="J3257" s="7">
        <v>8</v>
      </c>
      <c r="K3257" s="7">
        <v>4</v>
      </c>
      <c r="L3257" s="5" t="s">
        <v>29286</v>
      </c>
      <c r="M3257" s="7">
        <v>0.8</v>
      </c>
      <c r="N3257" s="7">
        <v>0.5</v>
      </c>
      <c r="O3257" s="7">
        <v>0.78400000000000003</v>
      </c>
      <c r="P3257" s="1" t="s">
        <v>29287</v>
      </c>
    </row>
    <row r="3258" spans="1:16" ht="49.75" x14ac:dyDescent="0.3">
      <c r="A3258" s="6" t="str">
        <f>HYPERLINK("https://www.ti.com/product/TPS62671", "TPS62671")</f>
        <v>TPS62671</v>
      </c>
      <c r="B3258" s="5" t="s">
        <v>29288</v>
      </c>
      <c r="C3258" s="6" t="str">
        <f>HYPERLINK("https://www.ti.com/lit/gpn/TPS62671", "PDF")</f>
        <v>PDF</v>
      </c>
      <c r="D3258" s="5" t="s">
        <v>29289</v>
      </c>
      <c r="E3258" s="5" t="s">
        <v>29290</v>
      </c>
      <c r="F3258" s="5" t="s">
        <v>29291</v>
      </c>
      <c r="G3258" s="5" t="s">
        <v>29292</v>
      </c>
      <c r="H3258" s="1" t="s">
        <v>29293</v>
      </c>
      <c r="I3258" s="5" t="s">
        <v>29294</v>
      </c>
      <c r="J3258" s="7">
        <v>6</v>
      </c>
      <c r="K3258" s="7">
        <v>1.4000000000000001</v>
      </c>
      <c r="L3258" s="5" t="s">
        <v>29295</v>
      </c>
      <c r="M3258" s="7">
        <v>0.4</v>
      </c>
      <c r="N3258" s="7">
        <v>0.4</v>
      </c>
      <c r="O3258" s="7">
        <v>0.48099999999999998</v>
      </c>
      <c r="P3258" s="1" t="s">
        <v>29296</v>
      </c>
    </row>
    <row r="3259" spans="1:16" ht="49.75" x14ac:dyDescent="0.3">
      <c r="A3259" s="6" t="str">
        <f>HYPERLINK("https://www.ti.com/product/TPS62675", "TPS62675")</f>
        <v>TPS62675</v>
      </c>
      <c r="B3259" s="5" t="s">
        <v>29297</v>
      </c>
      <c r="C3259" s="6" t="str">
        <f>HYPERLINK("https://www.ti.com/lit/gpn/TPS62675", "PDF")</f>
        <v>PDF</v>
      </c>
      <c r="D3259" s="5" t="s">
        <v>29298</v>
      </c>
      <c r="E3259" s="5" t="s">
        <v>29299</v>
      </c>
      <c r="F3259" s="5" t="s">
        <v>29300</v>
      </c>
      <c r="G3259" s="5" t="s">
        <v>29301</v>
      </c>
      <c r="H3259" s="1" t="s">
        <v>29302</v>
      </c>
      <c r="I3259" s="5" t="s">
        <v>29303</v>
      </c>
      <c r="J3259" s="7">
        <v>6</v>
      </c>
      <c r="K3259" s="7">
        <v>1.4000000000000001</v>
      </c>
      <c r="L3259" s="5" t="s">
        <v>29304</v>
      </c>
      <c r="M3259" s="7">
        <v>0.4</v>
      </c>
      <c r="N3259" s="7">
        <v>0.4</v>
      </c>
      <c r="O3259" s="7">
        <v>0.48099999999999998</v>
      </c>
      <c r="P3259" s="1" t="s">
        <v>29305</v>
      </c>
    </row>
    <row r="3260" spans="1:16" ht="33.4" x14ac:dyDescent="0.3">
      <c r="A3260" s="6" t="str">
        <f>HYPERLINK("https://www.ti.com/product/TPS65138", "TPS65138")</f>
        <v>TPS65138</v>
      </c>
      <c r="B3260" s="5" t="s">
        <v>29306</v>
      </c>
      <c r="C3260" s="6" t="str">
        <f>HYPERLINK("https://www.ti.com/lit/gpn/TPS65138", "PDF")</f>
        <v>PDF</v>
      </c>
      <c r="D3260" s="5" t="s">
        <v>29307</v>
      </c>
      <c r="E3260" s="5" t="s">
        <v>29308</v>
      </c>
      <c r="F3260" s="5" t="s">
        <v>29309</v>
      </c>
      <c r="G3260" s="5" t="s">
        <v>29310</v>
      </c>
      <c r="H3260" s="1" t="s">
        <v>29311</v>
      </c>
      <c r="I3260" s="5" t="s">
        <v>29312</v>
      </c>
      <c r="J3260" s="7">
        <v>10</v>
      </c>
      <c r="K3260" s="7">
        <v>9</v>
      </c>
      <c r="L3260" s="5" t="s">
        <v>29313</v>
      </c>
      <c r="M3260" s="7">
        <v>1</v>
      </c>
      <c r="N3260" s="7">
        <v>0.5</v>
      </c>
      <c r="O3260" s="7">
        <v>0.96099999999999997</v>
      </c>
      <c r="P3260" s="1" t="s">
        <v>29314</v>
      </c>
    </row>
    <row r="3261" spans="1:16" ht="17.05" x14ac:dyDescent="0.3">
      <c r="A3261" s="6" t="str">
        <f>HYPERLINK("https://www.ti.com/product/UC19432-SP", "UC19432-SP")</f>
        <v>UC19432-SP</v>
      </c>
      <c r="B3261" s="5" t="s">
        <v>29315</v>
      </c>
      <c r="C3261" s="6" t="str">
        <f>HYPERLINK("https://www.ti.com/lit/gpn/UC19432-SP", "PDF")</f>
        <v>PDF</v>
      </c>
      <c r="D3261" s="5" t="s">
        <v>29316</v>
      </c>
      <c r="E3261" s="5" t="s">
        <v>29317</v>
      </c>
      <c r="F3261" s="5"/>
      <c r="G3261" s="5" t="s">
        <v>29318</v>
      </c>
      <c r="H3261" s="1" t="s">
        <v>29319</v>
      </c>
      <c r="I3261" s="5" t="s">
        <v>29320</v>
      </c>
      <c r="J3261" s="7">
        <v>8</v>
      </c>
      <c r="K3261" s="7">
        <v>64.031999999999996</v>
      </c>
      <c r="L3261" s="5" t="s">
        <v>29321</v>
      </c>
      <c r="M3261" s="7">
        <v>5.08</v>
      </c>
      <c r="N3261" s="7">
        <v>2.54</v>
      </c>
      <c r="O3261" s="7">
        <v>831.79700000000003</v>
      </c>
      <c r="P3261" s="1" t="s">
        <v>29322</v>
      </c>
    </row>
    <row r="3262" spans="1:16" ht="17.05" x14ac:dyDescent="0.3">
      <c r="A3262" s="6" t="str">
        <f>HYPERLINK("https://www.ti.com/product/UCD90120A", "UCD90120A")</f>
        <v>UCD90120A</v>
      </c>
      <c r="B3262" s="5" t="s">
        <v>29323</v>
      </c>
      <c r="C3262" s="6" t="str">
        <f>HYPERLINK("https://www.ti.com/lit/gpn/UCD90120A", "PDF")</f>
        <v>PDF</v>
      </c>
      <c r="D3262" s="5" t="s">
        <v>29324</v>
      </c>
      <c r="E3262" s="5" t="s">
        <v>29325</v>
      </c>
      <c r="F3262" s="5"/>
      <c r="G3262" s="5" t="s">
        <v>29326</v>
      </c>
      <c r="H3262" s="1" t="s">
        <v>29327</v>
      </c>
      <c r="I3262" s="5" t="s">
        <v>29328</v>
      </c>
      <c r="J3262" s="7">
        <v>64</v>
      </c>
      <c r="K3262" s="7">
        <v>81</v>
      </c>
      <c r="L3262" s="5" t="s">
        <v>29329</v>
      </c>
      <c r="M3262" s="7">
        <v>1</v>
      </c>
      <c r="N3262" s="7">
        <v>0.5</v>
      </c>
      <c r="O3262" s="7">
        <v>5.0090000000000003</v>
      </c>
      <c r="P3262" s="1" t="s">
        <v>29330</v>
      </c>
    </row>
    <row r="3263" spans="1:16" ht="33.4" x14ac:dyDescent="0.3">
      <c r="A3263" s="6" t="str">
        <f>HYPERLINK("https://www.ti.com/product/CSD17501Q5A", "CSD17501Q5A")</f>
        <v>CSD17501Q5A</v>
      </c>
      <c r="B3263" s="5" t="s">
        <v>29331</v>
      </c>
      <c r="C3263" s="6" t="str">
        <f>HYPERLINK("https://www.ti.com/lit/gpn/CSD17501Q5A", "PDF")</f>
        <v>PDF</v>
      </c>
      <c r="D3263" s="5" t="s">
        <v>29332</v>
      </c>
      <c r="E3263" s="5" t="s">
        <v>29333</v>
      </c>
      <c r="F3263" s="5"/>
      <c r="G3263" s="5" t="s">
        <v>29334</v>
      </c>
      <c r="H3263" s="1" t="s">
        <v>29335</v>
      </c>
      <c r="I3263" s="5" t="s">
        <v>29336</v>
      </c>
      <c r="J3263" s="7">
        <v>8</v>
      </c>
      <c r="K3263" s="7">
        <v>29.4</v>
      </c>
      <c r="L3263" s="5" t="s">
        <v>29337</v>
      </c>
      <c r="M3263" s="7">
        <v>1.1000000000000001</v>
      </c>
      <c r="N3263" s="7">
        <v>1.27</v>
      </c>
      <c r="O3263" s="7">
        <v>0.63</v>
      </c>
      <c r="P3263" s="1" t="s">
        <v>29338</v>
      </c>
    </row>
    <row r="3264" spans="1:16" ht="33.4" x14ac:dyDescent="0.3">
      <c r="A3264" s="6" t="str">
        <f>HYPERLINK("https://www.ti.com/product/LM21215A", "LM21215A")</f>
        <v>LM21215A</v>
      </c>
      <c r="B3264" s="5" t="s">
        <v>29339</v>
      </c>
      <c r="C3264" s="6" t="str">
        <f>HYPERLINK("https://www.ti.com/lit/gpn/LM21215A", "PDF")</f>
        <v>PDF</v>
      </c>
      <c r="D3264" s="5" t="s">
        <v>29340</v>
      </c>
      <c r="E3264" s="5" t="s">
        <v>29341</v>
      </c>
      <c r="F3264" s="5" t="s">
        <v>29342</v>
      </c>
      <c r="G3264" s="5" t="s">
        <v>29343</v>
      </c>
      <c r="H3264" s="1" t="s">
        <v>29344</v>
      </c>
      <c r="I3264" s="5" t="s">
        <v>29345</v>
      </c>
      <c r="J3264" s="7">
        <v>20</v>
      </c>
      <c r="K3264" s="7">
        <v>41.6</v>
      </c>
      <c r="L3264" s="5" t="s">
        <v>29346</v>
      </c>
      <c r="M3264" s="7">
        <v>1.2</v>
      </c>
      <c r="N3264" s="7">
        <v>0.65</v>
      </c>
      <c r="O3264" s="7">
        <v>3.105</v>
      </c>
      <c r="P3264" s="1" t="s">
        <v>29347</v>
      </c>
    </row>
    <row r="3265" spans="1:16" ht="49.75" x14ac:dyDescent="0.3">
      <c r="A3265" s="6" t="str">
        <f>HYPERLINK("https://www.ti.com/product/LM2940QML", "LM2940QML")</f>
        <v>LM2940QML</v>
      </c>
      <c r="B3265" s="5" t="s">
        <v>29348</v>
      </c>
      <c r="C3265" s="6" t="str">
        <f>HYPERLINK("https://www.ti.com/lit/gpn/LM2940QML", "PDF")</f>
        <v>PDF</v>
      </c>
      <c r="D3265" s="5" t="s">
        <v>29349</v>
      </c>
      <c r="E3265" s="5" t="s">
        <v>29350</v>
      </c>
      <c r="F3265" s="5"/>
      <c r="G3265" s="5" t="s">
        <v>29351</v>
      </c>
      <c r="H3265" s="1" t="s">
        <v>29352</v>
      </c>
      <c r="I3265" s="5" t="s">
        <v>29353</v>
      </c>
      <c r="J3265" s="7" t="s">
        <v>29354</v>
      </c>
      <c r="K3265" s="7" t="s">
        <v>29355</v>
      </c>
      <c r="L3265" s="5" t="s">
        <v>29356</v>
      </c>
      <c r="M3265" s="7" t="s">
        <v>29357</v>
      </c>
      <c r="N3265" s="7" t="s">
        <v>29358</v>
      </c>
      <c r="O3265" s="7">
        <v>9.8559999999999999</v>
      </c>
      <c r="P3265" s="1" t="s">
        <v>29359</v>
      </c>
    </row>
    <row r="3266" spans="1:16" ht="66.150000000000006" x14ac:dyDescent="0.3">
      <c r="A3266" s="6" t="str">
        <f>HYPERLINK("https://www.ti.com/product/TPS22924B", "TPS22924B")</f>
        <v>TPS22924B</v>
      </c>
      <c r="B3266" s="5" t="s">
        <v>29360</v>
      </c>
      <c r="C3266" s="6" t="str">
        <f>HYPERLINK("https://www.ti.com/lit/gpn/TPS22924B", "PDF")</f>
        <v>PDF</v>
      </c>
      <c r="D3266" s="5" t="s">
        <v>29361</v>
      </c>
      <c r="E3266" s="5" t="s">
        <v>29362</v>
      </c>
      <c r="F3266" s="5"/>
      <c r="G3266" s="5" t="s">
        <v>29363</v>
      </c>
      <c r="H3266" s="1" t="s">
        <v>29364</v>
      </c>
      <c r="I3266" s="5" t="s">
        <v>29365</v>
      </c>
      <c r="J3266" s="7">
        <v>6</v>
      </c>
      <c r="K3266" s="7" t="s">
        <v>29366</v>
      </c>
      <c r="L3266" s="5" t="s">
        <v>29367</v>
      </c>
      <c r="M3266" s="7" t="s">
        <v>29368</v>
      </c>
      <c r="N3266" s="7" t="s">
        <v>29369</v>
      </c>
      <c r="O3266" s="7">
        <v>0.24299999999999999</v>
      </c>
      <c r="P3266" s="1" t="s">
        <v>29370</v>
      </c>
    </row>
    <row r="3267" spans="1:16" ht="49.75" x14ac:dyDescent="0.3">
      <c r="A3267" s="6" t="str">
        <f>HYPERLINK("https://www.ti.com/product/UCC27201A", "UCC27201A")</f>
        <v>UCC27201A</v>
      </c>
      <c r="B3267" s="5" t="s">
        <v>29371</v>
      </c>
      <c r="C3267" s="6" t="str">
        <f>HYPERLINK("https://www.ti.com/lit/gpn/UCC27201A", "PDF")</f>
        <v>PDF</v>
      </c>
      <c r="D3267" s="5" t="s">
        <v>29372</v>
      </c>
      <c r="E3267" s="5" t="s">
        <v>29373</v>
      </c>
      <c r="F3267" s="5"/>
      <c r="G3267" s="5" t="s">
        <v>29374</v>
      </c>
      <c r="H3267" s="1" t="s">
        <v>29375</v>
      </c>
      <c r="I3267" s="5" t="s">
        <v>29376</v>
      </c>
      <c r="J3267" s="7" t="s">
        <v>29377</v>
      </c>
      <c r="K3267" s="7" t="s">
        <v>29378</v>
      </c>
      <c r="L3267" s="5" t="s">
        <v>29379</v>
      </c>
      <c r="M3267" s="7" t="s">
        <v>29380</v>
      </c>
      <c r="N3267" s="7" t="s">
        <v>29381</v>
      </c>
      <c r="O3267" s="7">
        <v>0.61899999999999999</v>
      </c>
      <c r="P3267" s="1" t="s">
        <v>29382</v>
      </c>
    </row>
    <row r="3268" spans="1:16" ht="33.4" x14ac:dyDescent="0.3">
      <c r="A3268" s="6" t="str">
        <f>HYPERLINK("https://www.ti.com/product/LM5046", "LM5046")</f>
        <v>LM5046</v>
      </c>
      <c r="B3268" s="5" t="s">
        <v>29383</v>
      </c>
      <c r="C3268" s="6" t="str">
        <f>HYPERLINK("https://www.ti.com/lit/gpn/LM5046", "PDF")</f>
        <v>PDF</v>
      </c>
      <c r="D3268" s="5" t="s">
        <v>29384</v>
      </c>
      <c r="E3268" s="5" t="s">
        <v>29385</v>
      </c>
      <c r="F3268" s="5" t="s">
        <v>29386</v>
      </c>
      <c r="G3268" s="5" t="s">
        <v>29387</v>
      </c>
      <c r="H3268" s="1" t="s">
        <v>29388</v>
      </c>
      <c r="I3268" s="5" t="s">
        <v>29389</v>
      </c>
      <c r="J3268" s="7">
        <v>28</v>
      </c>
      <c r="K3268" s="7" t="s">
        <v>29390</v>
      </c>
      <c r="L3268" s="5" t="s">
        <v>29391</v>
      </c>
      <c r="M3268" s="7" t="s">
        <v>29392</v>
      </c>
      <c r="N3268" s="7" t="s">
        <v>29393</v>
      </c>
      <c r="O3268" s="7">
        <v>2.2770000000000001</v>
      </c>
      <c r="P3268" s="1" t="s">
        <v>29394</v>
      </c>
    </row>
    <row r="3269" spans="1:16" ht="33.4" x14ac:dyDescent="0.3">
      <c r="A3269" s="6" t="str">
        <f>HYPERLINK("https://www.ti.com/product/LMZ12008", "LMZ12008")</f>
        <v>LMZ12008</v>
      </c>
      <c r="B3269" s="5" t="s">
        <v>29395</v>
      </c>
      <c r="C3269" s="6" t="str">
        <f>HYPERLINK("https://www.ti.com/lit/gpn/LMZ12008", "PDF")</f>
        <v>PDF</v>
      </c>
      <c r="D3269" s="5" t="s">
        <v>29396</v>
      </c>
      <c r="E3269" s="5" t="s">
        <v>29397</v>
      </c>
      <c r="F3269" s="5" t="s">
        <v>29398</v>
      </c>
      <c r="G3269" s="5" t="s">
        <v>29399</v>
      </c>
      <c r="H3269" s="1" t="s">
        <v>29400</v>
      </c>
      <c r="I3269" s="5" t="s">
        <v>29401</v>
      </c>
      <c r="J3269" s="7">
        <v>11</v>
      </c>
      <c r="K3269" s="7">
        <v>266.85000000000002</v>
      </c>
      <c r="L3269" s="5" t="s">
        <v>29402</v>
      </c>
      <c r="M3269" s="7">
        <v>6</v>
      </c>
      <c r="N3269" s="7">
        <v>1.27</v>
      </c>
      <c r="O3269" s="7">
        <v>12.573</v>
      </c>
      <c r="P3269" s="1" t="s">
        <v>29403</v>
      </c>
    </row>
    <row r="3270" spans="1:16" ht="33.4" x14ac:dyDescent="0.3">
      <c r="A3270" s="6" t="str">
        <f>HYPERLINK("https://www.ti.com/product/LMZ12010", "LMZ12010")</f>
        <v>LMZ12010</v>
      </c>
      <c r="B3270" s="5" t="s">
        <v>29404</v>
      </c>
      <c r="C3270" s="6" t="str">
        <f>HYPERLINK("https://www.ti.com/lit/gpn/LMZ12010", "PDF")</f>
        <v>PDF</v>
      </c>
      <c r="D3270" s="5" t="s">
        <v>29405</v>
      </c>
      <c r="E3270" s="5" t="s">
        <v>29406</v>
      </c>
      <c r="F3270" s="5" t="s">
        <v>29407</v>
      </c>
      <c r="G3270" s="5" t="s">
        <v>29408</v>
      </c>
      <c r="H3270" s="1" t="s">
        <v>29409</v>
      </c>
      <c r="I3270" s="5" t="s">
        <v>29410</v>
      </c>
      <c r="J3270" s="7">
        <v>11</v>
      </c>
      <c r="K3270" s="7">
        <v>266.85000000000002</v>
      </c>
      <c r="L3270" s="5" t="s">
        <v>29411</v>
      </c>
      <c r="M3270" s="7">
        <v>6</v>
      </c>
      <c r="N3270" s="7">
        <v>1.27</v>
      </c>
      <c r="O3270" s="7">
        <v>13.218999999999999</v>
      </c>
      <c r="P3270" s="1" t="s">
        <v>29412</v>
      </c>
    </row>
    <row r="3271" spans="1:16" ht="33.4" x14ac:dyDescent="0.3">
      <c r="A3271" s="6" t="str">
        <f>HYPERLINK("https://www.ti.com/product/LMZ22008", "LMZ22008")</f>
        <v>LMZ22008</v>
      </c>
      <c r="B3271" s="5" t="s">
        <v>29413</v>
      </c>
      <c r="C3271" s="6" t="str">
        <f>HYPERLINK("https://www.ti.com/lit/gpn/LMZ22008", "PDF")</f>
        <v>PDF</v>
      </c>
      <c r="D3271" s="5" t="s">
        <v>29414</v>
      </c>
      <c r="E3271" s="5" t="s">
        <v>29415</v>
      </c>
      <c r="F3271" s="5" t="s">
        <v>29416</v>
      </c>
      <c r="G3271" s="5" t="s">
        <v>29417</v>
      </c>
      <c r="H3271" s="1" t="s">
        <v>29418</v>
      </c>
      <c r="I3271" s="5" t="s">
        <v>29419</v>
      </c>
      <c r="J3271" s="7">
        <v>11</v>
      </c>
      <c r="K3271" s="7">
        <v>266.85000000000002</v>
      </c>
      <c r="L3271" s="5" t="s">
        <v>29420</v>
      </c>
      <c r="M3271" s="7">
        <v>6</v>
      </c>
      <c r="N3271" s="7">
        <v>1.27</v>
      </c>
      <c r="O3271" s="7">
        <v>13.637</v>
      </c>
      <c r="P3271" s="1" t="s">
        <v>29421</v>
      </c>
    </row>
    <row r="3272" spans="1:16" ht="33.4" x14ac:dyDescent="0.3">
      <c r="A3272" s="6" t="str">
        <f>HYPERLINK("https://www.ti.com/product/LMZ22010", "LMZ22010")</f>
        <v>LMZ22010</v>
      </c>
      <c r="B3272" s="5" t="s">
        <v>29422</v>
      </c>
      <c r="C3272" s="6" t="str">
        <f>HYPERLINK("https://www.ti.com/lit/gpn/LMZ22010", "PDF")</f>
        <v>PDF</v>
      </c>
      <c r="D3272" s="5" t="s">
        <v>29423</v>
      </c>
      <c r="E3272" s="5" t="s">
        <v>29424</v>
      </c>
      <c r="F3272" s="5" t="s">
        <v>29425</v>
      </c>
      <c r="G3272" s="5" t="s">
        <v>29426</v>
      </c>
      <c r="H3272" s="1" t="s">
        <v>29427</v>
      </c>
      <c r="I3272" s="5" t="s">
        <v>29428</v>
      </c>
      <c r="J3272" s="7">
        <v>11</v>
      </c>
      <c r="K3272" s="7">
        <v>266.85000000000002</v>
      </c>
      <c r="L3272" s="5" t="s">
        <v>29429</v>
      </c>
      <c r="M3272" s="7">
        <v>6</v>
      </c>
      <c r="N3272" s="7">
        <v>1.27</v>
      </c>
      <c r="O3272" s="7">
        <v>13.914999999999999</v>
      </c>
      <c r="P3272" s="1" t="s">
        <v>29430</v>
      </c>
    </row>
    <row r="3273" spans="1:16" ht="33.4" x14ac:dyDescent="0.3">
      <c r="A3273" s="6" t="str">
        <f>HYPERLINK("https://www.ti.com/product/CSD17506Q5A", "CSD17506Q5A")</f>
        <v>CSD17506Q5A</v>
      </c>
      <c r="B3273" s="5" t="s">
        <v>29431</v>
      </c>
      <c r="C3273" s="6" t="str">
        <f>HYPERLINK("https://www.ti.com/lit/gpn/CSD17506Q5A", "PDF")</f>
        <v>PDF</v>
      </c>
      <c r="D3273" s="5" t="s">
        <v>29432</v>
      </c>
      <c r="E3273" s="5" t="s">
        <v>29433</v>
      </c>
      <c r="F3273" s="5"/>
      <c r="G3273" s="5" t="s">
        <v>29434</v>
      </c>
      <c r="H3273" s="1" t="s">
        <v>29435</v>
      </c>
      <c r="I3273" s="5" t="s">
        <v>29436</v>
      </c>
      <c r="J3273" s="7">
        <v>8</v>
      </c>
      <c r="K3273" s="7">
        <v>29.4</v>
      </c>
      <c r="L3273" s="5" t="s">
        <v>29437</v>
      </c>
      <c r="M3273" s="7">
        <v>1.1000000000000001</v>
      </c>
      <c r="N3273" s="7">
        <v>1.27</v>
      </c>
      <c r="O3273" s="7">
        <v>0.47</v>
      </c>
      <c r="P3273" s="1" t="s">
        <v>29438</v>
      </c>
    </row>
    <row r="3274" spans="1:16" ht="33.4" x14ac:dyDescent="0.3">
      <c r="A3274" s="6" t="str">
        <f>HYPERLINK("https://www.ti.com/product/LM5006", "LM5006")</f>
        <v>LM5006</v>
      </c>
      <c r="B3274" s="5" t="s">
        <v>29439</v>
      </c>
      <c r="C3274" s="6" t="str">
        <f>HYPERLINK("https://www.ti.com/lit/gpn/LM5006", "PDF")</f>
        <v>PDF</v>
      </c>
      <c r="D3274" s="5" t="s">
        <v>29440</v>
      </c>
      <c r="E3274" s="5" t="s">
        <v>29441</v>
      </c>
      <c r="F3274" s="5" t="s">
        <v>29442</v>
      </c>
      <c r="G3274" s="5" t="s">
        <v>29443</v>
      </c>
      <c r="H3274" s="1" t="s">
        <v>29444</v>
      </c>
      <c r="I3274" s="5" t="s">
        <v>29445</v>
      </c>
      <c r="J3274" s="7">
        <v>10</v>
      </c>
      <c r="K3274" s="7">
        <v>14.7</v>
      </c>
      <c r="L3274" s="5" t="s">
        <v>29446</v>
      </c>
      <c r="M3274" s="7">
        <v>1.1000000000000001</v>
      </c>
      <c r="N3274" s="7">
        <v>0.5</v>
      </c>
      <c r="O3274" s="7">
        <v>1.3819999999999999</v>
      </c>
      <c r="P3274" s="1" t="s">
        <v>29447</v>
      </c>
    </row>
    <row r="3275" spans="1:16" ht="33.4" x14ac:dyDescent="0.3">
      <c r="A3275" s="6" t="str">
        <f>HYPERLINK("https://www.ti.com/product/TPS51220A-Q1", "TPS51220A-Q1")</f>
        <v>TPS51220A-Q1</v>
      </c>
      <c r="B3275" s="5" t="s">
        <v>29448</v>
      </c>
      <c r="C3275" s="6" t="str">
        <f>HYPERLINK("https://www.ti.com/lit/gpn/TPS51220A-Q1", "PDF")</f>
        <v>PDF</v>
      </c>
      <c r="D3275" s="5" t="s">
        <v>29449</v>
      </c>
      <c r="E3275" s="5" t="s">
        <v>29450</v>
      </c>
      <c r="F3275" s="5" t="s">
        <v>29451</v>
      </c>
      <c r="G3275" s="5" t="s">
        <v>29452</v>
      </c>
      <c r="H3275" s="1" t="s">
        <v>29453</v>
      </c>
      <c r="I3275" s="5" t="s">
        <v>29454</v>
      </c>
      <c r="J3275" s="7">
        <v>32</v>
      </c>
      <c r="K3275" s="7">
        <v>25</v>
      </c>
      <c r="L3275" s="5" t="s">
        <v>29455</v>
      </c>
      <c r="M3275" s="7">
        <v>0.8</v>
      </c>
      <c r="N3275" s="7">
        <v>0.5</v>
      </c>
      <c r="O3275" s="7">
        <v>1.7909999999999999</v>
      </c>
      <c r="P3275" s="1" t="s">
        <v>29456</v>
      </c>
    </row>
    <row r="3276" spans="1:16" ht="33.4" x14ac:dyDescent="0.3">
      <c r="A3276" s="6" t="str">
        <f>HYPERLINK("https://www.ti.com/product/TPS51317", "TPS51317")</f>
        <v>TPS51317</v>
      </c>
      <c r="B3276" s="5" t="s">
        <v>29457</v>
      </c>
      <c r="C3276" s="6" t="str">
        <f>HYPERLINK("https://www.ti.com/lit/gpn/TPS51317", "PDF")</f>
        <v>PDF</v>
      </c>
      <c r="D3276" s="5" t="s">
        <v>29458</v>
      </c>
      <c r="E3276" s="5" t="s">
        <v>29459</v>
      </c>
      <c r="F3276" s="5" t="s">
        <v>29460</v>
      </c>
      <c r="G3276" s="5" t="s">
        <v>29461</v>
      </c>
      <c r="H3276" s="1" t="s">
        <v>29462</v>
      </c>
      <c r="I3276" s="5" t="s">
        <v>29463</v>
      </c>
      <c r="J3276" s="7">
        <v>20</v>
      </c>
      <c r="K3276" s="7">
        <v>14</v>
      </c>
      <c r="L3276" s="5" t="s">
        <v>29464</v>
      </c>
      <c r="M3276" s="7">
        <v>1</v>
      </c>
      <c r="N3276" s="7">
        <v>0.5</v>
      </c>
      <c r="O3276" s="7">
        <v>1.5940000000000001</v>
      </c>
      <c r="P3276" s="1" t="s">
        <v>29465</v>
      </c>
    </row>
    <row r="3277" spans="1:16" ht="33.4" x14ac:dyDescent="0.3">
      <c r="A3277" s="6" t="str">
        <f>HYPERLINK("https://www.ti.com/product/TPS54622", "TPS54622")</f>
        <v>TPS54622</v>
      </c>
      <c r="B3277" s="5" t="s">
        <v>29466</v>
      </c>
      <c r="C3277" s="6" t="str">
        <f>HYPERLINK("https://www.ti.com/lit/gpn/TPS54622", "PDF")</f>
        <v>PDF</v>
      </c>
      <c r="D3277" s="5" t="s">
        <v>29467</v>
      </c>
      <c r="E3277" s="5" t="s">
        <v>29468</v>
      </c>
      <c r="F3277" s="5" t="s">
        <v>29469</v>
      </c>
      <c r="G3277" s="5" t="s">
        <v>29470</v>
      </c>
      <c r="H3277" s="1" t="s">
        <v>29471</v>
      </c>
      <c r="I3277" s="5" t="s">
        <v>29472</v>
      </c>
      <c r="J3277" s="7">
        <v>14</v>
      </c>
      <c r="K3277" s="7">
        <v>12.25</v>
      </c>
      <c r="L3277" s="5" t="s">
        <v>29473</v>
      </c>
      <c r="M3277" s="7">
        <v>1</v>
      </c>
      <c r="N3277" s="7">
        <v>0.5</v>
      </c>
      <c r="O3277" s="7">
        <v>1.7709999999999999</v>
      </c>
      <c r="P3277" s="1" t="s">
        <v>29474</v>
      </c>
    </row>
    <row r="3278" spans="1:16" ht="33.4" x14ac:dyDescent="0.3">
      <c r="A3278" s="6" t="str">
        <f>HYPERLINK("https://www.ti.com/product/TPS40170", "TPS40170")</f>
        <v>TPS40170</v>
      </c>
      <c r="B3278" s="5" t="s">
        <v>29475</v>
      </c>
      <c r="C3278" s="6" t="str">
        <f>HYPERLINK("https://www.ti.com/lit/gpn/TPS40170", "PDF")</f>
        <v>PDF</v>
      </c>
      <c r="D3278" s="5" t="s">
        <v>29476</v>
      </c>
      <c r="E3278" s="5" t="s">
        <v>29477</v>
      </c>
      <c r="F3278" s="5" t="s">
        <v>29478</v>
      </c>
      <c r="G3278" s="5" t="s">
        <v>29479</v>
      </c>
      <c r="H3278" s="1" t="s">
        <v>29480</v>
      </c>
      <c r="I3278" s="5" t="s">
        <v>29481</v>
      </c>
      <c r="J3278" s="7">
        <v>20</v>
      </c>
      <c r="K3278" s="7">
        <v>15.75</v>
      </c>
      <c r="L3278" s="5" t="s">
        <v>29482</v>
      </c>
      <c r="M3278" s="7">
        <v>1</v>
      </c>
      <c r="N3278" s="7">
        <v>0.5</v>
      </c>
      <c r="O3278" s="7">
        <v>2.5379999999999998</v>
      </c>
      <c r="P3278" s="1" t="s">
        <v>29483</v>
      </c>
    </row>
    <row r="3279" spans="1:16" ht="33.4" x14ac:dyDescent="0.3">
      <c r="A3279" s="6" t="str">
        <f>HYPERLINK("https://www.ti.com/product/UCC28950-Q1", "UCC28950-Q1")</f>
        <v>UCC28950-Q1</v>
      </c>
      <c r="B3279" s="5" t="s">
        <v>29484</v>
      </c>
      <c r="C3279" s="6" t="str">
        <f>HYPERLINK("https://www.ti.com/lit/gpn/UCC28950-Q1", "PDF")</f>
        <v>PDF</v>
      </c>
      <c r="D3279" s="5" t="s">
        <v>29485</v>
      </c>
      <c r="E3279" s="5" t="s">
        <v>29486</v>
      </c>
      <c r="F3279" s="5" t="s">
        <v>29487</v>
      </c>
      <c r="G3279" s="5" t="s">
        <v>29488</v>
      </c>
      <c r="H3279" s="1" t="s">
        <v>29489</v>
      </c>
      <c r="I3279" s="5" t="s">
        <v>29490</v>
      </c>
      <c r="J3279" s="7">
        <v>24</v>
      </c>
      <c r="K3279" s="7">
        <v>49.92</v>
      </c>
      <c r="L3279" s="5" t="s">
        <v>29491</v>
      </c>
      <c r="M3279" s="7">
        <v>1.2</v>
      </c>
      <c r="N3279" s="7">
        <v>0.65</v>
      </c>
      <c r="O3279" s="7">
        <v>3.1349999999999998</v>
      </c>
      <c r="P3279" s="1" t="s">
        <v>29492</v>
      </c>
    </row>
    <row r="3280" spans="1:16" ht="33.4" x14ac:dyDescent="0.3">
      <c r="A3280" s="6" t="str">
        <f>HYPERLINK("https://www.ti.com/product/LM34922", "LM34922")</f>
        <v>LM34922</v>
      </c>
      <c r="B3280" s="5" t="s">
        <v>29493</v>
      </c>
      <c r="C3280" s="6" t="str">
        <f>HYPERLINK("https://www.ti.com/lit/gpn/LM34922", "PDF")</f>
        <v>PDF</v>
      </c>
      <c r="D3280" s="5" t="s">
        <v>29494</v>
      </c>
      <c r="E3280" s="5" t="s">
        <v>29495</v>
      </c>
      <c r="F3280" s="5" t="s">
        <v>29496</v>
      </c>
      <c r="G3280" s="5" t="s">
        <v>29497</v>
      </c>
      <c r="H3280" s="1" t="s">
        <v>29498</v>
      </c>
      <c r="I3280" s="5" t="s">
        <v>29499</v>
      </c>
      <c r="J3280" s="7">
        <v>10</v>
      </c>
      <c r="K3280" s="7">
        <v>14.7</v>
      </c>
      <c r="L3280" s="5" t="s">
        <v>29500</v>
      </c>
      <c r="M3280" s="7">
        <v>1.1000000000000001</v>
      </c>
      <c r="N3280" s="7">
        <v>0.5</v>
      </c>
      <c r="O3280" s="7">
        <v>1.1639999999999999</v>
      </c>
      <c r="P3280" s="1" t="s">
        <v>29501</v>
      </c>
    </row>
    <row r="3281" spans="1:16" ht="49.75" x14ac:dyDescent="0.3">
      <c r="A3281" s="6" t="str">
        <f>HYPERLINK("https://www.ti.com/product/LM3561", "LM3561")</f>
        <v>LM3561</v>
      </c>
      <c r="B3281" s="5" t="s">
        <v>29502</v>
      </c>
      <c r="C3281" s="6" t="str">
        <f>HYPERLINK("https://www.ti.com/lit/gpn/LM3561", "PDF")</f>
        <v>PDF</v>
      </c>
      <c r="D3281" s="5" t="s">
        <v>29503</v>
      </c>
      <c r="E3281" s="5" t="s">
        <v>29504</v>
      </c>
      <c r="F3281" s="5" t="s">
        <v>29505</v>
      </c>
      <c r="G3281" s="5" t="s">
        <v>29506</v>
      </c>
      <c r="H3281" s="1" t="s">
        <v>29507</v>
      </c>
      <c r="I3281" s="5" t="s">
        <v>29508</v>
      </c>
      <c r="J3281" s="7">
        <v>12</v>
      </c>
      <c r="K3281" s="7">
        <v>2.52</v>
      </c>
      <c r="L3281" s="5" t="s">
        <v>29509</v>
      </c>
      <c r="M3281" s="7">
        <v>0.67500000000000004</v>
      </c>
      <c r="N3281" s="7">
        <v>0.4</v>
      </c>
      <c r="O3281" s="7">
        <v>0.48399999999999999</v>
      </c>
      <c r="P3281" s="1" t="s">
        <v>29510</v>
      </c>
    </row>
    <row r="3282" spans="1:16" ht="33.4" x14ac:dyDescent="0.3">
      <c r="A3282" s="6" t="str">
        <f>HYPERLINK("https://www.ti.com/product/LP8553", "LP8553")</f>
        <v>LP8553</v>
      </c>
      <c r="B3282" s="5" t="s">
        <v>29511</v>
      </c>
      <c r="C3282" s="6" t="str">
        <f>HYPERLINK("https://www.ti.com/lit/gpn/LP8553", "PDF")</f>
        <v>PDF</v>
      </c>
      <c r="D3282" s="5" t="s">
        <v>29512</v>
      </c>
      <c r="E3282" s="5" t="s">
        <v>29513</v>
      </c>
      <c r="F3282" s="5" t="s">
        <v>29514</v>
      </c>
      <c r="G3282" s="5" t="s">
        <v>29515</v>
      </c>
      <c r="H3282" s="1" t="s">
        <v>29516</v>
      </c>
      <c r="I3282" s="5" t="s">
        <v>29517</v>
      </c>
      <c r="J3282" s="7">
        <v>25</v>
      </c>
      <c r="K3282" s="7">
        <v>7.5625</v>
      </c>
      <c r="L3282" s="5" t="s">
        <v>29518</v>
      </c>
      <c r="M3282" s="7">
        <v>0.67500000000000004</v>
      </c>
      <c r="N3282" s="7">
        <v>0.5</v>
      </c>
      <c r="O3282" s="7">
        <v>0.872</v>
      </c>
      <c r="P3282" s="1" t="s">
        <v>29519</v>
      </c>
    </row>
    <row r="3283" spans="1:16" ht="17.05" x14ac:dyDescent="0.3">
      <c r="A3283" s="6" t="str">
        <f>HYPERLINK("https://www.ti.com/product/TPS650244-Q1", "TPS650244-Q1")</f>
        <v>TPS650244-Q1</v>
      </c>
      <c r="B3283" s="5" t="s">
        <v>29520</v>
      </c>
      <c r="C3283" s="6" t="str">
        <f>HYPERLINK("https://www.ti.com/lit/gpn/TPS650244-Q1", "PDF")</f>
        <v>PDF</v>
      </c>
      <c r="D3283" s="5" t="s">
        <v>29521</v>
      </c>
      <c r="E3283" s="5" t="s">
        <v>29522</v>
      </c>
      <c r="F3283" s="5"/>
      <c r="G3283" s="5" t="s">
        <v>29523</v>
      </c>
      <c r="H3283" s="1" t="s">
        <v>29524</v>
      </c>
      <c r="I3283" s="5" t="s">
        <v>29525</v>
      </c>
      <c r="J3283" s="7">
        <v>32</v>
      </c>
      <c r="K3283" s="7">
        <v>25</v>
      </c>
      <c r="L3283" s="5" t="s">
        <v>29526</v>
      </c>
      <c r="M3283" s="7">
        <v>1</v>
      </c>
      <c r="N3283" s="7">
        <v>0.5</v>
      </c>
      <c r="O3283" s="7">
        <v>3.04</v>
      </c>
      <c r="P3283" s="1" t="s">
        <v>29527</v>
      </c>
    </row>
    <row r="3284" spans="1:16" ht="33.4" x14ac:dyDescent="0.3">
      <c r="A3284" s="6" t="str">
        <f>HYPERLINK("https://www.ti.com/product/TLV707P", "TLV707P")</f>
        <v>TLV707P</v>
      </c>
      <c r="B3284" s="5" t="s">
        <v>29528</v>
      </c>
      <c r="C3284" s="6" t="str">
        <f>HYPERLINK("https://www.ti.com/lit/gpn/TLV707P", "PDF")</f>
        <v>PDF</v>
      </c>
      <c r="D3284" s="5" t="s">
        <v>29529</v>
      </c>
      <c r="E3284" s="5" t="s">
        <v>29530</v>
      </c>
      <c r="F3284" s="5"/>
      <c r="G3284" s="5" t="s">
        <v>29531</v>
      </c>
      <c r="H3284" s="1" t="s">
        <v>29532</v>
      </c>
      <c r="I3284" s="5" t="s">
        <v>29533</v>
      </c>
      <c r="J3284" s="7">
        <v>4</v>
      </c>
      <c r="K3284" s="7">
        <v>1</v>
      </c>
      <c r="L3284" s="5" t="s">
        <v>29534</v>
      </c>
      <c r="M3284" s="7">
        <v>0.4</v>
      </c>
      <c r="N3284" s="7">
        <v>0.65</v>
      </c>
      <c r="O3284" s="7">
        <v>5.5E-2</v>
      </c>
      <c r="P3284" s="1" t="s">
        <v>29535</v>
      </c>
    </row>
    <row r="3285" spans="1:16" ht="49.75" x14ac:dyDescent="0.3">
      <c r="A3285" s="6" t="str">
        <f>HYPERLINK("https://www.ti.com/product/TPS62690", "TPS62690")</f>
        <v>TPS62690</v>
      </c>
      <c r="B3285" s="5" t="s">
        <v>29536</v>
      </c>
      <c r="C3285" s="6" t="str">
        <f>HYPERLINK("https://www.ti.com/lit/gpn/TPS62690", "PDF")</f>
        <v>PDF</v>
      </c>
      <c r="D3285" s="5" t="s">
        <v>29537</v>
      </c>
      <c r="E3285" s="5" t="s">
        <v>29538</v>
      </c>
      <c r="F3285" s="5" t="s">
        <v>29539</v>
      </c>
      <c r="G3285" s="5" t="s">
        <v>29540</v>
      </c>
      <c r="H3285" s="1" t="s">
        <v>29541</v>
      </c>
      <c r="I3285" s="5" t="s">
        <v>29542</v>
      </c>
      <c r="J3285" s="7">
        <v>6</v>
      </c>
      <c r="K3285" s="7">
        <v>1.4000000000000001</v>
      </c>
      <c r="L3285" s="5" t="s">
        <v>29543</v>
      </c>
      <c r="M3285" s="7">
        <v>0.625</v>
      </c>
      <c r="N3285" s="7">
        <v>0.4</v>
      </c>
      <c r="O3285" s="7">
        <v>0.44600000000000001</v>
      </c>
      <c r="P3285" s="1" t="s">
        <v>29544</v>
      </c>
    </row>
    <row r="3286" spans="1:16" ht="33.4" x14ac:dyDescent="0.3">
      <c r="A3286" s="6" t="str">
        <f>HYPERLINK("https://www.ti.com/product/TPS7A6201-Q1", "TPS7A6201-Q1")</f>
        <v>TPS7A6201-Q1</v>
      </c>
      <c r="B3286" s="5" t="s">
        <v>29545</v>
      </c>
      <c r="C3286" s="6" t="str">
        <f>HYPERLINK("https://www.ti.com/lit/gpn/TPS7A6201-Q1", "PDF")</f>
        <v>PDF</v>
      </c>
      <c r="D3286" s="5" t="s">
        <v>29546</v>
      </c>
      <c r="E3286" s="5" t="s">
        <v>29547</v>
      </c>
      <c r="F3286" s="5"/>
      <c r="G3286" s="5" t="s">
        <v>29548</v>
      </c>
      <c r="H3286" s="1" t="s">
        <v>29549</v>
      </c>
      <c r="I3286" s="5" t="s">
        <v>29550</v>
      </c>
      <c r="J3286" s="7">
        <v>5</v>
      </c>
      <c r="K3286" s="7">
        <v>154.83840000000001</v>
      </c>
      <c r="L3286" s="5" t="s">
        <v>29551</v>
      </c>
      <c r="M3286" s="7">
        <v>4.83</v>
      </c>
      <c r="N3286" s="7">
        <v>1.7</v>
      </c>
      <c r="O3286" s="7">
        <v>1.155</v>
      </c>
      <c r="P3286" s="1" t="s">
        <v>29552</v>
      </c>
    </row>
    <row r="3287" spans="1:16" ht="33.4" x14ac:dyDescent="0.3">
      <c r="A3287" s="6" t="str">
        <f>HYPERLINK("https://www.ti.com/product/LMZ22003", "LMZ22003")</f>
        <v>LMZ22003</v>
      </c>
      <c r="B3287" s="5" t="s">
        <v>29553</v>
      </c>
      <c r="C3287" s="6" t="str">
        <f>HYPERLINK("https://www.ti.com/lit/gpn/LMZ22003", "PDF")</f>
        <v>PDF</v>
      </c>
      <c r="D3287" s="5" t="s">
        <v>29554</v>
      </c>
      <c r="E3287" s="5" t="s">
        <v>29555</v>
      </c>
      <c r="F3287" s="5" t="s">
        <v>29556</v>
      </c>
      <c r="G3287" s="5" t="s">
        <v>29557</v>
      </c>
      <c r="H3287" s="1" t="s">
        <v>29558</v>
      </c>
      <c r="I3287" s="5" t="s">
        <v>29559</v>
      </c>
      <c r="J3287" s="7">
        <v>7</v>
      </c>
      <c r="K3287" s="7">
        <v>139.9032</v>
      </c>
      <c r="L3287" s="5" t="s">
        <v>29560</v>
      </c>
      <c r="M3287" s="7">
        <v>4.58</v>
      </c>
      <c r="N3287" s="7">
        <v>1.27</v>
      </c>
      <c r="O3287" s="7">
        <v>6.4560000000000004</v>
      </c>
      <c r="P3287" s="1" t="s">
        <v>29561</v>
      </c>
    </row>
    <row r="3288" spans="1:16" ht="33.4" x14ac:dyDescent="0.3">
      <c r="A3288" s="6" t="str">
        <f>HYPERLINK("https://www.ti.com/product/LMZ22005", "LMZ22005")</f>
        <v>LMZ22005</v>
      </c>
      <c r="B3288" s="5" t="s">
        <v>29562</v>
      </c>
      <c r="C3288" s="6" t="str">
        <f>HYPERLINK("https://www.ti.com/lit/gpn/LMZ22005", "PDF")</f>
        <v>PDF</v>
      </c>
      <c r="D3288" s="5" t="s">
        <v>29563</v>
      </c>
      <c r="E3288" s="5" t="s">
        <v>29564</v>
      </c>
      <c r="F3288" s="5" t="s">
        <v>29565</v>
      </c>
      <c r="G3288" s="5" t="s">
        <v>29566</v>
      </c>
      <c r="H3288" s="1" t="s">
        <v>29567</v>
      </c>
      <c r="I3288" s="5" t="s">
        <v>29568</v>
      </c>
      <c r="J3288" s="7">
        <v>7</v>
      </c>
      <c r="K3288" s="7">
        <v>139.9032</v>
      </c>
      <c r="L3288" s="5" t="s">
        <v>29569</v>
      </c>
      <c r="M3288" s="7">
        <v>4.58</v>
      </c>
      <c r="N3288" s="7">
        <v>1.27</v>
      </c>
      <c r="O3288" s="7">
        <v>7.5279999999999996</v>
      </c>
      <c r="P3288" s="1" t="s">
        <v>29570</v>
      </c>
    </row>
    <row r="3289" spans="1:16" ht="33.4" x14ac:dyDescent="0.3">
      <c r="A3289" s="6" t="str">
        <f>HYPERLINK("https://www.ti.com/product/LMZ23603", "LMZ23603")</f>
        <v>LMZ23603</v>
      </c>
      <c r="B3289" s="5" t="s">
        <v>29571</v>
      </c>
      <c r="C3289" s="6" t="str">
        <f>HYPERLINK("https://www.ti.com/lit/gpn/LMZ23603", "PDF")</f>
        <v>PDF</v>
      </c>
      <c r="D3289" s="5" t="s">
        <v>29572</v>
      </c>
      <c r="E3289" s="5" t="s">
        <v>29573</v>
      </c>
      <c r="F3289" s="5" t="s">
        <v>29574</v>
      </c>
      <c r="G3289" s="5" t="s">
        <v>29575</v>
      </c>
      <c r="H3289" s="1" t="s">
        <v>29576</v>
      </c>
      <c r="I3289" s="5" t="s">
        <v>29577</v>
      </c>
      <c r="J3289" s="7">
        <v>7</v>
      </c>
      <c r="K3289" s="7">
        <v>139.9032</v>
      </c>
      <c r="L3289" s="5" t="s">
        <v>29578</v>
      </c>
      <c r="M3289" s="7">
        <v>4.58</v>
      </c>
      <c r="N3289" s="7">
        <v>1.27</v>
      </c>
      <c r="O3289" s="7">
        <v>9.7360000000000007</v>
      </c>
      <c r="P3289" s="1" t="s">
        <v>29579</v>
      </c>
    </row>
    <row r="3290" spans="1:16" ht="33.4" x14ac:dyDescent="0.3">
      <c r="A3290" s="6" t="str">
        <f>HYPERLINK("https://www.ti.com/product/TLV61224", "TLV61224")</f>
        <v>TLV61224</v>
      </c>
      <c r="B3290" s="5" t="s">
        <v>29580</v>
      </c>
      <c r="C3290" s="6" t="str">
        <f>HYPERLINK("https://www.ti.com/lit/gpn/TLV61224", "PDF")</f>
        <v>PDF</v>
      </c>
      <c r="D3290" s="5" t="s">
        <v>29581</v>
      </c>
      <c r="E3290" s="5" t="s">
        <v>29582</v>
      </c>
      <c r="F3290" s="5" t="s">
        <v>29583</v>
      </c>
      <c r="G3290" s="5" t="s">
        <v>29584</v>
      </c>
      <c r="H3290" s="1" t="s">
        <v>29585</v>
      </c>
      <c r="I3290" s="5" t="s">
        <v>29586</v>
      </c>
      <c r="J3290" s="7">
        <v>6</v>
      </c>
      <c r="K3290" s="7">
        <v>4.2</v>
      </c>
      <c r="L3290" s="5" t="s">
        <v>29587</v>
      </c>
      <c r="M3290" s="7">
        <v>1.1000000000000001</v>
      </c>
      <c r="N3290" s="7">
        <v>0.65</v>
      </c>
      <c r="O3290" s="7">
        <v>0.39</v>
      </c>
      <c r="P3290" s="1" t="s">
        <v>29588</v>
      </c>
    </row>
    <row r="3291" spans="1:16" ht="33.4" x14ac:dyDescent="0.3">
      <c r="A3291" s="6" t="str">
        <f>HYPERLINK("https://www.ti.com/product/TPS56121", "TPS56121")</f>
        <v>TPS56121</v>
      </c>
      <c r="B3291" s="5" t="s">
        <v>29589</v>
      </c>
      <c r="C3291" s="6" t="str">
        <f>HYPERLINK("https://www.ti.com/lit/gpn/TPS56121", "PDF")</f>
        <v>PDF</v>
      </c>
      <c r="D3291" s="5" t="s">
        <v>29590</v>
      </c>
      <c r="E3291" s="5" t="s">
        <v>29591</v>
      </c>
      <c r="F3291" s="5" t="s">
        <v>29592</v>
      </c>
      <c r="G3291" s="5" t="s">
        <v>29593</v>
      </c>
      <c r="H3291" s="1" t="s">
        <v>29594</v>
      </c>
      <c r="I3291" s="5" t="s">
        <v>29595</v>
      </c>
      <c r="J3291" s="7">
        <v>22</v>
      </c>
      <c r="K3291" s="7">
        <v>30</v>
      </c>
      <c r="L3291" s="5" t="s">
        <v>29596</v>
      </c>
      <c r="M3291" s="7">
        <v>1.5</v>
      </c>
      <c r="N3291" s="7">
        <v>0.5</v>
      </c>
      <c r="O3291" s="7">
        <v>3.22</v>
      </c>
      <c r="P3291" s="1" t="s">
        <v>29597</v>
      </c>
    </row>
    <row r="3292" spans="1:16" ht="33.4" x14ac:dyDescent="0.3">
      <c r="A3292" s="6" t="str">
        <f>HYPERLINK("https://www.ti.com/product/TPS56221", "TPS56221")</f>
        <v>TPS56221</v>
      </c>
      <c r="B3292" s="5" t="s">
        <v>29598</v>
      </c>
      <c r="C3292" s="6" t="str">
        <f>HYPERLINK("https://www.ti.com/lit/gpn/TPS56221", "PDF")</f>
        <v>PDF</v>
      </c>
      <c r="D3292" s="5" t="s">
        <v>29599</v>
      </c>
      <c r="E3292" s="5" t="s">
        <v>29600</v>
      </c>
      <c r="F3292" s="5" t="s">
        <v>29601</v>
      </c>
      <c r="G3292" s="5" t="s">
        <v>29602</v>
      </c>
      <c r="H3292" s="1" t="s">
        <v>29603</v>
      </c>
      <c r="I3292" s="5" t="s">
        <v>29604</v>
      </c>
      <c r="J3292" s="7">
        <v>22</v>
      </c>
      <c r="K3292" s="7">
        <v>30</v>
      </c>
      <c r="L3292" s="5" t="s">
        <v>29605</v>
      </c>
      <c r="M3292" s="7">
        <v>1.5</v>
      </c>
      <c r="N3292" s="7">
        <v>0.5</v>
      </c>
      <c r="O3292" s="7">
        <v>3.605</v>
      </c>
      <c r="P3292" s="1" t="s">
        <v>29606</v>
      </c>
    </row>
    <row r="3293" spans="1:16" ht="33.4" x14ac:dyDescent="0.3">
      <c r="A3293" s="6" t="str">
        <f>HYPERLINK("https://www.ti.com/product/TPS7A4001", "TPS7A4001")</f>
        <v>TPS7A4001</v>
      </c>
      <c r="B3293" s="5" t="s">
        <v>29607</v>
      </c>
      <c r="C3293" s="6" t="str">
        <f>HYPERLINK("https://www.ti.com/lit/gpn/TPS7A4001", "PDF")</f>
        <v>PDF</v>
      </c>
      <c r="D3293" s="5" t="s">
        <v>29608</v>
      </c>
      <c r="E3293" s="5" t="s">
        <v>29609</v>
      </c>
      <c r="F3293" s="5"/>
      <c r="G3293" s="5" t="s">
        <v>29610</v>
      </c>
      <c r="H3293" s="1" t="s">
        <v>29611</v>
      </c>
      <c r="I3293" s="5" t="s">
        <v>29612</v>
      </c>
      <c r="J3293" s="7">
        <v>8</v>
      </c>
      <c r="K3293" s="7">
        <v>14.7</v>
      </c>
      <c r="L3293" s="5" t="s">
        <v>29613</v>
      </c>
      <c r="M3293" s="7">
        <v>1.1000000000000001</v>
      </c>
      <c r="N3293" s="7">
        <v>0.65</v>
      </c>
      <c r="O3293" s="7">
        <v>1.1679999999999999</v>
      </c>
      <c r="P3293" s="1" t="s">
        <v>29614</v>
      </c>
    </row>
    <row r="3294" spans="1:16" ht="33.4" x14ac:dyDescent="0.3">
      <c r="A3294" s="6" t="str">
        <f>HYPERLINK("https://www.ti.com/product/TPS7A65-Q1", "TPS7A65-Q1")</f>
        <v>TPS7A65-Q1</v>
      </c>
      <c r="B3294" s="5" t="s">
        <v>29615</v>
      </c>
      <c r="C3294" s="6" t="str">
        <f>HYPERLINK("https://www.ti.com/lit/gpn/TPS7A65-Q1", "PDF")</f>
        <v>PDF</v>
      </c>
      <c r="D3294" s="5" t="s">
        <v>29616</v>
      </c>
      <c r="E3294" s="5" t="s">
        <v>29617</v>
      </c>
      <c r="F3294" s="5"/>
      <c r="G3294" s="5" t="s">
        <v>29618</v>
      </c>
      <c r="H3294" s="1" t="s">
        <v>29619</v>
      </c>
      <c r="I3294" s="5" t="s">
        <v>29620</v>
      </c>
      <c r="J3294" s="7">
        <v>3</v>
      </c>
      <c r="K3294" s="7">
        <v>66.725999999999999</v>
      </c>
      <c r="L3294" s="5" t="s">
        <v>29621</v>
      </c>
      <c r="M3294" s="7">
        <v>2.52</v>
      </c>
      <c r="N3294" s="7">
        <v>2.29</v>
      </c>
      <c r="O3294" s="7">
        <v>1.181</v>
      </c>
      <c r="P3294" s="1" t="s">
        <v>29622</v>
      </c>
    </row>
    <row r="3295" spans="1:16" ht="33.4" x14ac:dyDescent="0.3">
      <c r="A3295" s="6" t="str">
        <f>HYPERLINK("https://www.ti.com/product/UCC25710", "UCC25710")</f>
        <v>UCC25710</v>
      </c>
      <c r="B3295" s="5" t="s">
        <v>29623</v>
      </c>
      <c r="C3295" s="6" t="str">
        <f>HYPERLINK("https://www.ti.com/lit/gpn/UCC25710", "PDF")</f>
        <v>PDF</v>
      </c>
      <c r="D3295" s="5" t="s">
        <v>29624</v>
      </c>
      <c r="E3295" s="5" t="s">
        <v>29625</v>
      </c>
      <c r="F3295" s="5" t="s">
        <v>29626</v>
      </c>
      <c r="G3295" s="5" t="s">
        <v>29627</v>
      </c>
      <c r="H3295" s="1" t="s">
        <v>29628</v>
      </c>
      <c r="I3295" s="5" t="s">
        <v>29629</v>
      </c>
      <c r="J3295" s="7">
        <v>20</v>
      </c>
      <c r="K3295" s="7">
        <v>131.84</v>
      </c>
      <c r="L3295" s="5" t="s">
        <v>29630</v>
      </c>
      <c r="M3295" s="7">
        <v>2.65</v>
      </c>
      <c r="N3295" s="7">
        <v>1.27</v>
      </c>
      <c r="O3295" s="7">
        <v>1.5940000000000001</v>
      </c>
      <c r="P3295" s="1" t="s">
        <v>29631</v>
      </c>
    </row>
    <row r="3296" spans="1:16" ht="33.4" x14ac:dyDescent="0.3">
      <c r="A3296" s="6" t="str">
        <f>HYPERLINK("https://www.ti.com/product/LM34923", "LM34923")</f>
        <v>LM34923</v>
      </c>
      <c r="B3296" s="5" t="s">
        <v>29632</v>
      </c>
      <c r="C3296" s="6" t="str">
        <f>HYPERLINK("https://www.ti.com/lit/gpn/LM34923", "PDF")</f>
        <v>PDF</v>
      </c>
      <c r="D3296" s="5" t="s">
        <v>29633</v>
      </c>
      <c r="E3296" s="5" t="s">
        <v>29634</v>
      </c>
      <c r="F3296" s="5" t="s">
        <v>29635</v>
      </c>
      <c r="G3296" s="5" t="s">
        <v>29636</v>
      </c>
      <c r="H3296" s="1" t="s">
        <v>29637</v>
      </c>
      <c r="I3296" s="5" t="s">
        <v>29638</v>
      </c>
      <c r="J3296" s="7">
        <v>10</v>
      </c>
      <c r="K3296" s="7">
        <v>14.7</v>
      </c>
      <c r="L3296" s="5" t="s">
        <v>29639</v>
      </c>
      <c r="M3296" s="7">
        <v>1.1000000000000001</v>
      </c>
      <c r="N3296" s="7">
        <v>0.5</v>
      </c>
      <c r="O3296" s="7">
        <v>1.038</v>
      </c>
      <c r="P3296" s="1" t="s">
        <v>29640</v>
      </c>
    </row>
    <row r="3297" spans="1:16" ht="33.4" x14ac:dyDescent="0.3">
      <c r="A3297" s="6" t="str">
        <f>HYPERLINK("https://www.ti.com/product/CSD87351Q5D", "CSD87351Q5D")</f>
        <v>CSD87351Q5D</v>
      </c>
      <c r="B3297" s="5" t="s">
        <v>29641</v>
      </c>
      <c r="C3297" s="6" t="str">
        <f>HYPERLINK("https://www.ti.com/lit/gpn/CSD87351Q5D", "PDF")</f>
        <v>PDF</v>
      </c>
      <c r="D3297" s="5" t="s">
        <v>29642</v>
      </c>
      <c r="E3297" s="5" t="s">
        <v>29643</v>
      </c>
      <c r="F3297" s="5"/>
      <c r="G3297" s="5" t="s">
        <v>29644</v>
      </c>
      <c r="H3297" s="1" t="s">
        <v>29645</v>
      </c>
      <c r="I3297" s="5" t="s">
        <v>29646</v>
      </c>
      <c r="J3297" s="7">
        <v>8</v>
      </c>
      <c r="K3297" s="7">
        <v>30</v>
      </c>
      <c r="L3297" s="5" t="s">
        <v>29647</v>
      </c>
      <c r="M3297" s="7">
        <v>1.6</v>
      </c>
      <c r="N3297" s="7">
        <v>1.27</v>
      </c>
      <c r="O3297" s="7">
        <v>0.69699999999999995</v>
      </c>
      <c r="P3297" s="1" t="s">
        <v>29648</v>
      </c>
    </row>
    <row r="3298" spans="1:16" ht="33.4" x14ac:dyDescent="0.3">
      <c r="A3298" s="6" t="str">
        <f>HYPERLINK("https://www.ti.com/product/TPS53355", "TPS53355")</f>
        <v>TPS53355</v>
      </c>
      <c r="B3298" s="5" t="s">
        <v>29649</v>
      </c>
      <c r="C3298" s="6" t="str">
        <f>HYPERLINK("https://www.ti.com/lit/gpn/TPS53355", "PDF")</f>
        <v>PDF</v>
      </c>
      <c r="D3298" s="5" t="s">
        <v>29650</v>
      </c>
      <c r="E3298" s="5" t="s">
        <v>29651</v>
      </c>
      <c r="F3298" s="5" t="s">
        <v>29652</v>
      </c>
      <c r="G3298" s="5" t="s">
        <v>29653</v>
      </c>
      <c r="H3298" s="1" t="s">
        <v>29654</v>
      </c>
      <c r="I3298" s="5" t="s">
        <v>29655</v>
      </c>
      <c r="J3298" s="7">
        <v>22</v>
      </c>
      <c r="K3298" s="7">
        <v>30</v>
      </c>
      <c r="L3298" s="5" t="s">
        <v>29656</v>
      </c>
      <c r="M3298" s="7">
        <v>1.5</v>
      </c>
      <c r="N3298" s="7">
        <v>0.5</v>
      </c>
      <c r="O3298" s="7">
        <v>2.875</v>
      </c>
      <c r="P3298" s="1" t="s">
        <v>29657</v>
      </c>
    </row>
    <row r="3299" spans="1:16" ht="33.4" x14ac:dyDescent="0.3">
      <c r="A3299" s="6" t="str">
        <f>HYPERLINK("https://www.ti.com/product/LM25088-Q1", "LM25088-Q1")</f>
        <v>LM25088-Q1</v>
      </c>
      <c r="B3299" s="5" t="s">
        <v>29658</v>
      </c>
      <c r="C3299" s="6" t="str">
        <f>HYPERLINK("https://www.ti.com/lit/gpn/LM25088-Q1", "PDF")</f>
        <v>PDF</v>
      </c>
      <c r="D3299" s="5" t="s">
        <v>29659</v>
      </c>
      <c r="E3299" s="5" t="s">
        <v>29660</v>
      </c>
      <c r="F3299" s="5" t="s">
        <v>29661</v>
      </c>
      <c r="G3299" s="5" t="s">
        <v>29662</v>
      </c>
      <c r="H3299" s="1" t="s">
        <v>29663</v>
      </c>
      <c r="I3299" s="5" t="s">
        <v>29664</v>
      </c>
      <c r="J3299" s="7">
        <v>16</v>
      </c>
      <c r="K3299" s="7">
        <v>32</v>
      </c>
      <c r="L3299" s="5" t="s">
        <v>29665</v>
      </c>
      <c r="M3299" s="7">
        <v>1.2</v>
      </c>
      <c r="N3299" s="7">
        <v>0.65</v>
      </c>
      <c r="O3299" s="7">
        <v>1.643</v>
      </c>
      <c r="P3299" s="1" t="s">
        <v>29666</v>
      </c>
    </row>
    <row r="3300" spans="1:16" ht="33.4" x14ac:dyDescent="0.3">
      <c r="A3300" s="6" t="str">
        <f>HYPERLINK("https://www.ti.com/product/LM5088-Q1", "LM5088-Q1")</f>
        <v>LM5088-Q1</v>
      </c>
      <c r="B3300" s="5" t="s">
        <v>29667</v>
      </c>
      <c r="C3300" s="6" t="str">
        <f>HYPERLINK("https://www.ti.com/lit/gpn/LM5088-Q1", "PDF")</f>
        <v>PDF</v>
      </c>
      <c r="D3300" s="5" t="s">
        <v>29668</v>
      </c>
      <c r="E3300" s="5" t="s">
        <v>29669</v>
      </c>
      <c r="F3300" s="5" t="s">
        <v>29670</v>
      </c>
      <c r="G3300" s="5" t="s">
        <v>29671</v>
      </c>
      <c r="H3300" s="1" t="s">
        <v>29672</v>
      </c>
      <c r="I3300" s="5" t="s">
        <v>29673</v>
      </c>
      <c r="J3300" s="7">
        <v>16</v>
      </c>
      <c r="K3300" s="7">
        <v>32</v>
      </c>
      <c r="L3300" s="5" t="s">
        <v>29674</v>
      </c>
      <c r="M3300" s="7">
        <v>1.2</v>
      </c>
      <c r="N3300" s="7">
        <v>0.65</v>
      </c>
      <c r="O3300" s="7">
        <v>1.93</v>
      </c>
      <c r="P3300" s="1" t="s">
        <v>29675</v>
      </c>
    </row>
    <row r="3301" spans="1:16" ht="33.4" x14ac:dyDescent="0.3">
      <c r="A3301" s="6" t="str">
        <f>HYPERLINK("https://www.ti.com/product/CSD87350Q5D", "CSD87350Q5D")</f>
        <v>CSD87350Q5D</v>
      </c>
      <c r="B3301" s="5" t="s">
        <v>29676</v>
      </c>
      <c r="C3301" s="6" t="str">
        <f>HYPERLINK("https://www.ti.com/lit/gpn/CSD87350Q5D", "PDF")</f>
        <v>PDF</v>
      </c>
      <c r="D3301" s="5" t="s">
        <v>29677</v>
      </c>
      <c r="E3301" s="5" t="s">
        <v>29678</v>
      </c>
      <c r="F3301" s="5"/>
      <c r="G3301" s="5" t="s">
        <v>29679</v>
      </c>
      <c r="H3301" s="1" t="s">
        <v>29680</v>
      </c>
      <c r="I3301" s="5" t="s">
        <v>29681</v>
      </c>
      <c r="J3301" s="7">
        <v>8</v>
      </c>
      <c r="K3301" s="7">
        <v>30</v>
      </c>
      <c r="L3301" s="5" t="s">
        <v>29682</v>
      </c>
      <c r="M3301" s="7">
        <v>1.6</v>
      </c>
      <c r="N3301" s="7">
        <v>1.27</v>
      </c>
      <c r="O3301" s="7">
        <v>0.69599999999999995</v>
      </c>
      <c r="P3301" s="1" t="s">
        <v>29683</v>
      </c>
    </row>
    <row r="3302" spans="1:16" ht="33.4" x14ac:dyDescent="0.3">
      <c r="A3302" s="6" t="str">
        <f>HYPERLINK("https://www.ti.com/product/LM5045", "LM5045")</f>
        <v>LM5045</v>
      </c>
      <c r="B3302" s="5" t="s">
        <v>29684</v>
      </c>
      <c r="C3302" s="6" t="str">
        <f>HYPERLINK("https://www.ti.com/lit/gpn/LM5045", "PDF")</f>
        <v>PDF</v>
      </c>
      <c r="D3302" s="5" t="s">
        <v>29685</v>
      </c>
      <c r="E3302" s="5" t="s">
        <v>29686</v>
      </c>
      <c r="F3302" s="5" t="s">
        <v>29687</v>
      </c>
      <c r="G3302" s="5" t="s">
        <v>29688</v>
      </c>
      <c r="H3302" s="1" t="s">
        <v>29689</v>
      </c>
      <c r="I3302" s="5" t="s">
        <v>29690</v>
      </c>
      <c r="J3302" s="7">
        <v>28</v>
      </c>
      <c r="K3302" s="7" t="s">
        <v>29691</v>
      </c>
      <c r="L3302" s="5" t="s">
        <v>29692</v>
      </c>
      <c r="M3302" s="7" t="s">
        <v>29693</v>
      </c>
      <c r="N3302" s="7" t="s">
        <v>29694</v>
      </c>
      <c r="O3302" s="7">
        <v>2.125</v>
      </c>
      <c r="P3302" s="1" t="s">
        <v>29695</v>
      </c>
    </row>
    <row r="3303" spans="1:16" ht="17.05" x14ac:dyDescent="0.3">
      <c r="A3303" s="6" t="str">
        <f>HYPERLINK("https://www.ti.com/product/TPS61181A", "TPS61181A")</f>
        <v>TPS61181A</v>
      </c>
      <c r="B3303" s="5" t="s">
        <v>29696</v>
      </c>
      <c r="C3303" s="6" t="str">
        <f>HYPERLINK("https://www.ti.com/lit/gpn/TPS61181A", "PDF")</f>
        <v>PDF</v>
      </c>
      <c r="D3303" s="5" t="s">
        <v>29697</v>
      </c>
      <c r="E3303" s="5" t="s">
        <v>29698</v>
      </c>
      <c r="F3303" s="5" t="s">
        <v>29699</v>
      </c>
      <c r="G3303" s="5" t="s">
        <v>29700</v>
      </c>
      <c r="H3303" s="1" t="s">
        <v>29701</v>
      </c>
      <c r="I3303" s="5" t="s">
        <v>29702</v>
      </c>
      <c r="J3303" s="7">
        <v>16</v>
      </c>
      <c r="K3303" s="7">
        <v>9</v>
      </c>
      <c r="L3303" s="5" t="s">
        <v>29703</v>
      </c>
      <c r="M3303" s="7">
        <v>0.8</v>
      </c>
      <c r="N3303" s="7">
        <v>0.5</v>
      </c>
      <c r="O3303" s="7">
        <v>0.60399999999999998</v>
      </c>
      <c r="P3303" s="1" t="s">
        <v>29704</v>
      </c>
    </row>
    <row r="3304" spans="1:16" ht="33.4" x14ac:dyDescent="0.3">
      <c r="A3304" s="6" t="str">
        <f>HYPERLINK("https://www.ti.com/product/LM22680-Q1", "LM22680-Q1")</f>
        <v>LM22680-Q1</v>
      </c>
      <c r="B3304" s="5" t="s">
        <v>29705</v>
      </c>
      <c r="C3304" s="6" t="str">
        <f>HYPERLINK("https://www.ti.com/lit/gpn/LM22680-Q1", "PDF")</f>
        <v>PDF</v>
      </c>
      <c r="D3304" s="5" t="s">
        <v>29706</v>
      </c>
      <c r="E3304" s="5" t="s">
        <v>29707</v>
      </c>
      <c r="F3304" s="5" t="s">
        <v>29708</v>
      </c>
      <c r="G3304" s="5" t="s">
        <v>29709</v>
      </c>
      <c r="H3304" s="1" t="s">
        <v>29710</v>
      </c>
      <c r="I3304" s="5" t="s">
        <v>29711</v>
      </c>
      <c r="J3304" s="7">
        <v>8</v>
      </c>
      <c r="K3304" s="7">
        <v>29.4</v>
      </c>
      <c r="L3304" s="5" t="s">
        <v>29712</v>
      </c>
      <c r="M3304" s="7">
        <v>1.7</v>
      </c>
      <c r="N3304" s="7">
        <v>1.27</v>
      </c>
      <c r="O3304" s="7">
        <v>1.9419999999999999</v>
      </c>
      <c r="P3304" s="1" t="s">
        <v>29713</v>
      </c>
    </row>
    <row r="3305" spans="1:16" ht="49.75" x14ac:dyDescent="0.3">
      <c r="A3305" s="6" t="str">
        <f>HYPERLINK("https://www.ti.com/product/LM22676-Q1", "LM22676-Q1")</f>
        <v>LM22676-Q1</v>
      </c>
      <c r="B3305" s="5" t="s">
        <v>29714</v>
      </c>
      <c r="C3305" s="6" t="str">
        <f>HYPERLINK("https://www.ti.com/lit/gpn/LM22676-Q1", "PDF")</f>
        <v>PDF</v>
      </c>
      <c r="D3305" s="5" t="s">
        <v>29715</v>
      </c>
      <c r="E3305" s="5" t="s">
        <v>29716</v>
      </c>
      <c r="F3305" s="5" t="s">
        <v>29717</v>
      </c>
      <c r="G3305" s="5" t="s">
        <v>29718</v>
      </c>
      <c r="H3305" s="1" t="s">
        <v>29719</v>
      </c>
      <c r="I3305" s="5" t="s">
        <v>29720</v>
      </c>
      <c r="J3305" s="7" t="s">
        <v>29721</v>
      </c>
      <c r="K3305" s="7" t="s">
        <v>29722</v>
      </c>
      <c r="L3305" s="5" t="s">
        <v>29723</v>
      </c>
      <c r="M3305" s="7" t="s">
        <v>29724</v>
      </c>
      <c r="N3305" s="7">
        <v>1.27</v>
      </c>
      <c r="O3305" s="7">
        <v>2.3639999999999999</v>
      </c>
      <c r="P3305" s="1" t="s">
        <v>29725</v>
      </c>
    </row>
    <row r="3306" spans="1:16" ht="33.4" x14ac:dyDescent="0.3">
      <c r="A3306" s="6" t="str">
        <f>HYPERLINK("https://www.ti.com/product/LM22678-Q1", "LM22678-Q1")</f>
        <v>LM22678-Q1</v>
      </c>
      <c r="B3306" s="5" t="s">
        <v>29726</v>
      </c>
      <c r="C3306" s="6" t="str">
        <f>HYPERLINK("https://www.ti.com/lit/gpn/LM22678-Q1", "PDF")</f>
        <v>PDF</v>
      </c>
      <c r="D3306" s="5" t="s">
        <v>29727</v>
      </c>
      <c r="E3306" s="5" t="s">
        <v>29728</v>
      </c>
      <c r="F3306" s="5" t="s">
        <v>29729</v>
      </c>
      <c r="G3306" s="5" t="s">
        <v>29730</v>
      </c>
      <c r="H3306" s="1" t="s">
        <v>29731</v>
      </c>
      <c r="I3306" s="5" t="s">
        <v>29732</v>
      </c>
      <c r="J3306" s="7">
        <v>7</v>
      </c>
      <c r="K3306" s="7">
        <v>142.3416</v>
      </c>
      <c r="L3306" s="5" t="s">
        <v>29733</v>
      </c>
      <c r="M3306" s="7">
        <v>2.1</v>
      </c>
      <c r="N3306" s="7">
        <v>1.27</v>
      </c>
      <c r="O3306" s="7">
        <v>3.8479999999999999</v>
      </c>
      <c r="P3306" s="1" t="s">
        <v>29734</v>
      </c>
    </row>
    <row r="3307" spans="1:16" ht="33.4" x14ac:dyDescent="0.3">
      <c r="A3307" s="6" t="str">
        <f>HYPERLINK("https://www.ti.com/product/LP8552", "LP8552")</f>
        <v>LP8552</v>
      </c>
      <c r="B3307" s="5" t="s">
        <v>29735</v>
      </c>
      <c r="C3307" s="6" t="str">
        <f>HYPERLINK("https://www.ti.com/lit/gpn/LP8552", "PDF")</f>
        <v>PDF</v>
      </c>
      <c r="D3307" s="5" t="s">
        <v>29736</v>
      </c>
      <c r="E3307" s="5" t="s">
        <v>29737</v>
      </c>
      <c r="F3307" s="5" t="s">
        <v>29738</v>
      </c>
      <c r="G3307" s="5" t="s">
        <v>29739</v>
      </c>
      <c r="H3307" s="1" t="s">
        <v>29740</v>
      </c>
      <c r="I3307" s="5" t="s">
        <v>29741</v>
      </c>
      <c r="J3307" s="7">
        <v>25</v>
      </c>
      <c r="K3307" s="7">
        <v>7.5625</v>
      </c>
      <c r="L3307" s="5" t="s">
        <v>29742</v>
      </c>
      <c r="M3307" s="7">
        <v>0.67500000000000004</v>
      </c>
      <c r="N3307" s="7">
        <v>0.5</v>
      </c>
      <c r="O3307" s="7">
        <v>0.95699999999999996</v>
      </c>
      <c r="P3307" s="1" t="s">
        <v>29743</v>
      </c>
    </row>
    <row r="3308" spans="1:16" ht="49.75" x14ac:dyDescent="0.3">
      <c r="A3308" s="6" t="str">
        <f>HYPERLINK("https://www.ti.com/product/LM21212-1", "LM21212-1")</f>
        <v>LM21212-1</v>
      </c>
      <c r="B3308" s="5" t="s">
        <v>29744</v>
      </c>
      <c r="C3308" s="6" t="str">
        <f>HYPERLINK("https://www.ti.com/lit/gpn/LM21212-1", "PDF")</f>
        <v>PDF</v>
      </c>
      <c r="D3308" s="5" t="s">
        <v>29745</v>
      </c>
      <c r="E3308" s="5" t="s">
        <v>29746</v>
      </c>
      <c r="F3308" s="5" t="s">
        <v>29747</v>
      </c>
      <c r="G3308" s="5" t="s">
        <v>29748</v>
      </c>
      <c r="H3308" s="1" t="s">
        <v>29749</v>
      </c>
      <c r="I3308" s="5" t="s">
        <v>29750</v>
      </c>
      <c r="J3308" s="7">
        <v>20</v>
      </c>
      <c r="K3308" s="7">
        <v>41.6</v>
      </c>
      <c r="L3308" s="5" t="s">
        <v>29751</v>
      </c>
      <c r="M3308" s="7">
        <v>1.2</v>
      </c>
      <c r="N3308" s="7">
        <v>0.65</v>
      </c>
      <c r="O3308" s="7">
        <v>2.7029999999999998</v>
      </c>
      <c r="P3308" s="1" t="s">
        <v>29752</v>
      </c>
    </row>
    <row r="3309" spans="1:16" ht="33.4" x14ac:dyDescent="0.3">
      <c r="A3309" s="6" t="str">
        <f>HYPERLINK("https://www.ti.com/product/LM21212-2", "LM21212-2")</f>
        <v>LM21212-2</v>
      </c>
      <c r="B3309" s="5" t="s">
        <v>29753</v>
      </c>
      <c r="C3309" s="6" t="str">
        <f>HYPERLINK("https://www.ti.com/lit/gpn/LM21212-2", "PDF")</f>
        <v>PDF</v>
      </c>
      <c r="D3309" s="5" t="s">
        <v>29754</v>
      </c>
      <c r="E3309" s="5" t="s">
        <v>29755</v>
      </c>
      <c r="F3309" s="5" t="s">
        <v>29756</v>
      </c>
      <c r="G3309" s="5" t="s">
        <v>29757</v>
      </c>
      <c r="H3309" s="1" t="s">
        <v>29758</v>
      </c>
      <c r="I3309" s="5" t="s">
        <v>29759</v>
      </c>
      <c r="J3309" s="7">
        <v>20</v>
      </c>
      <c r="K3309" s="7">
        <v>41.6</v>
      </c>
      <c r="L3309" s="5" t="s">
        <v>29760</v>
      </c>
      <c r="M3309" s="7">
        <v>1.2</v>
      </c>
      <c r="N3309" s="7">
        <v>0.65</v>
      </c>
      <c r="O3309" s="7">
        <v>2.7029999999999998</v>
      </c>
      <c r="P3309" s="1" t="s">
        <v>29761</v>
      </c>
    </row>
    <row r="3310" spans="1:16" ht="33.4" x14ac:dyDescent="0.3">
      <c r="A3310" s="6" t="str">
        <f>HYPERLINK("https://www.ti.com/product/LM21215", "LM21215")</f>
        <v>LM21215</v>
      </c>
      <c r="B3310" s="5" t="s">
        <v>29762</v>
      </c>
      <c r="C3310" s="6" t="str">
        <f>HYPERLINK("https://www.ti.com/lit/gpn/LM21215", "PDF")</f>
        <v>PDF</v>
      </c>
      <c r="D3310" s="5" t="s">
        <v>29763</v>
      </c>
      <c r="E3310" s="5" t="s">
        <v>29764</v>
      </c>
      <c r="F3310" s="5" t="s">
        <v>29765</v>
      </c>
      <c r="G3310" s="5" t="s">
        <v>29766</v>
      </c>
      <c r="H3310" s="1" t="s">
        <v>29767</v>
      </c>
      <c r="I3310" s="5" t="s">
        <v>29768</v>
      </c>
      <c r="J3310" s="7">
        <v>20</v>
      </c>
      <c r="K3310" s="7">
        <v>41.6</v>
      </c>
      <c r="L3310" s="5" t="s">
        <v>29769</v>
      </c>
      <c r="M3310" s="7">
        <v>1.2</v>
      </c>
      <c r="N3310" s="7">
        <v>0.65</v>
      </c>
      <c r="O3310" s="7">
        <v>3.105</v>
      </c>
      <c r="P3310" s="1" t="s">
        <v>29770</v>
      </c>
    </row>
    <row r="3311" spans="1:16" ht="33.4" x14ac:dyDescent="0.3">
      <c r="A3311" s="6" t="str">
        <f>HYPERLINK("https://www.ti.com/product/TPS62260-Q1", "TPS62260-Q1")</f>
        <v>TPS62260-Q1</v>
      </c>
      <c r="B3311" s="5" t="s">
        <v>29771</v>
      </c>
      <c r="C3311" s="6" t="str">
        <f>HYPERLINK("https://www.ti.com/lit/gpn/TPS62260-Q1", "PDF")</f>
        <v>PDF</v>
      </c>
      <c r="D3311" s="5" t="s">
        <v>29772</v>
      </c>
      <c r="E3311" s="5" t="s">
        <v>29773</v>
      </c>
      <c r="F3311" s="5" t="s">
        <v>29774</v>
      </c>
      <c r="G3311" s="5" t="s">
        <v>29775</v>
      </c>
      <c r="H3311" s="1" t="s">
        <v>29776</v>
      </c>
      <c r="I3311" s="5" t="s">
        <v>29777</v>
      </c>
      <c r="J3311" s="7" t="s">
        <v>29778</v>
      </c>
      <c r="K3311" s="7" t="s">
        <v>29779</v>
      </c>
      <c r="L3311" s="5" t="s">
        <v>29780</v>
      </c>
      <c r="M3311" s="7" t="s">
        <v>29781</v>
      </c>
      <c r="N3311" s="7" t="s">
        <v>29782</v>
      </c>
      <c r="O3311" s="7">
        <v>0.66100000000000003</v>
      </c>
      <c r="P3311" s="1" t="s">
        <v>29783</v>
      </c>
    </row>
    <row r="3312" spans="1:16" ht="33.4" x14ac:dyDescent="0.3">
      <c r="A3312" s="6" t="str">
        <f>HYPERLINK("https://www.ti.com/product/TLV711", "TLV711")</f>
        <v>TLV711</v>
      </c>
      <c r="B3312" s="5" t="s">
        <v>29784</v>
      </c>
      <c r="C3312" s="6" t="str">
        <f>HYPERLINK("https://www.ti.com/lit/gpn/TLV711", "PDF")</f>
        <v>PDF</v>
      </c>
      <c r="D3312" s="5" t="s">
        <v>29785</v>
      </c>
      <c r="E3312" s="5" t="s">
        <v>29786</v>
      </c>
      <c r="F3312" s="5"/>
      <c r="G3312" s="5" t="s">
        <v>29787</v>
      </c>
      <c r="H3312" s="1" t="s">
        <v>29788</v>
      </c>
      <c r="I3312" s="5" t="s">
        <v>29789</v>
      </c>
      <c r="J3312" s="7">
        <v>6</v>
      </c>
      <c r="K3312" s="7">
        <v>2.25</v>
      </c>
      <c r="L3312" s="5" t="s">
        <v>29790</v>
      </c>
      <c r="M3312" s="7">
        <v>0.8</v>
      </c>
      <c r="N3312" s="7">
        <v>0.5</v>
      </c>
      <c r="O3312" s="7">
        <v>0.182</v>
      </c>
      <c r="P3312" s="1" t="s">
        <v>29791</v>
      </c>
    </row>
    <row r="3313" spans="1:16" ht="33.4" x14ac:dyDescent="0.3">
      <c r="A3313" s="6" t="str">
        <f>HYPERLINK("https://www.ti.com/product/TPS51219", "TPS51219")</f>
        <v>TPS51219</v>
      </c>
      <c r="B3313" s="5" t="s">
        <v>29792</v>
      </c>
      <c r="C3313" s="6" t="str">
        <f>HYPERLINK("https://www.ti.com/lit/gpn/TPS51219", "PDF")</f>
        <v>PDF</v>
      </c>
      <c r="D3313" s="5" t="s">
        <v>29793</v>
      </c>
      <c r="E3313" s="5" t="s">
        <v>29794</v>
      </c>
      <c r="F3313" s="5" t="s">
        <v>29795</v>
      </c>
      <c r="G3313" s="5" t="s">
        <v>29796</v>
      </c>
      <c r="H3313" s="1" t="s">
        <v>29797</v>
      </c>
      <c r="I3313" s="5" t="s">
        <v>29798</v>
      </c>
      <c r="J3313" s="7">
        <v>16</v>
      </c>
      <c r="K3313" s="7">
        <v>9</v>
      </c>
      <c r="L3313" s="5" t="s">
        <v>29799</v>
      </c>
      <c r="M3313" s="7">
        <v>0.8</v>
      </c>
      <c r="N3313" s="7">
        <v>0.5</v>
      </c>
      <c r="O3313" s="7">
        <v>0.92</v>
      </c>
      <c r="P3313" s="1" t="s">
        <v>29800</v>
      </c>
    </row>
    <row r="3314" spans="1:16" ht="82.5" x14ac:dyDescent="0.3">
      <c r="A3314" s="6" t="str">
        <f>HYPERLINK("https://www.ti.com/product/TPS62651", "TPS62651")</f>
        <v>TPS62651</v>
      </c>
      <c r="B3314" s="5" t="s">
        <v>29801</v>
      </c>
      <c r="C3314" s="6" t="str">
        <f>HYPERLINK("https://www.ti.com/lit/gpn/TPS62651", "PDF")</f>
        <v>PDF</v>
      </c>
      <c r="D3314" s="5" t="s">
        <v>29802</v>
      </c>
      <c r="E3314" s="5" t="s">
        <v>29803</v>
      </c>
      <c r="F3314" s="5" t="s">
        <v>29804</v>
      </c>
      <c r="G3314" s="5" t="s">
        <v>29805</v>
      </c>
      <c r="H3314" s="1" t="s">
        <v>29806</v>
      </c>
      <c r="I3314" s="5" t="s">
        <v>29807</v>
      </c>
      <c r="J3314" s="7">
        <v>9</v>
      </c>
      <c r="K3314" s="7">
        <v>1.9600000000000002</v>
      </c>
      <c r="L3314" s="5" t="s">
        <v>29808</v>
      </c>
      <c r="M3314" s="7">
        <v>0.625</v>
      </c>
      <c r="N3314" s="7">
        <v>0.4</v>
      </c>
      <c r="O3314" s="7">
        <v>0.79</v>
      </c>
      <c r="P3314" s="1" t="s">
        <v>29809</v>
      </c>
    </row>
    <row r="3315" spans="1:16" ht="33.4" x14ac:dyDescent="0.3">
      <c r="A3315" s="6" t="str">
        <f>HYPERLINK("https://www.ti.com/product/TPS650732-Q1", "TPS650732-Q1")</f>
        <v>TPS650732-Q1</v>
      </c>
      <c r="B3315" s="5" t="s">
        <v>29810</v>
      </c>
      <c r="C3315" s="6" t="str">
        <f>HYPERLINK("https://www.ti.com/lit/gpn/TPS650732-Q1", "PDF")</f>
        <v>PDF</v>
      </c>
      <c r="D3315" s="5" t="s">
        <v>29811</v>
      </c>
      <c r="E3315" s="5" t="s">
        <v>29812</v>
      </c>
      <c r="F3315" s="5"/>
      <c r="G3315" s="5" t="s">
        <v>29813</v>
      </c>
      <c r="H3315" s="1" t="s">
        <v>29814</v>
      </c>
      <c r="I3315" s="5" t="s">
        <v>29815</v>
      </c>
      <c r="J3315" s="7">
        <v>48</v>
      </c>
      <c r="K3315" s="7">
        <v>36</v>
      </c>
      <c r="L3315" s="5" t="s">
        <v>29816</v>
      </c>
      <c r="M3315" s="7">
        <v>1</v>
      </c>
      <c r="N3315" s="7">
        <v>0.4</v>
      </c>
      <c r="O3315" s="7">
        <v>4.6740000000000004</v>
      </c>
      <c r="P3315" s="1" t="s">
        <v>29817</v>
      </c>
    </row>
    <row r="3316" spans="1:16" ht="33.4" x14ac:dyDescent="0.3">
      <c r="A3316" s="6" t="str">
        <f>HYPERLINK("https://www.ti.com/product/TPS62110-HT", "TPS62110-HT")</f>
        <v>TPS62110-HT</v>
      </c>
      <c r="B3316" s="5" t="s">
        <v>29818</v>
      </c>
      <c r="C3316" s="6" t="str">
        <f>HYPERLINK("https://www.ti.com/lit/gpn/TPS62110-HT", "PDF")</f>
        <v>PDF</v>
      </c>
      <c r="D3316" s="5" t="s">
        <v>29819</v>
      </c>
      <c r="E3316" s="5" t="s">
        <v>29820</v>
      </c>
      <c r="F3316" s="5" t="s">
        <v>29821</v>
      </c>
      <c r="G3316" s="5" t="s">
        <v>29822</v>
      </c>
      <c r="H3316" s="1" t="s">
        <v>29823</v>
      </c>
      <c r="I3316" s="5" t="s">
        <v>29824</v>
      </c>
      <c r="J3316" s="7">
        <v>16</v>
      </c>
      <c r="K3316" s="7">
        <v>32</v>
      </c>
      <c r="L3316" s="5" t="s">
        <v>29825</v>
      </c>
      <c r="M3316" s="7">
        <v>1.2</v>
      </c>
      <c r="N3316" s="7">
        <v>0.65</v>
      </c>
      <c r="O3316" s="7">
        <v>95.48</v>
      </c>
      <c r="P3316" s="1" t="s">
        <v>29826</v>
      </c>
    </row>
    <row r="3317" spans="1:16" ht="33.4" x14ac:dyDescent="0.3">
      <c r="A3317" s="6" t="str">
        <f>HYPERLINK("https://www.ti.com/product/TPS62679", "TPS62679")</f>
        <v>TPS62679</v>
      </c>
      <c r="B3317" s="5" t="s">
        <v>29827</v>
      </c>
      <c r="C3317" s="6" t="str">
        <f>HYPERLINK("https://www.ti.com/lit/gpn/TPS62679", "PDF")</f>
        <v>PDF</v>
      </c>
      <c r="D3317" s="5" t="s">
        <v>29828</v>
      </c>
      <c r="E3317" s="5" t="s">
        <v>29829</v>
      </c>
      <c r="F3317" s="5" t="s">
        <v>29830</v>
      </c>
      <c r="G3317" s="5" t="s">
        <v>29831</v>
      </c>
      <c r="H3317" s="1" t="s">
        <v>29832</v>
      </c>
      <c r="I3317" s="5" t="s">
        <v>29833</v>
      </c>
      <c r="J3317" s="7">
        <v>6</v>
      </c>
      <c r="K3317" s="7">
        <v>1.65</v>
      </c>
      <c r="L3317" s="5" t="s">
        <v>29834</v>
      </c>
      <c r="M3317" s="7">
        <v>0.15</v>
      </c>
      <c r="N3317" s="7">
        <v>0.4</v>
      </c>
      <c r="O3317" s="7">
        <v>0.57699999999999996</v>
      </c>
      <c r="P3317" s="1" t="s">
        <v>29835</v>
      </c>
    </row>
    <row r="3318" spans="1:16" ht="33.4" x14ac:dyDescent="0.3">
      <c r="A3318" s="6" t="str">
        <f>HYPERLINK("https://www.ti.com/product/CSD86330Q3D", "CSD86330Q3D")</f>
        <v>CSD86330Q3D</v>
      </c>
      <c r="B3318" s="5" t="s">
        <v>29836</v>
      </c>
      <c r="C3318" s="6" t="str">
        <f>HYPERLINK("https://www.ti.com/lit/gpn/CSD86330Q3D", "PDF")</f>
        <v>PDF</v>
      </c>
      <c r="D3318" s="5" t="s">
        <v>29837</v>
      </c>
      <c r="E3318" s="5" t="s">
        <v>29838</v>
      </c>
      <c r="F3318" s="5"/>
      <c r="G3318" s="5" t="s">
        <v>29839</v>
      </c>
      <c r="H3318" s="1" t="s">
        <v>29840</v>
      </c>
      <c r="I3318" s="5" t="s">
        <v>29841</v>
      </c>
      <c r="J3318" s="7">
        <v>8</v>
      </c>
      <c r="K3318" s="7">
        <v>10.89</v>
      </c>
      <c r="L3318" s="5" t="s">
        <v>29842</v>
      </c>
      <c r="M3318" s="7">
        <v>1.6</v>
      </c>
      <c r="N3318" s="7">
        <v>0.65</v>
      </c>
      <c r="O3318" s="7">
        <v>0.70499999999999996</v>
      </c>
      <c r="P3318" s="1" t="s">
        <v>29843</v>
      </c>
    </row>
    <row r="3319" spans="1:16" ht="17.05" x14ac:dyDescent="0.3">
      <c r="A3319" s="6" t="str">
        <f>HYPERLINK("https://www.ti.com/product/CSD96370Q5M", "CSD96370Q5M")</f>
        <v>CSD96370Q5M</v>
      </c>
      <c r="B3319" s="5" t="s">
        <v>29844</v>
      </c>
      <c r="C3319" s="6" t="str">
        <f>HYPERLINK("https://www.ti.com/lit/gpn/CSD96370Q5M", "PDF")</f>
        <v>PDF</v>
      </c>
      <c r="D3319" s="5" t="s">
        <v>29845</v>
      </c>
      <c r="E3319" s="5" t="s">
        <v>29846</v>
      </c>
      <c r="F3319" s="5"/>
      <c r="G3319" s="5" t="s">
        <v>29847</v>
      </c>
      <c r="H3319" s="1" t="s">
        <v>29848</v>
      </c>
      <c r="I3319" s="5" t="s">
        <v>29849</v>
      </c>
      <c r="J3319" s="7">
        <v>22</v>
      </c>
      <c r="K3319" s="7">
        <v>30</v>
      </c>
      <c r="L3319" s="5" t="s">
        <v>29850</v>
      </c>
      <c r="M3319" s="7">
        <v>1.5</v>
      </c>
      <c r="N3319" s="7">
        <v>0.5</v>
      </c>
      <c r="O3319" s="7">
        <v>1.3560000000000001</v>
      </c>
      <c r="P3319" s="1" t="s">
        <v>29851</v>
      </c>
    </row>
    <row r="3320" spans="1:16" ht="33.4" x14ac:dyDescent="0.3">
      <c r="A3320" s="6" t="str">
        <f>HYPERLINK("https://www.ti.com/product/TPS65910", "TPS65910")</f>
        <v>TPS65910</v>
      </c>
      <c r="B3320" s="5" t="s">
        <v>29852</v>
      </c>
      <c r="C3320" s="6" t="str">
        <f>HYPERLINK("https://www.ti.com/lit/gpn/TPS65910", "PDF")</f>
        <v>PDF</v>
      </c>
      <c r="D3320" s="5" t="s">
        <v>29853</v>
      </c>
      <c r="E3320" s="5" t="s">
        <v>29854</v>
      </c>
      <c r="F3320" s="5"/>
      <c r="G3320" s="5" t="s">
        <v>29855</v>
      </c>
      <c r="H3320" s="1" t="s">
        <v>29856</v>
      </c>
      <c r="I3320" s="5" t="s">
        <v>29857</v>
      </c>
      <c r="J3320" s="7">
        <v>48</v>
      </c>
      <c r="K3320" s="7">
        <v>36</v>
      </c>
      <c r="L3320" s="5" t="s">
        <v>29858</v>
      </c>
      <c r="M3320" s="7">
        <v>1</v>
      </c>
      <c r="N3320" s="7">
        <v>0.4</v>
      </c>
      <c r="O3320" s="7">
        <v>1.84</v>
      </c>
      <c r="P3320" s="1" t="s">
        <v>29859</v>
      </c>
    </row>
    <row r="3321" spans="1:16" ht="33.4" x14ac:dyDescent="0.3">
      <c r="A3321" s="6" t="str">
        <f>HYPERLINK("https://www.ti.com/product/SM74104", "SM74104")</f>
        <v>SM74104</v>
      </c>
      <c r="B3321" s="5" t="s">
        <v>29860</v>
      </c>
      <c r="C3321" s="6" t="str">
        <f>HYPERLINK("https://www.ti.com/lit/gpn/SM74104", "PDF")</f>
        <v>PDF</v>
      </c>
      <c r="D3321" s="5" t="s">
        <v>29861</v>
      </c>
      <c r="E3321" s="5" t="s">
        <v>29862</v>
      </c>
      <c r="F3321" s="5"/>
      <c r="G3321" s="5" t="s">
        <v>29863</v>
      </c>
      <c r="H3321" s="1" t="s">
        <v>29864</v>
      </c>
      <c r="I3321" s="5" t="s">
        <v>29865</v>
      </c>
      <c r="J3321" s="7" t="s">
        <v>29866</v>
      </c>
      <c r="K3321" s="7" t="s">
        <v>29867</v>
      </c>
      <c r="L3321" s="5" t="s">
        <v>29868</v>
      </c>
      <c r="M3321" s="7" t="s">
        <v>29869</v>
      </c>
      <c r="N3321" s="7" t="s">
        <v>29870</v>
      </c>
      <c r="O3321" s="7">
        <v>1.28</v>
      </c>
      <c r="P3321" s="1" t="s">
        <v>29871</v>
      </c>
    </row>
    <row r="3322" spans="1:16" ht="33.4" x14ac:dyDescent="0.3">
      <c r="A3322" s="6" t="str">
        <f>HYPERLINK("https://www.ti.com/product/UCD9222", "UCD9222")</f>
        <v>UCD9222</v>
      </c>
      <c r="B3322" s="5" t="s">
        <v>29872</v>
      </c>
      <c r="C3322" s="6" t="str">
        <f>HYPERLINK("https://www.ti.com/lit/gpn/UCD9222", "PDF")</f>
        <v>PDF</v>
      </c>
      <c r="D3322" s="5" t="s">
        <v>29873</v>
      </c>
      <c r="E3322" s="5" t="s">
        <v>29874</v>
      </c>
      <c r="F3322" s="5"/>
      <c r="G3322" s="5" t="s">
        <v>29875</v>
      </c>
      <c r="H3322" s="1" t="s">
        <v>29876</v>
      </c>
      <c r="I3322" s="5" t="s">
        <v>29877</v>
      </c>
      <c r="J3322" s="7">
        <v>48</v>
      </c>
      <c r="K3322" s="7">
        <v>49</v>
      </c>
      <c r="L3322" s="5" t="s">
        <v>29878</v>
      </c>
      <c r="M3322" s="7">
        <v>1</v>
      </c>
      <c r="N3322" s="7">
        <v>0.5</v>
      </c>
      <c r="O3322" s="7">
        <v>3.4910000000000001</v>
      </c>
      <c r="P3322" s="1" t="s">
        <v>29879</v>
      </c>
    </row>
    <row r="3323" spans="1:16" ht="33.4" x14ac:dyDescent="0.3">
      <c r="A3323" s="6" t="str">
        <f>HYPERLINK("https://www.ti.com/product/LP38691-ADJ-Q1", "LP38691-ADJ-Q1")</f>
        <v>LP38691-ADJ-Q1</v>
      </c>
      <c r="B3323" s="5" t="s">
        <v>29880</v>
      </c>
      <c r="C3323" s="6" t="str">
        <f>HYPERLINK("https://www.ti.com/lit/gpn/LP38691-ADJ-Q1", "PDF")</f>
        <v>PDF</v>
      </c>
      <c r="D3323" s="5" t="s">
        <v>29881</v>
      </c>
      <c r="E3323" s="5" t="s">
        <v>29882</v>
      </c>
      <c r="F3323" s="5"/>
      <c r="G3323" s="5" t="s">
        <v>29883</v>
      </c>
      <c r="H3323" s="1" t="s">
        <v>29884</v>
      </c>
      <c r="I3323" s="5" t="s">
        <v>29885</v>
      </c>
      <c r="J3323" s="7">
        <v>6</v>
      </c>
      <c r="K3323" s="7">
        <v>9</v>
      </c>
      <c r="L3323" s="5" t="s">
        <v>29886</v>
      </c>
      <c r="M3323" s="7">
        <v>0.8</v>
      </c>
      <c r="N3323" s="7">
        <v>0.95</v>
      </c>
      <c r="O3323" s="7">
        <v>0.65700000000000003</v>
      </c>
      <c r="P3323" s="1" t="s">
        <v>29887</v>
      </c>
    </row>
    <row r="3324" spans="1:16" ht="33.4" x14ac:dyDescent="0.3">
      <c r="A3324" s="6" t="str">
        <f>HYPERLINK("https://www.ti.com/product/LMZ14201H", "LMZ14201H")</f>
        <v>LMZ14201H</v>
      </c>
      <c r="B3324" s="5" t="s">
        <v>29888</v>
      </c>
      <c r="C3324" s="6" t="str">
        <f>HYPERLINK("https://www.ti.com/lit/gpn/LMZ14201H", "PDF")</f>
        <v>PDF</v>
      </c>
      <c r="D3324" s="5" t="s">
        <v>29889</v>
      </c>
      <c r="E3324" s="5" t="s">
        <v>29890</v>
      </c>
      <c r="F3324" s="5" t="s">
        <v>29891</v>
      </c>
      <c r="G3324" s="5" t="s">
        <v>29892</v>
      </c>
      <c r="H3324" s="1" t="s">
        <v>29893</v>
      </c>
      <c r="I3324" s="5" t="s">
        <v>29894</v>
      </c>
      <c r="J3324" s="7">
        <v>7</v>
      </c>
      <c r="K3324" s="7">
        <v>139.9032</v>
      </c>
      <c r="L3324" s="5" t="s">
        <v>29895</v>
      </c>
      <c r="M3324" s="7">
        <v>4.58</v>
      </c>
      <c r="N3324" s="7">
        <v>1.27</v>
      </c>
      <c r="O3324" s="7">
        <v>7.1630000000000003</v>
      </c>
      <c r="P3324" s="1" t="s">
        <v>29896</v>
      </c>
    </row>
    <row r="3325" spans="1:16" ht="33.4" x14ac:dyDescent="0.3">
      <c r="A3325" s="6" t="str">
        <f>HYPERLINK("https://www.ti.com/product/LMZ14202H", "LMZ14202H")</f>
        <v>LMZ14202H</v>
      </c>
      <c r="B3325" s="5" t="s">
        <v>29897</v>
      </c>
      <c r="C3325" s="6" t="str">
        <f>HYPERLINK("https://www.ti.com/lit/gpn/LMZ14202H", "PDF")</f>
        <v>PDF</v>
      </c>
      <c r="D3325" s="5" t="s">
        <v>29898</v>
      </c>
      <c r="E3325" s="5" t="s">
        <v>29899</v>
      </c>
      <c r="F3325" s="5" t="s">
        <v>29900</v>
      </c>
      <c r="G3325" s="5" t="s">
        <v>29901</v>
      </c>
      <c r="H3325" s="1" t="s">
        <v>29902</v>
      </c>
      <c r="I3325" s="5" t="s">
        <v>29903</v>
      </c>
      <c r="J3325" s="7">
        <v>7</v>
      </c>
      <c r="K3325" s="7">
        <v>139.9032</v>
      </c>
      <c r="L3325" s="5" t="s">
        <v>29904</v>
      </c>
      <c r="M3325" s="7">
        <v>4.58</v>
      </c>
      <c r="N3325" s="7">
        <v>1.27</v>
      </c>
      <c r="O3325" s="7">
        <v>7.44</v>
      </c>
      <c r="P3325" s="1" t="s">
        <v>29905</v>
      </c>
    </row>
    <row r="3326" spans="1:16" ht="33.4" x14ac:dyDescent="0.3">
      <c r="A3326" s="6" t="str">
        <f>HYPERLINK("https://www.ti.com/product/LMZ14203H", "LMZ14203H")</f>
        <v>LMZ14203H</v>
      </c>
      <c r="B3326" s="5" t="s">
        <v>29906</v>
      </c>
      <c r="C3326" s="6" t="str">
        <f>HYPERLINK("https://www.ti.com/lit/gpn/LMZ14203H", "PDF")</f>
        <v>PDF</v>
      </c>
      <c r="D3326" s="5" t="s">
        <v>29907</v>
      </c>
      <c r="E3326" s="5" t="s">
        <v>29908</v>
      </c>
      <c r="F3326" s="5" t="s">
        <v>29909</v>
      </c>
      <c r="G3326" s="5" t="s">
        <v>29910</v>
      </c>
      <c r="H3326" s="1" t="s">
        <v>29911</v>
      </c>
      <c r="I3326" s="5" t="s">
        <v>29912</v>
      </c>
      <c r="J3326" s="7">
        <v>7</v>
      </c>
      <c r="K3326" s="7">
        <v>139.9032</v>
      </c>
      <c r="L3326" s="5" t="s">
        <v>29913</v>
      </c>
      <c r="M3326" s="7">
        <v>4.58</v>
      </c>
      <c r="N3326" s="7">
        <v>1.27</v>
      </c>
      <c r="O3326" s="7">
        <v>10.409000000000001</v>
      </c>
      <c r="P3326" s="1" t="s">
        <v>29914</v>
      </c>
    </row>
    <row r="3327" spans="1:16" ht="33.4" x14ac:dyDescent="0.3">
      <c r="A3327" s="6" t="str">
        <f>HYPERLINK("https://www.ti.com/product/SM74101", "SM74101")</f>
        <v>SM74101</v>
      </c>
      <c r="B3327" s="5" t="s">
        <v>29915</v>
      </c>
      <c r="C3327" s="6" t="str">
        <f>HYPERLINK("https://www.ti.com/lit/gpn/SM74101", "PDF")</f>
        <v>PDF</v>
      </c>
      <c r="D3327" s="5" t="s">
        <v>29916</v>
      </c>
      <c r="E3327" s="5" t="s">
        <v>29917</v>
      </c>
      <c r="F3327" s="5"/>
      <c r="G3327" s="5" t="s">
        <v>29918</v>
      </c>
      <c r="H3327" s="1" t="s">
        <v>29919</v>
      </c>
      <c r="I3327" s="5" t="s">
        <v>29920</v>
      </c>
      <c r="J3327" s="7">
        <v>6</v>
      </c>
      <c r="K3327" s="7">
        <v>9</v>
      </c>
      <c r="L3327" s="5" t="s">
        <v>29921</v>
      </c>
      <c r="M3327" s="7">
        <v>0.8</v>
      </c>
      <c r="N3327" s="7">
        <v>0.95</v>
      </c>
      <c r="O3327" s="7">
        <v>0.63300000000000001</v>
      </c>
      <c r="P3327" s="1" t="s">
        <v>29922</v>
      </c>
    </row>
    <row r="3328" spans="1:16" ht="33.4" x14ac:dyDescent="0.3">
      <c r="A3328" s="6" t="str">
        <f>HYPERLINK("https://www.ti.com/product/TLV61225", "TLV61225")</f>
        <v>TLV61225</v>
      </c>
      <c r="B3328" s="5" t="s">
        <v>29923</v>
      </c>
      <c r="C3328" s="6" t="str">
        <f>HYPERLINK("https://www.ti.com/lit/gpn/TLV61225", "PDF")</f>
        <v>PDF</v>
      </c>
      <c r="D3328" s="5" t="s">
        <v>29924</v>
      </c>
      <c r="E3328" s="5" t="s">
        <v>29925</v>
      </c>
      <c r="F3328" s="5" t="s">
        <v>29926</v>
      </c>
      <c r="G3328" s="5" t="s">
        <v>29927</v>
      </c>
      <c r="H3328" s="1" t="s">
        <v>29928</v>
      </c>
      <c r="I3328" s="5" t="s">
        <v>29929</v>
      </c>
      <c r="J3328" s="7">
        <v>6</v>
      </c>
      <c r="K3328" s="7">
        <v>4.2</v>
      </c>
      <c r="L3328" s="5" t="s">
        <v>29930</v>
      </c>
      <c r="M3328" s="7">
        <v>1.1000000000000001</v>
      </c>
      <c r="N3328" s="7">
        <v>0.65</v>
      </c>
      <c r="O3328" s="7">
        <v>0.39</v>
      </c>
      <c r="P3328" s="1" t="s">
        <v>29931</v>
      </c>
    </row>
    <row r="3329" spans="1:16" ht="33.4" x14ac:dyDescent="0.3">
      <c r="A3329" s="6" t="str">
        <f>HYPERLINK("https://www.ti.com/product/TPS7A61-Q1", "TPS7A61-Q1")</f>
        <v>TPS7A61-Q1</v>
      </c>
      <c r="B3329" s="5" t="s">
        <v>29932</v>
      </c>
      <c r="C3329" s="6" t="str">
        <f>HYPERLINK("https://www.ti.com/lit/gpn/TPS7A61-Q1", "PDF")</f>
        <v>PDF</v>
      </c>
      <c r="D3329" s="5" t="s">
        <v>29933</v>
      </c>
      <c r="E3329" s="5" t="s">
        <v>29934</v>
      </c>
      <c r="F3329" s="5"/>
      <c r="G3329" s="5" t="s">
        <v>29935</v>
      </c>
      <c r="H3329" s="1" t="s">
        <v>29936</v>
      </c>
      <c r="I3329" s="5" t="s">
        <v>29937</v>
      </c>
      <c r="J3329" s="7">
        <v>5</v>
      </c>
      <c r="K3329" s="7">
        <v>66.725999999999999</v>
      </c>
      <c r="L3329" s="5" t="s">
        <v>29938</v>
      </c>
      <c r="M3329" s="7">
        <v>2.52</v>
      </c>
      <c r="N3329" s="7">
        <v>1.1399999999999999</v>
      </c>
      <c r="O3329" s="7">
        <v>1.21</v>
      </c>
      <c r="P3329" s="1" t="s">
        <v>29939</v>
      </c>
    </row>
    <row r="3330" spans="1:16" ht="33.4" x14ac:dyDescent="0.3">
      <c r="A3330" s="6" t="str">
        <f>HYPERLINK("https://www.ti.com/product/TPS53315", "TPS53315")</f>
        <v>TPS53315</v>
      </c>
      <c r="B3330" s="5" t="s">
        <v>29940</v>
      </c>
      <c r="C3330" s="6" t="str">
        <f>HYPERLINK("https://www.ti.com/lit/gpn/TPS53315", "PDF")</f>
        <v>PDF</v>
      </c>
      <c r="D3330" s="5" t="s">
        <v>29941</v>
      </c>
      <c r="E3330" s="5" t="s">
        <v>29942</v>
      </c>
      <c r="F3330" s="5" t="s">
        <v>29943</v>
      </c>
      <c r="G3330" s="5" t="s">
        <v>29944</v>
      </c>
      <c r="H3330" s="1" t="s">
        <v>29945</v>
      </c>
      <c r="I3330" s="5" t="s">
        <v>29946</v>
      </c>
      <c r="J3330" s="7">
        <v>40</v>
      </c>
      <c r="K3330" s="7">
        <v>35</v>
      </c>
      <c r="L3330" s="5" t="s">
        <v>29947</v>
      </c>
      <c r="M3330" s="7">
        <v>1</v>
      </c>
      <c r="N3330" s="7">
        <v>0.5</v>
      </c>
      <c r="O3330" s="7">
        <v>3.0609999999999999</v>
      </c>
      <c r="P3330" s="1" t="s">
        <v>29948</v>
      </c>
    </row>
    <row r="3331" spans="1:16" ht="33.4" x14ac:dyDescent="0.3">
      <c r="A3331" s="6" t="str">
        <f>HYPERLINK("https://www.ti.com/product/TPS54260-Q1", "TPS54260-Q1")</f>
        <v>TPS54260-Q1</v>
      </c>
      <c r="B3331" s="5" t="s">
        <v>29949</v>
      </c>
      <c r="C3331" s="6" t="str">
        <f>HYPERLINK("https://www.ti.com/lit/gpn/TPS54260-Q1", "PDF")</f>
        <v>PDF</v>
      </c>
      <c r="D3331" s="5" t="s">
        <v>29950</v>
      </c>
      <c r="E3331" s="5" t="s">
        <v>29951</v>
      </c>
      <c r="F3331" s="5" t="s">
        <v>29952</v>
      </c>
      <c r="G3331" s="5" t="s">
        <v>29953</v>
      </c>
      <c r="H3331" s="1" t="s">
        <v>29954</v>
      </c>
      <c r="I3331" s="5" t="s">
        <v>29955</v>
      </c>
      <c r="J3331" s="7">
        <v>10</v>
      </c>
      <c r="K3331" s="7" t="s">
        <v>29956</v>
      </c>
      <c r="L3331" s="5" t="s">
        <v>29957</v>
      </c>
      <c r="M3331" s="7" t="s">
        <v>29958</v>
      </c>
      <c r="N3331" s="7">
        <v>0.5</v>
      </c>
      <c r="O3331" s="7">
        <v>2.1549999999999998</v>
      </c>
      <c r="P3331" s="1" t="s">
        <v>29959</v>
      </c>
    </row>
    <row r="3332" spans="1:16" ht="49.75" x14ac:dyDescent="0.3">
      <c r="A3332" s="6" t="str">
        <f>HYPERLINK("https://www.ti.com/product/TPS61199", "TPS61199")</f>
        <v>TPS61199</v>
      </c>
      <c r="B3332" s="5" t="s">
        <v>29960</v>
      </c>
      <c r="C3332" s="6" t="str">
        <f>HYPERLINK("https://www.ti.com/lit/gpn/TPS61199", "PDF")</f>
        <v>PDF</v>
      </c>
      <c r="D3332" s="5" t="s">
        <v>29961</v>
      </c>
      <c r="E3332" s="5" t="s">
        <v>29962</v>
      </c>
      <c r="F3332" s="5" t="s">
        <v>29963</v>
      </c>
      <c r="G3332" s="5" t="s">
        <v>29964</v>
      </c>
      <c r="H3332" s="1" t="s">
        <v>29965</v>
      </c>
      <c r="I3332" s="5" t="s">
        <v>29966</v>
      </c>
      <c r="J3332" s="7">
        <v>20</v>
      </c>
      <c r="K3332" s="7" t="s">
        <v>29967</v>
      </c>
      <c r="L3332" s="5" t="s">
        <v>29968</v>
      </c>
      <c r="M3332" s="7" t="s">
        <v>29969</v>
      </c>
      <c r="N3332" s="7" t="s">
        <v>29970</v>
      </c>
      <c r="O3332" s="7">
        <v>0.60399999999999998</v>
      </c>
      <c r="P3332" s="1" t="s">
        <v>29971</v>
      </c>
    </row>
    <row r="3333" spans="1:16" ht="33.4" x14ac:dyDescent="0.3">
      <c r="A3333" s="6" t="str">
        <f>HYPERLINK("https://www.ti.com/product/TPS54240-Q1", "TPS54240-Q1")</f>
        <v>TPS54240-Q1</v>
      </c>
      <c r="B3333" s="5" t="s">
        <v>29972</v>
      </c>
      <c r="C3333" s="6" t="str">
        <f>HYPERLINK("https://www.ti.com/lit/gpn/TPS54240-Q1", "PDF")</f>
        <v>PDF</v>
      </c>
      <c r="D3333" s="5" t="s">
        <v>29973</v>
      </c>
      <c r="E3333" s="5" t="s">
        <v>29974</v>
      </c>
      <c r="F3333" s="5" t="s">
        <v>29975</v>
      </c>
      <c r="G3333" s="5" t="s">
        <v>29976</v>
      </c>
      <c r="H3333" s="1" t="s">
        <v>29977</v>
      </c>
      <c r="I3333" s="5" t="s">
        <v>29978</v>
      </c>
      <c r="J3333" s="7">
        <v>10</v>
      </c>
      <c r="K3333" s="7" t="s">
        <v>29979</v>
      </c>
      <c r="L3333" s="5" t="s">
        <v>29980</v>
      </c>
      <c r="M3333" s="7" t="s">
        <v>29981</v>
      </c>
      <c r="N3333" s="7">
        <v>0.5</v>
      </c>
      <c r="O3333" s="7">
        <v>1.7250000000000001</v>
      </c>
      <c r="P3333" s="1" t="s">
        <v>29982</v>
      </c>
    </row>
    <row r="3334" spans="1:16" ht="33.4" x14ac:dyDescent="0.3">
      <c r="A3334" s="6" t="str">
        <f>HYPERLINK("https://www.ti.com/product/TPS57140-Q1", "TPS57140-Q1")</f>
        <v>TPS57140-Q1</v>
      </c>
      <c r="B3334" s="5" t="s">
        <v>29983</v>
      </c>
      <c r="C3334" s="6" t="str">
        <f>HYPERLINK("https://www.ti.com/lit/gpn/TPS57140-Q1", "PDF")</f>
        <v>PDF</v>
      </c>
      <c r="D3334" s="5" t="s">
        <v>29984</v>
      </c>
      <c r="E3334" s="5" t="s">
        <v>29985</v>
      </c>
      <c r="F3334" s="5" t="s">
        <v>29986</v>
      </c>
      <c r="G3334" s="5" t="s">
        <v>29987</v>
      </c>
      <c r="H3334" s="1" t="s">
        <v>29988</v>
      </c>
      <c r="I3334" s="5" t="s">
        <v>29989</v>
      </c>
      <c r="J3334" s="7">
        <v>10</v>
      </c>
      <c r="K3334" s="7" t="s">
        <v>29990</v>
      </c>
      <c r="L3334" s="5" t="s">
        <v>29991</v>
      </c>
      <c r="M3334" s="7" t="s">
        <v>29992</v>
      </c>
      <c r="N3334" s="7">
        <v>0.5</v>
      </c>
      <c r="O3334" s="7">
        <v>1.482</v>
      </c>
      <c r="P3334" s="1" t="s">
        <v>29993</v>
      </c>
    </row>
    <row r="3335" spans="1:16" ht="33.4" x14ac:dyDescent="0.3">
      <c r="A3335" s="6" t="str">
        <f>HYPERLINK("https://www.ti.com/product/TPS57160-Q1", "TPS57160-Q1")</f>
        <v>TPS57160-Q1</v>
      </c>
      <c r="B3335" s="5" t="s">
        <v>29994</v>
      </c>
      <c r="C3335" s="6" t="str">
        <f>HYPERLINK("https://www.ti.com/lit/gpn/TPS57160-Q1", "PDF")</f>
        <v>PDF</v>
      </c>
      <c r="D3335" s="5" t="s">
        <v>29995</v>
      </c>
      <c r="E3335" s="5" t="s">
        <v>29996</v>
      </c>
      <c r="F3335" s="5" t="s">
        <v>29997</v>
      </c>
      <c r="G3335" s="5" t="s">
        <v>29998</v>
      </c>
      <c r="H3335" s="1" t="s">
        <v>29999</v>
      </c>
      <c r="I3335" s="5" t="s">
        <v>30000</v>
      </c>
      <c r="J3335" s="7">
        <v>10</v>
      </c>
      <c r="K3335" s="7" t="s">
        <v>30001</v>
      </c>
      <c r="L3335" s="5" t="s">
        <v>30002</v>
      </c>
      <c r="M3335" s="7" t="s">
        <v>30003</v>
      </c>
      <c r="N3335" s="7">
        <v>0.5</v>
      </c>
      <c r="O3335" s="7">
        <v>1.7170000000000001</v>
      </c>
      <c r="P3335" s="1" t="s">
        <v>30004</v>
      </c>
    </row>
    <row r="3336" spans="1:16" ht="33.4" x14ac:dyDescent="0.3">
      <c r="A3336" s="6" t="str">
        <f>HYPERLINK("https://www.ti.com/product/TPS57040-Q1", "TPS57040-Q1")</f>
        <v>TPS57040-Q1</v>
      </c>
      <c r="B3336" s="5" t="s">
        <v>30005</v>
      </c>
      <c r="C3336" s="6" t="str">
        <f>HYPERLINK("https://www.ti.com/lit/gpn/TPS57040-Q1", "PDF")</f>
        <v>PDF</v>
      </c>
      <c r="D3336" s="5" t="s">
        <v>30006</v>
      </c>
      <c r="E3336" s="5" t="s">
        <v>30007</v>
      </c>
      <c r="F3336" s="5" t="s">
        <v>30008</v>
      </c>
      <c r="G3336" s="5" t="s">
        <v>30009</v>
      </c>
      <c r="H3336" s="1" t="s">
        <v>30010</v>
      </c>
      <c r="I3336" s="5" t="s">
        <v>30011</v>
      </c>
      <c r="J3336" s="7">
        <v>10</v>
      </c>
      <c r="K3336" s="7" t="s">
        <v>30012</v>
      </c>
      <c r="L3336" s="5" t="s">
        <v>30013</v>
      </c>
      <c r="M3336" s="7" t="s">
        <v>30014</v>
      </c>
      <c r="N3336" s="7">
        <v>0.5</v>
      </c>
      <c r="O3336" s="7">
        <v>1.081</v>
      </c>
      <c r="P3336" s="1" t="s">
        <v>30015</v>
      </c>
    </row>
    <row r="3337" spans="1:16" ht="33.4" x14ac:dyDescent="0.3">
      <c r="A3337" s="6" t="str">
        <f>HYPERLINK("https://www.ti.com/product/TPS57060-Q1", "TPS57060-Q1")</f>
        <v>TPS57060-Q1</v>
      </c>
      <c r="B3337" s="5" t="s">
        <v>30016</v>
      </c>
      <c r="C3337" s="6" t="str">
        <f>HYPERLINK("https://www.ti.com/lit/gpn/TPS57060-Q1", "PDF")</f>
        <v>PDF</v>
      </c>
      <c r="D3337" s="5" t="s">
        <v>30017</v>
      </c>
      <c r="E3337" s="5" t="s">
        <v>30018</v>
      </c>
      <c r="F3337" s="5" t="s">
        <v>30019</v>
      </c>
      <c r="G3337" s="5" t="s">
        <v>30020</v>
      </c>
      <c r="H3337" s="1" t="s">
        <v>30021</v>
      </c>
      <c r="I3337" s="5" t="s">
        <v>30022</v>
      </c>
      <c r="J3337" s="7">
        <v>10</v>
      </c>
      <c r="K3337" s="7" t="s">
        <v>30023</v>
      </c>
      <c r="L3337" s="5" t="s">
        <v>30024</v>
      </c>
      <c r="M3337" s="7" t="s">
        <v>30025</v>
      </c>
      <c r="N3337" s="7">
        <v>0.5</v>
      </c>
      <c r="O3337" s="7">
        <v>1.4510000000000001</v>
      </c>
      <c r="P3337" s="1" t="s">
        <v>30026</v>
      </c>
    </row>
    <row r="3338" spans="1:16" ht="33.4" x14ac:dyDescent="0.3">
      <c r="A3338" s="6" t="str">
        <f>HYPERLINK("https://www.ti.com/product/TPS61240-Q1", "TPS61240-Q1")</f>
        <v>TPS61240-Q1</v>
      </c>
      <c r="B3338" s="5" t="s">
        <v>30027</v>
      </c>
      <c r="C3338" s="6" t="str">
        <f>HYPERLINK("https://www.ti.com/lit/gpn/TPS61240-Q1", "PDF")</f>
        <v>PDF</v>
      </c>
      <c r="D3338" s="5" t="s">
        <v>30028</v>
      </c>
      <c r="E3338" s="5" t="s">
        <v>30029</v>
      </c>
      <c r="F3338" s="5" t="s">
        <v>30030</v>
      </c>
      <c r="G3338" s="5" t="s">
        <v>30031</v>
      </c>
      <c r="H3338" s="1" t="s">
        <v>30032</v>
      </c>
      <c r="I3338" s="5" t="s">
        <v>30033</v>
      </c>
      <c r="J3338" s="7">
        <v>6</v>
      </c>
      <c r="K3338" s="7">
        <v>4</v>
      </c>
      <c r="L3338" s="5" t="s">
        <v>30034</v>
      </c>
      <c r="M3338" s="7">
        <v>0.8</v>
      </c>
      <c r="N3338" s="7">
        <v>0.65</v>
      </c>
      <c r="O3338" s="7">
        <v>0.81100000000000005</v>
      </c>
      <c r="P3338" s="1" t="s">
        <v>30035</v>
      </c>
    </row>
    <row r="3339" spans="1:16" ht="33.4" x14ac:dyDescent="0.3">
      <c r="A3339" s="6" t="str">
        <f>HYPERLINK("https://www.ti.com/product/TPS62590-Q1", "TPS62590-Q1")</f>
        <v>TPS62590-Q1</v>
      </c>
      <c r="B3339" s="5" t="s">
        <v>30036</v>
      </c>
      <c r="C3339" s="6" t="str">
        <f>HYPERLINK("https://www.ti.com/lit/gpn/TPS62590-Q1", "PDF")</f>
        <v>PDF</v>
      </c>
      <c r="D3339" s="5" t="s">
        <v>30037</v>
      </c>
      <c r="E3339" s="5" t="s">
        <v>30038</v>
      </c>
      <c r="F3339" s="5" t="s">
        <v>30039</v>
      </c>
      <c r="G3339" s="5" t="s">
        <v>30040</v>
      </c>
      <c r="H3339" s="1" t="s">
        <v>30041</v>
      </c>
      <c r="I3339" s="5" t="s">
        <v>30042</v>
      </c>
      <c r="J3339" s="7">
        <v>6</v>
      </c>
      <c r="K3339" s="7">
        <v>4</v>
      </c>
      <c r="L3339" s="5" t="s">
        <v>30043</v>
      </c>
      <c r="M3339" s="7">
        <v>0.8</v>
      </c>
      <c r="N3339" s="7">
        <v>0.65</v>
      </c>
      <c r="O3339" s="7">
        <v>0.76400000000000001</v>
      </c>
      <c r="P3339" s="1" t="s">
        <v>30044</v>
      </c>
    </row>
    <row r="3340" spans="1:16" ht="33.4" x14ac:dyDescent="0.3">
      <c r="A3340" s="6" t="str">
        <f>HYPERLINK("https://www.ti.com/product/TLC59282", "TLC59282")</f>
        <v>TLC59282</v>
      </c>
      <c r="B3340" s="5" t="s">
        <v>30045</v>
      </c>
      <c r="C3340" s="6" t="str">
        <f>HYPERLINK("https://www.ti.com/lit/gpn/TLC59282", "PDF")</f>
        <v>PDF</v>
      </c>
      <c r="D3340" s="5" t="s">
        <v>30046</v>
      </c>
      <c r="E3340" s="5" t="s">
        <v>30047</v>
      </c>
      <c r="F3340" s="5"/>
      <c r="G3340" s="5" t="s">
        <v>30048</v>
      </c>
      <c r="H3340" s="1" t="s">
        <v>30049</v>
      </c>
      <c r="I3340" s="5" t="s">
        <v>30050</v>
      </c>
      <c r="J3340" s="7">
        <v>24</v>
      </c>
      <c r="K3340" s="7" t="s">
        <v>30051</v>
      </c>
      <c r="L3340" s="5" t="s">
        <v>30052</v>
      </c>
      <c r="M3340" s="7" t="s">
        <v>30053</v>
      </c>
      <c r="N3340" s="7" t="s">
        <v>30054</v>
      </c>
      <c r="O3340" s="7">
        <v>0.51400000000000001</v>
      </c>
      <c r="P3340" s="1" t="s">
        <v>30055</v>
      </c>
    </row>
    <row r="3341" spans="1:16" ht="17.05" x14ac:dyDescent="0.3">
      <c r="A3341" s="6" t="str">
        <f>HYPERLINK("https://www.ti.com/product/LM25066", "LM25066")</f>
        <v>LM25066</v>
      </c>
      <c r="B3341" s="5" t="s">
        <v>30056</v>
      </c>
      <c r="C3341" s="6" t="str">
        <f>HYPERLINK("https://www.ti.com/lit/gpn/LM25066", "PDF")</f>
        <v>PDF</v>
      </c>
      <c r="D3341" s="5" t="s">
        <v>30057</v>
      </c>
      <c r="E3341" s="5" t="s">
        <v>30058</v>
      </c>
      <c r="F3341" s="5"/>
      <c r="G3341" s="5" t="s">
        <v>30059</v>
      </c>
      <c r="H3341" s="1" t="s">
        <v>30060</v>
      </c>
      <c r="I3341" s="5" t="s">
        <v>30061</v>
      </c>
      <c r="J3341" s="7">
        <v>24</v>
      </c>
      <c r="K3341" s="7">
        <v>20</v>
      </c>
      <c r="L3341" s="5" t="s">
        <v>30062</v>
      </c>
      <c r="M3341" s="7">
        <v>0.8</v>
      </c>
      <c r="N3341" s="7">
        <v>0.5</v>
      </c>
      <c r="O3341" s="7">
        <v>1.7090000000000001</v>
      </c>
      <c r="P3341" s="1" t="s">
        <v>30063</v>
      </c>
    </row>
    <row r="3342" spans="1:16" ht="33.4" x14ac:dyDescent="0.3">
      <c r="A3342" s="6" t="str">
        <f>HYPERLINK("https://www.ti.com/product/LM25066A", "LM25066A")</f>
        <v>LM25066A</v>
      </c>
      <c r="B3342" s="5" t="s">
        <v>30064</v>
      </c>
      <c r="C3342" s="6" t="str">
        <f>HYPERLINK("https://www.ti.com/lit/gpn/LM25066A", "PDF")</f>
        <v>PDF</v>
      </c>
      <c r="D3342" s="5" t="s">
        <v>30065</v>
      </c>
      <c r="E3342" s="5" t="s">
        <v>30066</v>
      </c>
      <c r="F3342" s="5"/>
      <c r="G3342" s="5" t="s">
        <v>30067</v>
      </c>
      <c r="H3342" s="1" t="s">
        <v>30068</v>
      </c>
      <c r="I3342" s="5" t="s">
        <v>30069</v>
      </c>
      <c r="J3342" s="7">
        <v>24</v>
      </c>
      <c r="K3342" s="7">
        <v>20</v>
      </c>
      <c r="L3342" s="5" t="s">
        <v>30070</v>
      </c>
      <c r="M3342" s="7">
        <v>0.8</v>
      </c>
      <c r="N3342" s="7">
        <v>0.5</v>
      </c>
      <c r="O3342" s="7">
        <v>2.2589999999999999</v>
      </c>
      <c r="P3342" s="1" t="s">
        <v>30071</v>
      </c>
    </row>
    <row r="3343" spans="1:16" ht="33.4" x14ac:dyDescent="0.3">
      <c r="A3343" s="6" t="str">
        <f>HYPERLINK("https://www.ti.com/product/TPS51461", "TPS51461")</f>
        <v>TPS51461</v>
      </c>
      <c r="B3343" s="5" t="s">
        <v>30072</v>
      </c>
      <c r="C3343" s="6" t="str">
        <f>HYPERLINK("https://www.ti.com/lit/gpn/TPS51461", "PDF")</f>
        <v>PDF</v>
      </c>
      <c r="D3343" s="5" t="s">
        <v>30073</v>
      </c>
      <c r="E3343" s="5" t="s">
        <v>30074</v>
      </c>
      <c r="F3343" s="5" t="s">
        <v>30075</v>
      </c>
      <c r="G3343" s="5" t="s">
        <v>30076</v>
      </c>
      <c r="H3343" s="1" t="s">
        <v>30077</v>
      </c>
      <c r="I3343" s="5" t="s">
        <v>30078</v>
      </c>
      <c r="J3343" s="7">
        <v>24</v>
      </c>
      <c r="K3343" s="7">
        <v>16</v>
      </c>
      <c r="L3343" s="5" t="s">
        <v>30079</v>
      </c>
      <c r="M3343" s="7">
        <v>1</v>
      </c>
      <c r="N3343" s="7">
        <v>0.5</v>
      </c>
      <c r="O3343" s="7">
        <v>3.2839999999999998</v>
      </c>
      <c r="P3343" s="1" t="s">
        <v>30080</v>
      </c>
    </row>
    <row r="3344" spans="1:16" ht="33.4" x14ac:dyDescent="0.3">
      <c r="A3344" s="6" t="str">
        <f>HYPERLINK("https://www.ti.com/product/TPS53310", "TPS53310")</f>
        <v>TPS53310</v>
      </c>
      <c r="B3344" s="5" t="s">
        <v>30081</v>
      </c>
      <c r="C3344" s="6" t="str">
        <f>HYPERLINK("https://www.ti.com/lit/gpn/TPS53310", "PDF")</f>
        <v>PDF</v>
      </c>
      <c r="D3344" s="5" t="s">
        <v>30082</v>
      </c>
      <c r="E3344" s="5" t="s">
        <v>30083</v>
      </c>
      <c r="F3344" s="5" t="s">
        <v>30084</v>
      </c>
      <c r="G3344" s="5" t="s">
        <v>30085</v>
      </c>
      <c r="H3344" s="1" t="s">
        <v>30086</v>
      </c>
      <c r="I3344" s="5" t="s">
        <v>30087</v>
      </c>
      <c r="J3344" s="7">
        <v>16</v>
      </c>
      <c r="K3344" s="7">
        <v>9</v>
      </c>
      <c r="L3344" s="5" t="s">
        <v>30088</v>
      </c>
      <c r="M3344" s="7">
        <v>1</v>
      </c>
      <c r="N3344" s="7">
        <v>0.5</v>
      </c>
      <c r="O3344" s="7">
        <v>1.615</v>
      </c>
      <c r="P3344" s="1" t="s">
        <v>30089</v>
      </c>
    </row>
    <row r="3345" spans="1:16" ht="33.4" x14ac:dyDescent="0.3">
      <c r="A3345" s="6" t="str">
        <f>HYPERLINK("https://www.ti.com/product/TPS53321", "TPS53321")</f>
        <v>TPS53321</v>
      </c>
      <c r="B3345" s="5" t="s">
        <v>30090</v>
      </c>
      <c r="C3345" s="6" t="str">
        <f>HYPERLINK("https://www.ti.com/lit/gpn/TPS53321", "PDF")</f>
        <v>PDF</v>
      </c>
      <c r="D3345" s="5" t="s">
        <v>30091</v>
      </c>
      <c r="E3345" s="5" t="s">
        <v>30092</v>
      </c>
      <c r="F3345" s="5" t="s">
        <v>30093</v>
      </c>
      <c r="G3345" s="5" t="s">
        <v>30094</v>
      </c>
      <c r="H3345" s="1" t="s">
        <v>30095</v>
      </c>
      <c r="I3345" s="5" t="s">
        <v>30096</v>
      </c>
      <c r="J3345" s="7">
        <v>16</v>
      </c>
      <c r="K3345" s="7">
        <v>9</v>
      </c>
      <c r="L3345" s="5" t="s">
        <v>30097</v>
      </c>
      <c r="M3345" s="7">
        <v>1</v>
      </c>
      <c r="N3345" s="7">
        <v>0.5</v>
      </c>
      <c r="O3345" s="7">
        <v>0.94199999999999995</v>
      </c>
      <c r="P3345" s="1" t="s">
        <v>30098</v>
      </c>
    </row>
    <row r="3346" spans="1:16" ht="33.4" x14ac:dyDescent="0.3">
      <c r="A3346" s="6" t="str">
        <f>HYPERLINK("https://www.ti.com/product/TPS5401", "TPS5401")</f>
        <v>TPS5401</v>
      </c>
      <c r="B3346" s="5" t="s">
        <v>30099</v>
      </c>
      <c r="C3346" s="6" t="str">
        <f>HYPERLINK("https://www.ti.com/lit/gpn/TPS5401", "PDF")</f>
        <v>PDF</v>
      </c>
      <c r="D3346" s="5" t="s">
        <v>30100</v>
      </c>
      <c r="E3346" s="5" t="s">
        <v>30101</v>
      </c>
      <c r="F3346" s="5" t="s">
        <v>30102</v>
      </c>
      <c r="G3346" s="5" t="s">
        <v>30103</v>
      </c>
      <c r="H3346" s="1" t="s">
        <v>30104</v>
      </c>
      <c r="I3346" s="5" t="s">
        <v>30105</v>
      </c>
      <c r="J3346" s="7">
        <v>10</v>
      </c>
      <c r="K3346" s="7">
        <v>14.7</v>
      </c>
      <c r="L3346" s="5" t="s">
        <v>30106</v>
      </c>
      <c r="M3346" s="7">
        <v>1.1000000000000001</v>
      </c>
      <c r="N3346" s="7">
        <v>0.5</v>
      </c>
      <c r="O3346" s="7">
        <v>0.80500000000000005</v>
      </c>
      <c r="P3346" s="1" t="s">
        <v>30107</v>
      </c>
    </row>
    <row r="3347" spans="1:16" ht="33.4" x14ac:dyDescent="0.3">
      <c r="A3347" s="6" t="str">
        <f>HYPERLINK("https://www.ti.com/product/UCC28600-Q1", "UCC28600-Q1")</f>
        <v>UCC28600-Q1</v>
      </c>
      <c r="B3347" s="5" t="s">
        <v>30108</v>
      </c>
      <c r="C3347" s="6" t="str">
        <f>HYPERLINK("https://www.ti.com/lit/gpn/UCC28600-Q1", "PDF")</f>
        <v>PDF</v>
      </c>
      <c r="D3347" s="5" t="s">
        <v>30109</v>
      </c>
      <c r="E3347" s="5" t="s">
        <v>30110</v>
      </c>
      <c r="F3347" s="5" t="s">
        <v>30111</v>
      </c>
      <c r="G3347" s="5" t="s">
        <v>30112</v>
      </c>
      <c r="H3347" s="1" t="s">
        <v>30113</v>
      </c>
      <c r="I3347" s="5" t="s">
        <v>30114</v>
      </c>
      <c r="J3347" s="7">
        <v>8</v>
      </c>
      <c r="K3347" s="7">
        <v>29.4</v>
      </c>
      <c r="L3347" s="5" t="s">
        <v>30115</v>
      </c>
      <c r="M3347" s="7">
        <v>1.75</v>
      </c>
      <c r="N3347" s="7">
        <v>1.27</v>
      </c>
      <c r="O3347" s="7">
        <v>0.42799999999999999</v>
      </c>
      <c r="P3347" s="1" t="s">
        <v>30116</v>
      </c>
    </row>
    <row r="3348" spans="1:16" ht="33.4" x14ac:dyDescent="0.3">
      <c r="A3348" s="6" t="str">
        <f>HYPERLINK("https://www.ti.com/product/CSD17505Q5A", "CSD17505Q5A")</f>
        <v>CSD17505Q5A</v>
      </c>
      <c r="B3348" s="5" t="s">
        <v>30117</v>
      </c>
      <c r="C3348" s="6" t="str">
        <f>HYPERLINK("https://www.ti.com/lit/gpn/CSD17505Q5A", "PDF")</f>
        <v>PDF</v>
      </c>
      <c r="D3348" s="5" t="s">
        <v>30118</v>
      </c>
      <c r="E3348" s="5" t="s">
        <v>30119</v>
      </c>
      <c r="F3348" s="5"/>
      <c r="G3348" s="5" t="s">
        <v>30120</v>
      </c>
      <c r="H3348" s="1" t="s">
        <v>30121</v>
      </c>
      <c r="I3348" s="5" t="s">
        <v>30122</v>
      </c>
      <c r="J3348" s="7">
        <v>8</v>
      </c>
      <c r="K3348" s="7">
        <v>29.4</v>
      </c>
      <c r="L3348" s="5" t="s">
        <v>30123</v>
      </c>
      <c r="M3348" s="7">
        <v>1.1000000000000001</v>
      </c>
      <c r="N3348" s="7">
        <v>1.27</v>
      </c>
      <c r="O3348" s="7">
        <v>0.53500000000000003</v>
      </c>
      <c r="P3348" s="1" t="s">
        <v>30124</v>
      </c>
    </row>
    <row r="3349" spans="1:16" ht="33.4" x14ac:dyDescent="0.3">
      <c r="A3349" s="6" t="str">
        <f>HYPERLINK("https://www.ti.com/product/TLV62065", "TLV62065")</f>
        <v>TLV62065</v>
      </c>
      <c r="B3349" s="5" t="s">
        <v>30125</v>
      </c>
      <c r="C3349" s="6" t="str">
        <f>HYPERLINK("https://www.ti.com/lit/gpn/TLV62065", "PDF")</f>
        <v>PDF</v>
      </c>
      <c r="D3349" s="5" t="s">
        <v>30126</v>
      </c>
      <c r="E3349" s="5" t="s">
        <v>30127</v>
      </c>
      <c r="F3349" s="5" t="s">
        <v>30128</v>
      </c>
      <c r="G3349" s="5" t="s">
        <v>30129</v>
      </c>
      <c r="H3349" s="1" t="s">
        <v>30130</v>
      </c>
      <c r="I3349" s="5" t="s">
        <v>30131</v>
      </c>
      <c r="J3349" s="7">
        <v>8</v>
      </c>
      <c r="K3349" s="7">
        <v>4</v>
      </c>
      <c r="L3349" s="5" t="s">
        <v>30132</v>
      </c>
      <c r="M3349" s="7">
        <v>0.8</v>
      </c>
      <c r="N3349" s="7">
        <v>0.5</v>
      </c>
      <c r="O3349" s="7">
        <v>0.623</v>
      </c>
      <c r="P3349" s="1" t="s">
        <v>30133</v>
      </c>
    </row>
    <row r="3350" spans="1:16" ht="33.4" x14ac:dyDescent="0.3">
      <c r="A3350" s="6" t="str">
        <f>HYPERLINK("https://www.ti.com/product/TPS51211", "TPS51211")</f>
        <v>TPS51211</v>
      </c>
      <c r="B3350" s="5" t="s">
        <v>30134</v>
      </c>
      <c r="C3350" s="6" t="str">
        <f>HYPERLINK("https://www.ti.com/lit/gpn/TPS51211", "PDF")</f>
        <v>PDF</v>
      </c>
      <c r="D3350" s="5" t="s">
        <v>30135</v>
      </c>
      <c r="E3350" s="5" t="s">
        <v>30136</v>
      </c>
      <c r="F3350" s="5" t="s">
        <v>30137</v>
      </c>
      <c r="G3350" s="5" t="s">
        <v>30138</v>
      </c>
      <c r="H3350" s="1" t="s">
        <v>30139</v>
      </c>
      <c r="I3350" s="5" t="s">
        <v>30140</v>
      </c>
      <c r="J3350" s="7">
        <v>10</v>
      </c>
      <c r="K3350" s="7">
        <v>9</v>
      </c>
      <c r="L3350" s="5" t="s">
        <v>30141</v>
      </c>
      <c r="M3350" s="7">
        <v>0.8</v>
      </c>
      <c r="N3350" s="7">
        <v>0.5</v>
      </c>
      <c r="O3350" s="7">
        <v>1.3360000000000001</v>
      </c>
      <c r="P3350" s="1" t="s">
        <v>30142</v>
      </c>
    </row>
    <row r="3351" spans="1:16" ht="33.4" x14ac:dyDescent="0.3">
      <c r="A3351" s="6" t="str">
        <f>HYPERLINK("https://www.ti.com/product/TPS51916", "TPS51916")</f>
        <v>TPS51916</v>
      </c>
      <c r="B3351" s="5" t="s">
        <v>30143</v>
      </c>
      <c r="C3351" s="6" t="str">
        <f>HYPERLINK("https://www.ti.com/lit/gpn/TPS51916", "PDF")</f>
        <v>PDF</v>
      </c>
      <c r="D3351" s="5" t="s">
        <v>30144</v>
      </c>
      <c r="E3351" s="5" t="s">
        <v>30145</v>
      </c>
      <c r="F3351" s="5"/>
      <c r="G3351" s="5" t="s">
        <v>30146</v>
      </c>
      <c r="H3351" s="1" t="s">
        <v>30147</v>
      </c>
      <c r="I3351" s="5" t="s">
        <v>30148</v>
      </c>
      <c r="J3351" s="7">
        <v>20</v>
      </c>
      <c r="K3351" s="7">
        <v>9</v>
      </c>
      <c r="L3351" s="5" t="s">
        <v>30149</v>
      </c>
      <c r="M3351" s="7">
        <v>0.8</v>
      </c>
      <c r="N3351" s="7">
        <v>0.4</v>
      </c>
      <c r="O3351" s="7">
        <v>0.53600000000000003</v>
      </c>
      <c r="P3351" s="1" t="s">
        <v>30150</v>
      </c>
    </row>
    <row r="3352" spans="1:16" ht="33.4" x14ac:dyDescent="0.3">
      <c r="A3352" s="6" t="str">
        <f>HYPERLINK("https://www.ti.com/product/TPS51216", "TPS51216")</f>
        <v>TPS51216</v>
      </c>
      <c r="B3352" s="5" t="s">
        <v>30151</v>
      </c>
      <c r="C3352" s="6" t="str">
        <f>HYPERLINK("https://www.ti.com/lit/gpn/TPS51216", "PDF")</f>
        <v>PDF</v>
      </c>
      <c r="D3352" s="5" t="s">
        <v>30152</v>
      </c>
      <c r="E3352" s="5" t="s">
        <v>30153</v>
      </c>
      <c r="F3352" s="5"/>
      <c r="G3352" s="5" t="s">
        <v>30154</v>
      </c>
      <c r="H3352" s="1" t="s">
        <v>30155</v>
      </c>
      <c r="I3352" s="5" t="s">
        <v>30156</v>
      </c>
      <c r="J3352" s="7">
        <v>20</v>
      </c>
      <c r="K3352" s="7">
        <v>9</v>
      </c>
      <c r="L3352" s="5" t="s">
        <v>30157</v>
      </c>
      <c r="M3352" s="7">
        <v>0.8</v>
      </c>
      <c r="N3352" s="7">
        <v>0.4</v>
      </c>
      <c r="O3352" s="7">
        <v>0.22</v>
      </c>
      <c r="P3352" s="1" t="s">
        <v>30158</v>
      </c>
    </row>
    <row r="3353" spans="1:16" ht="33.4" x14ac:dyDescent="0.3">
      <c r="A3353" s="6" t="str">
        <f>HYPERLINK("https://www.ti.com/product/UCD9244", "UCD9244")</f>
        <v>UCD9244</v>
      </c>
      <c r="B3353" s="5" t="s">
        <v>30159</v>
      </c>
      <c r="C3353" s="6" t="str">
        <f>HYPERLINK("https://www.ti.com/lit/gpn/UCD9244", "PDF")</f>
        <v>PDF</v>
      </c>
      <c r="D3353" s="5" t="s">
        <v>30160</v>
      </c>
      <c r="E3353" s="5" t="s">
        <v>30161</v>
      </c>
      <c r="F3353" s="5"/>
      <c r="G3353" s="5" t="s">
        <v>30162</v>
      </c>
      <c r="H3353" s="1" t="s">
        <v>30163</v>
      </c>
      <c r="I3353" s="5" t="s">
        <v>30164</v>
      </c>
      <c r="J3353" s="7">
        <v>64</v>
      </c>
      <c r="K3353" s="7">
        <v>81</v>
      </c>
      <c r="L3353" s="5" t="s">
        <v>30165</v>
      </c>
      <c r="M3353" s="7">
        <v>1</v>
      </c>
      <c r="N3353" s="7">
        <v>0.5</v>
      </c>
      <c r="O3353" s="7">
        <v>4.8419999999999996</v>
      </c>
      <c r="P3353" s="1" t="s">
        <v>30166</v>
      </c>
    </row>
    <row r="3354" spans="1:16" ht="33.4" x14ac:dyDescent="0.3">
      <c r="A3354" s="6" t="str">
        <f>HYPERLINK("https://www.ti.com/product/TPS54328", "TPS54328")</f>
        <v>TPS54328</v>
      </c>
      <c r="B3354" s="5" t="s">
        <v>30167</v>
      </c>
      <c r="C3354" s="6" t="str">
        <f>HYPERLINK("https://www.ti.com/lit/gpn/TPS54328", "PDF")</f>
        <v>PDF</v>
      </c>
      <c r="D3354" s="5" t="s">
        <v>30168</v>
      </c>
      <c r="E3354" s="5" t="s">
        <v>30169</v>
      </c>
      <c r="F3354" s="5" t="s">
        <v>30170</v>
      </c>
      <c r="G3354" s="5" t="s">
        <v>30171</v>
      </c>
      <c r="H3354" s="1" t="s">
        <v>30172</v>
      </c>
      <c r="I3354" s="5" t="s">
        <v>30173</v>
      </c>
      <c r="J3354" s="7" t="s">
        <v>30174</v>
      </c>
      <c r="K3354" s="7" t="s">
        <v>30175</v>
      </c>
      <c r="L3354" s="5" t="s">
        <v>30176</v>
      </c>
      <c r="M3354" s="7" t="s">
        <v>30177</v>
      </c>
      <c r="N3354" s="7" t="s">
        <v>30178</v>
      </c>
      <c r="O3354" s="7">
        <v>0.501</v>
      </c>
      <c r="P3354" s="1" t="s">
        <v>30179</v>
      </c>
    </row>
    <row r="3355" spans="1:16" ht="33.4" x14ac:dyDescent="0.3">
      <c r="A3355" s="6" t="str">
        <f>HYPERLINK("https://www.ti.com/product/TPS54327", "TPS54327")</f>
        <v>TPS54327</v>
      </c>
      <c r="B3355" s="5" t="s">
        <v>30180</v>
      </c>
      <c r="C3355" s="6" t="str">
        <f>HYPERLINK("https://www.ti.com/lit/gpn/TPS54327", "PDF")</f>
        <v>PDF</v>
      </c>
      <c r="D3355" s="5" t="s">
        <v>30181</v>
      </c>
      <c r="E3355" s="5" t="s">
        <v>30182</v>
      </c>
      <c r="F3355" s="5" t="s">
        <v>30183</v>
      </c>
      <c r="G3355" s="5" t="s">
        <v>30184</v>
      </c>
      <c r="H3355" s="1" t="s">
        <v>30185</v>
      </c>
      <c r="I3355" s="5" t="s">
        <v>30186</v>
      </c>
      <c r="J3355" s="7" t="s">
        <v>30187</v>
      </c>
      <c r="K3355" s="7" t="s">
        <v>30188</v>
      </c>
      <c r="L3355" s="5" t="s">
        <v>30189</v>
      </c>
      <c r="M3355" s="7" t="s">
        <v>30190</v>
      </c>
      <c r="N3355" s="7" t="s">
        <v>30191</v>
      </c>
      <c r="O3355" s="7">
        <v>0.48099999999999998</v>
      </c>
      <c r="P3355" s="1" t="s">
        <v>30192</v>
      </c>
    </row>
    <row r="3356" spans="1:16" ht="33.4" x14ac:dyDescent="0.3">
      <c r="A3356" s="6" t="str">
        <f>HYPERLINK("https://www.ti.com/product/TPS54618", "TPS54618")</f>
        <v>TPS54618</v>
      </c>
      <c r="B3356" s="5" t="s">
        <v>30193</v>
      </c>
      <c r="C3356" s="6" t="str">
        <f>HYPERLINK("https://www.ti.com/lit/gpn/TPS54618", "PDF")</f>
        <v>PDF</v>
      </c>
      <c r="D3356" s="5" t="s">
        <v>30194</v>
      </c>
      <c r="E3356" s="5" t="s">
        <v>30195</v>
      </c>
      <c r="F3356" s="5" t="s">
        <v>30196</v>
      </c>
      <c r="G3356" s="5" t="s">
        <v>30197</v>
      </c>
      <c r="H3356" s="1" t="s">
        <v>30198</v>
      </c>
      <c r="I3356" s="5" t="s">
        <v>30199</v>
      </c>
      <c r="J3356" s="7">
        <v>16</v>
      </c>
      <c r="K3356" s="7">
        <v>9</v>
      </c>
      <c r="L3356" s="5" t="s">
        <v>30200</v>
      </c>
      <c r="M3356" s="7">
        <v>0.8</v>
      </c>
      <c r="N3356" s="7">
        <v>0.5</v>
      </c>
      <c r="O3356" s="7">
        <v>1.5640000000000001</v>
      </c>
      <c r="P3356" s="1" t="s">
        <v>30201</v>
      </c>
    </row>
    <row r="3357" spans="1:16" ht="33.4" x14ac:dyDescent="0.3">
      <c r="A3357" s="6" t="str">
        <f>HYPERLINK("https://www.ti.com/product/LM3450", "LM3450")</f>
        <v>LM3450</v>
      </c>
      <c r="B3357" s="5" t="s">
        <v>30202</v>
      </c>
      <c r="C3357" s="6" t="str">
        <f>HYPERLINK("https://www.ti.com/lit/gpn/LM3450", "PDF")</f>
        <v>PDF</v>
      </c>
      <c r="D3357" s="5" t="s">
        <v>30203</v>
      </c>
      <c r="E3357" s="5" t="s">
        <v>30204</v>
      </c>
      <c r="F3357" s="5" t="s">
        <v>30205</v>
      </c>
      <c r="G3357" s="5" t="s">
        <v>30206</v>
      </c>
      <c r="H3357" s="1" t="s">
        <v>30207</v>
      </c>
      <c r="I3357" s="5" t="s">
        <v>30208</v>
      </c>
      <c r="J3357" s="7">
        <v>16</v>
      </c>
      <c r="K3357" s="7">
        <v>32</v>
      </c>
      <c r="L3357" s="5" t="s">
        <v>30209</v>
      </c>
      <c r="M3357" s="7">
        <v>1.2</v>
      </c>
      <c r="N3357" s="7">
        <v>0.65</v>
      </c>
      <c r="O3357" s="7">
        <v>0.69</v>
      </c>
      <c r="P3357" s="1" t="s">
        <v>30210</v>
      </c>
    </row>
    <row r="3358" spans="1:16" ht="33.4" x14ac:dyDescent="0.3">
      <c r="A3358" s="6" t="str">
        <f>HYPERLINK("https://www.ti.com/product/LM3464A", "LM3464A")</f>
        <v>LM3464A</v>
      </c>
      <c r="B3358" s="5" t="s">
        <v>30211</v>
      </c>
      <c r="C3358" s="6" t="str">
        <f>HYPERLINK("https://www.ti.com/lit/gpn/LM3464A", "PDF")</f>
        <v>PDF</v>
      </c>
      <c r="D3358" s="5" t="s">
        <v>30212</v>
      </c>
      <c r="E3358" s="5" t="s">
        <v>30213</v>
      </c>
      <c r="F3358" s="5" t="s">
        <v>30214</v>
      </c>
      <c r="G3358" s="5" t="s">
        <v>30215</v>
      </c>
      <c r="H3358" s="1" t="s">
        <v>30216</v>
      </c>
      <c r="I3358" s="5" t="s">
        <v>30217</v>
      </c>
      <c r="J3358" s="7">
        <v>28</v>
      </c>
      <c r="K3358" s="7">
        <v>62.08</v>
      </c>
      <c r="L3358" s="5" t="s">
        <v>30218</v>
      </c>
      <c r="M3358" s="7">
        <v>1.2</v>
      </c>
      <c r="N3358" s="7">
        <v>0.65</v>
      </c>
      <c r="O3358" s="7">
        <v>2.5299999999999998</v>
      </c>
      <c r="P3358" s="1" t="s">
        <v>30219</v>
      </c>
    </row>
    <row r="3359" spans="1:16" ht="33.4" x14ac:dyDescent="0.3">
      <c r="A3359" s="6" t="str">
        <f>HYPERLINK("https://www.ti.com/product/TPS54331-Q1", "TPS54331-Q1")</f>
        <v>TPS54331-Q1</v>
      </c>
      <c r="B3359" s="5" t="s">
        <v>30220</v>
      </c>
      <c r="C3359" s="6" t="str">
        <f>HYPERLINK("https://www.ti.com/lit/gpn/TPS54331-Q1", "PDF")</f>
        <v>PDF</v>
      </c>
      <c r="D3359" s="5" t="s">
        <v>30221</v>
      </c>
      <c r="E3359" s="5" t="s">
        <v>30222</v>
      </c>
      <c r="F3359" s="5" t="s">
        <v>30223</v>
      </c>
      <c r="G3359" s="5" t="s">
        <v>30224</v>
      </c>
      <c r="H3359" s="1" t="s">
        <v>30225</v>
      </c>
      <c r="I3359" s="5" t="s">
        <v>30226</v>
      </c>
      <c r="J3359" s="7">
        <v>8</v>
      </c>
      <c r="K3359" s="7">
        <v>29.4</v>
      </c>
      <c r="L3359" s="5" t="s">
        <v>30227</v>
      </c>
      <c r="M3359" s="7">
        <v>1.75</v>
      </c>
      <c r="N3359" s="7">
        <v>1.27</v>
      </c>
      <c r="O3359" s="7">
        <v>1.5049999999999999</v>
      </c>
      <c r="P3359" s="1" t="s">
        <v>30228</v>
      </c>
    </row>
    <row r="3360" spans="1:16" ht="33.4" x14ac:dyDescent="0.3">
      <c r="A3360" s="6" t="str">
        <f>HYPERLINK("https://www.ti.com/product/LM3444", "LM3444")</f>
        <v>LM3444</v>
      </c>
      <c r="B3360" s="5" t="s">
        <v>30229</v>
      </c>
      <c r="C3360" s="6" t="str">
        <f>HYPERLINK("https://www.ti.com/lit/gpn/LM3444", "PDF")</f>
        <v>PDF</v>
      </c>
      <c r="D3360" s="5" t="s">
        <v>30230</v>
      </c>
      <c r="E3360" s="5" t="s">
        <v>30231</v>
      </c>
      <c r="F3360" s="5" t="s">
        <v>30232</v>
      </c>
      <c r="G3360" s="5" t="s">
        <v>30233</v>
      </c>
      <c r="H3360" s="1" t="s">
        <v>30234</v>
      </c>
      <c r="I3360" s="5" t="s">
        <v>30235</v>
      </c>
      <c r="J3360" s="7" t="s">
        <v>30236</v>
      </c>
      <c r="K3360" s="7" t="s">
        <v>30237</v>
      </c>
      <c r="L3360" s="5" t="s">
        <v>30238</v>
      </c>
      <c r="M3360" s="7" t="s">
        <v>30239</v>
      </c>
      <c r="N3360" s="7" t="s">
        <v>30240</v>
      </c>
      <c r="O3360" s="7">
        <v>0.40300000000000002</v>
      </c>
      <c r="P3360" s="1" t="s">
        <v>30241</v>
      </c>
    </row>
    <row r="3361" spans="1:16" ht="33.4" x14ac:dyDescent="0.3">
      <c r="A3361" s="6" t="str">
        <f>HYPERLINK("https://www.ti.com/product/TPS61301", "TPS61301")</f>
        <v>TPS61301</v>
      </c>
      <c r="B3361" s="5" t="s">
        <v>30242</v>
      </c>
      <c r="C3361" s="6" t="str">
        <f>HYPERLINK("https://www.ti.com/lit/gpn/TPS61301", "PDF")</f>
        <v>PDF</v>
      </c>
      <c r="D3361" s="5" t="s">
        <v>30243</v>
      </c>
      <c r="E3361" s="5" t="s">
        <v>30244</v>
      </c>
      <c r="F3361" s="5" t="s">
        <v>30245</v>
      </c>
      <c r="G3361" s="5" t="s">
        <v>30246</v>
      </c>
      <c r="H3361" s="1" t="s">
        <v>30247</v>
      </c>
      <c r="I3361" s="5" t="s">
        <v>30248</v>
      </c>
      <c r="J3361" s="7">
        <v>20</v>
      </c>
      <c r="K3361" s="7">
        <v>3.96</v>
      </c>
      <c r="L3361" s="5" t="s">
        <v>30249</v>
      </c>
      <c r="M3361" s="7">
        <v>0.625</v>
      </c>
      <c r="N3361" s="7">
        <v>0.4</v>
      </c>
      <c r="O3361" s="7">
        <v>0.97799999999999998</v>
      </c>
      <c r="P3361" s="1" t="s">
        <v>30250</v>
      </c>
    </row>
    <row r="3362" spans="1:16" ht="17.05" x14ac:dyDescent="0.3">
      <c r="A3362" s="6" t="str">
        <f>HYPERLINK("https://www.ti.com/product/LM5050-2", "LM5050-2")</f>
        <v>LM5050-2</v>
      </c>
      <c r="B3362" s="5" t="s">
        <v>30251</v>
      </c>
      <c r="C3362" s="6" t="str">
        <f>HYPERLINK("https://www.ti.com/lit/gpn/LM5050-2", "PDF")</f>
        <v>PDF</v>
      </c>
      <c r="D3362" s="5" t="s">
        <v>30252</v>
      </c>
      <c r="E3362" s="5" t="s">
        <v>30253</v>
      </c>
      <c r="F3362" s="5"/>
      <c r="G3362" s="5" t="s">
        <v>30254</v>
      </c>
      <c r="H3362" s="1" t="s">
        <v>30255</v>
      </c>
      <c r="I3362" s="5" t="s">
        <v>30256</v>
      </c>
      <c r="J3362" s="7">
        <v>6</v>
      </c>
      <c r="K3362" s="7">
        <v>8.1199999999999992</v>
      </c>
      <c r="L3362" s="5" t="s">
        <v>30257</v>
      </c>
      <c r="M3362" s="7">
        <v>1.1000000000000001</v>
      </c>
      <c r="N3362" s="7">
        <v>0.95</v>
      </c>
      <c r="O3362" s="7">
        <v>0.95299999999999996</v>
      </c>
      <c r="P3362" s="1" t="s">
        <v>30258</v>
      </c>
    </row>
    <row r="3363" spans="1:16" ht="33.4" x14ac:dyDescent="0.3">
      <c r="A3363" s="6" t="str">
        <f>HYPERLINK("https://www.ti.com/product/BUF12840", "BUF12840")</f>
        <v>BUF12840</v>
      </c>
      <c r="B3363" s="5" t="s">
        <v>30259</v>
      </c>
      <c r="C3363" s="6" t="str">
        <f>HYPERLINK("https://www.ti.com/lit/gpn/BUF12840", "PDF")</f>
        <v>PDF</v>
      </c>
      <c r="D3363" s="5" t="s">
        <v>30260</v>
      </c>
      <c r="E3363" s="5" t="s">
        <v>30261</v>
      </c>
      <c r="F3363" s="5"/>
      <c r="G3363" s="5" t="s">
        <v>30262</v>
      </c>
      <c r="H3363" s="1" t="s">
        <v>30263</v>
      </c>
      <c r="I3363" s="5" t="s">
        <v>30264</v>
      </c>
      <c r="J3363" s="7">
        <v>24</v>
      </c>
      <c r="K3363" s="7">
        <v>16</v>
      </c>
      <c r="L3363" s="5" t="s">
        <v>30265</v>
      </c>
      <c r="M3363" s="7">
        <v>1</v>
      </c>
      <c r="N3363" s="7">
        <v>0.5</v>
      </c>
      <c r="O3363" s="7">
        <v>2.125</v>
      </c>
      <c r="P3363" s="1" t="s">
        <v>30266</v>
      </c>
    </row>
    <row r="3364" spans="1:16" ht="17.05" x14ac:dyDescent="0.3">
      <c r="A3364" s="6" t="str">
        <f>HYPERLINK("https://www.ti.com/product/TPS65708", "TPS65708")</f>
        <v>TPS65708</v>
      </c>
      <c r="B3364" s="5" t="s">
        <v>30267</v>
      </c>
      <c r="C3364" s="6" t="str">
        <f>HYPERLINK("https://www.ti.com/lit/gpn/TPS65708", "PDF")</f>
        <v>PDF</v>
      </c>
      <c r="D3364" s="5" t="s">
        <v>30268</v>
      </c>
      <c r="E3364" s="5" t="s">
        <v>30269</v>
      </c>
      <c r="F3364" s="5"/>
      <c r="G3364" s="5" t="s">
        <v>30270</v>
      </c>
      <c r="H3364" s="1" t="s">
        <v>30271</v>
      </c>
      <c r="I3364" s="5" t="s">
        <v>30272</v>
      </c>
      <c r="J3364" s="7">
        <v>16</v>
      </c>
      <c r="K3364" s="7">
        <v>5.0625</v>
      </c>
      <c r="L3364" s="5" t="s">
        <v>30273</v>
      </c>
      <c r="M3364" s="7">
        <v>0.625</v>
      </c>
      <c r="N3364" s="7">
        <v>0.5</v>
      </c>
      <c r="O3364" s="7">
        <v>2.294</v>
      </c>
      <c r="P3364" s="1" t="s">
        <v>30274</v>
      </c>
    </row>
    <row r="3365" spans="1:16" ht="33.4" x14ac:dyDescent="0.3">
      <c r="A3365" s="6" t="str">
        <f>HYPERLINK("https://www.ti.com/product/TPS65252", "TPS65252")</f>
        <v>TPS65252</v>
      </c>
      <c r="B3365" s="5" t="s">
        <v>30275</v>
      </c>
      <c r="C3365" s="6" t="str">
        <f>HYPERLINK("https://www.ti.com/lit/gpn/TPS65252", "PDF")</f>
        <v>PDF</v>
      </c>
      <c r="D3365" s="5" t="s">
        <v>30276</v>
      </c>
      <c r="E3365" s="5" t="s">
        <v>30277</v>
      </c>
      <c r="F3365" s="5" t="s">
        <v>30278</v>
      </c>
      <c r="G3365" s="5" t="s">
        <v>30279</v>
      </c>
      <c r="H3365" s="1" t="s">
        <v>30280</v>
      </c>
      <c r="I3365" s="5" t="s">
        <v>30281</v>
      </c>
      <c r="J3365" s="7">
        <v>28</v>
      </c>
      <c r="K3365" s="7">
        <v>25</v>
      </c>
      <c r="L3365" s="5" t="s">
        <v>30282</v>
      </c>
      <c r="M3365" s="7">
        <v>1</v>
      </c>
      <c r="N3365" s="7">
        <v>0.5</v>
      </c>
      <c r="O3365" s="7">
        <v>1.5580000000000001</v>
      </c>
      <c r="P3365" s="1" t="s">
        <v>30283</v>
      </c>
    </row>
    <row r="3366" spans="1:16" ht="33.4" x14ac:dyDescent="0.3">
      <c r="A3366" s="6" t="str">
        <f>HYPERLINK("https://www.ti.com/product/TLV704", "TLV704")</f>
        <v>TLV704</v>
      </c>
      <c r="B3366" s="5" t="s">
        <v>30284</v>
      </c>
      <c r="C3366" s="6" t="str">
        <f>HYPERLINK("https://www.ti.com/lit/gpn/TLV704", "PDF")</f>
        <v>PDF</v>
      </c>
      <c r="D3366" s="5" t="s">
        <v>30285</v>
      </c>
      <c r="E3366" s="5" t="s">
        <v>30286</v>
      </c>
      <c r="F3366" s="5"/>
      <c r="G3366" s="5" t="s">
        <v>30287</v>
      </c>
      <c r="H3366" s="1" t="s">
        <v>30288</v>
      </c>
      <c r="I3366" s="5" t="s">
        <v>30289</v>
      </c>
      <c r="J3366" s="7">
        <v>5</v>
      </c>
      <c r="K3366" s="7">
        <v>8.1199999999999992</v>
      </c>
      <c r="L3366" s="5" t="s">
        <v>30290</v>
      </c>
      <c r="M3366" s="7">
        <v>1.45</v>
      </c>
      <c r="N3366" s="7">
        <v>0.95</v>
      </c>
      <c r="O3366" s="7">
        <v>0.19700000000000001</v>
      </c>
      <c r="P3366" s="1" t="s">
        <v>30291</v>
      </c>
    </row>
    <row r="3367" spans="1:16" ht="49.75" x14ac:dyDescent="0.3">
      <c r="A3367" s="6" t="str">
        <f>HYPERLINK("https://www.ti.com/product/TPS82671", "TPS82671")</f>
        <v>TPS82671</v>
      </c>
      <c r="B3367" s="5" t="s">
        <v>30292</v>
      </c>
      <c r="C3367" s="6" t="str">
        <f>HYPERLINK("https://www.ti.com/lit/gpn/TPS82671", "PDF")</f>
        <v>PDF</v>
      </c>
      <c r="D3367" s="5" t="s">
        <v>30293</v>
      </c>
      <c r="E3367" s="5" t="s">
        <v>30294</v>
      </c>
      <c r="F3367" s="5" t="s">
        <v>30295</v>
      </c>
      <c r="G3367" s="5" t="s">
        <v>30296</v>
      </c>
      <c r="H3367" s="1" t="s">
        <v>30297</v>
      </c>
      <c r="I3367" s="5" t="s">
        <v>30298</v>
      </c>
      <c r="J3367" s="7">
        <v>8</v>
      </c>
      <c r="K3367" s="7">
        <v>6.67</v>
      </c>
      <c r="L3367" s="5" t="s">
        <v>30299</v>
      </c>
      <c r="M3367" s="7">
        <v>1</v>
      </c>
      <c r="N3367" s="7">
        <v>1</v>
      </c>
      <c r="O3367" s="7">
        <v>1.012</v>
      </c>
      <c r="P3367" s="1" t="s">
        <v>30300</v>
      </c>
    </row>
    <row r="3368" spans="1:16" ht="49.75" x14ac:dyDescent="0.3">
      <c r="A3368" s="6" t="str">
        <f>HYPERLINK("https://www.ti.com/product/TPS82675", "TPS82675")</f>
        <v>TPS82675</v>
      </c>
      <c r="B3368" s="5" t="s">
        <v>30301</v>
      </c>
      <c r="C3368" s="6" t="str">
        <f>HYPERLINK("https://www.ti.com/lit/gpn/TPS82675", "PDF")</f>
        <v>PDF</v>
      </c>
      <c r="D3368" s="5" t="s">
        <v>30302</v>
      </c>
      <c r="E3368" s="5" t="s">
        <v>30303</v>
      </c>
      <c r="F3368" s="5" t="s">
        <v>30304</v>
      </c>
      <c r="G3368" s="5" t="s">
        <v>30305</v>
      </c>
      <c r="H3368" s="1" t="s">
        <v>30306</v>
      </c>
      <c r="I3368" s="5" t="s">
        <v>30307</v>
      </c>
      <c r="J3368" s="7">
        <v>8</v>
      </c>
      <c r="K3368" s="7">
        <v>6.67</v>
      </c>
      <c r="L3368" s="5" t="s">
        <v>30308</v>
      </c>
      <c r="M3368" s="7">
        <v>1</v>
      </c>
      <c r="N3368" s="7">
        <v>1</v>
      </c>
      <c r="O3368" s="7">
        <v>1.012</v>
      </c>
      <c r="P3368" s="1" t="s">
        <v>30309</v>
      </c>
    </row>
    <row r="3369" spans="1:16" ht="33.4" x14ac:dyDescent="0.3">
      <c r="A3369" s="6" t="str">
        <f>HYPERLINK("https://www.ti.com/product/TPS84620", "TPS84620")</f>
        <v>TPS84620</v>
      </c>
      <c r="B3369" s="5" t="s">
        <v>30310</v>
      </c>
      <c r="C3369" s="6" t="str">
        <f>HYPERLINK("https://www.ti.com/lit/gpn/TPS84620", "PDF")</f>
        <v>PDF</v>
      </c>
      <c r="D3369" s="5" t="s">
        <v>30311</v>
      </c>
      <c r="E3369" s="5" t="s">
        <v>30312</v>
      </c>
      <c r="F3369" s="5" t="s">
        <v>30313</v>
      </c>
      <c r="G3369" s="5" t="s">
        <v>30314</v>
      </c>
      <c r="H3369" s="1" t="s">
        <v>30315</v>
      </c>
      <c r="I3369" s="5" t="s">
        <v>30316</v>
      </c>
      <c r="J3369" s="7">
        <v>47</v>
      </c>
      <c r="K3369" s="7">
        <v>135</v>
      </c>
      <c r="L3369" s="5" t="s">
        <v>30317</v>
      </c>
      <c r="M3369" s="7">
        <v>2.9</v>
      </c>
      <c r="N3369" s="7">
        <v>0.9</v>
      </c>
      <c r="O3369" s="7">
        <v>6.734</v>
      </c>
      <c r="P3369" s="1" t="s">
        <v>30318</v>
      </c>
    </row>
    <row r="3370" spans="1:16" ht="33.4" x14ac:dyDescent="0.3">
      <c r="A3370" s="6" t="str">
        <f>HYPERLINK("https://www.ti.com/product/BUF08630", "BUF08630")</f>
        <v>BUF08630</v>
      </c>
      <c r="B3370" s="5" t="s">
        <v>30319</v>
      </c>
      <c r="C3370" s="6" t="str">
        <f>HYPERLINK("https://www.ti.com/lit/gpn/BUF08630", "PDF")</f>
        <v>PDF</v>
      </c>
      <c r="D3370" s="5" t="s">
        <v>30320</v>
      </c>
      <c r="E3370" s="5" t="s">
        <v>30321</v>
      </c>
      <c r="F3370" s="5"/>
      <c r="G3370" s="5" t="s">
        <v>30322</v>
      </c>
      <c r="H3370" s="1" t="s">
        <v>30323</v>
      </c>
      <c r="I3370" s="5" t="s">
        <v>30324</v>
      </c>
      <c r="J3370" s="7">
        <v>20</v>
      </c>
      <c r="K3370" s="7">
        <v>25</v>
      </c>
      <c r="L3370" s="5" t="s">
        <v>30325</v>
      </c>
      <c r="M3370" s="7">
        <v>1</v>
      </c>
      <c r="N3370" s="7">
        <v>0.65</v>
      </c>
      <c r="O3370" s="7">
        <v>2.024</v>
      </c>
      <c r="P3370" s="1" t="s">
        <v>30326</v>
      </c>
    </row>
    <row r="3371" spans="1:16" ht="131.6" x14ac:dyDescent="0.3">
      <c r="A3371" s="6" t="str">
        <f>HYPERLINK("https://www.ti.com/product/LM8801", "LM8801")</f>
        <v>LM8801</v>
      </c>
      <c r="B3371" s="5" t="s">
        <v>30327</v>
      </c>
      <c r="C3371" s="6" t="str">
        <f>HYPERLINK("https://www.ti.com/lit/gpn/LM8801", "PDF")</f>
        <v>PDF</v>
      </c>
      <c r="D3371" s="5" t="s">
        <v>30328</v>
      </c>
      <c r="E3371" s="5" t="s">
        <v>30329</v>
      </c>
      <c r="F3371" s="5" t="s">
        <v>30330</v>
      </c>
      <c r="G3371" s="5" t="s">
        <v>30331</v>
      </c>
      <c r="H3371" s="1" t="s">
        <v>30332</v>
      </c>
      <c r="I3371" s="5" t="s">
        <v>30333</v>
      </c>
      <c r="J3371" s="7">
        <v>6</v>
      </c>
      <c r="K3371" s="7" t="s">
        <v>30334</v>
      </c>
      <c r="L3371" s="5" t="s">
        <v>30335</v>
      </c>
      <c r="M3371" s="7" t="s">
        <v>30336</v>
      </c>
      <c r="N3371" s="7">
        <v>0.4</v>
      </c>
      <c r="O3371" s="7">
        <v>0.46400000000000002</v>
      </c>
      <c r="P3371" s="1" t="s">
        <v>30337</v>
      </c>
    </row>
    <row r="3372" spans="1:16" ht="33.4" x14ac:dyDescent="0.3">
      <c r="A3372" s="6" t="str">
        <f>HYPERLINK("https://www.ti.com/product/TPS59620", "TPS59620")</f>
        <v>TPS59620</v>
      </c>
      <c r="B3372" s="5" t="s">
        <v>30338</v>
      </c>
      <c r="C3372" s="6" t="str">
        <f>HYPERLINK("https://www.ti.com/lit/gpn/TPS59620", "PDF")</f>
        <v>PDF</v>
      </c>
      <c r="D3372" s="5" t="s">
        <v>30339</v>
      </c>
      <c r="E3372" s="5" t="s">
        <v>30340</v>
      </c>
      <c r="F3372" s="5" t="s">
        <v>30341</v>
      </c>
      <c r="G3372" s="5" t="s">
        <v>30342</v>
      </c>
      <c r="H3372" s="1" t="s">
        <v>30343</v>
      </c>
      <c r="I3372" s="5" t="s">
        <v>30344</v>
      </c>
      <c r="J3372" s="7">
        <v>40</v>
      </c>
      <c r="K3372" s="7">
        <v>36</v>
      </c>
      <c r="L3372" s="5" t="s">
        <v>30345</v>
      </c>
      <c r="M3372" s="7">
        <v>1</v>
      </c>
      <c r="N3372" s="7">
        <v>0.5</v>
      </c>
      <c r="O3372" s="7">
        <v>2.3149999999999999</v>
      </c>
      <c r="P3372" s="1" t="s">
        <v>30346</v>
      </c>
    </row>
    <row r="3373" spans="1:16" ht="33.4" x14ac:dyDescent="0.3">
      <c r="A3373" s="6" t="str">
        <f>HYPERLINK("https://www.ti.com/product/TPS2540", "TPS2540")</f>
        <v>TPS2540</v>
      </c>
      <c r="B3373" s="5" t="s">
        <v>30347</v>
      </c>
      <c r="C3373" s="6" t="str">
        <f>HYPERLINK("https://www.ti.com/lit/gpn/TPS2540", "PDF")</f>
        <v>PDF</v>
      </c>
      <c r="D3373" s="5" t="s">
        <v>30348</v>
      </c>
      <c r="E3373" s="5" t="s">
        <v>30349</v>
      </c>
      <c r="F3373" s="5"/>
      <c r="G3373" s="5" t="s">
        <v>30350</v>
      </c>
      <c r="H3373" s="1" t="s">
        <v>30351</v>
      </c>
      <c r="I3373" s="5" t="s">
        <v>30352</v>
      </c>
      <c r="J3373" s="7">
        <v>16</v>
      </c>
      <c r="K3373" s="7">
        <v>9</v>
      </c>
      <c r="L3373" s="5" t="s">
        <v>30353</v>
      </c>
      <c r="M3373" s="7">
        <v>0.8</v>
      </c>
      <c r="N3373" s="7">
        <v>0.5</v>
      </c>
      <c r="O3373" s="7">
        <v>0.69199999999999995</v>
      </c>
      <c r="P3373" s="1" t="s">
        <v>30354</v>
      </c>
    </row>
    <row r="3374" spans="1:16" ht="33.4" x14ac:dyDescent="0.3">
      <c r="A3374" s="6" t="str">
        <f>HYPERLINK("https://www.ti.com/product/TPS2541", "TPS2541")</f>
        <v>TPS2541</v>
      </c>
      <c r="B3374" s="5" t="s">
        <v>30355</v>
      </c>
      <c r="C3374" s="6" t="str">
        <f>HYPERLINK("https://www.ti.com/lit/gpn/TPS2541", "PDF")</f>
        <v>PDF</v>
      </c>
      <c r="D3374" s="5" t="s">
        <v>30356</v>
      </c>
      <c r="E3374" s="5" t="s">
        <v>30357</v>
      </c>
      <c r="F3374" s="5"/>
      <c r="G3374" s="5" t="s">
        <v>30358</v>
      </c>
      <c r="H3374" s="1" t="s">
        <v>30359</v>
      </c>
      <c r="I3374" s="5" t="s">
        <v>30360</v>
      </c>
      <c r="J3374" s="7">
        <v>16</v>
      </c>
      <c r="K3374" s="7">
        <v>9</v>
      </c>
      <c r="L3374" s="5" t="s">
        <v>30361</v>
      </c>
      <c r="M3374" s="7">
        <v>0.8</v>
      </c>
      <c r="N3374" s="7">
        <v>0.5</v>
      </c>
      <c r="O3374" s="7">
        <v>0.69199999999999995</v>
      </c>
      <c r="P3374" s="1" t="s">
        <v>30362</v>
      </c>
    </row>
    <row r="3375" spans="1:16" ht="33.4" x14ac:dyDescent="0.3">
      <c r="A3375" s="6" t="str">
        <f>HYPERLINK("https://www.ti.com/product/LM3492-Q1", "LM3492-Q1")</f>
        <v>LM3492-Q1</v>
      </c>
      <c r="B3375" s="5" t="s">
        <v>30363</v>
      </c>
      <c r="C3375" s="6" t="str">
        <f>HYPERLINK("https://www.ti.com/lit/gpn/LM3492-Q1", "PDF")</f>
        <v>PDF</v>
      </c>
      <c r="D3375" s="5" t="s">
        <v>30364</v>
      </c>
      <c r="E3375" s="5" t="s">
        <v>30365</v>
      </c>
      <c r="F3375" s="5" t="s">
        <v>30366</v>
      </c>
      <c r="G3375" s="5" t="s">
        <v>30367</v>
      </c>
      <c r="H3375" s="1" t="s">
        <v>30368</v>
      </c>
      <c r="I3375" s="5" t="s">
        <v>30369</v>
      </c>
      <c r="J3375" s="7">
        <v>20</v>
      </c>
      <c r="K3375" s="7">
        <v>41.6</v>
      </c>
      <c r="L3375" s="5" t="s">
        <v>30370</v>
      </c>
      <c r="M3375" s="7">
        <v>1.2</v>
      </c>
      <c r="N3375" s="7">
        <v>0.65</v>
      </c>
      <c r="O3375" s="7">
        <v>1.855</v>
      </c>
      <c r="P3375" s="1" t="s">
        <v>30371</v>
      </c>
    </row>
    <row r="3376" spans="1:16" ht="49.75" x14ac:dyDescent="0.3">
      <c r="A3376" s="6" t="str">
        <f>HYPERLINK("https://www.ti.com/product/TLV702", "TLV702")</f>
        <v>TLV702</v>
      </c>
      <c r="B3376" s="5" t="s">
        <v>30372</v>
      </c>
      <c r="C3376" s="6" t="str">
        <f>HYPERLINK("https://www.ti.com/lit/gpn/TLV702", "PDF")</f>
        <v>PDF</v>
      </c>
      <c r="D3376" s="5" t="s">
        <v>30373</v>
      </c>
      <c r="E3376" s="5" t="s">
        <v>30374</v>
      </c>
      <c r="F3376" s="5"/>
      <c r="G3376" s="5" t="s">
        <v>30375</v>
      </c>
      <c r="H3376" s="1" t="s">
        <v>30376</v>
      </c>
      <c r="I3376" s="5" t="s">
        <v>30377</v>
      </c>
      <c r="J3376" s="7" t="s">
        <v>30378</v>
      </c>
      <c r="K3376" s="7" t="s">
        <v>30379</v>
      </c>
      <c r="L3376" s="5" t="s">
        <v>30380</v>
      </c>
      <c r="M3376" s="7" t="s">
        <v>30381</v>
      </c>
      <c r="N3376" s="7" t="s">
        <v>30382</v>
      </c>
      <c r="O3376" s="7">
        <v>8.1000000000000003E-2</v>
      </c>
      <c r="P3376" s="1" t="s">
        <v>30383</v>
      </c>
    </row>
    <row r="3377" spans="1:16" ht="49.75" x14ac:dyDescent="0.3">
      <c r="A3377" s="6" t="str">
        <f>HYPERLINK("https://www.ti.com/product/TLV702P", "TLV702P")</f>
        <v>TLV702P</v>
      </c>
      <c r="B3377" s="5" t="s">
        <v>30384</v>
      </c>
      <c r="C3377" s="6" t="str">
        <f>HYPERLINK("https://www.ti.com/lit/gpn/TLV702P", "PDF")</f>
        <v>PDF</v>
      </c>
      <c r="D3377" s="5" t="s">
        <v>30385</v>
      </c>
      <c r="E3377" s="5" t="s">
        <v>30386</v>
      </c>
      <c r="F3377" s="5"/>
      <c r="G3377" s="5" t="s">
        <v>30387</v>
      </c>
      <c r="H3377" s="1" t="s">
        <v>30388</v>
      </c>
      <c r="I3377" s="5" t="s">
        <v>30389</v>
      </c>
      <c r="J3377" s="7" t="s">
        <v>30390</v>
      </c>
      <c r="K3377" s="7" t="s">
        <v>30391</v>
      </c>
      <c r="L3377" s="5" t="s">
        <v>30392</v>
      </c>
      <c r="M3377" s="7" t="s">
        <v>30393</v>
      </c>
      <c r="N3377" s="7" t="s">
        <v>30394</v>
      </c>
      <c r="O3377" s="7">
        <v>8.1000000000000003E-2</v>
      </c>
      <c r="P3377" s="1" t="s">
        <v>30395</v>
      </c>
    </row>
    <row r="3378" spans="1:16" ht="49.75" x14ac:dyDescent="0.3">
      <c r="A3378" s="6" t="str">
        <f>HYPERLINK("https://www.ti.com/product/TLV712", "TLV712")</f>
        <v>TLV712</v>
      </c>
      <c r="B3378" s="5" t="s">
        <v>30396</v>
      </c>
      <c r="C3378" s="6" t="str">
        <f>HYPERLINK("https://www.ti.com/lit/gpn/TLV712", "PDF")</f>
        <v>PDF</v>
      </c>
      <c r="D3378" s="5" t="s">
        <v>30397</v>
      </c>
      <c r="E3378" s="5" t="s">
        <v>30398</v>
      </c>
      <c r="F3378" s="5"/>
      <c r="G3378" s="5" t="s">
        <v>30399</v>
      </c>
      <c r="H3378" s="1" t="s">
        <v>30400</v>
      </c>
      <c r="I3378" s="5" t="s">
        <v>30401</v>
      </c>
      <c r="J3378" s="7" t="s">
        <v>30402</v>
      </c>
      <c r="K3378" s="7" t="s">
        <v>30403</v>
      </c>
      <c r="L3378" s="5" t="s">
        <v>30404</v>
      </c>
      <c r="M3378" s="7" t="s">
        <v>30405</v>
      </c>
      <c r="N3378" s="7" t="s">
        <v>30406</v>
      </c>
      <c r="O3378" s="7">
        <v>0.126</v>
      </c>
      <c r="P3378" s="1" t="s">
        <v>30407</v>
      </c>
    </row>
    <row r="3379" spans="1:16" ht="33.4" x14ac:dyDescent="0.3">
      <c r="A3379" s="6" t="str">
        <f>HYPERLINK("https://www.ti.com/product/TPS61251", "TPS61251")</f>
        <v>TPS61251</v>
      </c>
      <c r="B3379" s="5" t="s">
        <v>30408</v>
      </c>
      <c r="C3379" s="6" t="str">
        <f>HYPERLINK("https://www.ti.com/lit/gpn/TPS61251", "PDF")</f>
        <v>PDF</v>
      </c>
      <c r="D3379" s="5" t="s">
        <v>30409</v>
      </c>
      <c r="E3379" s="5" t="s">
        <v>30410</v>
      </c>
      <c r="F3379" s="5" t="s">
        <v>30411</v>
      </c>
      <c r="G3379" s="5" t="s">
        <v>30412</v>
      </c>
      <c r="H3379" s="1" t="s">
        <v>30413</v>
      </c>
      <c r="I3379" s="5" t="s">
        <v>30414</v>
      </c>
      <c r="J3379" s="7">
        <v>8</v>
      </c>
      <c r="K3379" s="7">
        <v>4</v>
      </c>
      <c r="L3379" s="5" t="s">
        <v>30415</v>
      </c>
      <c r="M3379" s="7">
        <v>0.8</v>
      </c>
      <c r="N3379" s="7">
        <v>0.5</v>
      </c>
      <c r="O3379" s="7">
        <v>0.65200000000000002</v>
      </c>
      <c r="P3379" s="1" t="s">
        <v>30416</v>
      </c>
    </row>
    <row r="3380" spans="1:16" ht="33.4" x14ac:dyDescent="0.3">
      <c r="A3380" s="6" t="str">
        <f>HYPERLINK("https://www.ti.com/product/TPS61252", "TPS61252")</f>
        <v>TPS61252</v>
      </c>
      <c r="B3380" s="5" t="s">
        <v>30417</v>
      </c>
      <c r="C3380" s="6" t="str">
        <f>HYPERLINK("https://www.ti.com/lit/gpn/TPS61252", "PDF")</f>
        <v>PDF</v>
      </c>
      <c r="D3380" s="5" t="s">
        <v>30418</v>
      </c>
      <c r="E3380" s="5" t="s">
        <v>30419</v>
      </c>
      <c r="F3380" s="5" t="s">
        <v>30420</v>
      </c>
      <c r="G3380" s="5" t="s">
        <v>30421</v>
      </c>
      <c r="H3380" s="1" t="s">
        <v>30422</v>
      </c>
      <c r="I3380" s="5" t="s">
        <v>30423</v>
      </c>
      <c r="J3380" s="7">
        <v>8</v>
      </c>
      <c r="K3380" s="7">
        <v>4</v>
      </c>
      <c r="L3380" s="5" t="s">
        <v>30424</v>
      </c>
      <c r="M3380" s="7">
        <v>0.8</v>
      </c>
      <c r="N3380" s="7">
        <v>0.5</v>
      </c>
      <c r="O3380" s="7">
        <v>0.65200000000000002</v>
      </c>
      <c r="P3380" s="1" t="s">
        <v>30425</v>
      </c>
    </row>
    <row r="3381" spans="1:16" ht="17.05" x14ac:dyDescent="0.3">
      <c r="A3381" s="6" t="str">
        <f>HYPERLINK("https://www.ti.com/product/TPS65149", "TPS65149")</f>
        <v>TPS65149</v>
      </c>
      <c r="B3381" s="5" t="s">
        <v>30426</v>
      </c>
      <c r="C3381" s="6" t="str">
        <f>HYPERLINK("https://www.ti.com/lit/gpn/TPS65149", "PDF")</f>
        <v>PDF</v>
      </c>
      <c r="D3381" s="5" t="s">
        <v>30427</v>
      </c>
      <c r="E3381" s="5" t="s">
        <v>30428</v>
      </c>
      <c r="F3381" s="5" t="s">
        <v>30429</v>
      </c>
      <c r="G3381" s="5" t="s">
        <v>30430</v>
      </c>
      <c r="H3381" s="1" t="s">
        <v>30431</v>
      </c>
      <c r="I3381" s="5" t="s">
        <v>30432</v>
      </c>
      <c r="J3381" s="7">
        <v>56</v>
      </c>
      <c r="K3381" s="7">
        <v>49</v>
      </c>
      <c r="L3381" s="5" t="s">
        <v>30433</v>
      </c>
      <c r="M3381" s="7">
        <v>1</v>
      </c>
      <c r="N3381" s="7">
        <v>0.4</v>
      </c>
      <c r="O3381" s="7">
        <v>0.77400000000000002</v>
      </c>
      <c r="P3381" s="1" t="s">
        <v>30434</v>
      </c>
    </row>
    <row r="3382" spans="1:16" ht="33.4" x14ac:dyDescent="0.3">
      <c r="A3382" s="6" t="str">
        <f>HYPERLINK("https://www.ti.com/product/TPS74801-Q1", "TPS74801-Q1")</f>
        <v>TPS74801-Q1</v>
      </c>
      <c r="B3382" s="5" t="s">
        <v>30435</v>
      </c>
      <c r="C3382" s="6" t="str">
        <f>HYPERLINK("https://www.ti.com/lit/gpn/TPS74801-Q1", "PDF")</f>
        <v>PDF</v>
      </c>
      <c r="D3382" s="5" t="s">
        <v>30436</v>
      </c>
      <c r="E3382" s="5" t="s">
        <v>30437</v>
      </c>
      <c r="F3382" s="5"/>
      <c r="G3382" s="5" t="s">
        <v>30438</v>
      </c>
      <c r="H3382" s="1" t="s">
        <v>30439</v>
      </c>
      <c r="I3382" s="5" t="s">
        <v>30440</v>
      </c>
      <c r="J3382" s="7" t="s">
        <v>30441</v>
      </c>
      <c r="K3382" s="7" t="s">
        <v>30442</v>
      </c>
      <c r="L3382" s="5" t="s">
        <v>30443</v>
      </c>
      <c r="M3382" s="7">
        <v>1</v>
      </c>
      <c r="N3382" s="7" t="s">
        <v>30444</v>
      </c>
      <c r="O3382" s="7">
        <v>0.48199999999999998</v>
      </c>
      <c r="P3382" s="1" t="s">
        <v>30445</v>
      </c>
    </row>
    <row r="3383" spans="1:16" ht="33.4" x14ac:dyDescent="0.3">
      <c r="A3383" s="6" t="str">
        <f>HYPERLINK("https://www.ti.com/product/TPS79501-Q1", "TPS79501-Q1")</f>
        <v>TPS79501-Q1</v>
      </c>
      <c r="B3383" s="5" t="s">
        <v>30446</v>
      </c>
      <c r="C3383" s="6" t="str">
        <f>HYPERLINK("https://www.ti.com/lit/gpn/TPS79501-Q1", "PDF")</f>
        <v>PDF</v>
      </c>
      <c r="D3383" s="5" t="s">
        <v>30447</v>
      </c>
      <c r="E3383" s="5" t="s">
        <v>30448</v>
      </c>
      <c r="F3383" s="5"/>
      <c r="G3383" s="5" t="s">
        <v>30449</v>
      </c>
      <c r="H3383" s="1" t="s">
        <v>30450</v>
      </c>
      <c r="I3383" s="5" t="s">
        <v>30451</v>
      </c>
      <c r="J3383" s="7">
        <v>8</v>
      </c>
      <c r="K3383" s="7">
        <v>9</v>
      </c>
      <c r="L3383" s="5" t="s">
        <v>30452</v>
      </c>
      <c r="M3383" s="7">
        <v>1</v>
      </c>
      <c r="N3383" s="7">
        <v>0.65</v>
      </c>
      <c r="O3383" s="7">
        <v>1.1839999999999999</v>
      </c>
      <c r="P3383" s="1" t="s">
        <v>30453</v>
      </c>
    </row>
    <row r="3384" spans="1:16" ht="33.4" x14ac:dyDescent="0.3">
      <c r="A3384" s="6" t="str">
        <f>HYPERLINK("https://www.ti.com/product/PTD08A210W", "PTD08A210W")</f>
        <v>PTD08A210W</v>
      </c>
      <c r="B3384" s="5" t="s">
        <v>30454</v>
      </c>
      <c r="C3384" s="6" t="str">
        <f>HYPERLINK("https://www.ti.com/lit/gpn/PTD08A210W", "PDF")</f>
        <v>PDF</v>
      </c>
      <c r="D3384" s="5" t="s">
        <v>30455</v>
      </c>
      <c r="E3384" s="5" t="s">
        <v>30456</v>
      </c>
      <c r="F3384" s="5" t="s">
        <v>30457</v>
      </c>
      <c r="G3384" s="5" t="s">
        <v>30458</v>
      </c>
      <c r="H3384" s="1" t="s">
        <v>30459</v>
      </c>
      <c r="I3384" s="5" t="s">
        <v>30460</v>
      </c>
      <c r="J3384" s="7">
        <v>16</v>
      </c>
      <c r="K3384" s="7">
        <v>309.67680000000001</v>
      </c>
      <c r="L3384" s="5" t="s">
        <v>30461</v>
      </c>
      <c r="M3384" s="7">
        <v>6</v>
      </c>
      <c r="N3384" s="7">
        <v>2.54</v>
      </c>
      <c r="O3384" s="7">
        <v>11.276</v>
      </c>
      <c r="P3384" s="1" t="s">
        <v>30462</v>
      </c>
    </row>
    <row r="3385" spans="1:16" ht="33.4" x14ac:dyDescent="0.3">
      <c r="A3385" s="6" t="str">
        <f>HYPERLINK("https://www.ti.com/product/REF5030A-Q1", "REF5030A-Q1")</f>
        <v>REF5030A-Q1</v>
      </c>
      <c r="B3385" s="5" t="s">
        <v>30463</v>
      </c>
      <c r="C3385" s="6" t="str">
        <f>HYPERLINK("https://www.ti.com/lit/gpn/REF5030A-Q1", "PDF")</f>
        <v>PDF</v>
      </c>
      <c r="D3385" s="5" t="s">
        <v>30464</v>
      </c>
      <c r="E3385" s="5" t="s">
        <v>30465</v>
      </c>
      <c r="F3385" s="5"/>
      <c r="G3385" s="5" t="s">
        <v>30466</v>
      </c>
      <c r="H3385" s="1" t="s">
        <v>30467</v>
      </c>
      <c r="I3385" s="5" t="s">
        <v>30468</v>
      </c>
      <c r="J3385" s="7">
        <v>8</v>
      </c>
      <c r="K3385" s="7">
        <v>29.4</v>
      </c>
      <c r="L3385" s="5" t="s">
        <v>30469</v>
      </c>
      <c r="M3385" s="7">
        <v>1.75</v>
      </c>
      <c r="N3385" s="7">
        <v>1.27</v>
      </c>
      <c r="O3385" s="7">
        <v>1.9710000000000001</v>
      </c>
      <c r="P3385" s="1" t="s">
        <v>30470</v>
      </c>
    </row>
    <row r="3386" spans="1:16" ht="33.4" x14ac:dyDescent="0.3">
      <c r="A3386" s="6" t="str">
        <f>HYPERLINK("https://www.ti.com/product/REF5040A-Q1", "REF5040A-Q1")</f>
        <v>REF5040A-Q1</v>
      </c>
      <c r="B3386" s="5" t="s">
        <v>30471</v>
      </c>
      <c r="C3386" s="6" t="str">
        <f>HYPERLINK("https://www.ti.com/lit/gpn/REF5040A-Q1", "PDF")</f>
        <v>PDF</v>
      </c>
      <c r="D3386" s="5" t="s">
        <v>30472</v>
      </c>
      <c r="E3386" s="5" t="s">
        <v>30473</v>
      </c>
      <c r="F3386" s="5"/>
      <c r="G3386" s="5" t="s">
        <v>30474</v>
      </c>
      <c r="H3386" s="1" t="s">
        <v>30475</v>
      </c>
      <c r="I3386" s="5" t="s">
        <v>30476</v>
      </c>
      <c r="J3386" s="7">
        <v>8</v>
      </c>
      <c r="K3386" s="7">
        <v>29.4</v>
      </c>
      <c r="L3386" s="5" t="s">
        <v>30477</v>
      </c>
      <c r="M3386" s="7">
        <v>1.75</v>
      </c>
      <c r="N3386" s="7">
        <v>1.27</v>
      </c>
      <c r="O3386" s="7">
        <v>1.643</v>
      </c>
      <c r="P3386" s="1" t="s">
        <v>30478</v>
      </c>
    </row>
    <row r="3387" spans="1:16" ht="33.4" x14ac:dyDescent="0.3">
      <c r="A3387" s="6" t="str">
        <f>HYPERLINK("https://www.ti.com/product/REF5050A-Q1", "REF5050A-Q1")</f>
        <v>REF5050A-Q1</v>
      </c>
      <c r="B3387" s="5" t="s">
        <v>30479</v>
      </c>
      <c r="C3387" s="6" t="str">
        <f>HYPERLINK("https://www.ti.com/lit/gpn/REF5050A-Q1", "PDF")</f>
        <v>PDF</v>
      </c>
      <c r="D3387" s="5" t="s">
        <v>30480</v>
      </c>
      <c r="E3387" s="5" t="s">
        <v>30481</v>
      </c>
      <c r="F3387" s="5"/>
      <c r="G3387" s="5" t="s">
        <v>30482</v>
      </c>
      <c r="H3387" s="1" t="s">
        <v>30483</v>
      </c>
      <c r="I3387" s="5" t="s">
        <v>30484</v>
      </c>
      <c r="J3387" s="7">
        <v>8</v>
      </c>
      <c r="K3387" s="7">
        <v>29.4</v>
      </c>
      <c r="L3387" s="5" t="s">
        <v>30485</v>
      </c>
      <c r="M3387" s="7">
        <v>1.75</v>
      </c>
      <c r="N3387" s="7">
        <v>1.27</v>
      </c>
      <c r="O3387" s="7">
        <v>1.952</v>
      </c>
      <c r="P3387" s="1" t="s">
        <v>30486</v>
      </c>
    </row>
    <row r="3388" spans="1:16" ht="33.4" x14ac:dyDescent="0.3">
      <c r="A3388" s="6" t="str">
        <f>HYPERLINK("https://www.ti.com/product/TPS386000-Q1", "TPS386000-Q1")</f>
        <v>TPS386000-Q1</v>
      </c>
      <c r="B3388" s="5" t="s">
        <v>30487</v>
      </c>
      <c r="C3388" s="6" t="str">
        <f>HYPERLINK("https://www.ti.com/lit/gpn/TPS386000-Q1", "PDF")</f>
        <v>PDF</v>
      </c>
      <c r="D3388" s="5" t="s">
        <v>30488</v>
      </c>
      <c r="E3388" s="5" t="s">
        <v>30489</v>
      </c>
      <c r="F3388" s="5"/>
      <c r="G3388" s="5" t="s">
        <v>30490</v>
      </c>
      <c r="H3388" s="1" t="s">
        <v>30491</v>
      </c>
      <c r="I3388" s="5" t="s">
        <v>30492</v>
      </c>
      <c r="J3388" s="7">
        <v>20</v>
      </c>
      <c r="K3388" s="7">
        <v>16</v>
      </c>
      <c r="L3388" s="5" t="s">
        <v>30493</v>
      </c>
      <c r="M3388" s="7">
        <v>1</v>
      </c>
      <c r="N3388" s="7">
        <v>0.5</v>
      </c>
      <c r="O3388" s="7">
        <v>1.2370000000000001</v>
      </c>
      <c r="P3388" s="1" t="s">
        <v>30494</v>
      </c>
    </row>
    <row r="3389" spans="1:16" ht="33.4" x14ac:dyDescent="0.3">
      <c r="A3389" s="6" t="str">
        <f>HYPERLINK("https://www.ti.com/product/TPS723-Q1", "TPS723-Q1")</f>
        <v>TPS723-Q1</v>
      </c>
      <c r="B3389" s="5" t="s">
        <v>30495</v>
      </c>
      <c r="C3389" s="6" t="str">
        <f>HYPERLINK("https://www.ti.com/lit/gpn/TPS723-Q1", "PDF")</f>
        <v>PDF</v>
      </c>
      <c r="D3389" s="5" t="s">
        <v>30496</v>
      </c>
      <c r="E3389" s="5" t="s">
        <v>30497</v>
      </c>
      <c r="F3389" s="5"/>
      <c r="G3389" s="5" t="s">
        <v>30498</v>
      </c>
      <c r="H3389" s="1" t="s">
        <v>30499</v>
      </c>
      <c r="I3389" s="5" t="s">
        <v>30500</v>
      </c>
      <c r="J3389" s="7">
        <v>5</v>
      </c>
      <c r="K3389" s="7">
        <v>8.1199999999999992</v>
      </c>
      <c r="L3389" s="5" t="s">
        <v>30501</v>
      </c>
      <c r="M3389" s="7">
        <v>1.45</v>
      </c>
      <c r="N3389" s="7">
        <v>0.95</v>
      </c>
      <c r="O3389" s="7">
        <v>1.597</v>
      </c>
      <c r="P3389" s="1" t="s">
        <v>30502</v>
      </c>
    </row>
    <row r="3390" spans="1:16" ht="33.4" x14ac:dyDescent="0.3">
      <c r="A3390" s="6" t="str">
        <f>HYPERLINK("https://www.ti.com/product/TL2575HV-05-Q1", "TL2575HV-05-Q1")</f>
        <v>TL2575HV-05-Q1</v>
      </c>
      <c r="B3390" s="5" t="s">
        <v>30503</v>
      </c>
      <c r="C3390" s="6" t="str">
        <f>HYPERLINK("https://www.ti.com/lit/gpn/TL2575HV-05-Q1", "PDF")</f>
        <v>PDF</v>
      </c>
      <c r="D3390" s="5" t="s">
        <v>30504</v>
      </c>
      <c r="E3390" s="5" t="s">
        <v>30505</v>
      </c>
      <c r="F3390" s="5" t="s">
        <v>30506</v>
      </c>
      <c r="G3390" s="5" t="s">
        <v>30507</v>
      </c>
      <c r="H3390" s="1" t="s">
        <v>30508</v>
      </c>
      <c r="I3390" s="5" t="s">
        <v>30509</v>
      </c>
      <c r="J3390" s="7">
        <v>5</v>
      </c>
      <c r="K3390" s="7">
        <v>154.83840000000001</v>
      </c>
      <c r="L3390" s="5" t="s">
        <v>30510</v>
      </c>
      <c r="M3390" s="7">
        <v>4.83</v>
      </c>
      <c r="N3390" s="7">
        <v>1.7</v>
      </c>
      <c r="O3390" s="7">
        <v>2.097</v>
      </c>
      <c r="P3390" s="1" t="s">
        <v>30511</v>
      </c>
    </row>
    <row r="3391" spans="1:16" ht="33.4" x14ac:dyDescent="0.3">
      <c r="A3391" s="6" t="str">
        <f>HYPERLINK("https://www.ti.com/product/TL2575HV-33-Q1", "TL2575HV-33-Q1")</f>
        <v>TL2575HV-33-Q1</v>
      </c>
      <c r="B3391" s="5" t="s">
        <v>30512</v>
      </c>
      <c r="C3391" s="6" t="str">
        <f>HYPERLINK("https://www.ti.com/lit/gpn/TL2575HV-33-Q1", "PDF")</f>
        <v>PDF</v>
      </c>
      <c r="D3391" s="5" t="s">
        <v>30513</v>
      </c>
      <c r="E3391" s="5" t="s">
        <v>30514</v>
      </c>
      <c r="F3391" s="5" t="s">
        <v>30515</v>
      </c>
      <c r="G3391" s="5" t="s">
        <v>30516</v>
      </c>
      <c r="H3391" s="1" t="s">
        <v>30517</v>
      </c>
      <c r="I3391" s="5" t="s">
        <v>30518</v>
      </c>
      <c r="J3391" s="7">
        <v>5</v>
      </c>
      <c r="K3391" s="7">
        <v>154.83840000000001</v>
      </c>
      <c r="L3391" s="5" t="s">
        <v>30519</v>
      </c>
      <c r="M3391" s="7">
        <v>4.83</v>
      </c>
      <c r="N3391" s="7">
        <v>1.7</v>
      </c>
      <c r="O3391" s="7">
        <v>2.097</v>
      </c>
      <c r="P3391" s="1" t="s">
        <v>30520</v>
      </c>
    </row>
    <row r="3392" spans="1:16" ht="33.4" x14ac:dyDescent="0.3">
      <c r="A3392" s="6" t="str">
        <f>HYPERLINK("https://www.ti.com/product/TPS62290-Q1", "TPS62290-Q1")</f>
        <v>TPS62290-Q1</v>
      </c>
      <c r="B3392" s="5" t="s">
        <v>30521</v>
      </c>
      <c r="C3392" s="6" t="str">
        <f>HYPERLINK("https://www.ti.com/lit/gpn/TPS62290-Q1", "PDF")</f>
        <v>PDF</v>
      </c>
      <c r="D3392" s="5" t="s">
        <v>30522</v>
      </c>
      <c r="E3392" s="5" t="s">
        <v>30523</v>
      </c>
      <c r="F3392" s="5" t="s">
        <v>30524</v>
      </c>
      <c r="G3392" s="5" t="s">
        <v>30525</v>
      </c>
      <c r="H3392" s="1" t="s">
        <v>30526</v>
      </c>
      <c r="I3392" s="5" t="s">
        <v>30527</v>
      </c>
      <c r="J3392" s="7">
        <v>6</v>
      </c>
      <c r="K3392" s="7">
        <v>4</v>
      </c>
      <c r="L3392" s="5" t="s">
        <v>30528</v>
      </c>
      <c r="M3392" s="7">
        <v>0.8</v>
      </c>
      <c r="N3392" s="7">
        <v>0.65</v>
      </c>
      <c r="O3392" s="7">
        <v>0.84099999999999997</v>
      </c>
      <c r="P3392" s="1" t="s">
        <v>30529</v>
      </c>
    </row>
    <row r="3393" spans="1:16" ht="33.4" x14ac:dyDescent="0.3">
      <c r="A3393" s="6" t="str">
        <f>HYPERLINK("https://www.ti.com/product/TPS62293-Q1", "TPS62293-Q1")</f>
        <v>TPS62293-Q1</v>
      </c>
      <c r="B3393" s="5" t="s">
        <v>30530</v>
      </c>
      <c r="C3393" s="6" t="str">
        <f>HYPERLINK("https://www.ti.com/lit/gpn/TPS62293-Q1", "PDF")</f>
        <v>PDF</v>
      </c>
      <c r="D3393" s="5" t="s">
        <v>30531</v>
      </c>
      <c r="E3393" s="5" t="s">
        <v>30532</v>
      </c>
      <c r="F3393" s="5" t="s">
        <v>30533</v>
      </c>
      <c r="G3393" s="5" t="s">
        <v>30534</v>
      </c>
      <c r="H3393" s="1" t="s">
        <v>30535</v>
      </c>
      <c r="I3393" s="5" t="s">
        <v>30536</v>
      </c>
      <c r="J3393" s="7">
        <v>6</v>
      </c>
      <c r="K3393" s="7">
        <v>4</v>
      </c>
      <c r="L3393" s="5" t="s">
        <v>30537</v>
      </c>
      <c r="M3393" s="7">
        <v>0.8</v>
      </c>
      <c r="N3393" s="7">
        <v>0.65</v>
      </c>
      <c r="O3393" s="7">
        <v>0.84099999999999997</v>
      </c>
      <c r="P3393" s="1" t="s">
        <v>30538</v>
      </c>
    </row>
    <row r="3394" spans="1:16" ht="49.75" x14ac:dyDescent="0.3">
      <c r="A3394" s="6" t="str">
        <f>HYPERLINK("https://www.ti.com/product/TPS62665", "TPS62665")</f>
        <v>TPS62665</v>
      </c>
      <c r="B3394" s="5" t="s">
        <v>30539</v>
      </c>
      <c r="C3394" s="6" t="str">
        <f>HYPERLINK("https://www.ti.com/lit/gpn/TPS62665", "PDF")</f>
        <v>PDF</v>
      </c>
      <c r="D3394" s="5" t="s">
        <v>30540</v>
      </c>
      <c r="E3394" s="5" t="s">
        <v>30541</v>
      </c>
      <c r="F3394" s="5" t="s">
        <v>30542</v>
      </c>
      <c r="G3394" s="5" t="s">
        <v>30543</v>
      </c>
      <c r="H3394" s="1" t="s">
        <v>30544</v>
      </c>
      <c r="I3394" s="5" t="s">
        <v>30545</v>
      </c>
      <c r="J3394" s="7">
        <v>6</v>
      </c>
      <c r="K3394" s="7">
        <v>1.4000000000000001</v>
      </c>
      <c r="L3394" s="5" t="s">
        <v>30546</v>
      </c>
      <c r="M3394" s="7">
        <v>0.625</v>
      </c>
      <c r="N3394" s="7">
        <v>0.4</v>
      </c>
      <c r="O3394" s="7">
        <v>0.65700000000000003</v>
      </c>
      <c r="P3394" s="1" t="s">
        <v>30547</v>
      </c>
    </row>
    <row r="3395" spans="1:16" ht="49.75" x14ac:dyDescent="0.3">
      <c r="A3395" s="6" t="str">
        <f>HYPERLINK("https://www.ti.com/product/TPS736-Q1", "TPS736-Q1")</f>
        <v>TPS736-Q1</v>
      </c>
      <c r="B3395" s="5" t="s">
        <v>30548</v>
      </c>
      <c r="C3395" s="6" t="str">
        <f>HYPERLINK("https://www.ti.com/lit/gpn/TPS736-Q1", "PDF")</f>
        <v>PDF</v>
      </c>
      <c r="D3395" s="5" t="s">
        <v>30549</v>
      </c>
      <c r="E3395" s="5" t="s">
        <v>30550</v>
      </c>
      <c r="F3395" s="5"/>
      <c r="G3395" s="5" t="s">
        <v>30551</v>
      </c>
      <c r="H3395" s="1" t="s">
        <v>30552</v>
      </c>
      <c r="I3395" s="5" t="s">
        <v>30553</v>
      </c>
      <c r="J3395" s="7" t="s">
        <v>30554</v>
      </c>
      <c r="K3395" s="7" t="s">
        <v>30555</v>
      </c>
      <c r="L3395" s="5" t="s">
        <v>30556</v>
      </c>
      <c r="M3395" s="7" t="s">
        <v>30557</v>
      </c>
      <c r="N3395" s="7" t="s">
        <v>30558</v>
      </c>
      <c r="O3395" s="7">
        <v>0.96599999999999997</v>
      </c>
      <c r="P3395" s="1" t="s">
        <v>30559</v>
      </c>
    </row>
    <row r="3396" spans="1:16" ht="33.4" x14ac:dyDescent="0.3">
      <c r="A3396" s="6" t="str">
        <f>HYPERLINK("https://www.ti.com/product/LM25119", "LM25119")</f>
        <v>LM25119</v>
      </c>
      <c r="B3396" s="5" t="s">
        <v>30560</v>
      </c>
      <c r="C3396" s="6" t="str">
        <f>HYPERLINK("https://www.ti.com/lit/gpn/LM25119", "PDF")</f>
        <v>PDF</v>
      </c>
      <c r="D3396" s="5" t="s">
        <v>30561</v>
      </c>
      <c r="E3396" s="5" t="s">
        <v>30562</v>
      </c>
      <c r="F3396" s="5" t="s">
        <v>30563</v>
      </c>
      <c r="G3396" s="5" t="s">
        <v>30564</v>
      </c>
      <c r="H3396" s="1" t="s">
        <v>30565</v>
      </c>
      <c r="I3396" s="5" t="s">
        <v>30566</v>
      </c>
      <c r="J3396" s="7">
        <v>32</v>
      </c>
      <c r="K3396" s="7">
        <v>25</v>
      </c>
      <c r="L3396" s="5" t="s">
        <v>30567</v>
      </c>
      <c r="M3396" s="7">
        <v>0.8</v>
      </c>
      <c r="N3396" s="7">
        <v>0.5</v>
      </c>
      <c r="O3396" s="7">
        <v>2.6309999999999998</v>
      </c>
      <c r="P3396" s="1" t="s">
        <v>30568</v>
      </c>
    </row>
    <row r="3397" spans="1:16" ht="33.4" x14ac:dyDescent="0.3">
      <c r="A3397" s="6" t="str">
        <f>HYPERLINK("https://www.ti.com/product/LM5119", "LM5119")</f>
        <v>LM5119</v>
      </c>
      <c r="B3397" s="5" t="s">
        <v>30569</v>
      </c>
      <c r="C3397" s="6" t="str">
        <f>HYPERLINK("https://www.ti.com/lit/gpn/LM5119", "PDF")</f>
        <v>PDF</v>
      </c>
      <c r="D3397" s="5" t="s">
        <v>30570</v>
      </c>
      <c r="E3397" s="5" t="s">
        <v>30571</v>
      </c>
      <c r="F3397" s="5" t="s">
        <v>30572</v>
      </c>
      <c r="G3397" s="5" t="s">
        <v>30573</v>
      </c>
      <c r="H3397" s="1" t="s">
        <v>30574</v>
      </c>
      <c r="I3397" s="5" t="s">
        <v>30575</v>
      </c>
      <c r="J3397" s="7">
        <v>32</v>
      </c>
      <c r="K3397" s="7">
        <v>25</v>
      </c>
      <c r="L3397" s="5" t="s">
        <v>30576</v>
      </c>
      <c r="M3397" s="7">
        <v>0.8</v>
      </c>
      <c r="N3397" s="7">
        <v>0.5</v>
      </c>
      <c r="O3397" s="7">
        <v>3.2890000000000001</v>
      </c>
      <c r="P3397" s="1" t="s">
        <v>30577</v>
      </c>
    </row>
    <row r="3398" spans="1:16" ht="33.4" x14ac:dyDescent="0.3">
      <c r="A3398" s="6" t="str">
        <f>HYPERLINK("https://www.ti.com/product/TPS54320", "TPS54320")</f>
        <v>TPS54320</v>
      </c>
      <c r="B3398" s="5" t="s">
        <v>30578</v>
      </c>
      <c r="C3398" s="6" t="str">
        <f>HYPERLINK("https://www.ti.com/lit/gpn/TPS54320", "PDF")</f>
        <v>PDF</v>
      </c>
      <c r="D3398" s="5" t="s">
        <v>30579</v>
      </c>
      <c r="E3398" s="5" t="s">
        <v>30580</v>
      </c>
      <c r="F3398" s="5" t="s">
        <v>30581</v>
      </c>
      <c r="G3398" s="5" t="s">
        <v>30582</v>
      </c>
      <c r="H3398" s="1" t="s">
        <v>30583</v>
      </c>
      <c r="I3398" s="5" t="s">
        <v>30584</v>
      </c>
      <c r="J3398" s="7">
        <v>14</v>
      </c>
      <c r="K3398" s="7">
        <v>12.25</v>
      </c>
      <c r="L3398" s="5" t="s">
        <v>30585</v>
      </c>
      <c r="M3398" s="7">
        <v>1</v>
      </c>
      <c r="N3398" s="7">
        <v>0.5</v>
      </c>
      <c r="O3398" s="7">
        <v>0.88</v>
      </c>
      <c r="P3398" s="1" t="s">
        <v>30586</v>
      </c>
    </row>
    <row r="3399" spans="1:16" ht="98.85" x14ac:dyDescent="0.3">
      <c r="A3399" s="6" t="str">
        <f>HYPERLINK("https://www.ti.com/product/UCC24610", "UCC24610")</f>
        <v>UCC24610</v>
      </c>
      <c r="B3399" s="5" t="s">
        <v>30587</v>
      </c>
      <c r="C3399" s="6" t="str">
        <f>HYPERLINK("https://www.ti.com/lit/gpn/UCC24610", "PDF")</f>
        <v>PDF</v>
      </c>
      <c r="D3399" s="5" t="s">
        <v>30588</v>
      </c>
      <c r="E3399" s="5" t="s">
        <v>30589</v>
      </c>
      <c r="F3399" s="5" t="s">
        <v>30590</v>
      </c>
      <c r="G3399" s="5" t="s">
        <v>30591</v>
      </c>
      <c r="H3399" s="1" t="s">
        <v>30592</v>
      </c>
      <c r="I3399" s="5" t="s">
        <v>30593</v>
      </c>
      <c r="J3399" s="7">
        <v>8</v>
      </c>
      <c r="K3399" s="7" t="s">
        <v>30594</v>
      </c>
      <c r="L3399" s="5" t="s">
        <v>30595</v>
      </c>
      <c r="M3399" s="7" t="s">
        <v>30596</v>
      </c>
      <c r="N3399" s="7" t="s">
        <v>30597</v>
      </c>
      <c r="O3399" s="7">
        <v>0.55000000000000004</v>
      </c>
      <c r="P3399" s="1" t="s">
        <v>30598</v>
      </c>
    </row>
    <row r="3400" spans="1:16" ht="33.4" x14ac:dyDescent="0.3">
      <c r="A3400" s="6" t="str">
        <f>HYPERLINK("https://www.ti.com/product/TPS92020", "TPS92020")</f>
        <v>TPS92020</v>
      </c>
      <c r="B3400" s="5" t="s">
        <v>30599</v>
      </c>
      <c r="C3400" s="6" t="str">
        <f>HYPERLINK("https://www.ti.com/lit/gpn/TPS92020", "PDF")</f>
        <v>PDF</v>
      </c>
      <c r="D3400" s="5" t="s">
        <v>30600</v>
      </c>
      <c r="E3400" s="5" t="s">
        <v>30601</v>
      </c>
      <c r="F3400" s="5" t="s">
        <v>30602</v>
      </c>
      <c r="G3400" s="5" t="s">
        <v>30603</v>
      </c>
      <c r="H3400" s="1" t="s">
        <v>30604</v>
      </c>
      <c r="I3400" s="5" t="s">
        <v>30605</v>
      </c>
      <c r="J3400" s="7">
        <v>8</v>
      </c>
      <c r="K3400" s="7">
        <v>29.4</v>
      </c>
      <c r="L3400" s="5" t="s">
        <v>30606</v>
      </c>
      <c r="M3400" s="7">
        <v>1.75</v>
      </c>
      <c r="N3400" s="7">
        <v>1.27</v>
      </c>
      <c r="O3400" s="7">
        <v>0.68300000000000005</v>
      </c>
      <c r="P3400" s="1" t="s">
        <v>30607</v>
      </c>
    </row>
    <row r="3401" spans="1:16" ht="33.4" x14ac:dyDescent="0.3">
      <c r="A3401" s="6" t="str">
        <f>HYPERLINK("https://www.ti.com/product/TPS62120", "TPS62120")</f>
        <v>TPS62120</v>
      </c>
      <c r="B3401" s="5" t="s">
        <v>30608</v>
      </c>
      <c r="C3401" s="6" t="str">
        <f>HYPERLINK("https://www.ti.com/lit/gpn/TPS62120", "PDF")</f>
        <v>PDF</v>
      </c>
      <c r="D3401" s="5" t="s">
        <v>30609</v>
      </c>
      <c r="E3401" s="5" t="s">
        <v>30610</v>
      </c>
      <c r="F3401" s="5" t="s">
        <v>30611</v>
      </c>
      <c r="G3401" s="5" t="s">
        <v>30612</v>
      </c>
      <c r="H3401" s="1" t="s">
        <v>30613</v>
      </c>
      <c r="I3401" s="5" t="s">
        <v>30614</v>
      </c>
      <c r="J3401" s="7">
        <v>8</v>
      </c>
      <c r="K3401" s="7">
        <v>4.6399999999999997</v>
      </c>
      <c r="L3401" s="5" t="s">
        <v>30615</v>
      </c>
      <c r="M3401" s="7">
        <v>1.3</v>
      </c>
      <c r="N3401" s="7">
        <v>0.65</v>
      </c>
      <c r="O3401" s="7">
        <v>0.51100000000000001</v>
      </c>
      <c r="P3401" s="1" t="s">
        <v>30616</v>
      </c>
    </row>
    <row r="3402" spans="1:16" ht="33.4" x14ac:dyDescent="0.3">
      <c r="A3402" s="6" t="str">
        <f>HYPERLINK("https://www.ti.com/product/TLV707", "TLV707")</f>
        <v>TLV707</v>
      </c>
      <c r="B3402" s="5" t="s">
        <v>30617</v>
      </c>
      <c r="C3402" s="6" t="str">
        <f>HYPERLINK("https://www.ti.com/lit/gpn/TLV707", "PDF")</f>
        <v>PDF</v>
      </c>
      <c r="D3402" s="5" t="s">
        <v>30618</v>
      </c>
      <c r="E3402" s="5" t="s">
        <v>30619</v>
      </c>
      <c r="F3402" s="5"/>
      <c r="G3402" s="5" t="s">
        <v>30620</v>
      </c>
      <c r="H3402" s="1" t="s">
        <v>30621</v>
      </c>
      <c r="I3402" s="5" t="s">
        <v>30622</v>
      </c>
      <c r="J3402" s="7">
        <v>4</v>
      </c>
      <c r="K3402" s="7">
        <v>1</v>
      </c>
      <c r="L3402" s="5" t="s">
        <v>30623</v>
      </c>
      <c r="M3402" s="7">
        <v>0.4</v>
      </c>
      <c r="N3402" s="7">
        <v>0.65</v>
      </c>
      <c r="O3402" s="7">
        <v>5.5E-2</v>
      </c>
      <c r="P3402" s="1" t="s">
        <v>30624</v>
      </c>
    </row>
    <row r="3403" spans="1:16" ht="33.4" x14ac:dyDescent="0.3">
      <c r="A3403" s="6" t="str">
        <f>HYPERLINK("https://www.ti.com/product/TPS65921", "TPS65921")</f>
        <v>TPS65921</v>
      </c>
      <c r="B3403" s="5" t="s">
        <v>30625</v>
      </c>
      <c r="C3403" s="6" t="str">
        <f>HYPERLINK("https://www.ti.com/lit/gpn/TPS65921", "PDF")</f>
        <v>PDF</v>
      </c>
      <c r="D3403" s="5" t="s">
        <v>30626</v>
      </c>
      <c r="E3403" s="5" t="s">
        <v>30627</v>
      </c>
      <c r="F3403" s="5"/>
      <c r="G3403" s="5" t="s">
        <v>30628</v>
      </c>
      <c r="H3403" s="1" t="s">
        <v>30629</v>
      </c>
      <c r="I3403" s="5" t="s">
        <v>30630</v>
      </c>
      <c r="J3403" s="7">
        <v>120</v>
      </c>
      <c r="K3403" s="7">
        <v>36</v>
      </c>
      <c r="L3403" s="5" t="s">
        <v>30631</v>
      </c>
      <c r="M3403" s="7">
        <v>1</v>
      </c>
      <c r="N3403" s="7">
        <v>0.5</v>
      </c>
      <c r="O3403" s="7">
        <v>3.5630000000000002</v>
      </c>
      <c r="P3403" s="1" t="s">
        <v>30632</v>
      </c>
    </row>
    <row r="3404" spans="1:16" ht="33.4" x14ac:dyDescent="0.3">
      <c r="A3404" s="6" t="str">
        <f>HYPERLINK("https://www.ti.com/product/LM3492", "LM3492")</f>
        <v>LM3492</v>
      </c>
      <c r="B3404" s="5" t="s">
        <v>30633</v>
      </c>
      <c r="C3404" s="6" t="str">
        <f>HYPERLINK("https://www.ti.com/lit/gpn/LM3492", "PDF")</f>
        <v>PDF</v>
      </c>
      <c r="D3404" s="5" t="s">
        <v>30634</v>
      </c>
      <c r="E3404" s="5" t="s">
        <v>30635</v>
      </c>
      <c r="F3404" s="5" t="s">
        <v>30636</v>
      </c>
      <c r="G3404" s="5" t="s">
        <v>30637</v>
      </c>
      <c r="H3404" s="1" t="s">
        <v>30638</v>
      </c>
      <c r="I3404" s="5" t="s">
        <v>30639</v>
      </c>
      <c r="J3404" s="7">
        <v>20</v>
      </c>
      <c r="K3404" s="7">
        <v>41.6</v>
      </c>
      <c r="L3404" s="5" t="s">
        <v>30640</v>
      </c>
      <c r="M3404" s="7">
        <v>1.2</v>
      </c>
      <c r="N3404" s="7">
        <v>0.65</v>
      </c>
      <c r="O3404" s="7">
        <v>1.51</v>
      </c>
      <c r="P3404" s="1" t="s">
        <v>30641</v>
      </c>
    </row>
    <row r="3405" spans="1:16" ht="33.4" x14ac:dyDescent="0.3">
      <c r="A3405" s="6" t="str">
        <f>HYPERLINK("https://www.ti.com/product/TLC5960", "TLC5960")</f>
        <v>TLC5960</v>
      </c>
      <c r="B3405" s="5" t="s">
        <v>30642</v>
      </c>
      <c r="C3405" s="6" t="str">
        <f>HYPERLINK("https://www.ti.com/lit/gpn/TLC5960", "PDF")</f>
        <v>PDF</v>
      </c>
      <c r="D3405" s="5" t="s">
        <v>30643</v>
      </c>
      <c r="E3405" s="5" t="s">
        <v>30644</v>
      </c>
      <c r="F3405" s="5"/>
      <c r="G3405" s="5" t="s">
        <v>30645</v>
      </c>
      <c r="H3405" s="1" t="s">
        <v>30646</v>
      </c>
      <c r="I3405" s="5" t="s">
        <v>30647</v>
      </c>
      <c r="J3405" s="7">
        <v>38</v>
      </c>
      <c r="K3405" s="7">
        <v>101.25</v>
      </c>
      <c r="L3405" s="5" t="s">
        <v>30648</v>
      </c>
      <c r="M3405" s="7">
        <v>1.2</v>
      </c>
      <c r="N3405" s="7">
        <v>0.65</v>
      </c>
      <c r="O3405" s="7">
        <v>1.1679999999999999</v>
      </c>
      <c r="P3405" s="1" t="s">
        <v>30649</v>
      </c>
    </row>
    <row r="3406" spans="1:16" ht="33.4" x14ac:dyDescent="0.3">
      <c r="A3406" s="6" t="str">
        <f>HYPERLINK("https://www.ti.com/product/TLC5971", "TLC5971")</f>
        <v>TLC5971</v>
      </c>
      <c r="B3406" s="5" t="s">
        <v>30650</v>
      </c>
      <c r="C3406" s="6" t="str">
        <f>HYPERLINK("https://www.ti.com/lit/gpn/TLC5971", "PDF")</f>
        <v>PDF</v>
      </c>
      <c r="D3406" s="5" t="s">
        <v>30651</v>
      </c>
      <c r="E3406" s="5" t="s">
        <v>30652</v>
      </c>
      <c r="F3406" s="5"/>
      <c r="G3406" s="5" t="s">
        <v>30653</v>
      </c>
      <c r="H3406" s="1" t="s">
        <v>30654</v>
      </c>
      <c r="I3406" s="5" t="s">
        <v>30655</v>
      </c>
      <c r="J3406" s="7" t="s">
        <v>30656</v>
      </c>
      <c r="K3406" s="7" t="s">
        <v>30657</v>
      </c>
      <c r="L3406" s="5" t="s">
        <v>30658</v>
      </c>
      <c r="M3406" s="7" t="s">
        <v>30659</v>
      </c>
      <c r="N3406" s="7" t="s">
        <v>30660</v>
      </c>
      <c r="O3406" s="7">
        <v>1.3360000000000001</v>
      </c>
      <c r="P3406" s="1" t="s">
        <v>30661</v>
      </c>
    </row>
    <row r="3407" spans="1:16" ht="33.4" x14ac:dyDescent="0.3">
      <c r="A3407" s="6" t="str">
        <f>HYPERLINK("https://www.ti.com/product/TPS53129", "TPS53129")</f>
        <v>TPS53129</v>
      </c>
      <c r="B3407" s="5" t="s">
        <v>30662</v>
      </c>
      <c r="C3407" s="6" t="str">
        <f>HYPERLINK("https://www.ti.com/lit/gpn/TPS53129", "PDF")</f>
        <v>PDF</v>
      </c>
      <c r="D3407" s="5" t="s">
        <v>30663</v>
      </c>
      <c r="E3407" s="5" t="s">
        <v>30664</v>
      </c>
      <c r="F3407" s="5" t="s">
        <v>30665</v>
      </c>
      <c r="G3407" s="5" t="s">
        <v>30666</v>
      </c>
      <c r="H3407" s="1" t="s">
        <v>30667</v>
      </c>
      <c r="I3407" s="5" t="s">
        <v>30668</v>
      </c>
      <c r="J3407" s="7">
        <v>24</v>
      </c>
      <c r="K3407" s="7" t="s">
        <v>30669</v>
      </c>
      <c r="L3407" s="5" t="s">
        <v>30670</v>
      </c>
      <c r="M3407" s="7" t="s">
        <v>30671</v>
      </c>
      <c r="N3407" s="7" t="s">
        <v>30672</v>
      </c>
      <c r="O3407" s="7">
        <v>2.2909999999999999</v>
      </c>
      <c r="P3407" s="1" t="s">
        <v>30673</v>
      </c>
    </row>
    <row r="3408" spans="1:16" ht="33.4" x14ac:dyDescent="0.3">
      <c r="A3408" s="6" t="str">
        <f>HYPERLINK("https://www.ti.com/product/CSD17507Q5A", "CSD17507Q5A")</f>
        <v>CSD17507Q5A</v>
      </c>
      <c r="B3408" s="5" t="s">
        <v>30674</v>
      </c>
      <c r="C3408" s="6" t="str">
        <f>HYPERLINK("https://www.ti.com/lit/gpn/CSD17507Q5A", "PDF")</f>
        <v>PDF</v>
      </c>
      <c r="D3408" s="5" t="s">
        <v>30675</v>
      </c>
      <c r="E3408" s="5" t="s">
        <v>30676</v>
      </c>
      <c r="F3408" s="5"/>
      <c r="G3408" s="5" t="s">
        <v>30677</v>
      </c>
      <c r="H3408" s="1" t="s">
        <v>30678</v>
      </c>
      <c r="I3408" s="5" t="s">
        <v>30679</v>
      </c>
      <c r="J3408" s="7">
        <v>8</v>
      </c>
      <c r="K3408" s="7">
        <v>29.4</v>
      </c>
      <c r="L3408" s="5" t="s">
        <v>30680</v>
      </c>
      <c r="M3408" s="7">
        <v>1.1000000000000001</v>
      </c>
      <c r="N3408" s="7">
        <v>1.27</v>
      </c>
      <c r="O3408" s="7">
        <v>0.23200000000000001</v>
      </c>
      <c r="P3408" s="1" t="s">
        <v>30681</v>
      </c>
    </row>
    <row r="3409" spans="1:16" ht="33.4" x14ac:dyDescent="0.3">
      <c r="A3409" s="6" t="str">
        <f>HYPERLINK("https://www.ti.com/product/CSD17510Q5A", "CSD17510Q5A")</f>
        <v>CSD17510Q5A</v>
      </c>
      <c r="B3409" s="5" t="s">
        <v>30682</v>
      </c>
      <c r="C3409" s="6" t="str">
        <f>HYPERLINK("https://www.ti.com/lit/gpn/CSD17510Q5A", "PDF")</f>
        <v>PDF</v>
      </c>
      <c r="D3409" s="5" t="s">
        <v>30683</v>
      </c>
      <c r="E3409" s="5" t="s">
        <v>30684</v>
      </c>
      <c r="F3409" s="5"/>
      <c r="G3409" s="5" t="s">
        <v>30685</v>
      </c>
      <c r="H3409" s="1" t="s">
        <v>30686</v>
      </c>
      <c r="I3409" s="5" t="s">
        <v>30687</v>
      </c>
      <c r="J3409" s="7">
        <v>8</v>
      </c>
      <c r="K3409" s="7">
        <v>29.4</v>
      </c>
      <c r="L3409" s="5" t="s">
        <v>30688</v>
      </c>
      <c r="M3409" s="7">
        <v>1.1000000000000001</v>
      </c>
      <c r="N3409" s="7">
        <v>1.27</v>
      </c>
      <c r="O3409" s="7">
        <v>0.35</v>
      </c>
      <c r="P3409" s="1" t="s">
        <v>30689</v>
      </c>
    </row>
    <row r="3410" spans="1:16" ht="33.4" x14ac:dyDescent="0.3">
      <c r="A3410" s="6" t="str">
        <f>HYPERLINK("https://www.ti.com/product/TPS650231", "TPS650231")</f>
        <v>TPS650231</v>
      </c>
      <c r="B3410" s="5" t="s">
        <v>30690</v>
      </c>
      <c r="C3410" s="6" t="str">
        <f>HYPERLINK("https://www.ti.com/lit/gpn/TPS650231", "PDF")</f>
        <v>PDF</v>
      </c>
      <c r="D3410" s="5" t="s">
        <v>30691</v>
      </c>
      <c r="E3410" s="5" t="s">
        <v>30692</v>
      </c>
      <c r="F3410" s="5"/>
      <c r="G3410" s="5" t="s">
        <v>30693</v>
      </c>
      <c r="H3410" s="1" t="s">
        <v>30694</v>
      </c>
      <c r="I3410" s="5" t="s">
        <v>30695</v>
      </c>
      <c r="J3410" s="7" t="s">
        <v>30696</v>
      </c>
      <c r="K3410" s="7" t="s">
        <v>30697</v>
      </c>
      <c r="L3410" s="5" t="s">
        <v>30698</v>
      </c>
      <c r="M3410" s="7" t="s">
        <v>30699</v>
      </c>
      <c r="N3410" s="7">
        <v>0.4</v>
      </c>
      <c r="O3410" s="7">
        <v>2.5249999999999999</v>
      </c>
      <c r="P3410" s="1" t="s">
        <v>30700</v>
      </c>
    </row>
    <row r="3411" spans="1:16" ht="33.4" x14ac:dyDescent="0.3">
      <c r="A3411" s="6" t="str">
        <f>HYPERLINK("https://www.ti.com/product/TLV710", "TLV710")</f>
        <v>TLV710</v>
      </c>
      <c r="B3411" s="5" t="s">
        <v>30701</v>
      </c>
      <c r="C3411" s="6" t="str">
        <f>HYPERLINK("https://www.ti.com/lit/gpn/TLV710", "PDF")</f>
        <v>PDF</v>
      </c>
      <c r="D3411" s="5" t="s">
        <v>30702</v>
      </c>
      <c r="E3411" s="5" t="s">
        <v>30703</v>
      </c>
      <c r="F3411" s="5"/>
      <c r="G3411" s="5" t="s">
        <v>30704</v>
      </c>
      <c r="H3411" s="1" t="s">
        <v>30705</v>
      </c>
      <c r="I3411" s="5" t="s">
        <v>30706</v>
      </c>
      <c r="J3411" s="7">
        <v>6</v>
      </c>
      <c r="K3411" s="7">
        <v>2.25</v>
      </c>
      <c r="L3411" s="5" t="s">
        <v>30707</v>
      </c>
      <c r="M3411" s="7">
        <v>0.8</v>
      </c>
      <c r="N3411" s="7">
        <v>0.5</v>
      </c>
      <c r="O3411" s="7">
        <v>0.182</v>
      </c>
      <c r="P3411" s="1" t="s">
        <v>30708</v>
      </c>
    </row>
    <row r="3412" spans="1:16" ht="33.4" x14ac:dyDescent="0.3">
      <c r="A3412" s="6" t="str">
        <f>HYPERLINK("https://www.ti.com/product/LP8551", "LP8551")</f>
        <v>LP8551</v>
      </c>
      <c r="B3412" s="5" t="s">
        <v>30709</v>
      </c>
      <c r="C3412" s="6" t="str">
        <f>HYPERLINK("https://www.ti.com/lit/gpn/LP8551", "PDF")</f>
        <v>PDF</v>
      </c>
      <c r="D3412" s="5" t="s">
        <v>30710</v>
      </c>
      <c r="E3412" s="5" t="s">
        <v>30711</v>
      </c>
      <c r="F3412" s="5" t="s">
        <v>30712</v>
      </c>
      <c r="G3412" s="5" t="s">
        <v>30713</v>
      </c>
      <c r="H3412" s="1" t="s">
        <v>30714</v>
      </c>
      <c r="I3412" s="5" t="s">
        <v>30715</v>
      </c>
      <c r="J3412" s="7">
        <v>25</v>
      </c>
      <c r="K3412" s="7">
        <v>7.5625</v>
      </c>
      <c r="L3412" s="5" t="s">
        <v>30716</v>
      </c>
      <c r="M3412" s="7">
        <v>0.67500000000000004</v>
      </c>
      <c r="N3412" s="7">
        <v>0.5</v>
      </c>
      <c r="O3412" s="7">
        <v>0.85</v>
      </c>
      <c r="P3412" s="1" t="s">
        <v>30717</v>
      </c>
    </row>
    <row r="3413" spans="1:16" ht="33.4" x14ac:dyDescent="0.3">
      <c r="A3413" s="6" t="str">
        <f>HYPERLINK("https://www.ti.com/product/TPS2492", "TPS2492")</f>
        <v>TPS2492</v>
      </c>
      <c r="B3413" s="5" t="s">
        <v>30718</v>
      </c>
      <c r="C3413" s="6" t="str">
        <f>HYPERLINK("https://www.ti.com/lit/gpn/TPS2492", "PDF")</f>
        <v>PDF</v>
      </c>
      <c r="D3413" s="5" t="s">
        <v>30719</v>
      </c>
      <c r="E3413" s="5" t="s">
        <v>30720</v>
      </c>
      <c r="F3413" s="5"/>
      <c r="G3413" s="5" t="s">
        <v>30721</v>
      </c>
      <c r="H3413" s="1" t="s">
        <v>30722</v>
      </c>
      <c r="I3413" s="5" t="s">
        <v>30723</v>
      </c>
      <c r="J3413" s="7">
        <v>14</v>
      </c>
      <c r="K3413" s="7">
        <v>32</v>
      </c>
      <c r="L3413" s="5" t="s">
        <v>30724</v>
      </c>
      <c r="M3413" s="7">
        <v>1.2</v>
      </c>
      <c r="N3413" s="7">
        <v>0.65</v>
      </c>
      <c r="O3413" s="7">
        <v>1.4410000000000001</v>
      </c>
      <c r="P3413" s="1" t="s">
        <v>30725</v>
      </c>
    </row>
    <row r="3414" spans="1:16" ht="33.4" x14ac:dyDescent="0.3">
      <c r="A3414" s="6" t="str">
        <f>HYPERLINK("https://www.ti.com/product/TPS2493", "TPS2493")</f>
        <v>TPS2493</v>
      </c>
      <c r="B3414" s="5" t="s">
        <v>30726</v>
      </c>
      <c r="C3414" s="6" t="str">
        <f>HYPERLINK("https://www.ti.com/lit/gpn/TPS2493", "PDF")</f>
        <v>PDF</v>
      </c>
      <c r="D3414" s="5" t="s">
        <v>30727</v>
      </c>
      <c r="E3414" s="5" t="s">
        <v>30728</v>
      </c>
      <c r="F3414" s="5"/>
      <c r="G3414" s="5" t="s">
        <v>30729</v>
      </c>
      <c r="H3414" s="1" t="s">
        <v>30730</v>
      </c>
      <c r="I3414" s="5" t="s">
        <v>30731</v>
      </c>
      <c r="J3414" s="7">
        <v>14</v>
      </c>
      <c r="K3414" s="7">
        <v>32</v>
      </c>
      <c r="L3414" s="5" t="s">
        <v>30732</v>
      </c>
      <c r="M3414" s="7">
        <v>1.2</v>
      </c>
      <c r="N3414" s="7">
        <v>0.65</v>
      </c>
      <c r="O3414" s="7">
        <v>1.4410000000000001</v>
      </c>
      <c r="P3414" s="1" t="s">
        <v>30733</v>
      </c>
    </row>
    <row r="3415" spans="1:16" ht="33.4" x14ac:dyDescent="0.3">
      <c r="A3415" s="6" t="str">
        <f>HYPERLINK("https://www.ti.com/product/TPS54425", "TPS54425")</f>
        <v>TPS54425</v>
      </c>
      <c r="B3415" s="5" t="s">
        <v>30734</v>
      </c>
      <c r="C3415" s="6" t="str">
        <f>HYPERLINK("https://www.ti.com/lit/gpn/TPS54425", "PDF")</f>
        <v>PDF</v>
      </c>
      <c r="D3415" s="5" t="s">
        <v>30735</v>
      </c>
      <c r="E3415" s="5" t="s">
        <v>30736</v>
      </c>
      <c r="F3415" s="5" t="s">
        <v>30737</v>
      </c>
      <c r="G3415" s="5" t="s">
        <v>30738</v>
      </c>
      <c r="H3415" s="1" t="s">
        <v>30739</v>
      </c>
      <c r="I3415" s="5" t="s">
        <v>30740</v>
      </c>
      <c r="J3415" s="7">
        <v>14</v>
      </c>
      <c r="K3415" s="7">
        <v>32</v>
      </c>
      <c r="L3415" s="5" t="s">
        <v>30741</v>
      </c>
      <c r="M3415" s="7">
        <v>1.2</v>
      </c>
      <c r="N3415" s="7">
        <v>0.65</v>
      </c>
      <c r="O3415" s="7">
        <v>0.81699999999999995</v>
      </c>
      <c r="P3415" s="1" t="s">
        <v>30742</v>
      </c>
    </row>
    <row r="3416" spans="1:16" ht="33.4" x14ac:dyDescent="0.3">
      <c r="A3416" s="6" t="str">
        <f>HYPERLINK("https://www.ti.com/product/TPS54426", "TPS54426")</f>
        <v>TPS54426</v>
      </c>
      <c r="B3416" s="5" t="s">
        <v>30743</v>
      </c>
      <c r="C3416" s="6" t="str">
        <f>HYPERLINK("https://www.ti.com/lit/gpn/TPS54426", "PDF")</f>
        <v>PDF</v>
      </c>
      <c r="D3416" s="5" t="s">
        <v>30744</v>
      </c>
      <c r="E3416" s="5" t="s">
        <v>30745</v>
      </c>
      <c r="F3416" s="5" t="s">
        <v>30746</v>
      </c>
      <c r="G3416" s="5" t="s">
        <v>30747</v>
      </c>
      <c r="H3416" s="1" t="s">
        <v>30748</v>
      </c>
      <c r="I3416" s="5" t="s">
        <v>30749</v>
      </c>
      <c r="J3416" s="7" t="s">
        <v>30750</v>
      </c>
      <c r="K3416" s="7" t="s">
        <v>30751</v>
      </c>
      <c r="L3416" s="5" t="s">
        <v>30752</v>
      </c>
      <c r="M3416" s="7" t="s">
        <v>30753</v>
      </c>
      <c r="N3416" s="7">
        <v>0.65</v>
      </c>
      <c r="O3416" s="7">
        <v>0.83699999999999997</v>
      </c>
      <c r="P3416" s="1" t="s">
        <v>30754</v>
      </c>
    </row>
    <row r="3417" spans="1:16" ht="33.4" x14ac:dyDescent="0.3">
      <c r="A3417" s="6" t="str">
        <f>HYPERLINK("https://www.ti.com/product/UCC28250", "UCC28250")</f>
        <v>UCC28250</v>
      </c>
      <c r="B3417" s="5" t="s">
        <v>30755</v>
      </c>
      <c r="C3417" s="6" t="str">
        <f>HYPERLINK("https://www.ti.com/lit/gpn/UCC28250", "PDF")</f>
        <v>PDF</v>
      </c>
      <c r="D3417" s="5" t="s">
        <v>30756</v>
      </c>
      <c r="E3417" s="5" t="s">
        <v>30757</v>
      </c>
      <c r="F3417" s="5" t="s">
        <v>30758</v>
      </c>
      <c r="G3417" s="5" t="s">
        <v>30759</v>
      </c>
      <c r="H3417" s="1" t="s">
        <v>30760</v>
      </c>
      <c r="I3417" s="5" t="s">
        <v>30761</v>
      </c>
      <c r="J3417" s="7">
        <v>20</v>
      </c>
      <c r="K3417" s="7" t="s">
        <v>30762</v>
      </c>
      <c r="L3417" s="5" t="s">
        <v>30763</v>
      </c>
      <c r="M3417" s="7" t="s">
        <v>30764</v>
      </c>
      <c r="N3417" s="7" t="s">
        <v>30765</v>
      </c>
      <c r="O3417" s="7">
        <v>1.806</v>
      </c>
      <c r="P3417" s="1" t="s">
        <v>30766</v>
      </c>
    </row>
    <row r="3418" spans="1:16" ht="33.4" x14ac:dyDescent="0.3">
      <c r="A3418" s="6" t="str">
        <f>HYPERLINK("https://www.ti.com/product/TPS61187", "TPS61187")</f>
        <v>TPS61187</v>
      </c>
      <c r="B3418" s="5" t="s">
        <v>30767</v>
      </c>
      <c r="C3418" s="6" t="str">
        <f>HYPERLINK("https://www.ti.com/lit/gpn/TPS61187", "PDF")</f>
        <v>PDF</v>
      </c>
      <c r="D3418" s="5" t="s">
        <v>30768</v>
      </c>
      <c r="E3418" s="5" t="s">
        <v>30769</v>
      </c>
      <c r="F3418" s="5" t="s">
        <v>30770</v>
      </c>
      <c r="G3418" s="5" t="s">
        <v>30771</v>
      </c>
      <c r="H3418" s="1" t="s">
        <v>30772</v>
      </c>
      <c r="I3418" s="5" t="s">
        <v>30773</v>
      </c>
      <c r="J3418" s="7">
        <v>20</v>
      </c>
      <c r="K3418" s="7">
        <v>16</v>
      </c>
      <c r="L3418" s="5" t="s">
        <v>30774</v>
      </c>
      <c r="M3418" s="7">
        <v>0.8</v>
      </c>
      <c r="N3418" s="7">
        <v>0.5</v>
      </c>
      <c r="O3418" s="7">
        <v>0.75700000000000001</v>
      </c>
      <c r="P3418" s="1" t="s">
        <v>30775</v>
      </c>
    </row>
    <row r="3419" spans="1:16" ht="33.4" x14ac:dyDescent="0.3">
      <c r="A3419" s="6" t="str">
        <f>HYPERLINK("https://www.ti.com/product/TPS61183", "TPS61183")</f>
        <v>TPS61183</v>
      </c>
      <c r="B3419" s="5" t="s">
        <v>30776</v>
      </c>
      <c r="C3419" s="6" t="str">
        <f>HYPERLINK("https://www.ti.com/lit/gpn/TPS61183", "PDF")</f>
        <v>PDF</v>
      </c>
      <c r="D3419" s="5" t="s">
        <v>30777</v>
      </c>
      <c r="E3419" s="5" t="s">
        <v>30778</v>
      </c>
      <c r="F3419" s="5" t="s">
        <v>30779</v>
      </c>
      <c r="G3419" s="5" t="s">
        <v>30780</v>
      </c>
      <c r="H3419" s="1" t="s">
        <v>30781</v>
      </c>
      <c r="I3419" s="5" t="s">
        <v>30782</v>
      </c>
      <c r="J3419" s="7">
        <v>20</v>
      </c>
      <c r="K3419" s="7">
        <v>16</v>
      </c>
      <c r="L3419" s="5" t="s">
        <v>30783</v>
      </c>
      <c r="M3419" s="7">
        <v>0.8</v>
      </c>
      <c r="N3419" s="7">
        <v>0.5</v>
      </c>
      <c r="O3419" s="7">
        <v>0.98799999999999999</v>
      </c>
      <c r="P3419" s="1" t="s">
        <v>30784</v>
      </c>
    </row>
    <row r="3420" spans="1:16" ht="17.05" x14ac:dyDescent="0.3">
      <c r="A3420" s="6" t="str">
        <f>HYPERLINK("https://www.ti.com/product/LP8550", "LP8550")</f>
        <v>LP8550</v>
      </c>
      <c r="B3420" s="5" t="s">
        <v>30785</v>
      </c>
      <c r="C3420" s="6" t="str">
        <f>HYPERLINK("https://www.ti.com/lit/gpn/LP8550", "PDF")</f>
        <v>PDF</v>
      </c>
      <c r="D3420" s="5" t="s">
        <v>30786</v>
      </c>
      <c r="E3420" s="5" t="s">
        <v>30787</v>
      </c>
      <c r="F3420" s="5" t="s">
        <v>30788</v>
      </c>
      <c r="G3420" s="5" t="s">
        <v>30789</v>
      </c>
      <c r="H3420" s="1" t="s">
        <v>30790</v>
      </c>
      <c r="I3420" s="5" t="s">
        <v>30791</v>
      </c>
      <c r="J3420" s="7">
        <v>25</v>
      </c>
      <c r="K3420" s="7">
        <v>7.5625</v>
      </c>
      <c r="L3420" s="5" t="s">
        <v>30792</v>
      </c>
      <c r="M3420" s="7">
        <v>0.67500000000000004</v>
      </c>
      <c r="N3420" s="7">
        <v>0.5</v>
      </c>
      <c r="O3420" s="7">
        <v>0.872</v>
      </c>
      <c r="P3420" s="1" t="s">
        <v>30793</v>
      </c>
    </row>
    <row r="3421" spans="1:16" ht="33.4" x14ac:dyDescent="0.3">
      <c r="A3421" s="6" t="str">
        <f>HYPERLINK("https://www.ti.com/product/TPS62421", "TPS62421")</f>
        <v>TPS62421</v>
      </c>
      <c r="B3421" s="5" t="s">
        <v>30794</v>
      </c>
      <c r="C3421" s="6" t="str">
        <f>HYPERLINK("https://www.ti.com/lit/gpn/TPS62421", "PDF")</f>
        <v>PDF</v>
      </c>
      <c r="D3421" s="5" t="s">
        <v>30795</v>
      </c>
      <c r="E3421" s="5" t="s">
        <v>30796</v>
      </c>
      <c r="F3421" s="5" t="s">
        <v>30797</v>
      </c>
      <c r="G3421" s="5" t="s">
        <v>30798</v>
      </c>
      <c r="H3421" s="1" t="s">
        <v>30799</v>
      </c>
      <c r="I3421" s="5" t="s">
        <v>30800</v>
      </c>
      <c r="J3421" s="7">
        <v>10</v>
      </c>
      <c r="K3421" s="7">
        <v>9</v>
      </c>
      <c r="L3421" s="5" t="s">
        <v>30801</v>
      </c>
      <c r="M3421" s="7">
        <v>1</v>
      </c>
      <c r="N3421" s="7">
        <v>0.5</v>
      </c>
      <c r="O3421" s="7">
        <v>0.81699999999999995</v>
      </c>
      <c r="P3421" s="1" t="s">
        <v>30802</v>
      </c>
    </row>
    <row r="3422" spans="1:16" ht="33.4" x14ac:dyDescent="0.3">
      <c r="A3422" s="6" t="str">
        <f>HYPERLINK("https://www.ti.com/product/TPS7A49", "TPS7A49")</f>
        <v>TPS7A49</v>
      </c>
      <c r="B3422" s="5" t="s">
        <v>30803</v>
      </c>
      <c r="C3422" s="6" t="str">
        <f>HYPERLINK("https://www.ti.com/lit/gpn/TPS7A49", "PDF")</f>
        <v>PDF</v>
      </c>
      <c r="D3422" s="5" t="s">
        <v>30804</v>
      </c>
      <c r="E3422" s="5" t="s">
        <v>30805</v>
      </c>
      <c r="F3422" s="5"/>
      <c r="G3422" s="5" t="s">
        <v>30806</v>
      </c>
      <c r="H3422" s="1" t="s">
        <v>30807</v>
      </c>
      <c r="I3422" s="5" t="s">
        <v>30808</v>
      </c>
      <c r="J3422" s="7">
        <v>8</v>
      </c>
      <c r="K3422" s="7" t="s">
        <v>30809</v>
      </c>
      <c r="L3422" s="5" t="s">
        <v>30810</v>
      </c>
      <c r="M3422" s="7" t="s">
        <v>30811</v>
      </c>
      <c r="N3422" s="7">
        <v>0.65</v>
      </c>
      <c r="O3422" s="7">
        <v>1.2250000000000001</v>
      </c>
      <c r="P3422" s="1" t="s">
        <v>30812</v>
      </c>
    </row>
    <row r="3423" spans="1:16" ht="33.4" x14ac:dyDescent="0.3">
      <c r="A3423" s="6" t="str">
        <f>HYPERLINK("https://www.ti.com/product/TPS7A30", "TPS7A30")</f>
        <v>TPS7A30</v>
      </c>
      <c r="B3423" s="5" t="s">
        <v>30813</v>
      </c>
      <c r="C3423" s="6" t="str">
        <f>HYPERLINK("https://www.ti.com/lit/gpn/TPS7A30", "PDF")</f>
        <v>PDF</v>
      </c>
      <c r="D3423" s="5" t="s">
        <v>30814</v>
      </c>
      <c r="E3423" s="5" t="s">
        <v>30815</v>
      </c>
      <c r="F3423" s="5"/>
      <c r="G3423" s="5" t="s">
        <v>30816</v>
      </c>
      <c r="H3423" s="1" t="s">
        <v>30817</v>
      </c>
      <c r="I3423" s="5" t="s">
        <v>30818</v>
      </c>
      <c r="J3423" s="7">
        <v>8</v>
      </c>
      <c r="K3423" s="7" t="s">
        <v>30819</v>
      </c>
      <c r="L3423" s="5" t="s">
        <v>30820</v>
      </c>
      <c r="M3423" s="7" t="s">
        <v>30821</v>
      </c>
      <c r="N3423" s="7">
        <v>0.65</v>
      </c>
      <c r="O3423" s="7">
        <v>1.67</v>
      </c>
      <c r="P3423" s="1" t="s">
        <v>30822</v>
      </c>
    </row>
    <row r="3424" spans="1:16" ht="17.05" x14ac:dyDescent="0.3">
      <c r="A3424" s="6" t="str">
        <f>HYPERLINK("https://www.ti.com/product/LM3549", "LM3549")</f>
        <v>LM3549</v>
      </c>
      <c r="B3424" s="5" t="s">
        <v>30823</v>
      </c>
      <c r="C3424" s="6" t="str">
        <f>HYPERLINK("https://www.ti.com/lit/gpn/LM3549", "PDF")</f>
        <v>PDF</v>
      </c>
      <c r="D3424" s="5" t="s">
        <v>30824</v>
      </c>
      <c r="E3424" s="5" t="s">
        <v>30825</v>
      </c>
      <c r="F3424" s="5" t="s">
        <v>30826</v>
      </c>
      <c r="G3424" s="5" t="s">
        <v>30827</v>
      </c>
      <c r="H3424" s="1" t="s">
        <v>30828</v>
      </c>
      <c r="I3424" s="5" t="s">
        <v>30829</v>
      </c>
      <c r="J3424" s="7">
        <v>24</v>
      </c>
      <c r="K3424" s="7">
        <v>16</v>
      </c>
      <c r="L3424" s="5" t="s">
        <v>30830</v>
      </c>
      <c r="M3424" s="7">
        <v>0.8</v>
      </c>
      <c r="N3424" s="7">
        <v>0.5</v>
      </c>
      <c r="O3424" s="7">
        <v>2.8839999999999999</v>
      </c>
      <c r="P3424" s="1" t="s">
        <v>30831</v>
      </c>
    </row>
    <row r="3425" spans="1:16" ht="17.05" x14ac:dyDescent="0.3">
      <c r="A3425" s="6" t="str">
        <f>HYPERLINK("https://www.ti.com/product/TPS22934", "TPS22934")</f>
        <v>TPS22934</v>
      </c>
      <c r="B3425" s="5" t="s">
        <v>30832</v>
      </c>
      <c r="C3425" s="6" t="str">
        <f>HYPERLINK("https://www.ti.com/lit/gpn/TPS22934", "PDF")</f>
        <v>PDF</v>
      </c>
      <c r="D3425" s="5" t="s">
        <v>30833</v>
      </c>
      <c r="E3425" s="5" t="s">
        <v>30834</v>
      </c>
      <c r="F3425" s="5"/>
      <c r="G3425" s="5" t="s">
        <v>30835</v>
      </c>
      <c r="H3425" s="1" t="s">
        <v>30836</v>
      </c>
      <c r="I3425" s="5" t="s">
        <v>30837</v>
      </c>
      <c r="J3425" s="7">
        <v>4</v>
      </c>
      <c r="K3425" s="7">
        <v>1.5625</v>
      </c>
      <c r="L3425" s="5" t="s">
        <v>30838</v>
      </c>
      <c r="M3425" s="7">
        <v>0.5</v>
      </c>
      <c r="N3425" s="7">
        <v>0.5</v>
      </c>
      <c r="O3425" s="7">
        <v>0.20699999999999999</v>
      </c>
      <c r="P3425" s="1" t="s">
        <v>30839</v>
      </c>
    </row>
    <row r="3426" spans="1:16" ht="33.4" x14ac:dyDescent="0.3">
      <c r="A3426" s="6" t="str">
        <f>HYPERLINK("https://www.ti.com/product/TPS59124", "TPS59124")</f>
        <v>TPS59124</v>
      </c>
      <c r="B3426" s="5" t="s">
        <v>30840</v>
      </c>
      <c r="C3426" s="6" t="str">
        <f>HYPERLINK("https://www.ti.com/lit/gpn/TPS59124", "PDF")</f>
        <v>PDF</v>
      </c>
      <c r="D3426" s="5" t="s">
        <v>30841</v>
      </c>
      <c r="E3426" s="5" t="s">
        <v>30842</v>
      </c>
      <c r="F3426" s="5" t="s">
        <v>30843</v>
      </c>
      <c r="G3426" s="5" t="s">
        <v>30844</v>
      </c>
      <c r="H3426" s="1" t="s">
        <v>30845</v>
      </c>
      <c r="I3426" s="5" t="s">
        <v>30846</v>
      </c>
      <c r="J3426" s="7">
        <v>24</v>
      </c>
      <c r="K3426" s="7">
        <v>16</v>
      </c>
      <c r="L3426" s="5" t="s">
        <v>30847</v>
      </c>
      <c r="M3426" s="7">
        <v>1</v>
      </c>
      <c r="N3426" s="7">
        <v>0.5</v>
      </c>
      <c r="O3426" s="7">
        <v>2.903</v>
      </c>
      <c r="P3426" s="1" t="s">
        <v>30848</v>
      </c>
    </row>
    <row r="3427" spans="1:16" ht="33.4" x14ac:dyDescent="0.3">
      <c r="A3427" s="6" t="str">
        <f>HYPERLINK("https://www.ti.com/product/LM3414", "LM3414")</f>
        <v>LM3414</v>
      </c>
      <c r="B3427" s="5" t="s">
        <v>30849</v>
      </c>
      <c r="C3427" s="6" t="str">
        <f>HYPERLINK("https://www.ti.com/lit/gpn/LM3414", "PDF")</f>
        <v>PDF</v>
      </c>
      <c r="D3427" s="5" t="s">
        <v>30850</v>
      </c>
      <c r="E3427" s="5" t="s">
        <v>30851</v>
      </c>
      <c r="F3427" s="5" t="s">
        <v>30852</v>
      </c>
      <c r="G3427" s="5" t="s">
        <v>30853</v>
      </c>
      <c r="H3427" s="1" t="s">
        <v>30854</v>
      </c>
      <c r="I3427" s="5" t="s">
        <v>30855</v>
      </c>
      <c r="J3427" s="7">
        <v>8</v>
      </c>
      <c r="K3427" s="7" t="s">
        <v>30856</v>
      </c>
      <c r="L3427" s="5" t="s">
        <v>30857</v>
      </c>
      <c r="M3427" s="7" t="s">
        <v>30858</v>
      </c>
      <c r="N3427" s="7" t="s">
        <v>30859</v>
      </c>
      <c r="O3427" s="7">
        <v>0.70799999999999996</v>
      </c>
      <c r="P3427" s="1" t="s">
        <v>30860</v>
      </c>
    </row>
    <row r="3428" spans="1:16" ht="33.4" x14ac:dyDescent="0.3">
      <c r="A3428" s="6" t="str">
        <f>HYPERLINK("https://www.ti.com/product/LM3414HV", "LM3414HV")</f>
        <v>LM3414HV</v>
      </c>
      <c r="B3428" s="5" t="s">
        <v>30861</v>
      </c>
      <c r="C3428" s="6" t="str">
        <f>HYPERLINK("https://www.ti.com/lit/gpn/LM3414HV", "PDF")</f>
        <v>PDF</v>
      </c>
      <c r="D3428" s="5" t="s">
        <v>30862</v>
      </c>
      <c r="E3428" s="5" t="s">
        <v>30863</v>
      </c>
      <c r="F3428" s="5" t="s">
        <v>30864</v>
      </c>
      <c r="G3428" s="5" t="s">
        <v>30865</v>
      </c>
      <c r="H3428" s="1" t="s">
        <v>30866</v>
      </c>
      <c r="I3428" s="5" t="s">
        <v>30867</v>
      </c>
      <c r="J3428" s="7">
        <v>8</v>
      </c>
      <c r="K3428" s="7" t="s">
        <v>30868</v>
      </c>
      <c r="L3428" s="5" t="s">
        <v>30869</v>
      </c>
      <c r="M3428" s="7" t="s">
        <v>30870</v>
      </c>
      <c r="N3428" s="7" t="s">
        <v>30871</v>
      </c>
      <c r="O3428" s="7">
        <v>0.79400000000000004</v>
      </c>
      <c r="P3428" s="1" t="s">
        <v>30872</v>
      </c>
    </row>
    <row r="3429" spans="1:16" ht="33.4" x14ac:dyDescent="0.3">
      <c r="A3429" s="6" t="str">
        <f>HYPERLINK("https://www.ti.com/product/LM9076Q-Q1", "LM9076Q-Q1")</f>
        <v>LM9076Q-Q1</v>
      </c>
      <c r="B3429" s="5" t="s">
        <v>30873</v>
      </c>
      <c r="C3429" s="6" t="str">
        <f>HYPERLINK("https://www.ti.com/lit/gpn/LM9076Q-Q1", "PDF")</f>
        <v>PDF</v>
      </c>
      <c r="D3429" s="5" t="s">
        <v>30874</v>
      </c>
      <c r="E3429" s="5" t="s">
        <v>30875</v>
      </c>
      <c r="F3429" s="5"/>
      <c r="G3429" s="5" t="s">
        <v>30876</v>
      </c>
      <c r="H3429" s="1" t="s">
        <v>30877</v>
      </c>
      <c r="I3429" s="5" t="s">
        <v>30878</v>
      </c>
      <c r="J3429" s="7">
        <v>8</v>
      </c>
      <c r="K3429" s="7">
        <v>29.4</v>
      </c>
      <c r="L3429" s="5" t="s">
        <v>30879</v>
      </c>
      <c r="M3429" s="7">
        <v>1.75</v>
      </c>
      <c r="N3429" s="7">
        <v>1.27</v>
      </c>
      <c r="O3429" s="7">
        <v>1.2050000000000001</v>
      </c>
      <c r="P3429" s="1" t="s">
        <v>30880</v>
      </c>
    </row>
    <row r="3430" spans="1:16" ht="33.4" x14ac:dyDescent="0.3">
      <c r="A3430" s="6" t="str">
        <f>HYPERLINK("https://www.ti.com/product/TPS59116", "TPS59116")</f>
        <v>TPS59116</v>
      </c>
      <c r="B3430" s="5" t="s">
        <v>30881</v>
      </c>
      <c r="C3430" s="6" t="str">
        <f>HYPERLINK("https://www.ti.com/lit/gpn/TPS59116", "PDF")</f>
        <v>PDF</v>
      </c>
      <c r="D3430" s="5" t="s">
        <v>30882</v>
      </c>
      <c r="E3430" s="5" t="s">
        <v>30883</v>
      </c>
      <c r="F3430" s="5"/>
      <c r="G3430" s="5" t="s">
        <v>30884</v>
      </c>
      <c r="H3430" s="1" t="s">
        <v>30885</v>
      </c>
      <c r="I3430" s="5" t="s">
        <v>30886</v>
      </c>
      <c r="J3430" s="7">
        <v>24</v>
      </c>
      <c r="K3430" s="7">
        <v>16</v>
      </c>
      <c r="L3430" s="5" t="s">
        <v>30887</v>
      </c>
      <c r="M3430" s="7">
        <v>1</v>
      </c>
      <c r="N3430" s="7">
        <v>0.5</v>
      </c>
      <c r="O3430" s="7">
        <v>1.1739999999999999</v>
      </c>
      <c r="P3430" s="1" t="s">
        <v>30888</v>
      </c>
    </row>
    <row r="3431" spans="1:16" ht="66.150000000000006" x14ac:dyDescent="0.3">
      <c r="A3431" s="6" t="str">
        <f>HYPERLINK("https://www.ti.com/product/LM2936Q-Q1", "LM2936Q-Q1")</f>
        <v>LM2936Q-Q1</v>
      </c>
      <c r="B3431" s="5" t="s">
        <v>30889</v>
      </c>
      <c r="C3431" s="6" t="str">
        <f>HYPERLINK("https://www.ti.com/lit/gpn/LM2936Q-Q1", "PDF")</f>
        <v>PDF</v>
      </c>
      <c r="D3431" s="5" t="s">
        <v>30890</v>
      </c>
      <c r="E3431" s="5" t="s">
        <v>30891</v>
      </c>
      <c r="F3431" s="5"/>
      <c r="G3431" s="5" t="s">
        <v>30892</v>
      </c>
      <c r="H3431" s="1" t="s">
        <v>30893</v>
      </c>
      <c r="I3431" s="5" t="s">
        <v>30894</v>
      </c>
      <c r="J3431" s="7" t="s">
        <v>30895</v>
      </c>
      <c r="K3431" s="7" t="s">
        <v>30896</v>
      </c>
      <c r="L3431" s="5" t="s">
        <v>30897</v>
      </c>
      <c r="M3431" s="7" t="s">
        <v>30898</v>
      </c>
      <c r="N3431" s="7" t="s">
        <v>30899</v>
      </c>
      <c r="O3431" s="7">
        <v>0.77900000000000003</v>
      </c>
      <c r="P3431" s="1" t="s">
        <v>30900</v>
      </c>
    </row>
    <row r="3432" spans="1:16" ht="33.4" x14ac:dyDescent="0.3">
      <c r="A3432" s="6" t="str">
        <f>HYPERLINK("https://www.ti.com/product/LMZ12001EXT", "LMZ12001EXT")</f>
        <v>LMZ12001EXT</v>
      </c>
      <c r="B3432" s="5" t="s">
        <v>30901</v>
      </c>
      <c r="C3432" s="6" t="str">
        <f>HYPERLINK("https://www.ti.com/lit/gpn/LMZ12001EXT", "PDF")</f>
        <v>PDF</v>
      </c>
      <c r="D3432" s="5" t="s">
        <v>30902</v>
      </c>
      <c r="E3432" s="5" t="s">
        <v>30903</v>
      </c>
      <c r="F3432" s="5" t="s">
        <v>30904</v>
      </c>
      <c r="G3432" s="5" t="s">
        <v>30905</v>
      </c>
      <c r="H3432" s="1" t="s">
        <v>30906</v>
      </c>
      <c r="I3432" s="5" t="s">
        <v>30907</v>
      </c>
      <c r="J3432" s="7">
        <v>7</v>
      </c>
      <c r="K3432" s="7">
        <v>139.9032</v>
      </c>
      <c r="L3432" s="5" t="s">
        <v>30908</v>
      </c>
      <c r="M3432" s="7">
        <v>4.58</v>
      </c>
      <c r="N3432" s="7">
        <v>1.27</v>
      </c>
      <c r="O3432" s="7">
        <v>11.081</v>
      </c>
      <c r="P3432" s="1" t="s">
        <v>30909</v>
      </c>
    </row>
    <row r="3433" spans="1:16" ht="33.4" x14ac:dyDescent="0.3">
      <c r="A3433" s="6" t="str">
        <f>HYPERLINK("https://www.ti.com/product/LMZ12002EXT", "LMZ12002EXT")</f>
        <v>LMZ12002EXT</v>
      </c>
      <c r="B3433" s="5" t="s">
        <v>30910</v>
      </c>
      <c r="C3433" s="6" t="str">
        <f>HYPERLINK("https://www.ti.com/lit/gpn/LMZ12002EXT", "PDF")</f>
        <v>PDF</v>
      </c>
      <c r="D3433" s="5" t="s">
        <v>30911</v>
      </c>
      <c r="E3433" s="5" t="s">
        <v>30912</v>
      </c>
      <c r="F3433" s="5" t="s">
        <v>30913</v>
      </c>
      <c r="G3433" s="5" t="s">
        <v>30914</v>
      </c>
      <c r="H3433" s="1" t="s">
        <v>30915</v>
      </c>
      <c r="I3433" s="5" t="s">
        <v>30916</v>
      </c>
      <c r="J3433" s="7">
        <v>7</v>
      </c>
      <c r="K3433" s="7">
        <v>139.9032</v>
      </c>
      <c r="L3433" s="5" t="s">
        <v>30917</v>
      </c>
      <c r="M3433" s="7">
        <v>4.58</v>
      </c>
      <c r="N3433" s="7">
        <v>1.27</v>
      </c>
      <c r="O3433" s="7">
        <v>13.224</v>
      </c>
      <c r="P3433" s="1" t="s">
        <v>30918</v>
      </c>
    </row>
    <row r="3434" spans="1:16" ht="33.4" x14ac:dyDescent="0.3">
      <c r="A3434" s="6" t="str">
        <f>HYPERLINK("https://www.ti.com/product/LMZ12003EXT", "LMZ12003EXT")</f>
        <v>LMZ12003EXT</v>
      </c>
      <c r="B3434" s="5" t="s">
        <v>30919</v>
      </c>
      <c r="C3434" s="6" t="str">
        <f>HYPERLINK("https://www.ti.com/lit/gpn/LMZ12003EXT", "PDF")</f>
        <v>PDF</v>
      </c>
      <c r="D3434" s="5" t="s">
        <v>30920</v>
      </c>
      <c r="E3434" s="5" t="s">
        <v>30921</v>
      </c>
      <c r="F3434" s="5" t="s">
        <v>30922</v>
      </c>
      <c r="G3434" s="5" t="s">
        <v>30923</v>
      </c>
      <c r="H3434" s="1" t="s">
        <v>30924</v>
      </c>
      <c r="I3434" s="5" t="s">
        <v>30925</v>
      </c>
      <c r="J3434" s="7">
        <v>7</v>
      </c>
      <c r="K3434" s="7">
        <v>139.9032</v>
      </c>
      <c r="L3434" s="5" t="s">
        <v>30926</v>
      </c>
      <c r="M3434" s="7">
        <v>4.58</v>
      </c>
      <c r="N3434" s="7">
        <v>1.27</v>
      </c>
      <c r="O3434" s="7">
        <v>17.143000000000001</v>
      </c>
      <c r="P3434" s="1" t="s">
        <v>30927</v>
      </c>
    </row>
    <row r="3435" spans="1:16" ht="33.4" x14ac:dyDescent="0.3">
      <c r="A3435" s="6" t="str">
        <f>HYPERLINK("https://www.ti.com/product/LMZ14201EXT", "LMZ14201EXT")</f>
        <v>LMZ14201EXT</v>
      </c>
      <c r="B3435" s="5" t="s">
        <v>30928</v>
      </c>
      <c r="C3435" s="6" t="str">
        <f>HYPERLINK("https://www.ti.com/lit/gpn/LMZ14201EXT", "PDF")</f>
        <v>PDF</v>
      </c>
      <c r="D3435" s="5" t="s">
        <v>30929</v>
      </c>
      <c r="E3435" s="5" t="s">
        <v>30930</v>
      </c>
      <c r="F3435" s="5" t="s">
        <v>30931</v>
      </c>
      <c r="G3435" s="5" t="s">
        <v>30932</v>
      </c>
      <c r="H3435" s="1" t="s">
        <v>30933</v>
      </c>
      <c r="I3435" s="5" t="s">
        <v>30934</v>
      </c>
      <c r="J3435" s="7">
        <v>7</v>
      </c>
      <c r="K3435" s="7">
        <v>139.9032</v>
      </c>
      <c r="L3435" s="5" t="s">
        <v>30935</v>
      </c>
      <c r="M3435" s="7">
        <v>4.58</v>
      </c>
      <c r="N3435" s="7">
        <v>1.27</v>
      </c>
      <c r="O3435" s="7">
        <v>17.873999999999999</v>
      </c>
      <c r="P3435" s="1" t="s">
        <v>30936</v>
      </c>
    </row>
    <row r="3436" spans="1:16" ht="33.4" x14ac:dyDescent="0.3">
      <c r="A3436" s="6" t="str">
        <f>HYPERLINK("https://www.ti.com/product/LMZ14202EXT", "LMZ14202EXT")</f>
        <v>LMZ14202EXT</v>
      </c>
      <c r="B3436" s="5" t="s">
        <v>30937</v>
      </c>
      <c r="C3436" s="6" t="str">
        <f>HYPERLINK("https://www.ti.com/lit/gpn/LMZ14202EXT", "PDF")</f>
        <v>PDF</v>
      </c>
      <c r="D3436" s="5" t="s">
        <v>30938</v>
      </c>
      <c r="E3436" s="5" t="s">
        <v>30939</v>
      </c>
      <c r="F3436" s="5" t="s">
        <v>30940</v>
      </c>
      <c r="G3436" s="5" t="s">
        <v>30941</v>
      </c>
      <c r="H3436" s="1" t="s">
        <v>30942</v>
      </c>
      <c r="I3436" s="5" t="s">
        <v>30943</v>
      </c>
      <c r="J3436" s="7">
        <v>7</v>
      </c>
      <c r="K3436" s="7">
        <v>139.9032</v>
      </c>
      <c r="L3436" s="5" t="s">
        <v>30944</v>
      </c>
      <c r="M3436" s="7">
        <v>4.58</v>
      </c>
      <c r="N3436" s="7">
        <v>1.27</v>
      </c>
      <c r="O3436" s="7">
        <v>21.201000000000001</v>
      </c>
      <c r="P3436" s="1" t="s">
        <v>30945</v>
      </c>
    </row>
    <row r="3437" spans="1:16" ht="33.4" x14ac:dyDescent="0.3">
      <c r="A3437" s="6" t="str">
        <f>HYPERLINK("https://www.ti.com/product/LMZ14203EXT", "LMZ14203EXT")</f>
        <v>LMZ14203EXT</v>
      </c>
      <c r="B3437" s="5" t="s">
        <v>30946</v>
      </c>
      <c r="C3437" s="6" t="str">
        <f>HYPERLINK("https://www.ti.com/lit/gpn/LMZ14203EXT", "PDF")</f>
        <v>PDF</v>
      </c>
      <c r="D3437" s="5" t="s">
        <v>30947</v>
      </c>
      <c r="E3437" s="5" t="s">
        <v>30948</v>
      </c>
      <c r="F3437" s="5" t="s">
        <v>30949</v>
      </c>
      <c r="G3437" s="5" t="s">
        <v>30950</v>
      </c>
      <c r="H3437" s="1" t="s">
        <v>30951</v>
      </c>
      <c r="I3437" s="5" t="s">
        <v>30952</v>
      </c>
      <c r="J3437" s="7">
        <v>7</v>
      </c>
      <c r="K3437" s="7">
        <v>139.9032</v>
      </c>
      <c r="L3437" s="5" t="s">
        <v>30953</v>
      </c>
      <c r="M3437" s="7">
        <v>4.58</v>
      </c>
      <c r="N3437" s="7">
        <v>1.27</v>
      </c>
      <c r="O3437" s="7">
        <v>23.966999999999999</v>
      </c>
      <c r="P3437" s="1" t="s">
        <v>30954</v>
      </c>
    </row>
    <row r="3438" spans="1:16" ht="33.4" x14ac:dyDescent="0.3">
      <c r="A3438" s="6" t="str">
        <f>HYPERLINK("https://www.ti.com/product/LM9036Q-Q1", "LM9036Q-Q1")</f>
        <v>LM9036Q-Q1</v>
      </c>
      <c r="B3438" s="5" t="s">
        <v>30955</v>
      </c>
      <c r="C3438" s="6" t="str">
        <f>HYPERLINK("https://www.ti.com/lit/gpn/LM9036Q-Q1", "PDF")</f>
        <v>PDF</v>
      </c>
      <c r="D3438" s="5" t="s">
        <v>30956</v>
      </c>
      <c r="E3438" s="5" t="s">
        <v>30957</v>
      </c>
      <c r="F3438" s="5"/>
      <c r="G3438" s="5" t="s">
        <v>30958</v>
      </c>
      <c r="H3438" s="1" t="s">
        <v>30959</v>
      </c>
      <c r="I3438" s="5" t="s">
        <v>30960</v>
      </c>
      <c r="J3438" s="7">
        <v>8</v>
      </c>
      <c r="K3438" s="7" t="s">
        <v>30961</v>
      </c>
      <c r="L3438" s="5" t="s">
        <v>30962</v>
      </c>
      <c r="M3438" s="7" t="s">
        <v>30963</v>
      </c>
      <c r="N3438" s="7" t="s">
        <v>30964</v>
      </c>
      <c r="O3438" s="7">
        <v>0.46700000000000003</v>
      </c>
      <c r="P3438" s="1" t="s">
        <v>30965</v>
      </c>
    </row>
    <row r="3439" spans="1:16" ht="33.4" x14ac:dyDescent="0.3">
      <c r="A3439" s="6" t="str">
        <f>HYPERLINK("https://www.ti.com/product/TPS62122", "TPS62122")</f>
        <v>TPS62122</v>
      </c>
      <c r="B3439" s="5" t="s">
        <v>30966</v>
      </c>
      <c r="C3439" s="6" t="str">
        <f>HYPERLINK("https://www.ti.com/lit/gpn/TPS62122", "PDF")</f>
        <v>PDF</v>
      </c>
      <c r="D3439" s="5" t="s">
        <v>30967</v>
      </c>
      <c r="E3439" s="5" t="s">
        <v>30968</v>
      </c>
      <c r="F3439" s="5" t="s">
        <v>30969</v>
      </c>
      <c r="G3439" s="5" t="s">
        <v>30970</v>
      </c>
      <c r="H3439" s="1" t="s">
        <v>30971</v>
      </c>
      <c r="I3439" s="5" t="s">
        <v>30972</v>
      </c>
      <c r="J3439" s="7">
        <v>6</v>
      </c>
      <c r="K3439" s="7">
        <v>4</v>
      </c>
      <c r="L3439" s="5" t="s">
        <v>30973</v>
      </c>
      <c r="M3439" s="7">
        <v>0.8</v>
      </c>
      <c r="N3439" s="7">
        <v>0.65</v>
      </c>
      <c r="O3439" s="7">
        <v>0.42599999999999999</v>
      </c>
      <c r="P3439" s="1" t="s">
        <v>30974</v>
      </c>
    </row>
    <row r="3440" spans="1:16" ht="33.4" x14ac:dyDescent="0.3">
      <c r="A3440" s="6" t="str">
        <f>HYPERLINK("https://www.ti.com/product/TPS65023B", "TPS65023B")</f>
        <v>TPS65023B</v>
      </c>
      <c r="B3440" s="5" t="s">
        <v>30975</v>
      </c>
      <c r="C3440" s="6" t="str">
        <f>HYPERLINK("https://www.ti.com/lit/gpn/TPS65023B", "PDF")</f>
        <v>PDF</v>
      </c>
      <c r="D3440" s="5" t="s">
        <v>30976</v>
      </c>
      <c r="E3440" s="5" t="s">
        <v>30977</v>
      </c>
      <c r="F3440" s="5"/>
      <c r="G3440" s="5" t="s">
        <v>30978</v>
      </c>
      <c r="H3440" s="1" t="s">
        <v>30979</v>
      </c>
      <c r="I3440" s="5" t="s">
        <v>30980</v>
      </c>
      <c r="J3440" s="7">
        <v>40</v>
      </c>
      <c r="K3440" s="7">
        <v>25</v>
      </c>
      <c r="L3440" s="5" t="s">
        <v>30981</v>
      </c>
      <c r="M3440" s="7">
        <v>0.8</v>
      </c>
      <c r="N3440" s="7">
        <v>0.4</v>
      </c>
      <c r="O3440" s="7">
        <v>2.0289999999999999</v>
      </c>
      <c r="P3440" s="1" t="s">
        <v>30982</v>
      </c>
    </row>
    <row r="3441" spans="1:16" ht="33.4" x14ac:dyDescent="0.3">
      <c r="A3441" s="6" t="str">
        <f>HYPERLINK("https://www.ti.com/product/UCD90910", "UCD90910")</f>
        <v>UCD90910</v>
      </c>
      <c r="B3441" s="5" t="s">
        <v>30983</v>
      </c>
      <c r="C3441" s="6" t="str">
        <f>HYPERLINK("https://www.ti.com/lit/gpn/UCD90910", "PDF")</f>
        <v>PDF</v>
      </c>
      <c r="D3441" s="5" t="s">
        <v>30984</v>
      </c>
      <c r="E3441" s="5" t="s">
        <v>30985</v>
      </c>
      <c r="F3441" s="5"/>
      <c r="G3441" s="5" t="s">
        <v>30986</v>
      </c>
      <c r="H3441" s="1" t="s">
        <v>30987</v>
      </c>
      <c r="I3441" s="5" t="s">
        <v>30988</v>
      </c>
      <c r="J3441" s="7">
        <v>64</v>
      </c>
      <c r="K3441" s="7">
        <v>81</v>
      </c>
      <c r="L3441" s="5" t="s">
        <v>30989</v>
      </c>
      <c r="M3441" s="7">
        <v>1</v>
      </c>
      <c r="N3441" s="7">
        <v>0.5</v>
      </c>
      <c r="O3441" s="7">
        <v>6.867</v>
      </c>
      <c r="P3441" s="1" t="s">
        <v>30990</v>
      </c>
    </row>
    <row r="3442" spans="1:16" ht="17.05" x14ac:dyDescent="0.3">
      <c r="A3442" s="6" t="str">
        <f>HYPERLINK("https://www.ti.com/product/TPS386596", "TPS386596")</f>
        <v>TPS386596</v>
      </c>
      <c r="B3442" s="5" t="s">
        <v>30991</v>
      </c>
      <c r="C3442" s="6" t="str">
        <f>HYPERLINK("https://www.ti.com/lit/gpn/TPS386596", "PDF")</f>
        <v>PDF</v>
      </c>
      <c r="D3442" s="5" t="s">
        <v>30992</v>
      </c>
      <c r="E3442" s="5" t="s">
        <v>30993</v>
      </c>
      <c r="F3442" s="5"/>
      <c r="G3442" s="5" t="s">
        <v>30994</v>
      </c>
      <c r="H3442" s="1" t="s">
        <v>30995</v>
      </c>
      <c r="I3442" s="5" t="s">
        <v>30996</v>
      </c>
      <c r="J3442" s="7">
        <v>8</v>
      </c>
      <c r="K3442" s="7">
        <v>14.7</v>
      </c>
      <c r="L3442" s="5" t="s">
        <v>30997</v>
      </c>
      <c r="M3442" s="7">
        <v>1.1000000000000001</v>
      </c>
      <c r="N3442" s="7">
        <v>0.65</v>
      </c>
      <c r="O3442" s="7">
        <v>1.0189999999999999</v>
      </c>
      <c r="P3442" s="1" t="s">
        <v>30998</v>
      </c>
    </row>
    <row r="3443" spans="1:16" ht="33.4" x14ac:dyDescent="0.3">
      <c r="A3443" s="6" t="str">
        <f>HYPERLINK("https://www.ti.com/product/LM3464", "LM3464")</f>
        <v>LM3464</v>
      </c>
      <c r="B3443" s="5" t="s">
        <v>30999</v>
      </c>
      <c r="C3443" s="6" t="str">
        <f>HYPERLINK("https://www.ti.com/lit/gpn/LM3464", "PDF")</f>
        <v>PDF</v>
      </c>
      <c r="D3443" s="5" t="s">
        <v>31000</v>
      </c>
      <c r="E3443" s="5" t="s">
        <v>31001</v>
      </c>
      <c r="F3443" s="5" t="s">
        <v>31002</v>
      </c>
      <c r="G3443" s="5" t="s">
        <v>31003</v>
      </c>
      <c r="H3443" s="1" t="s">
        <v>31004</v>
      </c>
      <c r="I3443" s="5" t="s">
        <v>31005</v>
      </c>
      <c r="J3443" s="7">
        <v>28</v>
      </c>
      <c r="K3443" s="7">
        <v>62.08</v>
      </c>
      <c r="L3443" s="5" t="s">
        <v>31006</v>
      </c>
      <c r="M3443" s="7">
        <v>1.2</v>
      </c>
      <c r="N3443" s="7">
        <v>0.65</v>
      </c>
      <c r="O3443" s="7">
        <v>2.5299999999999998</v>
      </c>
      <c r="P3443" s="1" t="s">
        <v>31007</v>
      </c>
    </row>
    <row r="3444" spans="1:16" ht="49.75" x14ac:dyDescent="0.3">
      <c r="A3444" s="6" t="str">
        <f>HYPERLINK("https://www.ti.com/product/LMZ10503EXT", "LMZ10503EXT")</f>
        <v>LMZ10503EXT</v>
      </c>
      <c r="B3444" s="5" t="s">
        <v>31008</v>
      </c>
      <c r="C3444" s="6" t="str">
        <f>HYPERLINK("https://www.ti.com/lit/gpn/LMZ10503EXT", "PDF")</f>
        <v>PDF</v>
      </c>
      <c r="D3444" s="5" t="s">
        <v>31009</v>
      </c>
      <c r="E3444" s="5" t="s">
        <v>31010</v>
      </c>
      <c r="F3444" s="5" t="s">
        <v>31011</v>
      </c>
      <c r="G3444" s="5" t="s">
        <v>31012</v>
      </c>
      <c r="H3444" s="1" t="s">
        <v>31013</v>
      </c>
      <c r="I3444" s="5" t="s">
        <v>31014</v>
      </c>
      <c r="J3444" s="7">
        <v>7</v>
      </c>
      <c r="K3444" s="7">
        <v>139.9032</v>
      </c>
      <c r="L3444" s="5" t="s">
        <v>31015</v>
      </c>
      <c r="M3444" s="7">
        <v>4.58</v>
      </c>
      <c r="N3444" s="7">
        <v>1.27</v>
      </c>
      <c r="O3444" s="7">
        <v>8.51</v>
      </c>
      <c r="P3444" s="1" t="s">
        <v>31016</v>
      </c>
    </row>
    <row r="3445" spans="1:16" ht="49.75" x14ac:dyDescent="0.3">
      <c r="A3445" s="6" t="str">
        <f>HYPERLINK("https://www.ti.com/product/LMZ10504EXT", "LMZ10504EXT")</f>
        <v>LMZ10504EXT</v>
      </c>
      <c r="B3445" s="5" t="s">
        <v>31017</v>
      </c>
      <c r="C3445" s="6" t="str">
        <f>HYPERLINK("https://www.ti.com/lit/gpn/LMZ10504EXT", "PDF")</f>
        <v>PDF</v>
      </c>
      <c r="D3445" s="5" t="s">
        <v>31018</v>
      </c>
      <c r="E3445" s="5" t="s">
        <v>31019</v>
      </c>
      <c r="F3445" s="5" t="s">
        <v>31020</v>
      </c>
      <c r="G3445" s="5" t="s">
        <v>31021</v>
      </c>
      <c r="H3445" s="1" t="s">
        <v>31022</v>
      </c>
      <c r="I3445" s="5" t="s">
        <v>31023</v>
      </c>
      <c r="J3445" s="7">
        <v>7</v>
      </c>
      <c r="K3445" s="7">
        <v>139.9032</v>
      </c>
      <c r="L3445" s="5" t="s">
        <v>31024</v>
      </c>
      <c r="M3445" s="7">
        <v>4.58</v>
      </c>
      <c r="N3445" s="7">
        <v>1.27</v>
      </c>
      <c r="O3445" s="7">
        <v>10.234999999999999</v>
      </c>
      <c r="P3445" s="1" t="s">
        <v>31025</v>
      </c>
    </row>
    <row r="3446" spans="1:16" ht="49.75" x14ac:dyDescent="0.3">
      <c r="A3446" s="6" t="str">
        <f>HYPERLINK("https://www.ti.com/product/LMZ10505EXT", "LMZ10505EXT")</f>
        <v>LMZ10505EXT</v>
      </c>
      <c r="B3446" s="5" t="s">
        <v>31026</v>
      </c>
      <c r="C3446" s="6" t="str">
        <f>HYPERLINK("https://www.ti.com/lit/gpn/LMZ10505EXT", "PDF")</f>
        <v>PDF</v>
      </c>
      <c r="D3446" s="5" t="s">
        <v>31027</v>
      </c>
      <c r="E3446" s="5" t="s">
        <v>31028</v>
      </c>
      <c r="F3446" s="5" t="s">
        <v>31029</v>
      </c>
      <c r="G3446" s="5" t="s">
        <v>31030</v>
      </c>
      <c r="H3446" s="1" t="s">
        <v>31031</v>
      </c>
      <c r="I3446" s="5" t="s">
        <v>31032</v>
      </c>
      <c r="J3446" s="7">
        <v>7</v>
      </c>
      <c r="K3446" s="7">
        <v>139.9032</v>
      </c>
      <c r="L3446" s="5" t="s">
        <v>31033</v>
      </c>
      <c r="M3446" s="7">
        <v>4.58</v>
      </c>
      <c r="N3446" s="7">
        <v>1.27</v>
      </c>
      <c r="O3446" s="7">
        <v>11.5</v>
      </c>
      <c r="P3446" s="1" t="s">
        <v>31034</v>
      </c>
    </row>
    <row r="3447" spans="1:16" ht="17.05" x14ac:dyDescent="0.3">
      <c r="A3447" s="6" t="str">
        <f>HYPERLINK("https://www.ti.com/product/TPS2480", "TPS2480")</f>
        <v>TPS2480</v>
      </c>
      <c r="B3447" s="5" t="s">
        <v>31035</v>
      </c>
      <c r="C3447" s="6" t="str">
        <f>HYPERLINK("https://www.ti.com/lit/gpn/TPS2480", "PDF")</f>
        <v>PDF</v>
      </c>
      <c r="D3447" s="5" t="s">
        <v>31036</v>
      </c>
      <c r="E3447" s="5" t="s">
        <v>31037</v>
      </c>
      <c r="F3447" s="5"/>
      <c r="G3447" s="5" t="s">
        <v>31038</v>
      </c>
      <c r="H3447" s="1" t="s">
        <v>31039</v>
      </c>
      <c r="I3447" s="5" t="s">
        <v>31040</v>
      </c>
      <c r="J3447" s="7">
        <v>20</v>
      </c>
      <c r="K3447" s="7">
        <v>41.6</v>
      </c>
      <c r="L3447" s="5" t="s">
        <v>31041</v>
      </c>
      <c r="M3447" s="7">
        <v>1.2</v>
      </c>
      <c r="N3447" s="7">
        <v>0.65</v>
      </c>
      <c r="O3447" s="7">
        <v>2.3279999999999998</v>
      </c>
      <c r="P3447" s="1" t="s">
        <v>31042</v>
      </c>
    </row>
    <row r="3448" spans="1:16" ht="33.4" x14ac:dyDescent="0.3">
      <c r="A3448" s="6" t="str">
        <f>HYPERLINK("https://www.ti.com/product/TPS2481", "TPS2481")</f>
        <v>TPS2481</v>
      </c>
      <c r="B3448" s="5" t="s">
        <v>31043</v>
      </c>
      <c r="C3448" s="6" t="str">
        <f>HYPERLINK("https://www.ti.com/lit/gpn/TPS2481", "PDF")</f>
        <v>PDF</v>
      </c>
      <c r="D3448" s="5" t="s">
        <v>31044</v>
      </c>
      <c r="E3448" s="5" t="s">
        <v>31045</v>
      </c>
      <c r="F3448" s="5"/>
      <c r="G3448" s="5" t="s">
        <v>31046</v>
      </c>
      <c r="H3448" s="1" t="s">
        <v>31047</v>
      </c>
      <c r="I3448" s="5" t="s">
        <v>31048</v>
      </c>
      <c r="J3448" s="7">
        <v>20</v>
      </c>
      <c r="K3448" s="7">
        <v>41.6</v>
      </c>
      <c r="L3448" s="5" t="s">
        <v>31049</v>
      </c>
      <c r="M3448" s="7">
        <v>1.2</v>
      </c>
      <c r="N3448" s="7">
        <v>0.65</v>
      </c>
      <c r="O3448" s="7">
        <v>2.3279999999999998</v>
      </c>
      <c r="P3448" s="1" t="s">
        <v>31050</v>
      </c>
    </row>
    <row r="3449" spans="1:16" ht="49.75" x14ac:dyDescent="0.3">
      <c r="A3449" s="6" t="str">
        <f>HYPERLINK("https://www.ti.com/product/REF5025-EP", "REF5025-EP")</f>
        <v>REF5025-EP</v>
      </c>
      <c r="B3449" s="5" t="s">
        <v>31051</v>
      </c>
      <c r="C3449" s="6" t="str">
        <f>HYPERLINK("https://www.ti.com/lit/gpn/REF5025-EP", "PDF")</f>
        <v>PDF</v>
      </c>
      <c r="D3449" s="5" t="s">
        <v>31052</v>
      </c>
      <c r="E3449" s="5" t="s">
        <v>31053</v>
      </c>
      <c r="F3449" s="5"/>
      <c r="G3449" s="5" t="s">
        <v>31054</v>
      </c>
      <c r="H3449" s="1" t="s">
        <v>31055</v>
      </c>
      <c r="I3449" s="5" t="s">
        <v>31056</v>
      </c>
      <c r="J3449" s="7">
        <v>8</v>
      </c>
      <c r="K3449" s="7">
        <v>29.4</v>
      </c>
      <c r="L3449" s="5" t="s">
        <v>31057</v>
      </c>
      <c r="M3449" s="7">
        <v>1.75</v>
      </c>
      <c r="N3449" s="7">
        <v>1.27</v>
      </c>
      <c r="O3449" s="7">
        <v>8.2059999999999995</v>
      </c>
      <c r="P3449" s="1" t="s">
        <v>31058</v>
      </c>
    </row>
    <row r="3450" spans="1:16" ht="49.75" x14ac:dyDescent="0.3">
      <c r="A3450" s="6" t="str">
        <f>HYPERLINK("https://www.ti.com/product/TPS40210-HT", "TPS40210-HT")</f>
        <v>TPS40210-HT</v>
      </c>
      <c r="B3450" s="5" t="s">
        <v>31059</v>
      </c>
      <c r="C3450" s="6" t="str">
        <f>HYPERLINK("https://www.ti.com/lit/gpn/TPS40210-HT", "PDF")</f>
        <v>PDF</v>
      </c>
      <c r="D3450" s="5" t="s">
        <v>31060</v>
      </c>
      <c r="E3450" s="5" t="s">
        <v>31061</v>
      </c>
      <c r="F3450" s="5" t="s">
        <v>31062</v>
      </c>
      <c r="G3450" s="5" t="s">
        <v>31063</v>
      </c>
      <c r="H3450" s="1" t="s">
        <v>31064</v>
      </c>
      <c r="I3450" s="5" t="s">
        <v>31065</v>
      </c>
      <c r="J3450" s="7" t="s">
        <v>31066</v>
      </c>
      <c r="K3450" s="7" t="s">
        <v>31067</v>
      </c>
      <c r="L3450" s="5" t="s">
        <v>31068</v>
      </c>
      <c r="M3450" s="7" t="s">
        <v>31069</v>
      </c>
      <c r="N3450" s="7" t="s">
        <v>31070</v>
      </c>
      <c r="O3450" s="7">
        <v>71.3</v>
      </c>
      <c r="P3450" s="1" t="s">
        <v>31071</v>
      </c>
    </row>
    <row r="3451" spans="1:16" ht="33.4" x14ac:dyDescent="0.3">
      <c r="A3451" s="6" t="str">
        <f>HYPERLINK("https://www.ti.com/product/TPS54521", "TPS54521")</f>
        <v>TPS54521</v>
      </c>
      <c r="B3451" s="5" t="s">
        <v>31072</v>
      </c>
      <c r="C3451" s="6" t="str">
        <f>HYPERLINK("https://www.ti.com/lit/gpn/TPS54521", "PDF")</f>
        <v>PDF</v>
      </c>
      <c r="D3451" s="5" t="s">
        <v>31073</v>
      </c>
      <c r="E3451" s="5" t="s">
        <v>31074</v>
      </c>
      <c r="F3451" s="5" t="s">
        <v>31075</v>
      </c>
      <c r="G3451" s="5" t="s">
        <v>31076</v>
      </c>
      <c r="H3451" s="1" t="s">
        <v>31077</v>
      </c>
      <c r="I3451" s="5" t="s">
        <v>31078</v>
      </c>
      <c r="J3451" s="7">
        <v>14</v>
      </c>
      <c r="K3451" s="7">
        <v>12.25</v>
      </c>
      <c r="L3451" s="5" t="s">
        <v>31079</v>
      </c>
      <c r="M3451" s="7">
        <v>1</v>
      </c>
      <c r="N3451" s="7">
        <v>0.5</v>
      </c>
      <c r="O3451" s="7">
        <v>0.80500000000000005</v>
      </c>
      <c r="P3451" s="1" t="s">
        <v>31080</v>
      </c>
    </row>
    <row r="3452" spans="1:16" ht="33.4" x14ac:dyDescent="0.3">
      <c r="A3452" s="6" t="str">
        <f>HYPERLINK("https://www.ti.com/product/CSD17311Q5", "CSD17311Q5")</f>
        <v>CSD17311Q5</v>
      </c>
      <c r="B3452" s="5" t="s">
        <v>31081</v>
      </c>
      <c r="C3452" s="6" t="str">
        <f>HYPERLINK("https://www.ti.com/lit/gpn/CSD17311Q5", "PDF")</f>
        <v>PDF</v>
      </c>
      <c r="D3452" s="5" t="s">
        <v>31082</v>
      </c>
      <c r="E3452" s="5" t="s">
        <v>31083</v>
      </c>
      <c r="F3452" s="5"/>
      <c r="G3452" s="5" t="s">
        <v>31084</v>
      </c>
      <c r="H3452" s="1" t="s">
        <v>31085</v>
      </c>
      <c r="I3452" s="5" t="s">
        <v>31086</v>
      </c>
      <c r="J3452" s="7">
        <v>8</v>
      </c>
      <c r="K3452" s="7">
        <v>30</v>
      </c>
      <c r="L3452" s="5" t="s">
        <v>31087</v>
      </c>
      <c r="M3452" s="7">
        <v>1.05</v>
      </c>
      <c r="N3452" s="7">
        <v>1.27</v>
      </c>
      <c r="O3452" s="7">
        <v>0.64200000000000002</v>
      </c>
      <c r="P3452" s="1" t="s">
        <v>31088</v>
      </c>
    </row>
    <row r="3453" spans="1:16" ht="33.4" x14ac:dyDescent="0.3">
      <c r="A3453" s="6" t="str">
        <f>HYPERLINK("https://www.ti.com/product/TPS7A80", "TPS7A80")</f>
        <v>TPS7A80</v>
      </c>
      <c r="B3453" s="5" t="s">
        <v>31089</v>
      </c>
      <c r="C3453" s="6" t="str">
        <f>HYPERLINK("https://www.ti.com/lit/gpn/TPS7A80", "PDF")</f>
        <v>PDF</v>
      </c>
      <c r="D3453" s="5" t="s">
        <v>31090</v>
      </c>
      <c r="E3453" s="5" t="s">
        <v>31091</v>
      </c>
      <c r="F3453" s="5"/>
      <c r="G3453" s="5" t="s">
        <v>31092</v>
      </c>
      <c r="H3453" s="1" t="s">
        <v>31093</v>
      </c>
      <c r="I3453" s="5" t="s">
        <v>31094</v>
      </c>
      <c r="J3453" s="7">
        <v>8</v>
      </c>
      <c r="K3453" s="7">
        <v>9</v>
      </c>
      <c r="L3453" s="5" t="s">
        <v>31095</v>
      </c>
      <c r="M3453" s="7">
        <v>1</v>
      </c>
      <c r="N3453" s="7">
        <v>0.65</v>
      </c>
      <c r="O3453" s="7">
        <v>0.78200000000000003</v>
      </c>
      <c r="P3453" s="1" t="s">
        <v>31096</v>
      </c>
    </row>
    <row r="3454" spans="1:16" ht="33.4" x14ac:dyDescent="0.3">
      <c r="A3454" s="6" t="str">
        <f>HYPERLINK("https://www.ti.com/product/UCC28070-Q1", "UCC28070-Q1")</f>
        <v>UCC28070-Q1</v>
      </c>
      <c r="B3454" s="5" t="s">
        <v>31097</v>
      </c>
      <c r="C3454" s="6" t="str">
        <f>HYPERLINK("https://www.ti.com/lit/gpn/UCC28070-Q1", "PDF")</f>
        <v>PDF</v>
      </c>
      <c r="D3454" s="5" t="s">
        <v>31098</v>
      </c>
      <c r="E3454" s="5" t="s">
        <v>31099</v>
      </c>
      <c r="F3454" s="5" t="s">
        <v>31100</v>
      </c>
      <c r="G3454" s="5" t="s">
        <v>31101</v>
      </c>
      <c r="H3454" s="1" t="s">
        <v>31102</v>
      </c>
      <c r="I3454" s="5" t="s">
        <v>31103</v>
      </c>
      <c r="J3454" s="7">
        <v>20</v>
      </c>
      <c r="K3454" s="7">
        <v>41.6</v>
      </c>
      <c r="L3454" s="5" t="s">
        <v>31104</v>
      </c>
      <c r="M3454" s="7">
        <v>1.2</v>
      </c>
      <c r="N3454" s="7">
        <v>0.65</v>
      </c>
      <c r="O3454" s="7">
        <v>1.9990000000000001</v>
      </c>
      <c r="P3454" s="1" t="s">
        <v>31105</v>
      </c>
    </row>
    <row r="3455" spans="1:16" ht="33.4" x14ac:dyDescent="0.3">
      <c r="A3455" s="6" t="str">
        <f>HYPERLINK("https://www.ti.com/product/LM34919B-Q1", "LM34919B-Q1")</f>
        <v>LM34919B-Q1</v>
      </c>
      <c r="B3455" s="5" t="s">
        <v>31106</v>
      </c>
      <c r="C3455" s="6" t="str">
        <f>HYPERLINK("https://www.ti.com/lit/gpn/LM34919B-Q1", "PDF")</f>
        <v>PDF</v>
      </c>
      <c r="D3455" s="5" t="s">
        <v>31107</v>
      </c>
      <c r="E3455" s="5" t="s">
        <v>31108</v>
      </c>
      <c r="F3455" s="5" t="s">
        <v>31109</v>
      </c>
      <c r="G3455" s="5" t="s">
        <v>31110</v>
      </c>
      <c r="H3455" s="1" t="s">
        <v>31111</v>
      </c>
      <c r="I3455" s="5" t="s">
        <v>31112</v>
      </c>
      <c r="J3455" s="7">
        <v>10</v>
      </c>
      <c r="K3455" s="7">
        <v>3.9375</v>
      </c>
      <c r="L3455" s="5" t="s">
        <v>31113</v>
      </c>
      <c r="M3455" s="7">
        <v>0.67500000000000004</v>
      </c>
      <c r="N3455" s="7">
        <v>0.5</v>
      </c>
      <c r="O3455" s="7">
        <v>1.4950000000000001</v>
      </c>
      <c r="P3455" s="1" t="s">
        <v>31114</v>
      </c>
    </row>
    <row r="3456" spans="1:16" ht="33.4" x14ac:dyDescent="0.3">
      <c r="A3456" s="6" t="str">
        <f>HYPERLINK("https://www.ti.com/product/TPS80010", "TPS80010")</f>
        <v>TPS80010</v>
      </c>
      <c r="B3456" s="5" t="s">
        <v>31115</v>
      </c>
      <c r="C3456" s="6" t="str">
        <f>HYPERLINK("https://www.ti.com/lit/gpn/TPS80010", "PDF")</f>
        <v>PDF</v>
      </c>
      <c r="D3456" s="5" t="s">
        <v>31116</v>
      </c>
      <c r="E3456" s="5" t="s">
        <v>31117</v>
      </c>
      <c r="F3456" s="5"/>
      <c r="G3456" s="5" t="s">
        <v>31118</v>
      </c>
      <c r="H3456" s="1" t="s">
        <v>31119</v>
      </c>
      <c r="I3456" s="5" t="s">
        <v>31120</v>
      </c>
      <c r="J3456" s="7">
        <v>32</v>
      </c>
      <c r="K3456" s="7">
        <v>16</v>
      </c>
      <c r="L3456" s="5" t="s">
        <v>31121</v>
      </c>
      <c r="M3456" s="7">
        <v>1</v>
      </c>
      <c r="N3456" s="7">
        <v>0.4</v>
      </c>
      <c r="O3456" s="7">
        <v>1.5</v>
      </c>
      <c r="P3456" s="1" t="s">
        <v>31122</v>
      </c>
    </row>
    <row r="3457" spans="1:16" ht="33.4" x14ac:dyDescent="0.3">
      <c r="A3457" s="6" t="str">
        <f>HYPERLINK("https://www.ti.com/product/CSD17312Q5", "CSD17312Q5")</f>
        <v>CSD17312Q5</v>
      </c>
      <c r="B3457" s="5" t="s">
        <v>31123</v>
      </c>
      <c r="C3457" s="6" t="str">
        <f>HYPERLINK("https://www.ti.com/lit/gpn/CSD17312Q5", "PDF")</f>
        <v>PDF</v>
      </c>
      <c r="D3457" s="5" t="s">
        <v>31124</v>
      </c>
      <c r="E3457" s="5" t="s">
        <v>31125</v>
      </c>
      <c r="F3457" s="5"/>
      <c r="G3457" s="5" t="s">
        <v>31126</v>
      </c>
      <c r="H3457" s="1" t="s">
        <v>31127</v>
      </c>
      <c r="I3457" s="5" t="s">
        <v>31128</v>
      </c>
      <c r="J3457" s="7">
        <v>8</v>
      </c>
      <c r="K3457" s="7">
        <v>30</v>
      </c>
      <c r="L3457" s="5" t="s">
        <v>31129</v>
      </c>
      <c r="M3457" s="7">
        <v>1.05</v>
      </c>
      <c r="N3457" s="7">
        <v>1.27</v>
      </c>
      <c r="O3457" s="7">
        <v>0.73</v>
      </c>
      <c r="P3457" s="1" t="s">
        <v>31130</v>
      </c>
    </row>
    <row r="3458" spans="1:16" ht="33.4" x14ac:dyDescent="0.3">
      <c r="A3458" s="6" t="str">
        <f>HYPERLINK("https://www.ti.com/product/SM72238", "SM72238")</f>
        <v>SM72238</v>
      </c>
      <c r="B3458" s="5" t="s">
        <v>31131</v>
      </c>
      <c r="C3458" s="6" t="str">
        <f>HYPERLINK("https://www.ti.com/lit/gpn/SM72238", "PDF")</f>
        <v>PDF</v>
      </c>
      <c r="D3458" s="5" t="s">
        <v>31132</v>
      </c>
      <c r="E3458" s="5" t="s">
        <v>31133</v>
      </c>
      <c r="F3458" s="5"/>
      <c r="G3458" s="5" t="s">
        <v>31134</v>
      </c>
      <c r="H3458" s="1" t="s">
        <v>31135</v>
      </c>
      <c r="I3458" s="5" t="s">
        <v>31136</v>
      </c>
      <c r="J3458" s="7">
        <v>3</v>
      </c>
      <c r="K3458" s="7">
        <v>65.207800000000006</v>
      </c>
      <c r="L3458" s="5" t="s">
        <v>31137</v>
      </c>
      <c r="M3458" s="7">
        <v>2.5499999999999998</v>
      </c>
      <c r="N3458" s="7">
        <v>4.57</v>
      </c>
      <c r="O3458" s="7">
        <v>1.119</v>
      </c>
      <c r="P3458" s="1" t="s">
        <v>31138</v>
      </c>
    </row>
    <row r="3459" spans="1:16" ht="33.4" x14ac:dyDescent="0.3">
      <c r="A3459" s="6" t="str">
        <f>HYPERLINK("https://www.ti.com/product/SM72295", "SM72295")</f>
        <v>SM72295</v>
      </c>
      <c r="B3459" s="5" t="s">
        <v>31139</v>
      </c>
      <c r="C3459" s="6" t="str">
        <f>HYPERLINK("https://www.ti.com/lit/gpn/SM72295", "PDF")</f>
        <v>PDF</v>
      </c>
      <c r="D3459" s="5" t="s">
        <v>31140</v>
      </c>
      <c r="E3459" s="5" t="s">
        <v>31141</v>
      </c>
      <c r="F3459" s="5"/>
      <c r="G3459" s="5" t="s">
        <v>31142</v>
      </c>
      <c r="H3459" s="1" t="s">
        <v>31143</v>
      </c>
      <c r="I3459" s="5" t="s">
        <v>31144</v>
      </c>
      <c r="J3459" s="7">
        <v>28</v>
      </c>
      <c r="K3459" s="7">
        <v>184.37</v>
      </c>
      <c r="L3459" s="5" t="s">
        <v>31145</v>
      </c>
      <c r="M3459" s="7">
        <v>2.65</v>
      </c>
      <c r="N3459" s="7">
        <v>1.27</v>
      </c>
      <c r="O3459" s="7">
        <v>1.923</v>
      </c>
      <c r="P3459" s="1" t="s">
        <v>31146</v>
      </c>
    </row>
    <row r="3460" spans="1:16" ht="17.05" x14ac:dyDescent="0.3">
      <c r="A3460" s="6" t="str">
        <f>HYPERLINK("https://www.ti.com/product/SM72482", "SM72482")</f>
        <v>SM72482</v>
      </c>
      <c r="B3460" s="5" t="s">
        <v>31147</v>
      </c>
      <c r="C3460" s="6" t="str">
        <f>HYPERLINK("https://www.ti.com/lit/gpn/SM72482", "PDF")</f>
        <v>PDF</v>
      </c>
      <c r="D3460" s="5" t="s">
        <v>31148</v>
      </c>
      <c r="E3460" s="5" t="s">
        <v>31149</v>
      </c>
      <c r="F3460" s="5"/>
      <c r="G3460" s="5" t="s">
        <v>31150</v>
      </c>
      <c r="H3460" s="1" t="s">
        <v>31151</v>
      </c>
      <c r="I3460" s="5" t="s">
        <v>31152</v>
      </c>
      <c r="J3460" s="7">
        <v>8</v>
      </c>
      <c r="K3460" s="7">
        <v>29.4</v>
      </c>
      <c r="L3460" s="5" t="s">
        <v>31153</v>
      </c>
      <c r="M3460" s="7">
        <v>1.75</v>
      </c>
      <c r="N3460" s="7">
        <v>1.27</v>
      </c>
      <c r="O3460" s="7">
        <v>0.95499999999999996</v>
      </c>
      <c r="P3460" s="1" t="s">
        <v>31154</v>
      </c>
    </row>
    <row r="3461" spans="1:16" ht="33.4" x14ac:dyDescent="0.3">
      <c r="A3461" s="6" t="str">
        <f>HYPERLINK("https://www.ti.com/product/SM72485", "SM72485")</f>
        <v>SM72485</v>
      </c>
      <c r="B3461" s="5" t="s">
        <v>31155</v>
      </c>
      <c r="C3461" s="6" t="str">
        <f>HYPERLINK("https://www.ti.com/lit/gpn/SM72485", "PDF")</f>
        <v>PDF</v>
      </c>
      <c r="D3461" s="5" t="s">
        <v>31156</v>
      </c>
      <c r="E3461" s="5" t="s">
        <v>31157</v>
      </c>
      <c r="F3461" s="5" t="s">
        <v>31158</v>
      </c>
      <c r="G3461" s="5" t="s">
        <v>31159</v>
      </c>
      <c r="H3461" s="1" t="s">
        <v>31160</v>
      </c>
      <c r="I3461" s="5" t="s">
        <v>31161</v>
      </c>
      <c r="J3461" s="7">
        <v>8</v>
      </c>
      <c r="K3461" s="7" t="s">
        <v>31162</v>
      </c>
      <c r="L3461" s="5" t="s">
        <v>31163</v>
      </c>
      <c r="M3461" s="7" t="s">
        <v>31164</v>
      </c>
      <c r="N3461" s="7" t="s">
        <v>31165</v>
      </c>
      <c r="O3461" s="7">
        <v>1.288</v>
      </c>
      <c r="P3461" s="1" t="s">
        <v>31166</v>
      </c>
    </row>
    <row r="3462" spans="1:16" ht="33.4" x14ac:dyDescent="0.3">
      <c r="A3462" s="6" t="str">
        <f>HYPERLINK("https://www.ti.com/product/CSD86311W1723", "CSD86311W1723")</f>
        <v>CSD86311W1723</v>
      </c>
      <c r="B3462" s="5" t="s">
        <v>31167</v>
      </c>
      <c r="C3462" s="6" t="str">
        <f>HYPERLINK("https://www.ti.com/lit/gpn/CSD86311W1723", "PDF")</f>
        <v>PDF</v>
      </c>
      <c r="D3462" s="5" t="s">
        <v>31168</v>
      </c>
      <c r="E3462" s="5" t="s">
        <v>31169</v>
      </c>
      <c r="F3462" s="5"/>
      <c r="G3462" s="5" t="s">
        <v>31170</v>
      </c>
      <c r="H3462" s="1" t="s">
        <v>31171</v>
      </c>
      <c r="I3462" s="5" t="s">
        <v>31172</v>
      </c>
      <c r="J3462" s="7">
        <v>12</v>
      </c>
      <c r="K3462" s="7">
        <v>3.9375</v>
      </c>
      <c r="L3462" s="5" t="s">
        <v>31173</v>
      </c>
      <c r="M3462" s="7">
        <v>0.625</v>
      </c>
      <c r="N3462" s="7">
        <v>0.5</v>
      </c>
      <c r="O3462" s="7">
        <v>0.28100000000000003</v>
      </c>
      <c r="P3462" s="1" t="s">
        <v>31174</v>
      </c>
    </row>
    <row r="3463" spans="1:16" ht="33.4" x14ac:dyDescent="0.3">
      <c r="A3463" s="6" t="str">
        <f>HYPERLINK("https://www.ti.com/product/TPS53311", "TPS53311")</f>
        <v>TPS53311</v>
      </c>
      <c r="B3463" s="5" t="s">
        <v>31175</v>
      </c>
      <c r="C3463" s="6" t="str">
        <f>HYPERLINK("https://www.ti.com/lit/gpn/TPS53311", "PDF")</f>
        <v>PDF</v>
      </c>
      <c r="D3463" s="5" t="s">
        <v>31176</v>
      </c>
      <c r="E3463" s="5" t="s">
        <v>31177</v>
      </c>
      <c r="F3463" s="5" t="s">
        <v>31178</v>
      </c>
      <c r="G3463" s="5" t="s">
        <v>31179</v>
      </c>
      <c r="H3463" s="1" t="s">
        <v>31180</v>
      </c>
      <c r="I3463" s="5" t="s">
        <v>31181</v>
      </c>
      <c r="J3463" s="7">
        <v>16</v>
      </c>
      <c r="K3463" s="7">
        <v>9</v>
      </c>
      <c r="L3463" s="5" t="s">
        <v>31182</v>
      </c>
      <c r="M3463" s="7">
        <v>1</v>
      </c>
      <c r="N3463" s="7">
        <v>0.5</v>
      </c>
      <c r="O3463" s="7">
        <v>0.17899999999999999</v>
      </c>
      <c r="P3463" s="1" t="s">
        <v>31183</v>
      </c>
    </row>
    <row r="3464" spans="1:16" ht="33.4" x14ac:dyDescent="0.3">
      <c r="A3464" s="6" t="str">
        <f>HYPERLINK("https://www.ti.com/product/TPS54319", "TPS54319")</f>
        <v>TPS54319</v>
      </c>
      <c r="B3464" s="5" t="s">
        <v>31184</v>
      </c>
      <c r="C3464" s="6" t="str">
        <f>HYPERLINK("https://www.ti.com/lit/gpn/TPS54319", "PDF")</f>
        <v>PDF</v>
      </c>
      <c r="D3464" s="5" t="s">
        <v>31185</v>
      </c>
      <c r="E3464" s="5" t="s">
        <v>31186</v>
      </c>
      <c r="F3464" s="5" t="s">
        <v>31187</v>
      </c>
      <c r="G3464" s="5" t="s">
        <v>31188</v>
      </c>
      <c r="H3464" s="1" t="s">
        <v>31189</v>
      </c>
      <c r="I3464" s="5" t="s">
        <v>31190</v>
      </c>
      <c r="J3464" s="7">
        <v>16</v>
      </c>
      <c r="K3464" s="7">
        <v>9</v>
      </c>
      <c r="L3464" s="5" t="s">
        <v>31191</v>
      </c>
      <c r="M3464" s="7">
        <v>0.8</v>
      </c>
      <c r="N3464" s="7">
        <v>0.5</v>
      </c>
      <c r="O3464" s="7">
        <v>0.72299999999999998</v>
      </c>
      <c r="P3464" s="1" t="s">
        <v>31192</v>
      </c>
    </row>
    <row r="3465" spans="1:16" ht="33.4" x14ac:dyDescent="0.3">
      <c r="A3465" s="6" t="str">
        <f>HYPERLINK("https://www.ti.com/product/SN1002018", "SN1002018")</f>
        <v>SN1002018</v>
      </c>
      <c r="B3465" s="5" t="s">
        <v>31193</v>
      </c>
      <c r="C3465" s="6" t="s">
        <v>183</v>
      </c>
      <c r="D3465" s="5" t="s">
        <v>31194</v>
      </c>
      <c r="E3465" s="5" t="s">
        <v>31195</v>
      </c>
      <c r="F3465" s="5"/>
      <c r="G3465" s="5" t="s">
        <v>31196</v>
      </c>
      <c r="H3465" s="1" t="s">
        <v>31197</v>
      </c>
      <c r="I3465" s="5" t="s">
        <v>31198</v>
      </c>
      <c r="J3465" s="7">
        <v>38</v>
      </c>
      <c r="K3465" s="7">
        <v>101.25</v>
      </c>
      <c r="L3465" s="5" t="s">
        <v>31199</v>
      </c>
      <c r="M3465" s="7">
        <v>1.2</v>
      </c>
      <c r="N3465" s="7">
        <v>0.65</v>
      </c>
      <c r="O3465" s="7">
        <v>3.8410000000000002</v>
      </c>
      <c r="P3465" s="1" t="s">
        <v>31200</v>
      </c>
    </row>
    <row r="3466" spans="1:16" ht="33.4" x14ac:dyDescent="0.3">
      <c r="A3466" s="6" t="str">
        <f>HYPERLINK("https://www.ti.com/product/LM34919B", "LM34919B")</f>
        <v>LM34919B</v>
      </c>
      <c r="B3466" s="5" t="s">
        <v>31201</v>
      </c>
      <c r="C3466" s="6" t="str">
        <f>HYPERLINK("https://www.ti.com/lit/gpn/LM34919B", "PDF")</f>
        <v>PDF</v>
      </c>
      <c r="D3466" s="5" t="s">
        <v>31202</v>
      </c>
      <c r="E3466" s="5" t="s">
        <v>31203</v>
      </c>
      <c r="F3466" s="5" t="s">
        <v>31204</v>
      </c>
      <c r="G3466" s="5" t="s">
        <v>31205</v>
      </c>
      <c r="H3466" s="1" t="s">
        <v>31206</v>
      </c>
      <c r="I3466" s="5" t="s">
        <v>31207</v>
      </c>
      <c r="J3466" s="7">
        <v>10</v>
      </c>
      <c r="K3466" s="7">
        <v>3.9375</v>
      </c>
      <c r="L3466" s="5" t="s">
        <v>31208</v>
      </c>
      <c r="M3466" s="7">
        <v>0.67500000000000004</v>
      </c>
      <c r="N3466" s="7">
        <v>0.5</v>
      </c>
      <c r="O3466" s="7">
        <v>1.2669999999999999</v>
      </c>
      <c r="P3466" s="1" t="s">
        <v>31209</v>
      </c>
    </row>
    <row r="3467" spans="1:16" ht="33.4" x14ac:dyDescent="0.3">
      <c r="A3467" s="6" t="str">
        <f>HYPERLINK("https://www.ti.com/product/PTD08D210W", "PTD08D210W")</f>
        <v>PTD08D210W</v>
      </c>
      <c r="B3467" s="5" t="s">
        <v>31210</v>
      </c>
      <c r="C3467" s="6" t="str">
        <f>HYPERLINK("https://www.ti.com/lit/gpn/PTD08D210W", "PDF")</f>
        <v>PDF</v>
      </c>
      <c r="D3467" s="5" t="s">
        <v>31211</v>
      </c>
      <c r="E3467" s="5" t="s">
        <v>31212</v>
      </c>
      <c r="F3467" s="5" t="s">
        <v>31213</v>
      </c>
      <c r="G3467" s="5" t="s">
        <v>31214</v>
      </c>
      <c r="H3467" s="1" t="s">
        <v>31215</v>
      </c>
      <c r="I3467" s="5" t="s">
        <v>31216</v>
      </c>
      <c r="J3467" s="7">
        <v>22</v>
      </c>
      <c r="K3467" s="7">
        <v>425.80560000000003</v>
      </c>
      <c r="L3467" s="5" t="s">
        <v>31217</v>
      </c>
      <c r="M3467" s="7">
        <v>6</v>
      </c>
      <c r="N3467" s="7">
        <v>2.54</v>
      </c>
      <c r="O3467" s="7">
        <v>15.992000000000001</v>
      </c>
      <c r="P3467" s="1" t="s">
        <v>31218</v>
      </c>
    </row>
    <row r="3468" spans="1:16" ht="33.4" x14ac:dyDescent="0.3">
      <c r="A3468" s="6" t="str">
        <f>HYPERLINK("https://www.ti.com/product/CSD86350Q5D", "CSD86350Q5D")</f>
        <v>CSD86350Q5D</v>
      </c>
      <c r="B3468" s="5" t="s">
        <v>31219</v>
      </c>
      <c r="C3468" s="6" t="str">
        <f>HYPERLINK("https://www.ti.com/lit/gpn/CSD86350Q5D", "PDF")</f>
        <v>PDF</v>
      </c>
      <c r="D3468" s="5" t="s">
        <v>31220</v>
      </c>
      <c r="E3468" s="5" t="s">
        <v>31221</v>
      </c>
      <c r="F3468" s="5"/>
      <c r="G3468" s="5" t="s">
        <v>31222</v>
      </c>
      <c r="H3468" s="1" t="s">
        <v>31223</v>
      </c>
      <c r="I3468" s="5" t="s">
        <v>31224</v>
      </c>
      <c r="J3468" s="7">
        <v>8</v>
      </c>
      <c r="K3468" s="7">
        <v>30</v>
      </c>
      <c r="L3468" s="5" t="s">
        <v>31225</v>
      </c>
      <c r="M3468" s="7">
        <v>1.6</v>
      </c>
      <c r="N3468" s="7">
        <v>1.27</v>
      </c>
      <c r="O3468" s="7">
        <v>0.99</v>
      </c>
      <c r="P3468" s="1" t="s">
        <v>31226</v>
      </c>
    </row>
    <row r="3469" spans="1:16" ht="33.4" x14ac:dyDescent="0.3">
      <c r="A3469" s="6" t="str">
        <f>HYPERLINK("https://www.ti.com/product/TPS59621", "TPS59621")</f>
        <v>TPS59621</v>
      </c>
      <c r="B3469" s="5" t="s">
        <v>31227</v>
      </c>
      <c r="C3469" s="6" t="str">
        <f>HYPERLINK("https://www.ti.com/lit/gpn/TPS59621", "PDF")</f>
        <v>PDF</v>
      </c>
      <c r="D3469" s="5" t="s">
        <v>31228</v>
      </c>
      <c r="E3469" s="5" t="s">
        <v>31229</v>
      </c>
      <c r="F3469" s="5" t="s">
        <v>31230</v>
      </c>
      <c r="G3469" s="5" t="s">
        <v>31231</v>
      </c>
      <c r="H3469" s="1" t="s">
        <v>31232</v>
      </c>
      <c r="I3469" s="5" t="s">
        <v>31233</v>
      </c>
      <c r="J3469" s="7">
        <v>40</v>
      </c>
      <c r="K3469" s="7">
        <v>36</v>
      </c>
      <c r="L3469" s="5" t="s">
        <v>31234</v>
      </c>
      <c r="M3469" s="7">
        <v>1</v>
      </c>
      <c r="N3469" s="7">
        <v>0.5</v>
      </c>
      <c r="O3469" s="7">
        <v>2.0030000000000001</v>
      </c>
      <c r="P3469" s="1" t="s">
        <v>31235</v>
      </c>
    </row>
    <row r="3470" spans="1:16" ht="33.4" x14ac:dyDescent="0.3">
      <c r="A3470" s="6" t="str">
        <f>HYPERLINK("https://www.ti.com/product/TPS61195", "TPS61195")</f>
        <v>TPS61195</v>
      </c>
      <c r="B3470" s="5" t="s">
        <v>31236</v>
      </c>
      <c r="C3470" s="6" t="str">
        <f>HYPERLINK("https://www.ti.com/lit/gpn/TPS61195", "PDF")</f>
        <v>PDF</v>
      </c>
      <c r="D3470" s="5" t="s">
        <v>31237</v>
      </c>
      <c r="E3470" s="5" t="s">
        <v>31238</v>
      </c>
      <c r="F3470" s="5" t="s">
        <v>31239</v>
      </c>
      <c r="G3470" s="5" t="s">
        <v>31240</v>
      </c>
      <c r="H3470" s="1" t="s">
        <v>31241</v>
      </c>
      <c r="I3470" s="5" t="s">
        <v>31242</v>
      </c>
      <c r="J3470" s="7">
        <v>28</v>
      </c>
      <c r="K3470" s="7">
        <v>16</v>
      </c>
      <c r="L3470" s="5" t="s">
        <v>31243</v>
      </c>
      <c r="M3470" s="7">
        <v>0.8</v>
      </c>
      <c r="N3470" s="7">
        <v>0.4</v>
      </c>
      <c r="O3470" s="7">
        <v>1.3959999999999999</v>
      </c>
      <c r="P3470" s="1" t="s">
        <v>31244</v>
      </c>
    </row>
    <row r="3471" spans="1:16" ht="33.4" x14ac:dyDescent="0.3">
      <c r="A3471" s="6" t="str">
        <f>HYPERLINK("https://www.ti.com/product/CSD17304Q3", "CSD17304Q3")</f>
        <v>CSD17304Q3</v>
      </c>
      <c r="B3471" s="5" t="s">
        <v>31245</v>
      </c>
      <c r="C3471" s="6" t="str">
        <f>HYPERLINK("https://www.ti.com/lit/gpn/CSD17304Q3", "PDF")</f>
        <v>PDF</v>
      </c>
      <c r="D3471" s="5" t="s">
        <v>31246</v>
      </c>
      <c r="E3471" s="5" t="s">
        <v>31247</v>
      </c>
      <c r="F3471" s="5"/>
      <c r="G3471" s="5" t="s">
        <v>31248</v>
      </c>
      <c r="H3471" s="1" t="s">
        <v>31249</v>
      </c>
      <c r="I3471" s="5" t="s">
        <v>31250</v>
      </c>
      <c r="J3471" s="7">
        <v>8</v>
      </c>
      <c r="K3471" s="7">
        <v>10.89</v>
      </c>
      <c r="L3471" s="5" t="s">
        <v>31251</v>
      </c>
      <c r="M3471" s="7">
        <v>1.1000000000000001</v>
      </c>
      <c r="N3471" s="7">
        <v>0.65</v>
      </c>
      <c r="O3471" s="7">
        <v>0.253</v>
      </c>
      <c r="P3471" s="1" t="s">
        <v>31252</v>
      </c>
    </row>
    <row r="3472" spans="1:16" ht="33.4" x14ac:dyDescent="0.3">
      <c r="A3472" s="6" t="str">
        <f>HYPERLINK("https://www.ti.com/product/LM3249", "LM3249")</f>
        <v>LM3249</v>
      </c>
      <c r="B3472" s="5" t="s">
        <v>31253</v>
      </c>
      <c r="C3472" s="6" t="s">
        <v>183</v>
      </c>
      <c r="D3472" s="5" t="s">
        <v>31254</v>
      </c>
      <c r="E3472" s="5" t="s">
        <v>31255</v>
      </c>
      <c r="F3472" s="5"/>
      <c r="G3472" s="5" t="s">
        <v>31256</v>
      </c>
      <c r="H3472" s="1" t="s">
        <v>31257</v>
      </c>
      <c r="I3472" s="5" t="s">
        <v>31258</v>
      </c>
      <c r="J3472" s="7">
        <v>25</v>
      </c>
      <c r="K3472" s="7">
        <v>7.5625</v>
      </c>
      <c r="L3472" s="5" t="s">
        <v>31259</v>
      </c>
      <c r="M3472" s="7">
        <v>0.67500000000000004</v>
      </c>
      <c r="N3472" s="7">
        <v>0.5</v>
      </c>
      <c r="O3472" s="7">
        <v>1.52</v>
      </c>
      <c r="P3472" s="1" t="s">
        <v>31260</v>
      </c>
    </row>
    <row r="3473" spans="1:16" ht="17.05" x14ac:dyDescent="0.3">
      <c r="A3473" s="6" t="str">
        <f>HYPERLINK("https://www.ti.com/product/TPS61185", "TPS61185")</f>
        <v>TPS61185</v>
      </c>
      <c r="B3473" s="5" t="s">
        <v>31261</v>
      </c>
      <c r="C3473" s="6" t="str">
        <f>HYPERLINK("https://www.ti.com/lit/gpn/TPS61185", "PDF")</f>
        <v>PDF</v>
      </c>
      <c r="D3473" s="5" t="s">
        <v>31262</v>
      </c>
      <c r="E3473" s="5" t="s">
        <v>31263</v>
      </c>
      <c r="F3473" s="5" t="s">
        <v>31264</v>
      </c>
      <c r="G3473" s="5" t="s">
        <v>31265</v>
      </c>
      <c r="H3473" s="1" t="s">
        <v>31266</v>
      </c>
      <c r="I3473" s="5" t="s">
        <v>31267</v>
      </c>
      <c r="J3473" s="7">
        <v>24</v>
      </c>
      <c r="K3473" s="7">
        <v>16</v>
      </c>
      <c r="L3473" s="5" t="s">
        <v>31268</v>
      </c>
      <c r="M3473" s="7">
        <v>1</v>
      </c>
      <c r="N3473" s="7">
        <v>0.5</v>
      </c>
      <c r="O3473" s="7">
        <v>0.48299999999999998</v>
      </c>
      <c r="P3473" s="1" t="s">
        <v>31269</v>
      </c>
    </row>
    <row r="3474" spans="1:16" ht="33.4" x14ac:dyDescent="0.3">
      <c r="A3474" s="6" t="str">
        <f>HYPERLINK("https://www.ti.com/product/TPS40304A", "TPS40304A")</f>
        <v>TPS40304A</v>
      </c>
      <c r="B3474" s="5" t="s">
        <v>31270</v>
      </c>
      <c r="C3474" s="6" t="str">
        <f>HYPERLINK("https://www.ti.com/lit/gpn/TPS40304A", "PDF")</f>
        <v>PDF</v>
      </c>
      <c r="D3474" s="5" t="s">
        <v>31271</v>
      </c>
      <c r="E3474" s="5" t="s">
        <v>31272</v>
      </c>
      <c r="F3474" s="5" t="s">
        <v>31273</v>
      </c>
      <c r="G3474" s="5" t="s">
        <v>31274</v>
      </c>
      <c r="H3474" s="1" t="s">
        <v>31275</v>
      </c>
      <c r="I3474" s="5" t="s">
        <v>31276</v>
      </c>
      <c r="J3474" s="7">
        <v>10</v>
      </c>
      <c r="K3474" s="7">
        <v>9</v>
      </c>
      <c r="L3474" s="5" t="s">
        <v>31277</v>
      </c>
      <c r="M3474" s="7">
        <v>1</v>
      </c>
      <c r="N3474" s="7">
        <v>0.5</v>
      </c>
      <c r="O3474" s="7">
        <v>0.47299999999999998</v>
      </c>
      <c r="P3474" s="1" t="s">
        <v>31278</v>
      </c>
    </row>
    <row r="3475" spans="1:16" ht="49.75" x14ac:dyDescent="0.3">
      <c r="A3475" s="6" t="str">
        <f>HYPERLINK("https://www.ti.com/product/LM2940QML-SP", "LM2940QML-SP")</f>
        <v>LM2940QML-SP</v>
      </c>
      <c r="B3475" s="5" t="s">
        <v>31279</v>
      </c>
      <c r="C3475" s="6" t="str">
        <f>HYPERLINK("https://www.ti.com/lit/gpn/LM2940QML-SP", "PDF")</f>
        <v>PDF</v>
      </c>
      <c r="D3475" s="5" t="s">
        <v>31280</v>
      </c>
      <c r="E3475" s="5" t="s">
        <v>31281</v>
      </c>
      <c r="F3475" s="5"/>
      <c r="G3475" s="5" t="s">
        <v>31282</v>
      </c>
      <c r="H3475" s="1" t="s">
        <v>31283</v>
      </c>
      <c r="I3475" s="5" t="s">
        <v>31284</v>
      </c>
      <c r="J3475" s="7" t="s">
        <v>31285</v>
      </c>
      <c r="K3475" s="7" t="s">
        <v>31286</v>
      </c>
      <c r="L3475" s="5" t="s">
        <v>31287</v>
      </c>
      <c r="M3475" s="7" t="s">
        <v>31288</v>
      </c>
      <c r="N3475" s="7" t="s">
        <v>31289</v>
      </c>
      <c r="O3475" s="7">
        <v>386.97500000000002</v>
      </c>
      <c r="P3475" s="1" t="s">
        <v>31290</v>
      </c>
    </row>
    <row r="3476" spans="1:16" ht="33.4" x14ac:dyDescent="0.3">
      <c r="A3476" s="6" t="str">
        <f>HYPERLINK("https://www.ti.com/product/TPS62404", "TPS62404")</f>
        <v>TPS62404</v>
      </c>
      <c r="B3476" s="5" t="s">
        <v>31291</v>
      </c>
      <c r="C3476" s="6" t="str">
        <f>HYPERLINK("https://www.ti.com/lit/gpn/TPS62404", "PDF")</f>
        <v>PDF</v>
      </c>
      <c r="D3476" s="5" t="s">
        <v>31292</v>
      </c>
      <c r="E3476" s="5" t="s">
        <v>31293</v>
      </c>
      <c r="F3476" s="5" t="s">
        <v>31294</v>
      </c>
      <c r="G3476" s="5" t="s">
        <v>31295</v>
      </c>
      <c r="H3476" s="1" t="s">
        <v>31296</v>
      </c>
      <c r="I3476" s="5" t="s">
        <v>31297</v>
      </c>
      <c r="J3476" s="7">
        <v>10</v>
      </c>
      <c r="K3476" s="7">
        <v>9</v>
      </c>
      <c r="L3476" s="5" t="s">
        <v>31298</v>
      </c>
      <c r="M3476" s="7">
        <v>1</v>
      </c>
      <c r="N3476" s="7">
        <v>0.5</v>
      </c>
      <c r="O3476" s="7">
        <v>0.75900000000000001</v>
      </c>
      <c r="P3476" s="1" t="s">
        <v>31299</v>
      </c>
    </row>
    <row r="3477" spans="1:16" ht="49.75" x14ac:dyDescent="0.3">
      <c r="A3477" s="6" t="str">
        <f>HYPERLINK("https://www.ti.com/product/LM8502", "LM8502")</f>
        <v>LM8502</v>
      </c>
      <c r="B3477" s="5" t="s">
        <v>31300</v>
      </c>
      <c r="C3477" s="6" t="str">
        <f>HYPERLINK("https://www.ti.com/lit/gpn/LM8502", "PDF")</f>
        <v>PDF</v>
      </c>
      <c r="D3477" s="5" t="s">
        <v>31301</v>
      </c>
      <c r="E3477" s="5" t="s">
        <v>31302</v>
      </c>
      <c r="F3477" s="5" t="s">
        <v>31303</v>
      </c>
      <c r="G3477" s="5" t="s">
        <v>31304</v>
      </c>
      <c r="H3477" s="1" t="s">
        <v>31305</v>
      </c>
      <c r="I3477" s="5" t="s">
        <v>31306</v>
      </c>
      <c r="J3477" s="7">
        <v>30</v>
      </c>
      <c r="K3477" s="7">
        <v>5.7199999999999989</v>
      </c>
      <c r="L3477" s="5" t="s">
        <v>31307</v>
      </c>
      <c r="M3477" s="7">
        <v>0.67500000000000004</v>
      </c>
      <c r="N3477" s="7">
        <v>0.4</v>
      </c>
      <c r="O3477" s="7">
        <v>1.4119999999999999</v>
      </c>
      <c r="P3477" s="1" t="s">
        <v>31308</v>
      </c>
    </row>
    <row r="3478" spans="1:16" ht="49.75" x14ac:dyDescent="0.3">
      <c r="A3478" s="6" t="str">
        <f>HYPERLINK("https://www.ti.com/product/TPS65200", "TPS65200")</f>
        <v>TPS65200</v>
      </c>
      <c r="B3478" s="5" t="s">
        <v>31309</v>
      </c>
      <c r="C3478" s="6" t="str">
        <f>HYPERLINK("https://www.ti.com/lit/gpn/TPS65200", "PDF")</f>
        <v>PDF</v>
      </c>
      <c r="D3478" s="5" t="s">
        <v>31310</v>
      </c>
      <c r="E3478" s="5" t="s">
        <v>31311</v>
      </c>
      <c r="F3478" s="5"/>
      <c r="G3478" s="5" t="s">
        <v>31312</v>
      </c>
      <c r="H3478" s="1" t="s">
        <v>31313</v>
      </c>
      <c r="I3478" s="5" t="s">
        <v>31314</v>
      </c>
      <c r="J3478" s="7">
        <v>36</v>
      </c>
      <c r="K3478" s="7">
        <v>1.4000000000000001</v>
      </c>
      <c r="L3478" s="5" t="s">
        <v>31315</v>
      </c>
      <c r="M3478" s="7">
        <v>0.625</v>
      </c>
      <c r="N3478" s="7">
        <v>0.4</v>
      </c>
      <c r="O3478" s="7">
        <v>0.95</v>
      </c>
      <c r="P3478" s="1" t="s">
        <v>31316</v>
      </c>
    </row>
    <row r="3479" spans="1:16" ht="49.75" x14ac:dyDescent="0.3">
      <c r="A3479" s="6" t="str">
        <f>HYPERLINK("https://www.ti.com/product/TLC5940-EP", "TLC5940-EP")</f>
        <v>TLC5940-EP</v>
      </c>
      <c r="B3479" s="5" t="s">
        <v>31317</v>
      </c>
      <c r="C3479" s="6" t="str">
        <f>HYPERLINK("https://www.ti.com/lit/gpn/TLC5940-EP", "PDF")</f>
        <v>PDF</v>
      </c>
      <c r="D3479" s="5" t="s">
        <v>31318</v>
      </c>
      <c r="E3479" s="5" t="s">
        <v>31319</v>
      </c>
      <c r="F3479" s="5"/>
      <c r="G3479" s="5" t="s">
        <v>31320</v>
      </c>
      <c r="H3479" s="1" t="s">
        <v>31321</v>
      </c>
      <c r="I3479" s="5" t="s">
        <v>31322</v>
      </c>
      <c r="J3479" s="7" t="s">
        <v>31323</v>
      </c>
      <c r="K3479" s="7" t="s">
        <v>31324</v>
      </c>
      <c r="L3479" s="5" t="s">
        <v>31325</v>
      </c>
      <c r="M3479" s="7" t="s">
        <v>31326</v>
      </c>
      <c r="N3479" s="7" t="s">
        <v>31327</v>
      </c>
      <c r="O3479" s="7">
        <v>3.6059999999999999</v>
      </c>
      <c r="P3479" s="1" t="s">
        <v>31328</v>
      </c>
    </row>
    <row r="3480" spans="1:16" ht="49.75" x14ac:dyDescent="0.3">
      <c r="A3480" s="6" t="str">
        <f>HYPERLINK("https://www.ti.com/product/TPS62674", "TPS62674")</f>
        <v>TPS62674</v>
      </c>
      <c r="B3480" s="5" t="s">
        <v>31329</v>
      </c>
      <c r="C3480" s="6" t="str">
        <f>HYPERLINK("https://www.ti.com/lit/gpn/TPS62674", "PDF")</f>
        <v>PDF</v>
      </c>
      <c r="D3480" s="5" t="s">
        <v>31330</v>
      </c>
      <c r="E3480" s="5" t="s">
        <v>31331</v>
      </c>
      <c r="F3480" s="5" t="s">
        <v>31332</v>
      </c>
      <c r="G3480" s="5" t="s">
        <v>31333</v>
      </c>
      <c r="H3480" s="1" t="s">
        <v>31334</v>
      </c>
      <c r="I3480" s="5" t="s">
        <v>31335</v>
      </c>
      <c r="J3480" s="7">
        <v>6</v>
      </c>
      <c r="K3480" s="7">
        <v>1.4000000000000001</v>
      </c>
      <c r="L3480" s="5" t="s">
        <v>31336</v>
      </c>
      <c r="M3480" s="7">
        <v>0.4</v>
      </c>
      <c r="N3480" s="7">
        <v>0.4</v>
      </c>
      <c r="O3480" s="7">
        <v>0.48099999999999998</v>
      </c>
      <c r="P3480" s="1" t="s">
        <v>31337</v>
      </c>
    </row>
    <row r="3481" spans="1:16" ht="49.75" x14ac:dyDescent="0.3">
      <c r="A3481" s="6" t="str">
        <f>HYPERLINK("https://www.ti.com/product/REF5020-EP", "REF5020-EP")</f>
        <v>REF5020-EP</v>
      </c>
      <c r="B3481" s="5" t="s">
        <v>31338</v>
      </c>
      <c r="C3481" s="6" t="str">
        <f>HYPERLINK("https://www.ti.com/lit/gpn/REF5020-EP", "PDF")</f>
        <v>PDF</v>
      </c>
      <c r="D3481" s="5" t="s">
        <v>31339</v>
      </c>
      <c r="E3481" s="5" t="s">
        <v>31340</v>
      </c>
      <c r="F3481" s="5"/>
      <c r="G3481" s="5" t="s">
        <v>31341</v>
      </c>
      <c r="H3481" s="1" t="s">
        <v>31342</v>
      </c>
      <c r="I3481" s="5" t="s">
        <v>31343</v>
      </c>
      <c r="J3481" s="7">
        <v>8</v>
      </c>
      <c r="K3481" s="7">
        <v>29.4</v>
      </c>
      <c r="L3481" s="5" t="s">
        <v>31344</v>
      </c>
      <c r="M3481" s="7">
        <v>1.75</v>
      </c>
      <c r="N3481" s="7">
        <v>1.27</v>
      </c>
      <c r="O3481" s="7">
        <v>6.3120000000000003</v>
      </c>
      <c r="P3481" s="1" t="s">
        <v>31345</v>
      </c>
    </row>
    <row r="3482" spans="1:16" ht="49.75" x14ac:dyDescent="0.3">
      <c r="A3482" s="6" t="str">
        <f>HYPERLINK("https://www.ti.com/product/REF5040-EP", "REF5040-EP")</f>
        <v>REF5040-EP</v>
      </c>
      <c r="B3482" s="5" t="s">
        <v>31346</v>
      </c>
      <c r="C3482" s="6" t="str">
        <f>HYPERLINK("https://www.ti.com/lit/gpn/REF5040-EP", "PDF")</f>
        <v>PDF</v>
      </c>
      <c r="D3482" s="5" t="s">
        <v>31347</v>
      </c>
      <c r="E3482" s="5" t="s">
        <v>31348</v>
      </c>
      <c r="F3482" s="5"/>
      <c r="G3482" s="5" t="s">
        <v>31349</v>
      </c>
      <c r="H3482" s="1" t="s">
        <v>31350</v>
      </c>
      <c r="I3482" s="5" t="s">
        <v>31351</v>
      </c>
      <c r="J3482" s="7">
        <v>8</v>
      </c>
      <c r="K3482" s="7">
        <v>29.4</v>
      </c>
      <c r="L3482" s="5" t="s">
        <v>31352</v>
      </c>
      <c r="M3482" s="7">
        <v>1.75</v>
      </c>
      <c r="N3482" s="7">
        <v>1.27</v>
      </c>
      <c r="O3482" s="7">
        <v>6.3120000000000003</v>
      </c>
      <c r="P3482" s="1" t="s">
        <v>31353</v>
      </c>
    </row>
    <row r="3483" spans="1:16" ht="49.75" x14ac:dyDescent="0.3">
      <c r="A3483" s="6" t="str">
        <f>HYPERLINK("https://www.ti.com/product/REF5050-EP", "REF5050-EP")</f>
        <v>REF5050-EP</v>
      </c>
      <c r="B3483" s="5" t="s">
        <v>31354</v>
      </c>
      <c r="C3483" s="6" t="str">
        <f>HYPERLINK("https://www.ti.com/lit/gpn/REF5050-EP", "PDF")</f>
        <v>PDF</v>
      </c>
      <c r="D3483" s="5" t="s">
        <v>31355</v>
      </c>
      <c r="E3483" s="5" t="s">
        <v>31356</v>
      </c>
      <c r="F3483" s="5"/>
      <c r="G3483" s="5" t="s">
        <v>31357</v>
      </c>
      <c r="H3483" s="1" t="s">
        <v>31358</v>
      </c>
      <c r="I3483" s="5" t="s">
        <v>31359</v>
      </c>
      <c r="J3483" s="7">
        <v>8</v>
      </c>
      <c r="K3483" s="7">
        <v>29.4</v>
      </c>
      <c r="L3483" s="5" t="s">
        <v>31360</v>
      </c>
      <c r="M3483" s="7">
        <v>1.75</v>
      </c>
      <c r="N3483" s="7">
        <v>1.27</v>
      </c>
      <c r="O3483" s="7">
        <v>6.3120000000000003</v>
      </c>
      <c r="P3483" s="1" t="s">
        <v>31361</v>
      </c>
    </row>
    <row r="3484" spans="1:16" ht="33.4" x14ac:dyDescent="0.3">
      <c r="A3484" s="6" t="str">
        <f>HYPERLINK("https://www.ti.com/product/TPS54240", "TPS54240")</f>
        <v>TPS54240</v>
      </c>
      <c r="B3484" s="5" t="s">
        <v>31362</v>
      </c>
      <c r="C3484" s="6" t="str">
        <f>HYPERLINK("https://www.ti.com/lit/gpn/TPS54240", "PDF")</f>
        <v>PDF</v>
      </c>
      <c r="D3484" s="5" t="s">
        <v>31363</v>
      </c>
      <c r="E3484" s="5" t="s">
        <v>31364</v>
      </c>
      <c r="F3484" s="5" t="s">
        <v>31365</v>
      </c>
      <c r="G3484" s="5" t="s">
        <v>31366</v>
      </c>
      <c r="H3484" s="1" t="s">
        <v>31367</v>
      </c>
      <c r="I3484" s="5" t="s">
        <v>31368</v>
      </c>
      <c r="J3484" s="7">
        <v>10</v>
      </c>
      <c r="K3484" s="7" t="s">
        <v>31369</v>
      </c>
      <c r="L3484" s="5" t="s">
        <v>31370</v>
      </c>
      <c r="M3484" s="7" t="s">
        <v>31371</v>
      </c>
      <c r="N3484" s="7">
        <v>0.5</v>
      </c>
      <c r="O3484" s="7">
        <v>1.38</v>
      </c>
      <c r="P3484" s="1" t="s">
        <v>31372</v>
      </c>
    </row>
    <row r="3485" spans="1:16" ht="17.05" x14ac:dyDescent="0.3">
      <c r="A3485" s="6" t="str">
        <f>HYPERLINK("https://www.ti.com/product/TPS2456", "TPS2456")</f>
        <v>TPS2456</v>
      </c>
      <c r="B3485" s="5" t="s">
        <v>31373</v>
      </c>
      <c r="C3485" s="6" t="str">
        <f>HYPERLINK("https://www.ti.com/lit/gpn/TPS2456", "PDF")</f>
        <v>PDF</v>
      </c>
      <c r="D3485" s="5" t="s">
        <v>31374</v>
      </c>
      <c r="E3485" s="5" t="s">
        <v>31375</v>
      </c>
      <c r="F3485" s="5"/>
      <c r="G3485" s="5" t="s">
        <v>31376</v>
      </c>
      <c r="H3485" s="1" t="s">
        <v>31377</v>
      </c>
      <c r="I3485" s="5" t="s">
        <v>31378</v>
      </c>
      <c r="J3485" s="7">
        <v>36</v>
      </c>
      <c r="K3485" s="7">
        <v>36</v>
      </c>
      <c r="L3485" s="5" t="s">
        <v>31379</v>
      </c>
      <c r="M3485" s="7">
        <v>1</v>
      </c>
      <c r="N3485" s="7">
        <v>0.5</v>
      </c>
      <c r="O3485" s="7">
        <v>4.1890000000000001</v>
      </c>
      <c r="P3485" s="1" t="s">
        <v>31380</v>
      </c>
    </row>
    <row r="3486" spans="1:16" ht="33.4" x14ac:dyDescent="0.3">
      <c r="A3486" s="6" t="str">
        <f>HYPERLINK("https://www.ti.com/product/TPS65250", "TPS65250")</f>
        <v>TPS65250</v>
      </c>
      <c r="B3486" s="5" t="s">
        <v>31381</v>
      </c>
      <c r="C3486" s="6" t="str">
        <f>HYPERLINK("https://www.ti.com/lit/gpn/TPS65250", "PDF")</f>
        <v>PDF</v>
      </c>
      <c r="D3486" s="5" t="s">
        <v>31382</v>
      </c>
      <c r="E3486" s="5" t="s">
        <v>31383</v>
      </c>
      <c r="F3486" s="5" t="s">
        <v>31384</v>
      </c>
      <c r="G3486" s="5" t="s">
        <v>31385</v>
      </c>
      <c r="H3486" s="1" t="s">
        <v>31386</v>
      </c>
      <c r="I3486" s="5" t="s">
        <v>31387</v>
      </c>
      <c r="J3486" s="7">
        <v>40</v>
      </c>
      <c r="K3486" s="7">
        <v>36</v>
      </c>
      <c r="L3486" s="5" t="s">
        <v>31388</v>
      </c>
      <c r="M3486" s="7">
        <v>1</v>
      </c>
      <c r="N3486" s="7">
        <v>0.5</v>
      </c>
      <c r="O3486" s="7">
        <v>1.7809999999999999</v>
      </c>
      <c r="P3486" s="1" t="s">
        <v>31389</v>
      </c>
    </row>
    <row r="3487" spans="1:16" ht="33.4" x14ac:dyDescent="0.3">
      <c r="A3487" s="6" t="str">
        <f>HYPERLINK("https://www.ti.com/product/TPS65251", "TPS65251")</f>
        <v>TPS65251</v>
      </c>
      <c r="B3487" s="5" t="s">
        <v>31390</v>
      </c>
      <c r="C3487" s="6" t="str">
        <f>HYPERLINK("https://www.ti.com/lit/gpn/TPS65251", "PDF")</f>
        <v>PDF</v>
      </c>
      <c r="D3487" s="5" t="s">
        <v>31391</v>
      </c>
      <c r="E3487" s="5" t="s">
        <v>31392</v>
      </c>
      <c r="F3487" s="5" t="s">
        <v>31393</v>
      </c>
      <c r="G3487" s="5" t="s">
        <v>31394</v>
      </c>
      <c r="H3487" s="1" t="s">
        <v>31395</v>
      </c>
      <c r="I3487" s="5" t="s">
        <v>31396</v>
      </c>
      <c r="J3487" s="7">
        <v>40</v>
      </c>
      <c r="K3487" s="7">
        <v>36</v>
      </c>
      <c r="L3487" s="5" t="s">
        <v>31397</v>
      </c>
      <c r="M3487" s="7">
        <v>1</v>
      </c>
      <c r="N3487" s="7">
        <v>0.5</v>
      </c>
      <c r="O3487" s="7">
        <v>1.9770000000000001</v>
      </c>
      <c r="P3487" s="1" t="s">
        <v>31398</v>
      </c>
    </row>
    <row r="3488" spans="1:16" ht="49.75" x14ac:dyDescent="0.3">
      <c r="A3488" s="6" t="str">
        <f>HYPERLINK("https://www.ti.com/product/TLC59213A", "TLC59213A")</f>
        <v>TLC59213A</v>
      </c>
      <c r="B3488" s="5" t="s">
        <v>31399</v>
      </c>
      <c r="C3488" s="6" t="str">
        <f>HYPERLINK("https://www.ti.com/lit/gpn/TLC59213A", "PDF")</f>
        <v>PDF</v>
      </c>
      <c r="D3488" s="5" t="s">
        <v>31400</v>
      </c>
      <c r="E3488" s="5" t="s">
        <v>31401</v>
      </c>
      <c r="F3488" s="5" t="s">
        <v>31402</v>
      </c>
      <c r="G3488" s="5" t="s">
        <v>31403</v>
      </c>
      <c r="H3488" s="1" t="s">
        <v>31404</v>
      </c>
      <c r="I3488" s="5" t="s">
        <v>31405</v>
      </c>
      <c r="J3488" s="7">
        <v>20</v>
      </c>
      <c r="K3488" s="7" t="s">
        <v>31406</v>
      </c>
      <c r="L3488" s="5" t="s">
        <v>31407</v>
      </c>
      <c r="M3488" s="7" t="s">
        <v>31408</v>
      </c>
      <c r="N3488" s="7" t="s">
        <v>31409</v>
      </c>
      <c r="O3488" s="7">
        <v>0.753</v>
      </c>
      <c r="P3488" s="1" t="s">
        <v>31410</v>
      </c>
    </row>
    <row r="3489" spans="1:16" ht="33.4" x14ac:dyDescent="0.3">
      <c r="A3489" s="6" t="str">
        <f>HYPERLINK("https://www.ti.com/product/TPS59610", "TPS59610")</f>
        <v>TPS59610</v>
      </c>
      <c r="B3489" s="5" t="s">
        <v>31411</v>
      </c>
      <c r="C3489" s="6" t="str">
        <f>HYPERLINK("https://www.ti.com/lit/gpn/TPS59610", "PDF")</f>
        <v>PDF</v>
      </c>
      <c r="D3489" s="5" t="s">
        <v>31412</v>
      </c>
      <c r="E3489" s="5" t="s">
        <v>31413</v>
      </c>
      <c r="F3489" s="5" t="s">
        <v>31414</v>
      </c>
      <c r="G3489" s="5" t="s">
        <v>31415</v>
      </c>
      <c r="H3489" s="1" t="s">
        <v>31416</v>
      </c>
      <c r="I3489" s="5" t="s">
        <v>31417</v>
      </c>
      <c r="J3489" s="7">
        <v>32</v>
      </c>
      <c r="K3489" s="7">
        <v>25</v>
      </c>
      <c r="L3489" s="5" t="s">
        <v>31418</v>
      </c>
      <c r="M3489" s="7">
        <v>1</v>
      </c>
      <c r="N3489" s="7">
        <v>0.5</v>
      </c>
      <c r="O3489" s="7">
        <v>1.5580000000000001</v>
      </c>
      <c r="P3489" s="1" t="s">
        <v>31419</v>
      </c>
    </row>
    <row r="3490" spans="1:16" ht="33.4" x14ac:dyDescent="0.3">
      <c r="A3490" s="6" t="str">
        <f>HYPERLINK("https://www.ti.com/product/TPS62410-Q1", "TPS62410-Q1")</f>
        <v>TPS62410-Q1</v>
      </c>
      <c r="B3490" s="5" t="s">
        <v>31420</v>
      </c>
      <c r="C3490" s="6" t="str">
        <f>HYPERLINK("https://www.ti.com/lit/gpn/TPS62410-Q1", "PDF")</f>
        <v>PDF</v>
      </c>
      <c r="D3490" s="5" t="s">
        <v>31421</v>
      </c>
      <c r="E3490" s="5" t="s">
        <v>31422</v>
      </c>
      <c r="F3490" s="5" t="s">
        <v>31423</v>
      </c>
      <c r="G3490" s="5" t="s">
        <v>31424</v>
      </c>
      <c r="H3490" s="1" t="s">
        <v>31425</v>
      </c>
      <c r="I3490" s="5" t="s">
        <v>31426</v>
      </c>
      <c r="J3490" s="7">
        <v>10</v>
      </c>
      <c r="K3490" s="7">
        <v>9</v>
      </c>
      <c r="L3490" s="5" t="s">
        <v>31427</v>
      </c>
      <c r="M3490" s="7">
        <v>1</v>
      </c>
      <c r="N3490" s="7">
        <v>0.5</v>
      </c>
      <c r="O3490" s="7">
        <v>0.96399999999999997</v>
      </c>
      <c r="P3490" s="1" t="s">
        <v>31428</v>
      </c>
    </row>
    <row r="3491" spans="1:16" ht="33.4" x14ac:dyDescent="0.3">
      <c r="A3491" s="6" t="str">
        <f>HYPERLINK("https://www.ti.com/product/TPS63020", "TPS63020")</f>
        <v>TPS63020</v>
      </c>
      <c r="B3491" s="5" t="s">
        <v>31429</v>
      </c>
      <c r="C3491" s="6" t="str">
        <f>HYPERLINK("https://www.ti.com/lit/gpn/TPS63020", "PDF")</f>
        <v>PDF</v>
      </c>
      <c r="D3491" s="5" t="s">
        <v>31430</v>
      </c>
      <c r="E3491" s="5" t="s">
        <v>31431</v>
      </c>
      <c r="F3491" s="5" t="s">
        <v>31432</v>
      </c>
      <c r="G3491" s="5" t="s">
        <v>31433</v>
      </c>
      <c r="H3491" s="1" t="s">
        <v>31434</v>
      </c>
      <c r="I3491" s="5" t="s">
        <v>31435</v>
      </c>
      <c r="J3491" s="7">
        <v>14</v>
      </c>
      <c r="K3491" s="7">
        <v>12</v>
      </c>
      <c r="L3491" s="5" t="s">
        <v>31436</v>
      </c>
      <c r="M3491" s="7">
        <v>1</v>
      </c>
      <c r="N3491" s="7">
        <v>0.5</v>
      </c>
      <c r="O3491" s="7">
        <v>1.1499999999999999</v>
      </c>
      <c r="P3491" s="1" t="s">
        <v>31437</v>
      </c>
    </row>
    <row r="3492" spans="1:16" ht="33.4" x14ac:dyDescent="0.3">
      <c r="A3492" s="6" t="str">
        <f>HYPERLINK("https://www.ti.com/product/TPS63021", "TPS63021")</f>
        <v>TPS63021</v>
      </c>
      <c r="B3492" s="5" t="s">
        <v>31438</v>
      </c>
      <c r="C3492" s="6" t="str">
        <f>HYPERLINK("https://www.ti.com/lit/gpn/TPS63021", "PDF")</f>
        <v>PDF</v>
      </c>
      <c r="D3492" s="5" t="s">
        <v>31439</v>
      </c>
      <c r="E3492" s="5" t="s">
        <v>31440</v>
      </c>
      <c r="F3492" s="5" t="s">
        <v>31441</v>
      </c>
      <c r="G3492" s="5" t="s">
        <v>31442</v>
      </c>
      <c r="H3492" s="1" t="s">
        <v>31443</v>
      </c>
      <c r="I3492" s="5" t="s">
        <v>31444</v>
      </c>
      <c r="J3492" s="7">
        <v>14</v>
      </c>
      <c r="K3492" s="7">
        <v>12</v>
      </c>
      <c r="L3492" s="5" t="s">
        <v>31445</v>
      </c>
      <c r="M3492" s="7">
        <v>1</v>
      </c>
      <c r="N3492" s="7">
        <v>0.5</v>
      </c>
      <c r="O3492" s="7">
        <v>1.1499999999999999</v>
      </c>
      <c r="P3492" s="1" t="s">
        <v>31446</v>
      </c>
    </row>
    <row r="3493" spans="1:16" ht="33.4" x14ac:dyDescent="0.3">
      <c r="A3493" s="6" t="str">
        <f>HYPERLINK("https://www.ti.com/product/TPS61071-Q1", "TPS61071-Q1")</f>
        <v>TPS61071-Q1</v>
      </c>
      <c r="B3493" s="5" t="s">
        <v>31447</v>
      </c>
      <c r="C3493" s="6" t="str">
        <f>HYPERLINK("https://www.ti.com/lit/gpn/TPS61071-Q1", "PDF")</f>
        <v>PDF</v>
      </c>
      <c r="D3493" s="5" t="s">
        <v>31448</v>
      </c>
      <c r="E3493" s="5" t="s">
        <v>31449</v>
      </c>
      <c r="F3493" s="5" t="s">
        <v>31450</v>
      </c>
      <c r="G3493" s="5" t="s">
        <v>31451</v>
      </c>
      <c r="H3493" s="1" t="s">
        <v>31452</v>
      </c>
      <c r="I3493" s="5" t="s">
        <v>31453</v>
      </c>
      <c r="J3493" s="7">
        <v>6</v>
      </c>
      <c r="K3493" s="7">
        <v>8.1199999999999992</v>
      </c>
      <c r="L3493" s="5" t="s">
        <v>31454</v>
      </c>
      <c r="M3493" s="7">
        <v>1.1000000000000001</v>
      </c>
      <c r="N3493" s="7">
        <v>0.95</v>
      </c>
      <c r="O3493" s="7">
        <v>0.47299999999999998</v>
      </c>
      <c r="P3493" s="1" t="s">
        <v>31455</v>
      </c>
    </row>
    <row r="3494" spans="1:16" ht="17.05" x14ac:dyDescent="0.3">
      <c r="A3494" s="6" t="str">
        <f>HYPERLINK("https://www.ti.com/product/LM3409-Q1", "LM3409-Q1")</f>
        <v>LM3409-Q1</v>
      </c>
      <c r="B3494" s="5" t="s">
        <v>31456</v>
      </c>
      <c r="C3494" s="6" t="str">
        <f>HYPERLINK("https://www.ti.com/lit/gpn/LM3409-Q1", "PDF")</f>
        <v>PDF</v>
      </c>
      <c r="D3494" s="5" t="s">
        <v>31457</v>
      </c>
      <c r="E3494" s="5" t="s">
        <v>31458</v>
      </c>
      <c r="F3494" s="5" t="s">
        <v>31459</v>
      </c>
      <c r="G3494" s="5" t="s">
        <v>31460</v>
      </c>
      <c r="H3494" s="1" t="s">
        <v>31461</v>
      </c>
      <c r="I3494" s="5" t="s">
        <v>31462</v>
      </c>
      <c r="J3494" s="7">
        <v>10</v>
      </c>
      <c r="K3494" s="7">
        <v>14.7</v>
      </c>
      <c r="L3494" s="5" t="s">
        <v>31463</v>
      </c>
      <c r="M3494" s="7">
        <v>1.1000000000000001</v>
      </c>
      <c r="N3494" s="7">
        <v>0.5</v>
      </c>
      <c r="O3494" s="7">
        <v>0.72299999999999998</v>
      </c>
      <c r="P3494" s="1" t="s">
        <v>31464</v>
      </c>
    </row>
    <row r="3495" spans="1:16" ht="17.05" x14ac:dyDescent="0.3">
      <c r="A3495" s="6" t="str">
        <f>HYPERLINK("https://www.ti.com/product/LM3409HV-Q1", "LM3409HV-Q1")</f>
        <v>LM3409HV-Q1</v>
      </c>
      <c r="B3495" s="5" t="s">
        <v>31465</v>
      </c>
      <c r="C3495" s="6" t="str">
        <f>HYPERLINK("https://www.ti.com/lit/gpn/LM3409HV-Q1", "PDF")</f>
        <v>PDF</v>
      </c>
      <c r="D3495" s="5" t="s">
        <v>31466</v>
      </c>
      <c r="E3495" s="5" t="s">
        <v>31467</v>
      </c>
      <c r="F3495" s="5" t="s">
        <v>31468</v>
      </c>
      <c r="G3495" s="5" t="s">
        <v>31469</v>
      </c>
      <c r="H3495" s="1" t="s">
        <v>31470</v>
      </c>
      <c r="I3495" s="5" t="s">
        <v>31471</v>
      </c>
      <c r="J3495" s="7">
        <v>10</v>
      </c>
      <c r="K3495" s="7">
        <v>14.7</v>
      </c>
      <c r="L3495" s="5" t="s">
        <v>31472</v>
      </c>
      <c r="M3495" s="7">
        <v>1.1000000000000001</v>
      </c>
      <c r="N3495" s="7">
        <v>0.5</v>
      </c>
      <c r="O3495" s="7">
        <v>0.82799999999999996</v>
      </c>
      <c r="P3495" s="1" t="s">
        <v>31473</v>
      </c>
    </row>
    <row r="3496" spans="1:16" ht="17.05" x14ac:dyDescent="0.3">
      <c r="A3496" s="6" t="str">
        <f>HYPERLINK("https://www.ti.com/product/TPS22904", "TPS22904")</f>
        <v>TPS22904</v>
      </c>
      <c r="B3496" s="5" t="s">
        <v>31474</v>
      </c>
      <c r="C3496" s="6" t="str">
        <f>HYPERLINK("https://www.ti.com/lit/gpn/TPS22904", "PDF")</f>
        <v>PDF</v>
      </c>
      <c r="D3496" s="5" t="s">
        <v>31475</v>
      </c>
      <c r="E3496" s="5" t="s">
        <v>31476</v>
      </c>
      <c r="F3496" s="5"/>
      <c r="G3496" s="5" t="s">
        <v>31477</v>
      </c>
      <c r="H3496" s="1" t="s">
        <v>31478</v>
      </c>
      <c r="I3496" s="5" t="s">
        <v>31479</v>
      </c>
      <c r="J3496" s="7">
        <v>4</v>
      </c>
      <c r="K3496" s="7">
        <v>1</v>
      </c>
      <c r="L3496" s="5" t="s">
        <v>31480</v>
      </c>
      <c r="M3496" s="7">
        <v>0.5</v>
      </c>
      <c r="N3496" s="7">
        <v>0.4</v>
      </c>
      <c r="O3496" s="7">
        <v>0.253</v>
      </c>
      <c r="P3496" s="1" t="s">
        <v>31481</v>
      </c>
    </row>
    <row r="3497" spans="1:16" ht="33.4" x14ac:dyDescent="0.3">
      <c r="A3497" s="6" t="str">
        <f>HYPERLINK("https://www.ti.com/product/CSD17309Q3", "CSD17309Q3")</f>
        <v>CSD17309Q3</v>
      </c>
      <c r="B3497" s="5" t="s">
        <v>31482</v>
      </c>
      <c r="C3497" s="6" t="str">
        <f>HYPERLINK("https://www.ti.com/lit/gpn/CSD17309Q3", "PDF")</f>
        <v>PDF</v>
      </c>
      <c r="D3497" s="5" t="s">
        <v>31483</v>
      </c>
      <c r="E3497" s="5" t="s">
        <v>31484</v>
      </c>
      <c r="F3497" s="5"/>
      <c r="G3497" s="5" t="s">
        <v>31485</v>
      </c>
      <c r="H3497" s="1" t="s">
        <v>31486</v>
      </c>
      <c r="I3497" s="5" t="s">
        <v>31487</v>
      </c>
      <c r="J3497" s="7">
        <v>8</v>
      </c>
      <c r="K3497" s="7">
        <v>10.89</v>
      </c>
      <c r="L3497" s="5" t="s">
        <v>31488</v>
      </c>
      <c r="M3497" s="7">
        <v>1.1000000000000001</v>
      </c>
      <c r="N3497" s="7">
        <v>0.65</v>
      </c>
      <c r="O3497" s="7">
        <v>0.32600000000000001</v>
      </c>
      <c r="P3497" s="1" t="s">
        <v>31489</v>
      </c>
    </row>
    <row r="3498" spans="1:16" ht="33.4" x14ac:dyDescent="0.3">
      <c r="A3498" s="6" t="str">
        <f>HYPERLINK("https://www.ti.com/product/LMZ12001", "LMZ12001")</f>
        <v>LMZ12001</v>
      </c>
      <c r="B3498" s="5" t="s">
        <v>31490</v>
      </c>
      <c r="C3498" s="6" t="str">
        <f>HYPERLINK("https://www.ti.com/lit/gpn/LMZ12001", "PDF")</f>
        <v>PDF</v>
      </c>
      <c r="D3498" s="5" t="s">
        <v>31491</v>
      </c>
      <c r="E3498" s="5" t="s">
        <v>31492</v>
      </c>
      <c r="F3498" s="5" t="s">
        <v>31493</v>
      </c>
      <c r="G3498" s="5" t="s">
        <v>31494</v>
      </c>
      <c r="H3498" s="1" t="s">
        <v>31495</v>
      </c>
      <c r="I3498" s="5" t="s">
        <v>31496</v>
      </c>
      <c r="J3498" s="7">
        <v>7</v>
      </c>
      <c r="K3498" s="7">
        <v>139.9032</v>
      </c>
      <c r="L3498" s="5" t="s">
        <v>31497</v>
      </c>
      <c r="M3498" s="7">
        <v>4.58</v>
      </c>
      <c r="N3498" s="7">
        <v>1.27</v>
      </c>
      <c r="O3498" s="7">
        <v>4.8010000000000002</v>
      </c>
      <c r="P3498" s="1" t="s">
        <v>31498</v>
      </c>
    </row>
    <row r="3499" spans="1:16" ht="33.4" x14ac:dyDescent="0.3">
      <c r="A3499" s="6" t="str">
        <f>HYPERLINK("https://www.ti.com/product/LMZ12002", "LMZ12002")</f>
        <v>LMZ12002</v>
      </c>
      <c r="B3499" s="5" t="s">
        <v>31499</v>
      </c>
      <c r="C3499" s="6" t="str">
        <f>HYPERLINK("https://www.ti.com/lit/gpn/LMZ12002", "PDF")</f>
        <v>PDF</v>
      </c>
      <c r="D3499" s="5" t="s">
        <v>31500</v>
      </c>
      <c r="E3499" s="5" t="s">
        <v>31501</v>
      </c>
      <c r="F3499" s="5" t="s">
        <v>31502</v>
      </c>
      <c r="G3499" s="5" t="s">
        <v>31503</v>
      </c>
      <c r="H3499" s="1" t="s">
        <v>31504</v>
      </c>
      <c r="I3499" s="5" t="s">
        <v>31505</v>
      </c>
      <c r="J3499" s="7">
        <v>7</v>
      </c>
      <c r="K3499" s="7">
        <v>139.9032</v>
      </c>
      <c r="L3499" s="5" t="s">
        <v>31506</v>
      </c>
      <c r="M3499" s="7">
        <v>4.58</v>
      </c>
      <c r="N3499" s="7">
        <v>1.27</v>
      </c>
      <c r="O3499" s="7">
        <v>4.87</v>
      </c>
      <c r="P3499" s="1" t="s">
        <v>31507</v>
      </c>
    </row>
    <row r="3500" spans="1:16" ht="33.4" x14ac:dyDescent="0.3">
      <c r="A3500" s="6" t="str">
        <f>HYPERLINK("https://www.ti.com/product/LMZ14201", "LMZ14201")</f>
        <v>LMZ14201</v>
      </c>
      <c r="B3500" s="5" t="s">
        <v>31508</v>
      </c>
      <c r="C3500" s="6" t="str">
        <f>HYPERLINK("https://www.ti.com/lit/gpn/LMZ14201", "PDF")</f>
        <v>PDF</v>
      </c>
      <c r="D3500" s="5" t="s">
        <v>31509</v>
      </c>
      <c r="E3500" s="5" t="s">
        <v>31510</v>
      </c>
      <c r="F3500" s="5" t="s">
        <v>31511</v>
      </c>
      <c r="G3500" s="5" t="s">
        <v>31512</v>
      </c>
      <c r="H3500" s="1" t="s">
        <v>31513</v>
      </c>
      <c r="I3500" s="5" t="s">
        <v>31514</v>
      </c>
      <c r="J3500" s="7">
        <v>7</v>
      </c>
      <c r="K3500" s="7">
        <v>139.9032</v>
      </c>
      <c r="L3500" s="5" t="s">
        <v>31515</v>
      </c>
      <c r="M3500" s="7">
        <v>4.58</v>
      </c>
      <c r="N3500" s="7">
        <v>1.27</v>
      </c>
      <c r="O3500" s="7">
        <v>6.54</v>
      </c>
      <c r="P3500" s="1" t="s">
        <v>31516</v>
      </c>
    </row>
    <row r="3501" spans="1:16" ht="33.4" x14ac:dyDescent="0.3">
      <c r="A3501" s="6" t="str">
        <f>HYPERLINK("https://www.ti.com/product/LMZ14202", "LMZ14202")</f>
        <v>LMZ14202</v>
      </c>
      <c r="B3501" s="5" t="s">
        <v>31517</v>
      </c>
      <c r="C3501" s="6" t="str">
        <f>HYPERLINK("https://www.ti.com/lit/gpn/LMZ14202", "PDF")</f>
        <v>PDF</v>
      </c>
      <c r="D3501" s="5" t="s">
        <v>31518</v>
      </c>
      <c r="E3501" s="5" t="s">
        <v>31519</v>
      </c>
      <c r="F3501" s="5" t="s">
        <v>31520</v>
      </c>
      <c r="G3501" s="5" t="s">
        <v>31521</v>
      </c>
      <c r="H3501" s="1" t="s">
        <v>31522</v>
      </c>
      <c r="I3501" s="5" t="s">
        <v>31523</v>
      </c>
      <c r="J3501" s="7">
        <v>7</v>
      </c>
      <c r="K3501" s="7">
        <v>139.9032</v>
      </c>
      <c r="L3501" s="5" t="s">
        <v>31524</v>
      </c>
      <c r="M3501" s="7">
        <v>4.58</v>
      </c>
      <c r="N3501" s="7">
        <v>1.27</v>
      </c>
      <c r="O3501" s="7">
        <v>7.6849999999999996</v>
      </c>
      <c r="P3501" s="1" t="s">
        <v>31525</v>
      </c>
    </row>
    <row r="3502" spans="1:16" ht="17.05" x14ac:dyDescent="0.3">
      <c r="A3502" s="6" t="str">
        <f>HYPERLINK("https://www.ti.com/product/TPS61310", "TPS61310")</f>
        <v>TPS61310</v>
      </c>
      <c r="B3502" s="5" t="s">
        <v>31526</v>
      </c>
      <c r="C3502" s="6" t="str">
        <f>HYPERLINK("https://www.ti.com/lit/gpn/TPS61310", "PDF")</f>
        <v>PDF</v>
      </c>
      <c r="D3502" s="5" t="s">
        <v>31527</v>
      </c>
      <c r="E3502" s="5" t="s">
        <v>31528</v>
      </c>
      <c r="F3502" s="5" t="s">
        <v>31529</v>
      </c>
      <c r="G3502" s="5" t="s">
        <v>31530</v>
      </c>
      <c r="H3502" s="1" t="s">
        <v>31531</v>
      </c>
      <c r="I3502" s="5" t="s">
        <v>31532</v>
      </c>
      <c r="J3502" s="7">
        <v>20</v>
      </c>
      <c r="K3502" s="7">
        <v>3.96</v>
      </c>
      <c r="L3502" s="5" t="s">
        <v>31533</v>
      </c>
      <c r="M3502" s="7">
        <v>0.625</v>
      </c>
      <c r="N3502" s="7">
        <v>0.4</v>
      </c>
      <c r="O3502" s="7">
        <v>0.52700000000000002</v>
      </c>
      <c r="P3502" s="1" t="s">
        <v>31534</v>
      </c>
    </row>
    <row r="3503" spans="1:16" ht="33.4" x14ac:dyDescent="0.3">
      <c r="A3503" s="6" t="str">
        <f>HYPERLINK("https://www.ti.com/product/TPS61325", "TPS61325")</f>
        <v>TPS61325</v>
      </c>
      <c r="B3503" s="5" t="s">
        <v>31535</v>
      </c>
      <c r="C3503" s="6" t="str">
        <f>HYPERLINK("https://www.ti.com/lit/gpn/TPS61325", "PDF")</f>
        <v>PDF</v>
      </c>
      <c r="D3503" s="5" t="s">
        <v>31536</v>
      </c>
      <c r="E3503" s="5" t="s">
        <v>31537</v>
      </c>
      <c r="F3503" s="5" t="s">
        <v>31538</v>
      </c>
      <c r="G3503" s="5" t="s">
        <v>31539</v>
      </c>
      <c r="H3503" s="1" t="s">
        <v>31540</v>
      </c>
      <c r="I3503" s="5" t="s">
        <v>31541</v>
      </c>
      <c r="J3503" s="7">
        <v>20</v>
      </c>
      <c r="K3503" s="7">
        <v>3.96</v>
      </c>
      <c r="L3503" s="5" t="s">
        <v>31542</v>
      </c>
      <c r="M3503" s="7">
        <v>0.625</v>
      </c>
      <c r="N3503" s="7">
        <v>0.4</v>
      </c>
      <c r="O3503" s="7">
        <v>0.68799999999999994</v>
      </c>
      <c r="P3503" s="1" t="s">
        <v>31543</v>
      </c>
    </row>
    <row r="3504" spans="1:16" ht="49.75" x14ac:dyDescent="0.3">
      <c r="A3504" s="6" t="str">
        <f>HYPERLINK("https://www.ti.com/product/TPS62612", "TPS62612")</f>
        <v>TPS62612</v>
      </c>
      <c r="B3504" s="5" t="s">
        <v>31544</v>
      </c>
      <c r="C3504" s="6" t="str">
        <f>HYPERLINK("https://www.ti.com/lit/gpn/TPS62612", "PDF")</f>
        <v>PDF</v>
      </c>
      <c r="D3504" s="5" t="s">
        <v>31545</v>
      </c>
      <c r="E3504" s="5" t="s">
        <v>31546</v>
      </c>
      <c r="F3504" s="5" t="s">
        <v>31547</v>
      </c>
      <c r="G3504" s="5" t="s">
        <v>31548</v>
      </c>
      <c r="H3504" s="1" t="s">
        <v>31549</v>
      </c>
      <c r="I3504" s="5" t="s">
        <v>31550</v>
      </c>
      <c r="J3504" s="7">
        <v>6</v>
      </c>
      <c r="K3504" s="7">
        <v>1.4000000000000001</v>
      </c>
      <c r="L3504" s="5" t="s">
        <v>31551</v>
      </c>
      <c r="M3504" s="7">
        <v>0.4</v>
      </c>
      <c r="N3504" s="7">
        <v>0.4</v>
      </c>
      <c r="O3504" s="7">
        <v>0.434</v>
      </c>
      <c r="P3504" s="1" t="s">
        <v>31552</v>
      </c>
    </row>
    <row r="3505" spans="1:16" ht="49.75" x14ac:dyDescent="0.3">
      <c r="A3505" s="6" t="str">
        <f>HYPERLINK("https://www.ti.com/product/TPS62616", "TPS62616")</f>
        <v>TPS62616</v>
      </c>
      <c r="B3505" s="5" t="s">
        <v>31553</v>
      </c>
      <c r="C3505" s="6" t="str">
        <f>HYPERLINK("https://www.ti.com/lit/gpn/TPS62616", "PDF")</f>
        <v>PDF</v>
      </c>
      <c r="D3505" s="5" t="s">
        <v>31554</v>
      </c>
      <c r="E3505" s="5" t="s">
        <v>31555</v>
      </c>
      <c r="F3505" s="5" t="s">
        <v>31556</v>
      </c>
      <c r="G3505" s="5" t="s">
        <v>31557</v>
      </c>
      <c r="H3505" s="1" t="s">
        <v>31558</v>
      </c>
      <c r="I3505" s="5" t="s">
        <v>31559</v>
      </c>
      <c r="J3505" s="7">
        <v>6</v>
      </c>
      <c r="K3505" s="7">
        <v>1.4000000000000001</v>
      </c>
      <c r="L3505" s="5" t="s">
        <v>31560</v>
      </c>
      <c r="M3505" s="7">
        <v>0.4</v>
      </c>
      <c r="N3505" s="7">
        <v>0.4</v>
      </c>
      <c r="O3505" s="7">
        <v>0.434</v>
      </c>
      <c r="P3505" s="1" t="s">
        <v>31561</v>
      </c>
    </row>
    <row r="3506" spans="1:16" ht="49.75" x14ac:dyDescent="0.3">
      <c r="A3506" s="6" t="str">
        <f>HYPERLINK("https://www.ti.com/product/TPS62619", "TPS62619")</f>
        <v>TPS62619</v>
      </c>
      <c r="B3506" s="5" t="s">
        <v>31562</v>
      </c>
      <c r="C3506" s="6" t="str">
        <f>HYPERLINK("https://www.ti.com/lit/gpn/TPS62619", "PDF")</f>
        <v>PDF</v>
      </c>
      <c r="D3506" s="5" t="s">
        <v>31563</v>
      </c>
      <c r="E3506" s="5" t="s">
        <v>31564</v>
      </c>
      <c r="F3506" s="5" t="s">
        <v>31565</v>
      </c>
      <c r="G3506" s="5" t="s">
        <v>31566</v>
      </c>
      <c r="H3506" s="1" t="s">
        <v>31567</v>
      </c>
      <c r="I3506" s="5" t="s">
        <v>31568</v>
      </c>
      <c r="J3506" s="7">
        <v>6</v>
      </c>
      <c r="K3506" s="7">
        <v>1.4000000000000001</v>
      </c>
      <c r="L3506" s="5" t="s">
        <v>31569</v>
      </c>
      <c r="M3506" s="7">
        <v>0.4</v>
      </c>
      <c r="N3506" s="7">
        <v>0.4</v>
      </c>
      <c r="O3506" s="7">
        <v>0.434</v>
      </c>
      <c r="P3506" s="1" t="s">
        <v>31570</v>
      </c>
    </row>
    <row r="3507" spans="1:16" ht="49.75" x14ac:dyDescent="0.3">
      <c r="A3507" s="6" t="str">
        <f>HYPERLINK("https://www.ti.com/product/TPS62660", "TPS62660")</f>
        <v>TPS62660</v>
      </c>
      <c r="B3507" s="5" t="s">
        <v>31571</v>
      </c>
      <c r="C3507" s="6" t="str">
        <f>HYPERLINK("https://www.ti.com/lit/gpn/TPS62660", "PDF")</f>
        <v>PDF</v>
      </c>
      <c r="D3507" s="5" t="s">
        <v>31572</v>
      </c>
      <c r="E3507" s="5" t="s">
        <v>31573</v>
      </c>
      <c r="F3507" s="5" t="s">
        <v>31574</v>
      </c>
      <c r="G3507" s="5" t="s">
        <v>31575</v>
      </c>
      <c r="H3507" s="1" t="s">
        <v>31576</v>
      </c>
      <c r="I3507" s="5" t="s">
        <v>31577</v>
      </c>
      <c r="J3507" s="7">
        <v>6</v>
      </c>
      <c r="K3507" s="7">
        <v>1.4000000000000001</v>
      </c>
      <c r="L3507" s="5" t="s">
        <v>31578</v>
      </c>
      <c r="M3507" s="7">
        <v>0.625</v>
      </c>
      <c r="N3507" s="7">
        <v>0.4</v>
      </c>
      <c r="O3507" s="7">
        <v>0.65700000000000003</v>
      </c>
      <c r="P3507" s="1" t="s">
        <v>31579</v>
      </c>
    </row>
    <row r="3508" spans="1:16" ht="33.4" x14ac:dyDescent="0.3">
      <c r="A3508" s="6" t="str">
        <f>HYPERLINK("https://www.ti.com/product/TL1963A-Q1", "TL1963A-Q1")</f>
        <v>TL1963A-Q1</v>
      </c>
      <c r="B3508" s="5" t="s">
        <v>31580</v>
      </c>
      <c r="C3508" s="6" t="str">
        <f>HYPERLINK("https://www.ti.com/lit/gpn/TL1963A-Q1", "PDF")</f>
        <v>PDF</v>
      </c>
      <c r="D3508" s="5" t="s">
        <v>31581</v>
      </c>
      <c r="E3508" s="5" t="s">
        <v>31582</v>
      </c>
      <c r="F3508" s="5"/>
      <c r="G3508" s="5" t="s">
        <v>31583</v>
      </c>
      <c r="H3508" s="1" t="s">
        <v>31584</v>
      </c>
      <c r="I3508" s="5" t="s">
        <v>31585</v>
      </c>
      <c r="J3508" s="7">
        <v>5</v>
      </c>
      <c r="K3508" s="7">
        <v>154.83840000000001</v>
      </c>
      <c r="L3508" s="5" t="s">
        <v>31586</v>
      </c>
      <c r="M3508" s="7">
        <v>4.83</v>
      </c>
      <c r="N3508" s="7">
        <v>1.7</v>
      </c>
      <c r="O3508" s="7">
        <v>1.7829999999999999</v>
      </c>
      <c r="P3508" s="1" t="s">
        <v>31587</v>
      </c>
    </row>
    <row r="3509" spans="1:16" ht="49.75" x14ac:dyDescent="0.3">
      <c r="A3509" s="6" t="str">
        <f>HYPERLINK("https://www.ti.com/product/TL4050A50-Q1", "TL4050A50-Q1")</f>
        <v>TL4050A50-Q1</v>
      </c>
      <c r="B3509" s="5" t="s">
        <v>31588</v>
      </c>
      <c r="C3509" s="6" t="str">
        <f>HYPERLINK("https://www.ti.com/lit/gpn/TL4050A50-Q1", "PDF")</f>
        <v>PDF</v>
      </c>
      <c r="D3509" s="5" t="s">
        <v>31589</v>
      </c>
      <c r="E3509" s="5" t="s">
        <v>31590</v>
      </c>
      <c r="F3509" s="5"/>
      <c r="G3509" s="5" t="s">
        <v>31591</v>
      </c>
      <c r="H3509" s="1" t="s">
        <v>31592</v>
      </c>
      <c r="I3509" s="5" t="s">
        <v>31593</v>
      </c>
      <c r="J3509" s="7" t="s">
        <v>31594</v>
      </c>
      <c r="K3509" s="7" t="s">
        <v>31595</v>
      </c>
      <c r="L3509" s="5" t="s">
        <v>31596</v>
      </c>
      <c r="M3509" s="7" t="s">
        <v>31597</v>
      </c>
      <c r="N3509" s="7" t="s">
        <v>31598</v>
      </c>
      <c r="O3509" s="7">
        <v>1.298</v>
      </c>
      <c r="P3509" s="1" t="s">
        <v>31599</v>
      </c>
    </row>
    <row r="3510" spans="1:16" ht="33.4" x14ac:dyDescent="0.3">
      <c r="A3510" s="6" t="str">
        <f>HYPERLINK("https://www.ti.com/product/TPS53127", "TPS53127")</f>
        <v>TPS53127</v>
      </c>
      <c r="B3510" s="5" t="s">
        <v>31600</v>
      </c>
      <c r="C3510" s="6" t="str">
        <f>HYPERLINK("https://www.ti.com/lit/gpn/TPS53127", "PDF")</f>
        <v>PDF</v>
      </c>
      <c r="D3510" s="5" t="s">
        <v>31601</v>
      </c>
      <c r="E3510" s="5" t="s">
        <v>31602</v>
      </c>
      <c r="F3510" s="5" t="s">
        <v>31603</v>
      </c>
      <c r="G3510" s="5" t="s">
        <v>31604</v>
      </c>
      <c r="H3510" s="1" t="s">
        <v>31605</v>
      </c>
      <c r="I3510" s="5" t="s">
        <v>31606</v>
      </c>
      <c r="J3510" s="7">
        <v>24</v>
      </c>
      <c r="K3510" s="7" t="s">
        <v>31607</v>
      </c>
      <c r="L3510" s="5" t="s">
        <v>31608</v>
      </c>
      <c r="M3510" s="7" t="s">
        <v>31609</v>
      </c>
      <c r="N3510" s="7" t="s">
        <v>31610</v>
      </c>
      <c r="O3510" s="7">
        <v>1.2709999999999999</v>
      </c>
      <c r="P3510" s="1" t="s">
        <v>31611</v>
      </c>
    </row>
    <row r="3511" spans="1:16" ht="33.4" x14ac:dyDescent="0.3">
      <c r="A3511" s="6" t="str">
        <f>HYPERLINK("https://www.ti.com/product/TPS74701-Q1", "TPS74701-Q1")</f>
        <v>TPS74701-Q1</v>
      </c>
      <c r="B3511" s="5" t="s">
        <v>31612</v>
      </c>
      <c r="C3511" s="6" t="str">
        <f>HYPERLINK("https://www.ti.com/lit/gpn/TPS74701-Q1", "PDF")</f>
        <v>PDF</v>
      </c>
      <c r="D3511" s="5" t="s">
        <v>31613</v>
      </c>
      <c r="E3511" s="5" t="s">
        <v>31614</v>
      </c>
      <c r="F3511" s="5"/>
      <c r="G3511" s="5" t="s">
        <v>31615</v>
      </c>
      <c r="H3511" s="1" t="s">
        <v>31616</v>
      </c>
      <c r="I3511" s="5" t="s">
        <v>31617</v>
      </c>
      <c r="J3511" s="7">
        <v>10</v>
      </c>
      <c r="K3511" s="7">
        <v>9</v>
      </c>
      <c r="L3511" s="5" t="s">
        <v>31618</v>
      </c>
      <c r="M3511" s="7">
        <v>1</v>
      </c>
      <c r="N3511" s="7">
        <v>0.5</v>
      </c>
      <c r="O3511" s="7">
        <v>0.32600000000000001</v>
      </c>
      <c r="P3511" s="1" t="s">
        <v>31619</v>
      </c>
    </row>
    <row r="3512" spans="1:16" ht="33.4" x14ac:dyDescent="0.3">
      <c r="A3512" s="6" t="str">
        <f>HYPERLINK("https://www.ti.com/product/CSD17303Q5", "CSD17303Q5")</f>
        <v>CSD17303Q5</v>
      </c>
      <c r="B3512" s="5" t="s">
        <v>31620</v>
      </c>
      <c r="C3512" s="6" t="str">
        <f>HYPERLINK("https://www.ti.com/lit/gpn/CSD17303Q5", "PDF")</f>
        <v>PDF</v>
      </c>
      <c r="D3512" s="5" t="s">
        <v>31621</v>
      </c>
      <c r="E3512" s="5" t="s">
        <v>31622</v>
      </c>
      <c r="F3512" s="5"/>
      <c r="G3512" s="5" t="s">
        <v>31623</v>
      </c>
      <c r="H3512" s="1" t="s">
        <v>31624</v>
      </c>
      <c r="I3512" s="5" t="s">
        <v>31625</v>
      </c>
      <c r="J3512" s="7">
        <v>8</v>
      </c>
      <c r="K3512" s="7">
        <v>30</v>
      </c>
      <c r="L3512" s="5" t="s">
        <v>31626</v>
      </c>
      <c r="M3512" s="7">
        <v>1.05</v>
      </c>
      <c r="N3512" s="7">
        <v>1.27</v>
      </c>
      <c r="O3512" s="7">
        <v>0.56399999999999995</v>
      </c>
      <c r="P3512" s="1" t="s">
        <v>31627</v>
      </c>
    </row>
    <row r="3513" spans="1:16" ht="33.4" x14ac:dyDescent="0.3">
      <c r="A3513" s="6" t="str">
        <f>HYPERLINK("https://www.ti.com/product/CSD17313Q2", "CSD17313Q2")</f>
        <v>CSD17313Q2</v>
      </c>
      <c r="B3513" s="5" t="s">
        <v>31628</v>
      </c>
      <c r="C3513" s="6" t="str">
        <f>HYPERLINK("https://www.ti.com/lit/gpn/CSD17313Q2", "PDF")</f>
        <v>PDF</v>
      </c>
      <c r="D3513" s="5" t="s">
        <v>31629</v>
      </c>
      <c r="E3513" s="5" t="s">
        <v>31630</v>
      </c>
      <c r="F3513" s="5"/>
      <c r="G3513" s="5" t="s">
        <v>31631</v>
      </c>
      <c r="H3513" s="1" t="s">
        <v>31632</v>
      </c>
      <c r="I3513" s="5" t="s">
        <v>31633</v>
      </c>
      <c r="J3513" s="7">
        <v>6</v>
      </c>
      <c r="K3513" s="7">
        <v>4</v>
      </c>
      <c r="L3513" s="5" t="s">
        <v>31634</v>
      </c>
      <c r="M3513" s="7">
        <v>0.8</v>
      </c>
      <c r="N3513" s="7">
        <v>0.65</v>
      </c>
      <c r="O3513" s="7">
        <v>0.107</v>
      </c>
      <c r="P3513" s="1" t="s">
        <v>31635</v>
      </c>
    </row>
    <row r="3514" spans="1:16" ht="17.05" x14ac:dyDescent="0.3">
      <c r="A3514" s="6" t="str">
        <f>HYPERLINK("https://www.ti.com/product/TPS650250-Q1", "TPS650250-Q1")</f>
        <v>TPS650250-Q1</v>
      </c>
      <c r="B3514" s="5" t="s">
        <v>31636</v>
      </c>
      <c r="C3514" s="6" t="str">
        <f>HYPERLINK("https://www.ti.com/lit/gpn/TPS650250-Q1", "PDF")</f>
        <v>PDF</v>
      </c>
      <c r="D3514" s="5" t="s">
        <v>31637</v>
      </c>
      <c r="E3514" s="5" t="s">
        <v>31638</v>
      </c>
      <c r="F3514" s="5"/>
      <c r="G3514" s="5" t="s">
        <v>31639</v>
      </c>
      <c r="H3514" s="1" t="s">
        <v>31640</v>
      </c>
      <c r="I3514" s="5" t="s">
        <v>31641</v>
      </c>
      <c r="J3514" s="7">
        <v>32</v>
      </c>
      <c r="K3514" s="7">
        <v>25</v>
      </c>
      <c r="L3514" s="5" t="s">
        <v>31642</v>
      </c>
      <c r="M3514" s="7">
        <v>1</v>
      </c>
      <c r="N3514" s="7">
        <v>0.5</v>
      </c>
      <c r="O3514" s="7">
        <v>3.1040000000000001</v>
      </c>
      <c r="P3514" s="1" t="s">
        <v>31643</v>
      </c>
    </row>
    <row r="3515" spans="1:16" ht="33.4" x14ac:dyDescent="0.3">
      <c r="A3515" s="6" t="str">
        <f>HYPERLINK("https://www.ti.com/product/TPS54260", "TPS54260")</f>
        <v>TPS54260</v>
      </c>
      <c r="B3515" s="5" t="s">
        <v>31644</v>
      </c>
      <c r="C3515" s="6" t="str">
        <f>HYPERLINK("https://www.ti.com/lit/gpn/TPS54260", "PDF")</f>
        <v>PDF</v>
      </c>
      <c r="D3515" s="5" t="s">
        <v>31645</v>
      </c>
      <c r="E3515" s="5" t="s">
        <v>31646</v>
      </c>
      <c r="F3515" s="5" t="s">
        <v>31647</v>
      </c>
      <c r="G3515" s="5" t="s">
        <v>31648</v>
      </c>
      <c r="H3515" s="1" t="s">
        <v>31649</v>
      </c>
      <c r="I3515" s="5" t="s">
        <v>31650</v>
      </c>
      <c r="J3515" s="7">
        <v>10</v>
      </c>
      <c r="K3515" s="7" t="s">
        <v>31651</v>
      </c>
      <c r="L3515" s="5" t="s">
        <v>31652</v>
      </c>
      <c r="M3515" s="7" t="s">
        <v>31653</v>
      </c>
      <c r="N3515" s="7">
        <v>0.5</v>
      </c>
      <c r="O3515" s="7">
        <v>1.724</v>
      </c>
      <c r="P3515" s="1" t="s">
        <v>31654</v>
      </c>
    </row>
    <row r="3516" spans="1:16" ht="33.4" x14ac:dyDescent="0.3">
      <c r="A3516" s="6" t="str">
        <f>HYPERLINK("https://www.ti.com/product/TPS62060", "TPS62060")</f>
        <v>TPS62060</v>
      </c>
      <c r="B3516" s="5" t="s">
        <v>31655</v>
      </c>
      <c r="C3516" s="6" t="str">
        <f>HYPERLINK("https://www.ti.com/lit/gpn/TPS62060", "PDF")</f>
        <v>PDF</v>
      </c>
      <c r="D3516" s="5" t="s">
        <v>31656</v>
      </c>
      <c r="E3516" s="5" t="s">
        <v>31657</v>
      </c>
      <c r="F3516" s="5" t="s">
        <v>31658</v>
      </c>
      <c r="G3516" s="5" t="s">
        <v>31659</v>
      </c>
      <c r="H3516" s="1" t="s">
        <v>31660</v>
      </c>
      <c r="I3516" s="5" t="s">
        <v>31661</v>
      </c>
      <c r="J3516" s="7">
        <v>8</v>
      </c>
      <c r="K3516" s="7">
        <v>4</v>
      </c>
      <c r="L3516" s="5" t="s">
        <v>31662</v>
      </c>
      <c r="M3516" s="7">
        <v>0.8</v>
      </c>
      <c r="N3516" s="7">
        <v>0.5</v>
      </c>
      <c r="O3516" s="7">
        <v>0.78400000000000003</v>
      </c>
      <c r="P3516" s="1" t="s">
        <v>31663</v>
      </c>
    </row>
    <row r="3517" spans="1:16" ht="49.75" x14ac:dyDescent="0.3">
      <c r="A3517" s="6" t="str">
        <f>HYPERLINK("https://www.ti.com/product/TPS74401-EP", "TPS74401-EP")</f>
        <v>TPS74401-EP</v>
      </c>
      <c r="B3517" s="5" t="s">
        <v>31664</v>
      </c>
      <c r="C3517" s="6" t="str">
        <f>HYPERLINK("https://www.ti.com/lit/gpn/TPS74401-EP", "PDF")</f>
        <v>PDF</v>
      </c>
      <c r="D3517" s="5" t="s">
        <v>31665</v>
      </c>
      <c r="E3517" s="5" t="s">
        <v>31666</v>
      </c>
      <c r="F3517" s="5"/>
      <c r="G3517" s="5" t="s">
        <v>31667</v>
      </c>
      <c r="H3517" s="1" t="s">
        <v>31668</v>
      </c>
      <c r="I3517" s="5" t="s">
        <v>31669</v>
      </c>
      <c r="J3517" s="7">
        <v>20</v>
      </c>
      <c r="K3517" s="7">
        <v>25</v>
      </c>
      <c r="L3517" s="5" t="s">
        <v>31670</v>
      </c>
      <c r="M3517" s="7">
        <v>1</v>
      </c>
      <c r="N3517" s="7">
        <v>0.65</v>
      </c>
      <c r="O3517" s="7">
        <v>13.131</v>
      </c>
      <c r="P3517" s="1" t="s">
        <v>31671</v>
      </c>
    </row>
    <row r="3518" spans="1:16" ht="33.4" x14ac:dyDescent="0.3">
      <c r="A3518" s="6" t="str">
        <f>HYPERLINK("https://www.ti.com/product/TPS65950", "TPS65950")</f>
        <v>TPS65950</v>
      </c>
      <c r="B3518" s="5" t="s">
        <v>31672</v>
      </c>
      <c r="C3518" s="6" t="str">
        <f>HYPERLINK("https://www.ti.com/lit/gpn/TPS65950", "PDF")</f>
        <v>PDF</v>
      </c>
      <c r="D3518" s="5" t="s">
        <v>31673</v>
      </c>
      <c r="E3518" s="5" t="s">
        <v>31674</v>
      </c>
      <c r="F3518" s="5"/>
      <c r="G3518" s="5" t="s">
        <v>31675</v>
      </c>
      <c r="H3518" s="1" t="s">
        <v>31676</v>
      </c>
      <c r="I3518" s="5" t="s">
        <v>31677</v>
      </c>
      <c r="J3518" s="7">
        <v>209</v>
      </c>
      <c r="K3518" s="7">
        <v>49</v>
      </c>
      <c r="L3518" s="5" t="s">
        <v>31678</v>
      </c>
      <c r="M3518" s="7">
        <v>1</v>
      </c>
      <c r="N3518" s="7">
        <v>0.4</v>
      </c>
      <c r="O3518" s="7">
        <v>5.9130000000000003</v>
      </c>
      <c r="P3518" s="1" t="s">
        <v>31679</v>
      </c>
    </row>
    <row r="3519" spans="1:16" ht="33.4" x14ac:dyDescent="0.3">
      <c r="A3519" s="6" t="str">
        <f>HYPERLINK("https://www.ti.com/product/TPS73801", "TPS73801")</f>
        <v>TPS73801</v>
      </c>
      <c r="B3519" s="5" t="s">
        <v>31680</v>
      </c>
      <c r="C3519" s="6" t="str">
        <f>HYPERLINK("https://www.ti.com/lit/gpn/TPS73801", "PDF")</f>
        <v>PDF</v>
      </c>
      <c r="D3519" s="5" t="s">
        <v>31681</v>
      </c>
      <c r="E3519" s="5" t="s">
        <v>31682</v>
      </c>
      <c r="F3519" s="5"/>
      <c r="G3519" s="5" t="s">
        <v>31683</v>
      </c>
      <c r="H3519" s="1" t="s">
        <v>31684</v>
      </c>
      <c r="I3519" s="5" t="s">
        <v>31685</v>
      </c>
      <c r="J3519" s="7">
        <v>6</v>
      </c>
      <c r="K3519" s="7">
        <v>45.89</v>
      </c>
      <c r="L3519" s="5" t="s">
        <v>31686</v>
      </c>
      <c r="M3519" s="7">
        <v>1.8</v>
      </c>
      <c r="N3519" s="7">
        <v>1.27</v>
      </c>
      <c r="O3519" s="7">
        <v>1.0629999999999999</v>
      </c>
      <c r="P3519" s="1" t="s">
        <v>31687</v>
      </c>
    </row>
    <row r="3520" spans="1:16" ht="33.4" x14ac:dyDescent="0.3">
      <c r="A3520" s="6" t="str">
        <f>HYPERLINK("https://www.ti.com/product/CSD17308Q3", "CSD17308Q3")</f>
        <v>CSD17308Q3</v>
      </c>
      <c r="B3520" s="5" t="s">
        <v>31688</v>
      </c>
      <c r="C3520" s="6" t="str">
        <f>HYPERLINK("https://www.ti.com/lit/gpn/CSD17308Q3", "PDF")</f>
        <v>PDF</v>
      </c>
      <c r="D3520" s="5" t="s">
        <v>31689</v>
      </c>
      <c r="E3520" s="5" t="s">
        <v>31690</v>
      </c>
      <c r="F3520" s="5"/>
      <c r="G3520" s="5" t="s">
        <v>31691</v>
      </c>
      <c r="H3520" s="1" t="s">
        <v>31692</v>
      </c>
      <c r="I3520" s="5" t="s">
        <v>31693</v>
      </c>
      <c r="J3520" s="7">
        <v>8</v>
      </c>
      <c r="K3520" s="7">
        <v>10.89</v>
      </c>
      <c r="L3520" s="5" t="s">
        <v>31694</v>
      </c>
      <c r="M3520" s="7">
        <v>1.1000000000000001</v>
      </c>
      <c r="N3520" s="7">
        <v>0.65</v>
      </c>
      <c r="O3520" s="7">
        <v>0.24199999999999999</v>
      </c>
      <c r="P3520" s="1" t="s">
        <v>31695</v>
      </c>
    </row>
    <row r="3521" spans="1:16" ht="33.4" x14ac:dyDescent="0.3">
      <c r="A3521" s="6" t="str">
        <f>HYPERLINK("https://www.ti.com/product/TPS2419", "TPS2419")</f>
        <v>TPS2419</v>
      </c>
      <c r="B3521" s="5" t="s">
        <v>31696</v>
      </c>
      <c r="C3521" s="6" t="str">
        <f>HYPERLINK("https://www.ti.com/lit/gpn/TPS2419", "PDF")</f>
        <v>PDF</v>
      </c>
      <c r="D3521" s="5" t="s">
        <v>31697</v>
      </c>
      <c r="E3521" s="5" t="s">
        <v>31698</v>
      </c>
      <c r="F3521" s="5"/>
      <c r="G3521" s="5" t="s">
        <v>31699</v>
      </c>
      <c r="H3521" s="1" t="s">
        <v>31700</v>
      </c>
      <c r="I3521" s="5" t="s">
        <v>31701</v>
      </c>
      <c r="J3521" s="7">
        <v>8</v>
      </c>
      <c r="K3521" s="7" t="s">
        <v>31702</v>
      </c>
      <c r="L3521" s="5" t="s">
        <v>31703</v>
      </c>
      <c r="M3521" s="7" t="s">
        <v>31704</v>
      </c>
      <c r="N3521" s="7" t="s">
        <v>31705</v>
      </c>
      <c r="O3521" s="7">
        <v>1.04</v>
      </c>
      <c r="P3521" s="1" t="s">
        <v>31706</v>
      </c>
    </row>
    <row r="3522" spans="1:16" ht="33.4" x14ac:dyDescent="0.3">
      <c r="A3522" s="6" t="str">
        <f>HYPERLINK("https://www.ti.com/product/LMZ23610", "LMZ23610")</f>
        <v>LMZ23610</v>
      </c>
      <c r="B3522" s="5" t="s">
        <v>31707</v>
      </c>
      <c r="C3522" s="6" t="str">
        <f>HYPERLINK("https://www.ti.com/lit/gpn/LMZ23610", "PDF")</f>
        <v>PDF</v>
      </c>
      <c r="D3522" s="5" t="s">
        <v>31708</v>
      </c>
      <c r="E3522" s="5" t="s">
        <v>31709</v>
      </c>
      <c r="F3522" s="5" t="s">
        <v>31710</v>
      </c>
      <c r="G3522" s="5" t="s">
        <v>31711</v>
      </c>
      <c r="H3522" s="1" t="s">
        <v>31712</v>
      </c>
      <c r="I3522" s="5" t="s">
        <v>31713</v>
      </c>
      <c r="J3522" s="7">
        <v>11</v>
      </c>
      <c r="K3522" s="7">
        <v>266.85000000000002</v>
      </c>
      <c r="L3522" s="5" t="s">
        <v>31714</v>
      </c>
      <c r="M3522" s="7">
        <v>6</v>
      </c>
      <c r="N3522" s="7">
        <v>1.27</v>
      </c>
      <c r="O3522" s="7">
        <v>18.22</v>
      </c>
      <c r="P3522" s="1" t="s">
        <v>31715</v>
      </c>
    </row>
    <row r="3523" spans="1:16" ht="33.4" x14ac:dyDescent="0.3">
      <c r="A3523" s="6" t="str">
        <f>HYPERLINK("https://www.ti.com/product/TPS62065", "TPS62065")</f>
        <v>TPS62065</v>
      </c>
      <c r="B3523" s="5" t="s">
        <v>31716</v>
      </c>
      <c r="C3523" s="6" t="str">
        <f>HYPERLINK("https://www.ti.com/lit/gpn/TPS62065", "PDF")</f>
        <v>PDF</v>
      </c>
      <c r="D3523" s="5" t="s">
        <v>31717</v>
      </c>
      <c r="E3523" s="5" t="s">
        <v>31718</v>
      </c>
      <c r="F3523" s="5" t="s">
        <v>31719</v>
      </c>
      <c r="G3523" s="5" t="s">
        <v>31720</v>
      </c>
      <c r="H3523" s="1" t="s">
        <v>31721</v>
      </c>
      <c r="I3523" s="5" t="s">
        <v>31722</v>
      </c>
      <c r="J3523" s="7">
        <v>8</v>
      </c>
      <c r="K3523" s="7">
        <v>4</v>
      </c>
      <c r="L3523" s="5" t="s">
        <v>31723</v>
      </c>
      <c r="M3523" s="7">
        <v>0.8</v>
      </c>
      <c r="N3523" s="7">
        <v>0.5</v>
      </c>
      <c r="O3523" s="7">
        <v>0.72499999999999998</v>
      </c>
      <c r="P3523" s="1" t="s">
        <v>31724</v>
      </c>
    </row>
    <row r="3524" spans="1:16" ht="33.4" x14ac:dyDescent="0.3">
      <c r="A3524" s="6" t="str">
        <f>HYPERLINK("https://www.ti.com/product/TPS62067", "TPS62067")</f>
        <v>TPS62067</v>
      </c>
      <c r="B3524" s="5" t="s">
        <v>31725</v>
      </c>
      <c r="C3524" s="6" t="str">
        <f>HYPERLINK("https://www.ti.com/lit/gpn/TPS62067", "PDF")</f>
        <v>PDF</v>
      </c>
      <c r="D3524" s="5" t="s">
        <v>31726</v>
      </c>
      <c r="E3524" s="5" t="s">
        <v>31727</v>
      </c>
      <c r="F3524" s="5" t="s">
        <v>31728</v>
      </c>
      <c r="G3524" s="5" t="s">
        <v>31729</v>
      </c>
      <c r="H3524" s="1" t="s">
        <v>31730</v>
      </c>
      <c r="I3524" s="5" t="s">
        <v>31731</v>
      </c>
      <c r="J3524" s="7">
        <v>8</v>
      </c>
      <c r="K3524" s="7">
        <v>4</v>
      </c>
      <c r="L3524" s="5" t="s">
        <v>31732</v>
      </c>
      <c r="M3524" s="7">
        <v>0.8</v>
      </c>
      <c r="N3524" s="7">
        <v>0.5</v>
      </c>
      <c r="O3524" s="7">
        <v>0.72499999999999998</v>
      </c>
      <c r="P3524" s="1" t="s">
        <v>31733</v>
      </c>
    </row>
    <row r="3525" spans="1:16" ht="49.75" x14ac:dyDescent="0.3">
      <c r="A3525" s="6" t="str">
        <f>HYPERLINK("https://www.ti.com/product/TPS7A60-Q1", "TPS7A60-Q1")</f>
        <v>TPS7A60-Q1</v>
      </c>
      <c r="B3525" s="5" t="s">
        <v>31734</v>
      </c>
      <c r="C3525" s="6" t="str">
        <f>HYPERLINK("https://www.ti.com/lit/gpn/TPS7A60-Q1", "PDF")</f>
        <v>PDF</v>
      </c>
      <c r="D3525" s="5" t="s">
        <v>31735</v>
      </c>
      <c r="E3525" s="5" t="s">
        <v>31736</v>
      </c>
      <c r="F3525" s="5"/>
      <c r="G3525" s="5" t="s">
        <v>31737</v>
      </c>
      <c r="H3525" s="1" t="s">
        <v>31738</v>
      </c>
      <c r="I3525" s="5" t="s">
        <v>31739</v>
      </c>
      <c r="J3525" s="7">
        <v>5</v>
      </c>
      <c r="K3525" s="7" t="s">
        <v>31740</v>
      </c>
      <c r="L3525" s="5" t="s">
        <v>31741</v>
      </c>
      <c r="M3525" s="7" t="s">
        <v>31742</v>
      </c>
      <c r="N3525" s="7" t="s">
        <v>31743</v>
      </c>
      <c r="O3525" s="7">
        <v>1.2050000000000001</v>
      </c>
      <c r="P3525" s="1" t="s">
        <v>31744</v>
      </c>
    </row>
    <row r="3526" spans="1:16" ht="33.4" x14ac:dyDescent="0.3">
      <c r="A3526" s="6" t="str">
        <f>HYPERLINK("https://www.ti.com/product/LMZ10503", "LMZ10503")</f>
        <v>LMZ10503</v>
      </c>
      <c r="B3526" s="5" t="s">
        <v>31745</v>
      </c>
      <c r="C3526" s="6" t="str">
        <f>HYPERLINK("https://www.ti.com/lit/gpn/LMZ10503", "PDF")</f>
        <v>PDF</v>
      </c>
      <c r="D3526" s="5" t="s">
        <v>31746</v>
      </c>
      <c r="E3526" s="5" t="s">
        <v>31747</v>
      </c>
      <c r="F3526" s="5" t="s">
        <v>31748</v>
      </c>
      <c r="G3526" s="5" t="s">
        <v>31749</v>
      </c>
      <c r="H3526" s="1" t="s">
        <v>31750</v>
      </c>
      <c r="I3526" s="5" t="s">
        <v>31751</v>
      </c>
      <c r="J3526" s="7">
        <v>7</v>
      </c>
      <c r="K3526" s="7">
        <v>139.9032</v>
      </c>
      <c r="L3526" s="5" t="s">
        <v>31752</v>
      </c>
      <c r="M3526" s="7">
        <v>4.58</v>
      </c>
      <c r="N3526" s="7">
        <v>1.27</v>
      </c>
      <c r="O3526" s="7">
        <v>4.0250000000000004</v>
      </c>
      <c r="P3526" s="1" t="s">
        <v>31753</v>
      </c>
    </row>
    <row r="3527" spans="1:16" ht="33.4" x14ac:dyDescent="0.3">
      <c r="A3527" s="6" t="str">
        <f>HYPERLINK("https://www.ti.com/product/LMZ10505", "LMZ10505")</f>
        <v>LMZ10505</v>
      </c>
      <c r="B3527" s="5" t="s">
        <v>31754</v>
      </c>
      <c r="C3527" s="6" t="str">
        <f>HYPERLINK("https://www.ti.com/lit/gpn/LMZ10505", "PDF")</f>
        <v>PDF</v>
      </c>
      <c r="D3527" s="5" t="s">
        <v>31755</v>
      </c>
      <c r="E3527" s="5" t="s">
        <v>31756</v>
      </c>
      <c r="F3527" s="5" t="s">
        <v>31757</v>
      </c>
      <c r="G3527" s="5" t="s">
        <v>31758</v>
      </c>
      <c r="H3527" s="1" t="s">
        <v>31759</v>
      </c>
      <c r="I3527" s="5" t="s">
        <v>31760</v>
      </c>
      <c r="J3527" s="7">
        <v>7</v>
      </c>
      <c r="K3527" s="7">
        <v>139.9032</v>
      </c>
      <c r="L3527" s="5" t="s">
        <v>31761</v>
      </c>
      <c r="M3527" s="7">
        <v>4.58</v>
      </c>
      <c r="N3527" s="7">
        <v>1.27</v>
      </c>
      <c r="O3527" s="7">
        <v>5.4630000000000001</v>
      </c>
      <c r="P3527" s="1" t="s">
        <v>31762</v>
      </c>
    </row>
    <row r="3528" spans="1:16" ht="33.4" x14ac:dyDescent="0.3">
      <c r="A3528" s="6" t="str">
        <f>HYPERLINK("https://www.ti.com/product/UCC28950", "UCC28950")</f>
        <v>UCC28950</v>
      </c>
      <c r="B3528" s="5" t="s">
        <v>31763</v>
      </c>
      <c r="C3528" s="6" t="str">
        <f>HYPERLINK("https://www.ti.com/lit/gpn/UCC28950", "PDF")</f>
        <v>PDF</v>
      </c>
      <c r="D3528" s="5" t="s">
        <v>31764</v>
      </c>
      <c r="E3528" s="5" t="s">
        <v>31765</v>
      </c>
      <c r="F3528" s="5" t="s">
        <v>31766</v>
      </c>
      <c r="G3528" s="5" t="s">
        <v>31767</v>
      </c>
      <c r="H3528" s="1" t="s">
        <v>31768</v>
      </c>
      <c r="I3528" s="5" t="s">
        <v>31769</v>
      </c>
      <c r="J3528" s="7">
        <v>24</v>
      </c>
      <c r="K3528" s="7">
        <v>49.92</v>
      </c>
      <c r="L3528" s="5" t="s">
        <v>31770</v>
      </c>
      <c r="M3528" s="7">
        <v>1.2</v>
      </c>
      <c r="N3528" s="7">
        <v>0.65</v>
      </c>
      <c r="O3528" s="7">
        <v>2.657</v>
      </c>
      <c r="P3528" s="1" t="s">
        <v>31771</v>
      </c>
    </row>
    <row r="3529" spans="1:16" ht="33.4" x14ac:dyDescent="0.3">
      <c r="A3529" s="6" t="str">
        <f>HYPERLINK("https://www.ti.com/product/TPS62110-Q1", "TPS62110-Q1")</f>
        <v>TPS62110-Q1</v>
      </c>
      <c r="B3529" s="5" t="s">
        <v>31772</v>
      </c>
      <c r="C3529" s="6" t="str">
        <f>HYPERLINK("https://www.ti.com/lit/gpn/TPS62110-Q1", "PDF")</f>
        <v>PDF</v>
      </c>
      <c r="D3529" s="5" t="s">
        <v>31773</v>
      </c>
      <c r="E3529" s="5" t="s">
        <v>31774</v>
      </c>
      <c r="F3529" s="5" t="s">
        <v>31775</v>
      </c>
      <c r="G3529" s="5" t="s">
        <v>31776</v>
      </c>
      <c r="H3529" s="1" t="s">
        <v>31777</v>
      </c>
      <c r="I3529" s="5" t="s">
        <v>31778</v>
      </c>
      <c r="J3529" s="7">
        <v>16</v>
      </c>
      <c r="K3529" s="7">
        <v>16</v>
      </c>
      <c r="L3529" s="5" t="s">
        <v>31779</v>
      </c>
      <c r="M3529" s="7">
        <v>1</v>
      </c>
      <c r="N3529" s="7">
        <v>0.65</v>
      </c>
      <c r="O3529" s="7">
        <v>1.18</v>
      </c>
      <c r="P3529" s="1" t="s">
        <v>31780</v>
      </c>
    </row>
    <row r="3530" spans="1:16" ht="33.4" x14ac:dyDescent="0.3">
      <c r="A3530" s="6" t="str">
        <f>HYPERLINK("https://www.ti.com/product/LM3241", "LM3241")</f>
        <v>LM3241</v>
      </c>
      <c r="B3530" s="5" t="s">
        <v>31781</v>
      </c>
      <c r="C3530" s="6" t="str">
        <f>HYPERLINK("https://www.ti.com/lit/gpn/LM3241", "PDF")</f>
        <v>PDF</v>
      </c>
      <c r="D3530" s="5" t="s">
        <v>31782</v>
      </c>
      <c r="E3530" s="5" t="s">
        <v>31783</v>
      </c>
      <c r="F3530" s="5" t="s">
        <v>31784</v>
      </c>
      <c r="G3530" s="5" t="s">
        <v>31785</v>
      </c>
      <c r="H3530" s="1" t="s">
        <v>31786</v>
      </c>
      <c r="I3530" s="5" t="s">
        <v>31787</v>
      </c>
      <c r="J3530" s="7">
        <v>6</v>
      </c>
      <c r="K3530" s="7">
        <v>2.1875</v>
      </c>
      <c r="L3530" s="5" t="s">
        <v>31788</v>
      </c>
      <c r="M3530" s="7">
        <v>0.67500000000000004</v>
      </c>
      <c r="N3530" s="7">
        <v>0.5</v>
      </c>
      <c r="O3530" s="7">
        <v>0.59499999999999997</v>
      </c>
      <c r="P3530" s="1" t="s">
        <v>31789</v>
      </c>
    </row>
    <row r="3531" spans="1:16" ht="33.4" x14ac:dyDescent="0.3">
      <c r="A3531" s="6" t="str">
        <f>HYPERLINK("https://www.ti.com/product/TPS783", "TPS783")</f>
        <v>TPS783</v>
      </c>
      <c r="B3531" s="5" t="s">
        <v>31790</v>
      </c>
      <c r="C3531" s="6" t="str">
        <f>HYPERLINK("https://www.ti.com/lit/gpn/TPS783", "PDF")</f>
        <v>PDF</v>
      </c>
      <c r="D3531" s="5" t="s">
        <v>31791</v>
      </c>
      <c r="E3531" s="5" t="s">
        <v>31792</v>
      </c>
      <c r="F3531" s="5"/>
      <c r="G3531" s="5" t="s">
        <v>31793</v>
      </c>
      <c r="H3531" s="1" t="s">
        <v>31794</v>
      </c>
      <c r="I3531" s="5" t="s">
        <v>31795</v>
      </c>
      <c r="J3531" s="7">
        <v>5</v>
      </c>
      <c r="K3531" s="7">
        <v>8.1199999999999992</v>
      </c>
      <c r="L3531" s="5" t="s">
        <v>31796</v>
      </c>
      <c r="M3531" s="7">
        <v>1.1000000000000001</v>
      </c>
      <c r="N3531" s="7">
        <v>0.95</v>
      </c>
      <c r="O3531" s="7">
        <v>0.253</v>
      </c>
      <c r="P3531" s="1" t="s">
        <v>31797</v>
      </c>
    </row>
    <row r="3532" spans="1:16" ht="17.05" x14ac:dyDescent="0.3">
      <c r="A3532" s="6" t="str">
        <f>HYPERLINK("https://www.ti.com/product/TPS657052", "TPS657052")</f>
        <v>TPS657052</v>
      </c>
      <c r="B3532" s="5" t="s">
        <v>31798</v>
      </c>
      <c r="C3532" s="6" t="str">
        <f>HYPERLINK("https://www.ti.com/lit/gpn/TPS657052", "PDF")</f>
        <v>PDF</v>
      </c>
      <c r="D3532" s="5" t="s">
        <v>31799</v>
      </c>
      <c r="E3532" s="5" t="s">
        <v>31800</v>
      </c>
      <c r="F3532" s="5"/>
      <c r="G3532" s="5" t="s">
        <v>31801</v>
      </c>
      <c r="H3532" s="1" t="s">
        <v>31802</v>
      </c>
      <c r="I3532" s="5" t="s">
        <v>31803</v>
      </c>
      <c r="J3532" s="7">
        <v>16</v>
      </c>
      <c r="K3532" s="7">
        <v>5.0625</v>
      </c>
      <c r="L3532" s="5" t="s">
        <v>31804</v>
      </c>
      <c r="M3532" s="7">
        <v>0.625</v>
      </c>
      <c r="N3532" s="7">
        <v>0.5</v>
      </c>
      <c r="O3532" s="7">
        <v>1.47</v>
      </c>
      <c r="P3532" s="1" t="s">
        <v>31805</v>
      </c>
    </row>
    <row r="3533" spans="1:16" ht="33.4" x14ac:dyDescent="0.3">
      <c r="A3533" s="6" t="str">
        <f>HYPERLINK("https://www.ti.com/product/CSD16415Q5", "CSD16415Q5")</f>
        <v>CSD16415Q5</v>
      </c>
      <c r="B3533" s="5" t="s">
        <v>31806</v>
      </c>
      <c r="C3533" s="6" t="str">
        <f>HYPERLINK("https://www.ti.com/lit/gpn/CSD16415Q5", "PDF")</f>
        <v>PDF</v>
      </c>
      <c r="D3533" s="5" t="s">
        <v>31807</v>
      </c>
      <c r="E3533" s="5" t="s">
        <v>31808</v>
      </c>
      <c r="F3533" s="5"/>
      <c r="G3533" s="5" t="s">
        <v>31809</v>
      </c>
      <c r="H3533" s="1" t="s">
        <v>31810</v>
      </c>
      <c r="I3533" s="5" t="s">
        <v>31811</v>
      </c>
      <c r="J3533" s="7">
        <v>8</v>
      </c>
      <c r="K3533" s="7">
        <v>30</v>
      </c>
      <c r="L3533" s="5" t="s">
        <v>31812</v>
      </c>
      <c r="M3533" s="7">
        <v>1.05</v>
      </c>
      <c r="N3533" s="7">
        <v>1.27</v>
      </c>
      <c r="O3533" s="7">
        <v>0.80300000000000005</v>
      </c>
      <c r="P3533" s="1" t="s">
        <v>31813</v>
      </c>
    </row>
    <row r="3534" spans="1:16" ht="33.4" x14ac:dyDescent="0.3">
      <c r="A3534" s="6" t="str">
        <f>HYPERLINK("https://www.ti.com/product/CSD17302Q5A", "CSD17302Q5A")</f>
        <v>CSD17302Q5A</v>
      </c>
      <c r="B3534" s="5" t="s">
        <v>31814</v>
      </c>
      <c r="C3534" s="6" t="str">
        <f>HYPERLINK("https://www.ti.com/lit/gpn/CSD17302Q5A", "PDF")</f>
        <v>PDF</v>
      </c>
      <c r="D3534" s="5" t="s">
        <v>31815</v>
      </c>
      <c r="E3534" s="5" t="s">
        <v>31816</v>
      </c>
      <c r="F3534" s="5"/>
      <c r="G3534" s="5" t="s">
        <v>31817</v>
      </c>
      <c r="H3534" s="1" t="s">
        <v>31818</v>
      </c>
      <c r="I3534" s="5" t="s">
        <v>31819</v>
      </c>
      <c r="J3534" s="7">
        <v>8</v>
      </c>
      <c r="K3534" s="7">
        <v>29.4</v>
      </c>
      <c r="L3534" s="5" t="s">
        <v>31820</v>
      </c>
      <c r="M3534" s="7">
        <v>1.1000000000000001</v>
      </c>
      <c r="N3534" s="7">
        <v>1.27</v>
      </c>
      <c r="O3534" s="7">
        <v>0.29499999999999998</v>
      </c>
      <c r="P3534" s="1" t="s">
        <v>31821</v>
      </c>
    </row>
    <row r="3535" spans="1:16" ht="33.4" x14ac:dyDescent="0.3">
      <c r="A3535" s="6" t="str">
        <f>HYPERLINK("https://www.ti.com/product/CSD17305Q5A", "CSD17305Q5A")</f>
        <v>CSD17305Q5A</v>
      </c>
      <c r="B3535" s="5" t="s">
        <v>31822</v>
      </c>
      <c r="C3535" s="6" t="str">
        <f>HYPERLINK("https://www.ti.com/lit/gpn/CSD17305Q5A", "PDF")</f>
        <v>PDF</v>
      </c>
      <c r="D3535" s="5" t="s">
        <v>31823</v>
      </c>
      <c r="E3535" s="5" t="s">
        <v>31824</v>
      </c>
      <c r="F3535" s="5"/>
      <c r="G3535" s="5" t="s">
        <v>31825</v>
      </c>
      <c r="H3535" s="1" t="s">
        <v>31826</v>
      </c>
      <c r="I3535" s="5" t="s">
        <v>31827</v>
      </c>
      <c r="J3535" s="7">
        <v>8</v>
      </c>
      <c r="K3535" s="7">
        <v>29.4</v>
      </c>
      <c r="L3535" s="5" t="s">
        <v>31828</v>
      </c>
      <c r="M3535" s="7">
        <v>1.1000000000000001</v>
      </c>
      <c r="N3535" s="7">
        <v>1.27</v>
      </c>
      <c r="O3535" s="7">
        <v>0.44900000000000001</v>
      </c>
      <c r="P3535" s="1" t="s">
        <v>31829</v>
      </c>
    </row>
    <row r="3536" spans="1:16" ht="33.4" x14ac:dyDescent="0.3">
      <c r="A3536" s="6" t="str">
        <f>HYPERLINK("https://www.ti.com/product/CSD17306Q5A", "CSD17306Q5A")</f>
        <v>CSD17306Q5A</v>
      </c>
      <c r="B3536" s="5" t="s">
        <v>31830</v>
      </c>
      <c r="C3536" s="6" t="str">
        <f>HYPERLINK("https://www.ti.com/lit/gpn/CSD17306Q5A", "PDF")</f>
        <v>PDF</v>
      </c>
      <c r="D3536" s="5" t="s">
        <v>31831</v>
      </c>
      <c r="E3536" s="5" t="s">
        <v>31832</v>
      </c>
      <c r="F3536" s="5"/>
      <c r="G3536" s="5" t="s">
        <v>31833</v>
      </c>
      <c r="H3536" s="1" t="s">
        <v>31834</v>
      </c>
      <c r="I3536" s="5" t="s">
        <v>31835</v>
      </c>
      <c r="J3536" s="7">
        <v>8</v>
      </c>
      <c r="K3536" s="7">
        <v>29.4</v>
      </c>
      <c r="L3536" s="5" t="s">
        <v>31836</v>
      </c>
      <c r="M3536" s="7">
        <v>1.1000000000000001</v>
      </c>
      <c r="N3536" s="7">
        <v>1.27</v>
      </c>
      <c r="O3536" s="7">
        <v>0.38200000000000001</v>
      </c>
      <c r="P3536" s="1" t="s">
        <v>31837</v>
      </c>
    </row>
    <row r="3537" spans="1:16" ht="33.4" x14ac:dyDescent="0.3">
      <c r="A3537" s="6" t="str">
        <f>HYPERLINK("https://www.ti.com/product/CSD17307Q5A", "CSD17307Q5A")</f>
        <v>CSD17307Q5A</v>
      </c>
      <c r="B3537" s="5" t="s">
        <v>31838</v>
      </c>
      <c r="C3537" s="6" t="str">
        <f>HYPERLINK("https://www.ti.com/lit/gpn/CSD17307Q5A", "PDF")</f>
        <v>PDF</v>
      </c>
      <c r="D3537" s="5" t="s">
        <v>31839</v>
      </c>
      <c r="E3537" s="5" t="s">
        <v>31840</v>
      </c>
      <c r="F3537" s="5"/>
      <c r="G3537" s="5" t="s">
        <v>31841</v>
      </c>
      <c r="H3537" s="1" t="s">
        <v>31842</v>
      </c>
      <c r="I3537" s="5" t="s">
        <v>31843</v>
      </c>
      <c r="J3537" s="7">
        <v>8</v>
      </c>
      <c r="K3537" s="7">
        <v>29.4</v>
      </c>
      <c r="L3537" s="5" t="s">
        <v>31844</v>
      </c>
      <c r="M3537" s="7">
        <v>1.1000000000000001</v>
      </c>
      <c r="N3537" s="7">
        <v>1.27</v>
      </c>
      <c r="O3537" s="7">
        <v>0.20699999999999999</v>
      </c>
      <c r="P3537" s="1" t="s">
        <v>31845</v>
      </c>
    </row>
    <row r="3538" spans="1:16" ht="33.4" x14ac:dyDescent="0.3">
      <c r="A3538" s="6" t="str">
        <f>HYPERLINK("https://www.ti.com/product/CSD17310Q5A", "CSD17310Q5A")</f>
        <v>CSD17310Q5A</v>
      </c>
      <c r="B3538" s="5" t="s">
        <v>31846</v>
      </c>
      <c r="C3538" s="6" t="str">
        <f>HYPERLINK("https://www.ti.com/lit/gpn/CSD17310Q5A", "PDF")</f>
        <v>PDF</v>
      </c>
      <c r="D3538" s="5" t="s">
        <v>31847</v>
      </c>
      <c r="E3538" s="5" t="s">
        <v>31848</v>
      </c>
      <c r="F3538" s="5"/>
      <c r="G3538" s="5" t="s">
        <v>31849</v>
      </c>
      <c r="H3538" s="1" t="s">
        <v>31850</v>
      </c>
      <c r="I3538" s="5" t="s">
        <v>31851</v>
      </c>
      <c r="J3538" s="7">
        <v>8</v>
      </c>
      <c r="K3538" s="7">
        <v>29.4</v>
      </c>
      <c r="L3538" s="5" t="s">
        <v>31852</v>
      </c>
      <c r="M3538" s="7">
        <v>1.1000000000000001</v>
      </c>
      <c r="N3538" s="7">
        <v>1.27</v>
      </c>
      <c r="O3538" s="7">
        <v>0.27500000000000002</v>
      </c>
      <c r="P3538" s="1" t="s">
        <v>31853</v>
      </c>
    </row>
    <row r="3539" spans="1:16" ht="17.05" x14ac:dyDescent="0.3">
      <c r="A3539" s="6" t="str">
        <f>HYPERLINK("https://www.ti.com/product/UCD90124", "UCD90124")</f>
        <v>UCD90124</v>
      </c>
      <c r="B3539" s="5" t="s">
        <v>31854</v>
      </c>
      <c r="C3539" s="6" t="str">
        <f>HYPERLINK("https://www.ti.com/lit/gpn/UCD90124", "PDF")</f>
        <v>PDF</v>
      </c>
      <c r="D3539" s="5" t="s">
        <v>31855</v>
      </c>
      <c r="E3539" s="5" t="s">
        <v>31856</v>
      </c>
      <c r="F3539" s="5"/>
      <c r="G3539" s="5" t="s">
        <v>31857</v>
      </c>
      <c r="H3539" s="1" t="s">
        <v>31858</v>
      </c>
      <c r="I3539" s="5" t="s">
        <v>31859</v>
      </c>
      <c r="J3539" s="7">
        <v>64</v>
      </c>
      <c r="K3539" s="7">
        <v>81</v>
      </c>
      <c r="L3539" s="5" t="s">
        <v>31860</v>
      </c>
      <c r="M3539" s="7">
        <v>1</v>
      </c>
      <c r="N3539" s="7">
        <v>0.5</v>
      </c>
      <c r="O3539" s="7">
        <v>8.2669999999999995</v>
      </c>
      <c r="P3539" s="1" t="s">
        <v>31861</v>
      </c>
    </row>
    <row r="3540" spans="1:16" ht="33.4" x14ac:dyDescent="0.3">
      <c r="A3540" s="6" t="str">
        <f>HYPERLINK("https://www.ti.com/product/LM5039", "LM5039")</f>
        <v>LM5039</v>
      </c>
      <c r="B3540" s="5" t="s">
        <v>31862</v>
      </c>
      <c r="C3540" s="6" t="str">
        <f>HYPERLINK("https://www.ti.com/lit/gpn/LM5039", "PDF")</f>
        <v>PDF</v>
      </c>
      <c r="D3540" s="5" t="s">
        <v>31863</v>
      </c>
      <c r="E3540" s="5" t="s">
        <v>31864</v>
      </c>
      <c r="F3540" s="5" t="s">
        <v>31865</v>
      </c>
      <c r="G3540" s="5" t="s">
        <v>31866</v>
      </c>
      <c r="H3540" s="1" t="s">
        <v>31867</v>
      </c>
      <c r="I3540" s="5" t="s">
        <v>31868</v>
      </c>
      <c r="J3540" s="7" t="s">
        <v>31869</v>
      </c>
      <c r="K3540" s="7" t="s">
        <v>31870</v>
      </c>
      <c r="L3540" s="5" t="s">
        <v>31871</v>
      </c>
      <c r="M3540" s="7" t="s">
        <v>31872</v>
      </c>
      <c r="N3540" s="7" t="s">
        <v>31873</v>
      </c>
      <c r="O3540" s="7">
        <v>1.86</v>
      </c>
      <c r="P3540" s="1" t="s">
        <v>31874</v>
      </c>
    </row>
    <row r="3541" spans="1:16" ht="33.4" x14ac:dyDescent="0.3">
      <c r="A3541" s="6" t="str">
        <f>HYPERLINK("https://www.ti.com/product/TPS2505", "TPS2505")</f>
        <v>TPS2505</v>
      </c>
      <c r="B3541" s="5" t="s">
        <v>31875</v>
      </c>
      <c r="C3541" s="6" t="str">
        <f>HYPERLINK("https://www.ti.com/lit/gpn/TPS2505", "PDF")</f>
        <v>PDF</v>
      </c>
      <c r="D3541" s="5" t="s">
        <v>31876</v>
      </c>
      <c r="E3541" s="5" t="s">
        <v>31877</v>
      </c>
      <c r="F3541" s="5"/>
      <c r="G3541" s="5" t="s">
        <v>31878</v>
      </c>
      <c r="H3541" s="1" t="s">
        <v>31879</v>
      </c>
      <c r="I3541" s="5" t="s">
        <v>31880</v>
      </c>
      <c r="J3541" s="7">
        <v>20</v>
      </c>
      <c r="K3541" s="7">
        <v>25</v>
      </c>
      <c r="L3541" s="5" t="s">
        <v>31881</v>
      </c>
      <c r="M3541" s="7">
        <v>1</v>
      </c>
      <c r="N3541" s="7">
        <v>0.65</v>
      </c>
      <c r="O3541" s="7">
        <v>1.1439999999999999</v>
      </c>
      <c r="P3541" s="1" t="s">
        <v>31882</v>
      </c>
    </row>
    <row r="3542" spans="1:16" ht="33.4" x14ac:dyDescent="0.3">
      <c r="A3542" s="6" t="str">
        <f>HYPERLINK("https://www.ti.com/product/UCD9224", "UCD9224")</f>
        <v>UCD9224</v>
      </c>
      <c r="B3542" s="5" t="s">
        <v>31883</v>
      </c>
      <c r="C3542" s="6" t="str">
        <f>HYPERLINK("https://www.ti.com/lit/gpn/UCD9224", "PDF")</f>
        <v>PDF</v>
      </c>
      <c r="D3542" s="5" t="s">
        <v>31884</v>
      </c>
      <c r="E3542" s="5" t="s">
        <v>31885</v>
      </c>
      <c r="F3542" s="5"/>
      <c r="G3542" s="5" t="s">
        <v>31886</v>
      </c>
      <c r="H3542" s="1" t="s">
        <v>31887</v>
      </c>
      <c r="I3542" s="5" t="s">
        <v>31888</v>
      </c>
      <c r="J3542" s="7">
        <v>48</v>
      </c>
      <c r="K3542" s="7">
        <v>49</v>
      </c>
      <c r="L3542" s="5" t="s">
        <v>31889</v>
      </c>
      <c r="M3542" s="7">
        <v>1</v>
      </c>
      <c r="N3542" s="7">
        <v>0.5</v>
      </c>
      <c r="O3542" s="7">
        <v>3.0840000000000001</v>
      </c>
      <c r="P3542" s="1" t="s">
        <v>31890</v>
      </c>
    </row>
    <row r="3543" spans="1:16" ht="33.4" x14ac:dyDescent="0.3">
      <c r="A3543" s="6" t="str">
        <f>HYPERLINK("https://www.ti.com/product/UCD9248", "UCD9248")</f>
        <v>UCD9248</v>
      </c>
      <c r="B3543" s="5" t="s">
        <v>31891</v>
      </c>
      <c r="C3543" s="6" t="str">
        <f>HYPERLINK("https://www.ti.com/lit/gpn/UCD9248", "PDF")</f>
        <v>PDF</v>
      </c>
      <c r="D3543" s="5" t="s">
        <v>31892</v>
      </c>
      <c r="E3543" s="5" t="s">
        <v>31893</v>
      </c>
      <c r="F3543" s="5"/>
      <c r="G3543" s="5" t="s">
        <v>31894</v>
      </c>
      <c r="H3543" s="1" t="s">
        <v>31895</v>
      </c>
      <c r="I3543" s="5" t="s">
        <v>31896</v>
      </c>
      <c r="J3543" s="7">
        <v>80</v>
      </c>
      <c r="K3543" s="7">
        <v>196</v>
      </c>
      <c r="L3543" s="5" t="s">
        <v>31897</v>
      </c>
      <c r="M3543" s="7">
        <v>1.2</v>
      </c>
      <c r="N3543" s="7">
        <v>0.5</v>
      </c>
      <c r="O3543" s="7">
        <v>4.9080000000000004</v>
      </c>
      <c r="P3543" s="1" t="s">
        <v>31898</v>
      </c>
    </row>
    <row r="3544" spans="1:16" ht="33.4" x14ac:dyDescent="0.3">
      <c r="A3544" s="6" t="str">
        <f>HYPERLINK("https://www.ti.com/product/CSD17301Q5A", "CSD17301Q5A")</f>
        <v>CSD17301Q5A</v>
      </c>
      <c r="B3544" s="5" t="s">
        <v>31899</v>
      </c>
      <c r="C3544" s="6" t="str">
        <f>HYPERLINK("https://www.ti.com/lit/gpn/CSD17301Q5A", "PDF")</f>
        <v>PDF</v>
      </c>
      <c r="D3544" s="5" t="s">
        <v>31900</v>
      </c>
      <c r="E3544" s="5" t="s">
        <v>31901</v>
      </c>
      <c r="F3544" s="5"/>
      <c r="G3544" s="5" t="s">
        <v>31902</v>
      </c>
      <c r="H3544" s="1" t="s">
        <v>31903</v>
      </c>
      <c r="I3544" s="5" t="s">
        <v>31904</v>
      </c>
      <c r="J3544" s="7">
        <v>8</v>
      </c>
      <c r="K3544" s="7">
        <v>29.4</v>
      </c>
      <c r="L3544" s="5" t="s">
        <v>31905</v>
      </c>
      <c r="M3544" s="7">
        <v>1.1000000000000001</v>
      </c>
      <c r="N3544" s="7">
        <v>1.27</v>
      </c>
      <c r="O3544" s="7">
        <v>0.505</v>
      </c>
      <c r="P3544" s="1" t="s">
        <v>31906</v>
      </c>
    </row>
    <row r="3545" spans="1:16" ht="33.4" x14ac:dyDescent="0.3">
      <c r="A3545" s="6" t="str">
        <f>HYPERLINK("https://www.ti.com/product/TLC59281", "TLC59281")</f>
        <v>TLC59281</v>
      </c>
      <c r="B3545" s="5" t="s">
        <v>31907</v>
      </c>
      <c r="C3545" s="6" t="str">
        <f>HYPERLINK("https://www.ti.com/lit/gpn/TLC59281", "PDF")</f>
        <v>PDF</v>
      </c>
      <c r="D3545" s="5" t="s">
        <v>31908</v>
      </c>
      <c r="E3545" s="5" t="s">
        <v>31909</v>
      </c>
      <c r="F3545" s="5"/>
      <c r="G3545" s="5" t="s">
        <v>31910</v>
      </c>
      <c r="H3545" s="1" t="s">
        <v>31911</v>
      </c>
      <c r="I3545" s="5" t="s">
        <v>31912</v>
      </c>
      <c r="J3545" s="7">
        <v>24</v>
      </c>
      <c r="K3545" s="7" t="s">
        <v>31913</v>
      </c>
      <c r="L3545" s="5" t="s">
        <v>31914</v>
      </c>
      <c r="M3545" s="7" t="s">
        <v>31915</v>
      </c>
      <c r="N3545" s="7" t="s">
        <v>31916</v>
      </c>
      <c r="O3545" s="7">
        <v>0.46100000000000002</v>
      </c>
      <c r="P3545" s="1" t="s">
        <v>31917</v>
      </c>
    </row>
    <row r="3546" spans="1:16" ht="33.4" x14ac:dyDescent="0.3">
      <c r="A3546" s="6" t="str">
        <f>HYPERLINK("https://www.ti.com/product/UCD7242", "UCD7242")</f>
        <v>UCD7242</v>
      </c>
      <c r="B3546" s="5" t="s">
        <v>31918</v>
      </c>
      <c r="C3546" s="6" t="str">
        <f>HYPERLINK("https://www.ti.com/lit/gpn/UCD7242", "PDF")</f>
        <v>PDF</v>
      </c>
      <c r="D3546" s="5" t="s">
        <v>31919</v>
      </c>
      <c r="E3546" s="5" t="s">
        <v>31920</v>
      </c>
      <c r="F3546" s="5"/>
      <c r="G3546" s="5" t="s">
        <v>31921</v>
      </c>
      <c r="H3546" s="1" t="s">
        <v>31922</v>
      </c>
      <c r="I3546" s="5" t="s">
        <v>31923</v>
      </c>
      <c r="J3546" s="7">
        <v>32</v>
      </c>
      <c r="K3546" s="7">
        <v>36</v>
      </c>
      <c r="L3546" s="5" t="s">
        <v>31924</v>
      </c>
      <c r="M3546" s="7">
        <v>1</v>
      </c>
      <c r="N3546" s="7">
        <v>0.5</v>
      </c>
      <c r="O3546" s="7">
        <v>2.6819999999999999</v>
      </c>
      <c r="P3546" s="1" t="s">
        <v>31925</v>
      </c>
    </row>
    <row r="3547" spans="1:16" ht="33.4" x14ac:dyDescent="0.3">
      <c r="A3547" s="6" t="str">
        <f>HYPERLINK("https://www.ti.com/product/TLV700XX-Q1", "TLV700XX-Q1")</f>
        <v>TLV700XX-Q1</v>
      </c>
      <c r="B3547" s="5" t="s">
        <v>31926</v>
      </c>
      <c r="C3547" s="6" t="str">
        <f>HYPERLINK("https://www.ti.com/lit/gpn/TLV700XX-Q1", "PDF")</f>
        <v>PDF</v>
      </c>
      <c r="D3547" s="5" t="s">
        <v>31927</v>
      </c>
      <c r="E3547" s="5" t="s">
        <v>31928</v>
      </c>
      <c r="F3547" s="5"/>
      <c r="G3547" s="5" t="s">
        <v>31929</v>
      </c>
      <c r="H3547" s="1" t="s">
        <v>31930</v>
      </c>
      <c r="I3547" s="5" t="s">
        <v>31931</v>
      </c>
      <c r="J3547" s="7">
        <v>5</v>
      </c>
      <c r="K3547" s="7">
        <v>8.1199999999999992</v>
      </c>
      <c r="L3547" s="5" t="s">
        <v>31932</v>
      </c>
      <c r="M3547" s="7">
        <v>1.1000000000000001</v>
      </c>
      <c r="N3547" s="7">
        <v>0.95</v>
      </c>
      <c r="O3547" s="7">
        <v>0.30599999999999999</v>
      </c>
      <c r="P3547" s="1" t="s">
        <v>31933</v>
      </c>
    </row>
    <row r="3548" spans="1:16" ht="33.4" x14ac:dyDescent="0.3">
      <c r="A3548" s="6" t="str">
        <f>HYPERLINK("https://www.ti.com/product/TPS92010", "TPS92010")</f>
        <v>TPS92010</v>
      </c>
      <c r="B3548" s="5" t="s">
        <v>31934</v>
      </c>
      <c r="C3548" s="6" t="str">
        <f>HYPERLINK("https://www.ti.com/lit/gpn/TPS92010", "PDF")</f>
        <v>PDF</v>
      </c>
      <c r="D3548" s="5" t="s">
        <v>31935</v>
      </c>
      <c r="E3548" s="5" t="s">
        <v>31936</v>
      </c>
      <c r="F3548" s="5" t="s">
        <v>31937</v>
      </c>
      <c r="G3548" s="5" t="s">
        <v>31938</v>
      </c>
      <c r="H3548" s="1" t="s">
        <v>31939</v>
      </c>
      <c r="I3548" s="5" t="s">
        <v>31940</v>
      </c>
      <c r="J3548" s="7">
        <v>8</v>
      </c>
      <c r="K3548" s="7">
        <v>29.4</v>
      </c>
      <c r="L3548" s="5" t="s">
        <v>31941</v>
      </c>
      <c r="M3548" s="7">
        <v>1.75</v>
      </c>
      <c r="N3548" s="7">
        <v>1.27</v>
      </c>
      <c r="O3548" s="7">
        <v>0.50600000000000001</v>
      </c>
      <c r="P3548" s="1" t="s">
        <v>31942</v>
      </c>
    </row>
    <row r="3549" spans="1:16" ht="33.4" x14ac:dyDescent="0.3">
      <c r="A3549" s="6" t="str">
        <f>HYPERLINK("https://www.ti.com/product/TPS92210", "TPS92210")</f>
        <v>TPS92210</v>
      </c>
      <c r="B3549" s="5" t="s">
        <v>31943</v>
      </c>
      <c r="C3549" s="6" t="str">
        <f>HYPERLINK("https://www.ti.com/lit/gpn/TPS92210", "PDF")</f>
        <v>PDF</v>
      </c>
      <c r="D3549" s="5" t="s">
        <v>31944</v>
      </c>
      <c r="E3549" s="5" t="s">
        <v>31945</v>
      </c>
      <c r="F3549" s="5" t="s">
        <v>31946</v>
      </c>
      <c r="G3549" s="5" t="s">
        <v>31947</v>
      </c>
      <c r="H3549" s="1" t="s">
        <v>31948</v>
      </c>
      <c r="I3549" s="5" t="s">
        <v>31949</v>
      </c>
      <c r="J3549" s="7">
        <v>8</v>
      </c>
      <c r="K3549" s="7">
        <v>29.4</v>
      </c>
      <c r="L3549" s="5" t="s">
        <v>31950</v>
      </c>
      <c r="M3549" s="7">
        <v>1.75</v>
      </c>
      <c r="N3549" s="7">
        <v>1.27</v>
      </c>
      <c r="O3549" s="7">
        <v>0.443</v>
      </c>
      <c r="P3549" s="1" t="s">
        <v>31951</v>
      </c>
    </row>
    <row r="3550" spans="1:16" ht="49.75" x14ac:dyDescent="0.3">
      <c r="A3550" s="6" t="str">
        <f>HYPERLINK("https://www.ti.com/product/LM3421-Q1", "LM3421-Q1")</f>
        <v>LM3421-Q1</v>
      </c>
      <c r="B3550" s="5" t="s">
        <v>31952</v>
      </c>
      <c r="C3550" s="6" t="str">
        <f>HYPERLINK("https://www.ti.com/lit/gpn/LM3421-Q1", "PDF")</f>
        <v>PDF</v>
      </c>
      <c r="D3550" s="5" t="s">
        <v>31953</v>
      </c>
      <c r="E3550" s="5" t="s">
        <v>31954</v>
      </c>
      <c r="F3550" s="5" t="s">
        <v>31955</v>
      </c>
      <c r="G3550" s="5" t="s">
        <v>31956</v>
      </c>
      <c r="H3550" s="1" t="s">
        <v>31957</v>
      </c>
      <c r="I3550" s="5" t="s">
        <v>31958</v>
      </c>
      <c r="J3550" s="7">
        <v>16</v>
      </c>
      <c r="K3550" s="7">
        <v>32</v>
      </c>
      <c r="L3550" s="5" t="s">
        <v>31959</v>
      </c>
      <c r="M3550" s="7">
        <v>1.2</v>
      </c>
      <c r="N3550" s="7">
        <v>0.65</v>
      </c>
      <c r="O3550" s="7">
        <v>1.53</v>
      </c>
      <c r="P3550" s="1" t="s">
        <v>31960</v>
      </c>
    </row>
    <row r="3551" spans="1:16" ht="33.4" x14ac:dyDescent="0.3">
      <c r="A3551" s="6" t="str">
        <f>HYPERLINK("https://www.ti.com/product/LMZ10504", "LMZ10504")</f>
        <v>LMZ10504</v>
      </c>
      <c r="B3551" s="5" t="s">
        <v>31961</v>
      </c>
      <c r="C3551" s="6" t="str">
        <f>HYPERLINK("https://www.ti.com/lit/gpn/LMZ10504", "PDF")</f>
        <v>PDF</v>
      </c>
      <c r="D3551" s="5" t="s">
        <v>31962</v>
      </c>
      <c r="E3551" s="5" t="s">
        <v>31963</v>
      </c>
      <c r="F3551" s="5" t="s">
        <v>31964</v>
      </c>
      <c r="G3551" s="5" t="s">
        <v>31965</v>
      </c>
      <c r="H3551" s="1" t="s">
        <v>31966</v>
      </c>
      <c r="I3551" s="5" t="s">
        <v>31967</v>
      </c>
      <c r="J3551" s="7">
        <v>7</v>
      </c>
      <c r="K3551" s="7">
        <v>139.9032</v>
      </c>
      <c r="L3551" s="5" t="s">
        <v>31968</v>
      </c>
      <c r="M3551" s="7">
        <v>4.58</v>
      </c>
      <c r="N3551" s="7">
        <v>1.27</v>
      </c>
      <c r="O3551" s="7">
        <v>4.83</v>
      </c>
      <c r="P3551" s="1" t="s">
        <v>31969</v>
      </c>
    </row>
    <row r="3552" spans="1:16" ht="33.4" x14ac:dyDescent="0.3">
      <c r="A3552" s="6" t="str">
        <f>HYPERLINK("https://www.ti.com/product/LMZ12003", "LMZ12003")</f>
        <v>LMZ12003</v>
      </c>
      <c r="B3552" s="5" t="s">
        <v>31970</v>
      </c>
      <c r="C3552" s="6" t="str">
        <f>HYPERLINK("https://www.ti.com/lit/gpn/LMZ12003", "PDF")</f>
        <v>PDF</v>
      </c>
      <c r="D3552" s="5" t="s">
        <v>31971</v>
      </c>
      <c r="E3552" s="5" t="s">
        <v>31972</v>
      </c>
      <c r="F3552" s="5" t="s">
        <v>31973</v>
      </c>
      <c r="G3552" s="5" t="s">
        <v>31974</v>
      </c>
      <c r="H3552" s="1" t="s">
        <v>31975</v>
      </c>
      <c r="I3552" s="5" t="s">
        <v>31976</v>
      </c>
      <c r="J3552" s="7">
        <v>7</v>
      </c>
      <c r="K3552" s="7">
        <v>139.9032</v>
      </c>
      <c r="L3552" s="5" t="s">
        <v>31977</v>
      </c>
      <c r="M3552" s="7">
        <v>4.58</v>
      </c>
      <c r="N3552" s="7">
        <v>1.27</v>
      </c>
      <c r="O3552" s="7">
        <v>5.5659999999999998</v>
      </c>
      <c r="P3552" s="1" t="s">
        <v>31978</v>
      </c>
    </row>
    <row r="3553" spans="1:16" ht="33.4" x14ac:dyDescent="0.3">
      <c r="A3553" s="6" t="str">
        <f>HYPERLINK("https://www.ti.com/product/LMZ14203", "LMZ14203")</f>
        <v>LMZ14203</v>
      </c>
      <c r="B3553" s="5" t="s">
        <v>31979</v>
      </c>
      <c r="C3553" s="6" t="str">
        <f>HYPERLINK("https://www.ti.com/lit/gpn/LMZ14203", "PDF")</f>
        <v>PDF</v>
      </c>
      <c r="D3553" s="5" t="s">
        <v>31980</v>
      </c>
      <c r="E3553" s="5" t="s">
        <v>31981</v>
      </c>
      <c r="F3553" s="5" t="s">
        <v>31982</v>
      </c>
      <c r="G3553" s="5" t="s">
        <v>31983</v>
      </c>
      <c r="H3553" s="1" t="s">
        <v>31984</v>
      </c>
      <c r="I3553" s="5" t="s">
        <v>31985</v>
      </c>
      <c r="J3553" s="7">
        <v>7</v>
      </c>
      <c r="K3553" s="7">
        <v>139.9032</v>
      </c>
      <c r="L3553" s="5" t="s">
        <v>31986</v>
      </c>
      <c r="M3553" s="7">
        <v>4.58</v>
      </c>
      <c r="N3553" s="7">
        <v>1.27</v>
      </c>
      <c r="O3553" s="7">
        <v>9.8889999999999993</v>
      </c>
      <c r="P3553" s="1" t="s">
        <v>31987</v>
      </c>
    </row>
    <row r="3554" spans="1:16" ht="33.4" x14ac:dyDescent="0.3">
      <c r="A3554" s="6" t="str">
        <f>HYPERLINK("https://www.ti.com/product/UCD9246", "UCD9246")</f>
        <v>UCD9246</v>
      </c>
      <c r="B3554" s="5" t="s">
        <v>31988</v>
      </c>
      <c r="C3554" s="6" t="str">
        <f>HYPERLINK("https://www.ti.com/lit/gpn/UCD9246", "PDF")</f>
        <v>PDF</v>
      </c>
      <c r="D3554" s="5" t="s">
        <v>31989</v>
      </c>
      <c r="E3554" s="5" t="s">
        <v>31990</v>
      </c>
      <c r="F3554" s="5"/>
      <c r="G3554" s="5" t="s">
        <v>31991</v>
      </c>
      <c r="H3554" s="1" t="s">
        <v>31992</v>
      </c>
      <c r="I3554" s="5" t="s">
        <v>31993</v>
      </c>
      <c r="J3554" s="7">
        <v>64</v>
      </c>
      <c r="K3554" s="7">
        <v>81</v>
      </c>
      <c r="L3554" s="5" t="s">
        <v>31994</v>
      </c>
      <c r="M3554" s="7">
        <v>1</v>
      </c>
      <c r="N3554" s="7">
        <v>0.5</v>
      </c>
      <c r="O3554" s="7">
        <v>4.5540000000000003</v>
      </c>
      <c r="P3554" s="1" t="s">
        <v>31995</v>
      </c>
    </row>
    <row r="3555" spans="1:16" ht="17.05" x14ac:dyDescent="0.3">
      <c r="A3555" s="6" t="str">
        <f>HYPERLINK("https://www.ti.com/product/TPS65072", "TPS65072")</f>
        <v>TPS65072</v>
      </c>
      <c r="B3555" s="5" t="s">
        <v>31996</v>
      </c>
      <c r="C3555" s="6" t="str">
        <f>HYPERLINK("https://www.ti.com/lit/gpn/TPS65072", "PDF")</f>
        <v>PDF</v>
      </c>
      <c r="D3555" s="5" t="s">
        <v>31997</v>
      </c>
      <c r="E3555" s="5" t="s">
        <v>31998</v>
      </c>
      <c r="F3555" s="5"/>
      <c r="G3555" s="5" t="s">
        <v>31999</v>
      </c>
      <c r="H3555" s="1" t="s">
        <v>32000</v>
      </c>
      <c r="I3555" s="5" t="s">
        <v>32001</v>
      </c>
      <c r="J3555" s="7">
        <v>48</v>
      </c>
      <c r="K3555" s="7">
        <v>36</v>
      </c>
      <c r="L3555" s="5" t="s">
        <v>32002</v>
      </c>
      <c r="M3555" s="7">
        <v>1</v>
      </c>
      <c r="N3555" s="7">
        <v>0.4</v>
      </c>
      <c r="O3555" s="7">
        <v>3.137</v>
      </c>
      <c r="P3555" s="1" t="s">
        <v>32003</v>
      </c>
    </row>
    <row r="3556" spans="1:16" ht="33.4" x14ac:dyDescent="0.3">
      <c r="A3556" s="6" t="str">
        <f>HYPERLINK("https://www.ti.com/product/LM5035C", "LM5035C")</f>
        <v>LM5035C</v>
      </c>
      <c r="B3556" s="5" t="s">
        <v>32004</v>
      </c>
      <c r="C3556" s="6" t="str">
        <f>HYPERLINK("https://www.ti.com/lit/gpn/LM5035C", "PDF")</f>
        <v>PDF</v>
      </c>
      <c r="D3556" s="5" t="s">
        <v>32005</v>
      </c>
      <c r="E3556" s="5" t="s">
        <v>32006</v>
      </c>
      <c r="F3556" s="5" t="s">
        <v>32007</v>
      </c>
      <c r="G3556" s="5" t="s">
        <v>32008</v>
      </c>
      <c r="H3556" s="1" t="s">
        <v>32009</v>
      </c>
      <c r="I3556" s="5" t="s">
        <v>32010</v>
      </c>
      <c r="J3556" s="7" t="s">
        <v>32011</v>
      </c>
      <c r="K3556" s="7" t="s">
        <v>32012</v>
      </c>
      <c r="L3556" s="5" t="s">
        <v>32013</v>
      </c>
      <c r="M3556" s="7" t="s">
        <v>32014</v>
      </c>
      <c r="N3556" s="7" t="s">
        <v>32015</v>
      </c>
      <c r="O3556" s="7">
        <v>1.8069999999999999</v>
      </c>
      <c r="P3556" s="1" t="s">
        <v>32016</v>
      </c>
    </row>
    <row r="3557" spans="1:16" ht="33.4" x14ac:dyDescent="0.3">
      <c r="A3557" s="6" t="str">
        <f>HYPERLINK("https://www.ti.com/product/CSD16340Q3", "CSD16340Q3")</f>
        <v>CSD16340Q3</v>
      </c>
      <c r="B3557" s="5" t="s">
        <v>32017</v>
      </c>
      <c r="C3557" s="6" t="str">
        <f>HYPERLINK("https://www.ti.com/lit/gpn/CSD16340Q3", "PDF")</f>
        <v>PDF</v>
      </c>
      <c r="D3557" s="5" t="s">
        <v>32018</v>
      </c>
      <c r="E3557" s="5" t="s">
        <v>32019</v>
      </c>
      <c r="F3557" s="5"/>
      <c r="G3557" s="5" t="s">
        <v>32020</v>
      </c>
      <c r="H3557" s="1" t="s">
        <v>32021</v>
      </c>
      <c r="I3557" s="5" t="s">
        <v>32022</v>
      </c>
      <c r="J3557" s="7">
        <v>8</v>
      </c>
      <c r="K3557" s="7">
        <v>10.89</v>
      </c>
      <c r="L3557" s="5" t="s">
        <v>32023</v>
      </c>
      <c r="M3557" s="7">
        <v>1.1000000000000001</v>
      </c>
      <c r="N3557" s="7">
        <v>0.65</v>
      </c>
      <c r="O3557" s="7">
        <v>0.32900000000000001</v>
      </c>
      <c r="P3557" s="1" t="s">
        <v>32024</v>
      </c>
    </row>
    <row r="3558" spans="1:16" ht="33.4" x14ac:dyDescent="0.3">
      <c r="A3558" s="6" t="str">
        <f>HYPERLINK("https://www.ti.com/product/LM5112-Q1", "LM5112-Q1")</f>
        <v>LM5112-Q1</v>
      </c>
      <c r="B3558" s="5" t="s">
        <v>32025</v>
      </c>
      <c r="C3558" s="6" t="str">
        <f>HYPERLINK("https://www.ti.com/lit/gpn/LM5112-Q1", "PDF")</f>
        <v>PDF</v>
      </c>
      <c r="D3558" s="5" t="s">
        <v>32026</v>
      </c>
      <c r="E3558" s="5" t="s">
        <v>32027</v>
      </c>
      <c r="F3558" s="5"/>
      <c r="G3558" s="5" t="s">
        <v>32028</v>
      </c>
      <c r="H3558" s="1" t="s">
        <v>32029</v>
      </c>
      <c r="I3558" s="5" t="s">
        <v>32030</v>
      </c>
      <c r="J3558" s="7">
        <v>6</v>
      </c>
      <c r="K3558" s="7">
        <v>9</v>
      </c>
      <c r="L3558" s="5" t="s">
        <v>32031</v>
      </c>
      <c r="M3558" s="7">
        <v>0.8</v>
      </c>
      <c r="N3558" s="7">
        <v>0.95</v>
      </c>
      <c r="O3558" s="7">
        <v>0.58199999999999996</v>
      </c>
      <c r="P3558" s="1" t="s">
        <v>32032</v>
      </c>
    </row>
    <row r="3559" spans="1:16" ht="49.75" x14ac:dyDescent="0.3">
      <c r="A3559" s="6" t="str">
        <f>HYPERLINK("https://www.ti.com/product/TL4050B25-Q1", "TL4050B25-Q1")</f>
        <v>TL4050B25-Q1</v>
      </c>
      <c r="B3559" s="5" t="s">
        <v>32033</v>
      </c>
      <c r="C3559" s="6" t="str">
        <f>HYPERLINK("https://www.ti.com/lit/gpn/TL4050B25-Q1", "PDF")</f>
        <v>PDF</v>
      </c>
      <c r="D3559" s="5" t="s">
        <v>32034</v>
      </c>
      <c r="E3559" s="5" t="s">
        <v>32035</v>
      </c>
      <c r="F3559" s="5"/>
      <c r="G3559" s="5" t="s">
        <v>32036</v>
      </c>
      <c r="H3559" s="1" t="s">
        <v>32037</v>
      </c>
      <c r="I3559" s="5" t="s">
        <v>32038</v>
      </c>
      <c r="J3559" s="7" t="s">
        <v>32039</v>
      </c>
      <c r="K3559" s="7" t="s">
        <v>32040</v>
      </c>
      <c r="L3559" s="5" t="s">
        <v>32041</v>
      </c>
      <c r="M3559" s="7" t="s">
        <v>32042</v>
      </c>
      <c r="N3559" s="7" t="s">
        <v>32043</v>
      </c>
      <c r="O3559" s="7">
        <v>0.82299999999999995</v>
      </c>
      <c r="P3559" s="1" t="s">
        <v>32044</v>
      </c>
    </row>
    <row r="3560" spans="1:16" ht="33.4" x14ac:dyDescent="0.3">
      <c r="A3560" s="6" t="str">
        <f>HYPERLINK("https://www.ti.com/product/TPS62261-Q1", "TPS62261-Q1")</f>
        <v>TPS62261-Q1</v>
      </c>
      <c r="B3560" s="5" t="s">
        <v>32045</v>
      </c>
      <c r="C3560" s="6" t="str">
        <f>HYPERLINK("https://www.ti.com/lit/gpn/TPS62261-Q1", "PDF")</f>
        <v>PDF</v>
      </c>
      <c r="D3560" s="5" t="s">
        <v>32046</v>
      </c>
      <c r="E3560" s="5" t="s">
        <v>32047</v>
      </c>
      <c r="F3560" s="5" t="s">
        <v>32048</v>
      </c>
      <c r="G3560" s="5" t="s">
        <v>32049</v>
      </c>
      <c r="H3560" s="1" t="s">
        <v>32050</v>
      </c>
      <c r="I3560" s="5" t="s">
        <v>32051</v>
      </c>
      <c r="J3560" s="7">
        <v>6</v>
      </c>
      <c r="K3560" s="7">
        <v>4</v>
      </c>
      <c r="L3560" s="5" t="s">
        <v>32052</v>
      </c>
      <c r="M3560" s="7">
        <v>0.8</v>
      </c>
      <c r="N3560" s="7">
        <v>0.65</v>
      </c>
      <c r="O3560" s="7">
        <v>0.66100000000000003</v>
      </c>
      <c r="P3560" s="1" t="s">
        <v>32053</v>
      </c>
    </row>
    <row r="3561" spans="1:16" ht="33.4" x14ac:dyDescent="0.3">
      <c r="A3561" s="6" t="str">
        <f>HYPERLINK("https://www.ti.com/product/TPS62262-Q1", "TPS62262-Q1")</f>
        <v>TPS62262-Q1</v>
      </c>
      <c r="B3561" s="5" t="s">
        <v>32054</v>
      </c>
      <c r="C3561" s="6" t="str">
        <f>HYPERLINK("https://www.ti.com/lit/gpn/TPS62262-Q1", "PDF")</f>
        <v>PDF</v>
      </c>
      <c r="D3561" s="5" t="s">
        <v>32055</v>
      </c>
      <c r="E3561" s="5" t="s">
        <v>32056</v>
      </c>
      <c r="F3561" s="5" t="s">
        <v>32057</v>
      </c>
      <c r="G3561" s="5" t="s">
        <v>32058</v>
      </c>
      <c r="H3561" s="1" t="s">
        <v>32059</v>
      </c>
      <c r="I3561" s="5" t="s">
        <v>32060</v>
      </c>
      <c r="J3561" s="7">
        <v>6</v>
      </c>
      <c r="K3561" s="7">
        <v>4</v>
      </c>
      <c r="L3561" s="5" t="s">
        <v>32061</v>
      </c>
      <c r="M3561" s="7">
        <v>0.8</v>
      </c>
      <c r="N3561" s="7">
        <v>0.65</v>
      </c>
      <c r="O3561" s="7">
        <v>0.66100000000000003</v>
      </c>
      <c r="P3561" s="1" t="s">
        <v>32062</v>
      </c>
    </row>
    <row r="3562" spans="1:16" ht="33.4" x14ac:dyDescent="0.3">
      <c r="A3562" s="6" t="str">
        <f>HYPERLINK("https://www.ti.com/product/TPS62263-Q1", "TPS62263-Q1")</f>
        <v>TPS62263-Q1</v>
      </c>
      <c r="B3562" s="5" t="s">
        <v>32063</v>
      </c>
      <c r="C3562" s="6" t="str">
        <f>HYPERLINK("https://www.ti.com/lit/gpn/TPS62263-Q1", "PDF")</f>
        <v>PDF</v>
      </c>
      <c r="D3562" s="5" t="s">
        <v>32064</v>
      </c>
      <c r="E3562" s="5" t="s">
        <v>32065</v>
      </c>
      <c r="F3562" s="5" t="s">
        <v>32066</v>
      </c>
      <c r="G3562" s="5" t="s">
        <v>32067</v>
      </c>
      <c r="H3562" s="1" t="s">
        <v>32068</v>
      </c>
      <c r="I3562" s="5" t="s">
        <v>32069</v>
      </c>
      <c r="J3562" s="7">
        <v>6</v>
      </c>
      <c r="K3562" s="7">
        <v>4</v>
      </c>
      <c r="L3562" s="5" t="s">
        <v>32070</v>
      </c>
      <c r="M3562" s="7">
        <v>0.8</v>
      </c>
      <c r="N3562" s="7">
        <v>0.65</v>
      </c>
      <c r="O3562" s="7">
        <v>0.66100000000000003</v>
      </c>
      <c r="P3562" s="1" t="s">
        <v>32071</v>
      </c>
    </row>
    <row r="3563" spans="1:16" ht="33.4" x14ac:dyDescent="0.3">
      <c r="A3563" s="6" t="str">
        <f>HYPERLINK("https://www.ti.com/product/TPS62404-Q1", "TPS62404-Q1")</f>
        <v>TPS62404-Q1</v>
      </c>
      <c r="B3563" s="5" t="s">
        <v>32072</v>
      </c>
      <c r="C3563" s="6" t="str">
        <f>HYPERLINK("https://www.ti.com/lit/gpn/TPS62404-Q1", "PDF")</f>
        <v>PDF</v>
      </c>
      <c r="D3563" s="5" t="s">
        <v>32073</v>
      </c>
      <c r="E3563" s="5" t="s">
        <v>32074</v>
      </c>
      <c r="F3563" s="5" t="s">
        <v>32075</v>
      </c>
      <c r="G3563" s="5" t="s">
        <v>32076</v>
      </c>
      <c r="H3563" s="1" t="s">
        <v>32077</v>
      </c>
      <c r="I3563" s="5" t="s">
        <v>32078</v>
      </c>
      <c r="J3563" s="7">
        <v>10</v>
      </c>
      <c r="K3563" s="7">
        <v>9</v>
      </c>
      <c r="L3563" s="5" t="s">
        <v>32079</v>
      </c>
      <c r="M3563" s="7">
        <v>1</v>
      </c>
      <c r="N3563" s="7">
        <v>0.5</v>
      </c>
      <c r="O3563" s="7">
        <v>0.89600000000000002</v>
      </c>
      <c r="P3563" s="1" t="s">
        <v>32080</v>
      </c>
    </row>
    <row r="3564" spans="1:16" ht="33.4" x14ac:dyDescent="0.3">
      <c r="A3564" s="6" t="str">
        <f>HYPERLINK("https://www.ti.com/product/TPS782-Q1", "TPS782-Q1")</f>
        <v>TPS782-Q1</v>
      </c>
      <c r="B3564" s="5" t="s">
        <v>32081</v>
      </c>
      <c r="C3564" s="6" t="str">
        <f>HYPERLINK("https://www.ti.com/lit/gpn/TPS782-Q1", "PDF")</f>
        <v>PDF</v>
      </c>
      <c r="D3564" s="5" t="s">
        <v>32082</v>
      </c>
      <c r="E3564" s="5" t="s">
        <v>32083</v>
      </c>
      <c r="F3564" s="5"/>
      <c r="G3564" s="5" t="s">
        <v>32084</v>
      </c>
      <c r="H3564" s="1" t="s">
        <v>32085</v>
      </c>
      <c r="I3564" s="5" t="s">
        <v>32086</v>
      </c>
      <c r="J3564" s="7">
        <v>6</v>
      </c>
      <c r="K3564" s="7">
        <v>4</v>
      </c>
      <c r="L3564" s="5" t="s">
        <v>32087</v>
      </c>
      <c r="M3564" s="7">
        <v>0.8</v>
      </c>
      <c r="N3564" s="7">
        <v>0.65</v>
      </c>
      <c r="O3564" s="7">
        <v>0.29099999999999998</v>
      </c>
      <c r="P3564" s="1" t="s">
        <v>32088</v>
      </c>
    </row>
    <row r="3565" spans="1:16" ht="33.4" x14ac:dyDescent="0.3">
      <c r="A3565" s="6" t="str">
        <f>HYPERLINK("https://www.ti.com/product/TLC59401", "TLC59401")</f>
        <v>TLC59401</v>
      </c>
      <c r="B3565" s="5" t="s">
        <v>32089</v>
      </c>
      <c r="C3565" s="6" t="str">
        <f>HYPERLINK("https://www.ti.com/lit/gpn/TLC59401", "PDF")</f>
        <v>PDF</v>
      </c>
      <c r="D3565" s="5" t="s">
        <v>32090</v>
      </c>
      <c r="E3565" s="5" t="s">
        <v>32091</v>
      </c>
      <c r="F3565" s="5"/>
      <c r="G3565" s="5" t="s">
        <v>32092</v>
      </c>
      <c r="H3565" s="1" t="s">
        <v>32093</v>
      </c>
      <c r="I3565" s="5" t="s">
        <v>32094</v>
      </c>
      <c r="J3565" s="7" t="s">
        <v>32095</v>
      </c>
      <c r="K3565" s="7" t="s">
        <v>32096</v>
      </c>
      <c r="L3565" s="5" t="s">
        <v>32097</v>
      </c>
      <c r="M3565" s="7" t="s">
        <v>32098</v>
      </c>
      <c r="N3565" s="7" t="s">
        <v>32099</v>
      </c>
      <c r="O3565" s="7">
        <v>1.113</v>
      </c>
      <c r="P3565" s="1" t="s">
        <v>32100</v>
      </c>
    </row>
    <row r="3566" spans="1:16" ht="33.4" x14ac:dyDescent="0.3">
      <c r="A3566" s="6" t="str">
        <f>HYPERLINK("https://www.ti.com/product/TPS62420-Q1", "TPS62420-Q1")</f>
        <v>TPS62420-Q1</v>
      </c>
      <c r="B3566" s="5" t="s">
        <v>32101</v>
      </c>
      <c r="C3566" s="6" t="str">
        <f>HYPERLINK("https://www.ti.com/lit/gpn/TPS62420-Q1", "PDF")</f>
        <v>PDF</v>
      </c>
      <c r="D3566" s="5" t="s">
        <v>32102</v>
      </c>
      <c r="E3566" s="5" t="s">
        <v>32103</v>
      </c>
      <c r="F3566" s="5" t="s">
        <v>32104</v>
      </c>
      <c r="G3566" s="5" t="s">
        <v>32105</v>
      </c>
      <c r="H3566" s="1" t="s">
        <v>32106</v>
      </c>
      <c r="I3566" s="5" t="s">
        <v>32107</v>
      </c>
      <c r="J3566" s="7">
        <v>10</v>
      </c>
      <c r="K3566" s="7">
        <v>9</v>
      </c>
      <c r="L3566" s="5" t="s">
        <v>32108</v>
      </c>
      <c r="M3566" s="7">
        <v>1</v>
      </c>
      <c r="N3566" s="7">
        <v>0.5</v>
      </c>
      <c r="O3566" s="7">
        <v>0.96399999999999997</v>
      </c>
      <c r="P3566" s="1" t="s">
        <v>32109</v>
      </c>
    </row>
    <row r="3567" spans="1:16" ht="49.75" x14ac:dyDescent="0.3">
      <c r="A3567" s="6" t="str">
        <f>HYPERLINK("https://www.ti.com/product/TPS62615", "TPS62615")</f>
        <v>TPS62615</v>
      </c>
      <c r="B3567" s="5" t="s">
        <v>32110</v>
      </c>
      <c r="C3567" s="6" t="str">
        <f>HYPERLINK("https://www.ti.com/lit/gpn/TPS62615", "PDF")</f>
        <v>PDF</v>
      </c>
      <c r="D3567" s="5" t="s">
        <v>32111</v>
      </c>
      <c r="E3567" s="5" t="s">
        <v>32112</v>
      </c>
      <c r="F3567" s="5" t="s">
        <v>32113</v>
      </c>
      <c r="G3567" s="5" t="s">
        <v>32114</v>
      </c>
      <c r="H3567" s="1" t="s">
        <v>32115</v>
      </c>
      <c r="I3567" s="5" t="s">
        <v>32116</v>
      </c>
      <c r="J3567" s="7">
        <v>6</v>
      </c>
      <c r="K3567" s="7">
        <v>1.4000000000000001</v>
      </c>
      <c r="L3567" s="5" t="s">
        <v>32117</v>
      </c>
      <c r="M3567" s="7">
        <v>0.4</v>
      </c>
      <c r="N3567" s="7">
        <v>0.4</v>
      </c>
      <c r="O3567" s="7">
        <v>0.434</v>
      </c>
      <c r="P3567" s="1" t="s">
        <v>32118</v>
      </c>
    </row>
    <row r="3568" spans="1:16" ht="33.4" x14ac:dyDescent="0.3">
      <c r="A3568" s="6" t="str">
        <f>HYPERLINK("https://www.ti.com/product/UCC27321-Q1", "UCC27321-Q1")</f>
        <v>UCC27321-Q1</v>
      </c>
      <c r="B3568" s="5" t="s">
        <v>32119</v>
      </c>
      <c r="C3568" s="6" t="str">
        <f>HYPERLINK("https://www.ti.com/lit/gpn/UCC27321-Q1", "PDF")</f>
        <v>PDF</v>
      </c>
      <c r="D3568" s="5" t="s">
        <v>32120</v>
      </c>
      <c r="E3568" s="5" t="s">
        <v>32121</v>
      </c>
      <c r="F3568" s="5"/>
      <c r="G3568" s="5" t="s">
        <v>32122</v>
      </c>
      <c r="H3568" s="1" t="s">
        <v>32123</v>
      </c>
      <c r="I3568" s="5" t="s">
        <v>32124</v>
      </c>
      <c r="J3568" s="7">
        <v>8</v>
      </c>
      <c r="K3568" s="7">
        <v>29.4</v>
      </c>
      <c r="L3568" s="5" t="s">
        <v>32125</v>
      </c>
      <c r="M3568" s="7">
        <v>1.75</v>
      </c>
      <c r="N3568" s="7">
        <v>1.27</v>
      </c>
      <c r="O3568" s="7">
        <v>0.64900000000000002</v>
      </c>
      <c r="P3568" s="1" t="s">
        <v>32126</v>
      </c>
    </row>
    <row r="3569" spans="1:16" ht="33.4" x14ac:dyDescent="0.3">
      <c r="A3569" s="6" t="str">
        <f>HYPERLINK("https://www.ti.com/product/UCC27322-Q1", "UCC27322-Q1")</f>
        <v>UCC27322-Q1</v>
      </c>
      <c r="B3569" s="5" t="s">
        <v>32127</v>
      </c>
      <c r="C3569" s="6" t="str">
        <f>HYPERLINK("https://www.ti.com/lit/gpn/UCC27322-Q1", "PDF")</f>
        <v>PDF</v>
      </c>
      <c r="D3569" s="5" t="s">
        <v>32128</v>
      </c>
      <c r="E3569" s="5" t="s">
        <v>32129</v>
      </c>
      <c r="F3569" s="5"/>
      <c r="G3569" s="5" t="s">
        <v>32130</v>
      </c>
      <c r="H3569" s="1" t="s">
        <v>32131</v>
      </c>
      <c r="I3569" s="5" t="s">
        <v>32132</v>
      </c>
      <c r="J3569" s="7">
        <v>8</v>
      </c>
      <c r="K3569" s="7" t="s">
        <v>32133</v>
      </c>
      <c r="L3569" s="5" t="s">
        <v>32134</v>
      </c>
      <c r="M3569" s="7" t="s">
        <v>32135</v>
      </c>
      <c r="N3569" s="7" t="s">
        <v>32136</v>
      </c>
      <c r="O3569" s="7">
        <v>0.64900000000000002</v>
      </c>
      <c r="P3569" s="1" t="s">
        <v>32137</v>
      </c>
    </row>
    <row r="3570" spans="1:16" ht="33.4" x14ac:dyDescent="0.3">
      <c r="A3570" s="6" t="str">
        <f>HYPERLINK("https://www.ti.com/product/TPS2560", "TPS2560")</f>
        <v>TPS2560</v>
      </c>
      <c r="B3570" s="5" t="s">
        <v>32138</v>
      </c>
      <c r="C3570" s="6" t="str">
        <f>HYPERLINK("https://www.ti.com/lit/gpn/TPS2560", "PDF")</f>
        <v>PDF</v>
      </c>
      <c r="D3570" s="5" t="s">
        <v>32139</v>
      </c>
      <c r="E3570" s="5" t="s">
        <v>32140</v>
      </c>
      <c r="F3570" s="5"/>
      <c r="G3570" s="5" t="s">
        <v>32141</v>
      </c>
      <c r="H3570" s="1" t="s">
        <v>32142</v>
      </c>
      <c r="I3570" s="5" t="s">
        <v>32143</v>
      </c>
      <c r="J3570" s="7">
        <v>10</v>
      </c>
      <c r="K3570" s="7">
        <v>9</v>
      </c>
      <c r="L3570" s="5" t="s">
        <v>32144</v>
      </c>
      <c r="M3570" s="7">
        <v>1</v>
      </c>
      <c r="N3570" s="7">
        <v>0.5</v>
      </c>
      <c r="O3570" s="7">
        <v>0.499</v>
      </c>
      <c r="P3570" s="1" t="s">
        <v>32145</v>
      </c>
    </row>
    <row r="3571" spans="1:16" ht="33.4" x14ac:dyDescent="0.3">
      <c r="A3571" s="6" t="str">
        <f>HYPERLINK("https://www.ti.com/product/TPS2561", "TPS2561")</f>
        <v>TPS2561</v>
      </c>
      <c r="B3571" s="5" t="s">
        <v>32146</v>
      </c>
      <c r="C3571" s="6" t="str">
        <f>HYPERLINK("https://www.ti.com/lit/gpn/TPS2561", "PDF")</f>
        <v>PDF</v>
      </c>
      <c r="D3571" s="5" t="s">
        <v>32147</v>
      </c>
      <c r="E3571" s="5" t="s">
        <v>32148</v>
      </c>
      <c r="F3571" s="5"/>
      <c r="G3571" s="5" t="s">
        <v>32149</v>
      </c>
      <c r="H3571" s="1" t="s">
        <v>32150</v>
      </c>
      <c r="I3571" s="5" t="s">
        <v>32151</v>
      </c>
      <c r="J3571" s="7">
        <v>10</v>
      </c>
      <c r="K3571" s="7">
        <v>9</v>
      </c>
      <c r="L3571" s="5" t="s">
        <v>32152</v>
      </c>
      <c r="M3571" s="7">
        <v>1</v>
      </c>
      <c r="N3571" s="7">
        <v>0.5</v>
      </c>
      <c r="O3571" s="7">
        <v>0.499</v>
      </c>
      <c r="P3571" s="1" t="s">
        <v>32153</v>
      </c>
    </row>
    <row r="3572" spans="1:16" ht="33.4" x14ac:dyDescent="0.3">
      <c r="A3572" s="6" t="str">
        <f>HYPERLINK("https://www.ti.com/product/TPS61085T", "TPS61085T")</f>
        <v>TPS61085T</v>
      </c>
      <c r="B3572" s="5" t="s">
        <v>32154</v>
      </c>
      <c r="C3572" s="6" t="str">
        <f>HYPERLINK("https://www.ti.com/lit/gpn/TPS61085T", "PDF")</f>
        <v>PDF</v>
      </c>
      <c r="D3572" s="5" t="s">
        <v>32155</v>
      </c>
      <c r="E3572" s="5" t="s">
        <v>32156</v>
      </c>
      <c r="F3572" s="5" t="s">
        <v>32157</v>
      </c>
      <c r="G3572" s="5" t="s">
        <v>32158</v>
      </c>
      <c r="H3572" s="1" t="s">
        <v>32159</v>
      </c>
      <c r="I3572" s="5" t="s">
        <v>32160</v>
      </c>
      <c r="J3572" s="7">
        <v>8</v>
      </c>
      <c r="K3572" s="7" t="s">
        <v>32161</v>
      </c>
      <c r="L3572" s="5" t="s">
        <v>32162</v>
      </c>
      <c r="M3572" s="7" t="s">
        <v>32163</v>
      </c>
      <c r="N3572" s="7">
        <v>0.65</v>
      </c>
      <c r="O3572" s="7">
        <v>0.86199999999999999</v>
      </c>
      <c r="P3572" s="1" t="s">
        <v>32164</v>
      </c>
    </row>
    <row r="3573" spans="1:16" ht="33.4" x14ac:dyDescent="0.3">
      <c r="A3573" s="6" t="str">
        <f>HYPERLINK("https://www.ti.com/product/UCC28C41-Q1", "UCC28C41-Q1")</f>
        <v>UCC28C41-Q1</v>
      </c>
      <c r="B3573" s="5" t="s">
        <v>32165</v>
      </c>
      <c r="C3573" s="6" t="str">
        <f>HYPERLINK("https://www.ti.com/lit/gpn/UCC28C41-Q1", "PDF")</f>
        <v>PDF</v>
      </c>
      <c r="D3573" s="5" t="s">
        <v>32166</v>
      </c>
      <c r="E3573" s="5" t="s">
        <v>32167</v>
      </c>
      <c r="F3573" s="5" t="s">
        <v>32168</v>
      </c>
      <c r="G3573" s="5" t="s">
        <v>32169</v>
      </c>
      <c r="H3573" s="1" t="s">
        <v>32170</v>
      </c>
      <c r="I3573" s="5" t="s">
        <v>32171</v>
      </c>
      <c r="J3573" s="7">
        <v>8</v>
      </c>
      <c r="K3573" s="7">
        <v>29.4</v>
      </c>
      <c r="L3573" s="5" t="s">
        <v>32172</v>
      </c>
      <c r="M3573" s="7">
        <v>1.75</v>
      </c>
      <c r="N3573" s="7">
        <v>1.27</v>
      </c>
      <c r="O3573" s="7">
        <v>0.871</v>
      </c>
      <c r="P3573" s="1" t="s">
        <v>32173</v>
      </c>
    </row>
    <row r="3574" spans="1:16" ht="33.4" x14ac:dyDescent="0.3">
      <c r="A3574" s="6" t="str">
        <f>HYPERLINK("https://www.ti.com/product/TPS22924C", "TPS22924C")</f>
        <v>TPS22924C</v>
      </c>
      <c r="B3574" s="5" t="s">
        <v>32174</v>
      </c>
      <c r="C3574" s="6" t="str">
        <f>HYPERLINK("https://www.ti.com/lit/gpn/TPS22924C", "PDF")</f>
        <v>PDF</v>
      </c>
      <c r="D3574" s="5" t="s">
        <v>32175</v>
      </c>
      <c r="E3574" s="5" t="s">
        <v>32176</v>
      </c>
      <c r="F3574" s="5"/>
      <c r="G3574" s="5" t="s">
        <v>32177</v>
      </c>
      <c r="H3574" s="1" t="s">
        <v>32178</v>
      </c>
      <c r="I3574" s="5" t="s">
        <v>32179</v>
      </c>
      <c r="J3574" s="7">
        <v>6</v>
      </c>
      <c r="K3574" s="7">
        <v>2.1875</v>
      </c>
      <c r="L3574" s="5" t="s">
        <v>32180</v>
      </c>
      <c r="M3574" s="7">
        <v>0.5</v>
      </c>
      <c r="N3574" s="7">
        <v>0.5</v>
      </c>
      <c r="O3574" s="7">
        <v>0.24299999999999999</v>
      </c>
      <c r="P3574" s="1" t="s">
        <v>32181</v>
      </c>
    </row>
    <row r="3575" spans="1:16" ht="33.4" x14ac:dyDescent="0.3">
      <c r="A3575" s="6" t="str">
        <f>HYPERLINK("https://www.ti.com/product/TPS65232A0", "TPS65232A0")</f>
        <v>TPS65232A0</v>
      </c>
      <c r="B3575" s="5" t="s">
        <v>32182</v>
      </c>
      <c r="C3575" s="6" t="str">
        <f>HYPERLINK("https://www.ti.com/lit/gpn/TPS65232A0", "PDF")</f>
        <v>PDF</v>
      </c>
      <c r="D3575" s="5" t="s">
        <v>32183</v>
      </c>
      <c r="E3575" s="5" t="s">
        <v>32184</v>
      </c>
      <c r="F3575" s="5" t="s">
        <v>32185</v>
      </c>
      <c r="G3575" s="5" t="s">
        <v>32186</v>
      </c>
      <c r="H3575" s="1" t="s">
        <v>32187</v>
      </c>
      <c r="I3575" s="5" t="s">
        <v>32188</v>
      </c>
      <c r="J3575" s="7">
        <v>40</v>
      </c>
      <c r="K3575" s="7">
        <v>36</v>
      </c>
      <c r="L3575" s="5" t="s">
        <v>32189</v>
      </c>
      <c r="M3575" s="7">
        <v>1</v>
      </c>
      <c r="N3575" s="7">
        <v>0.5</v>
      </c>
      <c r="O3575" s="7">
        <v>3.137</v>
      </c>
      <c r="P3575" s="1" t="s">
        <v>32190</v>
      </c>
    </row>
    <row r="3576" spans="1:16" ht="33.4" x14ac:dyDescent="0.3">
      <c r="A3576" s="6" t="str">
        <f>HYPERLINK("https://www.ti.com/product/TPS65232A2", "TPS65232A2")</f>
        <v>TPS65232A2</v>
      </c>
      <c r="B3576" s="5" t="s">
        <v>32191</v>
      </c>
      <c r="C3576" s="6" t="str">
        <f>HYPERLINK("https://www.ti.com/lit/gpn/TPS65232A2", "PDF")</f>
        <v>PDF</v>
      </c>
      <c r="D3576" s="5" t="s">
        <v>32192</v>
      </c>
      <c r="E3576" s="5" t="s">
        <v>32193</v>
      </c>
      <c r="F3576" s="5" t="s">
        <v>32194</v>
      </c>
      <c r="G3576" s="5" t="s">
        <v>32195</v>
      </c>
      <c r="H3576" s="1" t="s">
        <v>32196</v>
      </c>
      <c r="I3576" s="5" t="s">
        <v>32197</v>
      </c>
      <c r="J3576" s="7">
        <v>48</v>
      </c>
      <c r="K3576" s="7">
        <v>101.25</v>
      </c>
      <c r="L3576" s="5" t="s">
        <v>32198</v>
      </c>
      <c r="M3576" s="7">
        <v>1.2</v>
      </c>
      <c r="N3576" s="7">
        <v>0.5</v>
      </c>
      <c r="O3576" s="7">
        <v>3.137</v>
      </c>
      <c r="P3576" s="1" t="s">
        <v>32199</v>
      </c>
    </row>
    <row r="3577" spans="1:16" ht="33.4" x14ac:dyDescent="0.3">
      <c r="A3577" s="6" t="str">
        <f>HYPERLINK("https://www.ti.com/product/PTD08A015W", "PTD08A015W")</f>
        <v>PTD08A015W</v>
      </c>
      <c r="B3577" s="5" t="s">
        <v>32200</v>
      </c>
      <c r="C3577" s="6" t="str">
        <f>HYPERLINK("https://www.ti.com/lit/gpn/PTD08A015W", "PDF")</f>
        <v>PDF</v>
      </c>
      <c r="D3577" s="5" t="s">
        <v>32201</v>
      </c>
      <c r="E3577" s="5" t="s">
        <v>32202</v>
      </c>
      <c r="F3577" s="5"/>
      <c r="G3577" s="5" t="s">
        <v>32203</v>
      </c>
      <c r="H3577" s="1" t="s">
        <v>32204</v>
      </c>
      <c r="I3577" s="5" t="s">
        <v>32205</v>
      </c>
      <c r="J3577" s="7">
        <v>12</v>
      </c>
      <c r="K3577" s="7">
        <v>334.19439999999997</v>
      </c>
      <c r="L3577" s="5" t="s">
        <v>32206</v>
      </c>
      <c r="M3577" s="7">
        <v>8</v>
      </c>
      <c r="N3577" s="7">
        <v>1.27</v>
      </c>
      <c r="O3577" s="7">
        <v>12.858000000000001</v>
      </c>
      <c r="P3577" s="1" t="s">
        <v>32207</v>
      </c>
    </row>
    <row r="3578" spans="1:16" ht="17.05" x14ac:dyDescent="0.3">
      <c r="A3578" s="6" t="str">
        <f>HYPERLINK("https://www.ti.com/product/TPS43331-Q1", "TPS43331-Q1")</f>
        <v>TPS43331-Q1</v>
      </c>
      <c r="B3578" s="5" t="s">
        <v>32208</v>
      </c>
      <c r="C3578" s="6" t="str">
        <f>HYPERLINK("https://www.ti.com/lit/gpn/TPS43331-Q1", "PDF")</f>
        <v>PDF</v>
      </c>
      <c r="D3578" s="5" t="s">
        <v>32209</v>
      </c>
      <c r="E3578" s="5" t="s">
        <v>32210</v>
      </c>
      <c r="F3578" s="5"/>
      <c r="G3578" s="5" t="s">
        <v>32211</v>
      </c>
      <c r="H3578" s="1" t="s">
        <v>32212</v>
      </c>
      <c r="I3578" s="5" t="s">
        <v>32213</v>
      </c>
      <c r="J3578" s="7">
        <v>38</v>
      </c>
      <c r="K3578" s="7">
        <v>101.25</v>
      </c>
      <c r="L3578" s="5" t="s">
        <v>32214</v>
      </c>
      <c r="M3578" s="7">
        <v>1.2</v>
      </c>
      <c r="N3578" s="7">
        <v>0.65</v>
      </c>
      <c r="O3578" s="7">
        <v>3.6819999999999999</v>
      </c>
      <c r="P3578" s="1" t="s">
        <v>32215</v>
      </c>
    </row>
    <row r="3579" spans="1:16" ht="33.4" x14ac:dyDescent="0.3">
      <c r="A3579" s="6" t="str">
        <f>HYPERLINK("https://www.ti.com/product/TPS40303", "TPS40303")</f>
        <v>TPS40303</v>
      </c>
      <c r="B3579" s="5" t="s">
        <v>32216</v>
      </c>
      <c r="C3579" s="6" t="str">
        <f>HYPERLINK("https://www.ti.com/lit/gpn/TPS40303", "PDF")</f>
        <v>PDF</v>
      </c>
      <c r="D3579" s="5" t="s">
        <v>32217</v>
      </c>
      <c r="E3579" s="5" t="s">
        <v>32218</v>
      </c>
      <c r="F3579" s="5" t="s">
        <v>32219</v>
      </c>
      <c r="G3579" s="5" t="s">
        <v>32220</v>
      </c>
      <c r="H3579" s="1" t="s">
        <v>32221</v>
      </c>
      <c r="I3579" s="5" t="s">
        <v>32222</v>
      </c>
      <c r="J3579" s="7">
        <v>10</v>
      </c>
      <c r="K3579" s="7">
        <v>9</v>
      </c>
      <c r="L3579" s="5" t="s">
        <v>32223</v>
      </c>
      <c r="M3579" s="7">
        <v>1</v>
      </c>
      <c r="N3579" s="7">
        <v>0.5</v>
      </c>
      <c r="O3579" s="7">
        <v>0.78200000000000003</v>
      </c>
      <c r="P3579" s="1" t="s">
        <v>32224</v>
      </c>
    </row>
    <row r="3580" spans="1:16" ht="33.4" x14ac:dyDescent="0.3">
      <c r="A3580" s="6" t="str">
        <f>HYPERLINK("https://www.ti.com/product/TPS40304", "TPS40304")</f>
        <v>TPS40304</v>
      </c>
      <c r="B3580" s="5" t="s">
        <v>32225</v>
      </c>
      <c r="C3580" s="6" t="str">
        <f>HYPERLINK("https://www.ti.com/lit/gpn/TPS40304", "PDF")</f>
        <v>PDF</v>
      </c>
      <c r="D3580" s="5" t="s">
        <v>32226</v>
      </c>
      <c r="E3580" s="5" t="s">
        <v>32227</v>
      </c>
      <c r="F3580" s="5" t="s">
        <v>32228</v>
      </c>
      <c r="G3580" s="5" t="s">
        <v>32229</v>
      </c>
      <c r="H3580" s="1" t="s">
        <v>32230</v>
      </c>
      <c r="I3580" s="5" t="s">
        <v>32231</v>
      </c>
      <c r="J3580" s="7">
        <v>10</v>
      </c>
      <c r="K3580" s="7">
        <v>9</v>
      </c>
      <c r="L3580" s="5" t="s">
        <v>32232</v>
      </c>
      <c r="M3580" s="7">
        <v>1</v>
      </c>
      <c r="N3580" s="7">
        <v>0.5</v>
      </c>
      <c r="O3580" s="7">
        <v>0.78200000000000003</v>
      </c>
      <c r="P3580" s="1" t="s">
        <v>32233</v>
      </c>
    </row>
    <row r="3581" spans="1:16" ht="33.4" x14ac:dyDescent="0.3">
      <c r="A3581" s="6" t="str">
        <f>HYPERLINK("https://www.ti.com/product/TPS40305", "TPS40305")</f>
        <v>TPS40305</v>
      </c>
      <c r="B3581" s="5" t="s">
        <v>32234</v>
      </c>
      <c r="C3581" s="6" t="str">
        <f>HYPERLINK("https://www.ti.com/lit/gpn/TPS40305", "PDF")</f>
        <v>PDF</v>
      </c>
      <c r="D3581" s="5" t="s">
        <v>32235</v>
      </c>
      <c r="E3581" s="5" t="s">
        <v>32236</v>
      </c>
      <c r="F3581" s="5" t="s">
        <v>32237</v>
      </c>
      <c r="G3581" s="5" t="s">
        <v>32238</v>
      </c>
      <c r="H3581" s="1" t="s">
        <v>32239</v>
      </c>
      <c r="I3581" s="5" t="s">
        <v>32240</v>
      </c>
      <c r="J3581" s="7">
        <v>10</v>
      </c>
      <c r="K3581" s="7">
        <v>9</v>
      </c>
      <c r="L3581" s="5" t="s">
        <v>32241</v>
      </c>
      <c r="M3581" s="7">
        <v>1</v>
      </c>
      <c r="N3581" s="7">
        <v>0.5</v>
      </c>
      <c r="O3581" s="7">
        <v>0.78200000000000003</v>
      </c>
      <c r="P3581" s="1" t="s">
        <v>32242</v>
      </c>
    </row>
    <row r="3582" spans="1:16" ht="33.4" x14ac:dyDescent="0.3">
      <c r="A3582" s="6" t="str">
        <f>HYPERLINK("https://www.ti.com/product/LP8725", "LP8725")</f>
        <v>LP8725</v>
      </c>
      <c r="B3582" s="5" t="s">
        <v>32243</v>
      </c>
      <c r="C3582" s="6" t="str">
        <f>HYPERLINK("https://www.ti.com/lit/gpn/LP8725", "PDF")</f>
        <v>PDF</v>
      </c>
      <c r="D3582" s="5" t="s">
        <v>32244</v>
      </c>
      <c r="E3582" s="5" t="s">
        <v>32245</v>
      </c>
      <c r="F3582" s="5"/>
      <c r="G3582" s="5" t="s">
        <v>32246</v>
      </c>
      <c r="H3582" s="1" t="s">
        <v>32247</v>
      </c>
      <c r="I3582" s="5" t="s">
        <v>32248</v>
      </c>
      <c r="J3582" s="7">
        <v>30</v>
      </c>
      <c r="K3582" s="7">
        <v>8.9375</v>
      </c>
      <c r="L3582" s="5" t="s">
        <v>32249</v>
      </c>
      <c r="M3582" s="7">
        <v>0.67500000000000004</v>
      </c>
      <c r="N3582" s="7">
        <v>0.5</v>
      </c>
      <c r="O3582" s="7">
        <v>1.3049999999999999</v>
      </c>
      <c r="P3582" s="1" t="s">
        <v>32250</v>
      </c>
    </row>
    <row r="3583" spans="1:16" ht="49.75" x14ac:dyDescent="0.3">
      <c r="A3583" s="6" t="str">
        <f>HYPERLINK("https://www.ti.com/product/TLV809", "TLV809")</f>
        <v>TLV809</v>
      </c>
      <c r="B3583" s="5" t="s">
        <v>32251</v>
      </c>
      <c r="C3583" s="6" t="str">
        <f>HYPERLINK("https://www.ti.com/lit/gpn/TLV809", "PDF")</f>
        <v>PDF</v>
      </c>
      <c r="D3583" s="5" t="s">
        <v>32252</v>
      </c>
      <c r="E3583" s="5" t="s">
        <v>32253</v>
      </c>
      <c r="F3583" s="5"/>
      <c r="G3583" s="5" t="s">
        <v>32254</v>
      </c>
      <c r="H3583" s="1" t="s">
        <v>32255</v>
      </c>
      <c r="I3583" s="5" t="s">
        <v>32256</v>
      </c>
      <c r="J3583" s="7">
        <v>3</v>
      </c>
      <c r="K3583" s="7" t="s">
        <v>32257</v>
      </c>
      <c r="L3583" s="5" t="s">
        <v>32258</v>
      </c>
      <c r="M3583" s="7" t="s">
        <v>32259</v>
      </c>
      <c r="N3583" s="7" t="s">
        <v>32260</v>
      </c>
      <c r="O3583" s="7">
        <v>0.13300000000000001</v>
      </c>
      <c r="P3583" s="1" t="s">
        <v>32261</v>
      </c>
    </row>
    <row r="3584" spans="1:16" ht="33.4" x14ac:dyDescent="0.3">
      <c r="A3584" s="6" t="str">
        <f>HYPERLINK("https://www.ti.com/product/UCD7231", "UCD7231")</f>
        <v>UCD7231</v>
      </c>
      <c r="B3584" s="5" t="s">
        <v>32262</v>
      </c>
      <c r="C3584" s="6" t="str">
        <f>HYPERLINK("https://www.ti.com/lit/gpn/UCD7231", "PDF")</f>
        <v>PDF</v>
      </c>
      <c r="D3584" s="5" t="s">
        <v>32263</v>
      </c>
      <c r="E3584" s="5" t="s">
        <v>32264</v>
      </c>
      <c r="F3584" s="5"/>
      <c r="G3584" s="5" t="s">
        <v>32265</v>
      </c>
      <c r="H3584" s="1" t="s">
        <v>32266</v>
      </c>
      <c r="I3584" s="5" t="s">
        <v>32267</v>
      </c>
      <c r="J3584" s="7">
        <v>20</v>
      </c>
      <c r="K3584" s="7">
        <v>16</v>
      </c>
      <c r="L3584" s="5" t="s">
        <v>32268</v>
      </c>
      <c r="M3584" s="7">
        <v>0.8</v>
      </c>
      <c r="N3584" s="7">
        <v>0.5</v>
      </c>
      <c r="O3584" s="7">
        <v>0.69799999999999995</v>
      </c>
      <c r="P3584" s="1" t="s">
        <v>32269</v>
      </c>
    </row>
    <row r="3585" spans="1:16" ht="49.75" x14ac:dyDescent="0.3">
      <c r="A3585" s="6" t="str">
        <f>HYPERLINK("https://www.ti.com/product/TL4050B50-Q1", "TL4050B50-Q1")</f>
        <v>TL4050B50-Q1</v>
      </c>
      <c r="B3585" s="5" t="s">
        <v>32270</v>
      </c>
      <c r="C3585" s="6" t="str">
        <f>HYPERLINK("https://www.ti.com/lit/gpn/TL4050B50-Q1", "PDF")</f>
        <v>PDF</v>
      </c>
      <c r="D3585" s="5" t="s">
        <v>32271</v>
      </c>
      <c r="E3585" s="5" t="s">
        <v>32272</v>
      </c>
      <c r="F3585" s="5"/>
      <c r="G3585" s="5" t="s">
        <v>32273</v>
      </c>
      <c r="H3585" s="1" t="s">
        <v>32274</v>
      </c>
      <c r="I3585" s="5" t="s">
        <v>32275</v>
      </c>
      <c r="J3585" s="7" t="s">
        <v>32276</v>
      </c>
      <c r="K3585" s="7" t="s">
        <v>32277</v>
      </c>
      <c r="L3585" s="5" t="s">
        <v>32278</v>
      </c>
      <c r="M3585" s="7" t="s">
        <v>32279</v>
      </c>
      <c r="N3585" s="7" t="s">
        <v>32280</v>
      </c>
      <c r="O3585" s="7">
        <v>0.82299999999999995</v>
      </c>
      <c r="P3585" s="1" t="s">
        <v>32281</v>
      </c>
    </row>
    <row r="3586" spans="1:16" ht="33.4" x14ac:dyDescent="0.3">
      <c r="A3586" s="6" t="str">
        <f>HYPERLINK("https://www.ti.com/product/TPS51611", "TPS51611")</f>
        <v>TPS51611</v>
      </c>
      <c r="B3586" s="5" t="s">
        <v>32282</v>
      </c>
      <c r="C3586" s="6" t="str">
        <f>HYPERLINK("https://www.ti.com/lit/gpn/TPS51611", "PDF")</f>
        <v>PDF</v>
      </c>
      <c r="D3586" s="5" t="s">
        <v>32283</v>
      </c>
      <c r="E3586" s="5" t="s">
        <v>32284</v>
      </c>
      <c r="F3586" s="5" t="s">
        <v>32285</v>
      </c>
      <c r="G3586" s="5" t="s">
        <v>32286</v>
      </c>
      <c r="H3586" s="1" t="s">
        <v>32287</v>
      </c>
      <c r="I3586" s="5" t="s">
        <v>32288</v>
      </c>
      <c r="J3586" s="7">
        <v>32</v>
      </c>
      <c r="K3586" s="7">
        <v>25</v>
      </c>
      <c r="L3586" s="5" t="s">
        <v>32289</v>
      </c>
      <c r="M3586" s="7">
        <v>1</v>
      </c>
      <c r="N3586" s="7">
        <v>0.5</v>
      </c>
      <c r="O3586" s="7">
        <v>1.3919999999999999</v>
      </c>
      <c r="P3586" s="1" t="s">
        <v>32290</v>
      </c>
    </row>
    <row r="3587" spans="1:16" ht="33.4" x14ac:dyDescent="0.3">
      <c r="A3587" s="6" t="str">
        <f>HYPERLINK("https://www.ti.com/product/LMZ23605", "LMZ23605")</f>
        <v>LMZ23605</v>
      </c>
      <c r="B3587" s="5" t="s">
        <v>32291</v>
      </c>
      <c r="C3587" s="6" t="str">
        <f>HYPERLINK("https://www.ti.com/lit/gpn/LMZ23605", "PDF")</f>
        <v>PDF</v>
      </c>
      <c r="D3587" s="5" t="s">
        <v>32292</v>
      </c>
      <c r="E3587" s="5" t="s">
        <v>32293</v>
      </c>
      <c r="F3587" s="5" t="s">
        <v>32294</v>
      </c>
      <c r="G3587" s="5" t="s">
        <v>32295</v>
      </c>
      <c r="H3587" s="1" t="s">
        <v>32296</v>
      </c>
      <c r="I3587" s="5" t="s">
        <v>32297</v>
      </c>
      <c r="J3587" s="7">
        <v>7</v>
      </c>
      <c r="K3587" s="7">
        <v>139.9032</v>
      </c>
      <c r="L3587" s="5" t="s">
        <v>32298</v>
      </c>
      <c r="M3587" s="7">
        <v>4.58</v>
      </c>
      <c r="N3587" s="7">
        <v>1.27</v>
      </c>
      <c r="O3587" s="7">
        <v>11.326000000000001</v>
      </c>
      <c r="P3587" s="1" t="s">
        <v>32299</v>
      </c>
    </row>
    <row r="3588" spans="1:16" ht="33.4" x14ac:dyDescent="0.3">
      <c r="A3588" s="6" t="str">
        <f>HYPERLINK("https://www.ti.com/product/TPS2556", "TPS2556")</f>
        <v>TPS2556</v>
      </c>
      <c r="B3588" s="5" t="s">
        <v>32300</v>
      </c>
      <c r="C3588" s="6" t="str">
        <f>HYPERLINK("https://www.ti.com/lit/gpn/TPS2556", "PDF")</f>
        <v>PDF</v>
      </c>
      <c r="D3588" s="5" t="s">
        <v>32301</v>
      </c>
      <c r="E3588" s="5" t="s">
        <v>32302</v>
      </c>
      <c r="F3588" s="5"/>
      <c r="G3588" s="5" t="s">
        <v>32303</v>
      </c>
      <c r="H3588" s="1" t="s">
        <v>32304</v>
      </c>
      <c r="I3588" s="5" t="s">
        <v>32305</v>
      </c>
      <c r="J3588" s="7">
        <v>8</v>
      </c>
      <c r="K3588" s="7">
        <v>9</v>
      </c>
      <c r="L3588" s="5" t="s">
        <v>32306</v>
      </c>
      <c r="M3588" s="7">
        <v>1</v>
      </c>
      <c r="N3588" s="7">
        <v>0.65</v>
      </c>
      <c r="O3588" s="7">
        <v>0.437</v>
      </c>
      <c r="P3588" s="1" t="s">
        <v>32307</v>
      </c>
    </row>
    <row r="3589" spans="1:16" ht="33.4" x14ac:dyDescent="0.3">
      <c r="A3589" s="6" t="str">
        <f>HYPERLINK("https://www.ti.com/product/TPS2557", "TPS2557")</f>
        <v>TPS2557</v>
      </c>
      <c r="B3589" s="5" t="s">
        <v>32308</v>
      </c>
      <c r="C3589" s="6" t="str">
        <f>HYPERLINK("https://www.ti.com/lit/gpn/TPS2557", "PDF")</f>
        <v>PDF</v>
      </c>
      <c r="D3589" s="5" t="s">
        <v>32309</v>
      </c>
      <c r="E3589" s="5" t="s">
        <v>32310</v>
      </c>
      <c r="F3589" s="5"/>
      <c r="G3589" s="5" t="s">
        <v>32311</v>
      </c>
      <c r="H3589" s="1" t="s">
        <v>32312</v>
      </c>
      <c r="I3589" s="5" t="s">
        <v>32313</v>
      </c>
      <c r="J3589" s="7">
        <v>8</v>
      </c>
      <c r="K3589" s="7">
        <v>9</v>
      </c>
      <c r="L3589" s="5" t="s">
        <v>32314</v>
      </c>
      <c r="M3589" s="7">
        <v>1</v>
      </c>
      <c r="N3589" s="7">
        <v>0.65</v>
      </c>
      <c r="O3589" s="7">
        <v>0.437</v>
      </c>
      <c r="P3589" s="1" t="s">
        <v>32315</v>
      </c>
    </row>
    <row r="3590" spans="1:16" ht="33.4" x14ac:dyDescent="0.3">
      <c r="A3590" s="6" t="str">
        <f>HYPERLINK("https://www.ti.com/product/TPS54290", "TPS54290")</f>
        <v>TPS54290</v>
      </c>
      <c r="B3590" s="5" t="s">
        <v>32316</v>
      </c>
      <c r="C3590" s="6" t="str">
        <f>HYPERLINK("https://www.ti.com/lit/gpn/TPS54290", "PDF")</f>
        <v>PDF</v>
      </c>
      <c r="D3590" s="5" t="s">
        <v>32317</v>
      </c>
      <c r="E3590" s="5" t="s">
        <v>32318</v>
      </c>
      <c r="F3590" s="5" t="s">
        <v>32319</v>
      </c>
      <c r="G3590" s="5" t="s">
        <v>32320</v>
      </c>
      <c r="H3590" s="1" t="s">
        <v>32321</v>
      </c>
      <c r="I3590" s="5" t="s">
        <v>32322</v>
      </c>
      <c r="J3590" s="7">
        <v>16</v>
      </c>
      <c r="K3590" s="7">
        <v>32</v>
      </c>
      <c r="L3590" s="5" t="s">
        <v>32323</v>
      </c>
      <c r="M3590" s="7">
        <v>1.2</v>
      </c>
      <c r="N3590" s="7">
        <v>0.65</v>
      </c>
      <c r="O3590" s="7">
        <v>2.024</v>
      </c>
      <c r="P3590" s="1" t="s">
        <v>32324</v>
      </c>
    </row>
    <row r="3591" spans="1:16" ht="33.4" x14ac:dyDescent="0.3">
      <c r="A3591" s="6" t="str">
        <f>HYPERLINK("https://www.ti.com/product/TPS54291", "TPS54291")</f>
        <v>TPS54291</v>
      </c>
      <c r="B3591" s="5" t="s">
        <v>32325</v>
      </c>
      <c r="C3591" s="6" t="str">
        <f>HYPERLINK("https://www.ti.com/lit/gpn/TPS54291", "PDF")</f>
        <v>PDF</v>
      </c>
      <c r="D3591" s="5" t="s">
        <v>32326</v>
      </c>
      <c r="E3591" s="5" t="s">
        <v>32327</v>
      </c>
      <c r="F3591" s="5" t="s">
        <v>32328</v>
      </c>
      <c r="G3591" s="5" t="s">
        <v>32329</v>
      </c>
      <c r="H3591" s="1" t="s">
        <v>32330</v>
      </c>
      <c r="I3591" s="5" t="s">
        <v>32331</v>
      </c>
      <c r="J3591" s="7">
        <v>16</v>
      </c>
      <c r="K3591" s="7">
        <v>32</v>
      </c>
      <c r="L3591" s="5" t="s">
        <v>32332</v>
      </c>
      <c r="M3591" s="7">
        <v>1.2</v>
      </c>
      <c r="N3591" s="7">
        <v>0.65</v>
      </c>
      <c r="O3591" s="7">
        <v>2.024</v>
      </c>
      <c r="P3591" s="1" t="s">
        <v>32333</v>
      </c>
    </row>
    <row r="3592" spans="1:16" ht="33.4" x14ac:dyDescent="0.3">
      <c r="A3592" s="6" t="str">
        <f>HYPERLINK("https://www.ti.com/product/TPS54292", "TPS54292")</f>
        <v>TPS54292</v>
      </c>
      <c r="B3592" s="5" t="s">
        <v>32334</v>
      </c>
      <c r="C3592" s="6" t="str">
        <f>HYPERLINK("https://www.ti.com/lit/gpn/TPS54292", "PDF")</f>
        <v>PDF</v>
      </c>
      <c r="D3592" s="5" t="s">
        <v>32335</v>
      </c>
      <c r="E3592" s="5" t="s">
        <v>32336</v>
      </c>
      <c r="F3592" s="5" t="s">
        <v>32337</v>
      </c>
      <c r="G3592" s="5" t="s">
        <v>32338</v>
      </c>
      <c r="H3592" s="1" t="s">
        <v>32339</v>
      </c>
      <c r="I3592" s="5" t="s">
        <v>32340</v>
      </c>
      <c r="J3592" s="7">
        <v>16</v>
      </c>
      <c r="K3592" s="7">
        <v>32</v>
      </c>
      <c r="L3592" s="5" t="s">
        <v>32341</v>
      </c>
      <c r="M3592" s="7">
        <v>1.2</v>
      </c>
      <c r="N3592" s="7">
        <v>0.65</v>
      </c>
      <c r="O3592" s="7">
        <v>2.024</v>
      </c>
      <c r="P3592" s="1" t="s">
        <v>32342</v>
      </c>
    </row>
    <row r="3593" spans="1:16" ht="49.75" x14ac:dyDescent="0.3">
      <c r="A3593" s="6" t="str">
        <f>HYPERLINK("https://www.ti.com/product/TPS22932B", "TPS22932B")</f>
        <v>TPS22932B</v>
      </c>
      <c r="B3593" s="5" t="s">
        <v>32343</v>
      </c>
      <c r="C3593" s="6" t="str">
        <f>HYPERLINK("https://www.ti.com/lit/gpn/TPS22932B", "PDF")</f>
        <v>PDF</v>
      </c>
      <c r="D3593" s="5" t="s">
        <v>32344</v>
      </c>
      <c r="E3593" s="5" t="s">
        <v>32345</v>
      </c>
      <c r="F3593" s="5"/>
      <c r="G3593" s="5" t="s">
        <v>32346</v>
      </c>
      <c r="H3593" s="1" t="s">
        <v>32347</v>
      </c>
      <c r="I3593" s="5" t="s">
        <v>32348</v>
      </c>
      <c r="J3593" s="7">
        <v>6</v>
      </c>
      <c r="K3593" s="7">
        <v>1.4000000000000001</v>
      </c>
      <c r="L3593" s="5" t="s">
        <v>32349</v>
      </c>
      <c r="M3593" s="7">
        <v>0.5</v>
      </c>
      <c r="N3593" s="7">
        <v>0.4</v>
      </c>
      <c r="O3593" s="7">
        <v>0.253</v>
      </c>
      <c r="P3593" s="1" t="s">
        <v>32350</v>
      </c>
    </row>
    <row r="3594" spans="1:16" ht="33.4" x14ac:dyDescent="0.3">
      <c r="A3594" s="6" t="str">
        <f>HYPERLINK("https://www.ti.com/product/TPS650001", "TPS650001")</f>
        <v>TPS650001</v>
      </c>
      <c r="B3594" s="5" t="s">
        <v>32351</v>
      </c>
      <c r="C3594" s="6" t="str">
        <f>HYPERLINK("https://www.ti.com/lit/gpn/TPS650001", "PDF")</f>
        <v>PDF</v>
      </c>
      <c r="D3594" s="5" t="s">
        <v>32352</v>
      </c>
      <c r="E3594" s="5" t="s">
        <v>32353</v>
      </c>
      <c r="F3594" s="5"/>
      <c r="G3594" s="5" t="s">
        <v>32354</v>
      </c>
      <c r="H3594" s="1" t="s">
        <v>32355</v>
      </c>
      <c r="I3594" s="5" t="s">
        <v>32356</v>
      </c>
      <c r="J3594" s="7">
        <v>16</v>
      </c>
      <c r="K3594" s="7">
        <v>9</v>
      </c>
      <c r="L3594" s="5" t="s">
        <v>32357</v>
      </c>
      <c r="M3594" s="7">
        <v>0.8</v>
      </c>
      <c r="N3594" s="7">
        <v>0.5</v>
      </c>
      <c r="O3594" s="7">
        <v>1.732</v>
      </c>
      <c r="P3594" s="1" t="s">
        <v>32358</v>
      </c>
    </row>
    <row r="3595" spans="1:16" ht="33.4" x14ac:dyDescent="0.3">
      <c r="A3595" s="6" t="str">
        <f>HYPERLINK("https://www.ti.com/product/TPS650003", "TPS650003")</f>
        <v>TPS650003</v>
      </c>
      <c r="B3595" s="5" t="s">
        <v>32359</v>
      </c>
      <c r="C3595" s="6" t="str">
        <f>HYPERLINK("https://www.ti.com/lit/gpn/TPS650003", "PDF")</f>
        <v>PDF</v>
      </c>
      <c r="D3595" s="5" t="s">
        <v>32360</v>
      </c>
      <c r="E3595" s="5" t="s">
        <v>32361</v>
      </c>
      <c r="F3595" s="5"/>
      <c r="G3595" s="5" t="s">
        <v>32362</v>
      </c>
      <c r="H3595" s="1" t="s">
        <v>32363</v>
      </c>
      <c r="I3595" s="5" t="s">
        <v>32364</v>
      </c>
      <c r="J3595" s="7">
        <v>16</v>
      </c>
      <c r="K3595" s="7">
        <v>9</v>
      </c>
      <c r="L3595" s="5" t="s">
        <v>32365</v>
      </c>
      <c r="M3595" s="7">
        <v>0.8</v>
      </c>
      <c r="N3595" s="7">
        <v>0.5</v>
      </c>
      <c r="O3595" s="7">
        <v>1.8919999999999999</v>
      </c>
      <c r="P3595" s="1" t="s">
        <v>32366</v>
      </c>
    </row>
    <row r="3596" spans="1:16" ht="33.4" x14ac:dyDescent="0.3">
      <c r="A3596" s="6" t="str">
        <f>HYPERLINK("https://www.ti.com/product/TPS650006", "TPS650006")</f>
        <v>TPS650006</v>
      </c>
      <c r="B3596" s="5" t="s">
        <v>32367</v>
      </c>
      <c r="C3596" s="6" t="str">
        <f>HYPERLINK("https://www.ti.com/lit/gpn/TPS650006", "PDF")</f>
        <v>PDF</v>
      </c>
      <c r="D3596" s="5" t="s">
        <v>32368</v>
      </c>
      <c r="E3596" s="5" t="s">
        <v>32369</v>
      </c>
      <c r="F3596" s="5"/>
      <c r="G3596" s="5" t="s">
        <v>32370</v>
      </c>
      <c r="H3596" s="1" t="s">
        <v>32371</v>
      </c>
      <c r="I3596" s="5" t="s">
        <v>32372</v>
      </c>
      <c r="J3596" s="7">
        <v>16</v>
      </c>
      <c r="K3596" s="7">
        <v>9</v>
      </c>
      <c r="L3596" s="5" t="s">
        <v>32373</v>
      </c>
      <c r="M3596" s="7">
        <v>0.8</v>
      </c>
      <c r="N3596" s="7">
        <v>0.5</v>
      </c>
      <c r="O3596" s="7">
        <v>1.732</v>
      </c>
      <c r="P3596" s="1" t="s">
        <v>32374</v>
      </c>
    </row>
    <row r="3597" spans="1:16" ht="33.4" x14ac:dyDescent="0.3">
      <c r="A3597" s="6" t="str">
        <f>HYPERLINK("https://www.ti.com/product/TPS650061", "TPS650061")</f>
        <v>TPS650061</v>
      </c>
      <c r="B3597" s="5" t="s">
        <v>32375</v>
      </c>
      <c r="C3597" s="6" t="str">
        <f>HYPERLINK("https://www.ti.com/lit/gpn/TPS650061", "PDF")</f>
        <v>PDF</v>
      </c>
      <c r="D3597" s="5" t="s">
        <v>32376</v>
      </c>
      <c r="E3597" s="5" t="s">
        <v>32377</v>
      </c>
      <c r="F3597" s="5"/>
      <c r="G3597" s="5" t="s">
        <v>32378</v>
      </c>
      <c r="H3597" s="1" t="s">
        <v>32379</v>
      </c>
      <c r="I3597" s="5" t="s">
        <v>32380</v>
      </c>
      <c r="J3597" s="7">
        <v>20</v>
      </c>
      <c r="K3597" s="7">
        <v>9</v>
      </c>
      <c r="L3597" s="5" t="s">
        <v>32381</v>
      </c>
      <c r="M3597" s="7">
        <v>0.8</v>
      </c>
      <c r="N3597" s="7">
        <v>0.4</v>
      </c>
      <c r="O3597" s="7">
        <v>1.5940000000000001</v>
      </c>
      <c r="P3597" s="1" t="s">
        <v>32382</v>
      </c>
    </row>
    <row r="3598" spans="1:16" ht="33.4" x14ac:dyDescent="0.3">
      <c r="A3598" s="6" t="str">
        <f>HYPERLINK("https://www.ti.com/product/TPS65720", "TPS65720")</f>
        <v>TPS65720</v>
      </c>
      <c r="B3598" s="5" t="s">
        <v>32383</v>
      </c>
      <c r="C3598" s="6" t="str">
        <f>HYPERLINK("https://www.ti.com/lit/gpn/TPS65720", "PDF")</f>
        <v>PDF</v>
      </c>
      <c r="D3598" s="5" t="s">
        <v>32384</v>
      </c>
      <c r="E3598" s="5" t="s">
        <v>32385</v>
      </c>
      <c r="F3598" s="5"/>
      <c r="G3598" s="5" t="s">
        <v>32386</v>
      </c>
      <c r="H3598" s="1" t="s">
        <v>32387</v>
      </c>
      <c r="I3598" s="5" t="s">
        <v>32388</v>
      </c>
      <c r="J3598" s="7">
        <v>25</v>
      </c>
      <c r="K3598" s="7">
        <v>4.84</v>
      </c>
      <c r="L3598" s="5" t="s">
        <v>32389</v>
      </c>
      <c r="M3598" s="7">
        <v>0.625</v>
      </c>
      <c r="N3598" s="7">
        <v>0.4</v>
      </c>
      <c r="O3598" s="7">
        <v>0.99</v>
      </c>
      <c r="P3598" s="1" t="s">
        <v>32390</v>
      </c>
    </row>
    <row r="3599" spans="1:16" ht="33.4" x14ac:dyDescent="0.3">
      <c r="A3599" s="6" t="str">
        <f>HYPERLINK("https://www.ti.com/product/TPS65721", "TPS65721")</f>
        <v>TPS65721</v>
      </c>
      <c r="B3599" s="5" t="s">
        <v>32391</v>
      </c>
      <c r="C3599" s="6" t="str">
        <f>HYPERLINK("https://www.ti.com/lit/gpn/TPS65721", "PDF")</f>
        <v>PDF</v>
      </c>
      <c r="D3599" s="5" t="s">
        <v>32392</v>
      </c>
      <c r="E3599" s="5" t="s">
        <v>32393</v>
      </c>
      <c r="F3599" s="5"/>
      <c r="G3599" s="5" t="s">
        <v>32394</v>
      </c>
      <c r="H3599" s="1" t="s">
        <v>32395</v>
      </c>
      <c r="I3599" s="5" t="s">
        <v>32396</v>
      </c>
      <c r="J3599" s="7">
        <v>32</v>
      </c>
      <c r="K3599" s="7">
        <v>16</v>
      </c>
      <c r="L3599" s="5" t="s">
        <v>32397</v>
      </c>
      <c r="M3599" s="7">
        <v>0.8</v>
      </c>
      <c r="N3599" s="7">
        <v>0.4</v>
      </c>
      <c r="O3599" s="7">
        <v>1.3260000000000001</v>
      </c>
      <c r="P3599" s="1" t="s">
        <v>32398</v>
      </c>
    </row>
    <row r="3600" spans="1:16" ht="33.4" x14ac:dyDescent="0.3">
      <c r="A3600" s="6" t="str">
        <f>HYPERLINK("https://www.ti.com/product/LP8545", "LP8545")</f>
        <v>LP8545</v>
      </c>
      <c r="B3600" s="5" t="s">
        <v>32399</v>
      </c>
      <c r="C3600" s="6" t="str">
        <f>HYPERLINK("https://www.ti.com/lit/gpn/LP8545", "PDF")</f>
        <v>PDF</v>
      </c>
      <c r="D3600" s="5" t="s">
        <v>32400</v>
      </c>
      <c r="E3600" s="5" t="s">
        <v>32401</v>
      </c>
      <c r="F3600" s="5" t="s">
        <v>32402</v>
      </c>
      <c r="G3600" s="5" t="s">
        <v>32403</v>
      </c>
      <c r="H3600" s="1" t="s">
        <v>32404</v>
      </c>
      <c r="I3600" s="5" t="s">
        <v>32405</v>
      </c>
      <c r="J3600" s="7">
        <v>24</v>
      </c>
      <c r="K3600" s="7">
        <v>16</v>
      </c>
      <c r="L3600" s="5" t="s">
        <v>32406</v>
      </c>
      <c r="M3600" s="7">
        <v>0.8</v>
      </c>
      <c r="N3600" s="7">
        <v>0.5</v>
      </c>
      <c r="O3600" s="7">
        <v>1.052</v>
      </c>
      <c r="P3600" s="1" t="s">
        <v>32407</v>
      </c>
    </row>
    <row r="3601" spans="1:16" ht="33.4" x14ac:dyDescent="0.3">
      <c r="A3601" s="6" t="str">
        <f>HYPERLINK("https://www.ti.com/product/TPS51621", "TPS51621")</f>
        <v>TPS51621</v>
      </c>
      <c r="B3601" s="5" t="s">
        <v>32408</v>
      </c>
      <c r="C3601" s="6" t="str">
        <f>HYPERLINK("https://www.ti.com/lit/gpn/TPS51621", "PDF")</f>
        <v>PDF</v>
      </c>
      <c r="D3601" s="5" t="s">
        <v>32409</v>
      </c>
      <c r="E3601" s="5" t="s">
        <v>32410</v>
      </c>
      <c r="F3601" s="5" t="s">
        <v>32411</v>
      </c>
      <c r="G3601" s="5" t="s">
        <v>32412</v>
      </c>
      <c r="H3601" s="1" t="s">
        <v>32413</v>
      </c>
      <c r="I3601" s="5" t="s">
        <v>32414</v>
      </c>
      <c r="J3601" s="7">
        <v>40</v>
      </c>
      <c r="K3601" s="7">
        <v>36</v>
      </c>
      <c r="L3601" s="5" t="s">
        <v>32415</v>
      </c>
      <c r="M3601" s="7">
        <v>1</v>
      </c>
      <c r="N3601" s="7">
        <v>0.5</v>
      </c>
      <c r="O3601" s="7">
        <v>1.837</v>
      </c>
      <c r="P3601" s="1" t="s">
        <v>32416</v>
      </c>
    </row>
    <row r="3602" spans="1:16" ht="33.4" x14ac:dyDescent="0.3">
      <c r="A3602" s="6" t="str">
        <f>HYPERLINK("https://www.ti.com/product/TPS54226", "TPS54226")</f>
        <v>TPS54226</v>
      </c>
      <c r="B3602" s="5" t="s">
        <v>32417</v>
      </c>
      <c r="C3602" s="6" t="str">
        <f>HYPERLINK("https://www.ti.com/lit/gpn/TPS54226", "PDF")</f>
        <v>PDF</v>
      </c>
      <c r="D3602" s="5" t="s">
        <v>32418</v>
      </c>
      <c r="E3602" s="5" t="s">
        <v>32419</v>
      </c>
      <c r="F3602" s="5" t="s">
        <v>32420</v>
      </c>
      <c r="G3602" s="5" t="s">
        <v>32421</v>
      </c>
      <c r="H3602" s="1" t="s">
        <v>32422</v>
      </c>
      <c r="I3602" s="5" t="s">
        <v>32423</v>
      </c>
      <c r="J3602" s="7" t="s">
        <v>32424</v>
      </c>
      <c r="K3602" s="7" t="s">
        <v>32425</v>
      </c>
      <c r="L3602" s="5" t="s">
        <v>32426</v>
      </c>
      <c r="M3602" s="7" t="s">
        <v>32427</v>
      </c>
      <c r="N3602" s="7" t="s">
        <v>32428</v>
      </c>
      <c r="O3602" s="7">
        <v>0.69299999999999995</v>
      </c>
      <c r="P3602" s="1" t="s">
        <v>32429</v>
      </c>
    </row>
    <row r="3603" spans="1:16" ht="33.4" x14ac:dyDescent="0.3">
      <c r="A3603" s="6" t="str">
        <f>HYPERLINK("https://www.ti.com/product/CSD16408Q5", "CSD16408Q5")</f>
        <v>CSD16408Q5</v>
      </c>
      <c r="B3603" s="5" t="s">
        <v>32430</v>
      </c>
      <c r="C3603" s="6" t="str">
        <f>HYPERLINK("https://www.ti.com/lit/gpn/CSD16408Q5", "PDF")</f>
        <v>PDF</v>
      </c>
      <c r="D3603" s="5" t="s">
        <v>32431</v>
      </c>
      <c r="E3603" s="5" t="s">
        <v>32432</v>
      </c>
      <c r="F3603" s="5"/>
      <c r="G3603" s="5" t="s">
        <v>32433</v>
      </c>
      <c r="H3603" s="1" t="s">
        <v>32434</v>
      </c>
      <c r="I3603" s="5" t="s">
        <v>32435</v>
      </c>
      <c r="J3603" s="7">
        <v>8</v>
      </c>
      <c r="K3603" s="7">
        <v>30</v>
      </c>
      <c r="L3603" s="5" t="s">
        <v>32436</v>
      </c>
      <c r="M3603" s="7">
        <v>1.05</v>
      </c>
      <c r="N3603" s="7">
        <v>1.27</v>
      </c>
      <c r="O3603" s="7">
        <v>0.437</v>
      </c>
      <c r="P3603" s="1" t="s">
        <v>32437</v>
      </c>
    </row>
    <row r="3604" spans="1:16" ht="33.4" x14ac:dyDescent="0.3">
      <c r="A3604" s="6" t="str">
        <f>HYPERLINK("https://www.ti.com/product/TPS54225", "TPS54225")</f>
        <v>TPS54225</v>
      </c>
      <c r="B3604" s="5" t="s">
        <v>32438</v>
      </c>
      <c r="C3604" s="6" t="str">
        <f>HYPERLINK("https://www.ti.com/lit/gpn/TPS54225", "PDF")</f>
        <v>PDF</v>
      </c>
      <c r="D3604" s="5" t="s">
        <v>32439</v>
      </c>
      <c r="E3604" s="5" t="s">
        <v>32440</v>
      </c>
      <c r="F3604" s="5" t="s">
        <v>32441</v>
      </c>
      <c r="G3604" s="5" t="s">
        <v>32442</v>
      </c>
      <c r="H3604" s="1" t="s">
        <v>32443</v>
      </c>
      <c r="I3604" s="5" t="s">
        <v>32444</v>
      </c>
      <c r="J3604" s="7">
        <v>14</v>
      </c>
      <c r="K3604" s="7">
        <v>32</v>
      </c>
      <c r="L3604" s="5" t="s">
        <v>32445</v>
      </c>
      <c r="M3604" s="7">
        <v>1.2</v>
      </c>
      <c r="N3604" s="7">
        <v>0.65</v>
      </c>
      <c r="O3604" s="7">
        <v>0.67300000000000004</v>
      </c>
      <c r="P3604" s="1" t="s">
        <v>32446</v>
      </c>
    </row>
    <row r="3605" spans="1:16" ht="33.4" x14ac:dyDescent="0.3">
      <c r="A3605" s="6" t="str">
        <f>HYPERLINK("https://www.ti.com/product/TPS22943", "TPS22943")</f>
        <v>TPS22943</v>
      </c>
      <c r="B3605" s="5" t="s">
        <v>32447</v>
      </c>
      <c r="C3605" s="6" t="str">
        <f>HYPERLINK("https://www.ti.com/lit/gpn/TPS22943", "PDF")</f>
        <v>PDF</v>
      </c>
      <c r="D3605" s="5" t="s">
        <v>32448</v>
      </c>
      <c r="E3605" s="5" t="s">
        <v>32449</v>
      </c>
      <c r="F3605" s="5"/>
      <c r="G3605" s="5" t="s">
        <v>32450</v>
      </c>
      <c r="H3605" s="1" t="s">
        <v>32451</v>
      </c>
      <c r="I3605" s="5" t="s">
        <v>32452</v>
      </c>
      <c r="J3605" s="7">
        <v>5</v>
      </c>
      <c r="K3605" s="7">
        <v>4.2</v>
      </c>
      <c r="L3605" s="5" t="s">
        <v>32453</v>
      </c>
      <c r="M3605" s="7">
        <v>1.1000000000000001</v>
      </c>
      <c r="N3605" s="7">
        <v>0.65</v>
      </c>
      <c r="O3605" s="7">
        <v>0.34499999999999997</v>
      </c>
      <c r="P3605" s="1" t="s">
        <v>32454</v>
      </c>
    </row>
    <row r="3606" spans="1:16" ht="33.4" x14ac:dyDescent="0.3">
      <c r="A3606" s="6" t="str">
        <f>HYPERLINK("https://www.ti.com/product/TPS53125", "TPS53125")</f>
        <v>TPS53125</v>
      </c>
      <c r="B3606" s="5" t="s">
        <v>32455</v>
      </c>
      <c r="C3606" s="6" t="str">
        <f>HYPERLINK("https://www.ti.com/lit/gpn/TPS53125", "PDF")</f>
        <v>PDF</v>
      </c>
      <c r="D3606" s="5" t="s">
        <v>32456</v>
      </c>
      <c r="E3606" s="5" t="s">
        <v>32457</v>
      </c>
      <c r="F3606" s="5" t="s">
        <v>32458</v>
      </c>
      <c r="G3606" s="5" t="s">
        <v>32459</v>
      </c>
      <c r="H3606" s="1" t="s">
        <v>32460</v>
      </c>
      <c r="I3606" s="5" t="s">
        <v>32461</v>
      </c>
      <c r="J3606" s="7">
        <v>24</v>
      </c>
      <c r="K3606" s="7" t="s">
        <v>32462</v>
      </c>
      <c r="L3606" s="5" t="s">
        <v>32463</v>
      </c>
      <c r="M3606" s="7" t="s">
        <v>32464</v>
      </c>
      <c r="N3606" s="7" t="s">
        <v>32465</v>
      </c>
      <c r="O3606" s="7">
        <v>1.704</v>
      </c>
      <c r="P3606" s="1" t="s">
        <v>32466</v>
      </c>
    </row>
    <row r="3607" spans="1:16" ht="33.4" x14ac:dyDescent="0.3">
      <c r="A3607" s="6" t="str">
        <f>HYPERLINK("https://www.ti.com/product/TPS54326", "TPS54326")</f>
        <v>TPS54326</v>
      </c>
      <c r="B3607" s="5" t="s">
        <v>32467</v>
      </c>
      <c r="C3607" s="6" t="str">
        <f>HYPERLINK("https://www.ti.com/lit/gpn/TPS54326", "PDF")</f>
        <v>PDF</v>
      </c>
      <c r="D3607" s="5" t="s">
        <v>32468</v>
      </c>
      <c r="E3607" s="5" t="s">
        <v>32469</v>
      </c>
      <c r="F3607" s="5" t="s">
        <v>32470</v>
      </c>
      <c r="G3607" s="5" t="s">
        <v>32471</v>
      </c>
      <c r="H3607" s="1" t="s">
        <v>32472</v>
      </c>
      <c r="I3607" s="5" t="s">
        <v>32473</v>
      </c>
      <c r="J3607" s="7" t="s">
        <v>32474</v>
      </c>
      <c r="K3607" s="7" t="s">
        <v>32475</v>
      </c>
      <c r="L3607" s="5" t="s">
        <v>32476</v>
      </c>
      <c r="M3607" s="7" t="s">
        <v>32477</v>
      </c>
      <c r="N3607" s="7" t="s">
        <v>32478</v>
      </c>
      <c r="O3607" s="7">
        <v>0.71</v>
      </c>
      <c r="P3607" s="1" t="s">
        <v>32479</v>
      </c>
    </row>
    <row r="3608" spans="1:16" ht="33.4" x14ac:dyDescent="0.3">
      <c r="A3608" s="6" t="str">
        <f>HYPERLINK("https://www.ti.com/product/TPS54162-Q1", "TPS54162-Q1")</f>
        <v>TPS54162-Q1</v>
      </c>
      <c r="B3608" s="5" t="s">
        <v>32480</v>
      </c>
      <c r="C3608" s="6" t="str">
        <f>HYPERLINK("https://www.ti.com/lit/gpn/TPS54162-Q1", "PDF")</f>
        <v>PDF</v>
      </c>
      <c r="D3608" s="5" t="s">
        <v>32481</v>
      </c>
      <c r="E3608" s="5" t="s">
        <v>32482</v>
      </c>
      <c r="F3608" s="5" t="s">
        <v>32483</v>
      </c>
      <c r="G3608" s="5" t="s">
        <v>32484</v>
      </c>
      <c r="H3608" s="1" t="s">
        <v>32485</v>
      </c>
      <c r="I3608" s="5" t="s">
        <v>32486</v>
      </c>
      <c r="J3608" s="7">
        <v>20</v>
      </c>
      <c r="K3608" s="7">
        <v>41.6</v>
      </c>
      <c r="L3608" s="5" t="s">
        <v>32487</v>
      </c>
      <c r="M3608" s="7">
        <v>1.2</v>
      </c>
      <c r="N3608" s="7">
        <v>0.65</v>
      </c>
      <c r="O3608" s="7">
        <v>1.597</v>
      </c>
      <c r="P3608" s="1" t="s">
        <v>32488</v>
      </c>
    </row>
    <row r="3609" spans="1:16" ht="66.150000000000006" x14ac:dyDescent="0.3">
      <c r="A3609" s="6" t="str">
        <f>HYPERLINK("https://www.ti.com/product/TPS40200-HT", "TPS40200-HT")</f>
        <v>TPS40200-HT</v>
      </c>
      <c r="B3609" s="5" t="s">
        <v>32489</v>
      </c>
      <c r="C3609" s="6" t="str">
        <f>HYPERLINK("https://www.ti.com/lit/gpn/TPS40200-HT", "PDF")</f>
        <v>PDF</v>
      </c>
      <c r="D3609" s="5" t="s">
        <v>32490</v>
      </c>
      <c r="E3609" s="5" t="s">
        <v>32491</v>
      </c>
      <c r="F3609" s="5" t="s">
        <v>32492</v>
      </c>
      <c r="G3609" s="5" t="s">
        <v>32493</v>
      </c>
      <c r="H3609" s="1" t="s">
        <v>32494</v>
      </c>
      <c r="I3609" s="5" t="s">
        <v>32495</v>
      </c>
      <c r="J3609" s="7" t="s">
        <v>32496</v>
      </c>
      <c r="K3609" s="7" t="s">
        <v>32497</v>
      </c>
      <c r="L3609" s="5" t="s">
        <v>32498</v>
      </c>
      <c r="M3609" s="7" t="s">
        <v>32499</v>
      </c>
      <c r="N3609" s="7" t="s">
        <v>32500</v>
      </c>
      <c r="O3609" s="7">
        <v>71.3</v>
      </c>
      <c r="P3609" s="1" t="s">
        <v>32501</v>
      </c>
    </row>
    <row r="3610" spans="1:16" ht="33.4" x14ac:dyDescent="0.3">
      <c r="A3610" s="6" t="str">
        <f>HYPERLINK("https://www.ti.com/product/CSD16301Q2", "CSD16301Q2")</f>
        <v>CSD16301Q2</v>
      </c>
      <c r="B3610" s="5" t="s">
        <v>32502</v>
      </c>
      <c r="C3610" s="6" t="str">
        <f>HYPERLINK("https://www.ti.com/lit/gpn/CSD16301Q2", "PDF")</f>
        <v>PDF</v>
      </c>
      <c r="D3610" s="5" t="s">
        <v>32503</v>
      </c>
      <c r="E3610" s="5" t="s">
        <v>32504</v>
      </c>
      <c r="F3610" s="5"/>
      <c r="G3610" s="5" t="s">
        <v>32505</v>
      </c>
      <c r="H3610" s="1" t="s">
        <v>32506</v>
      </c>
      <c r="I3610" s="5" t="s">
        <v>32507</v>
      </c>
      <c r="J3610" s="7">
        <v>6</v>
      </c>
      <c r="K3610" s="7">
        <v>4</v>
      </c>
      <c r="L3610" s="5" t="s">
        <v>32508</v>
      </c>
      <c r="M3610" s="7">
        <v>0.8</v>
      </c>
      <c r="N3610" s="7">
        <v>0.65</v>
      </c>
      <c r="O3610" s="7">
        <v>0.107</v>
      </c>
      <c r="P3610" s="1" t="s">
        <v>32509</v>
      </c>
    </row>
    <row r="3611" spans="1:16" ht="49.75" x14ac:dyDescent="0.3">
      <c r="A3611" s="6" t="str">
        <f>HYPERLINK("https://www.ti.com/product/LM3424-Q1", "LM3424-Q1")</f>
        <v>LM3424-Q1</v>
      </c>
      <c r="B3611" s="5" t="s">
        <v>32510</v>
      </c>
      <c r="C3611" s="6" t="str">
        <f>HYPERLINK("https://www.ti.com/lit/gpn/LM3424-Q1", "PDF")</f>
        <v>PDF</v>
      </c>
      <c r="D3611" s="5" t="s">
        <v>32511</v>
      </c>
      <c r="E3611" s="5" t="s">
        <v>32512</v>
      </c>
      <c r="F3611" s="5" t="s">
        <v>32513</v>
      </c>
      <c r="G3611" s="5" t="s">
        <v>32514</v>
      </c>
      <c r="H3611" s="1" t="s">
        <v>32515</v>
      </c>
      <c r="I3611" s="5" t="s">
        <v>32516</v>
      </c>
      <c r="J3611" s="7">
        <v>20</v>
      </c>
      <c r="K3611" s="7">
        <v>41.6</v>
      </c>
      <c r="L3611" s="5" t="s">
        <v>32517</v>
      </c>
      <c r="M3611" s="7">
        <v>1.2</v>
      </c>
      <c r="N3611" s="7">
        <v>0.65</v>
      </c>
      <c r="O3611" s="7">
        <v>1.1220000000000001</v>
      </c>
      <c r="P3611" s="1" t="s">
        <v>32518</v>
      </c>
    </row>
    <row r="3612" spans="1:16" ht="33.4" x14ac:dyDescent="0.3">
      <c r="A3612" s="6" t="str">
        <f>HYPERLINK("https://www.ti.com/product/TPS60151", "TPS60151")</f>
        <v>TPS60151</v>
      </c>
      <c r="B3612" s="5" t="s">
        <v>32519</v>
      </c>
      <c r="C3612" s="6" t="str">
        <f>HYPERLINK("https://www.ti.com/lit/gpn/TPS60151", "PDF")</f>
        <v>PDF</v>
      </c>
      <c r="D3612" s="5" t="s">
        <v>32520</v>
      </c>
      <c r="E3612" s="5" t="s">
        <v>32521</v>
      </c>
      <c r="F3612" s="5"/>
      <c r="G3612" s="5" t="s">
        <v>32522</v>
      </c>
      <c r="H3612" s="1" t="s">
        <v>32523</v>
      </c>
      <c r="I3612" s="5" t="s">
        <v>32524</v>
      </c>
      <c r="J3612" s="7">
        <v>6</v>
      </c>
      <c r="K3612" s="7">
        <v>4</v>
      </c>
      <c r="L3612" s="5" t="s">
        <v>32525</v>
      </c>
      <c r="M3612" s="7">
        <v>0.8</v>
      </c>
      <c r="N3612" s="7">
        <v>0.65</v>
      </c>
      <c r="O3612" s="7">
        <v>0.62</v>
      </c>
      <c r="P3612" s="1" t="s">
        <v>32526</v>
      </c>
    </row>
    <row r="3613" spans="1:16" ht="33.4" x14ac:dyDescent="0.3">
      <c r="A3613" s="6" t="str">
        <f>HYPERLINK("https://www.ti.com/product/TPS61029-Q1", "TPS61029-Q1")</f>
        <v>TPS61029-Q1</v>
      </c>
      <c r="B3613" s="5" t="s">
        <v>32527</v>
      </c>
      <c r="C3613" s="6" t="str">
        <f>HYPERLINK("https://www.ti.com/lit/gpn/TPS61029-Q1", "PDF")</f>
        <v>PDF</v>
      </c>
      <c r="D3613" s="5" t="s">
        <v>32528</v>
      </c>
      <c r="E3613" s="5" t="s">
        <v>32529</v>
      </c>
      <c r="F3613" s="5" t="s">
        <v>32530</v>
      </c>
      <c r="G3613" s="5" t="s">
        <v>32531</v>
      </c>
      <c r="H3613" s="1" t="s">
        <v>32532</v>
      </c>
      <c r="I3613" s="5" t="s">
        <v>32533</v>
      </c>
      <c r="J3613" s="7">
        <v>10</v>
      </c>
      <c r="K3613" s="7">
        <v>9</v>
      </c>
      <c r="L3613" s="5" t="s">
        <v>32534</v>
      </c>
      <c r="M3613" s="7">
        <v>1</v>
      </c>
      <c r="N3613" s="7">
        <v>0.5</v>
      </c>
      <c r="O3613" s="7">
        <v>1.1830000000000001</v>
      </c>
      <c r="P3613" s="1" t="s">
        <v>32535</v>
      </c>
    </row>
    <row r="3614" spans="1:16" ht="33.4" x14ac:dyDescent="0.3">
      <c r="A3614" s="6" t="str">
        <f>HYPERLINK("https://www.ti.com/product/TPS61093", "TPS61093")</f>
        <v>TPS61093</v>
      </c>
      <c r="B3614" s="5" t="s">
        <v>32536</v>
      </c>
      <c r="C3614" s="6" t="str">
        <f>HYPERLINK("https://www.ti.com/lit/gpn/TPS61093", "PDF")</f>
        <v>PDF</v>
      </c>
      <c r="D3614" s="5" t="s">
        <v>32537</v>
      </c>
      <c r="E3614" s="5" t="s">
        <v>32538</v>
      </c>
      <c r="F3614" s="5" t="s">
        <v>32539</v>
      </c>
      <c r="G3614" s="5" t="s">
        <v>32540</v>
      </c>
      <c r="H3614" s="1" t="s">
        <v>32541</v>
      </c>
      <c r="I3614" s="5" t="s">
        <v>32542</v>
      </c>
      <c r="J3614" s="7">
        <v>10</v>
      </c>
      <c r="K3614" s="7">
        <v>6.25</v>
      </c>
      <c r="L3614" s="5" t="s">
        <v>32543</v>
      </c>
      <c r="M3614" s="7">
        <v>0.8</v>
      </c>
      <c r="N3614" s="7">
        <v>0.5</v>
      </c>
      <c r="O3614" s="7">
        <v>0.94899999999999995</v>
      </c>
      <c r="P3614" s="1" t="s">
        <v>32544</v>
      </c>
    </row>
    <row r="3615" spans="1:16" ht="33.4" x14ac:dyDescent="0.3">
      <c r="A3615" s="6" t="str">
        <f>HYPERLINK("https://www.ti.com/product/TPS61166", "TPS61166")</f>
        <v>TPS61166</v>
      </c>
      <c r="B3615" s="5" t="s">
        <v>32545</v>
      </c>
      <c r="C3615" s="6" t="str">
        <f>HYPERLINK("https://www.ti.com/lit/gpn/TPS61166", "PDF")</f>
        <v>PDF</v>
      </c>
      <c r="D3615" s="5" t="s">
        <v>32546</v>
      </c>
      <c r="E3615" s="5" t="s">
        <v>32547</v>
      </c>
      <c r="F3615" s="5" t="s">
        <v>32548</v>
      </c>
      <c r="G3615" s="5" t="s">
        <v>32549</v>
      </c>
      <c r="H3615" s="1" t="s">
        <v>32550</v>
      </c>
      <c r="I3615" s="5" t="s">
        <v>32551</v>
      </c>
      <c r="J3615" s="7">
        <v>10</v>
      </c>
      <c r="K3615" s="7">
        <v>6.25</v>
      </c>
      <c r="L3615" s="5" t="s">
        <v>32552</v>
      </c>
      <c r="M3615" s="7">
        <v>0.8</v>
      </c>
      <c r="N3615" s="7">
        <v>0.5</v>
      </c>
      <c r="O3615" s="7">
        <v>0.90300000000000002</v>
      </c>
      <c r="P3615" s="1" t="s">
        <v>32553</v>
      </c>
    </row>
    <row r="3616" spans="1:16" ht="33.4" x14ac:dyDescent="0.3">
      <c r="A3616" s="6" t="str">
        <f>HYPERLINK("https://www.ti.com/product/LM3209-G3", "LM3209-G3")</f>
        <v>LM3209-G3</v>
      </c>
      <c r="B3616" s="5" t="s">
        <v>32554</v>
      </c>
      <c r="C3616" s="6" t="str">
        <f>HYPERLINK("https://www.ti.com/lit/gpn/LM3209-G3", "PDF")</f>
        <v>PDF</v>
      </c>
      <c r="D3616" s="5" t="s">
        <v>32555</v>
      </c>
      <c r="E3616" s="5" t="s">
        <v>32556</v>
      </c>
      <c r="F3616" s="5" t="s">
        <v>32557</v>
      </c>
      <c r="G3616" s="5" t="s">
        <v>32558</v>
      </c>
      <c r="H3616" s="1" t="s">
        <v>32559</v>
      </c>
      <c r="I3616" s="5" t="s">
        <v>32560</v>
      </c>
      <c r="J3616" s="7">
        <v>12</v>
      </c>
      <c r="K3616" s="7">
        <v>3.9375</v>
      </c>
      <c r="L3616" s="5" t="s">
        <v>32561</v>
      </c>
      <c r="M3616" s="7">
        <v>0.67500000000000004</v>
      </c>
      <c r="N3616" s="7">
        <v>0.5</v>
      </c>
      <c r="O3616" s="7">
        <v>0.996</v>
      </c>
      <c r="P3616" s="1" t="s">
        <v>32562</v>
      </c>
    </row>
    <row r="3617" spans="1:16" ht="17.05" x14ac:dyDescent="0.3">
      <c r="A3617" s="6" t="str">
        <f>HYPERLINK("https://www.ti.com/product/LM5060", "LM5060")</f>
        <v>LM5060</v>
      </c>
      <c r="B3617" s="5" t="s">
        <v>32563</v>
      </c>
      <c r="C3617" s="6" t="str">
        <f>HYPERLINK("https://www.ti.com/lit/gpn/LM5060", "PDF")</f>
        <v>PDF</v>
      </c>
      <c r="D3617" s="5" t="s">
        <v>32564</v>
      </c>
      <c r="E3617" s="5" t="s">
        <v>32565</v>
      </c>
      <c r="F3617" s="5"/>
      <c r="G3617" s="5" t="s">
        <v>32566</v>
      </c>
      <c r="H3617" s="1" t="s">
        <v>32567</v>
      </c>
      <c r="I3617" s="5" t="s">
        <v>32568</v>
      </c>
      <c r="J3617" s="7">
        <v>10</v>
      </c>
      <c r="K3617" s="7">
        <v>14.7</v>
      </c>
      <c r="L3617" s="5" t="s">
        <v>32569</v>
      </c>
      <c r="M3617" s="7">
        <v>1.1000000000000001</v>
      </c>
      <c r="N3617" s="7">
        <v>0.5</v>
      </c>
      <c r="O3617" s="7">
        <v>0.78700000000000003</v>
      </c>
      <c r="P3617" s="1" t="s">
        <v>32570</v>
      </c>
    </row>
    <row r="3618" spans="1:16" ht="33.4" x14ac:dyDescent="0.3">
      <c r="A3618" s="6" t="str">
        <f>HYPERLINK("https://www.ti.com/product/LM5060-Q1", "LM5060-Q1")</f>
        <v>LM5060-Q1</v>
      </c>
      <c r="B3618" s="5" t="s">
        <v>32571</v>
      </c>
      <c r="C3618" s="6" t="str">
        <f>HYPERLINK("https://www.ti.com/lit/gpn/LM5060-Q1", "PDF")</f>
        <v>PDF</v>
      </c>
      <c r="D3618" s="5" t="s">
        <v>32572</v>
      </c>
      <c r="E3618" s="5" t="s">
        <v>32573</v>
      </c>
      <c r="F3618" s="5"/>
      <c r="G3618" s="5" t="s">
        <v>32574</v>
      </c>
      <c r="H3618" s="1" t="s">
        <v>32575</v>
      </c>
      <c r="I3618" s="5" t="s">
        <v>32576</v>
      </c>
      <c r="J3618" s="7">
        <v>10</v>
      </c>
      <c r="K3618" s="7">
        <v>14.7</v>
      </c>
      <c r="L3618" s="5" t="s">
        <v>32577</v>
      </c>
      <c r="M3618" s="7">
        <v>1.1000000000000001</v>
      </c>
      <c r="N3618" s="7">
        <v>0.5</v>
      </c>
      <c r="O3618" s="7">
        <v>1.1020000000000001</v>
      </c>
      <c r="P3618" s="1" t="s">
        <v>32578</v>
      </c>
    </row>
    <row r="3619" spans="1:16" ht="49.75" x14ac:dyDescent="0.3">
      <c r="A3619" s="6" t="str">
        <f>HYPERLINK("https://www.ti.com/product/REF5025-HT", "REF5025-HT")</f>
        <v>REF5025-HT</v>
      </c>
      <c r="B3619" s="5" t="s">
        <v>32579</v>
      </c>
      <c r="C3619" s="6" t="str">
        <f>HYPERLINK("https://www.ti.com/lit/gpn/REF5025-HT", "PDF")</f>
        <v>PDF</v>
      </c>
      <c r="D3619" s="5" t="s">
        <v>32580</v>
      </c>
      <c r="E3619" s="5" t="s">
        <v>32581</v>
      </c>
      <c r="F3619" s="5"/>
      <c r="G3619" s="5" t="s">
        <v>32582</v>
      </c>
      <c r="H3619" s="1" t="s">
        <v>32583</v>
      </c>
      <c r="I3619" s="5" t="s">
        <v>32584</v>
      </c>
      <c r="J3619" s="7" t="s">
        <v>32585</v>
      </c>
      <c r="K3619" s="7" t="s">
        <v>32586</v>
      </c>
      <c r="L3619" s="5" t="s">
        <v>32587</v>
      </c>
      <c r="M3619" s="7" t="s">
        <v>32588</v>
      </c>
      <c r="N3619" s="7" t="s">
        <v>32589</v>
      </c>
      <c r="O3619" s="7">
        <v>85.388000000000005</v>
      </c>
      <c r="P3619" s="1" t="s">
        <v>32590</v>
      </c>
    </row>
    <row r="3620" spans="1:16" ht="33.4" x14ac:dyDescent="0.3">
      <c r="A3620" s="6" t="str">
        <f>HYPERLINK("https://www.ti.com/product/TPS22941", "TPS22941")</f>
        <v>TPS22941</v>
      </c>
      <c r="B3620" s="5" t="s">
        <v>32591</v>
      </c>
      <c r="C3620" s="6" t="str">
        <f>HYPERLINK("https://www.ti.com/lit/gpn/TPS22941", "PDF")</f>
        <v>PDF</v>
      </c>
      <c r="D3620" s="5" t="s">
        <v>32592</v>
      </c>
      <c r="E3620" s="5" t="s">
        <v>32593</v>
      </c>
      <c r="F3620" s="5"/>
      <c r="G3620" s="5" t="s">
        <v>32594</v>
      </c>
      <c r="H3620" s="1" t="s">
        <v>32595</v>
      </c>
      <c r="I3620" s="5" t="s">
        <v>32596</v>
      </c>
      <c r="J3620" s="7">
        <v>5</v>
      </c>
      <c r="K3620" s="7">
        <v>4.2</v>
      </c>
      <c r="L3620" s="5" t="s">
        <v>32597</v>
      </c>
      <c r="M3620" s="7">
        <v>1.1000000000000001</v>
      </c>
      <c r="N3620" s="7">
        <v>0.65</v>
      </c>
      <c r="O3620" s="7">
        <v>0.34499999999999997</v>
      </c>
      <c r="P3620" s="1" t="s">
        <v>32598</v>
      </c>
    </row>
    <row r="3621" spans="1:16" ht="33.4" x14ac:dyDescent="0.3">
      <c r="A3621" s="6" t="str">
        <f>HYPERLINK("https://www.ti.com/product/TPS22944", "TPS22944")</f>
        <v>TPS22944</v>
      </c>
      <c r="B3621" s="5" t="s">
        <v>32599</v>
      </c>
      <c r="C3621" s="6" t="str">
        <f>HYPERLINK("https://www.ti.com/lit/gpn/TPS22944", "PDF")</f>
        <v>PDF</v>
      </c>
      <c r="D3621" s="5" t="s">
        <v>32600</v>
      </c>
      <c r="E3621" s="5" t="s">
        <v>32601</v>
      </c>
      <c r="F3621" s="5"/>
      <c r="G3621" s="5" t="s">
        <v>32602</v>
      </c>
      <c r="H3621" s="1" t="s">
        <v>32603</v>
      </c>
      <c r="I3621" s="5" t="s">
        <v>32604</v>
      </c>
      <c r="J3621" s="7">
        <v>5</v>
      </c>
      <c r="K3621" s="7">
        <v>4.2</v>
      </c>
      <c r="L3621" s="5" t="s">
        <v>32605</v>
      </c>
      <c r="M3621" s="7">
        <v>1.1000000000000001</v>
      </c>
      <c r="N3621" s="7">
        <v>0.65</v>
      </c>
      <c r="O3621" s="7">
        <v>0.34499999999999997</v>
      </c>
      <c r="P3621" s="1" t="s">
        <v>32606</v>
      </c>
    </row>
    <row r="3622" spans="1:16" ht="17.05" x14ac:dyDescent="0.3">
      <c r="A3622" s="6" t="str">
        <f>HYPERLINK("https://www.ti.com/product/TPS22946", "TPS22946")</f>
        <v>TPS22946</v>
      </c>
      <c r="B3622" s="5" t="s">
        <v>32607</v>
      </c>
      <c r="C3622" s="6" t="str">
        <f>HYPERLINK("https://www.ti.com/lit/gpn/TPS22946", "PDF")</f>
        <v>PDF</v>
      </c>
      <c r="D3622" s="5" t="s">
        <v>32608</v>
      </c>
      <c r="E3622" s="5" t="s">
        <v>32609</v>
      </c>
      <c r="F3622" s="5"/>
      <c r="G3622" s="5" t="s">
        <v>32610</v>
      </c>
      <c r="H3622" s="1" t="s">
        <v>32611</v>
      </c>
      <c r="I3622" s="5" t="s">
        <v>32612</v>
      </c>
      <c r="J3622" s="7">
        <v>6</v>
      </c>
      <c r="K3622" s="7">
        <v>2.1875</v>
      </c>
      <c r="L3622" s="5" t="s">
        <v>32613</v>
      </c>
      <c r="M3622" s="7">
        <v>0.5</v>
      </c>
      <c r="N3622" s="7">
        <v>0.5</v>
      </c>
      <c r="O3622" s="7">
        <v>0.34499999999999997</v>
      </c>
      <c r="P3622" s="1" t="s">
        <v>32614</v>
      </c>
    </row>
    <row r="3623" spans="1:16" ht="33.4" x14ac:dyDescent="0.3">
      <c r="A3623" s="6" t="str">
        <f>HYPERLINK("https://www.ti.com/product/TPS54262-Q1", "TPS54262-Q1")</f>
        <v>TPS54262-Q1</v>
      </c>
      <c r="B3623" s="5" t="s">
        <v>32615</v>
      </c>
      <c r="C3623" s="6" t="str">
        <f>HYPERLINK("https://www.ti.com/lit/gpn/TPS54262-Q1", "PDF")</f>
        <v>PDF</v>
      </c>
      <c r="D3623" s="5" t="s">
        <v>32616</v>
      </c>
      <c r="E3623" s="5" t="s">
        <v>32617</v>
      </c>
      <c r="F3623" s="5" t="s">
        <v>32618</v>
      </c>
      <c r="G3623" s="5" t="s">
        <v>32619</v>
      </c>
      <c r="H3623" s="1" t="s">
        <v>32620</v>
      </c>
      <c r="I3623" s="5" t="s">
        <v>32621</v>
      </c>
      <c r="J3623" s="7">
        <v>20</v>
      </c>
      <c r="K3623" s="7">
        <v>41.6</v>
      </c>
      <c r="L3623" s="5" t="s">
        <v>32622</v>
      </c>
      <c r="M3623" s="7">
        <v>1.2</v>
      </c>
      <c r="N3623" s="7">
        <v>0.65</v>
      </c>
      <c r="O3623" s="7">
        <v>2.0510000000000002</v>
      </c>
      <c r="P3623" s="1" t="s">
        <v>32623</v>
      </c>
    </row>
    <row r="3624" spans="1:16" ht="33.4" x14ac:dyDescent="0.3">
      <c r="A3624" s="6" t="str">
        <f>HYPERLINK("https://www.ti.com/product/UCC27425-Q1", "UCC27425-Q1")</f>
        <v>UCC27425-Q1</v>
      </c>
      <c r="B3624" s="5" t="s">
        <v>32624</v>
      </c>
      <c r="C3624" s="6" t="str">
        <f>HYPERLINK("https://www.ti.com/lit/gpn/UCC27425-Q1", "PDF")</f>
        <v>PDF</v>
      </c>
      <c r="D3624" s="5" t="s">
        <v>32625</v>
      </c>
      <c r="E3624" s="5" t="s">
        <v>32626</v>
      </c>
      <c r="F3624" s="5"/>
      <c r="G3624" s="5" t="s">
        <v>32627</v>
      </c>
      <c r="H3624" s="1" t="s">
        <v>32628</v>
      </c>
      <c r="I3624" s="5" t="s">
        <v>32629</v>
      </c>
      <c r="J3624" s="7">
        <v>8</v>
      </c>
      <c r="K3624" s="7">
        <v>29.4</v>
      </c>
      <c r="L3624" s="5" t="s">
        <v>32630</v>
      </c>
      <c r="M3624" s="7">
        <v>1.75</v>
      </c>
      <c r="N3624" s="7">
        <v>1.27</v>
      </c>
      <c r="O3624" s="7">
        <v>0.6</v>
      </c>
      <c r="P3624" s="1" t="s">
        <v>32631</v>
      </c>
    </row>
    <row r="3625" spans="1:16" ht="33.4" x14ac:dyDescent="0.3">
      <c r="A3625" s="6" t="str">
        <f>HYPERLINK("https://www.ti.com/product/TLC5927-Q1", "TLC5927-Q1")</f>
        <v>TLC5927-Q1</v>
      </c>
      <c r="B3625" s="5" t="s">
        <v>32632</v>
      </c>
      <c r="C3625" s="6" t="str">
        <f>HYPERLINK("https://www.ti.com/lit/gpn/TLC5927-Q1", "PDF")</f>
        <v>PDF</v>
      </c>
      <c r="D3625" s="5" t="s">
        <v>32633</v>
      </c>
      <c r="E3625" s="5" t="s">
        <v>32634</v>
      </c>
      <c r="F3625" s="5" t="s">
        <v>32635</v>
      </c>
      <c r="G3625" s="5" t="s">
        <v>32636</v>
      </c>
      <c r="H3625" s="1" t="s">
        <v>32637</v>
      </c>
      <c r="I3625" s="5" t="s">
        <v>32638</v>
      </c>
      <c r="J3625" s="7">
        <v>24</v>
      </c>
      <c r="K3625" s="7">
        <v>49.92</v>
      </c>
      <c r="L3625" s="5" t="s">
        <v>32639</v>
      </c>
      <c r="M3625" s="7">
        <v>1.2</v>
      </c>
      <c r="N3625" s="7">
        <v>0.65</v>
      </c>
      <c r="O3625" s="7">
        <v>0.79400000000000004</v>
      </c>
      <c r="P3625" s="1" t="s">
        <v>32640</v>
      </c>
    </row>
    <row r="3626" spans="1:16" ht="49.75" x14ac:dyDescent="0.3">
      <c r="A3626" s="6" t="str">
        <f>HYPERLINK("https://www.ti.com/product/TLV700", "TLV700")</f>
        <v>TLV700</v>
      </c>
      <c r="B3626" s="5" t="s">
        <v>32641</v>
      </c>
      <c r="C3626" s="6" t="str">
        <f>HYPERLINK("https://www.ti.com/lit/gpn/TLV700", "PDF")</f>
        <v>PDF</v>
      </c>
      <c r="D3626" s="5" t="s">
        <v>32642</v>
      </c>
      <c r="E3626" s="5" t="s">
        <v>32643</v>
      </c>
      <c r="F3626" s="5"/>
      <c r="G3626" s="5" t="s">
        <v>32644</v>
      </c>
      <c r="H3626" s="1" t="s">
        <v>32645</v>
      </c>
      <c r="I3626" s="5" t="s">
        <v>32646</v>
      </c>
      <c r="J3626" s="7" t="s">
        <v>32647</v>
      </c>
      <c r="K3626" s="7" t="s">
        <v>32648</v>
      </c>
      <c r="L3626" s="5" t="s">
        <v>32649</v>
      </c>
      <c r="M3626" s="7" t="s">
        <v>32650</v>
      </c>
      <c r="N3626" s="7" t="s">
        <v>32651</v>
      </c>
      <c r="O3626" s="7">
        <v>6.2E-2</v>
      </c>
      <c r="P3626" s="1" t="s">
        <v>32652</v>
      </c>
    </row>
    <row r="3627" spans="1:16" ht="33.4" x14ac:dyDescent="0.3">
      <c r="A3627" s="6" t="str">
        <f>HYPERLINK("https://www.ti.com/product/TPS51200-Q1", "TPS51200-Q1")</f>
        <v>TPS51200-Q1</v>
      </c>
      <c r="B3627" s="5" t="s">
        <v>32653</v>
      </c>
      <c r="C3627" s="6" t="str">
        <f>HYPERLINK("https://www.ti.com/lit/gpn/TPS51200-Q1", "PDF")</f>
        <v>PDF</v>
      </c>
      <c r="D3627" s="5" t="s">
        <v>32654</v>
      </c>
      <c r="E3627" s="5" t="s">
        <v>32655</v>
      </c>
      <c r="F3627" s="5"/>
      <c r="G3627" s="5" t="s">
        <v>32656</v>
      </c>
      <c r="H3627" s="1" t="s">
        <v>32657</v>
      </c>
      <c r="I3627" s="5" t="s">
        <v>32658</v>
      </c>
      <c r="J3627" s="7">
        <v>10</v>
      </c>
      <c r="K3627" s="7">
        <v>9</v>
      </c>
      <c r="L3627" s="5" t="s">
        <v>32659</v>
      </c>
      <c r="M3627" s="7">
        <v>1</v>
      </c>
      <c r="N3627" s="7">
        <v>0.5</v>
      </c>
      <c r="O3627" s="7">
        <v>0.63200000000000001</v>
      </c>
      <c r="P3627" s="1" t="s">
        <v>32660</v>
      </c>
    </row>
    <row r="3628" spans="1:16" ht="33.4" x14ac:dyDescent="0.3">
      <c r="A3628" s="6" t="str">
        <f>HYPERLINK("https://www.ti.com/product/TPS5410-Q1", "TPS5410-Q1")</f>
        <v>TPS5410-Q1</v>
      </c>
      <c r="B3628" s="5" t="s">
        <v>32661</v>
      </c>
      <c r="C3628" s="6" t="str">
        <f>HYPERLINK("https://www.ti.com/lit/gpn/TPS5410-Q1", "PDF")</f>
        <v>PDF</v>
      </c>
      <c r="D3628" s="5" t="s">
        <v>32662</v>
      </c>
      <c r="E3628" s="5" t="s">
        <v>32663</v>
      </c>
      <c r="F3628" s="5" t="s">
        <v>32664</v>
      </c>
      <c r="G3628" s="5" t="s">
        <v>32665</v>
      </c>
      <c r="H3628" s="1" t="s">
        <v>32666</v>
      </c>
      <c r="I3628" s="5" t="s">
        <v>32667</v>
      </c>
      <c r="J3628" s="7">
        <v>8</v>
      </c>
      <c r="K3628" s="7">
        <v>29.4</v>
      </c>
      <c r="L3628" s="5" t="s">
        <v>32668</v>
      </c>
      <c r="M3628" s="7">
        <v>1.75</v>
      </c>
      <c r="N3628" s="7">
        <v>1.27</v>
      </c>
      <c r="O3628" s="7">
        <v>1.5309999999999999</v>
      </c>
      <c r="P3628" s="1" t="s">
        <v>32669</v>
      </c>
    </row>
    <row r="3629" spans="1:16" ht="33.4" x14ac:dyDescent="0.3">
      <c r="A3629" s="6" t="str">
        <f>HYPERLINK("https://www.ti.com/product/TPS61161-Q1", "TPS61161-Q1")</f>
        <v>TPS61161-Q1</v>
      </c>
      <c r="B3629" s="5" t="s">
        <v>32670</v>
      </c>
      <c r="C3629" s="6" t="str">
        <f>HYPERLINK("https://www.ti.com/lit/gpn/TPS61161-Q1", "PDF")</f>
        <v>PDF</v>
      </c>
      <c r="D3629" s="5" t="s">
        <v>32671</v>
      </c>
      <c r="E3629" s="5" t="s">
        <v>32672</v>
      </c>
      <c r="F3629" s="5" t="s">
        <v>32673</v>
      </c>
      <c r="G3629" s="5" t="s">
        <v>32674</v>
      </c>
      <c r="H3629" s="1" t="s">
        <v>32675</v>
      </c>
      <c r="I3629" s="5" t="s">
        <v>32676</v>
      </c>
      <c r="J3629" s="7">
        <v>6</v>
      </c>
      <c r="K3629" s="7">
        <v>4</v>
      </c>
      <c r="L3629" s="5" t="s">
        <v>32677</v>
      </c>
      <c r="M3629" s="7">
        <v>0.8</v>
      </c>
      <c r="N3629" s="7">
        <v>0.65</v>
      </c>
      <c r="O3629" s="7">
        <v>0.56299999999999994</v>
      </c>
      <c r="P3629" s="1" t="s">
        <v>32678</v>
      </c>
    </row>
    <row r="3630" spans="1:16" ht="33.4" x14ac:dyDescent="0.3">
      <c r="A3630" s="6" t="str">
        <f>HYPERLINK("https://www.ti.com/product/TPS62751", "TPS62751")</f>
        <v>TPS62751</v>
      </c>
      <c r="B3630" s="5" t="s">
        <v>32679</v>
      </c>
      <c r="C3630" s="6" t="str">
        <f>HYPERLINK("https://www.ti.com/lit/gpn/TPS62751", "PDF")</f>
        <v>PDF</v>
      </c>
      <c r="D3630" s="5" t="s">
        <v>32680</v>
      </c>
      <c r="E3630" s="5" t="s">
        <v>32681</v>
      </c>
      <c r="F3630" s="5" t="s">
        <v>32682</v>
      </c>
      <c r="G3630" s="5" t="s">
        <v>32683</v>
      </c>
      <c r="H3630" s="1" t="s">
        <v>32684</v>
      </c>
      <c r="I3630" s="5" t="s">
        <v>32685</v>
      </c>
      <c r="J3630" s="7">
        <v>10</v>
      </c>
      <c r="K3630" s="7">
        <v>6.25</v>
      </c>
      <c r="L3630" s="5" t="s">
        <v>32686</v>
      </c>
      <c r="M3630" s="7">
        <v>0.8</v>
      </c>
      <c r="N3630" s="7">
        <v>0.5</v>
      </c>
      <c r="O3630" s="7">
        <v>0.73499999999999999</v>
      </c>
      <c r="P3630" s="1" t="s">
        <v>32687</v>
      </c>
    </row>
    <row r="3631" spans="1:16" ht="33.4" x14ac:dyDescent="0.3">
      <c r="A3631" s="6" t="str">
        <f>HYPERLINK("https://www.ti.com/product/TPS54318", "TPS54318")</f>
        <v>TPS54318</v>
      </c>
      <c r="B3631" s="5" t="s">
        <v>32688</v>
      </c>
      <c r="C3631" s="6" t="str">
        <f>HYPERLINK("https://www.ti.com/lit/gpn/TPS54318", "PDF")</f>
        <v>PDF</v>
      </c>
      <c r="D3631" s="5" t="s">
        <v>32689</v>
      </c>
      <c r="E3631" s="5" t="s">
        <v>32690</v>
      </c>
      <c r="F3631" s="5" t="s">
        <v>32691</v>
      </c>
      <c r="G3631" s="5" t="s">
        <v>32692</v>
      </c>
      <c r="H3631" s="1" t="s">
        <v>32693</v>
      </c>
      <c r="I3631" s="5" t="s">
        <v>32694</v>
      </c>
      <c r="J3631" s="7">
        <v>16</v>
      </c>
      <c r="K3631" s="7">
        <v>9</v>
      </c>
      <c r="L3631" s="5" t="s">
        <v>32695</v>
      </c>
      <c r="M3631" s="7">
        <v>0.8</v>
      </c>
      <c r="N3631" s="7">
        <v>0.5</v>
      </c>
      <c r="O3631" s="7">
        <v>0.72099999999999997</v>
      </c>
      <c r="P3631" s="1" t="s">
        <v>32696</v>
      </c>
    </row>
    <row r="3632" spans="1:16" ht="33.4" x14ac:dyDescent="0.3">
      <c r="A3632" s="6" t="str">
        <f>HYPERLINK("https://www.ti.com/product/TPS727", "TPS727")</f>
        <v>TPS727</v>
      </c>
      <c r="B3632" s="5" t="s">
        <v>32697</v>
      </c>
      <c r="C3632" s="6" t="str">
        <f>HYPERLINK("https://www.ti.com/lit/gpn/TPS727", "PDF")</f>
        <v>PDF</v>
      </c>
      <c r="D3632" s="5" t="s">
        <v>32698</v>
      </c>
      <c r="E3632" s="5" t="s">
        <v>32699</v>
      </c>
      <c r="F3632" s="5"/>
      <c r="G3632" s="5" t="s">
        <v>32700</v>
      </c>
      <c r="H3632" s="1" t="s">
        <v>32701</v>
      </c>
      <c r="I3632" s="5" t="s">
        <v>32702</v>
      </c>
      <c r="J3632" s="7" t="s">
        <v>32703</v>
      </c>
      <c r="K3632" s="7" t="s">
        <v>32704</v>
      </c>
      <c r="L3632" s="5" t="s">
        <v>32705</v>
      </c>
      <c r="M3632" s="7" t="s">
        <v>32706</v>
      </c>
      <c r="N3632" s="7" t="s">
        <v>32707</v>
      </c>
      <c r="O3632" s="7">
        <v>0.23799999999999999</v>
      </c>
      <c r="P3632" s="1" t="s">
        <v>32708</v>
      </c>
    </row>
    <row r="3633" spans="1:16" ht="33.4" x14ac:dyDescent="0.3">
      <c r="A3633" s="6" t="str">
        <f>HYPERLINK("https://www.ti.com/product/BUF08832", "BUF08832")</f>
        <v>BUF08832</v>
      </c>
      <c r="B3633" s="5" t="s">
        <v>32709</v>
      </c>
      <c r="C3633" s="6" t="str">
        <f>HYPERLINK("https://www.ti.com/lit/gpn/BUF08832", "PDF")</f>
        <v>PDF</v>
      </c>
      <c r="D3633" s="5" t="s">
        <v>32710</v>
      </c>
      <c r="E3633" s="5" t="s">
        <v>32711</v>
      </c>
      <c r="F3633" s="5"/>
      <c r="G3633" s="5" t="s">
        <v>32712</v>
      </c>
      <c r="H3633" s="1" t="s">
        <v>32713</v>
      </c>
      <c r="I3633" s="5" t="s">
        <v>32714</v>
      </c>
      <c r="J3633" s="7">
        <v>20</v>
      </c>
      <c r="K3633" s="7">
        <v>41.6</v>
      </c>
      <c r="L3633" s="5" t="s">
        <v>32715</v>
      </c>
      <c r="M3633" s="7">
        <v>1.2</v>
      </c>
      <c r="N3633" s="7">
        <v>0.65</v>
      </c>
      <c r="O3633" s="7">
        <v>1.093</v>
      </c>
      <c r="P3633" s="1" t="s">
        <v>32716</v>
      </c>
    </row>
    <row r="3634" spans="1:16" ht="33.4" x14ac:dyDescent="0.3">
      <c r="A3634" s="6" t="str">
        <f>HYPERLINK("https://www.ti.com/product/TPS650243-Q1", "TPS650243-Q1")</f>
        <v>TPS650243-Q1</v>
      </c>
      <c r="B3634" s="5" t="s">
        <v>32717</v>
      </c>
      <c r="C3634" s="6" t="str">
        <f>HYPERLINK("https://www.ti.com/lit/gpn/TPS650243-Q1", "PDF")</f>
        <v>PDF</v>
      </c>
      <c r="D3634" s="5" t="s">
        <v>32718</v>
      </c>
      <c r="E3634" s="5" t="s">
        <v>32719</v>
      </c>
      <c r="F3634" s="5"/>
      <c r="G3634" s="5" t="s">
        <v>32720</v>
      </c>
      <c r="H3634" s="1" t="s">
        <v>32721</v>
      </c>
      <c r="I3634" s="5" t="s">
        <v>32722</v>
      </c>
      <c r="J3634" s="7">
        <v>32</v>
      </c>
      <c r="K3634" s="7">
        <v>25</v>
      </c>
      <c r="L3634" s="5" t="s">
        <v>32723</v>
      </c>
      <c r="M3634" s="7">
        <v>1</v>
      </c>
      <c r="N3634" s="7">
        <v>0.5</v>
      </c>
      <c r="O3634" s="7">
        <v>3.8460000000000001</v>
      </c>
      <c r="P3634" s="1" t="s">
        <v>32724</v>
      </c>
    </row>
    <row r="3635" spans="1:16" ht="17.05" x14ac:dyDescent="0.3">
      <c r="A3635" s="6" t="str">
        <f>HYPERLINK("https://www.ti.com/product/TPS65190", "TPS65190")</f>
        <v>TPS65190</v>
      </c>
      <c r="B3635" s="5" t="s">
        <v>32725</v>
      </c>
      <c r="C3635" s="6" t="str">
        <f>HYPERLINK("https://www.ti.com/lit/gpn/TPS65190", "PDF")</f>
        <v>PDF</v>
      </c>
      <c r="D3635" s="5" t="s">
        <v>32726</v>
      </c>
      <c r="E3635" s="5" t="s">
        <v>32727</v>
      </c>
      <c r="F3635" s="5"/>
      <c r="G3635" s="5" t="s">
        <v>32728</v>
      </c>
      <c r="H3635" s="1" t="s">
        <v>32729</v>
      </c>
      <c r="I3635" s="5" t="s">
        <v>32730</v>
      </c>
      <c r="J3635" s="7">
        <v>28</v>
      </c>
      <c r="K3635" s="7">
        <v>25</v>
      </c>
      <c r="L3635" s="5" t="s">
        <v>32731</v>
      </c>
      <c r="M3635" s="7">
        <v>1</v>
      </c>
      <c r="N3635" s="7">
        <v>0.5</v>
      </c>
      <c r="O3635" s="7">
        <v>1.012</v>
      </c>
      <c r="P3635" s="1" t="s">
        <v>32732</v>
      </c>
    </row>
    <row r="3636" spans="1:16" ht="33.4" x14ac:dyDescent="0.3">
      <c r="A3636" s="6" t="str">
        <f>HYPERLINK("https://www.ti.com/product/TPS386000", "TPS386000")</f>
        <v>TPS386000</v>
      </c>
      <c r="B3636" s="5" t="s">
        <v>32733</v>
      </c>
      <c r="C3636" s="6" t="str">
        <f>HYPERLINK("https://www.ti.com/lit/gpn/TPS386000", "PDF")</f>
        <v>PDF</v>
      </c>
      <c r="D3636" s="5" t="s">
        <v>32734</v>
      </c>
      <c r="E3636" s="5" t="s">
        <v>32735</v>
      </c>
      <c r="F3636" s="5"/>
      <c r="G3636" s="5" t="s">
        <v>32736</v>
      </c>
      <c r="H3636" s="1" t="s">
        <v>32737</v>
      </c>
      <c r="I3636" s="5" t="s">
        <v>32738</v>
      </c>
      <c r="J3636" s="7">
        <v>20</v>
      </c>
      <c r="K3636" s="7">
        <v>16</v>
      </c>
      <c r="L3636" s="5" t="s">
        <v>32739</v>
      </c>
      <c r="M3636" s="7">
        <v>1</v>
      </c>
      <c r="N3636" s="7">
        <v>0.5</v>
      </c>
      <c r="O3636" s="7">
        <v>1.048</v>
      </c>
      <c r="P3636" s="1" t="s">
        <v>32740</v>
      </c>
    </row>
    <row r="3637" spans="1:16" ht="33.4" x14ac:dyDescent="0.3">
      <c r="A3637" s="6" t="str">
        <f>HYPERLINK("https://www.ti.com/product/TPS386040", "TPS386040")</f>
        <v>TPS386040</v>
      </c>
      <c r="B3637" s="5" t="s">
        <v>32741</v>
      </c>
      <c r="C3637" s="6" t="str">
        <f>HYPERLINK("https://www.ti.com/lit/gpn/TPS386040", "PDF")</f>
        <v>PDF</v>
      </c>
      <c r="D3637" s="5" t="s">
        <v>32742</v>
      </c>
      <c r="E3637" s="5" t="s">
        <v>32743</v>
      </c>
      <c r="F3637" s="5"/>
      <c r="G3637" s="5" t="s">
        <v>32744</v>
      </c>
      <c r="H3637" s="1" t="s">
        <v>32745</v>
      </c>
      <c r="I3637" s="5" t="s">
        <v>32746</v>
      </c>
      <c r="J3637" s="7">
        <v>20</v>
      </c>
      <c r="K3637" s="7">
        <v>16</v>
      </c>
      <c r="L3637" s="5" t="s">
        <v>32747</v>
      </c>
      <c r="M3637" s="7">
        <v>1</v>
      </c>
      <c r="N3637" s="7">
        <v>0.5</v>
      </c>
      <c r="O3637" s="7">
        <v>1.048</v>
      </c>
      <c r="P3637" s="1" t="s">
        <v>32748</v>
      </c>
    </row>
    <row r="3638" spans="1:16" ht="49.75" x14ac:dyDescent="0.3">
      <c r="A3638" s="6" t="str">
        <f>HYPERLINK("https://www.ti.com/product/TPS5410-EP", "TPS5410-EP")</f>
        <v>TPS5410-EP</v>
      </c>
      <c r="B3638" s="5" t="s">
        <v>32749</v>
      </c>
      <c r="C3638" s="6" t="str">
        <f>HYPERLINK("https://www.ti.com/lit/gpn/TPS5410-EP", "PDF")</f>
        <v>PDF</v>
      </c>
      <c r="D3638" s="5" t="s">
        <v>32750</v>
      </c>
      <c r="E3638" s="5" t="s">
        <v>32751</v>
      </c>
      <c r="F3638" s="5" t="s">
        <v>32752</v>
      </c>
      <c r="G3638" s="5" t="s">
        <v>32753</v>
      </c>
      <c r="H3638" s="1" t="s">
        <v>32754</v>
      </c>
      <c r="I3638" s="5" t="s">
        <v>32755</v>
      </c>
      <c r="J3638" s="7">
        <v>8</v>
      </c>
      <c r="K3638" s="7">
        <v>29.4</v>
      </c>
      <c r="L3638" s="5" t="s">
        <v>32756</v>
      </c>
      <c r="M3638" s="7">
        <v>1.75</v>
      </c>
      <c r="N3638" s="7">
        <v>1.27</v>
      </c>
      <c r="O3638" s="7">
        <v>6.5060000000000002</v>
      </c>
      <c r="P3638" s="1" t="s">
        <v>32757</v>
      </c>
    </row>
    <row r="3639" spans="1:16" ht="17.05" x14ac:dyDescent="0.3">
      <c r="A3639" s="6" t="str">
        <f>HYPERLINK("https://www.ti.com/product/TPS650241-Q1", "TPS650241-Q1")</f>
        <v>TPS650241-Q1</v>
      </c>
      <c r="B3639" s="5" t="s">
        <v>32758</v>
      </c>
      <c r="C3639" s="6" t="str">
        <f>HYPERLINK("https://www.ti.com/lit/gpn/TPS650241-Q1", "PDF")</f>
        <v>PDF</v>
      </c>
      <c r="D3639" s="5" t="s">
        <v>32759</v>
      </c>
      <c r="E3639" s="5" t="s">
        <v>32760</v>
      </c>
      <c r="F3639" s="5"/>
      <c r="G3639" s="5" t="s">
        <v>32761</v>
      </c>
      <c r="H3639" s="1" t="s">
        <v>32762</v>
      </c>
      <c r="I3639" s="5" t="s">
        <v>32763</v>
      </c>
      <c r="J3639" s="7">
        <v>32</v>
      </c>
      <c r="K3639" s="7">
        <v>25</v>
      </c>
      <c r="L3639" s="5" t="s">
        <v>32764</v>
      </c>
      <c r="M3639" s="7">
        <v>1</v>
      </c>
      <c r="N3639" s="7">
        <v>0.5</v>
      </c>
      <c r="O3639" s="7">
        <v>3.8460000000000001</v>
      </c>
      <c r="P3639" s="1" t="s">
        <v>32765</v>
      </c>
    </row>
    <row r="3640" spans="1:16" ht="33.4" x14ac:dyDescent="0.3">
      <c r="A3640" s="6" t="str">
        <f>HYPERLINK("https://www.ti.com/product/LM25085-Q1", "LM25085-Q1")</f>
        <v>LM25085-Q1</v>
      </c>
      <c r="B3640" s="5" t="s">
        <v>32766</v>
      </c>
      <c r="C3640" s="6" t="str">
        <f>HYPERLINK("https://www.ti.com/lit/gpn/LM25085-Q1", "PDF")</f>
        <v>PDF</v>
      </c>
      <c r="D3640" s="5" t="s">
        <v>32767</v>
      </c>
      <c r="E3640" s="5" t="s">
        <v>32768</v>
      </c>
      <c r="F3640" s="5" t="s">
        <v>32769</v>
      </c>
      <c r="G3640" s="5" t="s">
        <v>32770</v>
      </c>
      <c r="H3640" s="1" t="s">
        <v>32771</v>
      </c>
      <c r="I3640" s="5" t="s">
        <v>32772</v>
      </c>
      <c r="J3640" s="7">
        <v>8</v>
      </c>
      <c r="K3640" s="7">
        <v>14.7</v>
      </c>
      <c r="L3640" s="5" t="s">
        <v>32773</v>
      </c>
      <c r="M3640" s="7">
        <v>1.1000000000000001</v>
      </c>
      <c r="N3640" s="7">
        <v>0.65</v>
      </c>
      <c r="O3640" s="7">
        <v>0.92</v>
      </c>
      <c r="P3640" s="1" t="s">
        <v>32774</v>
      </c>
    </row>
    <row r="3641" spans="1:16" ht="33.4" x14ac:dyDescent="0.3">
      <c r="A3641" s="6" t="str">
        <f>HYPERLINK("https://www.ti.com/product/TPS54218", "TPS54218")</f>
        <v>TPS54218</v>
      </c>
      <c r="B3641" s="5" t="s">
        <v>32775</v>
      </c>
      <c r="C3641" s="6" t="str">
        <f>HYPERLINK("https://www.ti.com/lit/gpn/TPS54218", "PDF")</f>
        <v>PDF</v>
      </c>
      <c r="D3641" s="5" t="s">
        <v>32776</v>
      </c>
      <c r="E3641" s="5" t="s">
        <v>32777</v>
      </c>
      <c r="F3641" s="5" t="s">
        <v>32778</v>
      </c>
      <c r="G3641" s="5" t="s">
        <v>32779</v>
      </c>
      <c r="H3641" s="1" t="s">
        <v>32780</v>
      </c>
      <c r="I3641" s="5" t="s">
        <v>32781</v>
      </c>
      <c r="J3641" s="7">
        <v>16</v>
      </c>
      <c r="K3641" s="7">
        <v>9</v>
      </c>
      <c r="L3641" s="5" t="s">
        <v>32782</v>
      </c>
      <c r="M3641" s="7">
        <v>0.8</v>
      </c>
      <c r="N3641" s="7">
        <v>0.5</v>
      </c>
      <c r="O3641" s="7">
        <v>0.65800000000000003</v>
      </c>
      <c r="P3641" s="1" t="s">
        <v>32783</v>
      </c>
    </row>
    <row r="3642" spans="1:16" ht="17.05" x14ac:dyDescent="0.3">
      <c r="A3642" s="6" t="str">
        <f>HYPERLINK("https://www.ti.com/product/LM4050QML-SP", "LM4050QML-SP")</f>
        <v>LM4050QML-SP</v>
      </c>
      <c r="B3642" s="5" t="s">
        <v>32784</v>
      </c>
      <c r="C3642" s="6" t="str">
        <f>HYPERLINK("https://www.ti.com/lit/gpn/LM4050QML-SP", "PDF")</f>
        <v>PDF</v>
      </c>
      <c r="D3642" s="5" t="s">
        <v>32785</v>
      </c>
      <c r="E3642" s="5" t="s">
        <v>32786</v>
      </c>
      <c r="F3642" s="5"/>
      <c r="G3642" s="5" t="s">
        <v>32787</v>
      </c>
      <c r="H3642" s="1" t="s">
        <v>32788</v>
      </c>
      <c r="I3642" s="5" t="s">
        <v>32789</v>
      </c>
      <c r="J3642" s="7">
        <v>10</v>
      </c>
      <c r="K3642" s="7">
        <v>62.9285</v>
      </c>
      <c r="L3642" s="5" t="s">
        <v>32790</v>
      </c>
      <c r="M3642" s="7">
        <v>2.0299999999999998</v>
      </c>
      <c r="N3642" s="7">
        <v>1.27</v>
      </c>
      <c r="O3642" s="7">
        <v>498.23500000000001</v>
      </c>
      <c r="P3642" s="1" t="s">
        <v>32791</v>
      </c>
    </row>
    <row r="3643" spans="1:16" ht="33.4" x14ac:dyDescent="0.3">
      <c r="A3643" s="6" t="str">
        <f>HYPERLINK("https://www.ti.com/product/TPS65230", "TPS65230")</f>
        <v>TPS65230</v>
      </c>
      <c r="B3643" s="5" t="s">
        <v>32792</v>
      </c>
      <c r="C3643" s="6" t="str">
        <f>HYPERLINK("https://www.ti.com/lit/gpn/TPS65230", "PDF")</f>
        <v>PDF</v>
      </c>
      <c r="D3643" s="5" t="s">
        <v>32793</v>
      </c>
      <c r="E3643" s="5" t="s">
        <v>32794</v>
      </c>
      <c r="F3643" s="5" t="s">
        <v>32795</v>
      </c>
      <c r="G3643" s="5" t="s">
        <v>32796</v>
      </c>
      <c r="H3643" s="1" t="s">
        <v>32797</v>
      </c>
      <c r="I3643" s="5" t="s">
        <v>32798</v>
      </c>
      <c r="J3643" s="7">
        <v>48</v>
      </c>
      <c r="K3643" s="7">
        <v>101.25</v>
      </c>
      <c r="L3643" s="5" t="s">
        <v>32799</v>
      </c>
      <c r="M3643" s="7">
        <v>1.2</v>
      </c>
      <c r="N3643" s="7">
        <v>0.5</v>
      </c>
      <c r="O3643" s="7">
        <v>3.4009999999999998</v>
      </c>
      <c r="P3643" s="1" t="s">
        <v>32800</v>
      </c>
    </row>
    <row r="3644" spans="1:16" ht="33.4" x14ac:dyDescent="0.3">
      <c r="A3644" s="6" t="str">
        <f>HYPERLINK("https://www.ti.com/product/CSD16322Q5", "CSD16322Q5")</f>
        <v>CSD16322Q5</v>
      </c>
      <c r="B3644" s="5" t="s">
        <v>32801</v>
      </c>
      <c r="C3644" s="6" t="str">
        <f>HYPERLINK("https://www.ti.com/lit/gpn/CSD16322Q5", "PDF")</f>
        <v>PDF</v>
      </c>
      <c r="D3644" s="5" t="s">
        <v>32802</v>
      </c>
      <c r="E3644" s="5" t="s">
        <v>32803</v>
      </c>
      <c r="F3644" s="5"/>
      <c r="G3644" s="5" t="s">
        <v>32804</v>
      </c>
      <c r="H3644" s="1" t="s">
        <v>32805</v>
      </c>
      <c r="I3644" s="5" t="s">
        <v>32806</v>
      </c>
      <c r="J3644" s="7">
        <v>8</v>
      </c>
      <c r="K3644" s="7">
        <v>30</v>
      </c>
      <c r="L3644" s="5" t="s">
        <v>32807</v>
      </c>
      <c r="M3644" s="7">
        <v>1.05</v>
      </c>
      <c r="N3644" s="7">
        <v>1.27</v>
      </c>
      <c r="O3644" s="7">
        <v>0.35099999999999998</v>
      </c>
      <c r="P3644" s="1" t="s">
        <v>32808</v>
      </c>
    </row>
    <row r="3645" spans="1:16" ht="33.4" x14ac:dyDescent="0.3">
      <c r="A3645" s="6" t="str">
        <f>HYPERLINK("https://www.ti.com/product/TPS2500", "TPS2500")</f>
        <v>TPS2500</v>
      </c>
      <c r="B3645" s="5" t="s">
        <v>32809</v>
      </c>
      <c r="C3645" s="6" t="str">
        <f>HYPERLINK("https://www.ti.com/lit/gpn/TPS2500", "PDF")</f>
        <v>PDF</v>
      </c>
      <c r="D3645" s="5" t="s">
        <v>32810</v>
      </c>
      <c r="E3645" s="5" t="s">
        <v>32811</v>
      </c>
      <c r="F3645" s="5"/>
      <c r="G3645" s="5" t="s">
        <v>32812</v>
      </c>
      <c r="H3645" s="1" t="s">
        <v>32813</v>
      </c>
      <c r="I3645" s="5" t="s">
        <v>32814</v>
      </c>
      <c r="J3645" s="7">
        <v>10</v>
      </c>
      <c r="K3645" s="7">
        <v>9</v>
      </c>
      <c r="L3645" s="5" t="s">
        <v>32815</v>
      </c>
      <c r="M3645" s="7">
        <v>1</v>
      </c>
      <c r="N3645" s="7">
        <v>0.5</v>
      </c>
      <c r="O3645" s="7">
        <v>0.72599999999999998</v>
      </c>
      <c r="P3645" s="1" t="s">
        <v>32816</v>
      </c>
    </row>
    <row r="3646" spans="1:16" ht="33.4" x14ac:dyDescent="0.3">
      <c r="A3646" s="6" t="str">
        <f>HYPERLINK("https://www.ti.com/product/TPS2501", "TPS2501")</f>
        <v>TPS2501</v>
      </c>
      <c r="B3646" s="5" t="s">
        <v>32817</v>
      </c>
      <c r="C3646" s="6" t="str">
        <f>HYPERLINK("https://www.ti.com/lit/gpn/TPS2501", "PDF")</f>
        <v>PDF</v>
      </c>
      <c r="D3646" s="5" t="s">
        <v>32818</v>
      </c>
      <c r="E3646" s="5" t="s">
        <v>32819</v>
      </c>
      <c r="F3646" s="5"/>
      <c r="G3646" s="5" t="s">
        <v>32820</v>
      </c>
      <c r="H3646" s="1" t="s">
        <v>32821</v>
      </c>
      <c r="I3646" s="5" t="s">
        <v>32822</v>
      </c>
      <c r="J3646" s="7">
        <v>10</v>
      </c>
      <c r="K3646" s="7">
        <v>9</v>
      </c>
      <c r="L3646" s="5" t="s">
        <v>32823</v>
      </c>
      <c r="M3646" s="7">
        <v>1</v>
      </c>
      <c r="N3646" s="7">
        <v>0.5</v>
      </c>
      <c r="O3646" s="7">
        <v>0.72599999999999998</v>
      </c>
      <c r="P3646" s="1" t="s">
        <v>32824</v>
      </c>
    </row>
    <row r="3647" spans="1:16" ht="17.05" x14ac:dyDescent="0.3">
      <c r="A3647" s="6" t="str">
        <f>HYPERLINK("https://www.ti.com/product/UCD90120", "UCD90120")</f>
        <v>UCD90120</v>
      </c>
      <c r="B3647" s="5" t="s">
        <v>32825</v>
      </c>
      <c r="C3647" s="6" t="str">
        <f>HYPERLINK("https://www.ti.com/lit/gpn/UCD90120", "PDF")</f>
        <v>PDF</v>
      </c>
      <c r="D3647" s="5" t="s">
        <v>32826</v>
      </c>
      <c r="E3647" s="5" t="s">
        <v>32827</v>
      </c>
      <c r="F3647" s="5"/>
      <c r="G3647" s="5" t="s">
        <v>32828</v>
      </c>
      <c r="H3647" s="1" t="s">
        <v>32829</v>
      </c>
      <c r="I3647" s="5" t="s">
        <v>32830</v>
      </c>
      <c r="J3647" s="7">
        <v>64</v>
      </c>
      <c r="K3647" s="7">
        <v>81</v>
      </c>
      <c r="L3647" s="5" t="s">
        <v>32831</v>
      </c>
      <c r="M3647" s="7">
        <v>1</v>
      </c>
      <c r="N3647" s="7">
        <v>0.5</v>
      </c>
      <c r="O3647" s="7">
        <v>5.76</v>
      </c>
      <c r="P3647" s="1" t="s">
        <v>32832</v>
      </c>
    </row>
    <row r="3648" spans="1:16" ht="33.4" x14ac:dyDescent="0.3">
      <c r="A3648" s="6" t="str">
        <f>HYPERLINK("https://www.ti.com/product/TPS61086", "TPS61086")</f>
        <v>TPS61086</v>
      </c>
      <c r="B3648" s="5" t="s">
        <v>32833</v>
      </c>
      <c r="C3648" s="6" t="str">
        <f>HYPERLINK("https://www.ti.com/lit/gpn/TPS61086", "PDF")</f>
        <v>PDF</v>
      </c>
      <c r="D3648" s="5" t="s">
        <v>32834</v>
      </c>
      <c r="E3648" s="5" t="s">
        <v>32835</v>
      </c>
      <c r="F3648" s="5" t="s">
        <v>32836</v>
      </c>
      <c r="G3648" s="5" t="s">
        <v>32837</v>
      </c>
      <c r="H3648" s="1" t="s">
        <v>32838</v>
      </c>
      <c r="I3648" s="5" t="s">
        <v>32839</v>
      </c>
      <c r="J3648" s="7">
        <v>10</v>
      </c>
      <c r="K3648" s="7">
        <v>9</v>
      </c>
      <c r="L3648" s="5" t="s">
        <v>32840</v>
      </c>
      <c r="M3648" s="7">
        <v>1</v>
      </c>
      <c r="N3648" s="7">
        <v>0.5</v>
      </c>
      <c r="O3648" s="7">
        <v>0.83499999999999996</v>
      </c>
      <c r="P3648" s="1" t="s">
        <v>32841</v>
      </c>
    </row>
    <row r="3649" spans="1:16" ht="33.4" x14ac:dyDescent="0.3">
      <c r="A3649" s="6" t="str">
        <f>HYPERLINK("https://www.ti.com/product/TPS65231A2", "TPS65231A2")</f>
        <v>TPS65231A2</v>
      </c>
      <c r="B3649" s="5" t="s">
        <v>32842</v>
      </c>
      <c r="C3649" s="6" t="str">
        <f>HYPERLINK("https://www.ti.com/lit/gpn/TPS65231A2", "PDF")</f>
        <v>PDF</v>
      </c>
      <c r="D3649" s="5" t="s">
        <v>32843</v>
      </c>
      <c r="E3649" s="5" t="s">
        <v>32844</v>
      </c>
      <c r="F3649" s="5" t="s">
        <v>32845</v>
      </c>
      <c r="G3649" s="5" t="s">
        <v>32846</v>
      </c>
      <c r="H3649" s="1" t="s">
        <v>32847</v>
      </c>
      <c r="I3649" s="5" t="s">
        <v>32848</v>
      </c>
      <c r="J3649" s="7">
        <v>48</v>
      </c>
      <c r="K3649" s="7">
        <v>101.25</v>
      </c>
      <c r="L3649" s="5" t="s">
        <v>32849</v>
      </c>
      <c r="M3649" s="7">
        <v>1.2</v>
      </c>
      <c r="N3649" s="7">
        <v>0.5</v>
      </c>
      <c r="O3649" s="7">
        <v>3.1150000000000002</v>
      </c>
      <c r="P3649" s="1" t="s">
        <v>32850</v>
      </c>
    </row>
    <row r="3650" spans="1:16" ht="33.4" x14ac:dyDescent="0.3">
      <c r="A3650" s="6" t="str">
        <f>HYPERLINK("https://www.ti.com/product/TPS2062-Q1", "TPS2062-Q1")</f>
        <v>TPS2062-Q1</v>
      </c>
      <c r="B3650" s="5" t="s">
        <v>32851</v>
      </c>
      <c r="C3650" s="6" t="str">
        <f>HYPERLINK("https://www.ti.com/lit/gpn/TPS2062-Q1", "PDF")</f>
        <v>PDF</v>
      </c>
      <c r="D3650" s="5" t="s">
        <v>32852</v>
      </c>
      <c r="E3650" s="5" t="s">
        <v>32853</v>
      </c>
      <c r="F3650" s="5"/>
      <c r="G3650" s="5" t="s">
        <v>32854</v>
      </c>
      <c r="H3650" s="1" t="s">
        <v>32855</v>
      </c>
      <c r="I3650" s="5" t="s">
        <v>32856</v>
      </c>
      <c r="J3650" s="7">
        <v>8</v>
      </c>
      <c r="K3650" s="7">
        <v>14.7</v>
      </c>
      <c r="L3650" s="5" t="s">
        <v>32857</v>
      </c>
      <c r="M3650" s="7">
        <v>1.1000000000000001</v>
      </c>
      <c r="N3650" s="7">
        <v>0.65</v>
      </c>
      <c r="O3650" s="7">
        <v>0.53500000000000003</v>
      </c>
      <c r="P3650" s="1" t="s">
        <v>32858</v>
      </c>
    </row>
    <row r="3651" spans="1:16" ht="33.4" x14ac:dyDescent="0.3">
      <c r="A3651" s="6" t="str">
        <f>HYPERLINK("https://www.ti.com/product/TLC59116F", "TLC59116F")</f>
        <v>TLC59116F</v>
      </c>
      <c r="B3651" s="5" t="s">
        <v>32859</v>
      </c>
      <c r="C3651" s="6" t="str">
        <f>HYPERLINK("https://www.ti.com/lit/gpn/TLC59116F", "PDF")</f>
        <v>PDF</v>
      </c>
      <c r="D3651" s="5" t="s">
        <v>32860</v>
      </c>
      <c r="E3651" s="5" t="s">
        <v>32861</v>
      </c>
      <c r="F3651" s="5" t="s">
        <v>32862</v>
      </c>
      <c r="G3651" s="5" t="s">
        <v>32863</v>
      </c>
      <c r="H3651" s="1" t="s">
        <v>32864</v>
      </c>
      <c r="I3651" s="5" t="s">
        <v>32865</v>
      </c>
      <c r="J3651" s="7" t="s">
        <v>32866</v>
      </c>
      <c r="K3651" s="7" t="s">
        <v>32867</v>
      </c>
      <c r="L3651" s="5" t="s">
        <v>32868</v>
      </c>
      <c r="M3651" s="7" t="s">
        <v>32869</v>
      </c>
      <c r="N3651" s="7" t="s">
        <v>32870</v>
      </c>
      <c r="O3651" s="7">
        <v>0.92200000000000004</v>
      </c>
      <c r="P3651" s="1" t="s">
        <v>32871</v>
      </c>
    </row>
    <row r="3652" spans="1:16" ht="82.5" x14ac:dyDescent="0.3">
      <c r="A3652" s="6" t="str">
        <f>HYPERLINK("https://www.ti.com/product/TPS62650", "TPS62650")</f>
        <v>TPS62650</v>
      </c>
      <c r="B3652" s="5" t="s">
        <v>32872</v>
      </c>
      <c r="C3652" s="6" t="str">
        <f>HYPERLINK("https://www.ti.com/lit/gpn/TPS62650", "PDF")</f>
        <v>PDF</v>
      </c>
      <c r="D3652" s="5" t="s">
        <v>32873</v>
      </c>
      <c r="E3652" s="5" t="s">
        <v>32874</v>
      </c>
      <c r="F3652" s="5" t="s">
        <v>32875</v>
      </c>
      <c r="G3652" s="5" t="s">
        <v>32876</v>
      </c>
      <c r="H3652" s="1" t="s">
        <v>32877</v>
      </c>
      <c r="I3652" s="5" t="s">
        <v>32878</v>
      </c>
      <c r="J3652" s="7">
        <v>9</v>
      </c>
      <c r="K3652" s="7">
        <v>1.9600000000000002</v>
      </c>
      <c r="L3652" s="5" t="s">
        <v>32879</v>
      </c>
      <c r="M3652" s="7">
        <v>0.625</v>
      </c>
      <c r="N3652" s="7">
        <v>0.4</v>
      </c>
      <c r="O3652" s="7">
        <v>0.65800000000000003</v>
      </c>
      <c r="P3652" s="1" t="s">
        <v>32880</v>
      </c>
    </row>
    <row r="3653" spans="1:16" ht="33.4" x14ac:dyDescent="0.3">
      <c r="A3653" s="6" t="str">
        <f>HYPERLINK("https://www.ti.com/product/CSD16325Q5", "CSD16325Q5")</f>
        <v>CSD16325Q5</v>
      </c>
      <c r="B3653" s="5" t="s">
        <v>32881</v>
      </c>
      <c r="C3653" s="6" t="str">
        <f>HYPERLINK("https://www.ti.com/lit/gpn/CSD16325Q5", "PDF")</f>
        <v>PDF</v>
      </c>
      <c r="D3653" s="5" t="s">
        <v>32882</v>
      </c>
      <c r="E3653" s="5" t="s">
        <v>32883</v>
      </c>
      <c r="F3653" s="5"/>
      <c r="G3653" s="5" t="s">
        <v>32884</v>
      </c>
      <c r="H3653" s="1" t="s">
        <v>32885</v>
      </c>
      <c r="I3653" s="5" t="s">
        <v>32886</v>
      </c>
      <c r="J3653" s="7">
        <v>8</v>
      </c>
      <c r="K3653" s="7">
        <v>30</v>
      </c>
      <c r="L3653" s="5" t="s">
        <v>32887</v>
      </c>
      <c r="M3653" s="7">
        <v>1.05</v>
      </c>
      <c r="N3653" s="7">
        <v>1.27</v>
      </c>
      <c r="O3653" s="7">
        <v>0.63600000000000001</v>
      </c>
      <c r="P3653" s="1" t="s">
        <v>32888</v>
      </c>
    </row>
    <row r="3654" spans="1:16" ht="49.75" x14ac:dyDescent="0.3">
      <c r="A3654" s="6" t="str">
        <f>HYPERLINK("https://www.ti.com/product/LM3424", "LM3424")</f>
        <v>LM3424</v>
      </c>
      <c r="B3654" s="5" t="s">
        <v>32889</v>
      </c>
      <c r="C3654" s="6" t="str">
        <f>HYPERLINK("https://www.ti.com/lit/gpn/LM3424", "PDF")</f>
        <v>PDF</v>
      </c>
      <c r="D3654" s="5" t="s">
        <v>32890</v>
      </c>
      <c r="E3654" s="5" t="s">
        <v>32891</v>
      </c>
      <c r="F3654" s="5" t="s">
        <v>32892</v>
      </c>
      <c r="G3654" s="5" t="s">
        <v>32893</v>
      </c>
      <c r="H3654" s="1" t="s">
        <v>32894</v>
      </c>
      <c r="I3654" s="5" t="s">
        <v>32895</v>
      </c>
      <c r="J3654" s="7">
        <v>20</v>
      </c>
      <c r="K3654" s="7">
        <v>41.6</v>
      </c>
      <c r="L3654" s="5" t="s">
        <v>32896</v>
      </c>
      <c r="M3654" s="7">
        <v>1.2</v>
      </c>
      <c r="N3654" s="7">
        <v>0.65</v>
      </c>
      <c r="O3654" s="7">
        <v>1.496</v>
      </c>
      <c r="P3654" s="1" t="s">
        <v>32897</v>
      </c>
    </row>
    <row r="3655" spans="1:16" ht="49.75" x14ac:dyDescent="0.3">
      <c r="A3655" s="6" t="str">
        <f>HYPERLINK("https://www.ti.com/product/TPS5450-EP", "TPS5450-EP")</f>
        <v>TPS5450-EP</v>
      </c>
      <c r="B3655" s="5" t="s">
        <v>32898</v>
      </c>
      <c r="C3655" s="6" t="str">
        <f>HYPERLINK("https://www.ti.com/lit/gpn/TPS5450-EP", "PDF")</f>
        <v>PDF</v>
      </c>
      <c r="D3655" s="5" t="s">
        <v>32899</v>
      </c>
      <c r="E3655" s="5" t="s">
        <v>32900</v>
      </c>
      <c r="F3655" s="5" t="s">
        <v>32901</v>
      </c>
      <c r="G3655" s="5" t="s">
        <v>32902</v>
      </c>
      <c r="H3655" s="1" t="s">
        <v>32903</v>
      </c>
      <c r="I3655" s="5" t="s">
        <v>32904</v>
      </c>
      <c r="J3655" s="7">
        <v>8</v>
      </c>
      <c r="K3655" s="7">
        <v>29.4</v>
      </c>
      <c r="L3655" s="5" t="s">
        <v>32905</v>
      </c>
      <c r="M3655" s="7">
        <v>1.7</v>
      </c>
      <c r="N3655" s="7">
        <v>1.27</v>
      </c>
      <c r="O3655" s="7">
        <v>9.7550000000000008</v>
      </c>
      <c r="P3655" s="1" t="s">
        <v>32906</v>
      </c>
    </row>
    <row r="3656" spans="1:16" ht="17.05" x14ac:dyDescent="0.3">
      <c r="A3656" s="6" t="str">
        <f>HYPERLINK("https://www.ti.com/product/TPS65193", "TPS65193")</f>
        <v>TPS65193</v>
      </c>
      <c r="B3656" s="5" t="s">
        <v>32907</v>
      </c>
      <c r="C3656" s="6" t="str">
        <f>HYPERLINK("https://www.ti.com/lit/gpn/TPS65193", "PDF")</f>
        <v>PDF</v>
      </c>
      <c r="D3656" s="5" t="s">
        <v>32908</v>
      </c>
      <c r="E3656" s="5" t="s">
        <v>32909</v>
      </c>
      <c r="F3656" s="5"/>
      <c r="G3656" s="5" t="s">
        <v>32910</v>
      </c>
      <c r="H3656" s="1" t="s">
        <v>32911</v>
      </c>
      <c r="I3656" s="5" t="s">
        <v>32912</v>
      </c>
      <c r="J3656" s="7">
        <v>24</v>
      </c>
      <c r="K3656" s="7">
        <v>16</v>
      </c>
      <c r="L3656" s="5" t="s">
        <v>32913</v>
      </c>
      <c r="M3656" s="7">
        <v>1</v>
      </c>
      <c r="N3656" s="7">
        <v>0.5</v>
      </c>
      <c r="O3656" s="7">
        <v>0.70399999999999996</v>
      </c>
      <c r="P3656" s="1" t="s">
        <v>32914</v>
      </c>
    </row>
    <row r="3657" spans="1:16" ht="33.4" x14ac:dyDescent="0.3">
      <c r="A3657" s="6" t="str">
        <f>HYPERLINK("https://www.ti.com/product/TPS23757", "TPS23757")</f>
        <v>TPS23757</v>
      </c>
      <c r="B3657" s="5" t="s">
        <v>32915</v>
      </c>
      <c r="C3657" s="6" t="str">
        <f>HYPERLINK("https://www.ti.com/lit/gpn/TPS23757", "PDF")</f>
        <v>PDF</v>
      </c>
      <c r="D3657" s="5" t="s">
        <v>32916</v>
      </c>
      <c r="E3657" s="5" t="s">
        <v>32917</v>
      </c>
      <c r="F3657" s="5"/>
      <c r="G3657" s="5" t="s">
        <v>32918</v>
      </c>
      <c r="H3657" s="1" t="s">
        <v>32919</v>
      </c>
      <c r="I3657" s="5" t="s">
        <v>32920</v>
      </c>
      <c r="J3657" s="7">
        <v>20</v>
      </c>
      <c r="K3657" s="7">
        <v>41.6</v>
      </c>
      <c r="L3657" s="5" t="s">
        <v>32921</v>
      </c>
      <c r="M3657" s="7">
        <v>1.2</v>
      </c>
      <c r="N3657" s="7">
        <v>0.65</v>
      </c>
      <c r="O3657" s="7">
        <v>1.452</v>
      </c>
      <c r="P3657" s="1" t="s">
        <v>32922</v>
      </c>
    </row>
    <row r="3658" spans="1:16" ht="33.4" x14ac:dyDescent="0.3">
      <c r="A3658" s="6" t="str">
        <f>HYPERLINK("https://www.ti.com/product/TPS65070", "TPS65070")</f>
        <v>TPS65070</v>
      </c>
      <c r="B3658" s="5" t="s">
        <v>32923</v>
      </c>
      <c r="C3658" s="6" t="str">
        <f>HYPERLINK("https://www.ti.com/lit/gpn/TPS65070", "PDF")</f>
        <v>PDF</v>
      </c>
      <c r="D3658" s="5" t="s">
        <v>32924</v>
      </c>
      <c r="E3658" s="5" t="s">
        <v>32925</v>
      </c>
      <c r="F3658" s="5"/>
      <c r="G3658" s="5" t="s">
        <v>32926</v>
      </c>
      <c r="H3658" s="1" t="s">
        <v>32927</v>
      </c>
      <c r="I3658" s="5" t="s">
        <v>32928</v>
      </c>
      <c r="J3658" s="7">
        <v>48</v>
      </c>
      <c r="K3658" s="7">
        <v>36</v>
      </c>
      <c r="L3658" s="5" t="s">
        <v>32929</v>
      </c>
      <c r="M3658" s="7">
        <v>1</v>
      </c>
      <c r="N3658" s="7">
        <v>0.4</v>
      </c>
      <c r="O3658" s="7">
        <v>3.2919999999999998</v>
      </c>
      <c r="P3658" s="1" t="s">
        <v>32930</v>
      </c>
    </row>
    <row r="3659" spans="1:16" ht="33.4" x14ac:dyDescent="0.3">
      <c r="A3659" s="6" t="str">
        <f>HYPERLINK("https://www.ti.com/product/TPS65073", "TPS65073")</f>
        <v>TPS65073</v>
      </c>
      <c r="B3659" s="5" t="s">
        <v>32931</v>
      </c>
      <c r="C3659" s="6" t="str">
        <f>HYPERLINK("https://www.ti.com/lit/gpn/TPS65073", "PDF")</f>
        <v>PDF</v>
      </c>
      <c r="D3659" s="5" t="s">
        <v>32932</v>
      </c>
      <c r="E3659" s="5" t="s">
        <v>32933</v>
      </c>
      <c r="F3659" s="5"/>
      <c r="G3659" s="5" t="s">
        <v>32934</v>
      </c>
      <c r="H3659" s="1" t="s">
        <v>32935</v>
      </c>
      <c r="I3659" s="5" t="s">
        <v>32936</v>
      </c>
      <c r="J3659" s="7">
        <v>48</v>
      </c>
      <c r="K3659" s="7">
        <v>36</v>
      </c>
      <c r="L3659" s="5" t="s">
        <v>32937</v>
      </c>
      <c r="M3659" s="7">
        <v>1</v>
      </c>
      <c r="N3659" s="7">
        <v>0.4</v>
      </c>
      <c r="O3659" s="7">
        <v>3.137</v>
      </c>
      <c r="P3659" s="1" t="s">
        <v>32938</v>
      </c>
    </row>
    <row r="3660" spans="1:16" ht="33.4" x14ac:dyDescent="0.3">
      <c r="A3660" s="6" t="str">
        <f>HYPERLINK("https://www.ti.com/product/TPS650731", "TPS650731")</f>
        <v>TPS650731</v>
      </c>
      <c r="B3660" s="5" t="s">
        <v>32939</v>
      </c>
      <c r="C3660" s="6" t="str">
        <f>HYPERLINK("https://www.ti.com/lit/gpn/TPS650731", "PDF")</f>
        <v>PDF</v>
      </c>
      <c r="D3660" s="5" t="s">
        <v>32940</v>
      </c>
      <c r="E3660" s="5" t="s">
        <v>32941</v>
      </c>
      <c r="F3660" s="5"/>
      <c r="G3660" s="5" t="s">
        <v>32942</v>
      </c>
      <c r="H3660" s="1" t="s">
        <v>32943</v>
      </c>
      <c r="I3660" s="5" t="s">
        <v>32944</v>
      </c>
      <c r="J3660" s="7">
        <v>48</v>
      </c>
      <c r="K3660" s="7">
        <v>36</v>
      </c>
      <c r="L3660" s="5" t="s">
        <v>32945</v>
      </c>
      <c r="M3660" s="7">
        <v>1</v>
      </c>
      <c r="N3660" s="7">
        <v>0.4</v>
      </c>
      <c r="O3660" s="7">
        <v>2.7280000000000002</v>
      </c>
      <c r="P3660" s="1" t="s">
        <v>32946</v>
      </c>
    </row>
    <row r="3661" spans="1:16" ht="33.4" x14ac:dyDescent="0.3">
      <c r="A3661" s="6" t="str">
        <f>HYPERLINK("https://www.ti.com/product/TPS650732", "TPS650732")</f>
        <v>TPS650732</v>
      </c>
      <c r="B3661" s="5" t="s">
        <v>32947</v>
      </c>
      <c r="C3661" s="6" t="str">
        <f>HYPERLINK("https://www.ti.com/lit/gpn/TPS650732", "PDF")</f>
        <v>PDF</v>
      </c>
      <c r="D3661" s="5" t="s">
        <v>32948</v>
      </c>
      <c r="E3661" s="5" t="s">
        <v>32949</v>
      </c>
      <c r="F3661" s="5"/>
      <c r="G3661" s="5" t="s">
        <v>32950</v>
      </c>
      <c r="H3661" s="1" t="s">
        <v>32951</v>
      </c>
      <c r="I3661" s="5" t="s">
        <v>32952</v>
      </c>
      <c r="J3661" s="7">
        <v>48</v>
      </c>
      <c r="K3661" s="7">
        <v>36</v>
      </c>
      <c r="L3661" s="5" t="s">
        <v>32953</v>
      </c>
      <c r="M3661" s="7">
        <v>1</v>
      </c>
      <c r="N3661" s="7">
        <v>0.4</v>
      </c>
      <c r="O3661" s="7">
        <v>3.137</v>
      </c>
      <c r="P3661" s="1" t="s">
        <v>32954</v>
      </c>
    </row>
    <row r="3662" spans="1:16" ht="33.4" x14ac:dyDescent="0.3">
      <c r="A3662" s="6" t="str">
        <f>HYPERLINK("https://www.ti.com/product/TPS23753A", "TPS23753A")</f>
        <v>TPS23753A</v>
      </c>
      <c r="B3662" s="5" t="s">
        <v>32955</v>
      </c>
      <c r="C3662" s="6" t="str">
        <f>HYPERLINK("https://www.ti.com/lit/gpn/TPS23753A", "PDF")</f>
        <v>PDF</v>
      </c>
      <c r="D3662" s="5" t="s">
        <v>32956</v>
      </c>
      <c r="E3662" s="5" t="s">
        <v>32957</v>
      </c>
      <c r="F3662" s="5"/>
      <c r="G3662" s="5" t="s">
        <v>32958</v>
      </c>
      <c r="H3662" s="1" t="s">
        <v>32959</v>
      </c>
      <c r="I3662" s="5" t="s">
        <v>32960</v>
      </c>
      <c r="J3662" s="7">
        <v>14</v>
      </c>
      <c r="K3662" s="7">
        <v>32</v>
      </c>
      <c r="L3662" s="5" t="s">
        <v>32961</v>
      </c>
      <c r="M3662" s="7">
        <v>1.2</v>
      </c>
      <c r="N3662" s="7">
        <v>0.65</v>
      </c>
      <c r="O3662" s="7">
        <v>1.0609999999999999</v>
      </c>
      <c r="P3662" s="1" t="s">
        <v>32962</v>
      </c>
    </row>
    <row r="3663" spans="1:16" ht="49.75" x14ac:dyDescent="0.3">
      <c r="A3663" s="6" t="str">
        <f>HYPERLINK("https://www.ti.com/product/TPS62621", "TPS62621")</f>
        <v>TPS62621</v>
      </c>
      <c r="B3663" s="5" t="s">
        <v>32963</v>
      </c>
      <c r="C3663" s="6" t="str">
        <f>HYPERLINK("https://www.ti.com/lit/gpn/TPS62621", "PDF")</f>
        <v>PDF</v>
      </c>
      <c r="D3663" s="5" t="s">
        <v>32964</v>
      </c>
      <c r="E3663" s="5" t="s">
        <v>32965</v>
      </c>
      <c r="F3663" s="5" t="s">
        <v>32966</v>
      </c>
      <c r="G3663" s="5" t="s">
        <v>32967</v>
      </c>
      <c r="H3663" s="1" t="s">
        <v>32968</v>
      </c>
      <c r="I3663" s="5" t="s">
        <v>32969</v>
      </c>
      <c r="J3663" s="7">
        <v>6</v>
      </c>
      <c r="K3663" s="7">
        <v>1.4000000000000001</v>
      </c>
      <c r="L3663" s="5" t="s">
        <v>32970</v>
      </c>
      <c r="M3663" s="7">
        <v>0.625</v>
      </c>
      <c r="N3663" s="7">
        <v>0.4</v>
      </c>
      <c r="O3663" s="7">
        <v>0.53400000000000003</v>
      </c>
      <c r="P3663" s="1" t="s">
        <v>32971</v>
      </c>
    </row>
    <row r="3664" spans="1:16" ht="49.75" x14ac:dyDescent="0.3">
      <c r="A3664" s="6" t="str">
        <f>HYPERLINK("https://www.ti.com/product/TPS62622", "TPS62622")</f>
        <v>TPS62622</v>
      </c>
      <c r="B3664" s="5" t="s">
        <v>32972</v>
      </c>
      <c r="C3664" s="6" t="str">
        <f>HYPERLINK("https://www.ti.com/lit/gpn/TPS62622", "PDF")</f>
        <v>PDF</v>
      </c>
      <c r="D3664" s="5" t="s">
        <v>32973</v>
      </c>
      <c r="E3664" s="5" t="s">
        <v>32974</v>
      </c>
      <c r="F3664" s="5" t="s">
        <v>32975</v>
      </c>
      <c r="G3664" s="5" t="s">
        <v>32976</v>
      </c>
      <c r="H3664" s="1" t="s">
        <v>32977</v>
      </c>
      <c r="I3664" s="5" t="s">
        <v>32978</v>
      </c>
      <c r="J3664" s="7">
        <v>6</v>
      </c>
      <c r="K3664" s="7">
        <v>1.4000000000000001</v>
      </c>
      <c r="L3664" s="5" t="s">
        <v>32979</v>
      </c>
      <c r="M3664" s="7">
        <v>0.625</v>
      </c>
      <c r="N3664" s="7">
        <v>0.4</v>
      </c>
      <c r="O3664" s="7">
        <v>0.53400000000000003</v>
      </c>
      <c r="P3664" s="1" t="s">
        <v>32980</v>
      </c>
    </row>
    <row r="3665" spans="1:16" ht="98.85" x14ac:dyDescent="0.3">
      <c r="A3665" s="6" t="str">
        <f>HYPERLINK("https://www.ti.com/product/TPS62623", "TPS62623")</f>
        <v>TPS62623</v>
      </c>
      <c r="B3665" s="5" t="s">
        <v>32981</v>
      </c>
      <c r="C3665" s="6" t="str">
        <f>HYPERLINK("https://www.ti.com/lit/gpn/TPS62623", "PDF")</f>
        <v>PDF</v>
      </c>
      <c r="D3665" s="5" t="s">
        <v>32982</v>
      </c>
      <c r="E3665" s="5" t="s">
        <v>32983</v>
      </c>
      <c r="F3665" s="5" t="s">
        <v>32984</v>
      </c>
      <c r="G3665" s="5" t="s">
        <v>32985</v>
      </c>
      <c r="H3665" s="1" t="s">
        <v>32986</v>
      </c>
      <c r="I3665" s="5" t="s">
        <v>32987</v>
      </c>
      <c r="J3665" s="7">
        <v>6</v>
      </c>
      <c r="K3665" s="7">
        <v>1.4000000000000001</v>
      </c>
      <c r="L3665" s="5" t="s">
        <v>32988</v>
      </c>
      <c r="M3665" s="7" t="s">
        <v>32989</v>
      </c>
      <c r="N3665" s="7">
        <v>0.4</v>
      </c>
      <c r="O3665" s="7">
        <v>0.53400000000000003</v>
      </c>
      <c r="P3665" s="1" t="s">
        <v>32990</v>
      </c>
    </row>
    <row r="3666" spans="1:16" ht="49.75" x14ac:dyDescent="0.3">
      <c r="A3666" s="6" t="str">
        <f>HYPERLINK("https://www.ti.com/product/TPS62624", "TPS62624")</f>
        <v>TPS62624</v>
      </c>
      <c r="B3666" s="5" t="s">
        <v>32991</v>
      </c>
      <c r="C3666" s="6" t="str">
        <f>HYPERLINK("https://www.ti.com/lit/gpn/TPS62624", "PDF")</f>
        <v>PDF</v>
      </c>
      <c r="D3666" s="5" t="s">
        <v>32992</v>
      </c>
      <c r="E3666" s="5" t="s">
        <v>32993</v>
      </c>
      <c r="F3666" s="5" t="s">
        <v>32994</v>
      </c>
      <c r="G3666" s="5" t="s">
        <v>32995</v>
      </c>
      <c r="H3666" s="1" t="s">
        <v>32996</v>
      </c>
      <c r="I3666" s="5" t="s">
        <v>32997</v>
      </c>
      <c r="J3666" s="7">
        <v>6</v>
      </c>
      <c r="K3666" s="7">
        <v>1.4000000000000001</v>
      </c>
      <c r="L3666" s="5" t="s">
        <v>32998</v>
      </c>
      <c r="M3666" s="7">
        <v>0.625</v>
      </c>
      <c r="N3666" s="7">
        <v>0.4</v>
      </c>
      <c r="O3666" s="7">
        <v>0.53400000000000003</v>
      </c>
      <c r="P3666" s="1" t="s">
        <v>32999</v>
      </c>
    </row>
    <row r="3667" spans="1:16" ht="49.75" x14ac:dyDescent="0.3">
      <c r="A3667" s="6" t="str">
        <f>HYPERLINK("https://www.ti.com/product/TPS62625", "TPS62625")</f>
        <v>TPS62625</v>
      </c>
      <c r="B3667" s="5" t="s">
        <v>33000</v>
      </c>
      <c r="C3667" s="6" t="str">
        <f>HYPERLINK("https://www.ti.com/lit/gpn/TPS62625", "PDF")</f>
        <v>PDF</v>
      </c>
      <c r="D3667" s="5" t="s">
        <v>33001</v>
      </c>
      <c r="E3667" s="5" t="s">
        <v>33002</v>
      </c>
      <c r="F3667" s="5" t="s">
        <v>33003</v>
      </c>
      <c r="G3667" s="5" t="s">
        <v>33004</v>
      </c>
      <c r="H3667" s="1" t="s">
        <v>33005</v>
      </c>
      <c r="I3667" s="5" t="s">
        <v>33006</v>
      </c>
      <c r="J3667" s="7">
        <v>6</v>
      </c>
      <c r="K3667" s="7">
        <v>1.4000000000000001</v>
      </c>
      <c r="L3667" s="5" t="s">
        <v>33007</v>
      </c>
      <c r="M3667" s="7">
        <v>0.625</v>
      </c>
      <c r="N3667" s="7">
        <v>0.4</v>
      </c>
      <c r="O3667" s="7">
        <v>0.53400000000000003</v>
      </c>
      <c r="P3667" s="1" t="s">
        <v>33008</v>
      </c>
    </row>
    <row r="3668" spans="1:16" ht="17.05" x14ac:dyDescent="0.3">
      <c r="A3668" s="6" t="str">
        <f>HYPERLINK("https://www.ti.com/product/TPS2590", "TPS2590")</f>
        <v>TPS2590</v>
      </c>
      <c r="B3668" s="5" t="s">
        <v>33009</v>
      </c>
      <c r="C3668" s="6" t="str">
        <f>HYPERLINK("https://www.ti.com/lit/gpn/TPS2590", "PDF")</f>
        <v>PDF</v>
      </c>
      <c r="D3668" s="5" t="s">
        <v>33010</v>
      </c>
      <c r="E3668" s="5" t="s">
        <v>33011</v>
      </c>
      <c r="F3668" s="5"/>
      <c r="G3668" s="5" t="s">
        <v>33012</v>
      </c>
      <c r="H3668" s="1" t="s">
        <v>33013</v>
      </c>
      <c r="I3668" s="5" t="s">
        <v>33014</v>
      </c>
      <c r="J3668" s="7">
        <v>16</v>
      </c>
      <c r="K3668" s="7">
        <v>16</v>
      </c>
      <c r="L3668" s="5" t="s">
        <v>33015</v>
      </c>
      <c r="M3668" s="7">
        <v>1</v>
      </c>
      <c r="N3668" s="7">
        <v>0.65</v>
      </c>
      <c r="O3668" s="7">
        <v>0.92</v>
      </c>
      <c r="P3668" s="1" t="s">
        <v>33016</v>
      </c>
    </row>
    <row r="3669" spans="1:16" ht="33.4" x14ac:dyDescent="0.3">
      <c r="A3669" s="6" t="str">
        <f>HYPERLINK("https://www.ti.com/product/TPS62750", "TPS62750")</f>
        <v>TPS62750</v>
      </c>
      <c r="B3669" s="5" t="s">
        <v>33017</v>
      </c>
      <c r="C3669" s="6" t="str">
        <f>HYPERLINK("https://www.ti.com/lit/gpn/TPS62750", "PDF")</f>
        <v>PDF</v>
      </c>
      <c r="D3669" s="5" t="s">
        <v>33018</v>
      </c>
      <c r="E3669" s="5" t="s">
        <v>33019</v>
      </c>
      <c r="F3669" s="5" t="s">
        <v>33020</v>
      </c>
      <c r="G3669" s="5" t="s">
        <v>33021</v>
      </c>
      <c r="H3669" s="1" t="s">
        <v>33022</v>
      </c>
      <c r="I3669" s="5" t="s">
        <v>33023</v>
      </c>
      <c r="J3669" s="7">
        <v>10</v>
      </c>
      <c r="K3669" s="7">
        <v>6.25</v>
      </c>
      <c r="L3669" s="5" t="s">
        <v>33024</v>
      </c>
      <c r="M3669" s="7">
        <v>0.8</v>
      </c>
      <c r="N3669" s="7">
        <v>0.5</v>
      </c>
      <c r="O3669" s="7">
        <v>0.73499999999999999</v>
      </c>
      <c r="P3669" s="1" t="s">
        <v>33025</v>
      </c>
    </row>
    <row r="3670" spans="1:16" ht="17.05" x14ac:dyDescent="0.3">
      <c r="A3670" s="6" t="str">
        <f>HYPERLINK("https://www.ti.com/product/TPS65192", "TPS65192")</f>
        <v>TPS65192</v>
      </c>
      <c r="B3670" s="5" t="s">
        <v>33026</v>
      </c>
      <c r="C3670" s="6" t="str">
        <f>HYPERLINK("https://www.ti.com/lit/gpn/TPS65192", "PDF")</f>
        <v>PDF</v>
      </c>
      <c r="D3670" s="5" t="s">
        <v>33027</v>
      </c>
      <c r="E3670" s="5" t="s">
        <v>33028</v>
      </c>
      <c r="F3670" s="5"/>
      <c r="G3670" s="5" t="s">
        <v>33029</v>
      </c>
      <c r="H3670" s="1" t="s">
        <v>33030</v>
      </c>
      <c r="I3670" s="5" t="s">
        <v>33031</v>
      </c>
      <c r="J3670" s="7">
        <v>28</v>
      </c>
      <c r="K3670" s="7">
        <v>25</v>
      </c>
      <c r="L3670" s="5" t="s">
        <v>33032</v>
      </c>
      <c r="M3670" s="7">
        <v>1</v>
      </c>
      <c r="N3670" s="7">
        <v>0.5</v>
      </c>
      <c r="O3670" s="7">
        <v>1.0349999999999999</v>
      </c>
      <c r="P3670" s="1" t="s">
        <v>33033</v>
      </c>
    </row>
    <row r="3671" spans="1:16" ht="33.4" x14ac:dyDescent="0.3">
      <c r="A3671" s="6" t="str">
        <f>HYPERLINK("https://www.ti.com/product/LM5118-Q1", "LM5118-Q1")</f>
        <v>LM5118-Q1</v>
      </c>
      <c r="B3671" s="5" t="s">
        <v>33034</v>
      </c>
      <c r="C3671" s="6" t="str">
        <f>HYPERLINK("https://www.ti.com/lit/gpn/LM5118-Q1", "PDF")</f>
        <v>PDF</v>
      </c>
      <c r="D3671" s="5" t="s">
        <v>33035</v>
      </c>
      <c r="E3671" s="5" t="s">
        <v>33036</v>
      </c>
      <c r="F3671" s="5" t="s">
        <v>33037</v>
      </c>
      <c r="G3671" s="5" t="s">
        <v>33038</v>
      </c>
      <c r="H3671" s="1" t="s">
        <v>33039</v>
      </c>
      <c r="I3671" s="5" t="s">
        <v>33040</v>
      </c>
      <c r="J3671" s="7">
        <v>20</v>
      </c>
      <c r="K3671" s="7">
        <v>41.6</v>
      </c>
      <c r="L3671" s="5" t="s">
        <v>33041</v>
      </c>
      <c r="M3671" s="7">
        <v>1.2</v>
      </c>
      <c r="N3671" s="7">
        <v>0.65</v>
      </c>
      <c r="O3671" s="7">
        <v>3.125</v>
      </c>
      <c r="P3671" s="1" t="s">
        <v>33042</v>
      </c>
    </row>
    <row r="3672" spans="1:16" ht="17.05" x14ac:dyDescent="0.3">
      <c r="A3672" s="6" t="str">
        <f>HYPERLINK("https://www.ti.com/product/TLC5926-Q1", "TLC5926-Q1")</f>
        <v>TLC5926-Q1</v>
      </c>
      <c r="B3672" s="5" t="s">
        <v>33043</v>
      </c>
      <c r="C3672" s="6" t="str">
        <f>HYPERLINK("https://www.ti.com/lit/gpn/TLC5926-Q1", "PDF")</f>
        <v>PDF</v>
      </c>
      <c r="D3672" s="5" t="s">
        <v>33044</v>
      </c>
      <c r="E3672" s="5" t="s">
        <v>33045</v>
      </c>
      <c r="F3672" s="5" t="s">
        <v>33046</v>
      </c>
      <c r="G3672" s="5" t="s">
        <v>33047</v>
      </c>
      <c r="H3672" s="1" t="s">
        <v>33048</v>
      </c>
      <c r="I3672" s="5" t="s">
        <v>33049</v>
      </c>
      <c r="J3672" s="7">
        <v>24</v>
      </c>
      <c r="K3672" s="7">
        <v>49.92</v>
      </c>
      <c r="L3672" s="5" t="s">
        <v>33050</v>
      </c>
      <c r="M3672" s="7">
        <v>1.2</v>
      </c>
      <c r="N3672" s="7">
        <v>0.65</v>
      </c>
      <c r="O3672" s="7">
        <v>0.748</v>
      </c>
      <c r="P3672" s="1" t="s">
        <v>33051</v>
      </c>
    </row>
    <row r="3673" spans="1:16" ht="33.4" x14ac:dyDescent="0.3">
      <c r="A3673" s="6" t="str">
        <f>HYPERLINK("https://www.ti.com/product/LM5035B", "LM5035B")</f>
        <v>LM5035B</v>
      </c>
      <c r="B3673" s="5" t="s">
        <v>33052</v>
      </c>
      <c r="C3673" s="6" t="str">
        <f>HYPERLINK("https://www.ti.com/lit/gpn/LM5035B", "PDF")</f>
        <v>PDF</v>
      </c>
      <c r="D3673" s="5" t="s">
        <v>33053</v>
      </c>
      <c r="E3673" s="5" t="s">
        <v>33054</v>
      </c>
      <c r="F3673" s="5" t="s">
        <v>33055</v>
      </c>
      <c r="G3673" s="5" t="s">
        <v>33056</v>
      </c>
      <c r="H3673" s="1" t="s">
        <v>33057</v>
      </c>
      <c r="I3673" s="5" t="s">
        <v>33058</v>
      </c>
      <c r="J3673" s="7" t="s">
        <v>33059</v>
      </c>
      <c r="K3673" s="7" t="s">
        <v>33060</v>
      </c>
      <c r="L3673" s="5" t="s">
        <v>33061</v>
      </c>
      <c r="M3673" s="7" t="s">
        <v>33062</v>
      </c>
      <c r="N3673" s="7" t="s">
        <v>33063</v>
      </c>
      <c r="O3673" s="7">
        <v>1.8069999999999999</v>
      </c>
      <c r="P3673" s="1" t="s">
        <v>33064</v>
      </c>
    </row>
    <row r="3674" spans="1:16" ht="33.4" x14ac:dyDescent="0.3">
      <c r="A3674" s="6" t="str">
        <f>HYPERLINK("https://www.ti.com/product/REG71055-Q1", "REG71055-Q1")</f>
        <v>REG71055-Q1</v>
      </c>
      <c r="B3674" s="5" t="s">
        <v>33065</v>
      </c>
      <c r="C3674" s="6" t="str">
        <f>HYPERLINK("https://www.ti.com/lit/gpn/REG71055-Q1", "PDF")</f>
        <v>PDF</v>
      </c>
      <c r="D3674" s="5" t="s">
        <v>33066</v>
      </c>
      <c r="E3674" s="5" t="s">
        <v>33067</v>
      </c>
      <c r="F3674" s="5"/>
      <c r="G3674" s="5" t="s">
        <v>33068</v>
      </c>
      <c r="H3674" s="1" t="s">
        <v>33069</v>
      </c>
      <c r="I3674" s="5" t="s">
        <v>33070</v>
      </c>
      <c r="J3674" s="7">
        <v>6</v>
      </c>
      <c r="K3674" s="7">
        <v>8.1199999999999992</v>
      </c>
      <c r="L3674" s="5" t="s">
        <v>33071</v>
      </c>
      <c r="M3674" s="7">
        <v>1.1000000000000001</v>
      </c>
      <c r="N3674" s="7">
        <v>0.95</v>
      </c>
      <c r="O3674" s="7">
        <v>0.59799999999999998</v>
      </c>
      <c r="P3674" s="1" t="s">
        <v>33072</v>
      </c>
    </row>
    <row r="3675" spans="1:16" ht="33.4" x14ac:dyDescent="0.3">
      <c r="A3675" s="6" t="str">
        <f>HYPERLINK("https://www.ti.com/product/TLC59025", "TLC59025")</f>
        <v>TLC59025</v>
      </c>
      <c r="B3675" s="5" t="s">
        <v>33073</v>
      </c>
      <c r="C3675" s="6" t="str">
        <f>HYPERLINK("https://www.ti.com/lit/gpn/TLC59025", "PDF")</f>
        <v>PDF</v>
      </c>
      <c r="D3675" s="5" t="s">
        <v>33074</v>
      </c>
      <c r="E3675" s="5" t="s">
        <v>33075</v>
      </c>
      <c r="F3675" s="5"/>
      <c r="G3675" s="5" t="s">
        <v>33076</v>
      </c>
      <c r="H3675" s="1" t="s">
        <v>33077</v>
      </c>
      <c r="I3675" s="5" t="s">
        <v>33078</v>
      </c>
      <c r="J3675" s="7">
        <v>24</v>
      </c>
      <c r="K3675" s="7">
        <v>51.9</v>
      </c>
      <c r="L3675" s="5" t="s">
        <v>33079</v>
      </c>
      <c r="M3675" s="7">
        <v>1.75</v>
      </c>
      <c r="N3675" s="7">
        <v>0.63500000000000001</v>
      </c>
      <c r="O3675" s="7">
        <v>0.55700000000000005</v>
      </c>
      <c r="P3675" s="1" t="s">
        <v>33080</v>
      </c>
    </row>
    <row r="3676" spans="1:16" ht="33.4" x14ac:dyDescent="0.3">
      <c r="A3676" s="6" t="str">
        <f>HYPERLINK("https://www.ti.com/product/TPS2041B-Q1", "TPS2041B-Q1")</f>
        <v>TPS2041B-Q1</v>
      </c>
      <c r="B3676" s="5" t="s">
        <v>33081</v>
      </c>
      <c r="C3676" s="6" t="str">
        <f>HYPERLINK("https://www.ti.com/lit/gpn/TPS2041B-Q1", "PDF")</f>
        <v>PDF</v>
      </c>
      <c r="D3676" s="5" t="s">
        <v>33082</v>
      </c>
      <c r="E3676" s="5" t="s">
        <v>33083</v>
      </c>
      <c r="F3676" s="5"/>
      <c r="G3676" s="5" t="s">
        <v>33084</v>
      </c>
      <c r="H3676" s="1" t="s">
        <v>33085</v>
      </c>
      <c r="I3676" s="5" t="s">
        <v>33086</v>
      </c>
      <c r="J3676" s="7">
        <v>5</v>
      </c>
      <c r="K3676" s="7">
        <v>8.1199999999999992</v>
      </c>
      <c r="L3676" s="5" t="s">
        <v>33087</v>
      </c>
      <c r="M3676" s="7">
        <v>1.45</v>
      </c>
      <c r="N3676" s="7">
        <v>0.95</v>
      </c>
      <c r="O3676" s="7">
        <v>0.38600000000000001</v>
      </c>
      <c r="P3676" s="1" t="s">
        <v>33088</v>
      </c>
    </row>
    <row r="3677" spans="1:16" ht="33.4" x14ac:dyDescent="0.3">
      <c r="A3677" s="6" t="str">
        <f>HYPERLINK("https://www.ti.com/product/TPS61300", "TPS61300")</f>
        <v>TPS61300</v>
      </c>
      <c r="B3677" s="5" t="s">
        <v>33089</v>
      </c>
      <c r="C3677" s="6" t="str">
        <f>HYPERLINK("https://www.ti.com/lit/gpn/TPS61300", "PDF")</f>
        <v>PDF</v>
      </c>
      <c r="D3677" s="5" t="s">
        <v>33090</v>
      </c>
      <c r="E3677" s="5" t="s">
        <v>33091</v>
      </c>
      <c r="F3677" s="5" t="s">
        <v>33092</v>
      </c>
      <c r="G3677" s="5" t="s">
        <v>33093</v>
      </c>
      <c r="H3677" s="1" t="s">
        <v>33094</v>
      </c>
      <c r="I3677" s="5" t="s">
        <v>33095</v>
      </c>
      <c r="J3677" s="7">
        <v>20</v>
      </c>
      <c r="K3677" s="7">
        <v>3.96</v>
      </c>
      <c r="L3677" s="5" t="s">
        <v>33096</v>
      </c>
      <c r="M3677" s="7">
        <v>0.625</v>
      </c>
      <c r="N3677" s="7">
        <v>0.4</v>
      </c>
      <c r="O3677" s="7">
        <v>0.97799999999999998</v>
      </c>
      <c r="P3677" s="1" t="s">
        <v>33097</v>
      </c>
    </row>
    <row r="3678" spans="1:16" ht="33.4" x14ac:dyDescent="0.3">
      <c r="A3678" s="6" t="str">
        <f>HYPERLINK("https://www.ti.com/product/TPS61305", "TPS61305")</f>
        <v>TPS61305</v>
      </c>
      <c r="B3678" s="5" t="s">
        <v>33098</v>
      </c>
      <c r="C3678" s="6" t="str">
        <f>HYPERLINK("https://www.ti.com/lit/gpn/TPS61305", "PDF")</f>
        <v>PDF</v>
      </c>
      <c r="D3678" s="5" t="s">
        <v>33099</v>
      </c>
      <c r="E3678" s="5" t="s">
        <v>33100</v>
      </c>
      <c r="F3678" s="5" t="s">
        <v>33101</v>
      </c>
      <c r="G3678" s="5" t="s">
        <v>33102</v>
      </c>
      <c r="H3678" s="1" t="s">
        <v>33103</v>
      </c>
      <c r="I3678" s="5" t="s">
        <v>33104</v>
      </c>
      <c r="J3678" s="7">
        <v>20</v>
      </c>
      <c r="K3678" s="7">
        <v>3.96</v>
      </c>
      <c r="L3678" s="5" t="s">
        <v>33105</v>
      </c>
      <c r="M3678" s="7">
        <v>0.625</v>
      </c>
      <c r="N3678" s="7">
        <v>0.4</v>
      </c>
      <c r="O3678" s="7">
        <v>0.97799999999999998</v>
      </c>
      <c r="P3678" s="1" t="s">
        <v>33106</v>
      </c>
    </row>
    <row r="3679" spans="1:16" ht="33.4" x14ac:dyDescent="0.3">
      <c r="A3679" s="6" t="str">
        <f>HYPERLINK("https://www.ti.com/product/TPS63000-Q1", "TPS63000-Q1")</f>
        <v>TPS63000-Q1</v>
      </c>
      <c r="B3679" s="5" t="s">
        <v>33107</v>
      </c>
      <c r="C3679" s="6" t="str">
        <f>HYPERLINK("https://www.ti.com/lit/gpn/TPS63000-Q1", "PDF")</f>
        <v>PDF</v>
      </c>
      <c r="D3679" s="5" t="s">
        <v>33108</v>
      </c>
      <c r="E3679" s="5" t="s">
        <v>33109</v>
      </c>
      <c r="F3679" s="5" t="s">
        <v>33110</v>
      </c>
      <c r="G3679" s="5" t="s">
        <v>33111</v>
      </c>
      <c r="H3679" s="1" t="s">
        <v>33112</v>
      </c>
      <c r="I3679" s="5" t="s">
        <v>33113</v>
      </c>
      <c r="J3679" s="7">
        <v>10</v>
      </c>
      <c r="K3679" s="7">
        <v>9</v>
      </c>
      <c r="L3679" s="5" t="s">
        <v>33114</v>
      </c>
      <c r="M3679" s="7">
        <v>1</v>
      </c>
      <c r="N3679" s="7">
        <v>0.5</v>
      </c>
      <c r="O3679" s="7">
        <v>1.159</v>
      </c>
      <c r="P3679" s="1" t="s">
        <v>33115</v>
      </c>
    </row>
    <row r="3680" spans="1:16" ht="33.4" x14ac:dyDescent="0.3">
      <c r="A3680" s="6" t="str">
        <f>HYPERLINK("https://www.ti.com/product/UCD3028", "UCD3028")</f>
        <v>UCD3028</v>
      </c>
      <c r="B3680" s="5" t="s">
        <v>33116</v>
      </c>
      <c r="C3680" s="6" t="str">
        <f>HYPERLINK("https://www.ti.com/lit/gpn/UCD3028", "PDF")</f>
        <v>PDF</v>
      </c>
      <c r="D3680" s="5" t="s">
        <v>33117</v>
      </c>
      <c r="E3680" s="5" t="s">
        <v>33118</v>
      </c>
      <c r="F3680" s="5"/>
      <c r="G3680" s="5" t="s">
        <v>33119</v>
      </c>
      <c r="H3680" s="1" t="s">
        <v>33120</v>
      </c>
      <c r="I3680" s="5" t="s">
        <v>33121</v>
      </c>
      <c r="J3680" s="7">
        <v>40</v>
      </c>
      <c r="K3680" s="7">
        <v>36</v>
      </c>
      <c r="L3680" s="5" t="s">
        <v>33122</v>
      </c>
      <c r="M3680" s="7">
        <v>1</v>
      </c>
      <c r="N3680" s="7">
        <v>0.5</v>
      </c>
      <c r="O3680" s="7">
        <v>2.3780000000000001</v>
      </c>
      <c r="P3680" s="1" t="s">
        <v>33123</v>
      </c>
    </row>
    <row r="3681" spans="1:16" ht="33.4" x14ac:dyDescent="0.3">
      <c r="A3681" s="6" t="str">
        <f>HYPERLINK("https://www.ti.com/product/TPS65000", "TPS65000")</f>
        <v>TPS65000</v>
      </c>
      <c r="B3681" s="5" t="s">
        <v>33124</v>
      </c>
      <c r="C3681" s="6" t="str">
        <f>HYPERLINK("https://www.ti.com/lit/gpn/TPS65000", "PDF")</f>
        <v>PDF</v>
      </c>
      <c r="D3681" s="5" t="s">
        <v>33125</v>
      </c>
      <c r="E3681" s="5" t="s">
        <v>33126</v>
      </c>
      <c r="F3681" s="5"/>
      <c r="G3681" s="5" t="s">
        <v>33127</v>
      </c>
      <c r="H3681" s="1" t="s">
        <v>33128</v>
      </c>
      <c r="I3681" s="5" t="s">
        <v>33129</v>
      </c>
      <c r="J3681" s="7">
        <v>16</v>
      </c>
      <c r="K3681" s="7">
        <v>9</v>
      </c>
      <c r="L3681" s="5" t="s">
        <v>33130</v>
      </c>
      <c r="M3681" s="7">
        <v>0.8</v>
      </c>
      <c r="N3681" s="7">
        <v>0.5</v>
      </c>
      <c r="O3681" s="7">
        <v>0.75800000000000001</v>
      </c>
      <c r="P3681" s="1" t="s">
        <v>33131</v>
      </c>
    </row>
    <row r="3682" spans="1:16" ht="33.4" x14ac:dyDescent="0.3">
      <c r="A3682" s="6" t="str">
        <f>HYPERLINK("https://www.ti.com/product/TPS65001", "TPS65001")</f>
        <v>TPS65001</v>
      </c>
      <c r="B3682" s="5" t="s">
        <v>33132</v>
      </c>
      <c r="C3682" s="6" t="str">
        <f>HYPERLINK("https://www.ti.com/lit/gpn/TPS65001", "PDF")</f>
        <v>PDF</v>
      </c>
      <c r="D3682" s="5" t="s">
        <v>33133</v>
      </c>
      <c r="E3682" s="5" t="s">
        <v>33134</v>
      </c>
      <c r="F3682" s="5"/>
      <c r="G3682" s="5" t="s">
        <v>33135</v>
      </c>
      <c r="H3682" s="1" t="s">
        <v>33136</v>
      </c>
      <c r="I3682" s="5" t="s">
        <v>33137</v>
      </c>
      <c r="J3682" s="7">
        <v>20</v>
      </c>
      <c r="K3682" s="7">
        <v>9</v>
      </c>
      <c r="L3682" s="5" t="s">
        <v>33138</v>
      </c>
      <c r="M3682" s="7">
        <v>0.8</v>
      </c>
      <c r="N3682" s="7">
        <v>0.4</v>
      </c>
      <c r="O3682" s="7">
        <v>1.488</v>
      </c>
      <c r="P3682" s="1" t="s">
        <v>33139</v>
      </c>
    </row>
    <row r="3683" spans="1:16" ht="33.4" x14ac:dyDescent="0.3">
      <c r="A3683" s="6" t="str">
        <f>HYPERLINK("https://www.ti.com/product/TPS55332-Q1", "TPS55332-Q1")</f>
        <v>TPS55332-Q1</v>
      </c>
      <c r="B3683" s="5" t="s">
        <v>33140</v>
      </c>
      <c r="C3683" s="6" t="str">
        <f>HYPERLINK("https://www.ti.com/lit/gpn/TPS55332-Q1", "PDF")</f>
        <v>PDF</v>
      </c>
      <c r="D3683" s="5" t="s">
        <v>33141</v>
      </c>
      <c r="E3683" s="5" t="s">
        <v>33142</v>
      </c>
      <c r="F3683" s="5" t="s">
        <v>33143</v>
      </c>
      <c r="G3683" s="5" t="s">
        <v>33144</v>
      </c>
      <c r="H3683" s="1" t="s">
        <v>33145</v>
      </c>
      <c r="I3683" s="5" t="s">
        <v>33146</v>
      </c>
      <c r="J3683" s="7">
        <v>20</v>
      </c>
      <c r="K3683" s="7">
        <v>41.6</v>
      </c>
      <c r="L3683" s="5" t="s">
        <v>33147</v>
      </c>
      <c r="M3683" s="7">
        <v>1.2</v>
      </c>
      <c r="N3683" s="7">
        <v>0.65</v>
      </c>
      <c r="O3683" s="7">
        <v>2.74</v>
      </c>
      <c r="P3683" s="1" t="s">
        <v>33148</v>
      </c>
    </row>
    <row r="3684" spans="1:16" ht="33.4" x14ac:dyDescent="0.3">
      <c r="A3684" s="6" t="str">
        <f>HYPERLINK("https://www.ti.com/product/PTD08A006W", "PTD08A006W")</f>
        <v>PTD08A006W</v>
      </c>
      <c r="B3684" s="5" t="s">
        <v>33149</v>
      </c>
      <c r="C3684" s="6" t="str">
        <f>HYPERLINK("https://www.ti.com/lit/gpn/PTD08A006W", "PDF")</f>
        <v>PDF</v>
      </c>
      <c r="D3684" s="5" t="s">
        <v>33150</v>
      </c>
      <c r="E3684" s="5" t="s">
        <v>33151</v>
      </c>
      <c r="F3684" s="5" t="s">
        <v>33152</v>
      </c>
      <c r="G3684" s="5" t="s">
        <v>33153</v>
      </c>
      <c r="H3684" s="1" t="s">
        <v>33154</v>
      </c>
      <c r="I3684" s="5" t="s">
        <v>33155</v>
      </c>
      <c r="J3684" s="7">
        <v>12</v>
      </c>
      <c r="K3684" s="7">
        <v>334.19439999999997</v>
      </c>
      <c r="L3684" s="5" t="s">
        <v>33156</v>
      </c>
      <c r="M3684" s="7">
        <v>8</v>
      </c>
      <c r="N3684" s="7">
        <v>1.27</v>
      </c>
      <c r="O3684" s="7">
        <v>11.670999999999999</v>
      </c>
      <c r="P3684" s="1" t="s">
        <v>33157</v>
      </c>
    </row>
    <row r="3685" spans="1:16" ht="33.4" x14ac:dyDescent="0.3">
      <c r="A3685" s="6" t="str">
        <f>HYPERLINK("https://www.ti.com/product/LM25037-Q1", "LM25037-Q1")</f>
        <v>LM25037-Q1</v>
      </c>
      <c r="B3685" s="5" t="s">
        <v>33158</v>
      </c>
      <c r="C3685" s="6" t="str">
        <f>HYPERLINK("https://www.ti.com/lit/gpn/LM25037-Q1", "PDF")</f>
        <v>PDF</v>
      </c>
      <c r="D3685" s="5" t="s">
        <v>33159</v>
      </c>
      <c r="E3685" s="5" t="s">
        <v>33160</v>
      </c>
      <c r="F3685" s="5" t="s">
        <v>33161</v>
      </c>
      <c r="G3685" s="5" t="s">
        <v>33162</v>
      </c>
      <c r="H3685" s="1" t="s">
        <v>33163</v>
      </c>
      <c r="I3685" s="5" t="s">
        <v>33164</v>
      </c>
      <c r="J3685" s="7">
        <v>16</v>
      </c>
      <c r="K3685" s="7">
        <v>32</v>
      </c>
      <c r="L3685" s="5" t="s">
        <v>33165</v>
      </c>
      <c r="M3685" s="7">
        <v>1.2</v>
      </c>
      <c r="N3685" s="7">
        <v>0.65</v>
      </c>
      <c r="O3685" s="7">
        <v>1.77</v>
      </c>
      <c r="P3685" s="1" t="s">
        <v>33166</v>
      </c>
    </row>
    <row r="3686" spans="1:16" ht="33.4" x14ac:dyDescent="0.3">
      <c r="A3686" s="6" t="str">
        <f>HYPERLINK("https://www.ti.com/product/TPS51217", "TPS51217")</f>
        <v>TPS51217</v>
      </c>
      <c r="B3686" s="5" t="s">
        <v>33167</v>
      </c>
      <c r="C3686" s="6" t="str">
        <f>HYPERLINK("https://www.ti.com/lit/gpn/TPS51217", "PDF")</f>
        <v>PDF</v>
      </c>
      <c r="D3686" s="5" t="s">
        <v>33168</v>
      </c>
      <c r="E3686" s="5" t="s">
        <v>33169</v>
      </c>
      <c r="F3686" s="5" t="s">
        <v>33170</v>
      </c>
      <c r="G3686" s="5" t="s">
        <v>33171</v>
      </c>
      <c r="H3686" s="1" t="s">
        <v>33172</v>
      </c>
      <c r="I3686" s="5" t="s">
        <v>33173</v>
      </c>
      <c r="J3686" s="7">
        <v>10</v>
      </c>
      <c r="K3686" s="7">
        <v>9</v>
      </c>
      <c r="L3686" s="5" t="s">
        <v>33174</v>
      </c>
      <c r="M3686" s="7">
        <v>0.8</v>
      </c>
      <c r="N3686" s="7">
        <v>0.5</v>
      </c>
      <c r="O3686" s="7">
        <v>1.5029999999999999</v>
      </c>
      <c r="P3686" s="1" t="s">
        <v>33175</v>
      </c>
    </row>
    <row r="3687" spans="1:16" ht="33.4" x14ac:dyDescent="0.3">
      <c r="A3687" s="6" t="str">
        <f>HYPERLINK("https://www.ti.com/product/LM10500", "LM10500")</f>
        <v>LM10500</v>
      </c>
      <c r="B3687" s="5" t="s">
        <v>33176</v>
      </c>
      <c r="C3687" s="6" t="str">
        <f>HYPERLINK("https://www.ti.com/lit/gpn/LM10500", "PDF")</f>
        <v>PDF</v>
      </c>
      <c r="D3687" s="5" t="s">
        <v>33177</v>
      </c>
      <c r="E3687" s="5" t="s">
        <v>33178</v>
      </c>
      <c r="F3687" s="5" t="s">
        <v>33179</v>
      </c>
      <c r="G3687" s="5" t="s">
        <v>33180</v>
      </c>
      <c r="H3687" s="1" t="s">
        <v>33181</v>
      </c>
      <c r="I3687" s="5" t="s">
        <v>33182</v>
      </c>
      <c r="J3687" s="7">
        <v>28</v>
      </c>
      <c r="K3687" s="7">
        <v>25</v>
      </c>
      <c r="L3687" s="5" t="s">
        <v>33183</v>
      </c>
      <c r="M3687" s="7">
        <v>0.8</v>
      </c>
      <c r="N3687" s="7">
        <v>0.5</v>
      </c>
      <c r="O3687" s="7">
        <v>3.85</v>
      </c>
      <c r="P3687" s="1" t="s">
        <v>33184</v>
      </c>
    </row>
    <row r="3688" spans="1:16" ht="33.4" x14ac:dyDescent="0.3">
      <c r="A3688" s="6" t="str">
        <f>HYPERLINK("https://www.ti.com/product/TLC5952", "TLC5952")</f>
        <v>TLC5952</v>
      </c>
      <c r="B3688" s="5" t="s">
        <v>33185</v>
      </c>
      <c r="C3688" s="6" t="str">
        <f>HYPERLINK("https://www.ti.com/lit/gpn/TLC5952", "PDF")</f>
        <v>PDF</v>
      </c>
      <c r="D3688" s="5" t="s">
        <v>33186</v>
      </c>
      <c r="E3688" s="5" t="s">
        <v>33187</v>
      </c>
      <c r="F3688" s="5"/>
      <c r="G3688" s="5" t="s">
        <v>33188</v>
      </c>
      <c r="H3688" s="1" t="s">
        <v>33189</v>
      </c>
      <c r="I3688" s="5" t="s">
        <v>33190</v>
      </c>
      <c r="J3688" s="7">
        <v>32</v>
      </c>
      <c r="K3688" s="7">
        <v>89.1</v>
      </c>
      <c r="L3688" s="5" t="s">
        <v>33191</v>
      </c>
      <c r="M3688" s="7">
        <v>1.2</v>
      </c>
      <c r="N3688" s="7">
        <v>0.65</v>
      </c>
      <c r="O3688" s="7">
        <v>0.97799999999999998</v>
      </c>
      <c r="P3688" s="1" t="s">
        <v>33192</v>
      </c>
    </row>
    <row r="3689" spans="1:16" ht="49.75" x14ac:dyDescent="0.3">
      <c r="A3689" s="6" t="str">
        <f>HYPERLINK("https://www.ti.com/product/LM3409", "LM3409")</f>
        <v>LM3409</v>
      </c>
      <c r="B3689" s="5" t="s">
        <v>33193</v>
      </c>
      <c r="C3689" s="6" t="str">
        <f>HYPERLINK("https://www.ti.com/lit/gpn/LM3409", "PDF")</f>
        <v>PDF</v>
      </c>
      <c r="D3689" s="5" t="s">
        <v>33194</v>
      </c>
      <c r="E3689" s="5" t="s">
        <v>33195</v>
      </c>
      <c r="F3689" s="5" t="s">
        <v>33196</v>
      </c>
      <c r="G3689" s="5" t="s">
        <v>33197</v>
      </c>
      <c r="H3689" s="1" t="s">
        <v>33198</v>
      </c>
      <c r="I3689" s="5" t="s">
        <v>33199</v>
      </c>
      <c r="J3689" s="7" t="s">
        <v>33200</v>
      </c>
      <c r="K3689" s="7" t="s">
        <v>33201</v>
      </c>
      <c r="L3689" s="5" t="s">
        <v>33202</v>
      </c>
      <c r="M3689" s="7" t="s">
        <v>33203</v>
      </c>
      <c r="N3689" s="7" t="s">
        <v>33204</v>
      </c>
      <c r="O3689" s="7">
        <v>0.59799999999999998</v>
      </c>
      <c r="P3689" s="1" t="s">
        <v>33205</v>
      </c>
    </row>
    <row r="3690" spans="1:16" ht="17.05" x14ac:dyDescent="0.3">
      <c r="A3690" s="6" t="str">
        <f>HYPERLINK("https://www.ti.com/product/LM3409HV", "LM3409HV")</f>
        <v>LM3409HV</v>
      </c>
      <c r="B3690" s="5" t="s">
        <v>33206</v>
      </c>
      <c r="C3690" s="6" t="str">
        <f>HYPERLINK("https://www.ti.com/lit/gpn/LM3409HV", "PDF")</f>
        <v>PDF</v>
      </c>
      <c r="D3690" s="5" t="s">
        <v>33207</v>
      </c>
      <c r="E3690" s="5" t="s">
        <v>33208</v>
      </c>
      <c r="F3690" s="5" t="s">
        <v>33209</v>
      </c>
      <c r="G3690" s="5" t="s">
        <v>33210</v>
      </c>
      <c r="H3690" s="1" t="s">
        <v>33211</v>
      </c>
      <c r="I3690" s="5" t="s">
        <v>33212</v>
      </c>
      <c r="J3690" s="7">
        <v>10</v>
      </c>
      <c r="K3690" s="7">
        <v>14.7</v>
      </c>
      <c r="L3690" s="5" t="s">
        <v>33213</v>
      </c>
      <c r="M3690" s="7">
        <v>1.1000000000000001</v>
      </c>
      <c r="N3690" s="7">
        <v>0.5</v>
      </c>
      <c r="O3690" s="7">
        <v>0.93899999999999995</v>
      </c>
      <c r="P3690" s="1" t="s">
        <v>33214</v>
      </c>
    </row>
    <row r="3691" spans="1:16" ht="33.4" x14ac:dyDescent="0.3">
      <c r="A3691" s="6" t="str">
        <f>HYPERLINK("https://www.ti.com/product/LM3554", "LM3554")</f>
        <v>LM3554</v>
      </c>
      <c r="B3691" s="5" t="s">
        <v>33215</v>
      </c>
      <c r="C3691" s="6" t="str">
        <f>HYPERLINK("https://www.ti.com/lit/gpn/LM3554", "PDF")</f>
        <v>PDF</v>
      </c>
      <c r="D3691" s="5" t="s">
        <v>33216</v>
      </c>
      <c r="E3691" s="5" t="s">
        <v>33217</v>
      </c>
      <c r="F3691" s="5" t="s">
        <v>33218</v>
      </c>
      <c r="G3691" s="5" t="s">
        <v>33219</v>
      </c>
      <c r="H3691" s="1" t="s">
        <v>33220</v>
      </c>
      <c r="I3691" s="5" t="s">
        <v>33221</v>
      </c>
      <c r="J3691" s="7">
        <v>16</v>
      </c>
      <c r="K3691" s="7">
        <v>3.24</v>
      </c>
      <c r="L3691" s="5" t="s">
        <v>33222</v>
      </c>
      <c r="M3691" s="7">
        <v>0.67500000000000004</v>
      </c>
      <c r="N3691" s="7">
        <v>0.4</v>
      </c>
      <c r="O3691" s="7">
        <v>0.44900000000000001</v>
      </c>
      <c r="P3691" s="1" t="s">
        <v>33223</v>
      </c>
    </row>
    <row r="3692" spans="1:16" ht="33.4" x14ac:dyDescent="0.3">
      <c r="A3692" s="6" t="str">
        <f>HYPERLINK("https://www.ti.com/product/TPS23756", "TPS23756")</f>
        <v>TPS23756</v>
      </c>
      <c r="B3692" s="5" t="s">
        <v>33224</v>
      </c>
      <c r="C3692" s="6" t="str">
        <f>HYPERLINK("https://www.ti.com/lit/gpn/TPS23756", "PDF")</f>
        <v>PDF</v>
      </c>
      <c r="D3692" s="5" t="s">
        <v>33225</v>
      </c>
      <c r="E3692" s="5" t="s">
        <v>33226</v>
      </c>
      <c r="F3692" s="5"/>
      <c r="G3692" s="5" t="s">
        <v>33227</v>
      </c>
      <c r="H3692" s="1" t="s">
        <v>33228</v>
      </c>
      <c r="I3692" s="5" t="s">
        <v>33229</v>
      </c>
      <c r="J3692" s="7">
        <v>20</v>
      </c>
      <c r="K3692" s="7">
        <v>41.6</v>
      </c>
      <c r="L3692" s="5" t="s">
        <v>33230</v>
      </c>
      <c r="M3692" s="7">
        <v>1.2</v>
      </c>
      <c r="N3692" s="7">
        <v>0.65</v>
      </c>
      <c r="O3692" s="7">
        <v>1.329</v>
      </c>
      <c r="P3692" s="1" t="s">
        <v>33231</v>
      </c>
    </row>
    <row r="3693" spans="1:16" ht="33.4" x14ac:dyDescent="0.3">
      <c r="A3693" s="6" t="str">
        <f>HYPERLINK("https://www.ti.com/product/TPS53126", "TPS53126")</f>
        <v>TPS53126</v>
      </c>
      <c r="B3693" s="5" t="s">
        <v>33232</v>
      </c>
      <c r="C3693" s="6" t="str">
        <f>HYPERLINK("https://www.ti.com/lit/gpn/TPS53126", "PDF")</f>
        <v>PDF</v>
      </c>
      <c r="D3693" s="5" t="s">
        <v>33233</v>
      </c>
      <c r="E3693" s="5" t="s">
        <v>33234</v>
      </c>
      <c r="F3693" s="5" t="s">
        <v>33235</v>
      </c>
      <c r="G3693" s="5" t="s">
        <v>33236</v>
      </c>
      <c r="H3693" s="1" t="s">
        <v>33237</v>
      </c>
      <c r="I3693" s="5" t="s">
        <v>33238</v>
      </c>
      <c r="J3693" s="7">
        <v>24</v>
      </c>
      <c r="K3693" s="7" t="s">
        <v>33239</v>
      </c>
      <c r="L3693" s="5" t="s">
        <v>33240</v>
      </c>
      <c r="M3693" s="7" t="s">
        <v>33241</v>
      </c>
      <c r="N3693" s="7" t="s">
        <v>33242</v>
      </c>
      <c r="O3693" s="7">
        <v>2.1560000000000001</v>
      </c>
      <c r="P3693" s="1" t="s">
        <v>33243</v>
      </c>
    </row>
    <row r="3694" spans="1:16" ht="33.4" x14ac:dyDescent="0.3">
      <c r="A3694" s="6" t="str">
        <f>HYPERLINK("https://www.ti.com/product/TPS54325", "TPS54325")</f>
        <v>TPS54325</v>
      </c>
      <c r="B3694" s="5" t="s">
        <v>33244</v>
      </c>
      <c r="C3694" s="6" t="str">
        <f>HYPERLINK("https://www.ti.com/lit/gpn/TPS54325", "PDF")</f>
        <v>PDF</v>
      </c>
      <c r="D3694" s="5" t="s">
        <v>33245</v>
      </c>
      <c r="E3694" s="5" t="s">
        <v>33246</v>
      </c>
      <c r="F3694" s="5" t="s">
        <v>33247</v>
      </c>
      <c r="G3694" s="5" t="s">
        <v>33248</v>
      </c>
      <c r="H3694" s="1" t="s">
        <v>33249</v>
      </c>
      <c r="I3694" s="5" t="s">
        <v>33250</v>
      </c>
      <c r="J3694" s="7">
        <v>14</v>
      </c>
      <c r="K3694" s="7">
        <v>32</v>
      </c>
      <c r="L3694" s="5" t="s">
        <v>33251</v>
      </c>
      <c r="M3694" s="7">
        <v>1.2</v>
      </c>
      <c r="N3694" s="7">
        <v>0.65</v>
      </c>
      <c r="O3694" s="7">
        <v>0.69</v>
      </c>
      <c r="P3694" s="1" t="s">
        <v>33252</v>
      </c>
    </row>
    <row r="3695" spans="1:16" ht="33.4" x14ac:dyDescent="0.3">
      <c r="A3695" s="6" t="str">
        <f>HYPERLINK("https://www.ti.com/product/TPS51315", "TPS51315")</f>
        <v>TPS51315</v>
      </c>
      <c r="B3695" s="5" t="s">
        <v>33253</v>
      </c>
      <c r="C3695" s="6" t="str">
        <f>HYPERLINK("https://www.ti.com/lit/gpn/TPS51315", "PDF")</f>
        <v>PDF</v>
      </c>
      <c r="D3695" s="5" t="s">
        <v>33254</v>
      </c>
      <c r="E3695" s="5" t="s">
        <v>33255</v>
      </c>
      <c r="F3695" s="5" t="s">
        <v>33256</v>
      </c>
      <c r="G3695" s="5" t="s">
        <v>33257</v>
      </c>
      <c r="H3695" s="1" t="s">
        <v>33258</v>
      </c>
      <c r="I3695" s="5" t="s">
        <v>33259</v>
      </c>
      <c r="J3695" s="7">
        <v>40</v>
      </c>
      <c r="K3695" s="7">
        <v>35</v>
      </c>
      <c r="L3695" s="5" t="s">
        <v>33260</v>
      </c>
      <c r="M3695" s="7">
        <v>1</v>
      </c>
      <c r="N3695" s="7">
        <v>0.5</v>
      </c>
      <c r="O3695" s="7">
        <v>3.73</v>
      </c>
      <c r="P3695" s="1" t="s">
        <v>33261</v>
      </c>
    </row>
    <row r="3696" spans="1:16" ht="33.4" x14ac:dyDescent="0.3">
      <c r="A3696" s="6" t="str">
        <f>HYPERLINK("https://www.ti.com/product/TPS54620", "TPS54620")</f>
        <v>TPS54620</v>
      </c>
      <c r="B3696" s="5" t="s">
        <v>33262</v>
      </c>
      <c r="C3696" s="6" t="str">
        <f>HYPERLINK("https://www.ti.com/lit/gpn/TPS54620", "PDF")</f>
        <v>PDF</v>
      </c>
      <c r="D3696" s="5" t="s">
        <v>33263</v>
      </c>
      <c r="E3696" s="5" t="s">
        <v>33264</v>
      </c>
      <c r="F3696" s="5" t="s">
        <v>33265</v>
      </c>
      <c r="G3696" s="5" t="s">
        <v>33266</v>
      </c>
      <c r="H3696" s="1" t="s">
        <v>33267</v>
      </c>
      <c r="I3696" s="5" t="s">
        <v>33268</v>
      </c>
      <c r="J3696" s="7">
        <v>14</v>
      </c>
      <c r="K3696" s="7">
        <v>12.25</v>
      </c>
      <c r="L3696" s="5" t="s">
        <v>33269</v>
      </c>
      <c r="M3696" s="7">
        <v>1</v>
      </c>
      <c r="N3696" s="7">
        <v>0.5</v>
      </c>
      <c r="O3696" s="7">
        <v>2.3740000000000001</v>
      </c>
      <c r="P3696" s="1" t="s">
        <v>33270</v>
      </c>
    </row>
    <row r="3697" spans="1:16" ht="33.4" x14ac:dyDescent="0.3">
      <c r="A3697" s="6" t="str">
        <f>HYPERLINK("https://www.ti.com/product/TPS65148", "TPS65148")</f>
        <v>TPS65148</v>
      </c>
      <c r="B3697" s="5" t="s">
        <v>33271</v>
      </c>
      <c r="C3697" s="6" t="str">
        <f>HYPERLINK("https://www.ti.com/lit/gpn/TPS65148", "PDF")</f>
        <v>PDF</v>
      </c>
      <c r="D3697" s="5" t="s">
        <v>33272</v>
      </c>
      <c r="E3697" s="5" t="s">
        <v>33273</v>
      </c>
      <c r="F3697" s="5" t="s">
        <v>33274</v>
      </c>
      <c r="G3697" s="5" t="s">
        <v>33275</v>
      </c>
      <c r="H3697" s="1" t="s">
        <v>33276</v>
      </c>
      <c r="I3697" s="5" t="s">
        <v>33277</v>
      </c>
      <c r="J3697" s="7">
        <v>32</v>
      </c>
      <c r="K3697" s="7">
        <v>25</v>
      </c>
      <c r="L3697" s="5" t="s">
        <v>33278</v>
      </c>
      <c r="M3697" s="7">
        <v>1</v>
      </c>
      <c r="N3697" s="7">
        <v>0.5</v>
      </c>
      <c r="O3697" s="7">
        <v>1.1970000000000001</v>
      </c>
      <c r="P3697" s="1" t="s">
        <v>33279</v>
      </c>
    </row>
    <row r="3698" spans="1:16" ht="33.4" x14ac:dyDescent="0.3">
      <c r="A3698" s="6" t="str">
        <f>HYPERLINK("https://www.ti.com/product/LM26420", "LM26420")</f>
        <v>LM26420</v>
      </c>
      <c r="B3698" s="5" t="s">
        <v>33280</v>
      </c>
      <c r="C3698" s="6" t="str">
        <f>HYPERLINK("https://www.ti.com/lit/gpn/LM26420", "PDF")</f>
        <v>PDF</v>
      </c>
      <c r="D3698" s="5" t="s">
        <v>33281</v>
      </c>
      <c r="E3698" s="5" t="s">
        <v>33282</v>
      </c>
      <c r="F3698" s="5" t="s">
        <v>33283</v>
      </c>
      <c r="G3698" s="5" t="s">
        <v>33284</v>
      </c>
      <c r="H3698" s="1" t="s">
        <v>33285</v>
      </c>
      <c r="I3698" s="5" t="s">
        <v>33286</v>
      </c>
      <c r="J3698" s="7" t="s">
        <v>33287</v>
      </c>
      <c r="K3698" s="7" t="s">
        <v>33288</v>
      </c>
      <c r="L3698" s="5" t="s">
        <v>33289</v>
      </c>
      <c r="M3698" s="7" t="s">
        <v>33290</v>
      </c>
      <c r="N3698" s="7">
        <v>0.65</v>
      </c>
      <c r="O3698" s="7">
        <v>1.6839999999999999</v>
      </c>
      <c r="P3698" s="1" t="s">
        <v>33291</v>
      </c>
    </row>
    <row r="3699" spans="1:16" ht="33.4" x14ac:dyDescent="0.3">
      <c r="A3699" s="6" t="str">
        <f>HYPERLINK("https://www.ti.com/product/TPS54418", "TPS54418")</f>
        <v>TPS54418</v>
      </c>
      <c r="B3699" s="5" t="s">
        <v>33292</v>
      </c>
      <c r="C3699" s="6" t="str">
        <f>HYPERLINK("https://www.ti.com/lit/gpn/TPS54418", "PDF")</f>
        <v>PDF</v>
      </c>
      <c r="D3699" s="5" t="s">
        <v>33293</v>
      </c>
      <c r="E3699" s="5" t="s">
        <v>33294</v>
      </c>
      <c r="F3699" s="5" t="s">
        <v>33295</v>
      </c>
      <c r="G3699" s="5" t="s">
        <v>33296</v>
      </c>
      <c r="H3699" s="1" t="s">
        <v>33297</v>
      </c>
      <c r="I3699" s="5" t="s">
        <v>33298</v>
      </c>
      <c r="J3699" s="7">
        <v>16</v>
      </c>
      <c r="K3699" s="7">
        <v>9</v>
      </c>
      <c r="L3699" s="5" t="s">
        <v>33299</v>
      </c>
      <c r="M3699" s="7">
        <v>0.8</v>
      </c>
      <c r="N3699" s="7">
        <v>0.5</v>
      </c>
      <c r="O3699" s="7">
        <v>1.0580000000000001</v>
      </c>
      <c r="P3699" s="1" t="s">
        <v>33300</v>
      </c>
    </row>
    <row r="3700" spans="1:16" ht="17.05" x14ac:dyDescent="0.3">
      <c r="A3700" s="6" t="str">
        <f>HYPERLINK("https://www.ti.com/product/TLV431A-Q1", "TLV431A-Q1")</f>
        <v>TLV431A-Q1</v>
      </c>
      <c r="B3700" s="5" t="s">
        <v>33301</v>
      </c>
      <c r="C3700" s="6" t="str">
        <f>HYPERLINK("https://www.ti.com/lit/gpn/TLV431A-Q1", "PDF")</f>
        <v>PDF</v>
      </c>
      <c r="D3700" s="5" t="s">
        <v>33302</v>
      </c>
      <c r="E3700" s="5" t="s">
        <v>33303</v>
      </c>
      <c r="F3700" s="5"/>
      <c r="G3700" s="5" t="s">
        <v>33304</v>
      </c>
      <c r="H3700" s="1" t="s">
        <v>33305</v>
      </c>
      <c r="I3700" s="5" t="s">
        <v>33306</v>
      </c>
      <c r="J3700" s="7">
        <v>5</v>
      </c>
      <c r="K3700" s="7">
        <v>8.1199999999999992</v>
      </c>
      <c r="L3700" s="5" t="s">
        <v>33307</v>
      </c>
      <c r="M3700" s="7">
        <v>1.45</v>
      </c>
      <c r="N3700" s="7">
        <v>0.95</v>
      </c>
      <c r="O3700" s="7">
        <v>0.23899999999999999</v>
      </c>
      <c r="P3700" s="1" t="s">
        <v>33308</v>
      </c>
    </row>
    <row r="3701" spans="1:16" ht="33.4" x14ac:dyDescent="0.3">
      <c r="A3701" s="6" t="str">
        <f>HYPERLINK("https://www.ti.com/product/LM5008A", "LM5008A")</f>
        <v>LM5008A</v>
      </c>
      <c r="B3701" s="5" t="s">
        <v>33309</v>
      </c>
      <c r="C3701" s="6" t="str">
        <f>HYPERLINK("https://www.ti.com/lit/gpn/LM5008A", "PDF")</f>
        <v>PDF</v>
      </c>
      <c r="D3701" s="5" t="s">
        <v>33310</v>
      </c>
      <c r="E3701" s="5" t="s">
        <v>33311</v>
      </c>
      <c r="F3701" s="5" t="s">
        <v>33312</v>
      </c>
      <c r="G3701" s="5" t="s">
        <v>33313</v>
      </c>
      <c r="H3701" s="1" t="s">
        <v>33314</v>
      </c>
      <c r="I3701" s="5" t="s">
        <v>33315</v>
      </c>
      <c r="J3701" s="7">
        <v>8</v>
      </c>
      <c r="K3701" s="7" t="s">
        <v>33316</v>
      </c>
      <c r="L3701" s="5" t="s">
        <v>33317</v>
      </c>
      <c r="M3701" s="7" t="s">
        <v>33318</v>
      </c>
      <c r="N3701" s="7" t="s">
        <v>33319</v>
      </c>
      <c r="O3701" s="7">
        <v>1.3360000000000001</v>
      </c>
      <c r="P3701" s="1" t="s">
        <v>33320</v>
      </c>
    </row>
    <row r="3702" spans="1:16" ht="33.4" x14ac:dyDescent="0.3">
      <c r="A3702" s="6" t="str">
        <f>HYPERLINK("https://www.ti.com/product/LM5009A", "LM5009A")</f>
        <v>LM5009A</v>
      </c>
      <c r="B3702" s="5" t="s">
        <v>33321</v>
      </c>
      <c r="C3702" s="6" t="str">
        <f>HYPERLINK("https://www.ti.com/lit/gpn/LM5009A", "PDF")</f>
        <v>PDF</v>
      </c>
      <c r="D3702" s="5" t="s">
        <v>33322</v>
      </c>
      <c r="E3702" s="5" t="s">
        <v>33323</v>
      </c>
      <c r="F3702" s="5" t="s">
        <v>33324</v>
      </c>
      <c r="G3702" s="5" t="s">
        <v>33325</v>
      </c>
      <c r="H3702" s="1" t="s">
        <v>33326</v>
      </c>
      <c r="I3702" s="5" t="s">
        <v>33327</v>
      </c>
      <c r="J3702" s="7">
        <v>8</v>
      </c>
      <c r="K3702" s="7" t="s">
        <v>33328</v>
      </c>
      <c r="L3702" s="5" t="s">
        <v>33329</v>
      </c>
      <c r="M3702" s="7" t="s">
        <v>33330</v>
      </c>
      <c r="N3702" s="7" t="s">
        <v>33331</v>
      </c>
      <c r="O3702" s="7">
        <v>1.2250000000000001</v>
      </c>
      <c r="P3702" s="1" t="s">
        <v>33332</v>
      </c>
    </row>
    <row r="3703" spans="1:16" ht="33.4" x14ac:dyDescent="0.3">
      <c r="A3703" s="6" t="str">
        <f>HYPERLINK("https://www.ti.com/product/CSD16323Q3", "CSD16323Q3")</f>
        <v>CSD16323Q3</v>
      </c>
      <c r="B3703" s="5" t="s">
        <v>33333</v>
      </c>
      <c r="C3703" s="6" t="str">
        <f>HYPERLINK("https://www.ti.com/lit/gpn/CSD16323Q3", "PDF")</f>
        <v>PDF</v>
      </c>
      <c r="D3703" s="5" t="s">
        <v>33334</v>
      </c>
      <c r="E3703" s="5" t="s">
        <v>33335</v>
      </c>
      <c r="F3703" s="5"/>
      <c r="G3703" s="5" t="s">
        <v>33336</v>
      </c>
      <c r="H3703" s="1" t="s">
        <v>33337</v>
      </c>
      <c r="I3703" s="5" t="s">
        <v>33338</v>
      </c>
      <c r="J3703" s="7">
        <v>8</v>
      </c>
      <c r="K3703" s="7">
        <v>10.89</v>
      </c>
      <c r="L3703" s="5" t="s">
        <v>33339</v>
      </c>
      <c r="M3703" s="7">
        <v>1.1000000000000001</v>
      </c>
      <c r="N3703" s="7">
        <v>0.65</v>
      </c>
      <c r="O3703" s="7">
        <v>0.33700000000000002</v>
      </c>
      <c r="P3703" s="1" t="s">
        <v>33340</v>
      </c>
    </row>
    <row r="3704" spans="1:16" ht="33.4" x14ac:dyDescent="0.3">
      <c r="A3704" s="6" t="str">
        <f>HYPERLINK("https://www.ti.com/product/TPS51218", "TPS51218")</f>
        <v>TPS51218</v>
      </c>
      <c r="B3704" s="5" t="s">
        <v>33341</v>
      </c>
      <c r="C3704" s="6" t="str">
        <f>HYPERLINK("https://www.ti.com/lit/gpn/TPS51218", "PDF")</f>
        <v>PDF</v>
      </c>
      <c r="D3704" s="5" t="s">
        <v>33342</v>
      </c>
      <c r="E3704" s="5" t="s">
        <v>33343</v>
      </c>
      <c r="F3704" s="5" t="s">
        <v>33344</v>
      </c>
      <c r="G3704" s="5" t="s">
        <v>33345</v>
      </c>
      <c r="H3704" s="1" t="s">
        <v>33346</v>
      </c>
      <c r="I3704" s="5" t="s">
        <v>33347</v>
      </c>
      <c r="J3704" s="7">
        <v>10</v>
      </c>
      <c r="K3704" s="7">
        <v>9</v>
      </c>
      <c r="L3704" s="5" t="s">
        <v>33348</v>
      </c>
      <c r="M3704" s="7">
        <v>0.8</v>
      </c>
      <c r="N3704" s="7">
        <v>0.5</v>
      </c>
      <c r="O3704" s="7">
        <v>0.92</v>
      </c>
      <c r="P3704" s="1" t="s">
        <v>33349</v>
      </c>
    </row>
    <row r="3705" spans="1:16" ht="49.75" x14ac:dyDescent="0.3">
      <c r="A3705" s="6" t="str">
        <f>HYPERLINK("https://www.ti.com/product/TPS22960", "TPS22960")</f>
        <v>TPS22960</v>
      </c>
      <c r="B3705" s="5" t="s">
        <v>33350</v>
      </c>
      <c r="C3705" s="6" t="str">
        <f>HYPERLINK("https://www.ti.com/lit/gpn/TPS22960", "PDF")</f>
        <v>PDF</v>
      </c>
      <c r="D3705" s="5" t="s">
        <v>33351</v>
      </c>
      <c r="E3705" s="5" t="s">
        <v>33352</v>
      </c>
      <c r="F3705" s="5"/>
      <c r="G3705" s="5" t="s">
        <v>33353</v>
      </c>
      <c r="H3705" s="1" t="s">
        <v>33354</v>
      </c>
      <c r="I3705" s="5" t="s">
        <v>33355</v>
      </c>
      <c r="J3705" s="7">
        <v>8</v>
      </c>
      <c r="K3705" s="7" t="s">
        <v>33356</v>
      </c>
      <c r="L3705" s="5" t="s">
        <v>33357</v>
      </c>
      <c r="M3705" s="7" t="s">
        <v>33358</v>
      </c>
      <c r="N3705" s="7" t="s">
        <v>33359</v>
      </c>
      <c r="O3705" s="7">
        <v>0.29399999999999998</v>
      </c>
      <c r="P3705" s="1" t="s">
        <v>33360</v>
      </c>
    </row>
    <row r="3706" spans="1:16" ht="17.05" x14ac:dyDescent="0.3">
      <c r="A3706" s="6" t="str">
        <f>HYPERLINK("https://www.ti.com/product/LP8543", "LP8543")</f>
        <v>LP8543</v>
      </c>
      <c r="B3706" s="5" t="s">
        <v>33361</v>
      </c>
      <c r="C3706" s="6" t="str">
        <f>HYPERLINK("https://www.ti.com/lit/gpn/LP8543", "PDF")</f>
        <v>PDF</v>
      </c>
      <c r="D3706" s="5" t="s">
        <v>33362</v>
      </c>
      <c r="E3706" s="5" t="s">
        <v>33363</v>
      </c>
      <c r="F3706" s="5" t="s">
        <v>33364</v>
      </c>
      <c r="G3706" s="5" t="s">
        <v>33365</v>
      </c>
      <c r="H3706" s="1" t="s">
        <v>33366</v>
      </c>
      <c r="I3706" s="5" t="s">
        <v>33367</v>
      </c>
      <c r="J3706" s="7">
        <v>24</v>
      </c>
      <c r="K3706" s="7">
        <v>16</v>
      </c>
      <c r="L3706" s="5" t="s">
        <v>33368</v>
      </c>
      <c r="M3706" s="7">
        <v>0.8</v>
      </c>
      <c r="N3706" s="7">
        <v>0.5</v>
      </c>
      <c r="O3706" s="7">
        <v>1.052</v>
      </c>
      <c r="P3706" s="1" t="s">
        <v>33369</v>
      </c>
    </row>
    <row r="3707" spans="1:16" ht="49.75" x14ac:dyDescent="0.3">
      <c r="A3707" s="6" t="str">
        <f>HYPERLINK("https://www.ti.com/product/TPS61241", "TPS61241")</f>
        <v>TPS61241</v>
      </c>
      <c r="B3707" s="5" t="s">
        <v>33370</v>
      </c>
      <c r="C3707" s="6" t="str">
        <f>HYPERLINK("https://www.ti.com/lit/gpn/TPS61241", "PDF")</f>
        <v>PDF</v>
      </c>
      <c r="D3707" s="5" t="s">
        <v>33371</v>
      </c>
      <c r="E3707" s="5" t="s">
        <v>33372</v>
      </c>
      <c r="F3707" s="5" t="s">
        <v>33373</v>
      </c>
      <c r="G3707" s="5" t="s">
        <v>33374</v>
      </c>
      <c r="H3707" s="1" t="s">
        <v>33375</v>
      </c>
      <c r="I3707" s="5" t="s">
        <v>33376</v>
      </c>
      <c r="J3707" s="7">
        <v>6</v>
      </c>
      <c r="K3707" s="7">
        <v>1.4000000000000001</v>
      </c>
      <c r="L3707" s="5" t="s">
        <v>33377</v>
      </c>
      <c r="M3707" s="7">
        <v>0.625</v>
      </c>
      <c r="N3707" s="7">
        <v>0.4</v>
      </c>
      <c r="O3707" s="7">
        <v>0.41399999999999998</v>
      </c>
      <c r="P3707" s="1" t="s">
        <v>33378</v>
      </c>
    </row>
    <row r="3708" spans="1:16" ht="17.05" x14ac:dyDescent="0.3">
      <c r="A3708" s="6" t="str">
        <f>HYPERLINK("https://www.ti.com/product/TLVH431A-Q1", "TLVH431A-Q1")</f>
        <v>TLVH431A-Q1</v>
      </c>
      <c r="B3708" s="5" t="s">
        <v>33379</v>
      </c>
      <c r="C3708" s="6" t="str">
        <f>HYPERLINK("https://www.ti.com/lit/gpn/TLVH431A-Q1", "PDF")</f>
        <v>PDF</v>
      </c>
      <c r="D3708" s="5" t="s">
        <v>33380</v>
      </c>
      <c r="E3708" s="5" t="s">
        <v>33381</v>
      </c>
      <c r="F3708" s="5"/>
      <c r="G3708" s="5" t="s">
        <v>33382</v>
      </c>
      <c r="H3708" s="1" t="s">
        <v>33383</v>
      </c>
      <c r="I3708" s="5" t="s">
        <v>33384</v>
      </c>
      <c r="J3708" s="7">
        <v>5</v>
      </c>
      <c r="K3708" s="7">
        <v>8.1199999999999992</v>
      </c>
      <c r="L3708" s="5" t="s">
        <v>33385</v>
      </c>
      <c r="M3708" s="7">
        <v>1.45</v>
      </c>
      <c r="N3708" s="7">
        <v>0.95</v>
      </c>
      <c r="O3708" s="7">
        <v>0.246</v>
      </c>
      <c r="P3708" s="1" t="s">
        <v>33386</v>
      </c>
    </row>
    <row r="3709" spans="1:16" ht="33.4" x14ac:dyDescent="0.3">
      <c r="A3709" s="6" t="str">
        <f>HYPERLINK("https://www.ti.com/product/TPS61161A", "TPS61161A")</f>
        <v>TPS61161A</v>
      </c>
      <c r="B3709" s="5" t="s">
        <v>33387</v>
      </c>
      <c r="C3709" s="6" t="str">
        <f>HYPERLINK("https://www.ti.com/lit/gpn/TPS61161A", "PDF")</f>
        <v>PDF</v>
      </c>
      <c r="D3709" s="5" t="s">
        <v>33388</v>
      </c>
      <c r="E3709" s="5" t="s">
        <v>33389</v>
      </c>
      <c r="F3709" s="5" t="s">
        <v>33390</v>
      </c>
      <c r="G3709" s="5" t="s">
        <v>33391</v>
      </c>
      <c r="H3709" s="1" t="s">
        <v>33392</v>
      </c>
      <c r="I3709" s="5" t="s">
        <v>33393</v>
      </c>
      <c r="J3709" s="7">
        <v>6</v>
      </c>
      <c r="K3709" s="7">
        <v>4</v>
      </c>
      <c r="L3709" s="5" t="s">
        <v>33394</v>
      </c>
      <c r="M3709" s="7">
        <v>0.8</v>
      </c>
      <c r="N3709" s="7">
        <v>0.65</v>
      </c>
      <c r="O3709" s="7">
        <v>0.45800000000000002</v>
      </c>
      <c r="P3709" s="1" t="s">
        <v>33395</v>
      </c>
    </row>
    <row r="3710" spans="1:16" ht="33.4" x14ac:dyDescent="0.3">
      <c r="A3710" s="6" t="str">
        <f>HYPERLINK("https://www.ti.com/product/CSD16321Q5", "CSD16321Q5")</f>
        <v>CSD16321Q5</v>
      </c>
      <c r="B3710" s="5" t="s">
        <v>33396</v>
      </c>
      <c r="C3710" s="6" t="str">
        <f>HYPERLINK("https://www.ti.com/lit/gpn/CSD16321Q5", "PDF")</f>
        <v>PDF</v>
      </c>
      <c r="D3710" s="5" t="s">
        <v>33397</v>
      </c>
      <c r="E3710" s="5" t="s">
        <v>33398</v>
      </c>
      <c r="F3710" s="5"/>
      <c r="G3710" s="5" t="s">
        <v>33399</v>
      </c>
      <c r="H3710" s="1" t="s">
        <v>33400</v>
      </c>
      <c r="I3710" s="5" t="s">
        <v>33401</v>
      </c>
      <c r="J3710" s="7">
        <v>8</v>
      </c>
      <c r="K3710" s="7">
        <v>30</v>
      </c>
      <c r="L3710" s="5" t="s">
        <v>33402</v>
      </c>
      <c r="M3710" s="7">
        <v>1.05</v>
      </c>
      <c r="N3710" s="7">
        <v>1.27</v>
      </c>
      <c r="O3710" s="7">
        <v>0.53600000000000003</v>
      </c>
      <c r="P3710" s="1" t="s">
        <v>33403</v>
      </c>
    </row>
    <row r="3711" spans="1:16" ht="49.75" x14ac:dyDescent="0.3">
      <c r="A3711" s="6" t="str">
        <f>HYPERLINK("https://www.ti.com/product/TLVH431B-Q1", "TLVH431B-Q1")</f>
        <v>TLVH431B-Q1</v>
      </c>
      <c r="B3711" s="5" t="s">
        <v>33404</v>
      </c>
      <c r="C3711" s="6" t="str">
        <f>HYPERLINK("https://www.ti.com/lit/gpn/TLVH431B-Q1", "PDF")</f>
        <v>PDF</v>
      </c>
      <c r="D3711" s="5" t="s">
        <v>33405</v>
      </c>
      <c r="E3711" s="5" t="s">
        <v>33406</v>
      </c>
      <c r="F3711" s="5"/>
      <c r="G3711" s="5" t="s">
        <v>33407</v>
      </c>
      <c r="H3711" s="1" t="s">
        <v>33408</v>
      </c>
      <c r="I3711" s="5" t="s">
        <v>33409</v>
      </c>
      <c r="J3711" s="7" t="s">
        <v>33410</v>
      </c>
      <c r="K3711" s="7" t="s">
        <v>33411</v>
      </c>
      <c r="L3711" s="5" t="s">
        <v>33412</v>
      </c>
      <c r="M3711" s="7" t="s">
        <v>33413</v>
      </c>
      <c r="N3711" s="7" t="s">
        <v>33414</v>
      </c>
      <c r="O3711" s="7">
        <v>0.5</v>
      </c>
      <c r="P3711" s="1" t="s">
        <v>33415</v>
      </c>
    </row>
    <row r="3712" spans="1:16" ht="33.4" x14ac:dyDescent="0.3">
      <c r="A3712" s="6" t="str">
        <f>HYPERLINK("https://www.ti.com/product/LM3550", "LM3550")</f>
        <v>LM3550</v>
      </c>
      <c r="B3712" s="5" t="s">
        <v>33416</v>
      </c>
      <c r="C3712" s="6" t="str">
        <f>HYPERLINK("https://www.ti.com/lit/gpn/LM3550", "PDF")</f>
        <v>PDF</v>
      </c>
      <c r="D3712" s="5" t="s">
        <v>33417</v>
      </c>
      <c r="E3712" s="5" t="s">
        <v>33418</v>
      </c>
      <c r="F3712" s="5" t="s">
        <v>33419</v>
      </c>
      <c r="G3712" s="5" t="s">
        <v>33420</v>
      </c>
      <c r="H3712" s="1" t="s">
        <v>33421</v>
      </c>
      <c r="I3712" s="5" t="s">
        <v>33422</v>
      </c>
      <c r="J3712" s="7">
        <v>20</v>
      </c>
      <c r="K3712" s="7">
        <v>7.5</v>
      </c>
      <c r="L3712" s="5" t="s">
        <v>33423</v>
      </c>
      <c r="M3712" s="7">
        <v>0.6</v>
      </c>
      <c r="N3712" s="7">
        <v>0.4</v>
      </c>
      <c r="O3712" s="7">
        <v>0.70799999999999996</v>
      </c>
      <c r="P3712" s="1" t="s">
        <v>33424</v>
      </c>
    </row>
    <row r="3713" spans="1:16" ht="66.150000000000006" x14ac:dyDescent="0.3">
      <c r="A3713" s="6" t="str">
        <f>HYPERLINK("https://www.ti.com/product/TPS61240", "TPS61240")</f>
        <v>TPS61240</v>
      </c>
      <c r="B3713" s="5" t="s">
        <v>33425</v>
      </c>
      <c r="C3713" s="6" t="str">
        <f>HYPERLINK("https://www.ti.com/lit/gpn/TPS61240", "PDF")</f>
        <v>PDF</v>
      </c>
      <c r="D3713" s="5" t="s">
        <v>33426</v>
      </c>
      <c r="E3713" s="5" t="s">
        <v>33427</v>
      </c>
      <c r="F3713" s="5" t="s">
        <v>33428</v>
      </c>
      <c r="G3713" s="5" t="s">
        <v>33429</v>
      </c>
      <c r="H3713" s="1" t="s">
        <v>33430</v>
      </c>
      <c r="I3713" s="5" t="s">
        <v>33431</v>
      </c>
      <c r="J3713" s="7">
        <v>6</v>
      </c>
      <c r="K3713" s="7" t="s">
        <v>33432</v>
      </c>
      <c r="L3713" s="5" t="s">
        <v>33433</v>
      </c>
      <c r="M3713" s="7" t="s">
        <v>33434</v>
      </c>
      <c r="N3713" s="7" t="s">
        <v>33435</v>
      </c>
      <c r="O3713" s="7">
        <v>0.42599999999999999</v>
      </c>
      <c r="P3713" s="1" t="s">
        <v>33436</v>
      </c>
    </row>
    <row r="3714" spans="1:16" ht="33.4" x14ac:dyDescent="0.3">
      <c r="A3714" s="6" t="str">
        <f>HYPERLINK("https://www.ti.com/product/TPS62230", "TPS62230")</f>
        <v>TPS62230</v>
      </c>
      <c r="B3714" s="5" t="s">
        <v>33437</v>
      </c>
      <c r="C3714" s="6" t="str">
        <f>HYPERLINK("https://www.ti.com/lit/gpn/TPS62230", "PDF")</f>
        <v>PDF</v>
      </c>
      <c r="D3714" s="5" t="s">
        <v>33438</v>
      </c>
      <c r="E3714" s="5" t="s">
        <v>33439</v>
      </c>
      <c r="F3714" s="5" t="s">
        <v>33440</v>
      </c>
      <c r="G3714" s="5" t="s">
        <v>33441</v>
      </c>
      <c r="H3714" s="1" t="s">
        <v>33442</v>
      </c>
      <c r="I3714" s="5" t="s">
        <v>33443</v>
      </c>
      <c r="J3714" s="7">
        <v>6</v>
      </c>
      <c r="K3714" s="7">
        <v>1.45</v>
      </c>
      <c r="L3714" s="5" t="s">
        <v>33444</v>
      </c>
      <c r="M3714" s="7">
        <v>0.6</v>
      </c>
      <c r="N3714" s="7">
        <v>0.5</v>
      </c>
      <c r="O3714" s="7">
        <v>0.38200000000000001</v>
      </c>
      <c r="P3714" s="1" t="s">
        <v>33445</v>
      </c>
    </row>
    <row r="3715" spans="1:16" ht="33.4" x14ac:dyDescent="0.3">
      <c r="A3715" s="6" t="str">
        <f>HYPERLINK("https://www.ti.com/product/TLC59461", "TLC59461")</f>
        <v>TLC59461</v>
      </c>
      <c r="B3715" s="5" t="s">
        <v>33446</v>
      </c>
      <c r="C3715" s="6" t="str">
        <f>HYPERLINK("https://www.ti.com/lit/gpn/TLC59461", "PDF")</f>
        <v>PDF</v>
      </c>
      <c r="D3715" s="5" t="s">
        <v>33447</v>
      </c>
      <c r="E3715" s="5" t="s">
        <v>33448</v>
      </c>
      <c r="F3715" s="5"/>
      <c r="G3715" s="5" t="s">
        <v>33449</v>
      </c>
      <c r="H3715" s="1" t="s">
        <v>33450</v>
      </c>
      <c r="I3715" s="5" t="s">
        <v>33451</v>
      </c>
      <c r="J3715" s="7">
        <v>28</v>
      </c>
      <c r="K3715" s="7">
        <v>62.08</v>
      </c>
      <c r="L3715" s="5" t="s">
        <v>33452</v>
      </c>
      <c r="M3715" s="7">
        <v>1.2</v>
      </c>
      <c r="N3715" s="7">
        <v>0.65</v>
      </c>
      <c r="O3715" s="7">
        <v>0.91100000000000003</v>
      </c>
      <c r="P3715" s="1" t="s">
        <v>33453</v>
      </c>
    </row>
    <row r="3716" spans="1:16" ht="17.05" x14ac:dyDescent="0.3">
      <c r="A3716" s="6" t="str">
        <f>HYPERLINK("https://www.ti.com/product/TPS23754", "TPS23754")</f>
        <v>TPS23754</v>
      </c>
      <c r="B3716" s="5" t="s">
        <v>33454</v>
      </c>
      <c r="C3716" s="6" t="str">
        <f>HYPERLINK("https://www.ti.com/lit/gpn/TPS23754", "PDF")</f>
        <v>PDF</v>
      </c>
      <c r="D3716" s="5" t="s">
        <v>33455</v>
      </c>
      <c r="E3716" s="5" t="s">
        <v>33456</v>
      </c>
      <c r="F3716" s="5"/>
      <c r="G3716" s="5" t="s">
        <v>33457</v>
      </c>
      <c r="H3716" s="1" t="s">
        <v>33458</v>
      </c>
      <c r="I3716" s="5" t="s">
        <v>33459</v>
      </c>
      <c r="J3716" s="7">
        <v>20</v>
      </c>
      <c r="K3716" s="7">
        <v>41.6</v>
      </c>
      <c r="L3716" s="5" t="s">
        <v>33460</v>
      </c>
      <c r="M3716" s="7">
        <v>1.2</v>
      </c>
      <c r="N3716" s="7">
        <v>0.65</v>
      </c>
      <c r="O3716" s="7">
        <v>1.0680000000000001</v>
      </c>
      <c r="P3716" s="1" t="s">
        <v>33461</v>
      </c>
    </row>
    <row r="3717" spans="1:16" ht="17.05" x14ac:dyDescent="0.3">
      <c r="A3717" s="6" t="str">
        <f>HYPERLINK("https://www.ti.com/product/TPS23754-1", "TPS23754-1")</f>
        <v>TPS23754-1</v>
      </c>
      <c r="B3717" s="5" t="s">
        <v>33462</v>
      </c>
      <c r="C3717" s="6" t="str">
        <f>HYPERLINK("https://www.ti.com/lit/gpn/TPS23754-1", "PDF")</f>
        <v>PDF</v>
      </c>
      <c r="D3717" s="5" t="s">
        <v>33463</v>
      </c>
      <c r="E3717" s="5" t="s">
        <v>33464</v>
      </c>
      <c r="F3717" s="5"/>
      <c r="G3717" s="5" t="s">
        <v>33465</v>
      </c>
      <c r="H3717" s="1" t="s">
        <v>33466</v>
      </c>
      <c r="I3717" s="5" t="s">
        <v>33467</v>
      </c>
      <c r="J3717" s="7">
        <v>20</v>
      </c>
      <c r="K3717" s="7">
        <v>41.6</v>
      </c>
      <c r="L3717" s="5" t="s">
        <v>33468</v>
      </c>
      <c r="M3717" s="7">
        <v>1.2</v>
      </c>
      <c r="N3717" s="7">
        <v>0.65</v>
      </c>
      <c r="O3717" s="7">
        <v>1.0680000000000001</v>
      </c>
      <c r="P3717" s="1" t="s">
        <v>33469</v>
      </c>
    </row>
    <row r="3718" spans="1:16" ht="33.4" x14ac:dyDescent="0.3">
      <c r="A3718" s="6" t="str">
        <f>HYPERLINK("https://www.ti.com/product/LM3478Q-Q1", "LM3478Q-Q1")</f>
        <v>LM3478Q-Q1</v>
      </c>
      <c r="B3718" s="5" t="s">
        <v>33470</v>
      </c>
      <c r="C3718" s="6" t="str">
        <f>HYPERLINK("https://www.ti.com/lit/gpn/LM3478Q-Q1", "PDF")</f>
        <v>PDF</v>
      </c>
      <c r="D3718" s="5" t="s">
        <v>33471</v>
      </c>
      <c r="E3718" s="5" t="s">
        <v>33472</v>
      </c>
      <c r="F3718" s="5" t="s">
        <v>33473</v>
      </c>
      <c r="G3718" s="5" t="s">
        <v>33474</v>
      </c>
      <c r="H3718" s="1" t="s">
        <v>33475</v>
      </c>
      <c r="I3718" s="5" t="s">
        <v>33476</v>
      </c>
      <c r="J3718" s="7">
        <v>8</v>
      </c>
      <c r="K3718" s="7">
        <v>14.7</v>
      </c>
      <c r="L3718" s="5" t="s">
        <v>33477</v>
      </c>
      <c r="M3718" s="7">
        <v>1.1000000000000001</v>
      </c>
      <c r="N3718" s="7">
        <v>0.65</v>
      </c>
      <c r="O3718" s="7">
        <v>1.292</v>
      </c>
      <c r="P3718" s="1" t="s">
        <v>33478</v>
      </c>
    </row>
    <row r="3719" spans="1:16" ht="33.4" x14ac:dyDescent="0.3">
      <c r="A3719" s="6" t="str">
        <f>HYPERLINK("https://www.ti.com/product/LM3488Q-Q1", "LM3488Q-Q1")</f>
        <v>LM3488Q-Q1</v>
      </c>
      <c r="B3719" s="5" t="s">
        <v>33479</v>
      </c>
      <c r="C3719" s="6" t="str">
        <f>HYPERLINK("https://www.ti.com/lit/gpn/LM3488Q-Q1", "PDF")</f>
        <v>PDF</v>
      </c>
      <c r="D3719" s="5" t="s">
        <v>33480</v>
      </c>
      <c r="E3719" s="5" t="s">
        <v>33481</v>
      </c>
      <c r="F3719" s="5" t="s">
        <v>33482</v>
      </c>
      <c r="G3719" s="5" t="s">
        <v>33483</v>
      </c>
      <c r="H3719" s="1" t="s">
        <v>33484</v>
      </c>
      <c r="I3719" s="5" t="s">
        <v>33485</v>
      </c>
      <c r="J3719" s="7">
        <v>8</v>
      </c>
      <c r="K3719" s="7">
        <v>14.7</v>
      </c>
      <c r="L3719" s="5" t="s">
        <v>33486</v>
      </c>
      <c r="M3719" s="7">
        <v>1.1000000000000001</v>
      </c>
      <c r="N3719" s="7">
        <v>0.65</v>
      </c>
      <c r="O3719" s="7">
        <v>1.163</v>
      </c>
      <c r="P3719" s="1" t="s">
        <v>33487</v>
      </c>
    </row>
    <row r="3720" spans="1:16" ht="33.4" x14ac:dyDescent="0.3">
      <c r="A3720" s="6" t="str">
        <f>HYPERLINK("https://www.ti.com/product/LM26001-Q1", "LM26001-Q1")</f>
        <v>LM26001-Q1</v>
      </c>
      <c r="B3720" s="5" t="s">
        <v>33488</v>
      </c>
      <c r="C3720" s="6" t="str">
        <f>HYPERLINK("https://www.ti.com/lit/gpn/LM26001-Q1", "PDF")</f>
        <v>PDF</v>
      </c>
      <c r="D3720" s="5" t="s">
        <v>33489</v>
      </c>
      <c r="E3720" s="5" t="s">
        <v>33490</v>
      </c>
      <c r="F3720" s="5" t="s">
        <v>33491</v>
      </c>
      <c r="G3720" s="5" t="s">
        <v>33492</v>
      </c>
      <c r="H3720" s="1" t="s">
        <v>33493</v>
      </c>
      <c r="I3720" s="5" t="s">
        <v>33494</v>
      </c>
      <c r="J3720" s="7">
        <v>16</v>
      </c>
      <c r="K3720" s="7">
        <v>32</v>
      </c>
      <c r="L3720" s="5" t="s">
        <v>33495</v>
      </c>
      <c r="M3720" s="7">
        <v>1.2</v>
      </c>
      <c r="N3720" s="7">
        <v>0.65</v>
      </c>
      <c r="O3720" s="7">
        <v>1.768</v>
      </c>
      <c r="P3720" s="1" t="s">
        <v>33496</v>
      </c>
    </row>
    <row r="3721" spans="1:16" ht="33.4" x14ac:dyDescent="0.3">
      <c r="A3721" s="6" t="str">
        <f>HYPERLINK("https://www.ti.com/product/TPS65023-Q1", "TPS65023-Q1")</f>
        <v>TPS65023-Q1</v>
      </c>
      <c r="B3721" s="5" t="s">
        <v>33497</v>
      </c>
      <c r="C3721" s="6" t="str">
        <f>HYPERLINK("https://www.ti.com/lit/gpn/TPS65023-Q1", "PDF")</f>
        <v>PDF</v>
      </c>
      <c r="D3721" s="5" t="s">
        <v>33498</v>
      </c>
      <c r="E3721" s="5" t="s">
        <v>33499</v>
      </c>
      <c r="F3721" s="5"/>
      <c r="G3721" s="5" t="s">
        <v>33500</v>
      </c>
      <c r="H3721" s="1" t="s">
        <v>33501</v>
      </c>
      <c r="I3721" s="5" t="s">
        <v>33502</v>
      </c>
      <c r="J3721" s="7">
        <v>40</v>
      </c>
      <c r="K3721" s="7" t="s">
        <v>33503</v>
      </c>
      <c r="L3721" s="5" t="s">
        <v>33504</v>
      </c>
      <c r="M3721" s="7" t="s">
        <v>33505</v>
      </c>
      <c r="N3721" s="7" t="s">
        <v>33506</v>
      </c>
      <c r="O3721" s="7">
        <v>2.02</v>
      </c>
      <c r="P3721" s="1" t="s">
        <v>33507</v>
      </c>
    </row>
    <row r="3722" spans="1:16" ht="33.4" x14ac:dyDescent="0.3">
      <c r="A3722" s="6" t="str">
        <f>HYPERLINK("https://www.ti.com/product/TPS61160A", "TPS61160A")</f>
        <v>TPS61160A</v>
      </c>
      <c r="B3722" s="5" t="s">
        <v>33508</v>
      </c>
      <c r="C3722" s="6" t="str">
        <f>HYPERLINK("https://www.ti.com/lit/gpn/TPS61160A", "PDF")</f>
        <v>PDF</v>
      </c>
      <c r="D3722" s="5" t="s">
        <v>33509</v>
      </c>
      <c r="E3722" s="5" t="s">
        <v>33510</v>
      </c>
      <c r="F3722" s="5" t="s">
        <v>33511</v>
      </c>
      <c r="G3722" s="5" t="s">
        <v>33512</v>
      </c>
      <c r="H3722" s="1" t="s">
        <v>33513</v>
      </c>
      <c r="I3722" s="5" t="s">
        <v>33514</v>
      </c>
      <c r="J3722" s="7">
        <v>6</v>
      </c>
      <c r="K3722" s="7">
        <v>4</v>
      </c>
      <c r="L3722" s="5" t="s">
        <v>33515</v>
      </c>
      <c r="M3722" s="7">
        <v>0.8</v>
      </c>
      <c r="N3722" s="7">
        <v>0.65</v>
      </c>
      <c r="O3722" s="7">
        <v>0.47</v>
      </c>
      <c r="P3722" s="1" t="s">
        <v>33516</v>
      </c>
    </row>
    <row r="3723" spans="1:16" ht="33.4" x14ac:dyDescent="0.3">
      <c r="A3723" s="6" t="str">
        <f>HYPERLINK("https://www.ti.com/product/TL4050C50-Q1", "TL4050C50-Q1")</f>
        <v>TL4050C50-Q1</v>
      </c>
      <c r="B3723" s="5" t="s">
        <v>33517</v>
      </c>
      <c r="C3723" s="6" t="str">
        <f>HYPERLINK("https://www.ti.com/lit/gpn/TL4050C50-Q1", "PDF")</f>
        <v>PDF</v>
      </c>
      <c r="D3723" s="5" t="s">
        <v>33518</v>
      </c>
      <c r="E3723" s="5" t="s">
        <v>33519</v>
      </c>
      <c r="F3723" s="5"/>
      <c r="G3723" s="5" t="s">
        <v>33520</v>
      </c>
      <c r="H3723" s="1" t="s">
        <v>33521</v>
      </c>
      <c r="I3723" s="5" t="s">
        <v>33522</v>
      </c>
      <c r="J3723" s="7">
        <v>3</v>
      </c>
      <c r="K3723" s="7">
        <v>6.9203999999999999</v>
      </c>
      <c r="L3723" s="5" t="s">
        <v>33523</v>
      </c>
      <c r="M3723" s="7">
        <v>1.1200000000000001</v>
      </c>
      <c r="N3723" s="7">
        <v>0.96</v>
      </c>
      <c r="O3723" s="7">
        <v>0.67600000000000005</v>
      </c>
      <c r="P3723" s="1" t="s">
        <v>33524</v>
      </c>
    </row>
    <row r="3724" spans="1:16" ht="33.4" x14ac:dyDescent="0.3">
      <c r="A3724" s="6" t="str">
        <f>HYPERLINK("https://www.ti.com/product/LM5041B", "LM5041B")</f>
        <v>LM5041B</v>
      </c>
      <c r="B3724" s="5" t="s">
        <v>33525</v>
      </c>
      <c r="C3724" s="6" t="str">
        <f>HYPERLINK("https://www.ti.com/lit/gpn/LM5041B", "PDF")</f>
        <v>PDF</v>
      </c>
      <c r="D3724" s="5" t="s">
        <v>33526</v>
      </c>
      <c r="E3724" s="5" t="s">
        <v>33527</v>
      </c>
      <c r="F3724" s="5" t="s">
        <v>33528</v>
      </c>
      <c r="G3724" s="5" t="s">
        <v>33529</v>
      </c>
      <c r="H3724" s="1" t="s">
        <v>33530</v>
      </c>
      <c r="I3724" s="5" t="s">
        <v>33531</v>
      </c>
      <c r="J3724" s="7">
        <v>16</v>
      </c>
      <c r="K3724" s="7">
        <v>32</v>
      </c>
      <c r="L3724" s="5" t="s">
        <v>33532</v>
      </c>
      <c r="M3724" s="7">
        <v>1.2</v>
      </c>
      <c r="N3724" s="7">
        <v>0.65</v>
      </c>
      <c r="O3724" s="7">
        <v>1.3160000000000001</v>
      </c>
      <c r="P3724" s="1" t="s">
        <v>33533</v>
      </c>
    </row>
    <row r="3725" spans="1:16" ht="17.05" x14ac:dyDescent="0.3">
      <c r="A3725" s="6" t="str">
        <f>HYPERLINK("https://www.ti.com/product/TPS2421-1", "TPS2421-1")</f>
        <v>TPS2421-1</v>
      </c>
      <c r="B3725" s="5" t="s">
        <v>33534</v>
      </c>
      <c r="C3725" s="6" t="str">
        <f>HYPERLINK("https://www.ti.com/lit/gpn/TPS2421-1", "PDF")</f>
        <v>PDF</v>
      </c>
      <c r="D3725" s="5" t="s">
        <v>33535</v>
      </c>
      <c r="E3725" s="5" t="s">
        <v>33536</v>
      </c>
      <c r="F3725" s="5"/>
      <c r="G3725" s="5" t="s">
        <v>33537</v>
      </c>
      <c r="H3725" s="1" t="s">
        <v>33538</v>
      </c>
      <c r="I3725" s="5" t="s">
        <v>33539</v>
      </c>
      <c r="J3725" s="7">
        <v>8</v>
      </c>
      <c r="K3725" s="7">
        <v>29.4</v>
      </c>
      <c r="L3725" s="5" t="s">
        <v>33540</v>
      </c>
      <c r="M3725" s="7">
        <v>1.7</v>
      </c>
      <c r="N3725" s="7">
        <v>1.27</v>
      </c>
      <c r="O3725" s="7">
        <v>0.92900000000000005</v>
      </c>
      <c r="P3725" s="1" t="s">
        <v>33541</v>
      </c>
    </row>
    <row r="3726" spans="1:16" ht="17.05" x14ac:dyDescent="0.3">
      <c r="A3726" s="6" t="str">
        <f>HYPERLINK("https://www.ti.com/product/TPS2421-2", "TPS2421-2")</f>
        <v>TPS2421-2</v>
      </c>
      <c r="B3726" s="5" t="s">
        <v>33542</v>
      </c>
      <c r="C3726" s="6" t="str">
        <f>HYPERLINK("https://www.ti.com/lit/gpn/TPS2421-2", "PDF")</f>
        <v>PDF</v>
      </c>
      <c r="D3726" s="5" t="s">
        <v>33543</v>
      </c>
      <c r="E3726" s="5" t="s">
        <v>33544</v>
      </c>
      <c r="F3726" s="5"/>
      <c r="G3726" s="5" t="s">
        <v>33545</v>
      </c>
      <c r="H3726" s="1" t="s">
        <v>33546</v>
      </c>
      <c r="I3726" s="5" t="s">
        <v>33547</v>
      </c>
      <c r="J3726" s="7">
        <v>8</v>
      </c>
      <c r="K3726" s="7">
        <v>29.4</v>
      </c>
      <c r="L3726" s="5" t="s">
        <v>33548</v>
      </c>
      <c r="M3726" s="7">
        <v>1.7</v>
      </c>
      <c r="N3726" s="7">
        <v>1.27</v>
      </c>
      <c r="O3726" s="7">
        <v>0.92900000000000005</v>
      </c>
      <c r="P3726" s="1" t="s">
        <v>33549</v>
      </c>
    </row>
    <row r="3727" spans="1:16" ht="49.75" x14ac:dyDescent="0.3">
      <c r="A3727" s="6" t="str">
        <f>HYPERLINK("https://www.ti.com/product/TPS5430-EP", "TPS5430-EP")</f>
        <v>TPS5430-EP</v>
      </c>
      <c r="B3727" s="5" t="s">
        <v>33550</v>
      </c>
      <c r="C3727" s="6" t="str">
        <f>HYPERLINK("https://www.ti.com/lit/gpn/TPS5430-EP", "PDF")</f>
        <v>PDF</v>
      </c>
      <c r="D3727" s="5" t="s">
        <v>33551</v>
      </c>
      <c r="E3727" s="5" t="s">
        <v>33552</v>
      </c>
      <c r="F3727" s="5" t="s">
        <v>33553</v>
      </c>
      <c r="G3727" s="5" t="s">
        <v>33554</v>
      </c>
      <c r="H3727" s="1" t="s">
        <v>33555</v>
      </c>
      <c r="I3727" s="5" t="s">
        <v>33556</v>
      </c>
      <c r="J3727" s="7">
        <v>8</v>
      </c>
      <c r="K3727" s="7">
        <v>29.4</v>
      </c>
      <c r="L3727" s="5" t="s">
        <v>33557</v>
      </c>
      <c r="M3727" s="7">
        <v>1.7</v>
      </c>
      <c r="N3727" s="7">
        <v>1.27</v>
      </c>
      <c r="O3727" s="7">
        <v>9.7550000000000008</v>
      </c>
      <c r="P3727" s="1" t="s">
        <v>33558</v>
      </c>
    </row>
    <row r="3728" spans="1:16" ht="33.4" x14ac:dyDescent="0.3">
      <c r="A3728" s="6" t="str">
        <f>HYPERLINK("https://www.ti.com/product/TPS51113", "TPS51113")</f>
        <v>TPS51113</v>
      </c>
      <c r="B3728" s="5" t="s">
        <v>33559</v>
      </c>
      <c r="C3728" s="6" t="str">
        <f>HYPERLINK("https://www.ti.com/lit/gpn/TPS51113", "PDF")</f>
        <v>PDF</v>
      </c>
      <c r="D3728" s="5" t="s">
        <v>33560</v>
      </c>
      <c r="E3728" s="5" t="s">
        <v>33561</v>
      </c>
      <c r="F3728" s="5" t="s">
        <v>33562</v>
      </c>
      <c r="G3728" s="5" t="s">
        <v>33563</v>
      </c>
      <c r="H3728" s="1" t="s">
        <v>33564</v>
      </c>
      <c r="I3728" s="5" t="s">
        <v>33565</v>
      </c>
      <c r="J3728" s="7">
        <v>10</v>
      </c>
      <c r="K3728" s="7">
        <v>9</v>
      </c>
      <c r="L3728" s="5" t="s">
        <v>33566</v>
      </c>
      <c r="M3728" s="7">
        <v>1</v>
      </c>
      <c r="N3728" s="7">
        <v>0.5</v>
      </c>
      <c r="O3728" s="7">
        <v>1.2130000000000001</v>
      </c>
      <c r="P3728" s="1" t="s">
        <v>33567</v>
      </c>
    </row>
    <row r="3729" spans="1:16" ht="33.4" x14ac:dyDescent="0.3">
      <c r="A3729" s="6" t="str">
        <f>HYPERLINK("https://www.ti.com/product/TLC5951", "TLC5951")</f>
        <v>TLC5951</v>
      </c>
      <c r="B3729" s="5" t="s">
        <v>33568</v>
      </c>
      <c r="C3729" s="6" t="str">
        <f>HYPERLINK("https://www.ti.com/lit/gpn/TLC5951", "PDF")</f>
        <v>PDF</v>
      </c>
      <c r="D3729" s="5" t="s">
        <v>33569</v>
      </c>
      <c r="E3729" s="5" t="s">
        <v>33570</v>
      </c>
      <c r="F3729" s="5"/>
      <c r="G3729" s="5" t="s">
        <v>33571</v>
      </c>
      <c r="H3729" s="1" t="s">
        <v>33572</v>
      </c>
      <c r="I3729" s="5" t="s">
        <v>33573</v>
      </c>
      <c r="J3729" s="7" t="s">
        <v>33574</v>
      </c>
      <c r="K3729" s="7" t="s">
        <v>33575</v>
      </c>
      <c r="L3729" s="5" t="s">
        <v>33576</v>
      </c>
      <c r="M3729" s="7" t="s">
        <v>33577</v>
      </c>
      <c r="N3729" s="7" t="s">
        <v>33578</v>
      </c>
      <c r="O3729" s="7">
        <v>1.569</v>
      </c>
      <c r="P3729" s="1" t="s">
        <v>33579</v>
      </c>
    </row>
    <row r="3730" spans="1:16" ht="49.75" x14ac:dyDescent="0.3">
      <c r="A3730" s="6" t="str">
        <f>HYPERLINK("https://www.ti.com/product/TLV431B-Q1", "TLV431B-Q1")</f>
        <v>TLV431B-Q1</v>
      </c>
      <c r="B3730" s="5" t="s">
        <v>33580</v>
      </c>
      <c r="C3730" s="6" t="str">
        <f>HYPERLINK("https://www.ti.com/lit/gpn/TLV431B-Q1", "PDF")</f>
        <v>PDF</v>
      </c>
      <c r="D3730" s="5" t="s">
        <v>33581</v>
      </c>
      <c r="E3730" s="5" t="s">
        <v>33582</v>
      </c>
      <c r="F3730" s="5"/>
      <c r="G3730" s="5" t="s">
        <v>33583</v>
      </c>
      <c r="H3730" s="1" t="s">
        <v>33584</v>
      </c>
      <c r="I3730" s="5" t="s">
        <v>33585</v>
      </c>
      <c r="J3730" s="7" t="s">
        <v>33586</v>
      </c>
      <c r="K3730" s="7" t="s">
        <v>33587</v>
      </c>
      <c r="L3730" s="5" t="s">
        <v>33588</v>
      </c>
      <c r="M3730" s="7" t="s">
        <v>33589</v>
      </c>
      <c r="N3730" s="7" t="s">
        <v>33590</v>
      </c>
      <c r="O3730" s="7">
        <v>0.42199999999999999</v>
      </c>
      <c r="P3730" s="1" t="s">
        <v>33591</v>
      </c>
    </row>
    <row r="3731" spans="1:16" ht="33.4" x14ac:dyDescent="0.3">
      <c r="A3731" s="6" t="str">
        <f>HYPERLINK("https://www.ti.com/product/TPS54040", "TPS54040")</f>
        <v>TPS54040</v>
      </c>
      <c r="B3731" s="5" t="s">
        <v>33592</v>
      </c>
      <c r="C3731" s="6" t="str">
        <f>HYPERLINK("https://www.ti.com/lit/gpn/TPS54040", "PDF")</f>
        <v>PDF</v>
      </c>
      <c r="D3731" s="5" t="s">
        <v>33593</v>
      </c>
      <c r="E3731" s="5" t="s">
        <v>33594</v>
      </c>
      <c r="F3731" s="5" t="s">
        <v>33595</v>
      </c>
      <c r="G3731" s="5" t="s">
        <v>33596</v>
      </c>
      <c r="H3731" s="1" t="s">
        <v>33597</v>
      </c>
      <c r="I3731" s="5" t="s">
        <v>33598</v>
      </c>
      <c r="J3731" s="7">
        <v>10</v>
      </c>
      <c r="K3731" s="7">
        <v>14.7</v>
      </c>
      <c r="L3731" s="5" t="s">
        <v>33599</v>
      </c>
      <c r="M3731" s="7">
        <v>1.1000000000000001</v>
      </c>
      <c r="N3731" s="7">
        <v>0.5</v>
      </c>
      <c r="O3731" s="7">
        <v>0.89300000000000002</v>
      </c>
      <c r="P3731" s="1" t="s">
        <v>33600</v>
      </c>
    </row>
    <row r="3732" spans="1:16" ht="33.4" x14ac:dyDescent="0.3">
      <c r="A3732" s="6" t="str">
        <f>HYPERLINK("https://www.ti.com/product/LM25011", "LM25011")</f>
        <v>LM25011</v>
      </c>
      <c r="B3732" s="5" t="s">
        <v>33601</v>
      </c>
      <c r="C3732" s="6" t="str">
        <f>HYPERLINK("https://www.ti.com/lit/gpn/LM25011", "PDF")</f>
        <v>PDF</v>
      </c>
      <c r="D3732" s="5" t="s">
        <v>33602</v>
      </c>
      <c r="E3732" s="5" t="s">
        <v>33603</v>
      </c>
      <c r="F3732" s="5" t="s">
        <v>33604</v>
      </c>
      <c r="G3732" s="5" t="s">
        <v>33605</v>
      </c>
      <c r="H3732" s="1" t="s">
        <v>33606</v>
      </c>
      <c r="I3732" s="5" t="s">
        <v>33607</v>
      </c>
      <c r="J3732" s="7">
        <v>10</v>
      </c>
      <c r="K3732" s="7">
        <v>14.7</v>
      </c>
      <c r="L3732" s="5" t="s">
        <v>33608</v>
      </c>
      <c r="M3732" s="7">
        <v>1.1000000000000001</v>
      </c>
      <c r="N3732" s="7">
        <v>0.5</v>
      </c>
      <c r="O3732" s="7">
        <v>1.2110000000000001</v>
      </c>
      <c r="P3732" s="1" t="s">
        <v>33609</v>
      </c>
    </row>
    <row r="3733" spans="1:16" ht="33.4" x14ac:dyDescent="0.3">
      <c r="A3733" s="6" t="str">
        <f>HYPERLINK("https://www.ti.com/product/LM25011-Q1", "LM25011-Q1")</f>
        <v>LM25011-Q1</v>
      </c>
      <c r="B3733" s="5" t="s">
        <v>33610</v>
      </c>
      <c r="C3733" s="6" t="str">
        <f>HYPERLINK("https://www.ti.com/lit/gpn/LM25011-Q1", "PDF")</f>
        <v>PDF</v>
      </c>
      <c r="D3733" s="5" t="s">
        <v>33611</v>
      </c>
      <c r="E3733" s="5" t="s">
        <v>33612</v>
      </c>
      <c r="F3733" s="5" t="s">
        <v>33613</v>
      </c>
      <c r="G3733" s="5" t="s">
        <v>33614</v>
      </c>
      <c r="H3733" s="1" t="s">
        <v>33615</v>
      </c>
      <c r="I3733" s="5" t="s">
        <v>33616</v>
      </c>
      <c r="J3733" s="7">
        <v>10</v>
      </c>
      <c r="K3733" s="7">
        <v>14.7</v>
      </c>
      <c r="L3733" s="5" t="s">
        <v>33617</v>
      </c>
      <c r="M3733" s="7">
        <v>1.1000000000000001</v>
      </c>
      <c r="N3733" s="7">
        <v>0.5</v>
      </c>
      <c r="O3733" s="7">
        <v>1.6719999999999999</v>
      </c>
      <c r="P3733" s="1" t="s">
        <v>33618</v>
      </c>
    </row>
    <row r="3734" spans="1:16" ht="49.75" x14ac:dyDescent="0.3">
      <c r="A3734" s="6" t="str">
        <f>HYPERLINK("https://www.ti.com/product/TPS62620", "TPS62620")</f>
        <v>TPS62620</v>
      </c>
      <c r="B3734" s="5" t="s">
        <v>33619</v>
      </c>
      <c r="C3734" s="6" t="str">
        <f>HYPERLINK("https://www.ti.com/lit/gpn/TPS62620", "PDF")</f>
        <v>PDF</v>
      </c>
      <c r="D3734" s="5" t="s">
        <v>33620</v>
      </c>
      <c r="E3734" s="5" t="s">
        <v>33621</v>
      </c>
      <c r="F3734" s="5" t="s">
        <v>33622</v>
      </c>
      <c r="G3734" s="5" t="s">
        <v>33623</v>
      </c>
      <c r="H3734" s="1" t="s">
        <v>33624</v>
      </c>
      <c r="I3734" s="5" t="s">
        <v>33625</v>
      </c>
      <c r="J3734" s="7">
        <v>6</v>
      </c>
      <c r="K3734" s="7">
        <v>1.4000000000000001</v>
      </c>
      <c r="L3734" s="5" t="s">
        <v>33626</v>
      </c>
      <c r="M3734" s="7">
        <v>0.625</v>
      </c>
      <c r="N3734" s="7">
        <v>0.4</v>
      </c>
      <c r="O3734" s="7">
        <v>0.58699999999999997</v>
      </c>
      <c r="P3734" s="1" t="s">
        <v>33627</v>
      </c>
    </row>
    <row r="3735" spans="1:16" ht="33.4" x14ac:dyDescent="0.3">
      <c r="A3735" s="6" t="str">
        <f>HYPERLINK("https://www.ti.com/product/TPS62272", "TPS62272")</f>
        <v>TPS62272</v>
      </c>
      <c r="B3735" s="5" t="s">
        <v>33628</v>
      </c>
      <c r="C3735" s="6" t="str">
        <f>HYPERLINK("https://www.ti.com/lit/gpn/TPS62272", "PDF")</f>
        <v>PDF</v>
      </c>
      <c r="D3735" s="5" t="s">
        <v>33629</v>
      </c>
      <c r="E3735" s="5" t="s">
        <v>33630</v>
      </c>
      <c r="F3735" s="5" t="s">
        <v>33631</v>
      </c>
      <c r="G3735" s="5" t="s">
        <v>33632</v>
      </c>
      <c r="H3735" s="1" t="s">
        <v>33633</v>
      </c>
      <c r="I3735" s="5" t="s">
        <v>33634</v>
      </c>
      <c r="J3735" s="7">
        <v>6</v>
      </c>
      <c r="K3735" s="7">
        <v>4</v>
      </c>
      <c r="L3735" s="5" t="s">
        <v>33635</v>
      </c>
      <c r="M3735" s="7">
        <v>0.8</v>
      </c>
      <c r="N3735" s="7">
        <v>0.65</v>
      </c>
      <c r="O3735" s="7">
        <v>0.501</v>
      </c>
      <c r="P3735" s="1" t="s">
        <v>33636</v>
      </c>
    </row>
    <row r="3736" spans="1:16" ht="17.05" x14ac:dyDescent="0.3">
      <c r="A3736" s="6" t="str">
        <f>HYPERLINK("https://www.ti.com/product/TPS22949", "TPS22949")</f>
        <v>TPS22949</v>
      </c>
      <c r="B3736" s="5" t="s">
        <v>33637</v>
      </c>
      <c r="C3736" s="6" t="str">
        <f>HYPERLINK("https://www.ti.com/lit/gpn/TPS22949", "PDF")</f>
        <v>PDF</v>
      </c>
      <c r="D3736" s="5" t="s">
        <v>33638</v>
      </c>
      <c r="E3736" s="5" t="s">
        <v>33639</v>
      </c>
      <c r="F3736" s="5"/>
      <c r="G3736" s="5" t="s">
        <v>33640</v>
      </c>
      <c r="H3736" s="1" t="s">
        <v>33641</v>
      </c>
      <c r="I3736" s="5" t="s">
        <v>33642</v>
      </c>
      <c r="J3736" s="7">
        <v>8</v>
      </c>
      <c r="K3736" s="7">
        <v>9</v>
      </c>
      <c r="L3736" s="5" t="s">
        <v>33643</v>
      </c>
      <c r="M3736" s="7">
        <v>0.73</v>
      </c>
      <c r="N3736" s="7">
        <v>0.5</v>
      </c>
      <c r="O3736" s="7">
        <v>0.55700000000000005</v>
      </c>
      <c r="P3736" s="1" t="s">
        <v>33644</v>
      </c>
    </row>
    <row r="3737" spans="1:16" ht="17.05" x14ac:dyDescent="0.3">
      <c r="A3737" s="6" t="str">
        <f>HYPERLINK("https://www.ti.com/product/TPS2458", "TPS2458")</f>
        <v>TPS2458</v>
      </c>
      <c r="B3737" s="5" t="s">
        <v>33645</v>
      </c>
      <c r="C3737" s="6" t="str">
        <f>HYPERLINK("https://www.ti.com/lit/gpn/TPS2458", "PDF")</f>
        <v>PDF</v>
      </c>
      <c r="D3737" s="5" t="s">
        <v>33646</v>
      </c>
      <c r="E3737" s="5" t="s">
        <v>33647</v>
      </c>
      <c r="F3737" s="5"/>
      <c r="G3737" s="5" t="s">
        <v>33648</v>
      </c>
      <c r="H3737" s="1" t="s">
        <v>33649</v>
      </c>
      <c r="I3737" s="5" t="s">
        <v>33650</v>
      </c>
      <c r="J3737" s="7">
        <v>32</v>
      </c>
      <c r="K3737" s="7">
        <v>25</v>
      </c>
      <c r="L3737" s="5" t="s">
        <v>33651</v>
      </c>
      <c r="M3737" s="7">
        <v>1</v>
      </c>
      <c r="N3737" s="7">
        <v>0.5</v>
      </c>
      <c r="O3737" s="7">
        <v>2.3279999999999998</v>
      </c>
      <c r="P3737" s="1" t="s">
        <v>33652</v>
      </c>
    </row>
    <row r="3738" spans="1:16" ht="17.05" x14ac:dyDescent="0.3">
      <c r="A3738" s="6" t="str">
        <f>HYPERLINK("https://www.ti.com/product/TPS2459", "TPS2459")</f>
        <v>TPS2459</v>
      </c>
      <c r="B3738" s="5" t="s">
        <v>33653</v>
      </c>
      <c r="C3738" s="6" t="str">
        <f>HYPERLINK("https://www.ti.com/lit/gpn/TPS2459", "PDF")</f>
        <v>PDF</v>
      </c>
      <c r="D3738" s="5" t="s">
        <v>33654</v>
      </c>
      <c r="E3738" s="5" t="s">
        <v>33655</v>
      </c>
      <c r="F3738" s="5"/>
      <c r="G3738" s="5" t="s">
        <v>33656</v>
      </c>
      <c r="H3738" s="1" t="s">
        <v>33657</v>
      </c>
      <c r="I3738" s="5" t="s">
        <v>33658</v>
      </c>
      <c r="J3738" s="7">
        <v>32</v>
      </c>
      <c r="K3738" s="7">
        <v>25</v>
      </c>
      <c r="L3738" s="5" t="s">
        <v>33659</v>
      </c>
      <c r="M3738" s="7">
        <v>1</v>
      </c>
      <c r="N3738" s="7">
        <v>0.5</v>
      </c>
      <c r="O3738" s="7">
        <v>3.6379999999999999</v>
      </c>
      <c r="P3738" s="1" t="s">
        <v>33660</v>
      </c>
    </row>
    <row r="3739" spans="1:16" ht="33.4" x14ac:dyDescent="0.3">
      <c r="A3739" s="6" t="str">
        <f>HYPERLINK("https://www.ti.com/product/TPS54060", "TPS54060")</f>
        <v>TPS54060</v>
      </c>
      <c r="B3739" s="5" t="s">
        <v>33661</v>
      </c>
      <c r="C3739" s="6" t="str">
        <f>HYPERLINK("https://www.ti.com/lit/gpn/TPS54060", "PDF")</f>
        <v>PDF</v>
      </c>
      <c r="D3739" s="5" t="s">
        <v>33662</v>
      </c>
      <c r="E3739" s="5" t="s">
        <v>33663</v>
      </c>
      <c r="F3739" s="5" t="s">
        <v>33664</v>
      </c>
      <c r="G3739" s="5" t="s">
        <v>33665</v>
      </c>
      <c r="H3739" s="1" t="s">
        <v>33666</v>
      </c>
      <c r="I3739" s="5" t="s">
        <v>33667</v>
      </c>
      <c r="J3739" s="7">
        <v>10</v>
      </c>
      <c r="K3739" s="7" t="s">
        <v>33668</v>
      </c>
      <c r="L3739" s="5" t="s">
        <v>33669</v>
      </c>
      <c r="M3739" s="7" t="s">
        <v>33670</v>
      </c>
      <c r="N3739" s="7">
        <v>0.5</v>
      </c>
      <c r="O3739" s="7">
        <v>0.874</v>
      </c>
      <c r="P3739" s="1" t="s">
        <v>33671</v>
      </c>
    </row>
    <row r="3740" spans="1:16" ht="33.4" x14ac:dyDescent="0.3">
      <c r="A3740" s="6" t="str">
        <f>HYPERLINK("https://www.ti.com/product/UCD3020", "UCD3020")</f>
        <v>UCD3020</v>
      </c>
      <c r="B3740" s="5" t="s">
        <v>33672</v>
      </c>
      <c r="C3740" s="6" t="str">
        <f>HYPERLINK("https://www.ti.com/lit/gpn/UCD3020", "PDF")</f>
        <v>PDF</v>
      </c>
      <c r="D3740" s="5" t="s">
        <v>33673</v>
      </c>
      <c r="E3740" s="5" t="s">
        <v>33674</v>
      </c>
      <c r="F3740" s="5"/>
      <c r="G3740" s="5" t="s">
        <v>33675</v>
      </c>
      <c r="H3740" s="1" t="s">
        <v>33676</v>
      </c>
      <c r="I3740" s="5" t="s">
        <v>33677</v>
      </c>
      <c r="J3740" s="7">
        <v>48</v>
      </c>
      <c r="K3740" s="7">
        <v>49</v>
      </c>
      <c r="L3740" s="5" t="s">
        <v>33678</v>
      </c>
      <c r="M3740" s="7">
        <v>1</v>
      </c>
      <c r="N3740" s="7">
        <v>0.5</v>
      </c>
      <c r="O3740" s="7">
        <v>2.4790000000000001</v>
      </c>
      <c r="P3740" s="1" t="s">
        <v>33679</v>
      </c>
    </row>
    <row r="3741" spans="1:16" ht="33.4" x14ac:dyDescent="0.3">
      <c r="A3741" s="6" t="str">
        <f>HYPERLINK("https://www.ti.com/product/CSD16411Q3", "CSD16411Q3")</f>
        <v>CSD16411Q3</v>
      </c>
      <c r="B3741" s="5" t="s">
        <v>33680</v>
      </c>
      <c r="C3741" s="6" t="str">
        <f>HYPERLINK("https://www.ti.com/lit/gpn/CSD16411Q3", "PDF")</f>
        <v>PDF</v>
      </c>
      <c r="D3741" s="5" t="s">
        <v>33681</v>
      </c>
      <c r="E3741" s="5" t="s">
        <v>33682</v>
      </c>
      <c r="F3741" s="5"/>
      <c r="G3741" s="5" t="s">
        <v>33683</v>
      </c>
      <c r="H3741" s="1" t="s">
        <v>33684</v>
      </c>
      <c r="I3741" s="5" t="s">
        <v>33685</v>
      </c>
      <c r="J3741" s="7">
        <v>8</v>
      </c>
      <c r="K3741" s="7">
        <v>10.89</v>
      </c>
      <c r="L3741" s="5" t="s">
        <v>33686</v>
      </c>
      <c r="M3741" s="7">
        <v>1.1000000000000001</v>
      </c>
      <c r="N3741" s="7">
        <v>0.65</v>
      </c>
      <c r="O3741" s="7">
        <v>0.23899999999999999</v>
      </c>
      <c r="P3741" s="1" t="s">
        <v>33687</v>
      </c>
    </row>
    <row r="3742" spans="1:16" ht="33.4" x14ac:dyDescent="0.3">
      <c r="A3742" s="6" t="str">
        <f>HYPERLINK("https://www.ti.com/product/CSD16414Q5", "CSD16414Q5")</f>
        <v>CSD16414Q5</v>
      </c>
      <c r="B3742" s="5" t="s">
        <v>33688</v>
      </c>
      <c r="C3742" s="6" t="str">
        <f>HYPERLINK("https://www.ti.com/lit/gpn/CSD16414Q5", "PDF")</f>
        <v>PDF</v>
      </c>
      <c r="D3742" s="5" t="s">
        <v>33689</v>
      </c>
      <c r="E3742" s="5" t="s">
        <v>33690</v>
      </c>
      <c r="F3742" s="5"/>
      <c r="G3742" s="5" t="s">
        <v>33691</v>
      </c>
      <c r="H3742" s="1" t="s">
        <v>33692</v>
      </c>
      <c r="I3742" s="5" t="s">
        <v>33693</v>
      </c>
      <c r="J3742" s="7">
        <v>8</v>
      </c>
      <c r="K3742" s="7">
        <v>30</v>
      </c>
      <c r="L3742" s="5" t="s">
        <v>33694</v>
      </c>
      <c r="M3742" s="7">
        <v>1.05</v>
      </c>
      <c r="N3742" s="7">
        <v>1.27</v>
      </c>
      <c r="O3742" s="7">
        <v>0.64400000000000002</v>
      </c>
      <c r="P3742" s="1" t="s">
        <v>33695</v>
      </c>
    </row>
    <row r="3743" spans="1:16" ht="33.4" x14ac:dyDescent="0.3">
      <c r="A3743" s="6" t="str">
        <f>HYPERLINK("https://www.ti.com/product/LM25576-Q1", "LM25576-Q1")</f>
        <v>LM25576-Q1</v>
      </c>
      <c r="B3743" s="5" t="s">
        <v>33696</v>
      </c>
      <c r="C3743" s="6" t="str">
        <f>HYPERLINK("https://www.ti.com/lit/gpn/LM25576-Q1", "PDF")</f>
        <v>PDF</v>
      </c>
      <c r="D3743" s="5" t="s">
        <v>33697</v>
      </c>
      <c r="E3743" s="5" t="s">
        <v>33698</v>
      </c>
      <c r="F3743" s="5"/>
      <c r="G3743" s="5" t="s">
        <v>33699</v>
      </c>
      <c r="H3743" s="1" t="s">
        <v>33700</v>
      </c>
      <c r="I3743" s="5" t="s">
        <v>33701</v>
      </c>
      <c r="J3743" s="7">
        <v>20</v>
      </c>
      <c r="K3743" s="7">
        <v>41.6</v>
      </c>
      <c r="L3743" s="5" t="s">
        <v>33702</v>
      </c>
      <c r="M3743" s="7">
        <v>1.2</v>
      </c>
      <c r="N3743" s="7">
        <v>0.65</v>
      </c>
      <c r="O3743" s="7">
        <v>1.8440000000000001</v>
      </c>
      <c r="P3743" s="1" t="s">
        <v>33703</v>
      </c>
    </row>
    <row r="3744" spans="1:16" ht="33.4" x14ac:dyDescent="0.3">
      <c r="A3744" s="6" t="str">
        <f>HYPERLINK("https://www.ti.com/product/TPS62113", "TPS62113")</f>
        <v>TPS62113</v>
      </c>
      <c r="B3744" s="5" t="s">
        <v>33704</v>
      </c>
      <c r="C3744" s="6" t="str">
        <f>HYPERLINK("https://www.ti.com/lit/gpn/TPS62113", "PDF")</f>
        <v>PDF</v>
      </c>
      <c r="D3744" s="5" t="s">
        <v>33705</v>
      </c>
      <c r="E3744" s="5" t="s">
        <v>33706</v>
      </c>
      <c r="F3744" s="5" t="s">
        <v>33707</v>
      </c>
      <c r="G3744" s="5" t="s">
        <v>33708</v>
      </c>
      <c r="H3744" s="1" t="s">
        <v>33709</v>
      </c>
      <c r="I3744" s="5" t="s">
        <v>33710</v>
      </c>
      <c r="J3744" s="7">
        <v>16</v>
      </c>
      <c r="K3744" s="7">
        <v>16</v>
      </c>
      <c r="L3744" s="5" t="s">
        <v>33711</v>
      </c>
      <c r="M3744" s="7">
        <v>1</v>
      </c>
      <c r="N3744" s="7">
        <v>0.65</v>
      </c>
      <c r="O3744" s="7">
        <v>1</v>
      </c>
      <c r="P3744" s="1" t="s">
        <v>33712</v>
      </c>
    </row>
    <row r="3745" spans="1:16" ht="33.4" x14ac:dyDescent="0.3">
      <c r="A3745" s="6" t="str">
        <f>HYPERLINK("https://www.ti.com/product/TPS62225", "TPS62225")</f>
        <v>TPS62225</v>
      </c>
      <c r="B3745" s="5" t="s">
        <v>33713</v>
      </c>
      <c r="C3745" s="6" t="str">
        <f>HYPERLINK("https://www.ti.com/lit/gpn/TPS62225", "PDF")</f>
        <v>PDF</v>
      </c>
      <c r="D3745" s="5" t="s">
        <v>33714</v>
      </c>
      <c r="E3745" s="5" t="s">
        <v>33715</v>
      </c>
      <c r="F3745" s="5" t="s">
        <v>33716</v>
      </c>
      <c r="G3745" s="5" t="s">
        <v>33717</v>
      </c>
      <c r="H3745" s="1" t="s">
        <v>33718</v>
      </c>
      <c r="I3745" s="5" t="s">
        <v>33719</v>
      </c>
      <c r="J3745" s="7">
        <v>5</v>
      </c>
      <c r="K3745" s="7">
        <v>8.1199999999999992</v>
      </c>
      <c r="L3745" s="5" t="s">
        <v>33720</v>
      </c>
      <c r="M3745" s="7">
        <v>1.1000000000000001</v>
      </c>
      <c r="N3745" s="7">
        <v>0.95</v>
      </c>
      <c r="O3745" s="7">
        <v>0.501</v>
      </c>
      <c r="P3745" s="1" t="s">
        <v>33721</v>
      </c>
    </row>
    <row r="3746" spans="1:16" ht="33.4" x14ac:dyDescent="0.3">
      <c r="A3746" s="6" t="str">
        <f>HYPERLINK("https://www.ti.com/product/LM20136", "LM20136")</f>
        <v>LM20136</v>
      </c>
      <c r="B3746" s="5" t="s">
        <v>33722</v>
      </c>
      <c r="C3746" s="6" t="str">
        <f>HYPERLINK("https://www.ti.com/lit/gpn/LM20136", "PDF")</f>
        <v>PDF</v>
      </c>
      <c r="D3746" s="5" t="s">
        <v>33723</v>
      </c>
      <c r="E3746" s="5" t="s">
        <v>33724</v>
      </c>
      <c r="F3746" s="5" t="s">
        <v>33725</v>
      </c>
      <c r="G3746" s="5" t="s">
        <v>33726</v>
      </c>
      <c r="H3746" s="1" t="s">
        <v>33727</v>
      </c>
      <c r="I3746" s="5" t="s">
        <v>33728</v>
      </c>
      <c r="J3746" s="7">
        <v>16</v>
      </c>
      <c r="K3746" s="7">
        <v>32</v>
      </c>
      <c r="L3746" s="5" t="s">
        <v>33729</v>
      </c>
      <c r="M3746" s="7">
        <v>1.2</v>
      </c>
      <c r="N3746" s="7">
        <v>0.65</v>
      </c>
      <c r="O3746" s="7">
        <v>1.5640000000000001</v>
      </c>
      <c r="P3746" s="1" t="s">
        <v>33730</v>
      </c>
    </row>
    <row r="3747" spans="1:16" ht="33.4" x14ac:dyDescent="0.3">
      <c r="A3747" s="6" t="str">
        <f>HYPERLINK("https://www.ti.com/product/LM20146", "LM20146")</f>
        <v>LM20146</v>
      </c>
      <c r="B3747" s="5" t="s">
        <v>33731</v>
      </c>
      <c r="C3747" s="6" t="str">
        <f>HYPERLINK("https://www.ti.com/lit/gpn/LM20146", "PDF")</f>
        <v>PDF</v>
      </c>
      <c r="D3747" s="5" t="s">
        <v>33732</v>
      </c>
      <c r="E3747" s="5" t="s">
        <v>33733</v>
      </c>
      <c r="F3747" s="5" t="s">
        <v>33734</v>
      </c>
      <c r="G3747" s="5" t="s">
        <v>33735</v>
      </c>
      <c r="H3747" s="1" t="s">
        <v>33736</v>
      </c>
      <c r="I3747" s="5" t="s">
        <v>33737</v>
      </c>
      <c r="J3747" s="7">
        <v>16</v>
      </c>
      <c r="K3747" s="7">
        <v>32</v>
      </c>
      <c r="L3747" s="5" t="s">
        <v>33738</v>
      </c>
      <c r="M3747" s="7">
        <v>1.2</v>
      </c>
      <c r="N3747" s="7">
        <v>0.65</v>
      </c>
      <c r="O3747" s="7">
        <v>1.5640000000000001</v>
      </c>
      <c r="P3747" s="1" t="s">
        <v>33739</v>
      </c>
    </row>
    <row r="3748" spans="1:16" ht="33.4" x14ac:dyDescent="0.3">
      <c r="A3748" s="6" t="str">
        <f>HYPERLINK("https://www.ti.com/product/LM25574-Q1", "LM25574-Q1")</f>
        <v>LM25574-Q1</v>
      </c>
      <c r="B3748" s="5" t="s">
        <v>33740</v>
      </c>
      <c r="C3748" s="6" t="str">
        <f>HYPERLINK("https://www.ti.com/lit/gpn/LM25574-Q1", "PDF")</f>
        <v>PDF</v>
      </c>
      <c r="D3748" s="5" t="s">
        <v>33741</v>
      </c>
      <c r="E3748" s="5" t="s">
        <v>33742</v>
      </c>
      <c r="F3748" s="5" t="s">
        <v>33743</v>
      </c>
      <c r="G3748" s="5" t="s">
        <v>33744</v>
      </c>
      <c r="H3748" s="1" t="s">
        <v>33745</v>
      </c>
      <c r="I3748" s="5" t="s">
        <v>33746</v>
      </c>
      <c r="J3748" s="7">
        <v>16</v>
      </c>
      <c r="K3748" s="7">
        <v>32</v>
      </c>
      <c r="L3748" s="5" t="s">
        <v>33747</v>
      </c>
      <c r="M3748" s="7">
        <v>1.2</v>
      </c>
      <c r="N3748" s="7">
        <v>0.65</v>
      </c>
      <c r="O3748" s="7">
        <v>1.518</v>
      </c>
      <c r="P3748" s="1" t="s">
        <v>33748</v>
      </c>
    </row>
    <row r="3749" spans="1:16" ht="33.4" x14ac:dyDescent="0.3">
      <c r="A3749" s="6" t="str">
        <f>HYPERLINK("https://www.ti.com/product/LM25575-Q1", "LM25575-Q1")</f>
        <v>LM25575-Q1</v>
      </c>
      <c r="B3749" s="5" t="s">
        <v>33749</v>
      </c>
      <c r="C3749" s="6" t="str">
        <f>HYPERLINK("https://www.ti.com/lit/gpn/LM25575-Q1", "PDF")</f>
        <v>PDF</v>
      </c>
      <c r="D3749" s="5" t="s">
        <v>33750</v>
      </c>
      <c r="E3749" s="5" t="s">
        <v>33751</v>
      </c>
      <c r="F3749" s="5" t="s">
        <v>33752</v>
      </c>
      <c r="G3749" s="5" t="s">
        <v>33753</v>
      </c>
      <c r="H3749" s="1" t="s">
        <v>33754</v>
      </c>
      <c r="I3749" s="5" t="s">
        <v>33755</v>
      </c>
      <c r="J3749" s="7">
        <v>16</v>
      </c>
      <c r="K3749" s="7">
        <v>32</v>
      </c>
      <c r="L3749" s="5" t="s">
        <v>33756</v>
      </c>
      <c r="M3749" s="7">
        <v>1.2</v>
      </c>
      <c r="N3749" s="7">
        <v>0.65</v>
      </c>
      <c r="O3749" s="7">
        <v>1.9359999999999999</v>
      </c>
      <c r="P3749" s="1" t="s">
        <v>33757</v>
      </c>
    </row>
    <row r="3750" spans="1:16" ht="33.4" x14ac:dyDescent="0.3">
      <c r="A3750" s="6" t="str">
        <f>HYPERLINK("https://www.ti.com/product/TLC59208F", "TLC59208F")</f>
        <v>TLC59208F</v>
      </c>
      <c r="B3750" s="5" t="s">
        <v>33758</v>
      </c>
      <c r="C3750" s="6" t="str">
        <f>HYPERLINK("https://www.ti.com/lit/gpn/TLC59208F", "PDF")</f>
        <v>PDF</v>
      </c>
      <c r="D3750" s="5" t="s">
        <v>33759</v>
      </c>
      <c r="E3750" s="5" t="s">
        <v>33760</v>
      </c>
      <c r="F3750" s="5" t="s">
        <v>33761</v>
      </c>
      <c r="G3750" s="5" t="s">
        <v>33762</v>
      </c>
      <c r="H3750" s="1" t="s">
        <v>33763</v>
      </c>
      <c r="I3750" s="5" t="s">
        <v>33764</v>
      </c>
      <c r="J3750" s="7">
        <v>16</v>
      </c>
      <c r="K3750" s="7" t="s">
        <v>33765</v>
      </c>
      <c r="L3750" s="5" t="s">
        <v>33766</v>
      </c>
      <c r="M3750" s="7" t="s">
        <v>33767</v>
      </c>
      <c r="N3750" s="7" t="s">
        <v>33768</v>
      </c>
      <c r="O3750" s="7">
        <v>0.72299999999999998</v>
      </c>
      <c r="P3750" s="1" t="s">
        <v>33769</v>
      </c>
    </row>
    <row r="3751" spans="1:16" ht="33.4" x14ac:dyDescent="0.3">
      <c r="A3751" s="6" t="str">
        <f>HYPERLINK("https://www.ti.com/product/LM25085A", "LM25085A")</f>
        <v>LM25085A</v>
      </c>
      <c r="B3751" s="5" t="s">
        <v>33770</v>
      </c>
      <c r="C3751" s="6" t="str">
        <f>HYPERLINK("https://www.ti.com/lit/gpn/LM25085A", "PDF")</f>
        <v>PDF</v>
      </c>
      <c r="D3751" s="5" t="s">
        <v>33771</v>
      </c>
      <c r="E3751" s="5" t="s">
        <v>33772</v>
      </c>
      <c r="F3751" s="5" t="s">
        <v>33773</v>
      </c>
      <c r="G3751" s="5" t="s">
        <v>33774</v>
      </c>
      <c r="H3751" s="1" t="s">
        <v>33775</v>
      </c>
      <c r="I3751" s="5" t="s">
        <v>33776</v>
      </c>
      <c r="J3751" s="7">
        <v>8</v>
      </c>
      <c r="K3751" s="7" t="s">
        <v>33777</v>
      </c>
      <c r="L3751" s="5" t="s">
        <v>33778</v>
      </c>
      <c r="M3751" s="7" t="s">
        <v>33779</v>
      </c>
      <c r="N3751" s="7" t="s">
        <v>33780</v>
      </c>
      <c r="O3751" s="7">
        <v>0.83499999999999996</v>
      </c>
      <c r="P3751" s="1" t="s">
        <v>33781</v>
      </c>
    </row>
    <row r="3752" spans="1:16" ht="49.75" x14ac:dyDescent="0.3">
      <c r="A3752" s="6" t="str">
        <f>HYPERLINK("https://www.ti.com/product/LM3445", "LM3445")</f>
        <v>LM3445</v>
      </c>
      <c r="B3752" s="5" t="s">
        <v>33782</v>
      </c>
      <c r="C3752" s="6" t="str">
        <f>HYPERLINK("https://www.ti.com/lit/gpn/LM3445", "PDF")</f>
        <v>PDF</v>
      </c>
      <c r="D3752" s="5" t="s">
        <v>33783</v>
      </c>
      <c r="E3752" s="5" t="s">
        <v>33784</v>
      </c>
      <c r="F3752" s="5" t="s">
        <v>33785</v>
      </c>
      <c r="G3752" s="5" t="s">
        <v>33786</v>
      </c>
      <c r="H3752" s="1" t="s">
        <v>33787</v>
      </c>
      <c r="I3752" s="5" t="s">
        <v>33788</v>
      </c>
      <c r="J3752" s="7" t="s">
        <v>33789</v>
      </c>
      <c r="K3752" s="7" t="s">
        <v>33790</v>
      </c>
      <c r="L3752" s="5" t="s">
        <v>33791</v>
      </c>
      <c r="M3752" s="7" t="s">
        <v>33792</v>
      </c>
      <c r="N3752" s="7" t="s">
        <v>33793</v>
      </c>
      <c r="O3752" s="7">
        <v>0.34499999999999997</v>
      </c>
      <c r="P3752" s="1" t="s">
        <v>33794</v>
      </c>
    </row>
    <row r="3753" spans="1:16" ht="33.4" x14ac:dyDescent="0.3">
      <c r="A3753" s="6" t="str">
        <f>HYPERLINK("https://www.ti.com/product/CSD16401Q5", "CSD16401Q5")</f>
        <v>CSD16401Q5</v>
      </c>
      <c r="B3753" s="5" t="s">
        <v>33795</v>
      </c>
      <c r="C3753" s="6" t="str">
        <f>HYPERLINK("https://www.ti.com/lit/gpn/CSD16401Q5", "PDF")</f>
        <v>PDF</v>
      </c>
      <c r="D3753" s="5" t="s">
        <v>33796</v>
      </c>
      <c r="E3753" s="5" t="s">
        <v>33797</v>
      </c>
      <c r="F3753" s="5"/>
      <c r="G3753" s="5" t="s">
        <v>33798</v>
      </c>
      <c r="H3753" s="1" t="s">
        <v>33799</v>
      </c>
      <c r="I3753" s="5" t="s">
        <v>33800</v>
      </c>
      <c r="J3753" s="7">
        <v>8</v>
      </c>
      <c r="K3753" s="7">
        <v>30</v>
      </c>
      <c r="L3753" s="5" t="s">
        <v>33801</v>
      </c>
      <c r="M3753" s="7">
        <v>1.05</v>
      </c>
      <c r="N3753" s="7">
        <v>1.27</v>
      </c>
      <c r="O3753" s="7">
        <v>0.84</v>
      </c>
      <c r="P3753" s="1" t="s">
        <v>33802</v>
      </c>
    </row>
    <row r="3754" spans="1:16" ht="33.4" x14ac:dyDescent="0.3">
      <c r="A3754" s="6" t="str">
        <f>HYPERLINK("https://www.ti.com/product/CSD16403Q5A", "CSD16403Q5A")</f>
        <v>CSD16403Q5A</v>
      </c>
      <c r="B3754" s="5" t="s">
        <v>33803</v>
      </c>
      <c r="C3754" s="6" t="str">
        <f>HYPERLINK("https://www.ti.com/lit/gpn/CSD16403Q5A", "PDF")</f>
        <v>PDF</v>
      </c>
      <c r="D3754" s="5" t="s">
        <v>33804</v>
      </c>
      <c r="E3754" s="5" t="s">
        <v>33805</v>
      </c>
      <c r="F3754" s="5"/>
      <c r="G3754" s="5" t="s">
        <v>33806</v>
      </c>
      <c r="H3754" s="1" t="s">
        <v>33807</v>
      </c>
      <c r="I3754" s="5" t="s">
        <v>33808</v>
      </c>
      <c r="J3754" s="7">
        <v>8</v>
      </c>
      <c r="K3754" s="7">
        <v>29.4</v>
      </c>
      <c r="L3754" s="5" t="s">
        <v>33809</v>
      </c>
      <c r="M3754" s="7">
        <v>1.1000000000000001</v>
      </c>
      <c r="N3754" s="7">
        <v>1.27</v>
      </c>
      <c r="O3754" s="7">
        <v>0.505</v>
      </c>
      <c r="P3754" s="1" t="s">
        <v>33810</v>
      </c>
    </row>
    <row r="3755" spans="1:16" ht="33.4" x14ac:dyDescent="0.3">
      <c r="A3755" s="6" t="str">
        <f>HYPERLINK("https://www.ti.com/product/CSD16404Q5A", "CSD16404Q5A")</f>
        <v>CSD16404Q5A</v>
      </c>
      <c r="B3755" s="5" t="s">
        <v>33811</v>
      </c>
      <c r="C3755" s="6" t="str">
        <f>HYPERLINK("https://www.ti.com/lit/gpn/CSD16404Q5A", "PDF")</f>
        <v>PDF</v>
      </c>
      <c r="D3755" s="5" t="s">
        <v>33812</v>
      </c>
      <c r="E3755" s="5" t="s">
        <v>33813</v>
      </c>
      <c r="F3755" s="5"/>
      <c r="G3755" s="5" t="s">
        <v>33814</v>
      </c>
      <c r="H3755" s="1" t="s">
        <v>33815</v>
      </c>
      <c r="I3755" s="5" t="s">
        <v>33816</v>
      </c>
      <c r="J3755" s="7">
        <v>8</v>
      </c>
      <c r="K3755" s="7">
        <v>29.4</v>
      </c>
      <c r="L3755" s="5" t="s">
        <v>33817</v>
      </c>
      <c r="M3755" s="7">
        <v>1.1000000000000001</v>
      </c>
      <c r="N3755" s="7">
        <v>1.27</v>
      </c>
      <c r="O3755" s="7">
        <v>0.30499999999999999</v>
      </c>
      <c r="P3755" s="1" t="s">
        <v>33818</v>
      </c>
    </row>
    <row r="3756" spans="1:16" ht="33.4" x14ac:dyDescent="0.3">
      <c r="A3756" s="6" t="str">
        <f>HYPERLINK("https://www.ti.com/product/CSD16406Q3", "CSD16406Q3")</f>
        <v>CSD16406Q3</v>
      </c>
      <c r="B3756" s="5" t="s">
        <v>33819</v>
      </c>
      <c r="C3756" s="6" t="str">
        <f>HYPERLINK("https://www.ti.com/lit/gpn/CSD16406Q3", "PDF")</f>
        <v>PDF</v>
      </c>
      <c r="D3756" s="5" t="s">
        <v>33820</v>
      </c>
      <c r="E3756" s="5" t="s">
        <v>33821</v>
      </c>
      <c r="F3756" s="5"/>
      <c r="G3756" s="5" t="s">
        <v>33822</v>
      </c>
      <c r="H3756" s="1" t="s">
        <v>33823</v>
      </c>
      <c r="I3756" s="5" t="s">
        <v>33824</v>
      </c>
      <c r="J3756" s="7">
        <v>8</v>
      </c>
      <c r="K3756" s="7">
        <v>10.89</v>
      </c>
      <c r="L3756" s="5" t="s">
        <v>33825</v>
      </c>
      <c r="M3756" s="7">
        <v>1.1000000000000001</v>
      </c>
      <c r="N3756" s="7">
        <v>0.65</v>
      </c>
      <c r="O3756" s="7">
        <v>0.32300000000000001</v>
      </c>
      <c r="P3756" s="1" t="s">
        <v>33826</v>
      </c>
    </row>
    <row r="3757" spans="1:16" ht="33.4" x14ac:dyDescent="0.3">
      <c r="A3757" s="6" t="str">
        <f>HYPERLINK("https://www.ti.com/product/CSD16407Q5", "CSD16407Q5")</f>
        <v>CSD16407Q5</v>
      </c>
      <c r="B3757" s="5" t="s">
        <v>33827</v>
      </c>
      <c r="C3757" s="6" t="str">
        <f>HYPERLINK("https://www.ti.com/lit/gpn/CSD16407Q5", "PDF")</f>
        <v>PDF</v>
      </c>
      <c r="D3757" s="5" t="s">
        <v>33828</v>
      </c>
      <c r="E3757" s="5" t="s">
        <v>33829</v>
      </c>
      <c r="F3757" s="5"/>
      <c r="G3757" s="5" t="s">
        <v>33830</v>
      </c>
      <c r="H3757" s="1" t="s">
        <v>33831</v>
      </c>
      <c r="I3757" s="5" t="s">
        <v>33832</v>
      </c>
      <c r="J3757" s="7">
        <v>8</v>
      </c>
      <c r="K3757" s="7">
        <v>30</v>
      </c>
      <c r="L3757" s="5" t="s">
        <v>33833</v>
      </c>
      <c r="M3757" s="7">
        <v>1.05</v>
      </c>
      <c r="N3757" s="7">
        <v>1.27</v>
      </c>
      <c r="O3757" s="7">
        <v>0.56699999999999995</v>
      </c>
      <c r="P3757" s="1" t="s">
        <v>33834</v>
      </c>
    </row>
    <row r="3758" spans="1:16" ht="33.4" x14ac:dyDescent="0.3">
      <c r="A3758" s="6" t="str">
        <f>HYPERLINK("https://www.ti.com/product/CSD16409Q3", "CSD16409Q3")</f>
        <v>CSD16409Q3</v>
      </c>
      <c r="B3758" s="5" t="s">
        <v>33835</v>
      </c>
      <c r="C3758" s="6" t="str">
        <f>HYPERLINK("https://www.ti.com/lit/gpn/CSD16409Q3", "PDF")</f>
        <v>PDF</v>
      </c>
      <c r="D3758" s="5" t="s">
        <v>33836</v>
      </c>
      <c r="E3758" s="5" t="s">
        <v>33837</v>
      </c>
      <c r="F3758" s="5"/>
      <c r="G3758" s="5" t="s">
        <v>33838</v>
      </c>
      <c r="H3758" s="1" t="s">
        <v>33839</v>
      </c>
      <c r="I3758" s="5" t="s">
        <v>33840</v>
      </c>
      <c r="J3758" s="7">
        <v>8</v>
      </c>
      <c r="K3758" s="7">
        <v>10.89</v>
      </c>
      <c r="L3758" s="5" t="s">
        <v>33841</v>
      </c>
      <c r="M3758" s="7">
        <v>1.1000000000000001</v>
      </c>
      <c r="N3758" s="7">
        <v>0.65</v>
      </c>
      <c r="O3758" s="7">
        <v>0.27900000000000003</v>
      </c>
      <c r="P3758" s="1" t="s">
        <v>33842</v>
      </c>
    </row>
    <row r="3759" spans="1:16" ht="33.4" x14ac:dyDescent="0.3">
      <c r="A3759" s="6" t="str">
        <f>HYPERLINK("https://www.ti.com/product/CSD16410Q5A", "CSD16410Q5A")</f>
        <v>CSD16410Q5A</v>
      </c>
      <c r="B3759" s="5" t="s">
        <v>33843</v>
      </c>
      <c r="C3759" s="6" t="str">
        <f>HYPERLINK("https://www.ti.com/lit/gpn/CSD16410Q5A", "PDF")</f>
        <v>PDF</v>
      </c>
      <c r="D3759" s="5" t="s">
        <v>33844</v>
      </c>
      <c r="E3759" s="5" t="s">
        <v>33845</v>
      </c>
      <c r="F3759" s="5"/>
      <c r="G3759" s="5" t="s">
        <v>33846</v>
      </c>
      <c r="H3759" s="1" t="s">
        <v>33847</v>
      </c>
      <c r="I3759" s="5" t="s">
        <v>33848</v>
      </c>
      <c r="J3759" s="7">
        <v>8</v>
      </c>
      <c r="K3759" s="7">
        <v>29.4</v>
      </c>
      <c r="L3759" s="5" t="s">
        <v>33849</v>
      </c>
      <c r="M3759" s="7">
        <v>1.1000000000000001</v>
      </c>
      <c r="N3759" s="7">
        <v>1.27</v>
      </c>
      <c r="O3759" s="7">
        <v>0.23300000000000001</v>
      </c>
      <c r="P3759" s="1" t="s">
        <v>33850</v>
      </c>
    </row>
    <row r="3760" spans="1:16" ht="33.4" x14ac:dyDescent="0.3">
      <c r="A3760" s="6" t="str">
        <f>HYPERLINK("https://www.ti.com/product/CSD16412Q5A", "CSD16412Q5A")</f>
        <v>CSD16412Q5A</v>
      </c>
      <c r="B3760" s="5" t="s">
        <v>33851</v>
      </c>
      <c r="C3760" s="6" t="str">
        <f>HYPERLINK("https://www.ti.com/lit/gpn/CSD16412Q5A", "PDF")</f>
        <v>PDF</v>
      </c>
      <c r="D3760" s="5" t="s">
        <v>33852</v>
      </c>
      <c r="E3760" s="5" t="s">
        <v>33853</v>
      </c>
      <c r="F3760" s="5"/>
      <c r="G3760" s="5" t="s">
        <v>33854</v>
      </c>
      <c r="H3760" s="1" t="s">
        <v>33855</v>
      </c>
      <c r="I3760" s="5" t="s">
        <v>33856</v>
      </c>
      <c r="J3760" s="7">
        <v>8</v>
      </c>
      <c r="K3760" s="7">
        <v>29.4</v>
      </c>
      <c r="L3760" s="5" t="s">
        <v>33857</v>
      </c>
      <c r="M3760" s="7">
        <v>1.1000000000000001</v>
      </c>
      <c r="N3760" s="7">
        <v>1.27</v>
      </c>
      <c r="O3760" s="7">
        <v>0.24199999999999999</v>
      </c>
      <c r="P3760" s="1" t="s">
        <v>33858</v>
      </c>
    </row>
    <row r="3761" spans="1:16" ht="33.4" x14ac:dyDescent="0.3">
      <c r="A3761" s="6" t="str">
        <f>HYPERLINK("https://www.ti.com/product/CSD16413Q5A", "CSD16413Q5A")</f>
        <v>CSD16413Q5A</v>
      </c>
      <c r="B3761" s="5" t="s">
        <v>33859</v>
      </c>
      <c r="C3761" s="6" t="str">
        <f>HYPERLINK("https://www.ti.com/lit/gpn/CSD16413Q5A", "PDF")</f>
        <v>PDF</v>
      </c>
      <c r="D3761" s="5" t="s">
        <v>33860</v>
      </c>
      <c r="E3761" s="5" t="s">
        <v>33861</v>
      </c>
      <c r="F3761" s="5"/>
      <c r="G3761" s="5" t="s">
        <v>33862</v>
      </c>
      <c r="H3761" s="1" t="s">
        <v>33863</v>
      </c>
      <c r="I3761" s="5" t="s">
        <v>33864</v>
      </c>
      <c r="J3761" s="7">
        <v>8</v>
      </c>
      <c r="K3761" s="7">
        <v>29.4</v>
      </c>
      <c r="L3761" s="5" t="s">
        <v>33865</v>
      </c>
      <c r="M3761" s="7">
        <v>1.1000000000000001</v>
      </c>
      <c r="N3761" s="7">
        <v>1.27</v>
      </c>
      <c r="O3761" s="7">
        <v>0.40500000000000003</v>
      </c>
      <c r="P3761" s="1" t="s">
        <v>33866</v>
      </c>
    </row>
    <row r="3762" spans="1:16" ht="33.4" x14ac:dyDescent="0.3">
      <c r="A3762" s="6" t="str">
        <f>HYPERLINK("https://www.ti.com/product/TPS61220", "TPS61220")</f>
        <v>TPS61220</v>
      </c>
      <c r="B3762" s="5" t="s">
        <v>33867</v>
      </c>
      <c r="C3762" s="6" t="str">
        <f>HYPERLINK("https://www.ti.com/lit/gpn/TPS61220", "PDF")</f>
        <v>PDF</v>
      </c>
      <c r="D3762" s="5" t="s">
        <v>33868</v>
      </c>
      <c r="E3762" s="5" t="s">
        <v>33869</v>
      </c>
      <c r="F3762" s="5" t="s">
        <v>33870</v>
      </c>
      <c r="G3762" s="5" t="s">
        <v>33871</v>
      </c>
      <c r="H3762" s="1" t="s">
        <v>33872</v>
      </c>
      <c r="I3762" s="5" t="s">
        <v>33873</v>
      </c>
      <c r="J3762" s="7">
        <v>6</v>
      </c>
      <c r="K3762" s="7">
        <v>4.2</v>
      </c>
      <c r="L3762" s="5" t="s">
        <v>33874</v>
      </c>
      <c r="M3762" s="7">
        <v>1.1000000000000001</v>
      </c>
      <c r="N3762" s="7">
        <v>0.65</v>
      </c>
      <c r="O3762" s="7">
        <v>0.42199999999999999</v>
      </c>
      <c r="P3762" s="1" t="s">
        <v>33875</v>
      </c>
    </row>
    <row r="3763" spans="1:16" ht="33.4" x14ac:dyDescent="0.3">
      <c r="A3763" s="6" t="str">
        <f>HYPERLINK("https://www.ti.com/product/TPS61221", "TPS61221")</f>
        <v>TPS61221</v>
      </c>
      <c r="B3763" s="5" t="s">
        <v>33876</v>
      </c>
      <c r="C3763" s="6" t="str">
        <f>HYPERLINK("https://www.ti.com/lit/gpn/TPS61221", "PDF")</f>
        <v>PDF</v>
      </c>
      <c r="D3763" s="5" t="s">
        <v>33877</v>
      </c>
      <c r="E3763" s="5" t="s">
        <v>33878</v>
      </c>
      <c r="F3763" s="5" t="s">
        <v>33879</v>
      </c>
      <c r="G3763" s="5" t="s">
        <v>33880</v>
      </c>
      <c r="H3763" s="1" t="s">
        <v>33881</v>
      </c>
      <c r="I3763" s="5" t="s">
        <v>33882</v>
      </c>
      <c r="J3763" s="7">
        <v>6</v>
      </c>
      <c r="K3763" s="7">
        <v>4.2</v>
      </c>
      <c r="L3763" s="5" t="s">
        <v>33883</v>
      </c>
      <c r="M3763" s="7">
        <v>1.1000000000000001</v>
      </c>
      <c r="N3763" s="7">
        <v>0.65</v>
      </c>
      <c r="O3763" s="7">
        <v>0.42199999999999999</v>
      </c>
      <c r="P3763" s="1" t="s">
        <v>33884</v>
      </c>
    </row>
    <row r="3764" spans="1:16" ht="33.4" x14ac:dyDescent="0.3">
      <c r="A3764" s="6" t="str">
        <f>HYPERLINK("https://www.ti.com/product/TPS61222", "TPS61222")</f>
        <v>TPS61222</v>
      </c>
      <c r="B3764" s="5" t="s">
        <v>33885</v>
      </c>
      <c r="C3764" s="6" t="str">
        <f>HYPERLINK("https://www.ti.com/lit/gpn/TPS61222", "PDF")</f>
        <v>PDF</v>
      </c>
      <c r="D3764" s="5" t="s">
        <v>33886</v>
      </c>
      <c r="E3764" s="5" t="s">
        <v>33887</v>
      </c>
      <c r="F3764" s="5" t="s">
        <v>33888</v>
      </c>
      <c r="G3764" s="5" t="s">
        <v>33889</v>
      </c>
      <c r="H3764" s="1" t="s">
        <v>33890</v>
      </c>
      <c r="I3764" s="5" t="s">
        <v>33891</v>
      </c>
      <c r="J3764" s="7">
        <v>6</v>
      </c>
      <c r="K3764" s="7">
        <v>4.2</v>
      </c>
      <c r="L3764" s="5" t="s">
        <v>33892</v>
      </c>
      <c r="M3764" s="7">
        <v>1.1000000000000001</v>
      </c>
      <c r="N3764" s="7">
        <v>0.65</v>
      </c>
      <c r="O3764" s="7">
        <v>0.42199999999999999</v>
      </c>
      <c r="P3764" s="1" t="s">
        <v>33893</v>
      </c>
    </row>
    <row r="3765" spans="1:16" ht="33.4" x14ac:dyDescent="0.3">
      <c r="A3765" s="6" t="str">
        <f>HYPERLINK("https://www.ti.com/product/TPS62590", "TPS62590")</f>
        <v>TPS62590</v>
      </c>
      <c r="B3765" s="5" t="s">
        <v>33894</v>
      </c>
      <c r="C3765" s="6" t="str">
        <f>HYPERLINK("https://www.ti.com/lit/gpn/TPS62590", "PDF")</f>
        <v>PDF</v>
      </c>
      <c r="D3765" s="5" t="s">
        <v>33895</v>
      </c>
      <c r="E3765" s="5" t="s">
        <v>33896</v>
      </c>
      <c r="F3765" s="5" t="s">
        <v>33897</v>
      </c>
      <c r="G3765" s="5" t="s">
        <v>33898</v>
      </c>
      <c r="H3765" s="1" t="s">
        <v>33899</v>
      </c>
      <c r="I3765" s="5" t="s">
        <v>33900</v>
      </c>
      <c r="J3765" s="7">
        <v>6</v>
      </c>
      <c r="K3765" s="7">
        <v>4</v>
      </c>
      <c r="L3765" s="5" t="s">
        <v>33901</v>
      </c>
      <c r="M3765" s="7">
        <v>0.8</v>
      </c>
      <c r="N3765" s="7">
        <v>0.65</v>
      </c>
      <c r="O3765" s="7">
        <v>0.33400000000000002</v>
      </c>
      <c r="P3765" s="1" t="s">
        <v>33902</v>
      </c>
    </row>
    <row r="3766" spans="1:16" ht="33.4" x14ac:dyDescent="0.3">
      <c r="A3766" s="6" t="str">
        <f>HYPERLINK("https://www.ti.com/product/TPS734", "TPS734")</f>
        <v>TPS734</v>
      </c>
      <c r="B3766" s="5" t="s">
        <v>33903</v>
      </c>
      <c r="C3766" s="6" t="str">
        <f>HYPERLINK("https://www.ti.com/lit/gpn/TPS734", "PDF")</f>
        <v>PDF</v>
      </c>
      <c r="D3766" s="5" t="s">
        <v>33904</v>
      </c>
      <c r="E3766" s="5" t="s">
        <v>33905</v>
      </c>
      <c r="F3766" s="5"/>
      <c r="G3766" s="5" t="s">
        <v>33906</v>
      </c>
      <c r="H3766" s="1" t="s">
        <v>33907</v>
      </c>
      <c r="I3766" s="5" t="s">
        <v>33908</v>
      </c>
      <c r="J3766" s="7" t="s">
        <v>33909</v>
      </c>
      <c r="K3766" s="7" t="s">
        <v>33910</v>
      </c>
      <c r="L3766" s="5" t="s">
        <v>33911</v>
      </c>
      <c r="M3766" s="7" t="s">
        <v>33912</v>
      </c>
      <c r="N3766" s="7" t="s">
        <v>33913</v>
      </c>
      <c r="O3766" s="7">
        <v>0.36499999999999999</v>
      </c>
      <c r="P3766" s="1" t="s">
        <v>33914</v>
      </c>
    </row>
    <row r="3767" spans="1:16" ht="17.05" x14ac:dyDescent="0.3">
      <c r="A3767" s="6" t="str">
        <f>HYPERLINK("https://www.ti.com/product/TPS2420", "TPS2420")</f>
        <v>TPS2420</v>
      </c>
      <c r="B3767" s="5" t="s">
        <v>33915</v>
      </c>
      <c r="C3767" s="6" t="str">
        <f>HYPERLINK("https://www.ti.com/lit/gpn/TPS2420", "PDF")</f>
        <v>PDF</v>
      </c>
      <c r="D3767" s="5" t="s">
        <v>33916</v>
      </c>
      <c r="E3767" s="5" t="s">
        <v>33917</v>
      </c>
      <c r="F3767" s="5"/>
      <c r="G3767" s="5" t="s">
        <v>33918</v>
      </c>
      <c r="H3767" s="1" t="s">
        <v>33919</v>
      </c>
      <c r="I3767" s="5" t="s">
        <v>33920</v>
      </c>
      <c r="J3767" s="7">
        <v>16</v>
      </c>
      <c r="K3767" s="7">
        <v>16</v>
      </c>
      <c r="L3767" s="5" t="s">
        <v>33921</v>
      </c>
      <c r="M3767" s="7">
        <v>1</v>
      </c>
      <c r="N3767" s="7">
        <v>0.65</v>
      </c>
      <c r="O3767" s="7">
        <v>1.0580000000000001</v>
      </c>
      <c r="P3767" s="1" t="s">
        <v>33922</v>
      </c>
    </row>
    <row r="3768" spans="1:16" ht="33.4" x14ac:dyDescent="0.3">
      <c r="A3768" s="6" t="str">
        <f>HYPERLINK("https://www.ti.com/product/LM27402", "LM27402")</f>
        <v>LM27402</v>
      </c>
      <c r="B3768" s="5" t="s">
        <v>33923</v>
      </c>
      <c r="C3768" s="6" t="str">
        <f>HYPERLINK("https://www.ti.com/lit/gpn/LM27402", "PDF")</f>
        <v>PDF</v>
      </c>
      <c r="D3768" s="5" t="s">
        <v>33924</v>
      </c>
      <c r="E3768" s="5" t="s">
        <v>33925</v>
      </c>
      <c r="F3768" s="5" t="s">
        <v>33926</v>
      </c>
      <c r="G3768" s="5" t="s">
        <v>33927</v>
      </c>
      <c r="H3768" s="1" t="s">
        <v>33928</v>
      </c>
      <c r="I3768" s="5" t="s">
        <v>33929</v>
      </c>
      <c r="J3768" s="7">
        <v>16</v>
      </c>
      <c r="K3768" s="7" t="s">
        <v>33930</v>
      </c>
      <c r="L3768" s="5" t="s">
        <v>33931</v>
      </c>
      <c r="M3768" s="7" t="s">
        <v>33932</v>
      </c>
      <c r="N3768" s="7">
        <v>0.65</v>
      </c>
      <c r="O3768" s="7">
        <v>1.286</v>
      </c>
      <c r="P3768" s="1" t="s">
        <v>33933</v>
      </c>
    </row>
    <row r="3769" spans="1:16" ht="33.4" x14ac:dyDescent="0.3">
      <c r="A3769" s="6" t="str">
        <f>HYPERLINK("https://www.ti.com/product/PTH08T255W", "PTH08T255W")</f>
        <v>PTH08T255W</v>
      </c>
      <c r="B3769" s="5" t="s">
        <v>33934</v>
      </c>
      <c r="C3769" s="6" t="str">
        <f>HYPERLINK("https://www.ti.com/lit/gpn/PTH08T255W", "PDF")</f>
        <v>PDF</v>
      </c>
      <c r="D3769" s="5" t="s">
        <v>33935</v>
      </c>
      <c r="E3769" s="5" t="s">
        <v>33936</v>
      </c>
      <c r="F3769" s="5" t="s">
        <v>33937</v>
      </c>
      <c r="G3769" s="5" t="s">
        <v>33938</v>
      </c>
      <c r="H3769" s="1" t="s">
        <v>33939</v>
      </c>
      <c r="I3769" s="5" t="s">
        <v>33940</v>
      </c>
      <c r="J3769" s="7">
        <v>22</v>
      </c>
      <c r="K3769" s="7">
        <v>1066.5704000000001</v>
      </c>
      <c r="L3769" s="5" t="s">
        <v>33941</v>
      </c>
      <c r="M3769" s="7">
        <v>9.64</v>
      </c>
      <c r="N3769" s="7">
        <v>2.54</v>
      </c>
      <c r="O3769" s="7">
        <v>56.006</v>
      </c>
      <c r="P3769" s="1" t="s">
        <v>33942</v>
      </c>
    </row>
    <row r="3770" spans="1:16" ht="33.4" x14ac:dyDescent="0.3">
      <c r="A3770" s="6" t="str">
        <f>HYPERLINK("https://www.ti.com/product/TPS54332", "TPS54332")</f>
        <v>TPS54332</v>
      </c>
      <c r="B3770" s="5" t="s">
        <v>33943</v>
      </c>
      <c r="C3770" s="6" t="str">
        <f>HYPERLINK("https://www.ti.com/lit/gpn/TPS54332", "PDF")</f>
        <v>PDF</v>
      </c>
      <c r="D3770" s="5" t="s">
        <v>33944</v>
      </c>
      <c r="E3770" s="5" t="s">
        <v>33945</v>
      </c>
      <c r="F3770" s="5" t="s">
        <v>33946</v>
      </c>
      <c r="G3770" s="5" t="s">
        <v>33947</v>
      </c>
      <c r="H3770" s="1" t="s">
        <v>33948</v>
      </c>
      <c r="I3770" s="5" t="s">
        <v>33949</v>
      </c>
      <c r="J3770" s="7">
        <v>8</v>
      </c>
      <c r="K3770" s="7">
        <v>29.4</v>
      </c>
      <c r="L3770" s="5" t="s">
        <v>33950</v>
      </c>
      <c r="M3770" s="7">
        <v>1.7</v>
      </c>
      <c r="N3770" s="7">
        <v>1.27</v>
      </c>
      <c r="O3770" s="7">
        <v>0.7</v>
      </c>
      <c r="P3770" s="1" t="s">
        <v>33951</v>
      </c>
    </row>
    <row r="3771" spans="1:16" ht="33.4" x14ac:dyDescent="0.3">
      <c r="A3771" s="6" t="str">
        <f>HYPERLINK("https://www.ti.com/product/LM3555", "LM3555")</f>
        <v>LM3555</v>
      </c>
      <c r="B3771" s="5" t="s">
        <v>33952</v>
      </c>
      <c r="C3771" s="6" t="str">
        <f>HYPERLINK("https://www.ti.com/lit/gpn/LM3555", "PDF")</f>
        <v>PDF</v>
      </c>
      <c r="D3771" s="5" t="s">
        <v>33953</v>
      </c>
      <c r="E3771" s="5" t="s">
        <v>33954</v>
      </c>
      <c r="F3771" s="5" t="s">
        <v>33955</v>
      </c>
      <c r="G3771" s="5" t="s">
        <v>33956</v>
      </c>
      <c r="H3771" s="1" t="s">
        <v>33957</v>
      </c>
      <c r="I3771" s="5" t="s">
        <v>33958</v>
      </c>
      <c r="J3771" s="7">
        <v>12</v>
      </c>
      <c r="K3771" s="7">
        <v>3.9375</v>
      </c>
      <c r="L3771" s="5" t="s">
        <v>33959</v>
      </c>
      <c r="M3771" s="7">
        <v>0.67500000000000004</v>
      </c>
      <c r="N3771" s="7">
        <v>0.5</v>
      </c>
      <c r="O3771" s="7">
        <v>0.35399999999999998</v>
      </c>
      <c r="P3771" s="1" t="s">
        <v>33960</v>
      </c>
    </row>
    <row r="3772" spans="1:16" ht="49.75" x14ac:dyDescent="0.3">
      <c r="A3772" s="6" t="str">
        <f>HYPERLINK("https://www.ti.com/product/TLC59108", "TLC59108")</f>
        <v>TLC59108</v>
      </c>
      <c r="B3772" s="5" t="s">
        <v>33961</v>
      </c>
      <c r="C3772" s="6" t="str">
        <f>HYPERLINK("https://www.ti.com/lit/gpn/TLC59108", "PDF")</f>
        <v>PDF</v>
      </c>
      <c r="D3772" s="5" t="s">
        <v>33962</v>
      </c>
      <c r="E3772" s="5" t="s">
        <v>33963</v>
      </c>
      <c r="F3772" s="5" t="s">
        <v>33964</v>
      </c>
      <c r="G3772" s="5" t="s">
        <v>33965</v>
      </c>
      <c r="H3772" s="1" t="s">
        <v>33966</v>
      </c>
      <c r="I3772" s="5" t="s">
        <v>33967</v>
      </c>
      <c r="J3772" s="7">
        <v>20</v>
      </c>
      <c r="K3772" s="7" t="s">
        <v>33968</v>
      </c>
      <c r="L3772" s="5" t="s">
        <v>33969</v>
      </c>
      <c r="M3772" s="7" t="s">
        <v>33970</v>
      </c>
      <c r="N3772" s="7" t="s">
        <v>33971</v>
      </c>
      <c r="O3772" s="7">
        <v>0.69199999999999995</v>
      </c>
      <c r="P3772" s="1" t="s">
        <v>33972</v>
      </c>
    </row>
    <row r="3773" spans="1:16" ht="17.05" x14ac:dyDescent="0.3">
      <c r="A3773" s="6" t="str">
        <f>HYPERLINK("https://www.ti.com/product/TLC59108F", "TLC59108F")</f>
        <v>TLC59108F</v>
      </c>
      <c r="B3773" s="5" t="s">
        <v>33973</v>
      </c>
      <c r="C3773" s="6" t="str">
        <f>HYPERLINK("https://www.ti.com/lit/gpn/TLC59108F", "PDF")</f>
        <v>PDF</v>
      </c>
      <c r="D3773" s="5" t="s">
        <v>33974</v>
      </c>
      <c r="E3773" s="5" t="s">
        <v>33975</v>
      </c>
      <c r="F3773" s="5" t="s">
        <v>33976</v>
      </c>
      <c r="G3773" s="5" t="s">
        <v>33977</v>
      </c>
      <c r="H3773" s="1" t="s">
        <v>33978</v>
      </c>
      <c r="I3773" s="5" t="s">
        <v>33979</v>
      </c>
      <c r="J3773" s="7">
        <v>20</v>
      </c>
      <c r="K3773" s="7">
        <v>41.6</v>
      </c>
      <c r="L3773" s="5" t="s">
        <v>33980</v>
      </c>
      <c r="M3773" s="7">
        <v>1.2</v>
      </c>
      <c r="N3773" s="7">
        <v>0.65</v>
      </c>
      <c r="O3773" s="7">
        <v>0.69199999999999995</v>
      </c>
      <c r="P3773" s="1" t="s">
        <v>33981</v>
      </c>
    </row>
    <row r="3774" spans="1:16" ht="49.75" x14ac:dyDescent="0.3">
      <c r="A3774" s="6" t="str">
        <f>HYPERLINK("https://www.ti.com/product/TLC59210", "TLC59210")</f>
        <v>TLC59210</v>
      </c>
      <c r="B3774" s="5" t="s">
        <v>33982</v>
      </c>
      <c r="C3774" s="6" t="str">
        <f>HYPERLINK("https://www.ti.com/lit/gpn/TLC59210", "PDF")</f>
        <v>PDF</v>
      </c>
      <c r="D3774" s="5" t="s">
        <v>33983</v>
      </c>
      <c r="E3774" s="5" t="s">
        <v>33984</v>
      </c>
      <c r="F3774" s="5" t="s">
        <v>33985</v>
      </c>
      <c r="G3774" s="5" t="s">
        <v>33986</v>
      </c>
      <c r="H3774" s="1" t="s">
        <v>33987</v>
      </c>
      <c r="I3774" s="5" t="s">
        <v>33988</v>
      </c>
      <c r="J3774" s="7">
        <v>20</v>
      </c>
      <c r="K3774" s="7" t="s">
        <v>33989</v>
      </c>
      <c r="L3774" s="5" t="s">
        <v>33990</v>
      </c>
      <c r="M3774" s="7" t="s">
        <v>33991</v>
      </c>
      <c r="N3774" s="7" t="s">
        <v>33992</v>
      </c>
      <c r="O3774" s="7">
        <v>0.66800000000000004</v>
      </c>
      <c r="P3774" s="1" t="s">
        <v>33993</v>
      </c>
    </row>
    <row r="3775" spans="1:16" ht="49.75" x14ac:dyDescent="0.3">
      <c r="A3775" s="6" t="str">
        <f>HYPERLINK("https://www.ti.com/product/TLC59211", "TLC59211")</f>
        <v>TLC59211</v>
      </c>
      <c r="B3775" s="5" t="s">
        <v>33994</v>
      </c>
      <c r="C3775" s="6" t="str">
        <f>HYPERLINK("https://www.ti.com/lit/gpn/TLC59211", "PDF")</f>
        <v>PDF</v>
      </c>
      <c r="D3775" s="5" t="s">
        <v>33995</v>
      </c>
      <c r="E3775" s="5" t="s">
        <v>33996</v>
      </c>
      <c r="F3775" s="5" t="s">
        <v>33997</v>
      </c>
      <c r="G3775" s="5" t="s">
        <v>33998</v>
      </c>
      <c r="H3775" s="1" t="s">
        <v>33999</v>
      </c>
      <c r="I3775" s="5" t="s">
        <v>34000</v>
      </c>
      <c r="J3775" s="7">
        <v>20</v>
      </c>
      <c r="K3775" s="7" t="s">
        <v>34001</v>
      </c>
      <c r="L3775" s="5" t="s">
        <v>34002</v>
      </c>
      <c r="M3775" s="7" t="s">
        <v>34003</v>
      </c>
      <c r="N3775" s="7" t="s">
        <v>34004</v>
      </c>
      <c r="O3775" s="7">
        <v>0.55900000000000005</v>
      </c>
      <c r="P3775" s="1" t="s">
        <v>34005</v>
      </c>
    </row>
    <row r="3776" spans="1:16" ht="17.05" x14ac:dyDescent="0.3">
      <c r="A3776" s="6" t="str">
        <f>HYPERLINK("https://www.ti.com/product/TLC59212", "TLC59212")</f>
        <v>TLC59212</v>
      </c>
      <c r="B3776" s="5" t="s">
        <v>34006</v>
      </c>
      <c r="C3776" s="6" t="str">
        <f>HYPERLINK("https://www.ti.com/lit/gpn/TLC59212", "PDF")</f>
        <v>PDF</v>
      </c>
      <c r="D3776" s="5" t="s">
        <v>34007</v>
      </c>
      <c r="E3776" s="5" t="s">
        <v>34008</v>
      </c>
      <c r="F3776" s="5" t="s">
        <v>34009</v>
      </c>
      <c r="G3776" s="5" t="s">
        <v>34010</v>
      </c>
      <c r="H3776" s="1" t="s">
        <v>34011</v>
      </c>
      <c r="I3776" s="5" t="s">
        <v>34012</v>
      </c>
      <c r="J3776" s="7">
        <v>20</v>
      </c>
      <c r="K3776" s="7">
        <v>41.6</v>
      </c>
      <c r="L3776" s="5" t="s">
        <v>34013</v>
      </c>
      <c r="M3776" s="7">
        <v>1.2</v>
      </c>
      <c r="N3776" s="7">
        <v>0.65</v>
      </c>
      <c r="O3776" s="7">
        <v>0.46400000000000002</v>
      </c>
      <c r="P3776" s="1" t="s">
        <v>34014</v>
      </c>
    </row>
    <row r="3777" spans="1:16" ht="49.75" x14ac:dyDescent="0.3">
      <c r="A3777" s="6" t="str">
        <f>HYPERLINK("https://www.ti.com/product/TLC59213", "TLC59213")</f>
        <v>TLC59213</v>
      </c>
      <c r="B3777" s="5" t="s">
        <v>34015</v>
      </c>
      <c r="C3777" s="6" t="str">
        <f>HYPERLINK("https://www.ti.com/lit/gpn/TLC59213", "PDF")</f>
        <v>PDF</v>
      </c>
      <c r="D3777" s="5" t="s">
        <v>34016</v>
      </c>
      <c r="E3777" s="5" t="s">
        <v>34017</v>
      </c>
      <c r="F3777" s="5" t="s">
        <v>34018</v>
      </c>
      <c r="G3777" s="5" t="s">
        <v>34019</v>
      </c>
      <c r="H3777" s="1" t="s">
        <v>34020</v>
      </c>
      <c r="I3777" s="5" t="s">
        <v>34021</v>
      </c>
      <c r="J3777" s="7">
        <v>20</v>
      </c>
      <c r="K3777" s="7" t="s">
        <v>34022</v>
      </c>
      <c r="L3777" s="5" t="s">
        <v>34023</v>
      </c>
      <c r="M3777" s="7" t="s">
        <v>34024</v>
      </c>
      <c r="N3777" s="7" t="s">
        <v>34025</v>
      </c>
      <c r="O3777" s="7">
        <v>0.78</v>
      </c>
      <c r="P3777" s="1" t="s">
        <v>34026</v>
      </c>
    </row>
    <row r="3778" spans="1:16" ht="33.4" x14ac:dyDescent="0.3">
      <c r="A3778" s="6" t="str">
        <f>HYPERLINK("https://www.ti.com/product/TLC5941-Q1", "TLC5941-Q1")</f>
        <v>TLC5941-Q1</v>
      </c>
      <c r="B3778" s="5" t="s">
        <v>34027</v>
      </c>
      <c r="C3778" s="6" t="str">
        <f>HYPERLINK("https://www.ti.com/lit/gpn/TLC5941-Q1", "PDF")</f>
        <v>PDF</v>
      </c>
      <c r="D3778" s="5" t="s">
        <v>34028</v>
      </c>
      <c r="E3778" s="5" t="s">
        <v>34029</v>
      </c>
      <c r="F3778" s="5" t="s">
        <v>34030</v>
      </c>
      <c r="G3778" s="5" t="s">
        <v>34031</v>
      </c>
      <c r="H3778" s="1" t="s">
        <v>34032</v>
      </c>
      <c r="I3778" s="5" t="s">
        <v>34033</v>
      </c>
      <c r="J3778" s="7">
        <v>28</v>
      </c>
      <c r="K3778" s="7">
        <v>62.08</v>
      </c>
      <c r="L3778" s="5" t="s">
        <v>34034</v>
      </c>
      <c r="M3778" s="7">
        <v>1.2</v>
      </c>
      <c r="N3778" s="7">
        <v>0.65</v>
      </c>
      <c r="O3778" s="7">
        <v>1.173</v>
      </c>
      <c r="P3778" s="1" t="s">
        <v>34035</v>
      </c>
    </row>
    <row r="3779" spans="1:16" ht="33.4" x14ac:dyDescent="0.3">
      <c r="A3779" s="6" t="str">
        <f>HYPERLINK("https://www.ti.com/product/REF5025A-Q1", "REF5025A-Q1")</f>
        <v>REF5025A-Q1</v>
      </c>
      <c r="B3779" s="5" t="s">
        <v>34036</v>
      </c>
      <c r="C3779" s="6" t="str">
        <f>HYPERLINK("https://www.ti.com/lit/gpn/REF5025A-Q1", "PDF")</f>
        <v>PDF</v>
      </c>
      <c r="D3779" s="5" t="s">
        <v>34037</v>
      </c>
      <c r="E3779" s="5" t="s">
        <v>34038</v>
      </c>
      <c r="F3779" s="5"/>
      <c r="G3779" s="5" t="s">
        <v>34039</v>
      </c>
      <c r="H3779" s="1" t="s">
        <v>34040</v>
      </c>
      <c r="I3779" s="5" t="s">
        <v>34041</v>
      </c>
      <c r="J3779" s="7">
        <v>8</v>
      </c>
      <c r="K3779" s="7">
        <v>29.4</v>
      </c>
      <c r="L3779" s="5" t="s">
        <v>34042</v>
      </c>
      <c r="M3779" s="7">
        <v>1.75</v>
      </c>
      <c r="N3779" s="7">
        <v>1.27</v>
      </c>
      <c r="O3779" s="7">
        <v>1.643</v>
      </c>
      <c r="P3779" s="1" t="s">
        <v>34043</v>
      </c>
    </row>
    <row r="3780" spans="1:16" ht="33.4" x14ac:dyDescent="0.3">
      <c r="A3780" s="6" t="str">
        <f>HYPERLINK("https://www.ti.com/product/REF5045A-Q1", "REF5045A-Q1")</f>
        <v>REF5045A-Q1</v>
      </c>
      <c r="B3780" s="5" t="s">
        <v>34044</v>
      </c>
      <c r="C3780" s="6" t="str">
        <f>HYPERLINK("https://www.ti.com/lit/gpn/REF5045A-Q1", "PDF")</f>
        <v>PDF</v>
      </c>
      <c r="D3780" s="5" t="s">
        <v>34045</v>
      </c>
      <c r="E3780" s="5" t="s">
        <v>34046</v>
      </c>
      <c r="F3780" s="5"/>
      <c r="G3780" s="5" t="s">
        <v>34047</v>
      </c>
      <c r="H3780" s="1" t="s">
        <v>34048</v>
      </c>
      <c r="I3780" s="5" t="s">
        <v>34049</v>
      </c>
      <c r="J3780" s="7">
        <v>8</v>
      </c>
      <c r="K3780" s="7">
        <v>29.4</v>
      </c>
      <c r="L3780" s="5" t="s">
        <v>34050</v>
      </c>
      <c r="M3780" s="7">
        <v>1.75</v>
      </c>
      <c r="N3780" s="7">
        <v>1.27</v>
      </c>
      <c r="O3780" s="7">
        <v>1.6259999999999999</v>
      </c>
      <c r="P3780" s="1" t="s">
        <v>34051</v>
      </c>
    </row>
    <row r="3781" spans="1:16" ht="33.4" x14ac:dyDescent="0.3">
      <c r="A3781" s="6" t="str">
        <f>HYPERLINK("https://www.ti.com/product/TPS51220A", "TPS51220A")</f>
        <v>TPS51220A</v>
      </c>
      <c r="B3781" s="5" t="s">
        <v>34052</v>
      </c>
      <c r="C3781" s="6" t="str">
        <f>HYPERLINK("https://www.ti.com/lit/gpn/TPS51220A", "PDF")</f>
        <v>PDF</v>
      </c>
      <c r="D3781" s="5" t="s">
        <v>34053</v>
      </c>
      <c r="E3781" s="5" t="s">
        <v>34054</v>
      </c>
      <c r="F3781" s="5" t="s">
        <v>34055</v>
      </c>
      <c r="G3781" s="5" t="s">
        <v>34056</v>
      </c>
      <c r="H3781" s="1" t="s">
        <v>34057</v>
      </c>
      <c r="I3781" s="5" t="s">
        <v>34058</v>
      </c>
      <c r="J3781" s="7">
        <v>32</v>
      </c>
      <c r="K3781" s="7" t="s">
        <v>34059</v>
      </c>
      <c r="L3781" s="5" t="s">
        <v>34060</v>
      </c>
      <c r="M3781" s="7">
        <v>0.8</v>
      </c>
      <c r="N3781" s="7" t="s">
        <v>34061</v>
      </c>
      <c r="O3781" s="7">
        <v>1.518</v>
      </c>
      <c r="P3781" s="1" t="s">
        <v>34062</v>
      </c>
    </row>
    <row r="3782" spans="1:16" ht="33.4" x14ac:dyDescent="0.3">
      <c r="A3782" s="6" t="str">
        <f>HYPERLINK("https://www.ti.com/product/TPS2115A-Q1", "TPS2115A-Q1")</f>
        <v>TPS2115A-Q1</v>
      </c>
      <c r="B3782" s="5" t="s">
        <v>34063</v>
      </c>
      <c r="C3782" s="6" t="str">
        <f>HYPERLINK("https://www.ti.com/lit/gpn/TPS2115A-Q1", "PDF")</f>
        <v>PDF</v>
      </c>
      <c r="D3782" s="5" t="s">
        <v>34064</v>
      </c>
      <c r="E3782" s="5" t="s">
        <v>34065</v>
      </c>
      <c r="F3782" s="5"/>
      <c r="G3782" s="5" t="s">
        <v>34066</v>
      </c>
      <c r="H3782" s="1" t="s">
        <v>34067</v>
      </c>
      <c r="I3782" s="5" t="s">
        <v>34068</v>
      </c>
      <c r="J3782" s="7">
        <v>8</v>
      </c>
      <c r="K3782" s="7">
        <v>19.2</v>
      </c>
      <c r="L3782" s="5" t="s">
        <v>34069</v>
      </c>
      <c r="M3782" s="7">
        <v>1.2</v>
      </c>
      <c r="N3782" s="7">
        <v>0.65</v>
      </c>
      <c r="O3782" s="7">
        <v>1.1819999999999999</v>
      </c>
      <c r="P3782" s="1" t="s">
        <v>34070</v>
      </c>
    </row>
    <row r="3783" spans="1:16" ht="33.4" x14ac:dyDescent="0.3">
      <c r="A3783" s="6" t="str">
        <f>HYPERLINK("https://www.ti.com/product/TPS22942", "TPS22942")</f>
        <v>TPS22942</v>
      </c>
      <c r="B3783" s="5" t="s">
        <v>34071</v>
      </c>
      <c r="C3783" s="6" t="str">
        <f>HYPERLINK("https://www.ti.com/lit/gpn/TPS22942", "PDF")</f>
        <v>PDF</v>
      </c>
      <c r="D3783" s="5" t="s">
        <v>34072</v>
      </c>
      <c r="E3783" s="5" t="s">
        <v>34073</v>
      </c>
      <c r="F3783" s="5"/>
      <c r="G3783" s="5" t="s">
        <v>34074</v>
      </c>
      <c r="H3783" s="1" t="s">
        <v>34075</v>
      </c>
      <c r="I3783" s="5" t="s">
        <v>34076</v>
      </c>
      <c r="J3783" s="7">
        <v>5</v>
      </c>
      <c r="K3783" s="7">
        <v>4.2</v>
      </c>
      <c r="L3783" s="5" t="s">
        <v>34077</v>
      </c>
      <c r="M3783" s="7">
        <v>1.1000000000000001</v>
      </c>
      <c r="N3783" s="7">
        <v>0.65</v>
      </c>
      <c r="O3783" s="7">
        <v>0.34499999999999997</v>
      </c>
      <c r="P3783" s="1" t="s">
        <v>34078</v>
      </c>
    </row>
    <row r="3784" spans="1:16" ht="33.4" x14ac:dyDescent="0.3">
      <c r="A3784" s="6" t="str">
        <f>HYPERLINK("https://www.ti.com/product/UCC28019A", "UCC28019A")</f>
        <v>UCC28019A</v>
      </c>
      <c r="B3784" s="5" t="s">
        <v>34079</v>
      </c>
      <c r="C3784" s="6" t="str">
        <f>HYPERLINK("https://www.ti.com/lit/gpn/UCC28019A", "PDF")</f>
        <v>PDF</v>
      </c>
      <c r="D3784" s="5" t="s">
        <v>34080</v>
      </c>
      <c r="E3784" s="5" t="s">
        <v>34081</v>
      </c>
      <c r="F3784" s="5" t="s">
        <v>34082</v>
      </c>
      <c r="G3784" s="5" t="s">
        <v>34083</v>
      </c>
      <c r="H3784" s="1" t="s">
        <v>34084</v>
      </c>
      <c r="I3784" s="5" t="s">
        <v>34085</v>
      </c>
      <c r="J3784" s="7">
        <v>8</v>
      </c>
      <c r="K3784" s="7">
        <v>29.4</v>
      </c>
      <c r="L3784" s="5" t="s">
        <v>34086</v>
      </c>
      <c r="M3784" s="7">
        <v>1.75</v>
      </c>
      <c r="N3784" s="7">
        <v>1.27</v>
      </c>
      <c r="O3784" s="7">
        <v>0.53200000000000003</v>
      </c>
      <c r="P3784" s="1" t="s">
        <v>34087</v>
      </c>
    </row>
    <row r="3785" spans="1:16" ht="33.4" x14ac:dyDescent="0.3">
      <c r="A3785" s="6" t="str">
        <f>HYPERLINK("https://www.ti.com/product/UCC2897A", "UCC2897A")</f>
        <v>UCC2897A</v>
      </c>
      <c r="B3785" s="5" t="s">
        <v>34088</v>
      </c>
      <c r="C3785" s="6" t="str">
        <f>HYPERLINK("https://www.ti.com/lit/gpn/UCC2897A", "PDF")</f>
        <v>PDF</v>
      </c>
      <c r="D3785" s="5" t="s">
        <v>34089</v>
      </c>
      <c r="E3785" s="5" t="s">
        <v>34090</v>
      </c>
      <c r="F3785" s="5" t="s">
        <v>34091</v>
      </c>
      <c r="G3785" s="5" t="s">
        <v>34092</v>
      </c>
      <c r="H3785" s="1" t="s">
        <v>34093</v>
      </c>
      <c r="I3785" s="5" t="s">
        <v>34094</v>
      </c>
      <c r="J3785" s="7">
        <v>20</v>
      </c>
      <c r="K3785" s="7" t="s">
        <v>34095</v>
      </c>
      <c r="L3785" s="5" t="s">
        <v>34096</v>
      </c>
      <c r="M3785" s="7" t="s">
        <v>34097</v>
      </c>
      <c r="N3785" s="7" t="s">
        <v>34098</v>
      </c>
      <c r="O3785" s="7">
        <v>0.66500000000000004</v>
      </c>
      <c r="P3785" s="1" t="s">
        <v>34099</v>
      </c>
    </row>
    <row r="3786" spans="1:16" ht="33.4" x14ac:dyDescent="0.3">
      <c r="A3786" s="6" t="str">
        <f>HYPERLINK("https://www.ti.com/product/PTH04T240F", "PTH04T240F")</f>
        <v>PTH04T240F</v>
      </c>
      <c r="B3786" s="5" t="s">
        <v>34100</v>
      </c>
      <c r="C3786" s="6" t="str">
        <f>HYPERLINK("https://www.ti.com/lit/gpn/PTH04T240F", "PDF")</f>
        <v>PDF</v>
      </c>
      <c r="D3786" s="5" t="s">
        <v>34101</v>
      </c>
      <c r="E3786" s="5" t="s">
        <v>34102</v>
      </c>
      <c r="F3786" s="5" t="s">
        <v>34103</v>
      </c>
      <c r="G3786" s="5" t="s">
        <v>34104</v>
      </c>
      <c r="H3786" s="1" t="s">
        <v>34105</v>
      </c>
      <c r="I3786" s="5" t="s">
        <v>34106</v>
      </c>
      <c r="J3786" s="7">
        <v>11</v>
      </c>
      <c r="K3786" s="7">
        <v>387.3236</v>
      </c>
      <c r="L3786" s="5" t="s">
        <v>34107</v>
      </c>
      <c r="M3786" s="7">
        <v>8.33</v>
      </c>
      <c r="N3786" s="7">
        <v>2.54</v>
      </c>
      <c r="O3786" s="7">
        <v>12.397</v>
      </c>
      <c r="P3786" s="1" t="s">
        <v>34108</v>
      </c>
    </row>
    <row r="3787" spans="1:16" ht="33.4" x14ac:dyDescent="0.3">
      <c r="A3787" s="6" t="str">
        <f>HYPERLINK("https://www.ti.com/product/TPS60150", "TPS60150")</f>
        <v>TPS60150</v>
      </c>
      <c r="B3787" s="5" t="s">
        <v>34109</v>
      </c>
      <c r="C3787" s="6" t="str">
        <f>HYPERLINK("https://www.ti.com/lit/gpn/TPS60150", "PDF")</f>
        <v>PDF</v>
      </c>
      <c r="D3787" s="5" t="s">
        <v>34110</v>
      </c>
      <c r="E3787" s="5" t="s">
        <v>34111</v>
      </c>
      <c r="F3787" s="5"/>
      <c r="G3787" s="5" t="s">
        <v>34112</v>
      </c>
      <c r="H3787" s="1" t="s">
        <v>34113</v>
      </c>
      <c r="I3787" s="5" t="s">
        <v>34114</v>
      </c>
      <c r="J3787" s="7">
        <v>6</v>
      </c>
      <c r="K3787" s="7">
        <v>4</v>
      </c>
      <c r="L3787" s="5" t="s">
        <v>34115</v>
      </c>
      <c r="M3787" s="7">
        <v>0.8</v>
      </c>
      <c r="N3787" s="7">
        <v>0.65</v>
      </c>
      <c r="O3787" s="7">
        <v>0.62</v>
      </c>
      <c r="P3787" s="1" t="s">
        <v>34116</v>
      </c>
    </row>
    <row r="3788" spans="1:16" ht="33.4" x14ac:dyDescent="0.3">
      <c r="A3788" s="6" t="str">
        <f>HYPERLINK("https://www.ti.com/product/TPS737-Q1", "TPS737-Q1")</f>
        <v>TPS737-Q1</v>
      </c>
      <c r="B3788" s="5" t="s">
        <v>34117</v>
      </c>
      <c r="C3788" s="6" t="str">
        <f>HYPERLINK("https://www.ti.com/lit/gpn/TPS737-Q1", "PDF")</f>
        <v>PDF</v>
      </c>
      <c r="D3788" s="5" t="s">
        <v>34118</v>
      </c>
      <c r="E3788" s="5" t="s">
        <v>34119</v>
      </c>
      <c r="F3788" s="5"/>
      <c r="G3788" s="5" t="s">
        <v>34120</v>
      </c>
      <c r="H3788" s="1" t="s">
        <v>34121</v>
      </c>
      <c r="I3788" s="5" t="s">
        <v>34122</v>
      </c>
      <c r="J3788" s="7">
        <v>8</v>
      </c>
      <c r="K3788" s="7">
        <v>9</v>
      </c>
      <c r="L3788" s="5" t="s">
        <v>34123</v>
      </c>
      <c r="M3788" s="7">
        <v>1</v>
      </c>
      <c r="N3788" s="7">
        <v>0.65</v>
      </c>
      <c r="O3788" s="7">
        <v>0.60899999999999999</v>
      </c>
      <c r="P3788" s="1" t="s">
        <v>34124</v>
      </c>
    </row>
    <row r="3789" spans="1:16" ht="33.4" x14ac:dyDescent="0.3">
      <c r="A3789" s="6" t="str">
        <f>HYPERLINK("https://www.ti.com/product/TPS62562", "TPS62562")</f>
        <v>TPS62562</v>
      </c>
      <c r="B3789" s="5" t="s">
        <v>34125</v>
      </c>
      <c r="C3789" s="6" t="str">
        <f>HYPERLINK("https://www.ti.com/lit/gpn/TPS62562", "PDF")</f>
        <v>PDF</v>
      </c>
      <c r="D3789" s="5" t="s">
        <v>34126</v>
      </c>
      <c r="E3789" s="5" t="s">
        <v>34127</v>
      </c>
      <c r="F3789" s="5" t="s">
        <v>34128</v>
      </c>
      <c r="G3789" s="5" t="s">
        <v>34129</v>
      </c>
      <c r="H3789" s="1" t="s">
        <v>34130</v>
      </c>
      <c r="I3789" s="5" t="s">
        <v>34131</v>
      </c>
      <c r="J3789" s="7">
        <v>6</v>
      </c>
      <c r="K3789" s="7">
        <v>4</v>
      </c>
      <c r="L3789" s="5" t="s">
        <v>34132</v>
      </c>
      <c r="M3789" s="7">
        <v>0.8</v>
      </c>
      <c r="N3789" s="7">
        <v>0.65</v>
      </c>
      <c r="O3789" s="7">
        <v>0.40100000000000002</v>
      </c>
      <c r="P3789" s="1" t="s">
        <v>34133</v>
      </c>
    </row>
    <row r="3790" spans="1:16" ht="33.4" x14ac:dyDescent="0.3">
      <c r="A3790" s="6" t="str">
        <f>HYPERLINK("https://www.ti.com/product/TPS54232", "TPS54232")</f>
        <v>TPS54232</v>
      </c>
      <c r="B3790" s="5" t="s">
        <v>34134</v>
      </c>
      <c r="C3790" s="6" t="str">
        <f>HYPERLINK("https://www.ti.com/lit/gpn/TPS54232", "PDF")</f>
        <v>PDF</v>
      </c>
      <c r="D3790" s="5" t="s">
        <v>34135</v>
      </c>
      <c r="E3790" s="5" t="s">
        <v>34136</v>
      </c>
      <c r="F3790" s="5" t="s">
        <v>34137</v>
      </c>
      <c r="G3790" s="5" t="s">
        <v>34138</v>
      </c>
      <c r="H3790" s="1" t="s">
        <v>34139</v>
      </c>
      <c r="I3790" s="5" t="s">
        <v>34140</v>
      </c>
      <c r="J3790" s="7">
        <v>8</v>
      </c>
      <c r="K3790" s="7">
        <v>29.4</v>
      </c>
      <c r="L3790" s="5" t="s">
        <v>34141</v>
      </c>
      <c r="M3790" s="7">
        <v>1.75</v>
      </c>
      <c r="N3790" s="7">
        <v>1.27</v>
      </c>
      <c r="O3790" s="7">
        <v>0.55200000000000005</v>
      </c>
      <c r="P3790" s="1" t="s">
        <v>34142</v>
      </c>
    </row>
    <row r="3791" spans="1:16" ht="33.4" x14ac:dyDescent="0.3">
      <c r="A3791" s="6" t="str">
        <f>HYPERLINK("https://www.ti.com/product/TPS650250", "TPS650250")</f>
        <v>TPS650250</v>
      </c>
      <c r="B3791" s="5" t="s">
        <v>34143</v>
      </c>
      <c r="C3791" s="6" t="str">
        <f>HYPERLINK("https://www.ti.com/lit/gpn/TPS650250", "PDF")</f>
        <v>PDF</v>
      </c>
      <c r="D3791" s="5" t="s">
        <v>34144</v>
      </c>
      <c r="E3791" s="5" t="s">
        <v>34145</v>
      </c>
      <c r="F3791" s="5"/>
      <c r="G3791" s="5" t="s">
        <v>34146</v>
      </c>
      <c r="H3791" s="1" t="s">
        <v>34147</v>
      </c>
      <c r="I3791" s="5" t="s">
        <v>34148</v>
      </c>
      <c r="J3791" s="7">
        <v>32</v>
      </c>
      <c r="K3791" s="7">
        <v>25</v>
      </c>
      <c r="L3791" s="5" t="s">
        <v>34149</v>
      </c>
      <c r="M3791" s="7">
        <v>1</v>
      </c>
      <c r="N3791" s="7">
        <v>0.5</v>
      </c>
      <c r="O3791" s="7">
        <v>2.1739999999999999</v>
      </c>
      <c r="P3791" s="1" t="s">
        <v>34150</v>
      </c>
    </row>
    <row r="3792" spans="1:16" ht="33.4" x14ac:dyDescent="0.3">
      <c r="A3792" s="6" t="str">
        <f>HYPERLINK("https://www.ti.com/product/TPS714", "TPS714")</f>
        <v>TPS714</v>
      </c>
      <c r="B3792" s="5" t="s">
        <v>34151</v>
      </c>
      <c r="C3792" s="6" t="str">
        <f>HYPERLINK("https://www.ti.com/lit/gpn/TPS714", "PDF")</f>
        <v>PDF</v>
      </c>
      <c r="D3792" s="5" t="s">
        <v>34152</v>
      </c>
      <c r="E3792" s="5" t="s">
        <v>34153</v>
      </c>
      <c r="F3792" s="5"/>
      <c r="G3792" s="5" t="s">
        <v>34154</v>
      </c>
      <c r="H3792" s="1" t="s">
        <v>34155</v>
      </c>
      <c r="I3792" s="5" t="s">
        <v>34156</v>
      </c>
      <c r="J3792" s="7" t="s">
        <v>34157</v>
      </c>
      <c r="K3792" s="7" t="s">
        <v>34158</v>
      </c>
      <c r="L3792" s="5" t="s">
        <v>34159</v>
      </c>
      <c r="M3792" s="7" t="s">
        <v>34160</v>
      </c>
      <c r="N3792" s="7">
        <v>0.65</v>
      </c>
      <c r="O3792" s="7">
        <v>0.26700000000000002</v>
      </c>
      <c r="P3792" s="1" t="s">
        <v>34161</v>
      </c>
    </row>
    <row r="3793" spans="1:16" ht="33.4" x14ac:dyDescent="0.3">
      <c r="A3793" s="6" t="str">
        <f>HYPERLINK("https://www.ti.com/product/UCC28610", "UCC28610")</f>
        <v>UCC28610</v>
      </c>
      <c r="B3793" s="5" t="s">
        <v>34162</v>
      </c>
      <c r="C3793" s="6" t="str">
        <f>HYPERLINK("https://www.ti.com/lit/gpn/UCC28610", "PDF")</f>
        <v>PDF</v>
      </c>
      <c r="D3793" s="5" t="s">
        <v>34163</v>
      </c>
      <c r="E3793" s="5" t="s">
        <v>34164</v>
      </c>
      <c r="F3793" s="5" t="s">
        <v>34165</v>
      </c>
      <c r="G3793" s="5" t="s">
        <v>34166</v>
      </c>
      <c r="H3793" s="1" t="s">
        <v>34167</v>
      </c>
      <c r="I3793" s="5" t="s">
        <v>34168</v>
      </c>
      <c r="J3793" s="7">
        <v>8</v>
      </c>
      <c r="K3793" s="7">
        <v>29.4</v>
      </c>
      <c r="L3793" s="5" t="s">
        <v>34169</v>
      </c>
      <c r="M3793" s="7">
        <v>1.75</v>
      </c>
      <c r="N3793" s="7">
        <v>1.27</v>
      </c>
      <c r="O3793" s="7">
        <v>0.50600000000000001</v>
      </c>
      <c r="P3793" s="1" t="s">
        <v>34170</v>
      </c>
    </row>
    <row r="3794" spans="1:16" ht="33.4" x14ac:dyDescent="0.3">
      <c r="A3794" s="6" t="str">
        <f>HYPERLINK("https://www.ti.com/product/LM22680", "LM22680")</f>
        <v>LM22680</v>
      </c>
      <c r="B3794" s="5" t="s">
        <v>34171</v>
      </c>
      <c r="C3794" s="6" t="str">
        <f>HYPERLINK("https://www.ti.com/lit/gpn/LM22680", "PDF")</f>
        <v>PDF</v>
      </c>
      <c r="D3794" s="5" t="s">
        <v>34172</v>
      </c>
      <c r="E3794" s="5" t="s">
        <v>34173</v>
      </c>
      <c r="F3794" s="5" t="s">
        <v>34174</v>
      </c>
      <c r="G3794" s="5" t="s">
        <v>34175</v>
      </c>
      <c r="H3794" s="1" t="s">
        <v>34176</v>
      </c>
      <c r="I3794" s="5" t="s">
        <v>34177</v>
      </c>
      <c r="J3794" s="7">
        <v>8</v>
      </c>
      <c r="K3794" s="7">
        <v>29.4</v>
      </c>
      <c r="L3794" s="5" t="s">
        <v>34178</v>
      </c>
      <c r="M3794" s="7">
        <v>1.7</v>
      </c>
      <c r="N3794" s="7">
        <v>1.27</v>
      </c>
      <c r="O3794" s="7">
        <v>1.6459999999999999</v>
      </c>
      <c r="P3794" s="1" t="s">
        <v>34179</v>
      </c>
    </row>
    <row r="3795" spans="1:16" ht="33.4" x14ac:dyDescent="0.3">
      <c r="A3795" s="6" t="str">
        <f>HYPERLINK("https://www.ti.com/product/TPS22945", "TPS22945")</f>
        <v>TPS22945</v>
      </c>
      <c r="B3795" s="5" t="s">
        <v>34180</v>
      </c>
      <c r="C3795" s="6" t="str">
        <f>HYPERLINK("https://www.ti.com/lit/gpn/TPS22945", "PDF")</f>
        <v>PDF</v>
      </c>
      <c r="D3795" s="5" t="s">
        <v>34181</v>
      </c>
      <c r="E3795" s="5" t="s">
        <v>34182</v>
      </c>
      <c r="F3795" s="5"/>
      <c r="G3795" s="5" t="s">
        <v>34183</v>
      </c>
      <c r="H3795" s="1" t="s">
        <v>34184</v>
      </c>
      <c r="I3795" s="5" t="s">
        <v>34185</v>
      </c>
      <c r="J3795" s="7">
        <v>5</v>
      </c>
      <c r="K3795" s="7">
        <v>4.2</v>
      </c>
      <c r="L3795" s="5" t="s">
        <v>34186</v>
      </c>
      <c r="M3795" s="7">
        <v>1.1000000000000001</v>
      </c>
      <c r="N3795" s="7">
        <v>0.65</v>
      </c>
      <c r="O3795" s="7">
        <v>0.34499999999999997</v>
      </c>
      <c r="P3795" s="1" t="s">
        <v>34187</v>
      </c>
    </row>
    <row r="3796" spans="1:16" ht="33.4" x14ac:dyDescent="0.3">
      <c r="A3796" s="6" t="str">
        <f>HYPERLINK("https://www.ti.com/product/TPS2552", "TPS2552")</f>
        <v>TPS2552</v>
      </c>
      <c r="B3796" s="5" t="s">
        <v>34188</v>
      </c>
      <c r="C3796" s="6" t="str">
        <f>HYPERLINK("https://www.ti.com/lit/gpn/TPS2552", "PDF")</f>
        <v>PDF</v>
      </c>
      <c r="D3796" s="5" t="s">
        <v>34189</v>
      </c>
      <c r="E3796" s="5" t="s">
        <v>34190</v>
      </c>
      <c r="F3796" s="5"/>
      <c r="G3796" s="5" t="s">
        <v>34191</v>
      </c>
      <c r="H3796" s="1" t="s">
        <v>34192</v>
      </c>
      <c r="I3796" s="5" t="s">
        <v>34193</v>
      </c>
      <c r="J3796" s="7">
        <v>6</v>
      </c>
      <c r="K3796" s="7" t="s">
        <v>34194</v>
      </c>
      <c r="L3796" s="5" t="s">
        <v>34195</v>
      </c>
      <c r="M3796" s="7" t="s">
        <v>34196</v>
      </c>
      <c r="N3796" s="7" t="s">
        <v>34197</v>
      </c>
      <c r="O3796" s="7">
        <v>0.27300000000000002</v>
      </c>
      <c r="P3796" s="1" t="s">
        <v>34198</v>
      </c>
    </row>
    <row r="3797" spans="1:16" ht="33.4" x14ac:dyDescent="0.3">
      <c r="A3797" s="6" t="str">
        <f>HYPERLINK("https://www.ti.com/product/TPS2552-1", "TPS2552-1")</f>
        <v>TPS2552-1</v>
      </c>
      <c r="B3797" s="5" t="s">
        <v>34199</v>
      </c>
      <c r="C3797" s="6" t="str">
        <f>HYPERLINK("https://www.ti.com/lit/gpn/TPS2552-1", "PDF")</f>
        <v>PDF</v>
      </c>
      <c r="D3797" s="5" t="s">
        <v>34200</v>
      </c>
      <c r="E3797" s="5" t="s">
        <v>34201</v>
      </c>
      <c r="F3797" s="5"/>
      <c r="G3797" s="5" t="s">
        <v>34202</v>
      </c>
      <c r="H3797" s="1" t="s">
        <v>34203</v>
      </c>
      <c r="I3797" s="5" t="s">
        <v>34204</v>
      </c>
      <c r="J3797" s="7">
        <v>6</v>
      </c>
      <c r="K3797" s="7" t="s">
        <v>34205</v>
      </c>
      <c r="L3797" s="5" t="s">
        <v>34206</v>
      </c>
      <c r="M3797" s="7" t="s">
        <v>34207</v>
      </c>
      <c r="N3797" s="7" t="s">
        <v>34208</v>
      </c>
      <c r="O3797" s="7">
        <v>0.27300000000000002</v>
      </c>
      <c r="P3797" s="1" t="s">
        <v>34209</v>
      </c>
    </row>
    <row r="3798" spans="1:16" ht="33.4" x14ac:dyDescent="0.3">
      <c r="A3798" s="6" t="str">
        <f>HYPERLINK("https://www.ti.com/product/TPS2553", "TPS2553")</f>
        <v>TPS2553</v>
      </c>
      <c r="B3798" s="5" t="s">
        <v>34210</v>
      </c>
      <c r="C3798" s="6" t="str">
        <f>HYPERLINK("https://www.ti.com/lit/gpn/TPS2553", "PDF")</f>
        <v>PDF</v>
      </c>
      <c r="D3798" s="5" t="s">
        <v>34211</v>
      </c>
      <c r="E3798" s="5" t="s">
        <v>34212</v>
      </c>
      <c r="F3798" s="5"/>
      <c r="G3798" s="5" t="s">
        <v>34213</v>
      </c>
      <c r="H3798" s="1" t="s">
        <v>34214</v>
      </c>
      <c r="I3798" s="5" t="s">
        <v>34215</v>
      </c>
      <c r="J3798" s="7">
        <v>6</v>
      </c>
      <c r="K3798" s="7" t="s">
        <v>34216</v>
      </c>
      <c r="L3798" s="5" t="s">
        <v>34217</v>
      </c>
      <c r="M3798" s="7" t="s">
        <v>34218</v>
      </c>
      <c r="N3798" s="7" t="s">
        <v>34219</v>
      </c>
      <c r="O3798" s="7">
        <v>0.32500000000000001</v>
      </c>
      <c r="P3798" s="1" t="s">
        <v>34220</v>
      </c>
    </row>
    <row r="3799" spans="1:16" ht="33.4" x14ac:dyDescent="0.3">
      <c r="A3799" s="6" t="str">
        <f>HYPERLINK("https://www.ti.com/product/TPS2553-1", "TPS2553-1")</f>
        <v>TPS2553-1</v>
      </c>
      <c r="B3799" s="5" t="s">
        <v>34221</v>
      </c>
      <c r="C3799" s="6" t="str">
        <f>HYPERLINK("https://www.ti.com/lit/gpn/TPS2553-1", "PDF")</f>
        <v>PDF</v>
      </c>
      <c r="D3799" s="5" t="s">
        <v>34222</v>
      </c>
      <c r="E3799" s="5" t="s">
        <v>34223</v>
      </c>
      <c r="F3799" s="5"/>
      <c r="G3799" s="5" t="s">
        <v>34224</v>
      </c>
      <c r="H3799" s="1" t="s">
        <v>34225</v>
      </c>
      <c r="I3799" s="5" t="s">
        <v>34226</v>
      </c>
      <c r="J3799" s="7">
        <v>6</v>
      </c>
      <c r="K3799" s="7" t="s">
        <v>34227</v>
      </c>
      <c r="L3799" s="5" t="s">
        <v>34228</v>
      </c>
      <c r="M3799" s="7" t="s">
        <v>34229</v>
      </c>
      <c r="N3799" s="7" t="s">
        <v>34230</v>
      </c>
      <c r="O3799" s="7">
        <v>0.34799999999999998</v>
      </c>
      <c r="P3799" s="1" t="s">
        <v>34231</v>
      </c>
    </row>
    <row r="3800" spans="1:16" ht="33.4" x14ac:dyDescent="0.3">
      <c r="A3800" s="6" t="str">
        <f>HYPERLINK("https://www.ti.com/product/LM3535", "LM3535")</f>
        <v>LM3535</v>
      </c>
      <c r="B3800" s="5" t="s">
        <v>34232</v>
      </c>
      <c r="C3800" s="6" t="str">
        <f>HYPERLINK("https://www.ti.com/lit/gpn/LM3535", "PDF")</f>
        <v>PDF</v>
      </c>
      <c r="D3800" s="5" t="s">
        <v>34233</v>
      </c>
      <c r="E3800" s="5" t="s">
        <v>34234</v>
      </c>
      <c r="F3800" s="5" t="s">
        <v>34235</v>
      </c>
      <c r="G3800" s="5" t="s">
        <v>34236</v>
      </c>
      <c r="H3800" s="1" t="s">
        <v>34237</v>
      </c>
      <c r="I3800" s="5" t="s">
        <v>34238</v>
      </c>
      <c r="J3800" s="7">
        <v>20</v>
      </c>
      <c r="K3800" s="7">
        <v>3.96</v>
      </c>
      <c r="L3800" s="5" t="s">
        <v>34239</v>
      </c>
      <c r="M3800" s="7">
        <v>0.67500000000000004</v>
      </c>
      <c r="N3800" s="7">
        <v>0.4</v>
      </c>
      <c r="O3800" s="7">
        <v>0.51800000000000002</v>
      </c>
      <c r="P3800" s="1" t="s">
        <v>34240</v>
      </c>
    </row>
    <row r="3801" spans="1:16" ht="33.4" x14ac:dyDescent="0.3">
      <c r="A3801" s="6" t="str">
        <f>HYPERLINK("https://www.ti.com/product/TPS61175", "TPS61175")</f>
        <v>TPS61175</v>
      </c>
      <c r="B3801" s="5" t="s">
        <v>34241</v>
      </c>
      <c r="C3801" s="6" t="str">
        <f>HYPERLINK("https://www.ti.com/lit/gpn/TPS61175", "PDF")</f>
        <v>PDF</v>
      </c>
      <c r="D3801" s="5" t="s">
        <v>34242</v>
      </c>
      <c r="E3801" s="5" t="s">
        <v>34243</v>
      </c>
      <c r="F3801" s="5" t="s">
        <v>34244</v>
      </c>
      <c r="G3801" s="5" t="s">
        <v>34245</v>
      </c>
      <c r="H3801" s="1" t="s">
        <v>34246</v>
      </c>
      <c r="I3801" s="5" t="s">
        <v>34247</v>
      </c>
      <c r="J3801" s="7">
        <v>14</v>
      </c>
      <c r="K3801" s="7">
        <v>32</v>
      </c>
      <c r="L3801" s="5" t="s">
        <v>34248</v>
      </c>
      <c r="M3801" s="7">
        <v>1.2</v>
      </c>
      <c r="N3801" s="7">
        <v>0.65</v>
      </c>
      <c r="O3801" s="7">
        <v>1.573</v>
      </c>
      <c r="P3801" s="1" t="s">
        <v>34249</v>
      </c>
    </row>
    <row r="3802" spans="1:16" ht="17.05" x14ac:dyDescent="0.3">
      <c r="A3802" s="6" t="str">
        <f>HYPERLINK("https://www.ti.com/product/TPS61500", "TPS61500")</f>
        <v>TPS61500</v>
      </c>
      <c r="B3802" s="5" t="s">
        <v>34250</v>
      </c>
      <c r="C3802" s="6" t="str">
        <f>HYPERLINK("https://www.ti.com/lit/gpn/TPS61500", "PDF")</f>
        <v>PDF</v>
      </c>
      <c r="D3802" s="5" t="s">
        <v>34251</v>
      </c>
      <c r="E3802" s="5" t="s">
        <v>34252</v>
      </c>
      <c r="F3802" s="5" t="s">
        <v>34253</v>
      </c>
      <c r="G3802" s="5" t="s">
        <v>34254</v>
      </c>
      <c r="H3802" s="1" t="s">
        <v>34255</v>
      </c>
      <c r="I3802" s="5" t="s">
        <v>34256</v>
      </c>
      <c r="J3802" s="7">
        <v>14</v>
      </c>
      <c r="K3802" s="7">
        <v>32</v>
      </c>
      <c r="L3802" s="5" t="s">
        <v>34257</v>
      </c>
      <c r="M3802" s="7">
        <v>1.2</v>
      </c>
      <c r="N3802" s="7">
        <v>0.65</v>
      </c>
      <c r="O3802" s="7">
        <v>0.74399999999999999</v>
      </c>
      <c r="P3802" s="1" t="s">
        <v>34258</v>
      </c>
    </row>
    <row r="3803" spans="1:16" ht="33.4" x14ac:dyDescent="0.3">
      <c r="A3803" s="6" t="str">
        <f>HYPERLINK("https://www.ti.com/product/LM25088", "LM25088")</f>
        <v>LM25088</v>
      </c>
      <c r="B3803" s="5" t="s">
        <v>34259</v>
      </c>
      <c r="C3803" s="6" t="str">
        <f>HYPERLINK("https://www.ti.com/lit/gpn/LM25088", "PDF")</f>
        <v>PDF</v>
      </c>
      <c r="D3803" s="5" t="s">
        <v>34260</v>
      </c>
      <c r="E3803" s="5" t="s">
        <v>34261</v>
      </c>
      <c r="F3803" s="5" t="s">
        <v>34262</v>
      </c>
      <c r="G3803" s="5" t="s">
        <v>34263</v>
      </c>
      <c r="H3803" s="1" t="s">
        <v>34264</v>
      </c>
      <c r="I3803" s="5" t="s">
        <v>34265</v>
      </c>
      <c r="J3803" s="7">
        <v>16</v>
      </c>
      <c r="K3803" s="7">
        <v>32</v>
      </c>
      <c r="L3803" s="5" t="s">
        <v>34266</v>
      </c>
      <c r="M3803" s="7">
        <v>1.2</v>
      </c>
      <c r="N3803" s="7">
        <v>0.65</v>
      </c>
      <c r="O3803" s="7">
        <v>1.3919999999999999</v>
      </c>
      <c r="P3803" s="1" t="s">
        <v>34267</v>
      </c>
    </row>
    <row r="3804" spans="1:16" ht="33.4" x14ac:dyDescent="0.3">
      <c r="A3804" s="6" t="str">
        <f>HYPERLINK("https://www.ti.com/product/LM5088", "LM5088")</f>
        <v>LM5088</v>
      </c>
      <c r="B3804" s="5" t="s">
        <v>34268</v>
      </c>
      <c r="C3804" s="6" t="str">
        <f>HYPERLINK("https://www.ti.com/lit/gpn/LM5088", "PDF")</f>
        <v>PDF</v>
      </c>
      <c r="D3804" s="5" t="s">
        <v>34269</v>
      </c>
      <c r="E3804" s="5" t="s">
        <v>34270</v>
      </c>
      <c r="F3804" s="5" t="s">
        <v>34271</v>
      </c>
      <c r="G3804" s="5" t="s">
        <v>34272</v>
      </c>
      <c r="H3804" s="1" t="s">
        <v>34273</v>
      </c>
      <c r="I3804" s="5" t="s">
        <v>34274</v>
      </c>
      <c r="J3804" s="7">
        <v>16</v>
      </c>
      <c r="K3804" s="7">
        <v>32</v>
      </c>
      <c r="L3804" s="5" t="s">
        <v>34275</v>
      </c>
      <c r="M3804" s="7">
        <v>1.2</v>
      </c>
      <c r="N3804" s="7">
        <v>0.65</v>
      </c>
      <c r="O3804" s="7">
        <v>1.6359999999999999</v>
      </c>
      <c r="P3804" s="1" t="s">
        <v>34276</v>
      </c>
    </row>
    <row r="3805" spans="1:16" ht="17.05" x14ac:dyDescent="0.3">
      <c r="A3805" s="6" t="str">
        <f>HYPERLINK("https://www.ti.com/product/TPS65146", "TPS65146")</f>
        <v>TPS65146</v>
      </c>
      <c r="B3805" s="5" t="s">
        <v>34277</v>
      </c>
      <c r="C3805" s="6" t="str">
        <f>HYPERLINK("https://www.ti.com/lit/gpn/TPS65146", "PDF")</f>
        <v>PDF</v>
      </c>
      <c r="D3805" s="5" t="s">
        <v>34278</v>
      </c>
      <c r="E3805" s="5" t="s">
        <v>34279</v>
      </c>
      <c r="F3805" s="5" t="s">
        <v>34280</v>
      </c>
      <c r="G3805" s="5" t="s">
        <v>34281</v>
      </c>
      <c r="H3805" s="1" t="s">
        <v>34282</v>
      </c>
      <c r="I3805" s="5" t="s">
        <v>34283</v>
      </c>
      <c r="J3805" s="7">
        <v>24</v>
      </c>
      <c r="K3805" s="7">
        <v>16</v>
      </c>
      <c r="L3805" s="5" t="s">
        <v>34284</v>
      </c>
      <c r="M3805" s="7">
        <v>1</v>
      </c>
      <c r="N3805" s="7">
        <v>0.5</v>
      </c>
      <c r="O3805" s="7">
        <v>1.3160000000000001</v>
      </c>
      <c r="P3805" s="1" t="s">
        <v>34285</v>
      </c>
    </row>
    <row r="3806" spans="1:16" ht="17.05" x14ac:dyDescent="0.3">
      <c r="A3806" s="6" t="str">
        <f>HYPERLINK("https://www.ti.com/product/TL432-Q1", "TL432-Q1")</f>
        <v>TL432-Q1</v>
      </c>
      <c r="B3806" s="5" t="s">
        <v>34286</v>
      </c>
      <c r="C3806" s="6" t="str">
        <f>HYPERLINK("https://www.ti.com/lit/gpn/TL432-Q1", "PDF")</f>
        <v>PDF</v>
      </c>
      <c r="D3806" s="5" t="s">
        <v>34287</v>
      </c>
      <c r="E3806" s="5" t="s">
        <v>34288</v>
      </c>
      <c r="F3806" s="5"/>
      <c r="G3806" s="5" t="s">
        <v>34289</v>
      </c>
      <c r="H3806" s="1" t="s">
        <v>34290</v>
      </c>
      <c r="I3806" s="5" t="s">
        <v>34291</v>
      </c>
      <c r="J3806" s="7">
        <v>3</v>
      </c>
      <c r="K3806" s="7">
        <v>6.9203999999999999</v>
      </c>
      <c r="L3806" s="5" t="s">
        <v>34292</v>
      </c>
      <c r="M3806" s="7">
        <v>1.1200000000000001</v>
      </c>
      <c r="N3806" s="7">
        <v>0.96</v>
      </c>
      <c r="O3806" s="7">
        <v>0.183</v>
      </c>
      <c r="P3806" s="1" t="s">
        <v>34293</v>
      </c>
    </row>
    <row r="3807" spans="1:16" ht="33.4" x14ac:dyDescent="0.3">
      <c r="A3807" s="6" t="str">
        <f>HYPERLINK("https://www.ti.com/product/TPS54140", "TPS54140")</f>
        <v>TPS54140</v>
      </c>
      <c r="B3807" s="5" t="s">
        <v>34294</v>
      </c>
      <c r="C3807" s="6" t="str">
        <f>HYPERLINK("https://www.ti.com/lit/gpn/TPS54140", "PDF")</f>
        <v>PDF</v>
      </c>
      <c r="D3807" s="5" t="s">
        <v>34295</v>
      </c>
      <c r="E3807" s="5" t="s">
        <v>34296</v>
      </c>
      <c r="F3807" s="5" t="s">
        <v>34297</v>
      </c>
      <c r="G3807" s="5" t="s">
        <v>34298</v>
      </c>
      <c r="H3807" s="1" t="s">
        <v>34299</v>
      </c>
      <c r="I3807" s="5" t="s">
        <v>34300</v>
      </c>
      <c r="J3807" s="7">
        <v>10</v>
      </c>
      <c r="K3807" s="7">
        <v>14.7</v>
      </c>
      <c r="L3807" s="5" t="s">
        <v>34301</v>
      </c>
      <c r="M3807" s="7">
        <v>1.1000000000000001</v>
      </c>
      <c r="N3807" s="7">
        <v>0.5</v>
      </c>
      <c r="O3807" s="7">
        <v>1.1499999999999999</v>
      </c>
      <c r="P3807" s="1" t="s">
        <v>34302</v>
      </c>
    </row>
    <row r="3808" spans="1:16" ht="49.75" x14ac:dyDescent="0.3">
      <c r="A3808" s="6" t="str">
        <f>HYPERLINK("https://www.ti.com/product/LP38511-ADJ", "LP38511-ADJ")</f>
        <v>LP38511-ADJ</v>
      </c>
      <c r="B3808" s="5" t="s">
        <v>34303</v>
      </c>
      <c r="C3808" s="6" t="str">
        <f>HYPERLINK("https://www.ti.com/lit/gpn/LP38511-ADJ", "PDF")</f>
        <v>PDF</v>
      </c>
      <c r="D3808" s="5" t="s">
        <v>34304</v>
      </c>
      <c r="E3808" s="5" t="s">
        <v>34305</v>
      </c>
      <c r="F3808" s="5"/>
      <c r="G3808" s="5" t="s">
        <v>34306</v>
      </c>
      <c r="H3808" s="1" t="s">
        <v>34307</v>
      </c>
      <c r="I3808" s="5" t="s">
        <v>34308</v>
      </c>
      <c r="J3808" s="7" t="s">
        <v>34309</v>
      </c>
      <c r="K3808" s="7" t="s">
        <v>34310</v>
      </c>
      <c r="L3808" s="5" t="s">
        <v>34311</v>
      </c>
      <c r="M3808" s="7" t="s">
        <v>34312</v>
      </c>
      <c r="N3808" s="7" t="s">
        <v>34313</v>
      </c>
      <c r="O3808" s="7">
        <v>0.69</v>
      </c>
      <c r="P3808" s="1" t="s">
        <v>34314</v>
      </c>
    </row>
    <row r="3809" spans="1:16" ht="49.75" x14ac:dyDescent="0.3">
      <c r="A3809" s="6" t="str">
        <f>HYPERLINK("https://www.ti.com/product/LP38512-ADJ", "LP38512-ADJ")</f>
        <v>LP38512-ADJ</v>
      </c>
      <c r="B3809" s="5" t="s">
        <v>34315</v>
      </c>
      <c r="C3809" s="6" t="str">
        <f>HYPERLINK("https://www.ti.com/lit/gpn/LP38512-ADJ", "PDF")</f>
        <v>PDF</v>
      </c>
      <c r="D3809" s="5" t="s">
        <v>34316</v>
      </c>
      <c r="E3809" s="5" t="s">
        <v>34317</v>
      </c>
      <c r="F3809" s="5"/>
      <c r="G3809" s="5" t="s">
        <v>34318</v>
      </c>
      <c r="H3809" s="1" t="s">
        <v>34319</v>
      </c>
      <c r="I3809" s="5" t="s">
        <v>34320</v>
      </c>
      <c r="J3809" s="7" t="s">
        <v>34321</v>
      </c>
      <c r="K3809" s="7" t="s">
        <v>34322</v>
      </c>
      <c r="L3809" s="5" t="s">
        <v>34323</v>
      </c>
      <c r="M3809" s="7" t="s">
        <v>34324</v>
      </c>
      <c r="N3809" s="7" t="s">
        <v>34325</v>
      </c>
      <c r="O3809" s="7">
        <v>0.88</v>
      </c>
      <c r="P3809" s="1" t="s">
        <v>34326</v>
      </c>
    </row>
    <row r="3810" spans="1:16" ht="33.4" x14ac:dyDescent="0.3">
      <c r="A3810" s="6" t="str">
        <f>HYPERLINK("https://www.ti.com/product/LP38513-ADJ", "LP38513-ADJ")</f>
        <v>LP38513-ADJ</v>
      </c>
      <c r="B3810" s="5" t="s">
        <v>34327</v>
      </c>
      <c r="C3810" s="6" t="str">
        <f>HYPERLINK("https://www.ti.com/lit/gpn/LP38513-ADJ", "PDF")</f>
        <v>PDF</v>
      </c>
      <c r="D3810" s="5" t="s">
        <v>34328</v>
      </c>
      <c r="E3810" s="5" t="s">
        <v>34329</v>
      </c>
      <c r="F3810" s="5"/>
      <c r="G3810" s="5" t="s">
        <v>34330</v>
      </c>
      <c r="H3810" s="1" t="s">
        <v>34331</v>
      </c>
      <c r="I3810" s="5" t="s">
        <v>34332</v>
      </c>
      <c r="J3810" s="7">
        <v>5</v>
      </c>
      <c r="K3810" s="7">
        <v>142.3416</v>
      </c>
      <c r="L3810" s="5" t="s">
        <v>34333</v>
      </c>
      <c r="M3810" s="7">
        <v>2.1</v>
      </c>
      <c r="N3810" s="7">
        <v>1.7</v>
      </c>
      <c r="O3810" s="7">
        <v>1.84</v>
      </c>
      <c r="P3810" s="1" t="s">
        <v>34334</v>
      </c>
    </row>
    <row r="3811" spans="1:16" ht="17.05" x14ac:dyDescent="0.3">
      <c r="A3811" s="6" t="str">
        <f>HYPERLINK("https://www.ti.com/product/TPS22901", "TPS22901")</f>
        <v>TPS22901</v>
      </c>
      <c r="B3811" s="5" t="s">
        <v>34335</v>
      </c>
      <c r="C3811" s="6" t="str">
        <f>HYPERLINK("https://www.ti.com/lit/gpn/TPS22901", "PDF")</f>
        <v>PDF</v>
      </c>
      <c r="D3811" s="5" t="s">
        <v>34336</v>
      </c>
      <c r="E3811" s="5" t="s">
        <v>34337</v>
      </c>
      <c r="F3811" s="5"/>
      <c r="G3811" s="5" t="s">
        <v>34338</v>
      </c>
      <c r="H3811" s="1" t="s">
        <v>34339</v>
      </c>
      <c r="I3811" s="5" t="s">
        <v>34340</v>
      </c>
      <c r="J3811" s="7">
        <v>4</v>
      </c>
      <c r="K3811" s="7">
        <v>1</v>
      </c>
      <c r="L3811" s="5" t="s">
        <v>34341</v>
      </c>
      <c r="M3811" s="7">
        <v>0.5</v>
      </c>
      <c r="N3811" s="7">
        <v>0.4</v>
      </c>
      <c r="O3811" s="7">
        <v>0.253</v>
      </c>
      <c r="P3811" s="1" t="s">
        <v>34342</v>
      </c>
    </row>
    <row r="3812" spans="1:16" ht="33.4" x14ac:dyDescent="0.3">
      <c r="A3812" s="6" t="str">
        <f>HYPERLINK("https://www.ti.com/product/LM25010-Q1", "LM25010-Q1")</f>
        <v>LM25010-Q1</v>
      </c>
      <c r="B3812" s="5" t="s">
        <v>34343</v>
      </c>
      <c r="C3812" s="6" t="str">
        <f>HYPERLINK("https://www.ti.com/lit/gpn/LM25010-Q1", "PDF")</f>
        <v>PDF</v>
      </c>
      <c r="D3812" s="5" t="s">
        <v>34344</v>
      </c>
      <c r="E3812" s="5" t="s">
        <v>34345</v>
      </c>
      <c r="F3812" s="5" t="s">
        <v>34346</v>
      </c>
      <c r="G3812" s="5" t="s">
        <v>34347</v>
      </c>
      <c r="H3812" s="1" t="s">
        <v>34348</v>
      </c>
      <c r="I3812" s="5" t="s">
        <v>34349</v>
      </c>
      <c r="J3812" s="7">
        <v>14</v>
      </c>
      <c r="K3812" s="7">
        <v>32</v>
      </c>
      <c r="L3812" s="5" t="s">
        <v>34350</v>
      </c>
      <c r="M3812" s="7">
        <v>1.2</v>
      </c>
      <c r="N3812" s="7">
        <v>0.65</v>
      </c>
      <c r="O3812" s="7">
        <v>1.2490000000000001</v>
      </c>
      <c r="P3812" s="1" t="s">
        <v>34351</v>
      </c>
    </row>
    <row r="3813" spans="1:16" ht="33.4" x14ac:dyDescent="0.3">
      <c r="A3813" s="6" t="str">
        <f>HYPERLINK("https://www.ti.com/product/LM5010A-Q1", "LM5010A-Q1")</f>
        <v>LM5010A-Q1</v>
      </c>
      <c r="B3813" s="5" t="s">
        <v>34352</v>
      </c>
      <c r="C3813" s="6" t="str">
        <f>HYPERLINK("https://www.ti.com/lit/gpn/LM5010A-Q1", "PDF")</f>
        <v>PDF</v>
      </c>
      <c r="D3813" s="5" t="s">
        <v>34353</v>
      </c>
      <c r="E3813" s="5" t="s">
        <v>34354</v>
      </c>
      <c r="F3813" s="5" t="s">
        <v>34355</v>
      </c>
      <c r="G3813" s="5" t="s">
        <v>34356</v>
      </c>
      <c r="H3813" s="1" t="s">
        <v>34357</v>
      </c>
      <c r="I3813" s="5" t="s">
        <v>34358</v>
      </c>
      <c r="J3813" s="7">
        <v>14</v>
      </c>
      <c r="K3813" s="7">
        <v>32</v>
      </c>
      <c r="L3813" s="5" t="s">
        <v>34359</v>
      </c>
      <c r="M3813" s="7">
        <v>1.2</v>
      </c>
      <c r="N3813" s="7">
        <v>0.65</v>
      </c>
      <c r="O3813" s="7">
        <v>1.9470000000000001</v>
      </c>
      <c r="P3813" s="1" t="s">
        <v>34360</v>
      </c>
    </row>
    <row r="3814" spans="1:16" ht="17.05" x14ac:dyDescent="0.3">
      <c r="A3814" s="6" t="str">
        <f>HYPERLINK("https://www.ti.com/product/LP8501", "LP8501")</f>
        <v>LP8501</v>
      </c>
      <c r="B3814" s="5" t="s">
        <v>34361</v>
      </c>
      <c r="C3814" s="6" t="str">
        <f>HYPERLINK("https://www.ti.com/lit/gpn/LP8501", "PDF")</f>
        <v>PDF</v>
      </c>
      <c r="D3814" s="5" t="s">
        <v>34362</v>
      </c>
      <c r="E3814" s="5" t="s">
        <v>34363</v>
      </c>
      <c r="F3814" s="5" t="s">
        <v>34364</v>
      </c>
      <c r="G3814" s="5" t="s">
        <v>34365</v>
      </c>
      <c r="H3814" s="1" t="s">
        <v>34366</v>
      </c>
      <c r="I3814" s="5" t="s">
        <v>34367</v>
      </c>
      <c r="J3814" s="7">
        <v>25</v>
      </c>
      <c r="K3814" s="7">
        <v>4.84</v>
      </c>
      <c r="L3814" s="5" t="s">
        <v>34368</v>
      </c>
      <c r="M3814" s="7">
        <v>0.67500000000000004</v>
      </c>
      <c r="N3814" s="7">
        <v>0.4</v>
      </c>
      <c r="O3814" s="7">
        <v>0.83499999999999996</v>
      </c>
      <c r="P3814" s="1" t="s">
        <v>34369</v>
      </c>
    </row>
    <row r="3815" spans="1:16" ht="33.4" x14ac:dyDescent="0.3">
      <c r="A3815" s="6" t="str">
        <f>HYPERLINK("https://www.ti.com/product/TPS54617", "TPS54617")</f>
        <v>TPS54617</v>
      </c>
      <c r="B3815" s="5" t="s">
        <v>34370</v>
      </c>
      <c r="C3815" s="6" t="str">
        <f>HYPERLINK("https://www.ti.com/lit/gpn/TPS54617", "PDF")</f>
        <v>PDF</v>
      </c>
      <c r="D3815" s="5" t="s">
        <v>34371</v>
      </c>
      <c r="E3815" s="5" t="s">
        <v>34372</v>
      </c>
      <c r="F3815" s="5" t="s">
        <v>34373</v>
      </c>
      <c r="G3815" s="5" t="s">
        <v>34374</v>
      </c>
      <c r="H3815" s="1" t="s">
        <v>34375</v>
      </c>
      <c r="I3815" s="5" t="s">
        <v>34376</v>
      </c>
      <c r="J3815" s="7">
        <v>34</v>
      </c>
      <c r="K3815" s="7">
        <v>24.5</v>
      </c>
      <c r="L3815" s="5" t="s">
        <v>34377</v>
      </c>
      <c r="M3815" s="7">
        <v>1</v>
      </c>
      <c r="N3815" s="7">
        <v>0.5</v>
      </c>
      <c r="O3815" s="7">
        <v>1.712</v>
      </c>
      <c r="P3815" s="1" t="s">
        <v>34378</v>
      </c>
    </row>
    <row r="3816" spans="1:16" ht="33.4" x14ac:dyDescent="0.3">
      <c r="A3816" s="6" t="str">
        <f>HYPERLINK("https://www.ti.com/product/TPS62561", "TPS62561")</f>
        <v>TPS62561</v>
      </c>
      <c r="B3816" s="5" t="s">
        <v>34379</v>
      </c>
      <c r="C3816" s="6" t="str">
        <f>HYPERLINK("https://www.ti.com/lit/gpn/TPS62561", "PDF")</f>
        <v>PDF</v>
      </c>
      <c r="D3816" s="5" t="s">
        <v>34380</v>
      </c>
      <c r="E3816" s="5" t="s">
        <v>34381</v>
      </c>
      <c r="F3816" s="5" t="s">
        <v>34382</v>
      </c>
      <c r="G3816" s="5" t="s">
        <v>34383</v>
      </c>
      <c r="H3816" s="1" t="s">
        <v>34384</v>
      </c>
      <c r="I3816" s="5" t="s">
        <v>34385</v>
      </c>
      <c r="J3816" s="7">
        <v>5</v>
      </c>
      <c r="K3816" s="7">
        <v>8.1199999999999992</v>
      </c>
      <c r="L3816" s="5" t="s">
        <v>34386</v>
      </c>
      <c r="M3816" s="7">
        <v>1.1000000000000001</v>
      </c>
      <c r="N3816" s="7">
        <v>0.95</v>
      </c>
      <c r="O3816" s="7">
        <v>0.40100000000000002</v>
      </c>
      <c r="P3816" s="1" t="s">
        <v>34387</v>
      </c>
    </row>
    <row r="3817" spans="1:16" ht="33.4" x14ac:dyDescent="0.3">
      <c r="A3817" s="6" t="str">
        <f>HYPERLINK("https://www.ti.com/product/LM25085", "LM25085")</f>
        <v>LM25085</v>
      </c>
      <c r="B3817" s="5" t="s">
        <v>34388</v>
      </c>
      <c r="C3817" s="6" t="str">
        <f>HYPERLINK("https://www.ti.com/lit/gpn/LM25085", "PDF")</f>
        <v>PDF</v>
      </c>
      <c r="D3817" s="5" t="s">
        <v>34389</v>
      </c>
      <c r="E3817" s="5" t="s">
        <v>34390</v>
      </c>
      <c r="F3817" s="5" t="s">
        <v>34391</v>
      </c>
      <c r="G3817" s="5" t="s">
        <v>34392</v>
      </c>
      <c r="H3817" s="1" t="s">
        <v>34393</v>
      </c>
      <c r="I3817" s="5" t="s">
        <v>34394</v>
      </c>
      <c r="J3817" s="7">
        <v>8</v>
      </c>
      <c r="K3817" s="7" t="s">
        <v>34395</v>
      </c>
      <c r="L3817" s="5" t="s">
        <v>34396</v>
      </c>
      <c r="M3817" s="7" t="s">
        <v>34397</v>
      </c>
      <c r="N3817" s="7" t="s">
        <v>34398</v>
      </c>
      <c r="O3817" s="7">
        <v>0.78</v>
      </c>
      <c r="P3817" s="1" t="s">
        <v>34399</v>
      </c>
    </row>
    <row r="3818" spans="1:16" ht="33.4" x14ac:dyDescent="0.3">
      <c r="A3818" s="6" t="str">
        <f>HYPERLINK("https://www.ti.com/product/TPS62250", "TPS62250")</f>
        <v>TPS62250</v>
      </c>
      <c r="B3818" s="5" t="s">
        <v>34400</v>
      </c>
      <c r="C3818" s="6" t="str">
        <f>HYPERLINK("https://www.ti.com/lit/gpn/TPS62250", "PDF")</f>
        <v>PDF</v>
      </c>
      <c r="D3818" s="5" t="s">
        <v>34401</v>
      </c>
      <c r="E3818" s="5" t="s">
        <v>34402</v>
      </c>
      <c r="F3818" s="5" t="s">
        <v>34403</v>
      </c>
      <c r="G3818" s="5" t="s">
        <v>34404</v>
      </c>
      <c r="H3818" s="1" t="s">
        <v>34405</v>
      </c>
      <c r="I3818" s="5" t="s">
        <v>34406</v>
      </c>
      <c r="J3818" s="7">
        <v>6</v>
      </c>
      <c r="K3818" s="7">
        <v>4</v>
      </c>
      <c r="L3818" s="5" t="s">
        <v>34407</v>
      </c>
      <c r="M3818" s="7">
        <v>0.8</v>
      </c>
      <c r="N3818" s="7">
        <v>0.65</v>
      </c>
      <c r="O3818" s="7">
        <v>0.72299999999999998</v>
      </c>
      <c r="P3818" s="1" t="s">
        <v>34408</v>
      </c>
    </row>
    <row r="3819" spans="1:16" ht="33.4" x14ac:dyDescent="0.3">
      <c r="A3819" s="6" t="str">
        <f>HYPERLINK("https://www.ti.com/product/UCC28810", "UCC28810")</f>
        <v>UCC28810</v>
      </c>
      <c r="B3819" s="5" t="s">
        <v>34409</v>
      </c>
      <c r="C3819" s="6" t="str">
        <f>HYPERLINK("https://www.ti.com/lit/gpn/UCC28810", "PDF")</f>
        <v>PDF</v>
      </c>
      <c r="D3819" s="5" t="s">
        <v>34410</v>
      </c>
      <c r="E3819" s="5" t="s">
        <v>34411</v>
      </c>
      <c r="F3819" s="5" t="s">
        <v>34412</v>
      </c>
      <c r="G3819" s="5" t="s">
        <v>34413</v>
      </c>
      <c r="H3819" s="1" t="s">
        <v>34414</v>
      </c>
      <c r="I3819" s="5" t="s">
        <v>34415</v>
      </c>
      <c r="J3819" s="7">
        <v>8</v>
      </c>
      <c r="K3819" s="7">
        <v>29.4</v>
      </c>
      <c r="L3819" s="5" t="s">
        <v>34416</v>
      </c>
      <c r="M3819" s="7">
        <v>1.75</v>
      </c>
      <c r="N3819" s="7">
        <v>1.27</v>
      </c>
      <c r="O3819" s="7">
        <v>0.247</v>
      </c>
      <c r="P3819" s="1" t="s">
        <v>34417</v>
      </c>
    </row>
    <row r="3820" spans="1:16" ht="33.4" x14ac:dyDescent="0.3">
      <c r="A3820" s="6" t="str">
        <f>HYPERLINK("https://www.ti.com/product/UCC28811", "UCC28811")</f>
        <v>UCC28811</v>
      </c>
      <c r="B3820" s="5" t="s">
        <v>34418</v>
      </c>
      <c r="C3820" s="6" t="str">
        <f>HYPERLINK("https://www.ti.com/lit/gpn/UCC28811", "PDF")</f>
        <v>PDF</v>
      </c>
      <c r="D3820" s="5" t="s">
        <v>34419</v>
      </c>
      <c r="E3820" s="5" t="s">
        <v>34420</v>
      </c>
      <c r="F3820" s="5" t="s">
        <v>34421</v>
      </c>
      <c r="G3820" s="5" t="s">
        <v>34422</v>
      </c>
      <c r="H3820" s="1" t="s">
        <v>34423</v>
      </c>
      <c r="I3820" s="5" t="s">
        <v>34424</v>
      </c>
      <c r="J3820" s="7">
        <v>8</v>
      </c>
      <c r="K3820" s="7">
        <v>29.4</v>
      </c>
      <c r="L3820" s="5" t="s">
        <v>34425</v>
      </c>
      <c r="M3820" s="7">
        <v>1.75</v>
      </c>
      <c r="N3820" s="7">
        <v>1.27</v>
      </c>
      <c r="O3820" s="7">
        <v>0.247</v>
      </c>
      <c r="P3820" s="1" t="s">
        <v>34426</v>
      </c>
    </row>
    <row r="3821" spans="1:16" ht="33.4" x14ac:dyDescent="0.3">
      <c r="A3821" s="6" t="str">
        <f>HYPERLINK("https://www.ti.com/product/LM7705", "LM7705")</f>
        <v>LM7705</v>
      </c>
      <c r="B3821" s="5" t="s">
        <v>34427</v>
      </c>
      <c r="C3821" s="6" t="str">
        <f>HYPERLINK("https://www.ti.com/lit/gpn/LM7705", "PDF")</f>
        <v>PDF</v>
      </c>
      <c r="D3821" s="5" t="s">
        <v>34428</v>
      </c>
      <c r="E3821" s="5" t="s">
        <v>34429</v>
      </c>
      <c r="F3821" s="5"/>
      <c r="G3821" s="5" t="s">
        <v>34430</v>
      </c>
      <c r="H3821" s="1" t="s">
        <v>34431</v>
      </c>
      <c r="I3821" s="5" t="s">
        <v>34432</v>
      </c>
      <c r="J3821" s="7">
        <v>8</v>
      </c>
      <c r="K3821" s="7">
        <v>14.7</v>
      </c>
      <c r="L3821" s="5" t="s">
        <v>34433</v>
      </c>
      <c r="M3821" s="7">
        <v>1.1000000000000001</v>
      </c>
      <c r="N3821" s="7">
        <v>0.65</v>
      </c>
      <c r="O3821" s="7">
        <v>0.28999999999999998</v>
      </c>
      <c r="P3821" s="1" t="s">
        <v>34434</v>
      </c>
    </row>
    <row r="3822" spans="1:16" ht="33.4" x14ac:dyDescent="0.3">
      <c r="A3822" s="6" t="str">
        <f>HYPERLINK("https://www.ti.com/product/TPS54233", "TPS54233")</f>
        <v>TPS54233</v>
      </c>
      <c r="B3822" s="5" t="s">
        <v>34435</v>
      </c>
      <c r="C3822" s="6" t="str">
        <f>HYPERLINK("https://www.ti.com/lit/gpn/TPS54233", "PDF")</f>
        <v>PDF</v>
      </c>
      <c r="D3822" s="5" t="s">
        <v>34436</v>
      </c>
      <c r="E3822" s="5" t="s">
        <v>34437</v>
      </c>
      <c r="F3822" s="5" t="s">
        <v>34438</v>
      </c>
      <c r="G3822" s="5" t="s">
        <v>34439</v>
      </c>
      <c r="H3822" s="1" t="s">
        <v>34440</v>
      </c>
      <c r="I3822" s="5" t="s">
        <v>34441</v>
      </c>
      <c r="J3822" s="7">
        <v>8</v>
      </c>
      <c r="K3822" s="7">
        <v>29.4</v>
      </c>
      <c r="L3822" s="5" t="s">
        <v>34442</v>
      </c>
      <c r="M3822" s="7">
        <v>1.75</v>
      </c>
      <c r="N3822" s="7">
        <v>1.27</v>
      </c>
      <c r="O3822" s="7">
        <v>0.55200000000000005</v>
      </c>
      <c r="P3822" s="1" t="s">
        <v>34443</v>
      </c>
    </row>
    <row r="3823" spans="1:16" ht="33.4" x14ac:dyDescent="0.3">
      <c r="A3823" s="6" t="str">
        <f>HYPERLINK("https://www.ti.com/product/TPS63030", "TPS63030")</f>
        <v>TPS63030</v>
      </c>
      <c r="B3823" s="5" t="s">
        <v>34444</v>
      </c>
      <c r="C3823" s="6" t="str">
        <f>HYPERLINK("https://www.ti.com/lit/gpn/TPS63030", "PDF")</f>
        <v>PDF</v>
      </c>
      <c r="D3823" s="5" t="s">
        <v>34445</v>
      </c>
      <c r="E3823" s="5" t="s">
        <v>34446</v>
      </c>
      <c r="F3823" s="5" t="s">
        <v>34447</v>
      </c>
      <c r="G3823" s="5" t="s">
        <v>34448</v>
      </c>
      <c r="H3823" s="1" t="s">
        <v>34449</v>
      </c>
      <c r="I3823" s="5" t="s">
        <v>34450</v>
      </c>
      <c r="J3823" s="7">
        <v>10</v>
      </c>
      <c r="K3823" s="7">
        <v>6.25</v>
      </c>
      <c r="L3823" s="5" t="s">
        <v>34451</v>
      </c>
      <c r="M3823" s="7">
        <v>0.8</v>
      </c>
      <c r="N3823" s="7">
        <v>0.5</v>
      </c>
      <c r="O3823" s="7">
        <v>0.79400000000000004</v>
      </c>
      <c r="P3823" s="1" t="s">
        <v>34452</v>
      </c>
    </row>
    <row r="3824" spans="1:16" ht="33.4" x14ac:dyDescent="0.3">
      <c r="A3824" s="6" t="str">
        <f>HYPERLINK("https://www.ti.com/product/TPS63031", "TPS63031")</f>
        <v>TPS63031</v>
      </c>
      <c r="B3824" s="5" t="s">
        <v>34453</v>
      </c>
      <c r="C3824" s="6" t="str">
        <f>HYPERLINK("https://www.ti.com/lit/gpn/TPS63031", "PDF")</f>
        <v>PDF</v>
      </c>
      <c r="D3824" s="5" t="s">
        <v>34454</v>
      </c>
      <c r="E3824" s="5" t="s">
        <v>34455</v>
      </c>
      <c r="F3824" s="5" t="s">
        <v>34456</v>
      </c>
      <c r="G3824" s="5" t="s">
        <v>34457</v>
      </c>
      <c r="H3824" s="1" t="s">
        <v>34458</v>
      </c>
      <c r="I3824" s="5" t="s">
        <v>34459</v>
      </c>
      <c r="J3824" s="7">
        <v>10</v>
      </c>
      <c r="K3824" s="7">
        <v>6.25</v>
      </c>
      <c r="L3824" s="5" t="s">
        <v>34460</v>
      </c>
      <c r="M3824" s="7">
        <v>0.8</v>
      </c>
      <c r="N3824" s="7">
        <v>0.5</v>
      </c>
      <c r="O3824" s="7">
        <v>0.79400000000000004</v>
      </c>
      <c r="P3824" s="1" t="s">
        <v>34461</v>
      </c>
    </row>
    <row r="3825" spans="1:16" ht="33.4" x14ac:dyDescent="0.3">
      <c r="A3825" s="6" t="str">
        <f>HYPERLINK("https://www.ti.com/product/TPS54160", "TPS54160")</f>
        <v>TPS54160</v>
      </c>
      <c r="B3825" s="5" t="s">
        <v>34462</v>
      </c>
      <c r="C3825" s="6" t="str">
        <f>HYPERLINK("https://www.ti.com/lit/gpn/TPS54160", "PDF")</f>
        <v>PDF</v>
      </c>
      <c r="D3825" s="5" t="s">
        <v>34463</v>
      </c>
      <c r="E3825" s="5" t="s">
        <v>34464</v>
      </c>
      <c r="F3825" s="5" t="s">
        <v>34465</v>
      </c>
      <c r="G3825" s="5" t="s">
        <v>34466</v>
      </c>
      <c r="H3825" s="1" t="s">
        <v>34467</v>
      </c>
      <c r="I3825" s="5" t="s">
        <v>34468</v>
      </c>
      <c r="J3825" s="7">
        <v>10</v>
      </c>
      <c r="K3825" s="7">
        <v>14.7</v>
      </c>
      <c r="L3825" s="5" t="s">
        <v>34469</v>
      </c>
      <c r="M3825" s="7">
        <v>1.1000000000000001</v>
      </c>
      <c r="N3825" s="7">
        <v>0.5</v>
      </c>
      <c r="O3825" s="7">
        <v>1.5529999999999999</v>
      </c>
      <c r="P3825" s="1" t="s">
        <v>34470</v>
      </c>
    </row>
    <row r="3826" spans="1:16" ht="33.4" x14ac:dyDescent="0.3">
      <c r="A3826" s="6" t="str">
        <f>HYPERLINK("https://www.ti.com/product/LM4128-Q1", "LM4128-Q1")</f>
        <v>LM4128-Q1</v>
      </c>
      <c r="B3826" s="5" t="s">
        <v>34471</v>
      </c>
      <c r="C3826" s="6" t="str">
        <f>HYPERLINK("https://www.ti.com/lit/gpn/LM4128-Q1", "PDF")</f>
        <v>PDF</v>
      </c>
      <c r="D3826" s="5" t="s">
        <v>34472</v>
      </c>
      <c r="E3826" s="5" t="s">
        <v>34473</v>
      </c>
      <c r="F3826" s="5"/>
      <c r="G3826" s="5" t="s">
        <v>34474</v>
      </c>
      <c r="H3826" s="1" t="s">
        <v>34475</v>
      </c>
      <c r="I3826" s="5" t="s">
        <v>34476</v>
      </c>
      <c r="J3826" s="7">
        <v>5</v>
      </c>
      <c r="K3826" s="7">
        <v>8.1199999999999992</v>
      </c>
      <c r="L3826" s="5" t="s">
        <v>34477</v>
      </c>
      <c r="M3826" s="7">
        <v>1.45</v>
      </c>
      <c r="N3826" s="7">
        <v>0.95</v>
      </c>
      <c r="O3826" s="7">
        <v>0.88500000000000001</v>
      </c>
      <c r="P3826" s="1" t="s">
        <v>34478</v>
      </c>
    </row>
    <row r="3827" spans="1:16" ht="33.4" x14ac:dyDescent="0.3">
      <c r="A3827" s="6" t="str">
        <f>HYPERLINK("https://www.ti.com/product/LM5116WG", "LM5116WG")</f>
        <v>LM5116WG</v>
      </c>
      <c r="B3827" s="5" t="s">
        <v>34479</v>
      </c>
      <c r="C3827" s="6" t="str">
        <f>HYPERLINK("https://www.ti.com/lit/gpn/LM5116WG", "PDF")</f>
        <v>PDF</v>
      </c>
      <c r="D3827" s="5" t="s">
        <v>34480</v>
      </c>
      <c r="E3827" s="5" t="s">
        <v>34481</v>
      </c>
      <c r="F3827" s="5" t="s">
        <v>34482</v>
      </c>
      <c r="G3827" s="5" t="s">
        <v>34483</v>
      </c>
      <c r="H3827" s="1" t="s">
        <v>34484</v>
      </c>
      <c r="I3827" s="5" t="s">
        <v>34485</v>
      </c>
      <c r="J3827" s="7">
        <v>20</v>
      </c>
      <c r="K3827" s="7">
        <v>99.290124000000006</v>
      </c>
      <c r="L3827" s="5" t="s">
        <v>34486</v>
      </c>
      <c r="M3827" s="7">
        <v>2.59</v>
      </c>
      <c r="N3827" s="7">
        <v>1.27</v>
      </c>
      <c r="O3827" s="7">
        <v>287.5</v>
      </c>
      <c r="P3827" s="1" t="s">
        <v>34487</v>
      </c>
    </row>
    <row r="3828" spans="1:16" ht="49.75" x14ac:dyDescent="0.3">
      <c r="A3828" s="6" t="str">
        <f>HYPERLINK("https://www.ti.com/product/TPS71202-EP", "TPS71202-EP")</f>
        <v>TPS71202-EP</v>
      </c>
      <c r="B3828" s="5" t="s">
        <v>34488</v>
      </c>
      <c r="C3828" s="6" t="str">
        <f>HYPERLINK("https://www.ti.com/lit/gpn/TPS71202-EP", "PDF")</f>
        <v>PDF</v>
      </c>
      <c r="D3828" s="5" t="s">
        <v>34489</v>
      </c>
      <c r="E3828" s="5" t="s">
        <v>34490</v>
      </c>
      <c r="F3828" s="5"/>
      <c r="G3828" s="5" t="s">
        <v>34491</v>
      </c>
      <c r="H3828" s="1" t="s">
        <v>34492</v>
      </c>
      <c r="I3828" s="5" t="s">
        <v>34493</v>
      </c>
      <c r="J3828" s="7">
        <v>10</v>
      </c>
      <c r="K3828" s="7">
        <v>9</v>
      </c>
      <c r="L3828" s="5" t="s">
        <v>34494</v>
      </c>
      <c r="M3828" s="7">
        <v>1</v>
      </c>
      <c r="N3828" s="7">
        <v>0.5</v>
      </c>
      <c r="O3828" s="7">
        <v>3.45</v>
      </c>
      <c r="P3828" s="1" t="s">
        <v>34495</v>
      </c>
    </row>
    <row r="3829" spans="1:16" ht="33.4" x14ac:dyDescent="0.3">
      <c r="A3829" s="6" t="str">
        <f>HYPERLINK("https://www.ti.com/product/TPS65161B", "TPS65161B")</f>
        <v>TPS65161B</v>
      </c>
      <c r="B3829" s="5" t="s">
        <v>34496</v>
      </c>
      <c r="C3829" s="6" t="str">
        <f>HYPERLINK("https://www.ti.com/lit/gpn/TPS65161B", "PDF")</f>
        <v>PDF</v>
      </c>
      <c r="D3829" s="5" t="s">
        <v>34497</v>
      </c>
      <c r="E3829" s="5" t="s">
        <v>34498</v>
      </c>
      <c r="F3829" s="5" t="s">
        <v>34499</v>
      </c>
      <c r="G3829" s="5" t="s">
        <v>34500</v>
      </c>
      <c r="H3829" s="1" t="s">
        <v>34501</v>
      </c>
      <c r="I3829" s="5" t="s">
        <v>34502</v>
      </c>
      <c r="J3829" s="7">
        <v>28</v>
      </c>
      <c r="K3829" s="7">
        <v>62.08</v>
      </c>
      <c r="L3829" s="5" t="s">
        <v>34503</v>
      </c>
      <c r="M3829" s="7">
        <v>1.2</v>
      </c>
      <c r="N3829" s="7">
        <v>0.65</v>
      </c>
      <c r="O3829" s="7">
        <v>1.3</v>
      </c>
      <c r="P3829" s="1" t="s">
        <v>34504</v>
      </c>
    </row>
    <row r="3830" spans="1:16" ht="49.75" x14ac:dyDescent="0.3">
      <c r="A3830" s="6" t="str">
        <f>HYPERLINK("https://www.ti.com/product/LM22673", "LM22673")</f>
        <v>LM22673</v>
      </c>
      <c r="B3830" s="5" t="s">
        <v>34505</v>
      </c>
      <c r="C3830" s="6" t="str">
        <f>HYPERLINK("https://www.ti.com/lit/gpn/LM22673", "PDF")</f>
        <v>PDF</v>
      </c>
      <c r="D3830" s="5" t="s">
        <v>34506</v>
      </c>
      <c r="E3830" s="5" t="s">
        <v>34507</v>
      </c>
      <c r="F3830" s="5" t="s">
        <v>34508</v>
      </c>
      <c r="G3830" s="5" t="s">
        <v>34509</v>
      </c>
      <c r="H3830" s="1" t="s">
        <v>34510</v>
      </c>
      <c r="I3830" s="5" t="s">
        <v>34511</v>
      </c>
      <c r="J3830" s="7" t="s">
        <v>34512</v>
      </c>
      <c r="K3830" s="7" t="s">
        <v>34513</v>
      </c>
      <c r="L3830" s="5" t="s">
        <v>34514</v>
      </c>
      <c r="M3830" s="7" t="s">
        <v>34515</v>
      </c>
      <c r="N3830" s="7">
        <v>1.27</v>
      </c>
      <c r="O3830" s="7">
        <v>2.1230000000000002</v>
      </c>
      <c r="P3830" s="1" t="s">
        <v>34516</v>
      </c>
    </row>
    <row r="3831" spans="1:16" ht="49.75" x14ac:dyDescent="0.3">
      <c r="A3831" s="6" t="str">
        <f>HYPERLINK("https://www.ti.com/product/LM22676", "LM22676")</f>
        <v>LM22676</v>
      </c>
      <c r="B3831" s="5" t="s">
        <v>34517</v>
      </c>
      <c r="C3831" s="6" t="str">
        <f>HYPERLINK("https://www.ti.com/lit/gpn/LM22676", "PDF")</f>
        <v>PDF</v>
      </c>
      <c r="D3831" s="5" t="s">
        <v>34518</v>
      </c>
      <c r="E3831" s="5" t="s">
        <v>34519</v>
      </c>
      <c r="F3831" s="5" t="s">
        <v>34520</v>
      </c>
      <c r="G3831" s="5" t="s">
        <v>34521</v>
      </c>
      <c r="H3831" s="1" t="s">
        <v>34522</v>
      </c>
      <c r="I3831" s="5" t="s">
        <v>34523</v>
      </c>
      <c r="J3831" s="7" t="s">
        <v>34524</v>
      </c>
      <c r="K3831" s="7" t="s">
        <v>34525</v>
      </c>
      <c r="L3831" s="5" t="s">
        <v>34526</v>
      </c>
      <c r="M3831" s="7" t="s">
        <v>34527</v>
      </c>
      <c r="N3831" s="7">
        <v>1.27</v>
      </c>
      <c r="O3831" s="7">
        <v>2.0030000000000001</v>
      </c>
      <c r="P3831" s="1" t="s">
        <v>34528</v>
      </c>
    </row>
    <row r="3832" spans="1:16" ht="33.4" x14ac:dyDescent="0.3">
      <c r="A3832" s="6" t="str">
        <f>HYPERLINK("https://www.ti.com/product/LM22678", "LM22678")</f>
        <v>LM22678</v>
      </c>
      <c r="B3832" s="5" t="s">
        <v>34529</v>
      </c>
      <c r="C3832" s="6" t="str">
        <f>HYPERLINK("https://www.ti.com/lit/gpn/LM22678", "PDF")</f>
        <v>PDF</v>
      </c>
      <c r="D3832" s="5" t="s">
        <v>34530</v>
      </c>
      <c r="E3832" s="5" t="s">
        <v>34531</v>
      </c>
      <c r="F3832" s="5" t="s">
        <v>34532</v>
      </c>
      <c r="G3832" s="5" t="s">
        <v>34533</v>
      </c>
      <c r="H3832" s="1" t="s">
        <v>34534</v>
      </c>
      <c r="I3832" s="5" t="s">
        <v>34535</v>
      </c>
      <c r="J3832" s="7">
        <v>7</v>
      </c>
      <c r="K3832" s="7">
        <v>142.3416</v>
      </c>
      <c r="L3832" s="5" t="s">
        <v>34536</v>
      </c>
      <c r="M3832" s="7">
        <v>2.1</v>
      </c>
      <c r="N3832" s="7">
        <v>1.27</v>
      </c>
      <c r="O3832" s="7">
        <v>3.2610000000000001</v>
      </c>
      <c r="P3832" s="1" t="s">
        <v>34537</v>
      </c>
    </row>
    <row r="3833" spans="1:16" ht="33.4" x14ac:dyDescent="0.3">
      <c r="A3833" s="6" t="str">
        <f>HYPERLINK("https://www.ti.com/product/LM22679", "LM22679")</f>
        <v>LM22679</v>
      </c>
      <c r="B3833" s="5" t="s">
        <v>34538</v>
      </c>
      <c r="C3833" s="6" t="str">
        <f>HYPERLINK("https://www.ti.com/lit/gpn/LM22679", "PDF")</f>
        <v>PDF</v>
      </c>
      <c r="D3833" s="5" t="s">
        <v>34539</v>
      </c>
      <c r="E3833" s="5" t="s">
        <v>34540</v>
      </c>
      <c r="F3833" s="5" t="s">
        <v>34541</v>
      </c>
      <c r="G3833" s="5" t="s">
        <v>34542</v>
      </c>
      <c r="H3833" s="1" t="s">
        <v>34543</v>
      </c>
      <c r="I3833" s="5" t="s">
        <v>34544</v>
      </c>
      <c r="J3833" s="7">
        <v>7</v>
      </c>
      <c r="K3833" s="7">
        <v>142.3416</v>
      </c>
      <c r="L3833" s="5" t="s">
        <v>34545</v>
      </c>
      <c r="M3833" s="7">
        <v>2.1</v>
      </c>
      <c r="N3833" s="7">
        <v>1.27</v>
      </c>
      <c r="O3833" s="7">
        <v>3.121</v>
      </c>
      <c r="P3833" s="1" t="s">
        <v>34546</v>
      </c>
    </row>
    <row r="3834" spans="1:16" ht="33.4" x14ac:dyDescent="0.3">
      <c r="A3834" s="6" t="str">
        <f>HYPERLINK("https://www.ti.com/product/LM5576-Q1", "LM5576-Q1")</f>
        <v>LM5576-Q1</v>
      </c>
      <c r="B3834" s="5" t="s">
        <v>34547</v>
      </c>
      <c r="C3834" s="6" t="str">
        <f>HYPERLINK("https://www.ti.com/lit/gpn/LM5576-Q1", "PDF")</f>
        <v>PDF</v>
      </c>
      <c r="D3834" s="5" t="s">
        <v>34548</v>
      </c>
      <c r="E3834" s="5" t="s">
        <v>34549</v>
      </c>
      <c r="F3834" s="5" t="s">
        <v>34550</v>
      </c>
      <c r="G3834" s="5" t="s">
        <v>34551</v>
      </c>
      <c r="H3834" s="1" t="s">
        <v>34552</v>
      </c>
      <c r="I3834" s="5" t="s">
        <v>34553</v>
      </c>
      <c r="J3834" s="7">
        <v>20</v>
      </c>
      <c r="K3834" s="7">
        <v>41.6</v>
      </c>
      <c r="L3834" s="5" t="s">
        <v>34554</v>
      </c>
      <c r="M3834" s="7">
        <v>1.2</v>
      </c>
      <c r="N3834" s="7">
        <v>0.65</v>
      </c>
      <c r="O3834" s="7">
        <v>2.0470000000000002</v>
      </c>
      <c r="P3834" s="1" t="s">
        <v>34555</v>
      </c>
    </row>
    <row r="3835" spans="1:16" ht="33.4" x14ac:dyDescent="0.3">
      <c r="A3835" s="6" t="str">
        <f>HYPERLINK("https://www.ti.com/product/TPS54231", "TPS54231")</f>
        <v>TPS54231</v>
      </c>
      <c r="B3835" s="5" t="s">
        <v>34556</v>
      </c>
      <c r="C3835" s="6" t="str">
        <f>HYPERLINK("https://www.ti.com/lit/gpn/TPS54231", "PDF")</f>
        <v>PDF</v>
      </c>
      <c r="D3835" s="5" t="s">
        <v>34557</v>
      </c>
      <c r="E3835" s="5" t="s">
        <v>34558</v>
      </c>
      <c r="F3835" s="5" t="s">
        <v>34559</v>
      </c>
      <c r="G3835" s="5" t="s">
        <v>34560</v>
      </c>
      <c r="H3835" s="1" t="s">
        <v>34561</v>
      </c>
      <c r="I3835" s="5" t="s">
        <v>34562</v>
      </c>
      <c r="J3835" s="7">
        <v>8</v>
      </c>
      <c r="K3835" s="7">
        <v>29.4</v>
      </c>
      <c r="L3835" s="5" t="s">
        <v>34563</v>
      </c>
      <c r="M3835" s="7">
        <v>1.75</v>
      </c>
      <c r="N3835" s="7">
        <v>1.27</v>
      </c>
      <c r="O3835" s="7">
        <v>0.55200000000000005</v>
      </c>
      <c r="P3835" s="1" t="s">
        <v>34564</v>
      </c>
    </row>
    <row r="3836" spans="1:16" ht="33.4" x14ac:dyDescent="0.3">
      <c r="A3836" s="6" t="str">
        <f>HYPERLINK("https://www.ti.com/product/BUF08821", "BUF08821")</f>
        <v>BUF08821</v>
      </c>
      <c r="B3836" s="5" t="s">
        <v>34565</v>
      </c>
      <c r="C3836" s="6" t="str">
        <f>HYPERLINK("https://www.ti.com/lit/gpn/BUF08821", "PDF")</f>
        <v>PDF</v>
      </c>
      <c r="D3836" s="5" t="s">
        <v>34566</v>
      </c>
      <c r="E3836" s="5" t="s">
        <v>34567</v>
      </c>
      <c r="F3836" s="5"/>
      <c r="G3836" s="5" t="s">
        <v>34568</v>
      </c>
      <c r="H3836" s="1" t="s">
        <v>34569</v>
      </c>
      <c r="I3836" s="5" t="s">
        <v>34570</v>
      </c>
      <c r="J3836" s="7">
        <v>20</v>
      </c>
      <c r="K3836" s="7">
        <v>41.6</v>
      </c>
      <c r="L3836" s="5" t="s">
        <v>34571</v>
      </c>
      <c r="M3836" s="7">
        <v>1.2</v>
      </c>
      <c r="N3836" s="7">
        <v>0.65</v>
      </c>
      <c r="O3836" s="7">
        <v>1.6719999999999999</v>
      </c>
      <c r="P3836" s="1" t="s">
        <v>34572</v>
      </c>
    </row>
    <row r="3837" spans="1:16" ht="49.75" x14ac:dyDescent="0.3">
      <c r="A3837" s="6" t="str">
        <f>HYPERLINK("https://www.ti.com/product/LM3530", "LM3530")</f>
        <v>LM3530</v>
      </c>
      <c r="B3837" s="5" t="s">
        <v>34573</v>
      </c>
      <c r="C3837" s="6" t="str">
        <f>HYPERLINK("https://www.ti.com/lit/gpn/LM3530", "PDF")</f>
        <v>PDF</v>
      </c>
      <c r="D3837" s="5" t="s">
        <v>34574</v>
      </c>
      <c r="E3837" s="5" t="s">
        <v>34575</v>
      </c>
      <c r="F3837" s="5" t="s">
        <v>34576</v>
      </c>
      <c r="G3837" s="5" t="s">
        <v>34577</v>
      </c>
      <c r="H3837" s="1" t="s">
        <v>34578</v>
      </c>
      <c r="I3837" s="5" t="s">
        <v>34579</v>
      </c>
      <c r="J3837" s="7">
        <v>12</v>
      </c>
      <c r="K3837" s="7">
        <v>2.52</v>
      </c>
      <c r="L3837" s="5" t="s">
        <v>34580</v>
      </c>
      <c r="M3837" s="7" t="s">
        <v>34581</v>
      </c>
      <c r="N3837" s="7">
        <v>0.4</v>
      </c>
      <c r="O3837" s="7">
        <v>0.5</v>
      </c>
      <c r="P3837" s="1" t="s">
        <v>34582</v>
      </c>
    </row>
    <row r="3838" spans="1:16" ht="33.4" x14ac:dyDescent="0.3">
      <c r="A3838" s="6" t="str">
        <f>HYPERLINK("https://www.ti.com/product/LM5574-Q1", "LM5574-Q1")</f>
        <v>LM5574-Q1</v>
      </c>
      <c r="B3838" s="5" t="s">
        <v>34583</v>
      </c>
      <c r="C3838" s="6" t="str">
        <f>HYPERLINK("https://www.ti.com/lit/gpn/LM5574-Q1", "PDF")</f>
        <v>PDF</v>
      </c>
      <c r="D3838" s="5" t="s">
        <v>34584</v>
      </c>
      <c r="E3838" s="5" t="s">
        <v>34585</v>
      </c>
      <c r="F3838" s="5" t="s">
        <v>34586</v>
      </c>
      <c r="G3838" s="5" t="s">
        <v>34587</v>
      </c>
      <c r="H3838" s="1" t="s">
        <v>34588</v>
      </c>
      <c r="I3838" s="5" t="s">
        <v>34589</v>
      </c>
      <c r="J3838" s="7">
        <v>16</v>
      </c>
      <c r="K3838" s="7">
        <v>32</v>
      </c>
      <c r="L3838" s="5" t="s">
        <v>34590</v>
      </c>
      <c r="M3838" s="7">
        <v>1.2</v>
      </c>
      <c r="N3838" s="7">
        <v>0.65</v>
      </c>
      <c r="O3838" s="7">
        <v>1.5609999999999999</v>
      </c>
      <c r="P3838" s="1" t="s">
        <v>34591</v>
      </c>
    </row>
    <row r="3839" spans="1:16" ht="33.4" x14ac:dyDescent="0.3">
      <c r="A3839" s="6" t="str">
        <f>HYPERLINK("https://www.ti.com/product/REF5020A-Q1", "REF5020A-Q1")</f>
        <v>REF5020A-Q1</v>
      </c>
      <c r="B3839" s="5" t="s">
        <v>34592</v>
      </c>
      <c r="C3839" s="6" t="str">
        <f>HYPERLINK("https://www.ti.com/lit/gpn/REF5020A-Q1", "PDF")</f>
        <v>PDF</v>
      </c>
      <c r="D3839" s="5" t="s">
        <v>34593</v>
      </c>
      <c r="E3839" s="5" t="s">
        <v>34594</v>
      </c>
      <c r="F3839" s="5"/>
      <c r="G3839" s="5" t="s">
        <v>34595</v>
      </c>
      <c r="H3839" s="1" t="s">
        <v>34596</v>
      </c>
      <c r="I3839" s="5" t="s">
        <v>34597</v>
      </c>
      <c r="J3839" s="7">
        <v>8</v>
      </c>
      <c r="K3839" s="7">
        <v>29.4</v>
      </c>
      <c r="L3839" s="5" t="s">
        <v>34598</v>
      </c>
      <c r="M3839" s="7">
        <v>1.75</v>
      </c>
      <c r="N3839" s="7">
        <v>1.27</v>
      </c>
      <c r="O3839" s="7">
        <v>1.6259999999999999</v>
      </c>
      <c r="P3839" s="1" t="s">
        <v>34599</v>
      </c>
    </row>
    <row r="3840" spans="1:16" ht="33.4" x14ac:dyDescent="0.3">
      <c r="A3840" s="6" t="str">
        <f>HYPERLINK("https://www.ti.com/product/TPS55065-Q1", "TPS55065-Q1")</f>
        <v>TPS55065-Q1</v>
      </c>
      <c r="B3840" s="5" t="s">
        <v>34600</v>
      </c>
      <c r="C3840" s="6" t="str">
        <f>HYPERLINK("https://www.ti.com/lit/gpn/TPS55065-Q1", "PDF")</f>
        <v>PDF</v>
      </c>
      <c r="D3840" s="5" t="s">
        <v>34601</v>
      </c>
      <c r="E3840" s="5" t="s">
        <v>34602</v>
      </c>
      <c r="F3840" s="5" t="s">
        <v>34603</v>
      </c>
      <c r="G3840" s="5" t="s">
        <v>34604</v>
      </c>
      <c r="H3840" s="1" t="s">
        <v>34605</v>
      </c>
      <c r="I3840" s="5" t="s">
        <v>34606</v>
      </c>
      <c r="J3840" s="7">
        <v>20</v>
      </c>
      <c r="K3840" s="7">
        <v>41.6</v>
      </c>
      <c r="L3840" s="5" t="s">
        <v>34607</v>
      </c>
      <c r="M3840" s="7">
        <v>1.2</v>
      </c>
      <c r="N3840" s="7">
        <v>0.65</v>
      </c>
      <c r="O3840" s="7">
        <v>1.728</v>
      </c>
      <c r="P3840" s="1" t="s">
        <v>34608</v>
      </c>
    </row>
    <row r="3841" spans="1:16" ht="33.4" x14ac:dyDescent="0.3">
      <c r="A3841" s="6" t="str">
        <f>HYPERLINK("https://www.ti.com/product/TPS55386", "TPS55386")</f>
        <v>TPS55386</v>
      </c>
      <c r="B3841" s="5" t="s">
        <v>34609</v>
      </c>
      <c r="C3841" s="6" t="str">
        <f>HYPERLINK("https://www.ti.com/lit/gpn/TPS55386", "PDF")</f>
        <v>PDF</v>
      </c>
      <c r="D3841" s="5" t="s">
        <v>34610</v>
      </c>
      <c r="E3841" s="5" t="s">
        <v>34611</v>
      </c>
      <c r="F3841" s="5" t="s">
        <v>34612</v>
      </c>
      <c r="G3841" s="5" t="s">
        <v>34613</v>
      </c>
      <c r="H3841" s="1" t="s">
        <v>34614</v>
      </c>
      <c r="I3841" s="5" t="s">
        <v>34615</v>
      </c>
      <c r="J3841" s="7">
        <v>16</v>
      </c>
      <c r="K3841" s="7">
        <v>32</v>
      </c>
      <c r="L3841" s="5" t="s">
        <v>34616</v>
      </c>
      <c r="M3841" s="7">
        <v>1.2</v>
      </c>
      <c r="N3841" s="7">
        <v>0.65</v>
      </c>
      <c r="O3841" s="7">
        <v>1.7250000000000001</v>
      </c>
      <c r="P3841" s="1" t="s">
        <v>34617</v>
      </c>
    </row>
    <row r="3842" spans="1:16" ht="33.4" x14ac:dyDescent="0.3">
      <c r="A3842" s="6" t="str">
        <f>HYPERLINK("https://www.ti.com/product/TPS65510", "TPS65510")</f>
        <v>TPS65510</v>
      </c>
      <c r="B3842" s="5" t="s">
        <v>34618</v>
      </c>
      <c r="C3842" s="6" t="str">
        <f>HYPERLINK("https://www.ti.com/lit/gpn/TPS65510", "PDF")</f>
        <v>PDF</v>
      </c>
      <c r="D3842" s="5" t="s">
        <v>34619</v>
      </c>
      <c r="E3842" s="5" t="s">
        <v>34620</v>
      </c>
      <c r="F3842" s="5" t="s">
        <v>34621</v>
      </c>
      <c r="G3842" s="5" t="s">
        <v>34622</v>
      </c>
      <c r="H3842" s="1" t="s">
        <v>34623</v>
      </c>
      <c r="I3842" s="5" t="s">
        <v>34624</v>
      </c>
      <c r="J3842" s="7">
        <v>16</v>
      </c>
      <c r="K3842" s="7">
        <v>9</v>
      </c>
      <c r="L3842" s="5" t="s">
        <v>34625</v>
      </c>
      <c r="M3842" s="7">
        <v>1</v>
      </c>
      <c r="N3842" s="7">
        <v>0.5</v>
      </c>
      <c r="O3842" s="7">
        <v>1.518</v>
      </c>
      <c r="P3842" s="1" t="s">
        <v>34626</v>
      </c>
    </row>
    <row r="3843" spans="1:16" ht="33.4" x14ac:dyDescent="0.3">
      <c r="A3843" s="6" t="str">
        <f>HYPERLINK("https://www.ti.com/product/TPS782", "TPS782")</f>
        <v>TPS782</v>
      </c>
      <c r="B3843" s="5" t="s">
        <v>34627</v>
      </c>
      <c r="C3843" s="6" t="str">
        <f>HYPERLINK("https://www.ti.com/lit/gpn/TPS782", "PDF")</f>
        <v>PDF</v>
      </c>
      <c r="D3843" s="5" t="s">
        <v>34628</v>
      </c>
      <c r="E3843" s="5" t="s">
        <v>34629</v>
      </c>
      <c r="F3843" s="5"/>
      <c r="G3843" s="5" t="s">
        <v>34630</v>
      </c>
      <c r="H3843" s="1" t="s">
        <v>34631</v>
      </c>
      <c r="I3843" s="5" t="s">
        <v>34632</v>
      </c>
      <c r="J3843" s="7" t="s">
        <v>34633</v>
      </c>
      <c r="K3843" s="7" t="s">
        <v>34634</v>
      </c>
      <c r="L3843" s="5" t="s">
        <v>34635</v>
      </c>
      <c r="M3843" s="7" t="s">
        <v>34636</v>
      </c>
      <c r="N3843" s="7" t="s">
        <v>34637</v>
      </c>
      <c r="O3843" s="7">
        <v>0.248</v>
      </c>
      <c r="P3843" s="1" t="s">
        <v>34638</v>
      </c>
    </row>
    <row r="3844" spans="1:16" ht="33.4" x14ac:dyDescent="0.3">
      <c r="A3844" s="6" t="str">
        <f>HYPERLINK("https://www.ti.com/product/UCD3040", "UCD3040")</f>
        <v>UCD3040</v>
      </c>
      <c r="B3844" s="5" t="s">
        <v>34639</v>
      </c>
      <c r="C3844" s="6" t="str">
        <f>HYPERLINK("https://www.ti.com/lit/gpn/UCD3040", "PDF")</f>
        <v>PDF</v>
      </c>
      <c r="D3844" s="5" t="s">
        <v>34640</v>
      </c>
      <c r="E3844" s="5" t="s">
        <v>34641</v>
      </c>
      <c r="F3844" s="5"/>
      <c r="G3844" s="5" t="s">
        <v>34642</v>
      </c>
      <c r="H3844" s="1" t="s">
        <v>34643</v>
      </c>
      <c r="I3844" s="5" t="s">
        <v>34644</v>
      </c>
      <c r="J3844" s="7" t="s">
        <v>34645</v>
      </c>
      <c r="K3844" s="7" t="s">
        <v>34646</v>
      </c>
      <c r="L3844" s="5" t="s">
        <v>34647</v>
      </c>
      <c r="M3844" s="7" t="s">
        <v>34648</v>
      </c>
      <c r="N3844" s="7">
        <v>0.5</v>
      </c>
      <c r="O3844" s="7">
        <v>3.7949999999999999</v>
      </c>
      <c r="P3844" s="1" t="s">
        <v>34649</v>
      </c>
    </row>
    <row r="3845" spans="1:16" ht="49.75" x14ac:dyDescent="0.3">
      <c r="A3845" s="6" t="str">
        <f>HYPERLINK("https://www.ti.com/product/LM22670", "LM22670")</f>
        <v>LM22670</v>
      </c>
      <c r="B3845" s="5" t="s">
        <v>34650</v>
      </c>
      <c r="C3845" s="6" t="str">
        <f>HYPERLINK("https://www.ti.com/lit/gpn/LM22670", "PDF")</f>
        <v>PDF</v>
      </c>
      <c r="D3845" s="5" t="s">
        <v>34651</v>
      </c>
      <c r="E3845" s="5" t="s">
        <v>34652</v>
      </c>
      <c r="F3845" s="5" t="s">
        <v>34653</v>
      </c>
      <c r="G3845" s="5" t="s">
        <v>34654</v>
      </c>
      <c r="H3845" s="1" t="s">
        <v>34655</v>
      </c>
      <c r="I3845" s="5" t="s">
        <v>34656</v>
      </c>
      <c r="J3845" s="7" t="s">
        <v>34657</v>
      </c>
      <c r="K3845" s="7" t="s">
        <v>34658</v>
      </c>
      <c r="L3845" s="5" t="s">
        <v>34659</v>
      </c>
      <c r="M3845" s="7" t="s">
        <v>34660</v>
      </c>
      <c r="N3845" s="7">
        <v>1.27</v>
      </c>
      <c r="O3845" s="7">
        <v>2.266</v>
      </c>
      <c r="P3845" s="1" t="s">
        <v>34661</v>
      </c>
    </row>
    <row r="3846" spans="1:16" ht="49.75" x14ac:dyDescent="0.3">
      <c r="A3846" s="6" t="str">
        <f>HYPERLINK("https://www.ti.com/product/LM22670-Q1", "LM22670-Q1")</f>
        <v>LM22670-Q1</v>
      </c>
      <c r="B3846" s="5" t="s">
        <v>34662</v>
      </c>
      <c r="C3846" s="6" t="str">
        <f>HYPERLINK("https://www.ti.com/lit/gpn/LM22670-Q1", "PDF")</f>
        <v>PDF</v>
      </c>
      <c r="D3846" s="5" t="s">
        <v>34663</v>
      </c>
      <c r="E3846" s="5" t="s">
        <v>34664</v>
      </c>
      <c r="F3846" s="5" t="s">
        <v>34665</v>
      </c>
      <c r="G3846" s="5" t="s">
        <v>34666</v>
      </c>
      <c r="H3846" s="1" t="s">
        <v>34667</v>
      </c>
      <c r="I3846" s="5" t="s">
        <v>34668</v>
      </c>
      <c r="J3846" s="7" t="s">
        <v>34669</v>
      </c>
      <c r="K3846" s="7" t="s">
        <v>34670</v>
      </c>
      <c r="L3846" s="5" t="s">
        <v>34671</v>
      </c>
      <c r="M3846" s="7" t="s">
        <v>34672</v>
      </c>
      <c r="N3846" s="7">
        <v>1.27</v>
      </c>
      <c r="O3846" s="7">
        <v>2.6739999999999999</v>
      </c>
      <c r="P3846" s="1" t="s">
        <v>34673</v>
      </c>
    </row>
    <row r="3847" spans="1:16" ht="33.4" x14ac:dyDescent="0.3">
      <c r="A3847" s="6" t="str">
        <f>HYPERLINK("https://www.ti.com/product/LM22677", "LM22677")</f>
        <v>LM22677</v>
      </c>
      <c r="B3847" s="5" t="s">
        <v>34674</v>
      </c>
      <c r="C3847" s="6" t="str">
        <f>HYPERLINK("https://www.ti.com/lit/gpn/LM22677", "PDF")</f>
        <v>PDF</v>
      </c>
      <c r="D3847" s="5" t="s">
        <v>34675</v>
      </c>
      <c r="E3847" s="5" t="s">
        <v>34676</v>
      </c>
      <c r="F3847" s="5" t="s">
        <v>34677</v>
      </c>
      <c r="G3847" s="5" t="s">
        <v>34678</v>
      </c>
      <c r="H3847" s="1" t="s">
        <v>34679</v>
      </c>
      <c r="I3847" s="5" t="s">
        <v>34680</v>
      </c>
      <c r="J3847" s="7">
        <v>7</v>
      </c>
      <c r="K3847" s="7">
        <v>142.3416</v>
      </c>
      <c r="L3847" s="5" t="s">
        <v>34681</v>
      </c>
      <c r="M3847" s="7">
        <v>2.1</v>
      </c>
      <c r="N3847" s="7">
        <v>1.27</v>
      </c>
      <c r="O3847" s="7">
        <v>3.3279999999999998</v>
      </c>
      <c r="P3847" s="1" t="s">
        <v>34682</v>
      </c>
    </row>
    <row r="3848" spans="1:16" ht="33.4" x14ac:dyDescent="0.3">
      <c r="A3848" s="6" t="str">
        <f>HYPERLINK("https://www.ti.com/product/LM22677-Q1", "LM22677-Q1")</f>
        <v>LM22677-Q1</v>
      </c>
      <c r="B3848" s="5" t="s">
        <v>34683</v>
      </c>
      <c r="C3848" s="6" t="str">
        <f>HYPERLINK("https://www.ti.com/lit/gpn/LM22677-Q1", "PDF")</f>
        <v>PDF</v>
      </c>
      <c r="D3848" s="5" t="s">
        <v>34684</v>
      </c>
      <c r="E3848" s="5" t="s">
        <v>34685</v>
      </c>
      <c r="F3848" s="5" t="s">
        <v>34686</v>
      </c>
      <c r="G3848" s="5" t="s">
        <v>34687</v>
      </c>
      <c r="H3848" s="1" t="s">
        <v>34688</v>
      </c>
      <c r="I3848" s="5" t="s">
        <v>34689</v>
      </c>
      <c r="J3848" s="7">
        <v>7</v>
      </c>
      <c r="K3848" s="7">
        <v>142.3416</v>
      </c>
      <c r="L3848" s="5" t="s">
        <v>34690</v>
      </c>
      <c r="M3848" s="7">
        <v>2.1</v>
      </c>
      <c r="N3848" s="7">
        <v>1.27</v>
      </c>
      <c r="O3848" s="7">
        <v>3.927</v>
      </c>
      <c r="P3848" s="1" t="s">
        <v>34691</v>
      </c>
    </row>
    <row r="3849" spans="1:16" ht="33.4" x14ac:dyDescent="0.3">
      <c r="A3849" s="6" t="str">
        <f>HYPERLINK("https://www.ti.com/product/LM3150", "LM3150")</f>
        <v>LM3150</v>
      </c>
      <c r="B3849" s="5" t="s">
        <v>34692</v>
      </c>
      <c r="C3849" s="6" t="str">
        <f>HYPERLINK("https://www.ti.com/lit/gpn/LM3150", "PDF")</f>
        <v>PDF</v>
      </c>
      <c r="D3849" s="5" t="s">
        <v>34693</v>
      </c>
      <c r="E3849" s="5" t="s">
        <v>34694</v>
      </c>
      <c r="F3849" s="5" t="s">
        <v>34695</v>
      </c>
      <c r="G3849" s="5" t="s">
        <v>34696</v>
      </c>
      <c r="H3849" s="1" t="s">
        <v>34697</v>
      </c>
      <c r="I3849" s="5" t="s">
        <v>34698</v>
      </c>
      <c r="J3849" s="7">
        <v>14</v>
      </c>
      <c r="K3849" s="7">
        <v>32</v>
      </c>
      <c r="L3849" s="5" t="s">
        <v>34699</v>
      </c>
      <c r="M3849" s="7">
        <v>1.2</v>
      </c>
      <c r="N3849" s="7">
        <v>0.65</v>
      </c>
      <c r="O3849" s="7">
        <v>1.5029999999999999</v>
      </c>
      <c r="P3849" s="1" t="s">
        <v>34700</v>
      </c>
    </row>
    <row r="3850" spans="1:16" ht="33.4" x14ac:dyDescent="0.3">
      <c r="A3850" s="6" t="str">
        <f>HYPERLINK("https://www.ti.com/product/LM5575-Q1", "LM5575-Q1")</f>
        <v>LM5575-Q1</v>
      </c>
      <c r="B3850" s="5" t="s">
        <v>34701</v>
      </c>
      <c r="C3850" s="6" t="str">
        <f>HYPERLINK("https://www.ti.com/lit/gpn/LM5575-Q1", "PDF")</f>
        <v>PDF</v>
      </c>
      <c r="D3850" s="5" t="s">
        <v>34702</v>
      </c>
      <c r="E3850" s="5" t="s">
        <v>34703</v>
      </c>
      <c r="F3850" s="5" t="s">
        <v>34704</v>
      </c>
      <c r="G3850" s="5" t="s">
        <v>34705</v>
      </c>
      <c r="H3850" s="1" t="s">
        <v>34706</v>
      </c>
      <c r="I3850" s="5" t="s">
        <v>34707</v>
      </c>
      <c r="J3850" s="7">
        <v>16</v>
      </c>
      <c r="K3850" s="7">
        <v>32</v>
      </c>
      <c r="L3850" s="5" t="s">
        <v>34708</v>
      </c>
      <c r="M3850" s="7">
        <v>1.2</v>
      </c>
      <c r="N3850" s="7">
        <v>0.65</v>
      </c>
      <c r="O3850" s="7">
        <v>1.756</v>
      </c>
      <c r="P3850" s="1" t="s">
        <v>34709</v>
      </c>
    </row>
    <row r="3851" spans="1:16" ht="33.4" x14ac:dyDescent="0.3">
      <c r="A3851" s="6" t="str">
        <f>HYPERLINK("https://www.ti.com/product/TPS40210-Q1", "TPS40210-Q1")</f>
        <v>TPS40210-Q1</v>
      </c>
      <c r="B3851" s="5" t="s">
        <v>34710</v>
      </c>
      <c r="C3851" s="6" t="str">
        <f>HYPERLINK("https://www.ti.com/lit/gpn/TPS40210-Q1", "PDF")</f>
        <v>PDF</v>
      </c>
      <c r="D3851" s="5" t="s">
        <v>34711</v>
      </c>
      <c r="E3851" s="5" t="s">
        <v>34712</v>
      </c>
      <c r="F3851" s="5" t="s">
        <v>34713</v>
      </c>
      <c r="G3851" s="5" t="s">
        <v>34714</v>
      </c>
      <c r="H3851" s="1" t="s">
        <v>34715</v>
      </c>
      <c r="I3851" s="5" t="s">
        <v>34716</v>
      </c>
      <c r="J3851" s="7">
        <v>10</v>
      </c>
      <c r="K3851" s="7">
        <v>14.7</v>
      </c>
      <c r="L3851" s="5" t="s">
        <v>34717</v>
      </c>
      <c r="M3851" s="7">
        <v>1.1000000000000001</v>
      </c>
      <c r="N3851" s="7">
        <v>0.5</v>
      </c>
      <c r="O3851" s="7">
        <v>0.96799999999999997</v>
      </c>
      <c r="P3851" s="1" t="s">
        <v>34718</v>
      </c>
    </row>
    <row r="3852" spans="1:16" ht="33.4" x14ac:dyDescent="0.3">
      <c r="A3852" s="6" t="str">
        <f>HYPERLINK("https://www.ti.com/product/TPS40211-Q1", "TPS40211-Q1")</f>
        <v>TPS40211-Q1</v>
      </c>
      <c r="B3852" s="5" t="s">
        <v>34719</v>
      </c>
      <c r="C3852" s="6" t="str">
        <f>HYPERLINK("https://www.ti.com/lit/gpn/TPS40211-Q1", "PDF")</f>
        <v>PDF</v>
      </c>
      <c r="D3852" s="5" t="s">
        <v>34720</v>
      </c>
      <c r="E3852" s="5" t="s">
        <v>34721</v>
      </c>
      <c r="F3852" s="5" t="s">
        <v>34722</v>
      </c>
      <c r="G3852" s="5" t="s">
        <v>34723</v>
      </c>
      <c r="H3852" s="1" t="s">
        <v>34724</v>
      </c>
      <c r="I3852" s="5" t="s">
        <v>34725</v>
      </c>
      <c r="J3852" s="7">
        <v>10</v>
      </c>
      <c r="K3852" s="7">
        <v>14.7</v>
      </c>
      <c r="L3852" s="5" t="s">
        <v>34726</v>
      </c>
      <c r="M3852" s="7">
        <v>1.1000000000000001</v>
      </c>
      <c r="N3852" s="7">
        <v>0.5</v>
      </c>
      <c r="O3852" s="7">
        <v>0.89700000000000002</v>
      </c>
      <c r="P3852" s="1" t="s">
        <v>34727</v>
      </c>
    </row>
    <row r="3853" spans="1:16" ht="17.05" x14ac:dyDescent="0.3">
      <c r="A3853" s="6" t="str">
        <f>HYPERLINK("https://www.ti.com/product/TPS65055", "TPS65055")</f>
        <v>TPS65055</v>
      </c>
      <c r="B3853" s="5" t="s">
        <v>34728</v>
      </c>
      <c r="C3853" s="6" t="str">
        <f>HYPERLINK("https://www.ti.com/lit/gpn/TPS65055", "PDF")</f>
        <v>PDF</v>
      </c>
      <c r="D3853" s="5" t="s">
        <v>34729</v>
      </c>
      <c r="E3853" s="5" t="s">
        <v>34730</v>
      </c>
      <c r="F3853" s="5"/>
      <c r="G3853" s="5" t="s">
        <v>34731</v>
      </c>
      <c r="H3853" s="1" t="s">
        <v>34732</v>
      </c>
      <c r="I3853" s="5" t="s">
        <v>34733</v>
      </c>
      <c r="J3853" s="7">
        <v>32</v>
      </c>
      <c r="K3853" s="7">
        <v>16</v>
      </c>
      <c r="L3853" s="5" t="s">
        <v>34734</v>
      </c>
      <c r="M3853" s="7">
        <v>1</v>
      </c>
      <c r="N3853" s="7">
        <v>0.4</v>
      </c>
      <c r="O3853" s="7">
        <v>1.925</v>
      </c>
      <c r="P3853" s="1" t="s">
        <v>34735</v>
      </c>
    </row>
    <row r="3854" spans="1:16" ht="33.4" x14ac:dyDescent="0.3">
      <c r="A3854" s="6" t="str">
        <f>HYPERLINK("https://www.ti.com/product/UCC27423-Q1", "UCC27423-Q1")</f>
        <v>UCC27423-Q1</v>
      </c>
      <c r="B3854" s="5" t="s">
        <v>34736</v>
      </c>
      <c r="C3854" s="6" t="str">
        <f>HYPERLINK("https://www.ti.com/lit/gpn/UCC27423-Q1", "PDF")</f>
        <v>PDF</v>
      </c>
      <c r="D3854" s="5" t="s">
        <v>34737</v>
      </c>
      <c r="E3854" s="5" t="s">
        <v>34738</v>
      </c>
      <c r="F3854" s="5"/>
      <c r="G3854" s="5" t="s">
        <v>34739</v>
      </c>
      <c r="H3854" s="1" t="s">
        <v>34740</v>
      </c>
      <c r="I3854" s="5" t="s">
        <v>34741</v>
      </c>
      <c r="J3854" s="7">
        <v>8</v>
      </c>
      <c r="K3854" s="7" t="s">
        <v>34742</v>
      </c>
      <c r="L3854" s="5" t="s">
        <v>34743</v>
      </c>
      <c r="M3854" s="7" t="s">
        <v>34744</v>
      </c>
      <c r="N3854" s="7" t="s">
        <v>34745</v>
      </c>
      <c r="O3854" s="7">
        <v>0.6</v>
      </c>
      <c r="P3854" s="1" t="s">
        <v>34746</v>
      </c>
    </row>
    <row r="3855" spans="1:16" ht="33.4" x14ac:dyDescent="0.3">
      <c r="A3855" s="6" t="str">
        <f>HYPERLINK("https://www.ti.com/product/UCC27424-Q1", "UCC27424-Q1")</f>
        <v>UCC27424-Q1</v>
      </c>
      <c r="B3855" s="5" t="s">
        <v>34747</v>
      </c>
      <c r="C3855" s="6" t="str">
        <f>HYPERLINK("https://www.ti.com/lit/gpn/UCC27424-Q1", "PDF")</f>
        <v>PDF</v>
      </c>
      <c r="D3855" s="5" t="s">
        <v>34748</v>
      </c>
      <c r="E3855" s="5" t="s">
        <v>34749</v>
      </c>
      <c r="F3855" s="5"/>
      <c r="G3855" s="5" t="s">
        <v>34750</v>
      </c>
      <c r="H3855" s="1" t="s">
        <v>34751</v>
      </c>
      <c r="I3855" s="5" t="s">
        <v>34752</v>
      </c>
      <c r="J3855" s="7">
        <v>8</v>
      </c>
      <c r="K3855" s="7" t="s">
        <v>34753</v>
      </c>
      <c r="L3855" s="5" t="s">
        <v>34754</v>
      </c>
      <c r="M3855" s="7" t="s">
        <v>34755</v>
      </c>
      <c r="N3855" s="7" t="s">
        <v>34756</v>
      </c>
      <c r="O3855" s="7">
        <v>0.6</v>
      </c>
      <c r="P3855" s="1" t="s">
        <v>34757</v>
      </c>
    </row>
    <row r="3856" spans="1:16" ht="33.4" x14ac:dyDescent="0.3">
      <c r="A3856" s="6" t="str">
        <f>HYPERLINK("https://www.ti.com/product/UCC25600", "UCC25600")</f>
        <v>UCC25600</v>
      </c>
      <c r="B3856" s="5" t="s">
        <v>34758</v>
      </c>
      <c r="C3856" s="6" t="str">
        <f>HYPERLINK("https://www.ti.com/lit/gpn/UCC25600", "PDF")</f>
        <v>PDF</v>
      </c>
      <c r="D3856" s="5" t="s">
        <v>34759</v>
      </c>
      <c r="E3856" s="5" t="s">
        <v>34760</v>
      </c>
      <c r="F3856" s="5" t="s">
        <v>34761</v>
      </c>
      <c r="G3856" s="5" t="s">
        <v>34762</v>
      </c>
      <c r="H3856" s="1" t="s">
        <v>34763</v>
      </c>
      <c r="I3856" s="5" t="s">
        <v>34764</v>
      </c>
      <c r="J3856" s="7">
        <v>8</v>
      </c>
      <c r="K3856" s="7">
        <v>29.4</v>
      </c>
      <c r="L3856" s="5" t="s">
        <v>34765</v>
      </c>
      <c r="M3856" s="7">
        <v>1.75</v>
      </c>
      <c r="N3856" s="7">
        <v>1.27</v>
      </c>
      <c r="O3856" s="7">
        <v>0.40400000000000003</v>
      </c>
      <c r="P3856" s="1" t="s">
        <v>34766</v>
      </c>
    </row>
    <row r="3857" spans="1:16" ht="66.150000000000006" x14ac:dyDescent="0.3">
      <c r="A3857" s="6" t="str">
        <f>HYPERLINK("https://www.ti.com/product/TLC5925", "TLC5925")</f>
        <v>TLC5925</v>
      </c>
      <c r="B3857" s="5" t="s">
        <v>34767</v>
      </c>
      <c r="C3857" s="6" t="str">
        <f>HYPERLINK("https://www.ti.com/lit/gpn/TLC5925", "PDF")</f>
        <v>PDF</v>
      </c>
      <c r="D3857" s="5" t="s">
        <v>34768</v>
      </c>
      <c r="E3857" s="5" t="s">
        <v>34769</v>
      </c>
      <c r="F3857" s="5"/>
      <c r="G3857" s="5" t="s">
        <v>34770</v>
      </c>
      <c r="H3857" s="1" t="s">
        <v>34771</v>
      </c>
      <c r="I3857" s="5" t="s">
        <v>34772</v>
      </c>
      <c r="J3857" s="7">
        <v>24</v>
      </c>
      <c r="K3857" s="7" t="s">
        <v>34773</v>
      </c>
      <c r="L3857" s="5" t="s">
        <v>34774</v>
      </c>
      <c r="M3857" s="7" t="s">
        <v>34775</v>
      </c>
      <c r="N3857" s="7" t="s">
        <v>34776</v>
      </c>
      <c r="O3857" s="7">
        <v>0.54600000000000004</v>
      </c>
      <c r="P3857" s="1" t="s">
        <v>34777</v>
      </c>
    </row>
    <row r="3858" spans="1:16" ht="17.05" x14ac:dyDescent="0.3">
      <c r="A3858" s="6" t="str">
        <f>HYPERLINK("https://www.ti.com/product/UCD9081", "UCD9081")</f>
        <v>UCD9081</v>
      </c>
      <c r="B3858" s="5" t="s">
        <v>34778</v>
      </c>
      <c r="C3858" s="6" t="str">
        <f>HYPERLINK("https://www.ti.com/lit/gpn/UCD9081", "PDF")</f>
        <v>PDF</v>
      </c>
      <c r="D3858" s="5" t="s">
        <v>34779</v>
      </c>
      <c r="E3858" s="5" t="s">
        <v>34780</v>
      </c>
      <c r="F3858" s="5"/>
      <c r="G3858" s="5" t="s">
        <v>34781</v>
      </c>
      <c r="H3858" s="1" t="s">
        <v>34782</v>
      </c>
      <c r="I3858" s="5" t="s">
        <v>34783</v>
      </c>
      <c r="J3858" s="7">
        <v>32</v>
      </c>
      <c r="K3858" s="7">
        <v>25</v>
      </c>
      <c r="L3858" s="5" t="s">
        <v>34784</v>
      </c>
      <c r="M3858" s="7">
        <v>1</v>
      </c>
      <c r="N3858" s="7">
        <v>0.5</v>
      </c>
      <c r="O3858" s="7">
        <v>2.9849999999999999</v>
      </c>
      <c r="P3858" s="1" t="s">
        <v>34785</v>
      </c>
    </row>
    <row r="3859" spans="1:16" ht="98.85" x14ac:dyDescent="0.3">
      <c r="A3859" s="6" t="str">
        <f>HYPERLINK("https://www.ti.com/product/TPS22921", "TPS22921")</f>
        <v>TPS22921</v>
      </c>
      <c r="B3859" s="5" t="s">
        <v>34786</v>
      </c>
      <c r="C3859" s="6" t="str">
        <f>HYPERLINK("https://www.ti.com/lit/gpn/TPS22921", "PDF")</f>
        <v>PDF</v>
      </c>
      <c r="D3859" s="5" t="s">
        <v>34787</v>
      </c>
      <c r="E3859" s="5" t="s">
        <v>34788</v>
      </c>
      <c r="F3859" s="5"/>
      <c r="G3859" s="5" t="s">
        <v>34789</v>
      </c>
      <c r="H3859" s="1" t="s">
        <v>34790</v>
      </c>
      <c r="I3859" s="5" t="s">
        <v>34791</v>
      </c>
      <c r="J3859" s="7">
        <v>6</v>
      </c>
      <c r="K3859" s="7" t="s">
        <v>34792</v>
      </c>
      <c r="L3859" s="5" t="s">
        <v>34793</v>
      </c>
      <c r="M3859" s="7" t="s">
        <v>34794</v>
      </c>
      <c r="N3859" s="7" t="s">
        <v>34795</v>
      </c>
      <c r="O3859" s="7">
        <v>0.27600000000000002</v>
      </c>
      <c r="P3859" s="1" t="s">
        <v>34796</v>
      </c>
    </row>
    <row r="3860" spans="1:16" ht="33.4" x14ac:dyDescent="0.3">
      <c r="A3860" s="6" t="str">
        <f>HYPERLINK("https://www.ti.com/product/LM2759", "LM2759")</f>
        <v>LM2759</v>
      </c>
      <c r="B3860" s="5" t="s">
        <v>34797</v>
      </c>
      <c r="C3860" s="6" t="str">
        <f>HYPERLINK("https://www.ti.com/lit/gpn/LM2759", "PDF")</f>
        <v>PDF</v>
      </c>
      <c r="D3860" s="5" t="s">
        <v>34798</v>
      </c>
      <c r="E3860" s="5" t="s">
        <v>34799</v>
      </c>
      <c r="F3860" s="5" t="s">
        <v>34800</v>
      </c>
      <c r="G3860" s="5" t="s">
        <v>34801</v>
      </c>
      <c r="H3860" s="1" t="s">
        <v>34802</v>
      </c>
      <c r="I3860" s="5" t="s">
        <v>34803</v>
      </c>
      <c r="J3860" s="7">
        <v>12</v>
      </c>
      <c r="K3860" s="7">
        <v>9</v>
      </c>
      <c r="L3860" s="5" t="s">
        <v>34804</v>
      </c>
      <c r="M3860" s="7">
        <v>0.8</v>
      </c>
      <c r="N3860" s="7">
        <v>0.4</v>
      </c>
      <c r="O3860" s="7">
        <v>0.58099999999999996</v>
      </c>
      <c r="P3860" s="1" t="s">
        <v>34805</v>
      </c>
    </row>
    <row r="3861" spans="1:16" ht="33.4" x14ac:dyDescent="0.3">
      <c r="A3861" s="6" t="str">
        <f>HYPERLINK("https://www.ti.com/product/TL4050C20-Q1", "TL4050C20-Q1")</f>
        <v>TL4050C20-Q1</v>
      </c>
      <c r="B3861" s="5" t="s">
        <v>34806</v>
      </c>
      <c r="C3861" s="6" t="str">
        <f>HYPERLINK("https://www.ti.com/lit/gpn/TL4050C20-Q1", "PDF")</f>
        <v>PDF</v>
      </c>
      <c r="D3861" s="5" t="s">
        <v>34807</v>
      </c>
      <c r="E3861" s="5" t="s">
        <v>34808</v>
      </c>
      <c r="F3861" s="5"/>
      <c r="G3861" s="5" t="s">
        <v>34809</v>
      </c>
      <c r="H3861" s="1" t="s">
        <v>34810</v>
      </c>
      <c r="I3861" s="5" t="s">
        <v>34811</v>
      </c>
      <c r="J3861" s="7">
        <v>3</v>
      </c>
      <c r="K3861" s="7">
        <v>6.9203999999999999</v>
      </c>
      <c r="L3861" s="5" t="s">
        <v>34812</v>
      </c>
      <c r="M3861" s="7">
        <v>1.1200000000000001</v>
      </c>
      <c r="N3861" s="7">
        <v>0.96</v>
      </c>
      <c r="O3861" s="7">
        <v>0.63900000000000001</v>
      </c>
      <c r="P3861" s="1" t="s">
        <v>34813</v>
      </c>
    </row>
    <row r="3862" spans="1:16" ht="17.05" x14ac:dyDescent="0.3">
      <c r="A3862" s="6" t="str">
        <f>HYPERLINK("https://www.ti.com/product/LM3406HV", "LM3406HV")</f>
        <v>LM3406HV</v>
      </c>
      <c r="B3862" s="5" t="s">
        <v>34814</v>
      </c>
      <c r="C3862" s="6" t="str">
        <f>HYPERLINK("https://www.ti.com/lit/gpn/LM3406HV", "PDF")</f>
        <v>PDF</v>
      </c>
      <c r="D3862" s="5" t="s">
        <v>34815</v>
      </c>
      <c r="E3862" s="5" t="s">
        <v>34816</v>
      </c>
      <c r="F3862" s="5" t="s">
        <v>34817</v>
      </c>
      <c r="G3862" s="5" t="s">
        <v>34818</v>
      </c>
      <c r="H3862" s="1" t="s">
        <v>34819</v>
      </c>
      <c r="I3862" s="5" t="s">
        <v>34820</v>
      </c>
      <c r="J3862" s="7">
        <v>14</v>
      </c>
      <c r="K3862" s="7">
        <v>32</v>
      </c>
      <c r="L3862" s="5" t="s">
        <v>34821</v>
      </c>
      <c r="M3862" s="7">
        <v>1.2</v>
      </c>
      <c r="N3862" s="7">
        <v>0.65</v>
      </c>
      <c r="O3862" s="7">
        <v>1.32</v>
      </c>
      <c r="P3862" s="1" t="s">
        <v>34822</v>
      </c>
    </row>
    <row r="3863" spans="1:16" ht="17.05" x14ac:dyDescent="0.3">
      <c r="A3863" s="6" t="str">
        <f>HYPERLINK("https://www.ti.com/product/TPS65563A", "TPS65563A")</f>
        <v>TPS65563A</v>
      </c>
      <c r="B3863" s="5" t="s">
        <v>34823</v>
      </c>
      <c r="C3863" s="6" t="str">
        <f>HYPERLINK("https://www.ti.com/lit/gpn/TPS65563A", "PDF")</f>
        <v>PDF</v>
      </c>
      <c r="D3863" s="5" t="s">
        <v>34824</v>
      </c>
      <c r="E3863" s="5" t="s">
        <v>34825</v>
      </c>
      <c r="F3863" s="5" t="s">
        <v>34826</v>
      </c>
      <c r="G3863" s="5" t="s">
        <v>34827</v>
      </c>
      <c r="H3863" s="1" t="s">
        <v>34828</v>
      </c>
      <c r="I3863" s="5" t="s">
        <v>34829</v>
      </c>
      <c r="J3863" s="7">
        <v>16</v>
      </c>
      <c r="K3863" s="7">
        <v>9</v>
      </c>
      <c r="L3863" s="5" t="s">
        <v>34830</v>
      </c>
      <c r="M3863" s="7">
        <v>1</v>
      </c>
      <c r="N3863" s="7">
        <v>0.5</v>
      </c>
      <c r="O3863" s="7">
        <v>0.79300000000000004</v>
      </c>
      <c r="P3863" s="1" t="s">
        <v>34831</v>
      </c>
    </row>
    <row r="3864" spans="1:16" ht="33.4" x14ac:dyDescent="0.3">
      <c r="A3864" s="6" t="str">
        <f>HYPERLINK("https://www.ti.com/product/UCD9240", "UCD9240")</f>
        <v>UCD9240</v>
      </c>
      <c r="B3864" s="5" t="s">
        <v>34832</v>
      </c>
      <c r="C3864" s="6" t="str">
        <f>HYPERLINK("https://www.ti.com/lit/gpn/UCD9240", "PDF")</f>
        <v>PDF</v>
      </c>
      <c r="D3864" s="5" t="s">
        <v>34833</v>
      </c>
      <c r="E3864" s="5" t="s">
        <v>34834</v>
      </c>
      <c r="F3864" s="5"/>
      <c r="G3864" s="5" t="s">
        <v>34835</v>
      </c>
      <c r="H3864" s="1" t="s">
        <v>34836</v>
      </c>
      <c r="I3864" s="5" t="s">
        <v>34837</v>
      </c>
      <c r="J3864" s="7" t="s">
        <v>34838</v>
      </c>
      <c r="K3864" s="7" t="s">
        <v>34839</v>
      </c>
      <c r="L3864" s="5" t="s">
        <v>34840</v>
      </c>
      <c r="M3864" s="7" t="s">
        <v>34841</v>
      </c>
      <c r="N3864" s="7">
        <v>0.5</v>
      </c>
      <c r="O3864" s="7">
        <v>6.3239999999999998</v>
      </c>
      <c r="P3864" s="1" t="s">
        <v>34842</v>
      </c>
    </row>
    <row r="3865" spans="1:16" ht="49.75" x14ac:dyDescent="0.3">
      <c r="A3865" s="6" t="str">
        <f>HYPERLINK("https://www.ti.com/product/TLC5928", "TLC5928")</f>
        <v>TLC5928</v>
      </c>
      <c r="B3865" s="5" t="s">
        <v>34843</v>
      </c>
      <c r="C3865" s="6" t="str">
        <f>HYPERLINK("https://www.ti.com/lit/gpn/TLC5928", "PDF")</f>
        <v>PDF</v>
      </c>
      <c r="D3865" s="5" t="s">
        <v>34844</v>
      </c>
      <c r="E3865" s="5" t="s">
        <v>34845</v>
      </c>
      <c r="F3865" s="5"/>
      <c r="G3865" s="5" t="s">
        <v>34846</v>
      </c>
      <c r="H3865" s="1" t="s">
        <v>34847</v>
      </c>
      <c r="I3865" s="5" t="s">
        <v>34848</v>
      </c>
      <c r="J3865" s="7">
        <v>24</v>
      </c>
      <c r="K3865" s="7" t="s">
        <v>34849</v>
      </c>
      <c r="L3865" s="5" t="s">
        <v>34850</v>
      </c>
      <c r="M3865" s="7" t="s">
        <v>34851</v>
      </c>
      <c r="N3865" s="7" t="s">
        <v>34852</v>
      </c>
      <c r="O3865" s="7">
        <v>0.54600000000000004</v>
      </c>
      <c r="P3865" s="1" t="s">
        <v>34853</v>
      </c>
    </row>
    <row r="3866" spans="1:16" ht="33.4" x14ac:dyDescent="0.3">
      <c r="A3866" s="6" t="str">
        <f>HYPERLINK("https://www.ti.com/product/TPS51610", "TPS51610")</f>
        <v>TPS51610</v>
      </c>
      <c r="B3866" s="5" t="s">
        <v>34854</v>
      </c>
      <c r="C3866" s="6" t="str">
        <f>HYPERLINK("https://www.ti.com/lit/gpn/TPS51610", "PDF")</f>
        <v>PDF</v>
      </c>
      <c r="D3866" s="5" t="s">
        <v>34855</v>
      </c>
      <c r="E3866" s="5" t="s">
        <v>34856</v>
      </c>
      <c r="F3866" s="5" t="s">
        <v>34857</v>
      </c>
      <c r="G3866" s="5" t="s">
        <v>34858</v>
      </c>
      <c r="H3866" s="1" t="s">
        <v>34859</v>
      </c>
      <c r="I3866" s="5" t="s">
        <v>34860</v>
      </c>
      <c r="J3866" s="7">
        <v>32</v>
      </c>
      <c r="K3866" s="7">
        <v>25</v>
      </c>
      <c r="L3866" s="5" t="s">
        <v>34861</v>
      </c>
      <c r="M3866" s="7">
        <v>1</v>
      </c>
      <c r="N3866" s="7">
        <v>0.5</v>
      </c>
      <c r="O3866" s="7">
        <v>1.3919999999999999</v>
      </c>
      <c r="P3866" s="1" t="s">
        <v>34862</v>
      </c>
    </row>
    <row r="3867" spans="1:16" ht="49.75" x14ac:dyDescent="0.3">
      <c r="A3867" s="6" t="str">
        <f>HYPERLINK("https://www.ti.com/product/LM3528", "LM3528")</f>
        <v>LM3528</v>
      </c>
      <c r="B3867" s="5" t="s">
        <v>34863</v>
      </c>
      <c r="C3867" s="6" t="str">
        <f>HYPERLINK("https://www.ti.com/lit/gpn/LM3528", "PDF")</f>
        <v>PDF</v>
      </c>
      <c r="D3867" s="5" t="s">
        <v>34864</v>
      </c>
      <c r="E3867" s="5" t="s">
        <v>34865</v>
      </c>
      <c r="F3867" s="5" t="s">
        <v>34866</v>
      </c>
      <c r="G3867" s="5" t="s">
        <v>34867</v>
      </c>
      <c r="H3867" s="1" t="s">
        <v>34868</v>
      </c>
      <c r="I3867" s="5" t="s">
        <v>34869</v>
      </c>
      <c r="J3867" s="7">
        <v>12</v>
      </c>
      <c r="K3867" s="7">
        <v>2.52</v>
      </c>
      <c r="L3867" s="5" t="s">
        <v>34870</v>
      </c>
      <c r="M3867" s="7">
        <v>0.67500000000000004</v>
      </c>
      <c r="N3867" s="7">
        <v>0.4</v>
      </c>
      <c r="O3867" s="7">
        <v>1.0629999999999999</v>
      </c>
      <c r="P3867" s="1" t="s">
        <v>34871</v>
      </c>
    </row>
    <row r="3868" spans="1:16" ht="82.5" x14ac:dyDescent="0.3">
      <c r="A3868" s="6" t="str">
        <f>HYPERLINK("https://www.ti.com/product/TPS22922", "TPS22922")</f>
        <v>TPS22922</v>
      </c>
      <c r="B3868" s="5" t="s">
        <v>34872</v>
      </c>
      <c r="C3868" s="6" t="str">
        <f>HYPERLINK("https://www.ti.com/lit/gpn/TPS22922", "PDF")</f>
        <v>PDF</v>
      </c>
      <c r="D3868" s="5" t="s">
        <v>34873</v>
      </c>
      <c r="E3868" s="5" t="s">
        <v>34874</v>
      </c>
      <c r="F3868" s="5"/>
      <c r="G3868" s="5" t="s">
        <v>34875</v>
      </c>
      <c r="H3868" s="1" t="s">
        <v>34876</v>
      </c>
      <c r="I3868" s="5" t="s">
        <v>34877</v>
      </c>
      <c r="J3868" s="7">
        <v>6</v>
      </c>
      <c r="K3868" s="7" t="s">
        <v>34878</v>
      </c>
      <c r="L3868" s="5" t="s">
        <v>34879</v>
      </c>
      <c r="M3868" s="7">
        <v>0.5</v>
      </c>
      <c r="N3868" s="7" t="s">
        <v>34880</v>
      </c>
      <c r="O3868" s="7">
        <v>0.27700000000000002</v>
      </c>
      <c r="P3868" s="1" t="s">
        <v>34881</v>
      </c>
    </row>
    <row r="3869" spans="1:16" ht="33.4" x14ac:dyDescent="0.3">
      <c r="A3869" s="6" t="str">
        <f>HYPERLINK("https://www.ti.com/product/BUF16821", "BUF16821")</f>
        <v>BUF16821</v>
      </c>
      <c r="B3869" s="5" t="s">
        <v>34882</v>
      </c>
      <c r="C3869" s="6" t="str">
        <f>HYPERLINK("https://www.ti.com/lit/gpn/BUF16821", "PDF")</f>
        <v>PDF</v>
      </c>
      <c r="D3869" s="5" t="s">
        <v>34883</v>
      </c>
      <c r="E3869" s="5" t="s">
        <v>34884</v>
      </c>
      <c r="F3869" s="5"/>
      <c r="G3869" s="5" t="s">
        <v>34885</v>
      </c>
      <c r="H3869" s="1" t="s">
        <v>34886</v>
      </c>
      <c r="I3869" s="5" t="s">
        <v>34887</v>
      </c>
      <c r="J3869" s="7">
        <v>28</v>
      </c>
      <c r="K3869" s="7">
        <v>62.08</v>
      </c>
      <c r="L3869" s="5" t="s">
        <v>34888</v>
      </c>
      <c r="M3869" s="7">
        <v>1.2</v>
      </c>
      <c r="N3869" s="7">
        <v>0.65</v>
      </c>
      <c r="O3869" s="7">
        <v>1.1319999999999999</v>
      </c>
      <c r="P3869" s="1" t="s">
        <v>34889</v>
      </c>
    </row>
    <row r="3870" spans="1:16" ht="33.4" x14ac:dyDescent="0.3">
      <c r="A3870" s="6" t="str">
        <f>HYPERLINK("https://www.ti.com/product/TPS735", "TPS735")</f>
        <v>TPS735</v>
      </c>
      <c r="B3870" s="5" t="s">
        <v>34890</v>
      </c>
      <c r="C3870" s="6" t="str">
        <f>HYPERLINK("https://www.ti.com/lit/gpn/TPS735", "PDF")</f>
        <v>PDF</v>
      </c>
      <c r="D3870" s="5" t="s">
        <v>34891</v>
      </c>
      <c r="E3870" s="5" t="s">
        <v>34892</v>
      </c>
      <c r="F3870" s="5"/>
      <c r="G3870" s="5" t="s">
        <v>34893</v>
      </c>
      <c r="H3870" s="1" t="s">
        <v>34894</v>
      </c>
      <c r="I3870" s="5" t="s">
        <v>34895</v>
      </c>
      <c r="J3870" s="7" t="s">
        <v>34896</v>
      </c>
      <c r="K3870" s="7" t="s">
        <v>34897</v>
      </c>
      <c r="L3870" s="5" t="s">
        <v>34898</v>
      </c>
      <c r="M3870" s="7" t="s">
        <v>34899</v>
      </c>
      <c r="N3870" s="7">
        <v>0.65</v>
      </c>
      <c r="O3870" s="7">
        <v>0.70499999999999996</v>
      </c>
      <c r="P3870" s="1" t="s">
        <v>34900</v>
      </c>
    </row>
    <row r="3871" spans="1:16" ht="33.4" x14ac:dyDescent="0.3">
      <c r="A3871" s="6" t="str">
        <f>HYPERLINK("https://www.ti.com/product/LM25037", "LM25037")</f>
        <v>LM25037</v>
      </c>
      <c r="B3871" s="5" t="s">
        <v>34901</v>
      </c>
      <c r="C3871" s="6" t="str">
        <f>HYPERLINK("https://www.ti.com/lit/gpn/LM25037", "PDF")</f>
        <v>PDF</v>
      </c>
      <c r="D3871" s="5" t="s">
        <v>34902</v>
      </c>
      <c r="E3871" s="5" t="s">
        <v>34903</v>
      </c>
      <c r="F3871" s="5" t="s">
        <v>34904</v>
      </c>
      <c r="G3871" s="5" t="s">
        <v>34905</v>
      </c>
      <c r="H3871" s="1" t="s">
        <v>34906</v>
      </c>
      <c r="I3871" s="5" t="s">
        <v>34907</v>
      </c>
      <c r="J3871" s="7">
        <v>16</v>
      </c>
      <c r="K3871" s="7">
        <v>32</v>
      </c>
      <c r="L3871" s="5" t="s">
        <v>34908</v>
      </c>
      <c r="M3871" s="7">
        <v>1.2</v>
      </c>
      <c r="N3871" s="7">
        <v>0.65</v>
      </c>
      <c r="O3871" s="7">
        <v>1.5</v>
      </c>
      <c r="P3871" s="1" t="s">
        <v>34909</v>
      </c>
    </row>
    <row r="3872" spans="1:16" ht="33.4" x14ac:dyDescent="0.3">
      <c r="A3872" s="6" t="str">
        <f>HYPERLINK("https://www.ti.com/product/TLC5947", "TLC5947")</f>
        <v>TLC5947</v>
      </c>
      <c r="B3872" s="5" t="s">
        <v>34910</v>
      </c>
      <c r="C3872" s="6" t="str">
        <f>HYPERLINK("https://www.ti.com/lit/gpn/TLC5947", "PDF")</f>
        <v>PDF</v>
      </c>
      <c r="D3872" s="5" t="s">
        <v>34911</v>
      </c>
      <c r="E3872" s="5" t="s">
        <v>34912</v>
      </c>
      <c r="F3872" s="5"/>
      <c r="G3872" s="5" t="s">
        <v>34913</v>
      </c>
      <c r="H3872" s="1" t="s">
        <v>34914</v>
      </c>
      <c r="I3872" s="5" t="s">
        <v>34915</v>
      </c>
      <c r="J3872" s="7">
        <v>32</v>
      </c>
      <c r="K3872" s="7" t="s">
        <v>34916</v>
      </c>
      <c r="L3872" s="5" t="s">
        <v>34917</v>
      </c>
      <c r="M3872" s="7" t="s">
        <v>34918</v>
      </c>
      <c r="N3872" s="7" t="s">
        <v>34919</v>
      </c>
      <c r="O3872" s="7">
        <v>1.67</v>
      </c>
      <c r="P3872" s="1" t="s">
        <v>34920</v>
      </c>
    </row>
    <row r="3873" spans="1:16" ht="33.4" x14ac:dyDescent="0.3">
      <c r="A3873" s="6" t="str">
        <f>HYPERLINK("https://www.ti.com/product/TPS54331", "TPS54331")</f>
        <v>TPS54331</v>
      </c>
      <c r="B3873" s="5" t="s">
        <v>34921</v>
      </c>
      <c r="C3873" s="6" t="str">
        <f>HYPERLINK("https://www.ti.com/lit/gpn/TPS54331", "PDF")</f>
        <v>PDF</v>
      </c>
      <c r="D3873" s="5" t="s">
        <v>34922</v>
      </c>
      <c r="E3873" s="5" t="s">
        <v>34923</v>
      </c>
      <c r="F3873" s="5" t="s">
        <v>34924</v>
      </c>
      <c r="G3873" s="5" t="s">
        <v>34925</v>
      </c>
      <c r="H3873" s="1" t="s">
        <v>34926</v>
      </c>
      <c r="I3873" s="5" t="s">
        <v>34927</v>
      </c>
      <c r="J3873" s="7">
        <v>8</v>
      </c>
      <c r="K3873" s="7">
        <v>29.4</v>
      </c>
      <c r="L3873" s="5" t="s">
        <v>34928</v>
      </c>
      <c r="M3873" s="7" t="s">
        <v>34929</v>
      </c>
      <c r="N3873" s="7">
        <v>1.27</v>
      </c>
      <c r="O3873" s="7">
        <v>0.56200000000000006</v>
      </c>
      <c r="P3873" s="1" t="s">
        <v>34930</v>
      </c>
    </row>
    <row r="3874" spans="1:16" ht="33.4" x14ac:dyDescent="0.3">
      <c r="A3874" s="6" t="str">
        <f>HYPERLINK("https://www.ti.com/product/LM20343", "LM20343")</f>
        <v>LM20343</v>
      </c>
      <c r="B3874" s="5" t="s">
        <v>34931</v>
      </c>
      <c r="C3874" s="6" t="str">
        <f>HYPERLINK("https://www.ti.com/lit/gpn/LM20343", "PDF")</f>
        <v>PDF</v>
      </c>
      <c r="D3874" s="5" t="s">
        <v>34932</v>
      </c>
      <c r="E3874" s="5" t="s">
        <v>34933</v>
      </c>
      <c r="F3874" s="5" t="s">
        <v>34934</v>
      </c>
      <c r="G3874" s="5" t="s">
        <v>34935</v>
      </c>
      <c r="H3874" s="1" t="s">
        <v>34936</v>
      </c>
      <c r="I3874" s="5" t="s">
        <v>34937</v>
      </c>
      <c r="J3874" s="7">
        <v>20</v>
      </c>
      <c r="K3874" s="7">
        <v>41.6</v>
      </c>
      <c r="L3874" s="5" t="s">
        <v>34938</v>
      </c>
      <c r="M3874" s="7">
        <v>1.2</v>
      </c>
      <c r="N3874" s="7">
        <v>0.65</v>
      </c>
      <c r="O3874" s="7">
        <v>2.06</v>
      </c>
      <c r="P3874" s="1" t="s">
        <v>34939</v>
      </c>
    </row>
    <row r="3875" spans="1:16" ht="33.4" x14ac:dyDescent="0.3">
      <c r="A3875" s="6" t="str">
        <f>HYPERLINK("https://www.ti.com/product/LM5085", "LM5085")</f>
        <v>LM5085</v>
      </c>
      <c r="B3875" s="5" t="s">
        <v>34940</v>
      </c>
      <c r="C3875" s="6" t="str">
        <f>HYPERLINK("https://www.ti.com/lit/gpn/LM5085", "PDF")</f>
        <v>PDF</v>
      </c>
      <c r="D3875" s="5" t="s">
        <v>34941</v>
      </c>
      <c r="E3875" s="5" t="s">
        <v>34942</v>
      </c>
      <c r="F3875" s="5" t="s">
        <v>34943</v>
      </c>
      <c r="G3875" s="5" t="s">
        <v>34944</v>
      </c>
      <c r="H3875" s="1" t="s">
        <v>34945</v>
      </c>
      <c r="I3875" s="5" t="s">
        <v>34946</v>
      </c>
      <c r="J3875" s="7">
        <v>8</v>
      </c>
      <c r="K3875" s="7" t="s">
        <v>34947</v>
      </c>
      <c r="L3875" s="5" t="s">
        <v>34948</v>
      </c>
      <c r="M3875" s="7" t="s">
        <v>34949</v>
      </c>
      <c r="N3875" s="7" t="s">
        <v>34950</v>
      </c>
      <c r="O3875" s="7">
        <v>0.94599999999999995</v>
      </c>
      <c r="P3875" s="1" t="s">
        <v>34951</v>
      </c>
    </row>
    <row r="3876" spans="1:16" ht="33.4" x14ac:dyDescent="0.3">
      <c r="A3876" s="6" t="str">
        <f>HYPERLINK("https://www.ti.com/product/LM5085-Q1", "LM5085-Q1")</f>
        <v>LM5085-Q1</v>
      </c>
      <c r="B3876" s="5" t="s">
        <v>34952</v>
      </c>
      <c r="C3876" s="6" t="str">
        <f>HYPERLINK("https://www.ti.com/lit/gpn/LM5085-Q1", "PDF")</f>
        <v>PDF</v>
      </c>
      <c r="D3876" s="5" t="s">
        <v>34953</v>
      </c>
      <c r="E3876" s="5" t="s">
        <v>34954</v>
      </c>
      <c r="F3876" s="5" t="s">
        <v>34955</v>
      </c>
      <c r="G3876" s="5" t="s">
        <v>34956</v>
      </c>
      <c r="H3876" s="1" t="s">
        <v>34957</v>
      </c>
      <c r="I3876" s="5" t="s">
        <v>34958</v>
      </c>
      <c r="J3876" s="7">
        <v>8</v>
      </c>
      <c r="K3876" s="7">
        <v>14.7</v>
      </c>
      <c r="L3876" s="5" t="s">
        <v>34959</v>
      </c>
      <c r="M3876" s="7">
        <v>1.1000000000000001</v>
      </c>
      <c r="N3876" s="7">
        <v>0.65</v>
      </c>
      <c r="O3876" s="7">
        <v>1.1160000000000001</v>
      </c>
      <c r="P3876" s="1" t="s">
        <v>34960</v>
      </c>
    </row>
    <row r="3877" spans="1:16" ht="49.75" x14ac:dyDescent="0.3">
      <c r="A3877" s="6" t="str">
        <f>HYPERLINK("https://www.ti.com/product/TPS3808-EP", "TPS3808-EP")</f>
        <v>TPS3808-EP</v>
      </c>
      <c r="B3877" s="5" t="s">
        <v>34961</v>
      </c>
      <c r="C3877" s="6" t="str">
        <f>HYPERLINK("https://www.ti.com/lit/gpn/TPS3808-EP", "PDF")</f>
        <v>PDF</v>
      </c>
      <c r="D3877" s="5" t="s">
        <v>34962</v>
      </c>
      <c r="E3877" s="5" t="s">
        <v>34963</v>
      </c>
      <c r="F3877" s="5"/>
      <c r="G3877" s="5" t="s">
        <v>34964</v>
      </c>
      <c r="H3877" s="1" t="s">
        <v>34965</v>
      </c>
      <c r="I3877" s="5" t="s">
        <v>34966</v>
      </c>
      <c r="J3877" s="7">
        <v>6</v>
      </c>
      <c r="K3877" s="7">
        <v>8.1199999999999992</v>
      </c>
      <c r="L3877" s="5" t="s">
        <v>34967</v>
      </c>
      <c r="M3877" s="7">
        <v>1.45</v>
      </c>
      <c r="N3877" s="7">
        <v>0.95</v>
      </c>
      <c r="O3877" s="7">
        <v>2.63</v>
      </c>
      <c r="P3877" s="1" t="s">
        <v>34968</v>
      </c>
    </row>
    <row r="3878" spans="1:16" ht="33.4" x14ac:dyDescent="0.3">
      <c r="A3878" s="6" t="str">
        <f>HYPERLINK("https://www.ti.com/product/TPS62273", "TPS62273")</f>
        <v>TPS62273</v>
      </c>
      <c r="B3878" s="5" t="s">
        <v>34969</v>
      </c>
      <c r="C3878" s="6" t="str">
        <f>HYPERLINK("https://www.ti.com/lit/gpn/TPS62273", "PDF")</f>
        <v>PDF</v>
      </c>
      <c r="D3878" s="5" t="s">
        <v>34970</v>
      </c>
      <c r="E3878" s="5" t="s">
        <v>34971</v>
      </c>
      <c r="F3878" s="5" t="s">
        <v>34972</v>
      </c>
      <c r="G3878" s="5" t="s">
        <v>34973</v>
      </c>
      <c r="H3878" s="1" t="s">
        <v>34974</v>
      </c>
      <c r="I3878" s="5" t="s">
        <v>34975</v>
      </c>
      <c r="J3878" s="7">
        <v>6</v>
      </c>
      <c r="K3878" s="7">
        <v>4</v>
      </c>
      <c r="L3878" s="5" t="s">
        <v>34976</v>
      </c>
      <c r="M3878" s="7">
        <v>0.8</v>
      </c>
      <c r="N3878" s="7">
        <v>0.65</v>
      </c>
      <c r="O3878" s="7">
        <v>0.501</v>
      </c>
      <c r="P3878" s="1" t="s">
        <v>34977</v>
      </c>
    </row>
    <row r="3879" spans="1:16" ht="33.4" x14ac:dyDescent="0.3">
      <c r="A3879" s="6" t="str">
        <f>HYPERLINK("https://www.ti.com/product/TL4050B41-Q1", "TL4050B41-Q1")</f>
        <v>TL4050B41-Q1</v>
      </c>
      <c r="B3879" s="5" t="s">
        <v>34978</v>
      </c>
      <c r="C3879" s="6" t="str">
        <f>HYPERLINK("https://www.ti.com/lit/gpn/TL4050B41-Q1", "PDF")</f>
        <v>PDF</v>
      </c>
      <c r="D3879" s="5" t="s">
        <v>34979</v>
      </c>
      <c r="E3879" s="5" t="s">
        <v>34980</v>
      </c>
      <c r="F3879" s="5"/>
      <c r="G3879" s="5" t="s">
        <v>34981</v>
      </c>
      <c r="H3879" s="1" t="s">
        <v>34982</v>
      </c>
      <c r="I3879" s="5" t="s">
        <v>34983</v>
      </c>
      <c r="J3879" s="7">
        <v>3</v>
      </c>
      <c r="K3879" s="7">
        <v>6.9203999999999999</v>
      </c>
      <c r="L3879" s="5" t="s">
        <v>34984</v>
      </c>
      <c r="M3879" s="7">
        <v>1.1200000000000001</v>
      </c>
      <c r="N3879" s="7">
        <v>0.96</v>
      </c>
      <c r="O3879" s="7">
        <v>0.82299999999999995</v>
      </c>
      <c r="P3879" s="1" t="s">
        <v>34985</v>
      </c>
    </row>
    <row r="3880" spans="1:16" ht="33.4" x14ac:dyDescent="0.3">
      <c r="A3880" s="6" t="str">
        <f>HYPERLINK("https://www.ti.com/product/TPS720", "TPS720")</f>
        <v>TPS720</v>
      </c>
      <c r="B3880" s="5" t="s">
        <v>34986</v>
      </c>
      <c r="C3880" s="6" t="str">
        <f>HYPERLINK("https://www.ti.com/lit/gpn/TPS720", "PDF")</f>
        <v>PDF</v>
      </c>
      <c r="D3880" s="5" t="s">
        <v>34987</v>
      </c>
      <c r="E3880" s="5" t="s">
        <v>34988</v>
      </c>
      <c r="F3880" s="5"/>
      <c r="G3880" s="5" t="s">
        <v>34989</v>
      </c>
      <c r="H3880" s="1" t="s">
        <v>34990</v>
      </c>
      <c r="I3880" s="5" t="s">
        <v>34991</v>
      </c>
      <c r="J3880" s="7" t="s">
        <v>34992</v>
      </c>
      <c r="K3880" s="7" t="s">
        <v>34993</v>
      </c>
      <c r="L3880" s="5" t="s">
        <v>34994</v>
      </c>
      <c r="M3880" s="7" t="s">
        <v>34995</v>
      </c>
      <c r="N3880" s="7" t="s">
        <v>34996</v>
      </c>
      <c r="O3880" s="7">
        <v>0.26800000000000002</v>
      </c>
      <c r="P3880" s="1" t="s">
        <v>34997</v>
      </c>
    </row>
    <row r="3881" spans="1:16" ht="33.4" x14ac:dyDescent="0.3">
      <c r="A3881" s="6" t="str">
        <f>HYPERLINK("https://www.ti.com/product/UCC28061", "UCC28061")</f>
        <v>UCC28061</v>
      </c>
      <c r="B3881" s="5" t="s">
        <v>34998</v>
      </c>
      <c r="C3881" s="6" t="str">
        <f>HYPERLINK("https://www.ti.com/lit/gpn/UCC28061", "PDF")</f>
        <v>PDF</v>
      </c>
      <c r="D3881" s="5" t="s">
        <v>34999</v>
      </c>
      <c r="E3881" s="5" t="s">
        <v>35000</v>
      </c>
      <c r="F3881" s="5" t="s">
        <v>35001</v>
      </c>
      <c r="G3881" s="5" t="s">
        <v>35002</v>
      </c>
      <c r="H3881" s="1" t="s">
        <v>35003</v>
      </c>
      <c r="I3881" s="5" t="s">
        <v>35004</v>
      </c>
      <c r="J3881" s="7">
        <v>16</v>
      </c>
      <c r="K3881" s="7">
        <v>59.4</v>
      </c>
      <c r="L3881" s="5" t="s">
        <v>35005</v>
      </c>
      <c r="M3881" s="7">
        <v>1.75</v>
      </c>
      <c r="N3881" s="7">
        <v>1.27</v>
      </c>
      <c r="O3881" s="7">
        <v>1.127</v>
      </c>
      <c r="P3881" s="1" t="s">
        <v>35006</v>
      </c>
    </row>
    <row r="3882" spans="1:16" ht="17.05" x14ac:dyDescent="0.3">
      <c r="A3882" s="6" t="str">
        <f>HYPERLINK("https://www.ti.com/product/TPS22902", "TPS22902")</f>
        <v>TPS22902</v>
      </c>
      <c r="B3882" s="5" t="s">
        <v>35007</v>
      </c>
      <c r="C3882" s="6" t="str">
        <f>HYPERLINK("https://www.ti.com/lit/gpn/TPS22902", "PDF")</f>
        <v>PDF</v>
      </c>
      <c r="D3882" s="5" t="s">
        <v>35008</v>
      </c>
      <c r="E3882" s="5" t="s">
        <v>35009</v>
      </c>
      <c r="F3882" s="5"/>
      <c r="G3882" s="5" t="s">
        <v>35010</v>
      </c>
      <c r="H3882" s="1" t="s">
        <v>35011</v>
      </c>
      <c r="I3882" s="5" t="s">
        <v>35012</v>
      </c>
      <c r="J3882" s="7">
        <v>4</v>
      </c>
      <c r="K3882" s="7">
        <v>1</v>
      </c>
      <c r="L3882" s="5" t="s">
        <v>35013</v>
      </c>
      <c r="M3882" s="7">
        <v>0.5</v>
      </c>
      <c r="N3882" s="7">
        <v>0.4</v>
      </c>
      <c r="O3882" s="7">
        <v>0.20699999999999999</v>
      </c>
      <c r="P3882" s="1" t="s">
        <v>35014</v>
      </c>
    </row>
    <row r="3883" spans="1:16" ht="33.4" x14ac:dyDescent="0.3">
      <c r="A3883" s="6" t="str">
        <f>HYPERLINK("https://www.ti.com/product/UCC27200-Q1", "UCC27200-Q1")</f>
        <v>UCC27200-Q1</v>
      </c>
      <c r="B3883" s="5" t="s">
        <v>35015</v>
      </c>
      <c r="C3883" s="6" t="str">
        <f>HYPERLINK("https://www.ti.com/lit/gpn/UCC27200-Q1", "PDF")</f>
        <v>PDF</v>
      </c>
      <c r="D3883" s="5" t="s">
        <v>35016</v>
      </c>
      <c r="E3883" s="5" t="s">
        <v>35017</v>
      </c>
      <c r="F3883" s="5"/>
      <c r="G3883" s="5" t="s">
        <v>35018</v>
      </c>
      <c r="H3883" s="1" t="s">
        <v>35019</v>
      </c>
      <c r="I3883" s="5" t="s">
        <v>35020</v>
      </c>
      <c r="J3883" s="7">
        <v>8</v>
      </c>
      <c r="K3883" s="7">
        <v>29.4</v>
      </c>
      <c r="L3883" s="5" t="s">
        <v>35021</v>
      </c>
      <c r="M3883" s="7">
        <v>1.7</v>
      </c>
      <c r="N3883" s="7">
        <v>1.27</v>
      </c>
      <c r="O3883" s="7">
        <v>1.431</v>
      </c>
      <c r="P3883" s="1" t="s">
        <v>35022</v>
      </c>
    </row>
    <row r="3884" spans="1:16" ht="49.75" x14ac:dyDescent="0.3">
      <c r="A3884" s="6" t="str">
        <f>HYPERLINK("https://www.ti.com/product/LM3421", "LM3421")</f>
        <v>LM3421</v>
      </c>
      <c r="B3884" s="5" t="s">
        <v>35023</v>
      </c>
      <c r="C3884" s="6" t="str">
        <f>HYPERLINK("https://www.ti.com/lit/gpn/LM3421", "PDF")</f>
        <v>PDF</v>
      </c>
      <c r="D3884" s="5" t="s">
        <v>35024</v>
      </c>
      <c r="E3884" s="5" t="s">
        <v>35025</v>
      </c>
      <c r="F3884" s="5" t="s">
        <v>35026</v>
      </c>
      <c r="G3884" s="5" t="s">
        <v>35027</v>
      </c>
      <c r="H3884" s="1" t="s">
        <v>35028</v>
      </c>
      <c r="I3884" s="5" t="s">
        <v>35029</v>
      </c>
      <c r="J3884" s="7">
        <v>16</v>
      </c>
      <c r="K3884" s="7">
        <v>32</v>
      </c>
      <c r="L3884" s="5" t="s">
        <v>35030</v>
      </c>
      <c r="M3884" s="7">
        <v>1.2</v>
      </c>
      <c r="N3884" s="7">
        <v>0.65</v>
      </c>
      <c r="O3884" s="7">
        <v>1.3460000000000001</v>
      </c>
      <c r="P3884" s="1" t="s">
        <v>35031</v>
      </c>
    </row>
    <row r="3885" spans="1:16" ht="33.4" x14ac:dyDescent="0.3">
      <c r="A3885" s="6" t="str">
        <f>HYPERLINK("https://www.ti.com/product/TPS61085", "TPS61085")</f>
        <v>TPS61085</v>
      </c>
      <c r="B3885" s="5" t="s">
        <v>35032</v>
      </c>
      <c r="C3885" s="6" t="str">
        <f>HYPERLINK("https://www.ti.com/lit/gpn/TPS61085", "PDF")</f>
        <v>PDF</v>
      </c>
      <c r="D3885" s="5" t="s">
        <v>35033</v>
      </c>
      <c r="E3885" s="5" t="s">
        <v>35034</v>
      </c>
      <c r="F3885" s="5" t="s">
        <v>35035</v>
      </c>
      <c r="G3885" s="5" t="s">
        <v>35036</v>
      </c>
      <c r="H3885" s="1" t="s">
        <v>35037</v>
      </c>
      <c r="I3885" s="5" t="s">
        <v>35038</v>
      </c>
      <c r="J3885" s="7">
        <v>8</v>
      </c>
      <c r="K3885" s="7" t="s">
        <v>35039</v>
      </c>
      <c r="L3885" s="5" t="s">
        <v>35040</v>
      </c>
      <c r="M3885" s="7" t="s">
        <v>35041</v>
      </c>
      <c r="N3885" s="7">
        <v>0.65</v>
      </c>
      <c r="O3885" s="7">
        <v>0.81200000000000006</v>
      </c>
      <c r="P3885" s="1" t="s">
        <v>35042</v>
      </c>
    </row>
    <row r="3886" spans="1:16" ht="33.4" x14ac:dyDescent="0.3">
      <c r="A3886" s="6" t="str">
        <f>HYPERLINK("https://www.ti.com/product/LP8720", "LP8720")</f>
        <v>LP8720</v>
      </c>
      <c r="B3886" s="5" t="s">
        <v>35043</v>
      </c>
      <c r="C3886" s="6" t="str">
        <f>HYPERLINK("https://www.ti.com/lit/gpn/LP8720", "PDF")</f>
        <v>PDF</v>
      </c>
      <c r="D3886" s="5" t="s">
        <v>35044</v>
      </c>
      <c r="E3886" s="5" t="s">
        <v>35045</v>
      </c>
      <c r="F3886" s="5"/>
      <c r="G3886" s="5" t="s">
        <v>35046</v>
      </c>
      <c r="H3886" s="1" t="s">
        <v>35047</v>
      </c>
      <c r="I3886" s="5" t="s">
        <v>35048</v>
      </c>
      <c r="J3886" s="7">
        <v>20</v>
      </c>
      <c r="K3886" s="7">
        <v>6.1875</v>
      </c>
      <c r="L3886" s="5" t="s">
        <v>35049</v>
      </c>
      <c r="M3886" s="7">
        <v>0.67500000000000004</v>
      </c>
      <c r="N3886" s="7">
        <v>0.5</v>
      </c>
      <c r="O3886" s="7">
        <v>0.88600000000000001</v>
      </c>
      <c r="P3886" s="1" t="s">
        <v>35050</v>
      </c>
    </row>
    <row r="3887" spans="1:16" ht="33.4" x14ac:dyDescent="0.3">
      <c r="A3887" s="6" t="str">
        <f>HYPERLINK("https://www.ti.com/product/TLC5944", "TLC5944")</f>
        <v>TLC5944</v>
      </c>
      <c r="B3887" s="5" t="s">
        <v>35051</v>
      </c>
      <c r="C3887" s="6" t="str">
        <f>HYPERLINK("https://www.ti.com/lit/gpn/TLC5944", "PDF")</f>
        <v>PDF</v>
      </c>
      <c r="D3887" s="5" t="s">
        <v>35052</v>
      </c>
      <c r="E3887" s="5" t="s">
        <v>35053</v>
      </c>
      <c r="F3887" s="5"/>
      <c r="G3887" s="5" t="s">
        <v>35054</v>
      </c>
      <c r="H3887" s="1" t="s">
        <v>35055</v>
      </c>
      <c r="I3887" s="5" t="s">
        <v>35056</v>
      </c>
      <c r="J3887" s="7" t="s">
        <v>35057</v>
      </c>
      <c r="K3887" s="7" t="s">
        <v>35058</v>
      </c>
      <c r="L3887" s="5" t="s">
        <v>35059</v>
      </c>
      <c r="M3887" s="7" t="s">
        <v>35060</v>
      </c>
      <c r="N3887" s="7" t="s">
        <v>35061</v>
      </c>
      <c r="O3887" s="7">
        <v>1.0629999999999999</v>
      </c>
      <c r="P3887" s="1" t="s">
        <v>35062</v>
      </c>
    </row>
    <row r="3888" spans="1:16" ht="33.4" x14ac:dyDescent="0.3">
      <c r="A3888" s="6" t="str">
        <f>HYPERLINK("https://www.ti.com/product/TPS63010", "TPS63010")</f>
        <v>TPS63010</v>
      </c>
      <c r="B3888" s="5" t="s">
        <v>35063</v>
      </c>
      <c r="C3888" s="6" t="str">
        <f>HYPERLINK("https://www.ti.com/lit/gpn/TPS63010", "PDF")</f>
        <v>PDF</v>
      </c>
      <c r="D3888" s="5" t="s">
        <v>35064</v>
      </c>
      <c r="E3888" s="5" t="s">
        <v>35065</v>
      </c>
      <c r="F3888" s="5" t="s">
        <v>35066</v>
      </c>
      <c r="G3888" s="5" t="s">
        <v>35067</v>
      </c>
      <c r="H3888" s="1" t="s">
        <v>35068</v>
      </c>
      <c r="I3888" s="5" t="s">
        <v>35069</v>
      </c>
      <c r="J3888" s="7">
        <v>20</v>
      </c>
      <c r="K3888" s="7">
        <v>3.96</v>
      </c>
      <c r="L3888" s="5" t="s">
        <v>35070</v>
      </c>
      <c r="M3888" s="7">
        <v>0.625</v>
      </c>
      <c r="N3888" s="7">
        <v>0.4</v>
      </c>
      <c r="O3888" s="7">
        <v>0.86299999999999999</v>
      </c>
      <c r="P3888" s="1" t="s">
        <v>35071</v>
      </c>
    </row>
    <row r="3889" spans="1:16" ht="33.4" x14ac:dyDescent="0.3">
      <c r="A3889" s="6" t="str">
        <f>HYPERLINK("https://www.ti.com/product/TPS63011", "TPS63011")</f>
        <v>TPS63011</v>
      </c>
      <c r="B3889" s="5" t="s">
        <v>35072</v>
      </c>
      <c r="C3889" s="6" t="str">
        <f>HYPERLINK("https://www.ti.com/lit/gpn/TPS63011", "PDF")</f>
        <v>PDF</v>
      </c>
      <c r="D3889" s="5" t="s">
        <v>35073</v>
      </c>
      <c r="E3889" s="5" t="s">
        <v>35074</v>
      </c>
      <c r="F3889" s="5" t="s">
        <v>35075</v>
      </c>
      <c r="G3889" s="5" t="s">
        <v>35076</v>
      </c>
      <c r="H3889" s="1" t="s">
        <v>35077</v>
      </c>
      <c r="I3889" s="5" t="s">
        <v>35078</v>
      </c>
      <c r="J3889" s="7">
        <v>20</v>
      </c>
      <c r="K3889" s="7">
        <v>3.96</v>
      </c>
      <c r="L3889" s="5" t="s">
        <v>35079</v>
      </c>
      <c r="M3889" s="7">
        <v>0.625</v>
      </c>
      <c r="N3889" s="7">
        <v>0.4</v>
      </c>
      <c r="O3889" s="7">
        <v>0.86299999999999999</v>
      </c>
      <c r="P3889" s="1" t="s">
        <v>35080</v>
      </c>
    </row>
    <row r="3890" spans="1:16" ht="33.4" x14ac:dyDescent="0.3">
      <c r="A3890" s="6" t="str">
        <f>HYPERLINK("https://www.ti.com/product/TPS63012", "TPS63012")</f>
        <v>TPS63012</v>
      </c>
      <c r="B3890" s="5" t="s">
        <v>35081</v>
      </c>
      <c r="C3890" s="6" t="str">
        <f>HYPERLINK("https://www.ti.com/lit/gpn/TPS63012", "PDF")</f>
        <v>PDF</v>
      </c>
      <c r="D3890" s="5" t="s">
        <v>35082</v>
      </c>
      <c r="E3890" s="5" t="s">
        <v>35083</v>
      </c>
      <c r="F3890" s="5" t="s">
        <v>35084</v>
      </c>
      <c r="G3890" s="5" t="s">
        <v>35085</v>
      </c>
      <c r="H3890" s="1" t="s">
        <v>35086</v>
      </c>
      <c r="I3890" s="5" t="s">
        <v>35087</v>
      </c>
      <c r="J3890" s="7">
        <v>20</v>
      </c>
      <c r="K3890" s="7">
        <v>3.96</v>
      </c>
      <c r="L3890" s="5" t="s">
        <v>35088</v>
      </c>
      <c r="M3890" s="7">
        <v>0.625</v>
      </c>
      <c r="N3890" s="7">
        <v>0.4</v>
      </c>
      <c r="O3890" s="7">
        <v>0.86299999999999999</v>
      </c>
      <c r="P3890" s="1" t="s">
        <v>35089</v>
      </c>
    </row>
    <row r="3891" spans="1:16" ht="17.05" x14ac:dyDescent="0.3">
      <c r="A3891" s="6" t="str">
        <f>HYPERLINK("https://www.ti.com/product/LM26484", "LM26484")</f>
        <v>LM26484</v>
      </c>
      <c r="B3891" s="5" t="s">
        <v>35090</v>
      </c>
      <c r="C3891" s="6" t="str">
        <f>HYPERLINK("https://www.ti.com/lit/gpn/LM26484", "PDF")</f>
        <v>PDF</v>
      </c>
      <c r="D3891" s="5" t="s">
        <v>35091</v>
      </c>
      <c r="E3891" s="5" t="s">
        <v>35092</v>
      </c>
      <c r="F3891" s="5"/>
      <c r="G3891" s="5" t="s">
        <v>35093</v>
      </c>
      <c r="H3891" s="1" t="s">
        <v>35094</v>
      </c>
      <c r="I3891" s="5" t="s">
        <v>35095</v>
      </c>
      <c r="J3891" s="7">
        <v>24</v>
      </c>
      <c r="K3891" s="7">
        <v>20</v>
      </c>
      <c r="L3891" s="5" t="s">
        <v>35096</v>
      </c>
      <c r="M3891" s="7">
        <v>0.8</v>
      </c>
      <c r="N3891" s="7">
        <v>0.5</v>
      </c>
      <c r="O3891" s="7">
        <v>0.84499999999999997</v>
      </c>
      <c r="P3891" s="1" t="s">
        <v>35097</v>
      </c>
    </row>
    <row r="3892" spans="1:16" ht="33.4" x14ac:dyDescent="0.3">
      <c r="A3892" s="6" t="str">
        <f>HYPERLINK("https://www.ti.com/product/LM3489-Q1", "LM3489-Q1")</f>
        <v>LM3489-Q1</v>
      </c>
      <c r="B3892" s="5" t="s">
        <v>35098</v>
      </c>
      <c r="C3892" s="6" t="str">
        <f>HYPERLINK("https://www.ti.com/lit/gpn/LM3489-Q1", "PDF")</f>
        <v>PDF</v>
      </c>
      <c r="D3892" s="5" t="s">
        <v>35099</v>
      </c>
      <c r="E3892" s="5" t="s">
        <v>35100</v>
      </c>
      <c r="F3892" s="5" t="s">
        <v>35101</v>
      </c>
      <c r="G3892" s="5" t="s">
        <v>35102</v>
      </c>
      <c r="H3892" s="1" t="s">
        <v>35103</v>
      </c>
      <c r="I3892" s="5" t="s">
        <v>35104</v>
      </c>
      <c r="J3892" s="7">
        <v>8</v>
      </c>
      <c r="K3892" s="7">
        <v>14.7</v>
      </c>
      <c r="L3892" s="5" t="s">
        <v>35105</v>
      </c>
      <c r="M3892" s="7">
        <v>1.1000000000000001</v>
      </c>
      <c r="N3892" s="7">
        <v>0.65</v>
      </c>
      <c r="O3892" s="7">
        <v>0.67500000000000004</v>
      </c>
      <c r="P3892" s="1" t="s">
        <v>35106</v>
      </c>
    </row>
    <row r="3893" spans="1:16" ht="66.150000000000006" x14ac:dyDescent="0.3">
      <c r="A3893" s="6" t="str">
        <f>HYPERLINK("https://www.ti.com/product/TLC5926", "TLC5926")</f>
        <v>TLC5926</v>
      </c>
      <c r="B3893" s="5" t="s">
        <v>35107</v>
      </c>
      <c r="C3893" s="6" t="str">
        <f>HYPERLINK("https://www.ti.com/lit/gpn/TLC5926", "PDF")</f>
        <v>PDF</v>
      </c>
      <c r="D3893" s="5" t="s">
        <v>35108</v>
      </c>
      <c r="E3893" s="5" t="s">
        <v>35109</v>
      </c>
      <c r="F3893" s="5"/>
      <c r="G3893" s="5" t="s">
        <v>35110</v>
      </c>
      <c r="H3893" s="1" t="s">
        <v>35111</v>
      </c>
      <c r="I3893" s="5" t="s">
        <v>35112</v>
      </c>
      <c r="J3893" s="7">
        <v>24</v>
      </c>
      <c r="K3893" s="7" t="s">
        <v>35113</v>
      </c>
      <c r="L3893" s="5" t="s">
        <v>35114</v>
      </c>
      <c r="M3893" s="7" t="s">
        <v>35115</v>
      </c>
      <c r="N3893" s="7" t="s">
        <v>35116</v>
      </c>
      <c r="O3893" s="7">
        <v>0.57599999999999996</v>
      </c>
      <c r="P3893" s="1" t="s">
        <v>35117</v>
      </c>
    </row>
    <row r="3894" spans="1:16" ht="66.150000000000006" x14ac:dyDescent="0.3">
      <c r="A3894" s="6" t="str">
        <f>HYPERLINK("https://www.ti.com/product/TLC5927", "TLC5927")</f>
        <v>TLC5927</v>
      </c>
      <c r="B3894" s="5" t="s">
        <v>35118</v>
      </c>
      <c r="C3894" s="6" t="str">
        <f>HYPERLINK("https://www.ti.com/lit/gpn/TLC5927", "PDF")</f>
        <v>PDF</v>
      </c>
      <c r="D3894" s="5" t="s">
        <v>35119</v>
      </c>
      <c r="E3894" s="5" t="s">
        <v>35120</v>
      </c>
      <c r="F3894" s="5"/>
      <c r="G3894" s="5" t="s">
        <v>35121</v>
      </c>
      <c r="H3894" s="1" t="s">
        <v>35122</v>
      </c>
      <c r="I3894" s="5" t="s">
        <v>35123</v>
      </c>
      <c r="J3894" s="7">
        <v>24</v>
      </c>
      <c r="K3894" s="7" t="s">
        <v>35124</v>
      </c>
      <c r="L3894" s="5" t="s">
        <v>35125</v>
      </c>
      <c r="M3894" s="7" t="s">
        <v>35126</v>
      </c>
      <c r="N3894" s="7" t="s">
        <v>35127</v>
      </c>
      <c r="O3894" s="7">
        <v>0.69</v>
      </c>
      <c r="P3894" s="1" t="s">
        <v>35128</v>
      </c>
    </row>
    <row r="3895" spans="1:16" ht="17.05" x14ac:dyDescent="0.3">
      <c r="A3895" s="6" t="str">
        <f>HYPERLINK("https://www.ti.com/product/TPS3818G25", "TPS3818G25")</f>
        <v>TPS3818G25</v>
      </c>
      <c r="B3895" s="5" t="s">
        <v>35129</v>
      </c>
      <c r="C3895" s="6" t="str">
        <f>HYPERLINK("https://www.ti.com/lit/gpn/TPS3818G25", "PDF")</f>
        <v>PDF</v>
      </c>
      <c r="D3895" s="5" t="s">
        <v>35130</v>
      </c>
      <c r="E3895" s="5" t="s">
        <v>35131</v>
      </c>
      <c r="F3895" s="5"/>
      <c r="G3895" s="5" t="s">
        <v>35132</v>
      </c>
      <c r="H3895" s="1" t="s">
        <v>35133</v>
      </c>
      <c r="I3895" s="5" t="s">
        <v>35134</v>
      </c>
      <c r="J3895" s="7">
        <v>6</v>
      </c>
      <c r="K3895" s="7">
        <v>4</v>
      </c>
      <c r="L3895" s="5" t="s">
        <v>35135</v>
      </c>
      <c r="M3895" s="7">
        <v>0.8</v>
      </c>
      <c r="N3895" s="7">
        <v>0.65</v>
      </c>
      <c r="O3895" s="7">
        <v>1.111</v>
      </c>
      <c r="P3895" s="1" t="s">
        <v>35136</v>
      </c>
    </row>
    <row r="3896" spans="1:16" ht="49.75" x14ac:dyDescent="0.3">
      <c r="A3896" s="6" t="str">
        <f>HYPERLINK("https://www.ti.com/product/TPS62601", "TPS62601")</f>
        <v>TPS62601</v>
      </c>
      <c r="B3896" s="5" t="s">
        <v>35137</v>
      </c>
      <c r="C3896" s="6" t="str">
        <f>HYPERLINK("https://www.ti.com/lit/gpn/TPS62601", "PDF")</f>
        <v>PDF</v>
      </c>
      <c r="D3896" s="5" t="s">
        <v>35138</v>
      </c>
      <c r="E3896" s="5" t="s">
        <v>35139</v>
      </c>
      <c r="F3896" s="5" t="s">
        <v>35140</v>
      </c>
      <c r="G3896" s="5" t="s">
        <v>35141</v>
      </c>
      <c r="H3896" s="1" t="s">
        <v>35142</v>
      </c>
      <c r="I3896" s="5" t="s">
        <v>35143</v>
      </c>
      <c r="J3896" s="7">
        <v>6</v>
      </c>
      <c r="K3896" s="7">
        <v>1.4000000000000001</v>
      </c>
      <c r="L3896" s="5" t="s">
        <v>35144</v>
      </c>
      <c r="M3896" s="7">
        <v>0.625</v>
      </c>
      <c r="N3896" s="7">
        <v>0.4</v>
      </c>
      <c r="O3896" s="7">
        <v>1.3660000000000001</v>
      </c>
      <c r="P3896" s="1" t="s">
        <v>35145</v>
      </c>
    </row>
    <row r="3897" spans="1:16" ht="33.4" x14ac:dyDescent="0.3">
      <c r="A3897" s="6" t="str">
        <f>HYPERLINK("https://www.ti.com/product/LM20323", "LM20323")</f>
        <v>LM20323</v>
      </c>
      <c r="B3897" s="5" t="s">
        <v>35146</v>
      </c>
      <c r="C3897" s="6" t="str">
        <f>HYPERLINK("https://www.ti.com/lit/gpn/LM20323", "PDF")</f>
        <v>PDF</v>
      </c>
      <c r="D3897" s="5" t="s">
        <v>35147</v>
      </c>
      <c r="E3897" s="5" t="s">
        <v>35148</v>
      </c>
      <c r="F3897" s="5" t="s">
        <v>35149</v>
      </c>
      <c r="G3897" s="5" t="s">
        <v>35150</v>
      </c>
      <c r="H3897" s="1" t="s">
        <v>35151</v>
      </c>
      <c r="I3897" s="5" t="s">
        <v>35152</v>
      </c>
      <c r="J3897" s="7">
        <v>20</v>
      </c>
      <c r="K3897" s="7">
        <v>41.6</v>
      </c>
      <c r="L3897" s="5" t="s">
        <v>35153</v>
      </c>
      <c r="M3897" s="7">
        <v>1.2</v>
      </c>
      <c r="N3897" s="7">
        <v>0.65</v>
      </c>
      <c r="O3897" s="7">
        <v>1.5920000000000001</v>
      </c>
      <c r="P3897" s="1" t="s">
        <v>35154</v>
      </c>
    </row>
    <row r="3898" spans="1:16" ht="33.4" x14ac:dyDescent="0.3">
      <c r="A3898" s="6" t="str">
        <f>HYPERLINK("https://www.ti.com/product/LM20333", "LM20333")</f>
        <v>LM20333</v>
      </c>
      <c r="B3898" s="5" t="s">
        <v>35155</v>
      </c>
      <c r="C3898" s="6" t="str">
        <f>HYPERLINK("https://www.ti.com/lit/gpn/LM20333", "PDF")</f>
        <v>PDF</v>
      </c>
      <c r="D3898" s="5" t="s">
        <v>35156</v>
      </c>
      <c r="E3898" s="5" t="s">
        <v>35157</v>
      </c>
      <c r="F3898" s="5" t="s">
        <v>35158</v>
      </c>
      <c r="G3898" s="5" t="s">
        <v>35159</v>
      </c>
      <c r="H3898" s="1" t="s">
        <v>35160</v>
      </c>
      <c r="I3898" s="5" t="s">
        <v>35161</v>
      </c>
      <c r="J3898" s="7">
        <v>20</v>
      </c>
      <c r="K3898" s="7">
        <v>41.6</v>
      </c>
      <c r="L3898" s="5" t="s">
        <v>35162</v>
      </c>
      <c r="M3898" s="7">
        <v>1.2</v>
      </c>
      <c r="N3898" s="7">
        <v>0.65</v>
      </c>
      <c r="O3898" s="7">
        <v>2.06</v>
      </c>
      <c r="P3898" s="1" t="s">
        <v>35163</v>
      </c>
    </row>
    <row r="3899" spans="1:16" ht="33.4" x14ac:dyDescent="0.3">
      <c r="A3899" s="6" t="str">
        <f>HYPERLINK("https://www.ti.com/product/LM3429", "LM3429")</f>
        <v>LM3429</v>
      </c>
      <c r="B3899" s="5" t="s">
        <v>35164</v>
      </c>
      <c r="C3899" s="6" t="str">
        <f>HYPERLINK("https://www.ti.com/lit/gpn/LM3429", "PDF")</f>
        <v>PDF</v>
      </c>
      <c r="D3899" s="5" t="s">
        <v>35165</v>
      </c>
      <c r="E3899" s="5" t="s">
        <v>35166</v>
      </c>
      <c r="F3899" s="5" t="s">
        <v>35167</v>
      </c>
      <c r="G3899" s="5" t="s">
        <v>35168</v>
      </c>
      <c r="H3899" s="1" t="s">
        <v>35169</v>
      </c>
      <c r="I3899" s="5" t="s">
        <v>35170</v>
      </c>
      <c r="J3899" s="7">
        <v>14</v>
      </c>
      <c r="K3899" s="7">
        <v>32</v>
      </c>
      <c r="L3899" s="5" t="s">
        <v>35171</v>
      </c>
      <c r="M3899" s="7">
        <v>1.2</v>
      </c>
      <c r="N3899" s="7">
        <v>0.65</v>
      </c>
      <c r="O3899" s="7">
        <v>1.002</v>
      </c>
      <c r="P3899" s="1" t="s">
        <v>35172</v>
      </c>
    </row>
    <row r="3900" spans="1:16" ht="49.75" x14ac:dyDescent="0.3">
      <c r="A3900" s="6" t="str">
        <f>HYPERLINK("https://www.ti.com/product/LM3429-Q1", "LM3429-Q1")</f>
        <v>LM3429-Q1</v>
      </c>
      <c r="B3900" s="5" t="s">
        <v>35173</v>
      </c>
      <c r="C3900" s="6" t="str">
        <f>HYPERLINK("https://www.ti.com/lit/gpn/LM3429-Q1", "PDF")</f>
        <v>PDF</v>
      </c>
      <c r="D3900" s="5" t="s">
        <v>35174</v>
      </c>
      <c r="E3900" s="5" t="s">
        <v>35175</v>
      </c>
      <c r="F3900" s="5" t="s">
        <v>35176</v>
      </c>
      <c r="G3900" s="5" t="s">
        <v>35177</v>
      </c>
      <c r="H3900" s="1" t="s">
        <v>35178</v>
      </c>
      <c r="I3900" s="5" t="s">
        <v>35179</v>
      </c>
      <c r="J3900" s="7">
        <v>14</v>
      </c>
      <c r="K3900" s="7">
        <v>32</v>
      </c>
      <c r="L3900" s="5" t="s">
        <v>35180</v>
      </c>
      <c r="M3900" s="7">
        <v>1.2</v>
      </c>
      <c r="N3900" s="7">
        <v>0.65</v>
      </c>
      <c r="O3900" s="7">
        <v>1.645</v>
      </c>
      <c r="P3900" s="1" t="s">
        <v>35181</v>
      </c>
    </row>
    <row r="3901" spans="1:16" ht="49.75" x14ac:dyDescent="0.3">
      <c r="A3901" s="6" t="str">
        <f>HYPERLINK("https://www.ti.com/product/TPS7A45", "TPS7A45")</f>
        <v>TPS7A45</v>
      </c>
      <c r="B3901" s="5" t="s">
        <v>35182</v>
      </c>
      <c r="C3901" s="6" t="str">
        <f>HYPERLINK("https://www.ti.com/lit/gpn/TPS7A45", "PDF")</f>
        <v>PDF</v>
      </c>
      <c r="D3901" s="5" t="s">
        <v>35183</v>
      </c>
      <c r="E3901" s="5" t="s">
        <v>35184</v>
      </c>
      <c r="F3901" s="5"/>
      <c r="G3901" s="5" t="s">
        <v>35185</v>
      </c>
      <c r="H3901" s="1" t="s">
        <v>35186</v>
      </c>
      <c r="I3901" s="5" t="s">
        <v>35187</v>
      </c>
      <c r="J3901" s="7" t="s">
        <v>35188</v>
      </c>
      <c r="K3901" s="7" t="s">
        <v>35189</v>
      </c>
      <c r="L3901" s="5" t="s">
        <v>35190</v>
      </c>
      <c r="M3901" s="7" t="s">
        <v>35191</v>
      </c>
      <c r="N3901" s="7" t="s">
        <v>35192</v>
      </c>
      <c r="O3901" s="7">
        <v>1.327</v>
      </c>
      <c r="P3901" s="1" t="s">
        <v>35193</v>
      </c>
    </row>
    <row r="3902" spans="1:16" ht="33.4" x14ac:dyDescent="0.3">
      <c r="A3902" s="6" t="str">
        <f>HYPERLINK("https://www.ti.com/product/TPS3813-Q1", "TPS3813-Q1")</f>
        <v>TPS3813-Q1</v>
      </c>
      <c r="B3902" s="5" t="s">
        <v>35194</v>
      </c>
      <c r="C3902" s="6" t="str">
        <f>HYPERLINK("https://www.ti.com/lit/gpn/TPS3813-Q1", "PDF")</f>
        <v>PDF</v>
      </c>
      <c r="D3902" s="5" t="s">
        <v>35195</v>
      </c>
      <c r="E3902" s="5" t="s">
        <v>35196</v>
      </c>
      <c r="F3902" s="5"/>
      <c r="G3902" s="5" t="s">
        <v>35197</v>
      </c>
      <c r="H3902" s="1" t="s">
        <v>35198</v>
      </c>
      <c r="I3902" s="5" t="s">
        <v>35199</v>
      </c>
      <c r="J3902" s="7">
        <v>6</v>
      </c>
      <c r="K3902" s="7">
        <v>8.1199999999999992</v>
      </c>
      <c r="L3902" s="5" t="s">
        <v>35200</v>
      </c>
      <c r="M3902" s="7">
        <v>1.45</v>
      </c>
      <c r="N3902" s="7">
        <v>0.95</v>
      </c>
      <c r="O3902" s="7">
        <v>0.81299999999999994</v>
      </c>
      <c r="P3902" s="1" t="s">
        <v>35201</v>
      </c>
    </row>
    <row r="3903" spans="1:16" ht="33.4" x14ac:dyDescent="0.3">
      <c r="A3903" s="6" t="str">
        <f>HYPERLINK("https://www.ti.com/product/TPS61054", "TPS61054")</f>
        <v>TPS61054</v>
      </c>
      <c r="B3903" s="5" t="s">
        <v>35202</v>
      </c>
      <c r="C3903" s="6" t="str">
        <f>HYPERLINK("https://www.ti.com/lit/gpn/TPS61054", "PDF")</f>
        <v>PDF</v>
      </c>
      <c r="D3903" s="5" t="s">
        <v>35203</v>
      </c>
      <c r="E3903" s="5" t="s">
        <v>35204</v>
      </c>
      <c r="F3903" s="5" t="s">
        <v>35205</v>
      </c>
      <c r="G3903" s="5" t="s">
        <v>35206</v>
      </c>
      <c r="H3903" s="1" t="s">
        <v>35207</v>
      </c>
      <c r="I3903" s="5" t="s">
        <v>35208</v>
      </c>
      <c r="J3903" s="7" t="s">
        <v>35209</v>
      </c>
      <c r="K3903" s="7" t="s">
        <v>35210</v>
      </c>
      <c r="L3903" s="5" t="s">
        <v>35211</v>
      </c>
      <c r="M3903" s="7" t="s">
        <v>35212</v>
      </c>
      <c r="N3903" s="7">
        <v>0.5</v>
      </c>
      <c r="O3903" s="7">
        <v>0.51100000000000001</v>
      </c>
      <c r="P3903" s="1" t="s">
        <v>35213</v>
      </c>
    </row>
    <row r="3904" spans="1:16" ht="33.4" x14ac:dyDescent="0.3">
      <c r="A3904" s="6" t="str">
        <f>HYPERLINK("https://www.ti.com/product/TPS61055", "TPS61055")</f>
        <v>TPS61055</v>
      </c>
      <c r="B3904" s="5" t="s">
        <v>35214</v>
      </c>
      <c r="C3904" s="6" t="str">
        <f>HYPERLINK("https://www.ti.com/lit/gpn/TPS61055", "PDF")</f>
        <v>PDF</v>
      </c>
      <c r="D3904" s="5" t="s">
        <v>35215</v>
      </c>
      <c r="E3904" s="5" t="s">
        <v>35216</v>
      </c>
      <c r="F3904" s="5" t="s">
        <v>35217</v>
      </c>
      <c r="G3904" s="5" t="s">
        <v>35218</v>
      </c>
      <c r="H3904" s="1" t="s">
        <v>35219</v>
      </c>
      <c r="I3904" s="5" t="s">
        <v>35220</v>
      </c>
      <c r="J3904" s="7" t="s">
        <v>35221</v>
      </c>
      <c r="K3904" s="7" t="s">
        <v>35222</v>
      </c>
      <c r="L3904" s="5" t="s">
        <v>35223</v>
      </c>
      <c r="M3904" s="7" t="s">
        <v>35224</v>
      </c>
      <c r="N3904" s="7">
        <v>0.5</v>
      </c>
      <c r="O3904" s="7">
        <v>0.51100000000000001</v>
      </c>
      <c r="P3904" s="1" t="s">
        <v>35225</v>
      </c>
    </row>
    <row r="3905" spans="1:16" ht="66.150000000000006" x14ac:dyDescent="0.3">
      <c r="A3905" s="6" t="str">
        <f>HYPERLINK("https://www.ti.com/product/TL1963A", "TL1963A")</f>
        <v>TL1963A</v>
      </c>
      <c r="B3905" s="5" t="s">
        <v>35226</v>
      </c>
      <c r="C3905" s="6" t="str">
        <f>HYPERLINK("https://www.ti.com/lit/gpn/TL1963A", "PDF")</f>
        <v>PDF</v>
      </c>
      <c r="D3905" s="5" t="s">
        <v>35227</v>
      </c>
      <c r="E3905" s="5" t="s">
        <v>35228</v>
      </c>
      <c r="F3905" s="5"/>
      <c r="G3905" s="5" t="s">
        <v>35229</v>
      </c>
      <c r="H3905" s="1" t="s">
        <v>35230</v>
      </c>
      <c r="I3905" s="5" t="s">
        <v>35231</v>
      </c>
      <c r="J3905" s="7" t="s">
        <v>35232</v>
      </c>
      <c r="K3905" s="7" t="s">
        <v>35233</v>
      </c>
      <c r="L3905" s="5" t="s">
        <v>35234</v>
      </c>
      <c r="M3905" s="7" t="s">
        <v>35235</v>
      </c>
      <c r="N3905" s="7" t="s">
        <v>35236</v>
      </c>
      <c r="O3905" s="7">
        <v>1.2130000000000001</v>
      </c>
      <c r="P3905" s="1" t="s">
        <v>35237</v>
      </c>
    </row>
    <row r="3906" spans="1:16" ht="33.4" x14ac:dyDescent="0.3">
      <c r="A3906" s="6" t="str">
        <f>HYPERLINK("https://www.ti.com/product/TPS61087", "TPS61087")</f>
        <v>TPS61087</v>
      </c>
      <c r="B3906" s="5" t="s">
        <v>35238</v>
      </c>
      <c r="C3906" s="6" t="str">
        <f>HYPERLINK("https://www.ti.com/lit/gpn/TPS61087", "PDF")</f>
        <v>PDF</v>
      </c>
      <c r="D3906" s="5" t="s">
        <v>35239</v>
      </c>
      <c r="E3906" s="5" t="s">
        <v>35240</v>
      </c>
      <c r="F3906" s="5" t="s">
        <v>35241</v>
      </c>
      <c r="G3906" s="5" t="s">
        <v>35242</v>
      </c>
      <c r="H3906" s="1" t="s">
        <v>35243</v>
      </c>
      <c r="I3906" s="5" t="s">
        <v>35244</v>
      </c>
      <c r="J3906" s="7">
        <v>10</v>
      </c>
      <c r="K3906" s="7">
        <v>9</v>
      </c>
      <c r="L3906" s="5" t="s">
        <v>35245</v>
      </c>
      <c r="M3906" s="7" t="s">
        <v>35246</v>
      </c>
      <c r="N3906" s="7">
        <v>0.5</v>
      </c>
      <c r="O3906" s="7">
        <v>0.86799999999999999</v>
      </c>
      <c r="P3906" s="1" t="s">
        <v>35247</v>
      </c>
    </row>
    <row r="3907" spans="1:16" ht="33.4" x14ac:dyDescent="0.3">
      <c r="A3907" s="6" t="str">
        <f>HYPERLINK("https://www.ti.com/product/TPS51200", "TPS51200")</f>
        <v>TPS51200</v>
      </c>
      <c r="B3907" s="5" t="s">
        <v>35248</v>
      </c>
      <c r="C3907" s="6" t="str">
        <f>HYPERLINK("https://www.ti.com/lit/gpn/TPS51200", "PDF")</f>
        <v>PDF</v>
      </c>
      <c r="D3907" s="5" t="s">
        <v>35249</v>
      </c>
      <c r="E3907" s="5" t="s">
        <v>35250</v>
      </c>
      <c r="F3907" s="5"/>
      <c r="G3907" s="5" t="s">
        <v>35251</v>
      </c>
      <c r="H3907" s="1" t="s">
        <v>35252</v>
      </c>
      <c r="I3907" s="5" t="s">
        <v>35253</v>
      </c>
      <c r="J3907" s="7">
        <v>10</v>
      </c>
      <c r="K3907" s="7">
        <v>9</v>
      </c>
      <c r="L3907" s="5" t="s">
        <v>35254</v>
      </c>
      <c r="M3907" s="7">
        <v>1</v>
      </c>
      <c r="N3907" s="7">
        <v>0.5</v>
      </c>
      <c r="O3907" s="7">
        <v>0.29299999999999998</v>
      </c>
      <c r="P3907" s="1" t="s">
        <v>35255</v>
      </c>
    </row>
    <row r="3908" spans="1:16" ht="49.75" x14ac:dyDescent="0.3">
      <c r="A3908" s="6" t="str">
        <f>HYPERLINK("https://www.ti.com/product/TPS54310-EP", "TPS54310-EP")</f>
        <v>TPS54310-EP</v>
      </c>
      <c r="B3908" s="5" t="s">
        <v>35256</v>
      </c>
      <c r="C3908" s="6" t="str">
        <f>HYPERLINK("https://www.ti.com/lit/gpn/TPS54310-EP", "PDF")</f>
        <v>PDF</v>
      </c>
      <c r="D3908" s="5" t="s">
        <v>35257</v>
      </c>
      <c r="E3908" s="5" t="s">
        <v>35258</v>
      </c>
      <c r="F3908" s="5" t="s">
        <v>35259</v>
      </c>
      <c r="G3908" s="5" t="s">
        <v>35260</v>
      </c>
      <c r="H3908" s="1" t="s">
        <v>35261</v>
      </c>
      <c r="I3908" s="5" t="s">
        <v>35262</v>
      </c>
      <c r="J3908" s="7">
        <v>20</v>
      </c>
      <c r="K3908" s="7">
        <v>41.6</v>
      </c>
      <c r="L3908" s="5" t="s">
        <v>35263</v>
      </c>
      <c r="M3908" s="7">
        <v>1.2</v>
      </c>
      <c r="N3908" s="7">
        <v>0.65</v>
      </c>
      <c r="O3908" s="7">
        <v>5.3650000000000002</v>
      </c>
      <c r="P3908" s="1" t="s">
        <v>35264</v>
      </c>
    </row>
    <row r="3909" spans="1:16" ht="33.4" x14ac:dyDescent="0.3">
      <c r="A3909" s="6" t="str">
        <f>HYPERLINK("https://www.ti.com/product/LM5118", "LM5118")</f>
        <v>LM5118</v>
      </c>
      <c r="B3909" s="5" t="s">
        <v>35265</v>
      </c>
      <c r="C3909" s="6" t="str">
        <f>HYPERLINK("https://www.ti.com/lit/gpn/LM5118", "PDF")</f>
        <v>PDF</v>
      </c>
      <c r="D3909" s="5" t="s">
        <v>35266</v>
      </c>
      <c r="E3909" s="5" t="s">
        <v>35267</v>
      </c>
      <c r="F3909" s="5" t="s">
        <v>35268</v>
      </c>
      <c r="G3909" s="5" t="s">
        <v>35269</v>
      </c>
      <c r="H3909" s="1" t="s">
        <v>35270</v>
      </c>
      <c r="I3909" s="5" t="s">
        <v>35271</v>
      </c>
      <c r="J3909" s="7">
        <v>20</v>
      </c>
      <c r="K3909" s="7">
        <v>41.6</v>
      </c>
      <c r="L3909" s="5" t="s">
        <v>35272</v>
      </c>
      <c r="M3909" s="7">
        <v>1.2</v>
      </c>
      <c r="N3909" s="7">
        <v>0.65</v>
      </c>
      <c r="O3909" s="7">
        <v>2.6480000000000001</v>
      </c>
      <c r="P3909" s="1" t="s">
        <v>35273</v>
      </c>
    </row>
    <row r="3910" spans="1:16" ht="33.4" x14ac:dyDescent="0.3">
      <c r="A3910" s="6" t="str">
        <f>HYPERLINK("https://www.ti.com/product/TPS51427", "TPS51427")</f>
        <v>TPS51427</v>
      </c>
      <c r="B3910" s="5" t="s">
        <v>35274</v>
      </c>
      <c r="C3910" s="6" t="str">
        <f>HYPERLINK("https://www.ti.com/lit/gpn/TPS51427", "PDF")</f>
        <v>PDF</v>
      </c>
      <c r="D3910" s="5" t="s">
        <v>35275</v>
      </c>
      <c r="E3910" s="5" t="s">
        <v>35276</v>
      </c>
      <c r="F3910" s="5" t="s">
        <v>35277</v>
      </c>
      <c r="G3910" s="5" t="s">
        <v>35278</v>
      </c>
      <c r="H3910" s="1" t="s">
        <v>35279</v>
      </c>
      <c r="I3910" s="5" t="s">
        <v>35280</v>
      </c>
      <c r="J3910" s="7">
        <v>32</v>
      </c>
      <c r="K3910" s="7">
        <v>25</v>
      </c>
      <c r="L3910" s="5" t="s">
        <v>35281</v>
      </c>
      <c r="M3910" s="7">
        <v>1</v>
      </c>
      <c r="N3910" s="7">
        <v>0.5</v>
      </c>
      <c r="O3910" s="7">
        <v>2.17</v>
      </c>
      <c r="P3910" s="1" t="s">
        <v>35282</v>
      </c>
    </row>
    <row r="3911" spans="1:16" ht="33.4" x14ac:dyDescent="0.3">
      <c r="A3911" s="6" t="str">
        <f>HYPERLINK("https://www.ti.com/product/TPS60252", "TPS60252")</f>
        <v>TPS60252</v>
      </c>
      <c r="B3911" s="5" t="s">
        <v>35283</v>
      </c>
      <c r="C3911" s="6" t="str">
        <f>HYPERLINK("https://www.ti.com/lit/gpn/TPS60252", "PDF")</f>
        <v>PDF</v>
      </c>
      <c r="D3911" s="5" t="s">
        <v>35284</v>
      </c>
      <c r="E3911" s="5" t="s">
        <v>35285</v>
      </c>
      <c r="F3911" s="5" t="s">
        <v>35286</v>
      </c>
      <c r="G3911" s="5" t="s">
        <v>35287</v>
      </c>
      <c r="H3911" s="1" t="s">
        <v>35288</v>
      </c>
      <c r="I3911" s="5" t="s">
        <v>35289</v>
      </c>
      <c r="J3911" s="7">
        <v>16</v>
      </c>
      <c r="K3911" s="7">
        <v>9</v>
      </c>
      <c r="L3911" s="5" t="s">
        <v>35290</v>
      </c>
      <c r="M3911" s="7">
        <v>0.8</v>
      </c>
      <c r="N3911" s="7">
        <v>0.5</v>
      </c>
      <c r="O3911" s="7">
        <v>0.85</v>
      </c>
      <c r="P3911" s="1" t="s">
        <v>35291</v>
      </c>
    </row>
    <row r="3912" spans="1:16" ht="33.4" x14ac:dyDescent="0.3">
      <c r="A3912" s="6" t="str">
        <f>HYPERLINK("https://www.ti.com/product/TPS65136", "TPS65136")</f>
        <v>TPS65136</v>
      </c>
      <c r="B3912" s="5" t="s">
        <v>35292</v>
      </c>
      <c r="C3912" s="6" t="str">
        <f>HYPERLINK("https://www.ti.com/lit/gpn/TPS65136", "PDF")</f>
        <v>PDF</v>
      </c>
      <c r="D3912" s="5" t="s">
        <v>35293</v>
      </c>
      <c r="E3912" s="5" t="s">
        <v>35294</v>
      </c>
      <c r="F3912" s="5" t="s">
        <v>35295</v>
      </c>
      <c r="G3912" s="5" t="s">
        <v>35296</v>
      </c>
      <c r="H3912" s="1" t="s">
        <v>35297</v>
      </c>
      <c r="I3912" s="5" t="s">
        <v>35298</v>
      </c>
      <c r="J3912" s="7">
        <v>16</v>
      </c>
      <c r="K3912" s="7">
        <v>9</v>
      </c>
      <c r="L3912" s="5" t="s">
        <v>35299</v>
      </c>
      <c r="M3912" s="7">
        <v>0.8</v>
      </c>
      <c r="N3912" s="7">
        <v>0.5</v>
      </c>
      <c r="O3912" s="7">
        <v>0.86</v>
      </c>
      <c r="P3912" s="1" t="s">
        <v>35300</v>
      </c>
    </row>
    <row r="3913" spans="1:16" ht="33.4" x14ac:dyDescent="0.3">
      <c r="A3913" s="6" t="str">
        <f>HYPERLINK("https://www.ti.com/product/TPS51727", "TPS51727")</f>
        <v>TPS51727</v>
      </c>
      <c r="B3913" s="5" t="s">
        <v>35301</v>
      </c>
      <c r="C3913" s="6" t="str">
        <f>HYPERLINK("https://www.ti.com/lit/gpn/TPS51727", "PDF")</f>
        <v>PDF</v>
      </c>
      <c r="D3913" s="5" t="s">
        <v>35302</v>
      </c>
      <c r="E3913" s="5" t="s">
        <v>35303</v>
      </c>
      <c r="F3913" s="5" t="s">
        <v>35304</v>
      </c>
      <c r="G3913" s="5" t="s">
        <v>35305</v>
      </c>
      <c r="H3913" s="1" t="s">
        <v>35306</v>
      </c>
      <c r="I3913" s="5" t="s">
        <v>35307</v>
      </c>
      <c r="J3913" s="7">
        <v>40</v>
      </c>
      <c r="K3913" s="7">
        <v>36</v>
      </c>
      <c r="L3913" s="5" t="s">
        <v>35308</v>
      </c>
      <c r="M3913" s="7">
        <v>1</v>
      </c>
      <c r="N3913" s="7">
        <v>0.5</v>
      </c>
      <c r="O3913" s="7">
        <v>1.4470000000000001</v>
      </c>
      <c r="P3913" s="1" t="s">
        <v>35309</v>
      </c>
    </row>
    <row r="3914" spans="1:16" ht="33.4" x14ac:dyDescent="0.3">
      <c r="A3914" s="6" t="str">
        <f>HYPERLINK("https://www.ti.com/product/TLC5946", "TLC5946")</f>
        <v>TLC5946</v>
      </c>
      <c r="B3914" s="5" t="s">
        <v>35310</v>
      </c>
      <c r="C3914" s="6" t="str">
        <f>HYPERLINK("https://www.ti.com/lit/gpn/TLC5946", "PDF")</f>
        <v>PDF</v>
      </c>
      <c r="D3914" s="5" t="s">
        <v>35311</v>
      </c>
      <c r="E3914" s="5" t="s">
        <v>35312</v>
      </c>
      <c r="F3914" s="5"/>
      <c r="G3914" s="5" t="s">
        <v>35313</v>
      </c>
      <c r="H3914" s="1" t="s">
        <v>35314</v>
      </c>
      <c r="I3914" s="5" t="s">
        <v>35315</v>
      </c>
      <c r="J3914" s="7" t="s">
        <v>35316</v>
      </c>
      <c r="K3914" s="7" t="s">
        <v>35317</v>
      </c>
      <c r="L3914" s="5" t="s">
        <v>35318</v>
      </c>
      <c r="M3914" s="7" t="s">
        <v>35319</v>
      </c>
      <c r="N3914" s="7" t="s">
        <v>35320</v>
      </c>
      <c r="O3914" s="7">
        <v>0.91100000000000003</v>
      </c>
      <c r="P3914" s="1" t="s">
        <v>35321</v>
      </c>
    </row>
    <row r="3915" spans="1:16" ht="33.4" x14ac:dyDescent="0.3">
      <c r="A3915" s="6" t="str">
        <f>HYPERLINK("https://www.ti.com/product/UA78M-Q1", "UA78M-Q1")</f>
        <v>UA78M-Q1</v>
      </c>
      <c r="B3915" s="5" t="s">
        <v>35322</v>
      </c>
      <c r="C3915" s="6" t="str">
        <f>HYPERLINK("https://www.ti.com/lit/gpn/UA78M-Q1", "PDF")</f>
        <v>PDF</v>
      </c>
      <c r="D3915" s="5" t="s">
        <v>35323</v>
      </c>
      <c r="E3915" s="5" t="s">
        <v>35324</v>
      </c>
      <c r="F3915" s="5"/>
      <c r="G3915" s="5" t="s">
        <v>35325</v>
      </c>
      <c r="H3915" s="1" t="s">
        <v>35326</v>
      </c>
      <c r="I3915" s="5" t="s">
        <v>35327</v>
      </c>
      <c r="J3915" s="7">
        <v>4</v>
      </c>
      <c r="K3915" s="7">
        <v>45.5</v>
      </c>
      <c r="L3915" s="5" t="s">
        <v>35328</v>
      </c>
      <c r="M3915" s="7">
        <v>1.8</v>
      </c>
      <c r="N3915" s="7">
        <v>2.2999999999999998</v>
      </c>
      <c r="O3915" s="7">
        <v>0.27100000000000002</v>
      </c>
      <c r="P3915" s="1" t="s">
        <v>35329</v>
      </c>
    </row>
    <row r="3916" spans="1:16" ht="33.4" x14ac:dyDescent="0.3">
      <c r="A3916" s="6" t="str">
        <f>HYPERLINK("https://www.ti.com/product/LM22671", "LM22671")</f>
        <v>LM22671</v>
      </c>
      <c r="B3916" s="5" t="s">
        <v>35330</v>
      </c>
      <c r="C3916" s="6" t="str">
        <f>HYPERLINK("https://www.ti.com/lit/gpn/LM22671", "PDF")</f>
        <v>PDF</v>
      </c>
      <c r="D3916" s="5" t="s">
        <v>35331</v>
      </c>
      <c r="E3916" s="5" t="s">
        <v>35332</v>
      </c>
      <c r="F3916" s="5" t="s">
        <v>35333</v>
      </c>
      <c r="G3916" s="5" t="s">
        <v>35334</v>
      </c>
      <c r="H3916" s="1" t="s">
        <v>35335</v>
      </c>
      <c r="I3916" s="5" t="s">
        <v>35336</v>
      </c>
      <c r="J3916" s="7">
        <v>8</v>
      </c>
      <c r="K3916" s="7">
        <v>29.4</v>
      </c>
      <c r="L3916" s="5" t="s">
        <v>35337</v>
      </c>
      <c r="M3916" s="7">
        <v>1.7</v>
      </c>
      <c r="N3916" s="7">
        <v>1.27</v>
      </c>
      <c r="O3916" s="7">
        <v>1.5920000000000001</v>
      </c>
      <c r="P3916" s="1" t="s">
        <v>35338</v>
      </c>
    </row>
    <row r="3917" spans="1:16" ht="33.4" x14ac:dyDescent="0.3">
      <c r="A3917" s="6" t="str">
        <f>HYPERLINK("https://www.ti.com/product/LM22671-Q1", "LM22671-Q1")</f>
        <v>LM22671-Q1</v>
      </c>
      <c r="B3917" s="5" t="s">
        <v>35339</v>
      </c>
      <c r="C3917" s="6" t="str">
        <f>HYPERLINK("https://www.ti.com/lit/gpn/LM22671-Q1", "PDF")</f>
        <v>PDF</v>
      </c>
      <c r="D3917" s="5" t="s">
        <v>35340</v>
      </c>
      <c r="E3917" s="5" t="s">
        <v>35341</v>
      </c>
      <c r="F3917" s="5" t="s">
        <v>35342</v>
      </c>
      <c r="G3917" s="5" t="s">
        <v>35343</v>
      </c>
      <c r="H3917" s="1" t="s">
        <v>35344</v>
      </c>
      <c r="I3917" s="5" t="s">
        <v>35345</v>
      </c>
      <c r="J3917" s="7">
        <v>8</v>
      </c>
      <c r="K3917" s="7">
        <v>29.4</v>
      </c>
      <c r="L3917" s="5" t="s">
        <v>35346</v>
      </c>
      <c r="M3917" s="7">
        <v>1.7</v>
      </c>
      <c r="N3917" s="7">
        <v>1.27</v>
      </c>
      <c r="O3917" s="7">
        <v>1.879</v>
      </c>
      <c r="P3917" s="1" t="s">
        <v>35347</v>
      </c>
    </row>
    <row r="3918" spans="1:16" ht="33.4" x14ac:dyDescent="0.3">
      <c r="A3918" s="6" t="str">
        <f>HYPERLINK("https://www.ti.com/product/LM22672", "LM22672")</f>
        <v>LM22672</v>
      </c>
      <c r="B3918" s="5" t="s">
        <v>35348</v>
      </c>
      <c r="C3918" s="6" t="str">
        <f>HYPERLINK("https://www.ti.com/lit/gpn/LM22672", "PDF")</f>
        <v>PDF</v>
      </c>
      <c r="D3918" s="5" t="s">
        <v>35349</v>
      </c>
      <c r="E3918" s="5" t="s">
        <v>35350</v>
      </c>
      <c r="F3918" s="5" t="s">
        <v>35351</v>
      </c>
      <c r="G3918" s="5" t="s">
        <v>35352</v>
      </c>
      <c r="H3918" s="1" t="s">
        <v>35353</v>
      </c>
      <c r="I3918" s="5" t="s">
        <v>35354</v>
      </c>
      <c r="J3918" s="7">
        <v>8</v>
      </c>
      <c r="K3918" s="7">
        <v>29.4</v>
      </c>
      <c r="L3918" s="5" t="s">
        <v>35355</v>
      </c>
      <c r="M3918" s="7">
        <v>1.7</v>
      </c>
      <c r="N3918" s="7">
        <v>1.27</v>
      </c>
      <c r="O3918" s="7">
        <v>1.794</v>
      </c>
      <c r="P3918" s="1" t="s">
        <v>35356</v>
      </c>
    </row>
    <row r="3919" spans="1:16" ht="33.4" x14ac:dyDescent="0.3">
      <c r="A3919" s="6" t="str">
        <f>HYPERLINK("https://www.ti.com/product/LM22672-Q1", "LM22672-Q1")</f>
        <v>LM22672-Q1</v>
      </c>
      <c r="B3919" s="5" t="s">
        <v>35357</v>
      </c>
      <c r="C3919" s="6" t="str">
        <f>HYPERLINK("https://www.ti.com/lit/gpn/LM22672-Q1", "PDF")</f>
        <v>PDF</v>
      </c>
      <c r="D3919" s="5" t="s">
        <v>35358</v>
      </c>
      <c r="E3919" s="5" t="s">
        <v>35359</v>
      </c>
      <c r="F3919" s="5" t="s">
        <v>35360</v>
      </c>
      <c r="G3919" s="5" t="s">
        <v>35361</v>
      </c>
      <c r="H3919" s="1" t="s">
        <v>35362</v>
      </c>
      <c r="I3919" s="5" t="s">
        <v>35363</v>
      </c>
      <c r="J3919" s="7">
        <v>8</v>
      </c>
      <c r="K3919" s="7">
        <v>29.4</v>
      </c>
      <c r="L3919" s="5" t="s">
        <v>35364</v>
      </c>
      <c r="M3919" s="7">
        <v>1.7</v>
      </c>
      <c r="N3919" s="7">
        <v>1.27</v>
      </c>
      <c r="O3919" s="7">
        <v>2.117</v>
      </c>
      <c r="P3919" s="1" t="s">
        <v>35365</v>
      </c>
    </row>
    <row r="3920" spans="1:16" ht="17.05" x14ac:dyDescent="0.3">
      <c r="A3920" s="6" t="str">
        <f>HYPERLINK("https://www.ti.com/product/TPS2358", "TPS2358")</f>
        <v>TPS2358</v>
      </c>
      <c r="B3920" s="5" t="s">
        <v>35366</v>
      </c>
      <c r="C3920" s="6" t="str">
        <f>HYPERLINK("https://www.ti.com/lit/gpn/TPS2358", "PDF")</f>
        <v>PDF</v>
      </c>
      <c r="D3920" s="5" t="s">
        <v>35367</v>
      </c>
      <c r="E3920" s="5" t="s">
        <v>35368</v>
      </c>
      <c r="F3920" s="5"/>
      <c r="G3920" s="5" t="s">
        <v>35369</v>
      </c>
      <c r="H3920" s="1" t="s">
        <v>35370</v>
      </c>
      <c r="I3920" s="5" t="s">
        <v>35371</v>
      </c>
      <c r="J3920" s="7">
        <v>48</v>
      </c>
      <c r="K3920" s="7">
        <v>49</v>
      </c>
      <c r="L3920" s="5" t="s">
        <v>35372</v>
      </c>
      <c r="M3920" s="7">
        <v>1</v>
      </c>
      <c r="N3920" s="7">
        <v>0.5</v>
      </c>
      <c r="O3920" s="7">
        <v>4.6550000000000002</v>
      </c>
      <c r="P3920" s="1" t="s">
        <v>35373</v>
      </c>
    </row>
    <row r="3921" spans="1:16" ht="33.4" x14ac:dyDescent="0.3">
      <c r="A3921" s="6" t="str">
        <f>HYPERLINK("https://www.ti.com/product/TPS2359", "TPS2359")</f>
        <v>TPS2359</v>
      </c>
      <c r="B3921" s="5" t="s">
        <v>35374</v>
      </c>
      <c r="C3921" s="6" t="str">
        <f>HYPERLINK("https://www.ti.com/lit/gpn/TPS2359", "PDF")</f>
        <v>PDF</v>
      </c>
      <c r="D3921" s="5" t="s">
        <v>35375</v>
      </c>
      <c r="E3921" s="5" t="s">
        <v>35376</v>
      </c>
      <c r="F3921" s="5"/>
      <c r="G3921" s="5" t="s">
        <v>35377</v>
      </c>
      <c r="H3921" s="1" t="s">
        <v>35378</v>
      </c>
      <c r="I3921" s="5" t="s">
        <v>35379</v>
      </c>
      <c r="J3921" s="7">
        <v>36</v>
      </c>
      <c r="K3921" s="7">
        <v>36</v>
      </c>
      <c r="L3921" s="5" t="s">
        <v>35380</v>
      </c>
      <c r="M3921" s="7">
        <v>1</v>
      </c>
      <c r="N3921" s="7">
        <v>0.5</v>
      </c>
      <c r="O3921" s="7">
        <v>5.819</v>
      </c>
      <c r="P3921" s="1" t="s">
        <v>35381</v>
      </c>
    </row>
    <row r="3922" spans="1:16" ht="33.4" x14ac:dyDescent="0.3">
      <c r="A3922" s="6" t="str">
        <f>HYPERLINK("https://www.ti.com/product/LM2738", "LM2738")</f>
        <v>LM2738</v>
      </c>
      <c r="B3922" s="5" t="s">
        <v>35382</v>
      </c>
      <c r="C3922" s="6" t="str">
        <f>HYPERLINK("https://www.ti.com/lit/gpn/LM2738", "PDF")</f>
        <v>PDF</v>
      </c>
      <c r="D3922" s="5" t="s">
        <v>35383</v>
      </c>
      <c r="E3922" s="5" t="s">
        <v>35384</v>
      </c>
      <c r="F3922" s="5" t="s">
        <v>35385</v>
      </c>
      <c r="G3922" s="5" t="s">
        <v>35386</v>
      </c>
      <c r="H3922" s="1" t="s">
        <v>35387</v>
      </c>
      <c r="I3922" s="5" t="s">
        <v>35388</v>
      </c>
      <c r="J3922" s="7">
        <v>8</v>
      </c>
      <c r="K3922" s="7" t="s">
        <v>35389</v>
      </c>
      <c r="L3922" s="5" t="s">
        <v>35390</v>
      </c>
      <c r="M3922" s="7" t="s">
        <v>35391</v>
      </c>
      <c r="N3922" s="7" t="s">
        <v>35392</v>
      </c>
      <c r="O3922" s="7">
        <v>1.47</v>
      </c>
      <c r="P3922" s="1" t="s">
        <v>35393</v>
      </c>
    </row>
    <row r="3923" spans="1:16" ht="33.4" x14ac:dyDescent="0.3">
      <c r="A3923" s="6" t="str">
        <f>HYPERLINK("https://www.ti.com/product/LP3921", "LP3921")</f>
        <v>LP3921</v>
      </c>
      <c r="B3923" s="5" t="s">
        <v>35394</v>
      </c>
      <c r="C3923" s="6" t="str">
        <f>HYPERLINK("https://www.ti.com/lit/gpn/LP3921", "PDF")</f>
        <v>PDF</v>
      </c>
      <c r="D3923" s="5" t="s">
        <v>35395</v>
      </c>
      <c r="E3923" s="5" t="s">
        <v>35396</v>
      </c>
      <c r="F3923" s="5"/>
      <c r="G3923" s="5" t="s">
        <v>35397</v>
      </c>
      <c r="H3923" s="1" t="s">
        <v>35398</v>
      </c>
      <c r="I3923" s="5" t="s">
        <v>35399</v>
      </c>
      <c r="J3923" s="7">
        <v>32</v>
      </c>
      <c r="K3923" s="7">
        <v>25</v>
      </c>
      <c r="L3923" s="5" t="s">
        <v>35400</v>
      </c>
      <c r="M3923" s="7">
        <v>0.8</v>
      </c>
      <c r="N3923" s="7">
        <v>0.5</v>
      </c>
      <c r="O3923" s="7">
        <v>1.3129999999999999</v>
      </c>
      <c r="P3923" s="1" t="s">
        <v>35401</v>
      </c>
    </row>
    <row r="3924" spans="1:16" ht="17.05" x14ac:dyDescent="0.3">
      <c r="A3924" s="6" t="str">
        <f>HYPERLINK("https://www.ti.com/product/UCC27324-Q1", "UCC27324-Q1")</f>
        <v>UCC27324-Q1</v>
      </c>
      <c r="B3924" s="5" t="s">
        <v>35402</v>
      </c>
      <c r="C3924" s="6" t="str">
        <f>HYPERLINK("https://www.ti.com/lit/gpn/UCC27324-Q1", "PDF")</f>
        <v>PDF</v>
      </c>
      <c r="D3924" s="5" t="s">
        <v>35403</v>
      </c>
      <c r="E3924" s="5" t="s">
        <v>35404</v>
      </c>
      <c r="F3924" s="5"/>
      <c r="G3924" s="5" t="s">
        <v>35405</v>
      </c>
      <c r="H3924" s="1" t="s">
        <v>35406</v>
      </c>
      <c r="I3924" s="5" t="s">
        <v>35407</v>
      </c>
      <c r="J3924" s="7">
        <v>8</v>
      </c>
      <c r="K3924" s="7">
        <v>29.4</v>
      </c>
      <c r="L3924" s="5" t="s">
        <v>35408</v>
      </c>
      <c r="M3924" s="7">
        <v>1.75</v>
      </c>
      <c r="N3924" s="7">
        <v>1.27</v>
      </c>
      <c r="O3924" s="7">
        <v>0.62</v>
      </c>
      <c r="P3924" s="1" t="s">
        <v>35409</v>
      </c>
    </row>
    <row r="3925" spans="1:16" ht="33.4" x14ac:dyDescent="0.3">
      <c r="A3925" s="6" t="str">
        <f>HYPERLINK("https://www.ti.com/product/LM2854", "LM2854")</f>
        <v>LM2854</v>
      </c>
      <c r="B3925" s="5" t="s">
        <v>35410</v>
      </c>
      <c r="C3925" s="6" t="str">
        <f>HYPERLINK("https://www.ti.com/lit/gpn/LM2854", "PDF")</f>
        <v>PDF</v>
      </c>
      <c r="D3925" s="5" t="s">
        <v>35411</v>
      </c>
      <c r="E3925" s="5" t="s">
        <v>35412</v>
      </c>
      <c r="F3925" s="5" t="s">
        <v>35413</v>
      </c>
      <c r="G3925" s="5" t="s">
        <v>35414</v>
      </c>
      <c r="H3925" s="1" t="s">
        <v>35415</v>
      </c>
      <c r="I3925" s="5" t="s">
        <v>35416</v>
      </c>
      <c r="J3925" s="7">
        <v>16</v>
      </c>
      <c r="K3925" s="7">
        <v>32</v>
      </c>
      <c r="L3925" s="5" t="s">
        <v>35417</v>
      </c>
      <c r="M3925" s="7">
        <v>1.2</v>
      </c>
      <c r="N3925" s="7">
        <v>0.65</v>
      </c>
      <c r="O3925" s="7">
        <v>2.1850000000000001</v>
      </c>
      <c r="P3925" s="1" t="s">
        <v>35418</v>
      </c>
    </row>
    <row r="3926" spans="1:16" ht="33.4" x14ac:dyDescent="0.3">
      <c r="A3926" s="6" t="str">
        <f>HYPERLINK("https://www.ti.com/product/LM5025C", "LM5025C")</f>
        <v>LM5025C</v>
      </c>
      <c r="B3926" s="5" t="s">
        <v>35419</v>
      </c>
      <c r="C3926" s="6" t="str">
        <f>HYPERLINK("https://www.ti.com/lit/gpn/LM5025C", "PDF")</f>
        <v>PDF</v>
      </c>
      <c r="D3926" s="5" t="s">
        <v>35420</v>
      </c>
      <c r="E3926" s="5" t="s">
        <v>35421</v>
      </c>
      <c r="F3926" s="5" t="s">
        <v>35422</v>
      </c>
      <c r="G3926" s="5" t="s">
        <v>35423</v>
      </c>
      <c r="H3926" s="1" t="s">
        <v>35424</v>
      </c>
      <c r="I3926" s="5" t="s">
        <v>35425</v>
      </c>
      <c r="J3926" s="7">
        <v>16</v>
      </c>
      <c r="K3926" s="7">
        <v>32</v>
      </c>
      <c r="L3926" s="5" t="s">
        <v>35426</v>
      </c>
      <c r="M3926" s="7">
        <v>1.2</v>
      </c>
      <c r="N3926" s="7">
        <v>0.65</v>
      </c>
      <c r="O3926" s="7">
        <v>1.389</v>
      </c>
      <c r="P3926" s="1" t="s">
        <v>35427</v>
      </c>
    </row>
    <row r="3927" spans="1:16" ht="33.4" x14ac:dyDescent="0.3">
      <c r="A3927" s="6" t="str">
        <f>HYPERLINK("https://www.ti.com/product/TPS799-Q1", "TPS799-Q1")</f>
        <v>TPS799-Q1</v>
      </c>
      <c r="B3927" s="5" t="s">
        <v>35428</v>
      </c>
      <c r="C3927" s="6" t="str">
        <f>HYPERLINK("https://www.ti.com/lit/gpn/TPS799-Q1", "PDF")</f>
        <v>PDF</v>
      </c>
      <c r="D3927" s="5" t="s">
        <v>35429</v>
      </c>
      <c r="E3927" s="5" t="s">
        <v>35430</v>
      </c>
      <c r="F3927" s="5"/>
      <c r="G3927" s="5" t="s">
        <v>35431</v>
      </c>
      <c r="H3927" s="1" t="s">
        <v>35432</v>
      </c>
      <c r="I3927" s="5" t="s">
        <v>35433</v>
      </c>
      <c r="J3927" s="7" t="s">
        <v>35434</v>
      </c>
      <c r="K3927" s="7" t="s">
        <v>35435</v>
      </c>
      <c r="L3927" s="5" t="s">
        <v>35436</v>
      </c>
      <c r="M3927" s="7" t="s">
        <v>35437</v>
      </c>
      <c r="N3927" s="7" t="s">
        <v>35438</v>
      </c>
      <c r="O3927" s="7">
        <v>0.34</v>
      </c>
      <c r="P3927" s="1" t="s">
        <v>35439</v>
      </c>
    </row>
    <row r="3928" spans="1:16" ht="33.4" x14ac:dyDescent="0.3">
      <c r="A3928" s="6" t="str">
        <f>HYPERLINK("https://www.ti.com/product/PTD08A020W", "PTD08A020W")</f>
        <v>PTD08A020W</v>
      </c>
      <c r="B3928" s="5" t="s">
        <v>35440</v>
      </c>
      <c r="C3928" s="6" t="str">
        <f>HYPERLINK("https://www.ti.com/lit/gpn/PTD08A020W", "PDF")</f>
        <v>PDF</v>
      </c>
      <c r="D3928" s="5" t="s">
        <v>35441</v>
      </c>
      <c r="E3928" s="5" t="s">
        <v>35442</v>
      </c>
      <c r="F3928" s="5" t="s">
        <v>35443</v>
      </c>
      <c r="G3928" s="5" t="s">
        <v>35444</v>
      </c>
      <c r="H3928" s="1" t="s">
        <v>35445</v>
      </c>
      <c r="I3928" s="5" t="s">
        <v>35446</v>
      </c>
      <c r="J3928" s="7">
        <v>12</v>
      </c>
      <c r="K3928" s="7">
        <v>524.22260000000006</v>
      </c>
      <c r="L3928" s="5" t="s">
        <v>35447</v>
      </c>
      <c r="M3928" s="7">
        <v>9.65</v>
      </c>
      <c r="N3928" s="7">
        <v>1.27</v>
      </c>
      <c r="O3928" s="7">
        <v>24.225999999999999</v>
      </c>
      <c r="P3928" s="1" t="s">
        <v>35448</v>
      </c>
    </row>
    <row r="3929" spans="1:16" ht="49.75" x14ac:dyDescent="0.3">
      <c r="A3929" s="6" t="str">
        <f>HYPERLINK("https://www.ti.com/product/UCC28070", "UCC28070")</f>
        <v>UCC28070</v>
      </c>
      <c r="B3929" s="5" t="s">
        <v>35449</v>
      </c>
      <c r="C3929" s="6" t="str">
        <f>HYPERLINK("https://www.ti.com/lit/gpn/UCC28070", "PDF")</f>
        <v>PDF</v>
      </c>
      <c r="D3929" s="5" t="s">
        <v>35450</v>
      </c>
      <c r="E3929" s="5" t="s">
        <v>35451</v>
      </c>
      <c r="F3929" s="5" t="s">
        <v>35452</v>
      </c>
      <c r="G3929" s="5" t="s">
        <v>35453</v>
      </c>
      <c r="H3929" s="1" t="s">
        <v>35454</v>
      </c>
      <c r="I3929" s="5" t="s">
        <v>35455</v>
      </c>
      <c r="J3929" s="7">
        <v>20</v>
      </c>
      <c r="K3929" s="7" t="s">
        <v>35456</v>
      </c>
      <c r="L3929" s="5" t="s">
        <v>35457</v>
      </c>
      <c r="M3929" s="7" t="s">
        <v>35458</v>
      </c>
      <c r="N3929" s="7" t="s">
        <v>35459</v>
      </c>
      <c r="O3929" s="7">
        <v>1.694</v>
      </c>
      <c r="P3929" s="1" t="s">
        <v>35460</v>
      </c>
    </row>
    <row r="3930" spans="1:16" ht="33.4" x14ac:dyDescent="0.3">
      <c r="A3930" s="6" t="str">
        <f>HYPERLINK("https://www.ti.com/product/TPS60255", "TPS60255")</f>
        <v>TPS60255</v>
      </c>
      <c r="B3930" s="5" t="s">
        <v>35461</v>
      </c>
      <c r="C3930" s="6" t="str">
        <f>HYPERLINK("https://www.ti.com/lit/gpn/TPS60255", "PDF")</f>
        <v>PDF</v>
      </c>
      <c r="D3930" s="5" t="s">
        <v>35462</v>
      </c>
      <c r="E3930" s="5" t="s">
        <v>35463</v>
      </c>
      <c r="F3930" s="5" t="s">
        <v>35464</v>
      </c>
      <c r="G3930" s="5" t="s">
        <v>35465</v>
      </c>
      <c r="H3930" s="1" t="s">
        <v>35466</v>
      </c>
      <c r="I3930" s="5" t="s">
        <v>35467</v>
      </c>
      <c r="J3930" s="7">
        <v>16</v>
      </c>
      <c r="K3930" s="7">
        <v>9</v>
      </c>
      <c r="L3930" s="5" t="s">
        <v>35468</v>
      </c>
      <c r="M3930" s="7">
        <v>0.8</v>
      </c>
      <c r="N3930" s="7">
        <v>0.5</v>
      </c>
      <c r="O3930" s="7">
        <v>0.73899999999999999</v>
      </c>
      <c r="P3930" s="1" t="s">
        <v>35469</v>
      </c>
    </row>
    <row r="3931" spans="1:16" ht="33.4" x14ac:dyDescent="0.3">
      <c r="A3931" s="6" t="str">
        <f>HYPERLINK("https://www.ti.com/product/TPS780", "TPS780")</f>
        <v>TPS780</v>
      </c>
      <c r="B3931" s="5" t="s">
        <v>35470</v>
      </c>
      <c r="C3931" s="6" t="str">
        <f>HYPERLINK("https://www.ti.com/lit/gpn/TPS780", "PDF")</f>
        <v>PDF</v>
      </c>
      <c r="D3931" s="5" t="s">
        <v>35471</v>
      </c>
      <c r="E3931" s="5" t="s">
        <v>35472</v>
      </c>
      <c r="F3931" s="5"/>
      <c r="G3931" s="5" t="s">
        <v>35473</v>
      </c>
      <c r="H3931" s="1" t="s">
        <v>35474</v>
      </c>
      <c r="I3931" s="5" t="s">
        <v>35475</v>
      </c>
      <c r="J3931" s="7" t="s">
        <v>35476</v>
      </c>
      <c r="K3931" s="7" t="s">
        <v>35477</v>
      </c>
      <c r="L3931" s="5" t="s">
        <v>35478</v>
      </c>
      <c r="M3931" s="7" t="s">
        <v>35479</v>
      </c>
      <c r="N3931" s="7" t="s">
        <v>35480</v>
      </c>
      <c r="O3931" s="7">
        <v>0.248</v>
      </c>
      <c r="P3931" s="1" t="s">
        <v>35481</v>
      </c>
    </row>
    <row r="3932" spans="1:16" ht="33.4" x14ac:dyDescent="0.3">
      <c r="A3932" s="6" t="str">
        <f>HYPERLINK("https://www.ti.com/product/TPS781", "TPS781")</f>
        <v>TPS781</v>
      </c>
      <c r="B3932" s="5" t="s">
        <v>35482</v>
      </c>
      <c r="C3932" s="6" t="str">
        <f>HYPERLINK("https://www.ti.com/lit/gpn/TPS781", "PDF")</f>
        <v>PDF</v>
      </c>
      <c r="D3932" s="5" t="s">
        <v>35483</v>
      </c>
      <c r="E3932" s="5" t="s">
        <v>35484</v>
      </c>
      <c r="F3932" s="5"/>
      <c r="G3932" s="5" t="s">
        <v>35485</v>
      </c>
      <c r="H3932" s="1" t="s">
        <v>35486</v>
      </c>
      <c r="I3932" s="5" t="s">
        <v>35487</v>
      </c>
      <c r="J3932" s="7" t="s">
        <v>35488</v>
      </c>
      <c r="K3932" s="7" t="s">
        <v>35489</v>
      </c>
      <c r="L3932" s="5" t="s">
        <v>35490</v>
      </c>
      <c r="M3932" s="7" t="s">
        <v>35491</v>
      </c>
      <c r="N3932" s="7" t="s">
        <v>35492</v>
      </c>
      <c r="O3932" s="7">
        <v>0.248</v>
      </c>
      <c r="P3932" s="1" t="s">
        <v>35493</v>
      </c>
    </row>
    <row r="3933" spans="1:16" ht="49.75" x14ac:dyDescent="0.3">
      <c r="A3933" s="6" t="str">
        <f>HYPERLINK("https://www.ti.com/product/LM3423", "LM3423")</f>
        <v>LM3423</v>
      </c>
      <c r="B3933" s="5" t="s">
        <v>35494</v>
      </c>
      <c r="C3933" s="6" t="str">
        <f>HYPERLINK("https://www.ti.com/lit/gpn/LM3423", "PDF")</f>
        <v>PDF</v>
      </c>
      <c r="D3933" s="5" t="s">
        <v>35495</v>
      </c>
      <c r="E3933" s="5" t="s">
        <v>35496</v>
      </c>
      <c r="F3933" s="5" t="s">
        <v>35497</v>
      </c>
      <c r="G3933" s="5" t="s">
        <v>35498</v>
      </c>
      <c r="H3933" s="1" t="s">
        <v>35499</v>
      </c>
      <c r="I3933" s="5" t="s">
        <v>35500</v>
      </c>
      <c r="J3933" s="7">
        <v>20</v>
      </c>
      <c r="K3933" s="7">
        <v>41.6</v>
      </c>
      <c r="L3933" s="5" t="s">
        <v>35501</v>
      </c>
      <c r="M3933" s="7">
        <v>1.2</v>
      </c>
      <c r="N3933" s="7">
        <v>0.65</v>
      </c>
      <c r="O3933" s="7">
        <v>1.42</v>
      </c>
      <c r="P3933" s="1" t="s">
        <v>35502</v>
      </c>
    </row>
    <row r="3934" spans="1:16" ht="49.75" x14ac:dyDescent="0.3">
      <c r="A3934" s="6" t="str">
        <f>HYPERLINK("https://www.ti.com/product/LM3423-Q1", "LM3423-Q1")</f>
        <v>LM3423-Q1</v>
      </c>
      <c r="B3934" s="5" t="s">
        <v>35503</v>
      </c>
      <c r="C3934" s="6" t="str">
        <f>HYPERLINK("https://www.ti.com/lit/gpn/LM3423-Q1", "PDF")</f>
        <v>PDF</v>
      </c>
      <c r="D3934" s="5" t="s">
        <v>35504</v>
      </c>
      <c r="E3934" s="5" t="s">
        <v>35505</v>
      </c>
      <c r="F3934" s="5" t="s">
        <v>35506</v>
      </c>
      <c r="G3934" s="5" t="s">
        <v>35507</v>
      </c>
      <c r="H3934" s="1" t="s">
        <v>35508</v>
      </c>
      <c r="I3934" s="5" t="s">
        <v>35509</v>
      </c>
      <c r="J3934" s="7">
        <v>20</v>
      </c>
      <c r="K3934" s="7">
        <v>41.6</v>
      </c>
      <c r="L3934" s="5" t="s">
        <v>35510</v>
      </c>
      <c r="M3934" s="7">
        <v>1.2</v>
      </c>
      <c r="N3934" s="7">
        <v>0.65</v>
      </c>
      <c r="O3934" s="7">
        <v>1.2</v>
      </c>
      <c r="P3934" s="1" t="s">
        <v>35511</v>
      </c>
    </row>
    <row r="3935" spans="1:16" ht="33.4" x14ac:dyDescent="0.3">
      <c r="A3935" s="6" t="str">
        <f>HYPERLINK("https://www.ti.com/product/TPS62291", "TPS62291")</f>
        <v>TPS62291</v>
      </c>
      <c r="B3935" s="5" t="s">
        <v>35512</v>
      </c>
      <c r="C3935" s="6" t="str">
        <f>HYPERLINK("https://www.ti.com/lit/gpn/TPS62291", "PDF")</f>
        <v>PDF</v>
      </c>
      <c r="D3935" s="5" t="s">
        <v>35513</v>
      </c>
      <c r="E3935" s="5" t="s">
        <v>35514</v>
      </c>
      <c r="F3935" s="5" t="s">
        <v>35515</v>
      </c>
      <c r="G3935" s="5" t="s">
        <v>35516</v>
      </c>
      <c r="H3935" s="1" t="s">
        <v>35517</v>
      </c>
      <c r="I3935" s="5" t="s">
        <v>35518</v>
      </c>
      <c r="J3935" s="7">
        <v>6</v>
      </c>
      <c r="K3935" s="7">
        <v>4</v>
      </c>
      <c r="L3935" s="5" t="s">
        <v>35519</v>
      </c>
      <c r="M3935" s="7">
        <v>0.8</v>
      </c>
      <c r="N3935" s="7">
        <v>0.65</v>
      </c>
      <c r="O3935" s="7">
        <v>0.71299999999999997</v>
      </c>
      <c r="P3935" s="1" t="s">
        <v>35520</v>
      </c>
    </row>
    <row r="3936" spans="1:16" ht="33.4" x14ac:dyDescent="0.3">
      <c r="A3936" s="6" t="str">
        <f>HYPERLINK("https://www.ti.com/product/LM34917A", "LM34917A")</f>
        <v>LM34917A</v>
      </c>
      <c r="B3936" s="5" t="s">
        <v>35521</v>
      </c>
      <c r="C3936" s="6" t="str">
        <f>HYPERLINK("https://www.ti.com/lit/gpn/LM34917A", "PDF")</f>
        <v>PDF</v>
      </c>
      <c r="D3936" s="5" t="s">
        <v>35522</v>
      </c>
      <c r="E3936" s="5" t="s">
        <v>35523</v>
      </c>
      <c r="F3936" s="5" t="s">
        <v>35524</v>
      </c>
      <c r="G3936" s="5" t="s">
        <v>35525</v>
      </c>
      <c r="H3936" s="1" t="s">
        <v>35526</v>
      </c>
      <c r="I3936" s="5" t="s">
        <v>35527</v>
      </c>
      <c r="J3936" s="7">
        <v>12</v>
      </c>
      <c r="K3936" s="7">
        <v>3.9375</v>
      </c>
      <c r="L3936" s="5" t="s">
        <v>35528</v>
      </c>
      <c r="M3936" s="7">
        <v>0.67500000000000004</v>
      </c>
      <c r="N3936" s="7">
        <v>0.5</v>
      </c>
      <c r="O3936" s="7">
        <v>1.5029999999999999</v>
      </c>
      <c r="P3936" s="1" t="s">
        <v>35529</v>
      </c>
    </row>
    <row r="3937" spans="1:16" ht="33.4" x14ac:dyDescent="0.3">
      <c r="A3937" s="6" t="str">
        <f>HYPERLINK("https://www.ti.com/product/TPS40210", "TPS40210")</f>
        <v>TPS40210</v>
      </c>
      <c r="B3937" s="5" t="s">
        <v>35530</v>
      </c>
      <c r="C3937" s="6" t="str">
        <f>HYPERLINK("https://www.ti.com/lit/gpn/TPS40210", "PDF")</f>
        <v>PDF</v>
      </c>
      <c r="D3937" s="5" t="s">
        <v>35531</v>
      </c>
      <c r="E3937" s="5" t="s">
        <v>35532</v>
      </c>
      <c r="F3937" s="5" t="s">
        <v>35533</v>
      </c>
      <c r="G3937" s="5" t="s">
        <v>35534</v>
      </c>
      <c r="H3937" s="1" t="s">
        <v>35535</v>
      </c>
      <c r="I3937" s="5" t="s">
        <v>35536</v>
      </c>
      <c r="J3937" s="7">
        <v>10</v>
      </c>
      <c r="K3937" s="7" t="s">
        <v>35537</v>
      </c>
      <c r="L3937" s="5" t="s">
        <v>35538</v>
      </c>
      <c r="M3937" s="7" t="s">
        <v>35539</v>
      </c>
      <c r="N3937" s="7">
        <v>0.5</v>
      </c>
      <c r="O3937" s="7">
        <v>0.90500000000000003</v>
      </c>
      <c r="P3937" s="1" t="s">
        <v>35540</v>
      </c>
    </row>
    <row r="3938" spans="1:16" ht="33.4" x14ac:dyDescent="0.3">
      <c r="A3938" s="6" t="str">
        <f>HYPERLINK("https://www.ti.com/product/TPS40211", "TPS40211")</f>
        <v>TPS40211</v>
      </c>
      <c r="B3938" s="5" t="s">
        <v>35541</v>
      </c>
      <c r="C3938" s="6" t="str">
        <f>HYPERLINK("https://www.ti.com/lit/gpn/TPS40211", "PDF")</f>
        <v>PDF</v>
      </c>
      <c r="D3938" s="5" t="s">
        <v>35542</v>
      </c>
      <c r="E3938" s="5" t="s">
        <v>35543</v>
      </c>
      <c r="F3938" s="5" t="s">
        <v>35544</v>
      </c>
      <c r="G3938" s="5" t="s">
        <v>35545</v>
      </c>
      <c r="H3938" s="1" t="s">
        <v>35546</v>
      </c>
      <c r="I3938" s="5" t="s">
        <v>35547</v>
      </c>
      <c r="J3938" s="7">
        <v>10</v>
      </c>
      <c r="K3938" s="7" t="s">
        <v>35548</v>
      </c>
      <c r="L3938" s="5" t="s">
        <v>35549</v>
      </c>
      <c r="M3938" s="7" t="s">
        <v>35550</v>
      </c>
      <c r="N3938" s="7">
        <v>0.5</v>
      </c>
      <c r="O3938" s="7">
        <v>0.67300000000000004</v>
      </c>
      <c r="P3938" s="1" t="s">
        <v>35551</v>
      </c>
    </row>
    <row r="3939" spans="1:16" ht="33.4" x14ac:dyDescent="0.3">
      <c r="A3939" s="6" t="str">
        <f>HYPERLINK("https://www.ti.com/product/LM2830-Q1", "LM2830-Q1")</f>
        <v>LM2830-Q1</v>
      </c>
      <c r="B3939" s="5" t="s">
        <v>35552</v>
      </c>
      <c r="C3939" s="6" t="str">
        <f>HYPERLINK("https://www.ti.com/lit/gpn/LM2830-Q1", "PDF")</f>
        <v>PDF</v>
      </c>
      <c r="D3939" s="5" t="s">
        <v>35553</v>
      </c>
      <c r="E3939" s="5" t="s">
        <v>35554</v>
      </c>
      <c r="F3939" s="5" t="s">
        <v>35555</v>
      </c>
      <c r="G3939" s="5" t="s">
        <v>35556</v>
      </c>
      <c r="H3939" s="1" t="s">
        <v>35557</v>
      </c>
      <c r="I3939" s="5" t="s">
        <v>35558</v>
      </c>
      <c r="J3939" s="7">
        <v>5</v>
      </c>
      <c r="K3939" s="7">
        <v>8.1199999999999992</v>
      </c>
      <c r="L3939" s="5" t="s">
        <v>35559</v>
      </c>
      <c r="M3939" s="7">
        <v>1.45</v>
      </c>
      <c r="N3939" s="7">
        <v>0.95</v>
      </c>
      <c r="O3939" s="7">
        <v>0.80600000000000005</v>
      </c>
      <c r="P3939" s="1" t="s">
        <v>35560</v>
      </c>
    </row>
    <row r="3940" spans="1:16" ht="17.05" x14ac:dyDescent="0.3">
      <c r="A3940" s="6" t="str">
        <f>HYPERLINK("https://www.ti.com/product/LM3880-Q1", "LM3880-Q1")</f>
        <v>LM3880-Q1</v>
      </c>
      <c r="B3940" s="5" t="s">
        <v>35561</v>
      </c>
      <c r="C3940" s="6" t="str">
        <f>HYPERLINK("https://www.ti.com/lit/gpn/LM3880-Q1", "PDF")</f>
        <v>PDF</v>
      </c>
      <c r="D3940" s="5" t="s">
        <v>35562</v>
      </c>
      <c r="E3940" s="5" t="s">
        <v>35563</v>
      </c>
      <c r="F3940" s="5"/>
      <c r="G3940" s="5" t="s">
        <v>35564</v>
      </c>
      <c r="H3940" s="1" t="s">
        <v>35565</v>
      </c>
      <c r="I3940" s="5" t="s">
        <v>35566</v>
      </c>
      <c r="J3940" s="7">
        <v>6</v>
      </c>
      <c r="K3940" s="7">
        <v>8.1199999999999992</v>
      </c>
      <c r="L3940" s="5" t="s">
        <v>35567</v>
      </c>
      <c r="M3940" s="7">
        <v>1.45</v>
      </c>
      <c r="N3940" s="7">
        <v>0.95</v>
      </c>
      <c r="O3940" s="7">
        <v>0.38900000000000001</v>
      </c>
      <c r="P3940" s="1" t="s">
        <v>35568</v>
      </c>
    </row>
    <row r="3941" spans="1:16" ht="33.4" x14ac:dyDescent="0.3">
      <c r="A3941" s="6" t="str">
        <f>HYPERLINK("https://www.ti.com/product/TPS62263", "TPS62263")</f>
        <v>TPS62263</v>
      </c>
      <c r="B3941" s="5" t="s">
        <v>35569</v>
      </c>
      <c r="C3941" s="6" t="str">
        <f>HYPERLINK("https://www.ti.com/lit/gpn/TPS62263", "PDF")</f>
        <v>PDF</v>
      </c>
      <c r="D3941" s="5" t="s">
        <v>35570</v>
      </c>
      <c r="E3941" s="5" t="s">
        <v>35571</v>
      </c>
      <c r="F3941" s="5" t="s">
        <v>35572</v>
      </c>
      <c r="G3941" s="5" t="s">
        <v>35573</v>
      </c>
      <c r="H3941" s="1" t="s">
        <v>35574</v>
      </c>
      <c r="I3941" s="5" t="s">
        <v>35575</v>
      </c>
      <c r="J3941" s="7">
        <v>6</v>
      </c>
      <c r="K3941" s="7">
        <v>4</v>
      </c>
      <c r="L3941" s="5" t="s">
        <v>35576</v>
      </c>
      <c r="M3941" s="7">
        <v>0.8</v>
      </c>
      <c r="N3941" s="7">
        <v>0.65</v>
      </c>
      <c r="O3941" s="7">
        <v>0.56000000000000005</v>
      </c>
      <c r="P3941" s="1" t="s">
        <v>35577</v>
      </c>
    </row>
    <row r="3942" spans="1:16" ht="33.4" x14ac:dyDescent="0.3">
      <c r="A3942" s="6" t="str">
        <f>HYPERLINK("https://www.ti.com/product/LM2734Z-Q1", "LM2734Z-Q1")</f>
        <v>LM2734Z-Q1</v>
      </c>
      <c r="B3942" s="5" t="s">
        <v>35578</v>
      </c>
      <c r="C3942" s="6" t="str">
        <f>HYPERLINK("https://www.ti.com/lit/gpn/LM2734Z-Q1", "PDF")</f>
        <v>PDF</v>
      </c>
      <c r="D3942" s="5" t="s">
        <v>35579</v>
      </c>
      <c r="E3942" s="5" t="s">
        <v>35580</v>
      </c>
      <c r="F3942" s="5" t="s">
        <v>35581</v>
      </c>
      <c r="G3942" s="5" t="s">
        <v>35582</v>
      </c>
      <c r="H3942" s="1" t="s">
        <v>35583</v>
      </c>
      <c r="I3942" s="5" t="s">
        <v>35584</v>
      </c>
      <c r="J3942" s="7">
        <v>6</v>
      </c>
      <c r="K3942" s="7" t="s">
        <v>35585</v>
      </c>
      <c r="L3942" s="5" t="s">
        <v>35586</v>
      </c>
      <c r="M3942" s="7" t="s">
        <v>35587</v>
      </c>
      <c r="N3942" s="7">
        <v>0.95</v>
      </c>
      <c r="O3942" s="7">
        <v>2.3980000000000001</v>
      </c>
      <c r="P3942" s="1" t="s">
        <v>35588</v>
      </c>
    </row>
    <row r="3943" spans="1:16" ht="33.4" x14ac:dyDescent="0.3">
      <c r="A3943" s="6" t="str">
        <f>HYPERLINK("https://www.ti.com/product/PTD08A010W", "PTD08A010W")</f>
        <v>PTD08A010W</v>
      </c>
      <c r="B3943" s="5" t="s">
        <v>35589</v>
      </c>
      <c r="C3943" s="6" t="str">
        <f>HYPERLINK("https://www.ti.com/lit/gpn/PTD08A010W", "PDF")</f>
        <v>PDF</v>
      </c>
      <c r="D3943" s="5" t="s">
        <v>35590</v>
      </c>
      <c r="E3943" s="5" t="s">
        <v>35591</v>
      </c>
      <c r="F3943" s="5" t="s">
        <v>35592</v>
      </c>
      <c r="G3943" s="5" t="s">
        <v>35593</v>
      </c>
      <c r="H3943" s="1" t="s">
        <v>35594</v>
      </c>
      <c r="I3943" s="5" t="s">
        <v>35595</v>
      </c>
      <c r="J3943" s="7">
        <v>12</v>
      </c>
      <c r="K3943" s="7">
        <v>334.19439999999997</v>
      </c>
      <c r="L3943" s="5" t="s">
        <v>35596</v>
      </c>
      <c r="M3943" s="7">
        <v>8</v>
      </c>
      <c r="N3943" s="7">
        <v>1.27</v>
      </c>
      <c r="O3943" s="7">
        <v>13.231</v>
      </c>
      <c r="P3943" s="1" t="s">
        <v>35597</v>
      </c>
    </row>
    <row r="3944" spans="1:16" ht="33.4" x14ac:dyDescent="0.3">
      <c r="A3944" s="6" t="str">
        <f>HYPERLINK("https://www.ti.com/product/TPS53124", "TPS53124")</f>
        <v>TPS53124</v>
      </c>
      <c r="B3944" s="5" t="s">
        <v>35598</v>
      </c>
      <c r="C3944" s="6" t="str">
        <f>HYPERLINK("https://www.ti.com/lit/gpn/TPS53124", "PDF")</f>
        <v>PDF</v>
      </c>
      <c r="D3944" s="5" t="s">
        <v>35599</v>
      </c>
      <c r="E3944" s="5" t="s">
        <v>35600</v>
      </c>
      <c r="F3944" s="5" t="s">
        <v>35601</v>
      </c>
      <c r="G3944" s="5" t="s">
        <v>35602</v>
      </c>
      <c r="H3944" s="1" t="s">
        <v>35603</v>
      </c>
      <c r="I3944" s="5" t="s">
        <v>35604</v>
      </c>
      <c r="J3944" s="7" t="s">
        <v>35605</v>
      </c>
      <c r="K3944" s="7" t="s">
        <v>35606</v>
      </c>
      <c r="L3944" s="5" t="s">
        <v>35607</v>
      </c>
      <c r="M3944" s="7" t="s">
        <v>35608</v>
      </c>
      <c r="N3944" s="7" t="s">
        <v>35609</v>
      </c>
      <c r="O3944" s="7">
        <v>1.2290000000000001</v>
      </c>
      <c r="P3944" s="1" t="s">
        <v>35610</v>
      </c>
    </row>
    <row r="3945" spans="1:16" ht="66.150000000000006" x14ac:dyDescent="0.3">
      <c r="A3945" s="6" t="str">
        <f>HYPERLINK("https://www.ti.com/product/LM117HVQML-SP", "LM117HVQML-SP")</f>
        <v>LM117HVQML-SP</v>
      </c>
      <c r="B3945" s="5" t="s">
        <v>35611</v>
      </c>
      <c r="C3945" s="6" t="str">
        <f>HYPERLINK("https://www.ti.com/lit/gpn/LM117HVQML-SP", "PDF")</f>
        <v>PDF</v>
      </c>
      <c r="D3945" s="5" t="s">
        <v>35612</v>
      </c>
      <c r="E3945" s="5" t="s">
        <v>35613</v>
      </c>
      <c r="F3945" s="5"/>
      <c r="G3945" s="5" t="s">
        <v>35614</v>
      </c>
      <c r="H3945" s="1" t="s">
        <v>35615</v>
      </c>
      <c r="I3945" s="5" t="s">
        <v>35616</v>
      </c>
      <c r="J3945" s="7" t="s">
        <v>35617</v>
      </c>
      <c r="K3945" s="7" t="s">
        <v>35618</v>
      </c>
      <c r="L3945" s="5" t="s">
        <v>35619</v>
      </c>
      <c r="M3945" s="7" t="s">
        <v>35620</v>
      </c>
      <c r="N3945" s="7" t="s">
        <v>35621</v>
      </c>
      <c r="O3945" s="7">
        <v>527.40499999999997</v>
      </c>
      <c r="P3945" s="1" t="s">
        <v>35622</v>
      </c>
    </row>
    <row r="3946" spans="1:16" ht="33.4" x14ac:dyDescent="0.3">
      <c r="A3946" s="6" t="str">
        <f>HYPERLINK("https://www.ti.com/product/TLC59116", "TLC59116")</f>
        <v>TLC59116</v>
      </c>
      <c r="B3946" s="5" t="s">
        <v>35623</v>
      </c>
      <c r="C3946" s="6" t="str">
        <f>HYPERLINK("https://www.ti.com/lit/gpn/TLC59116", "PDF")</f>
        <v>PDF</v>
      </c>
      <c r="D3946" s="5" t="s">
        <v>35624</v>
      </c>
      <c r="E3946" s="5" t="s">
        <v>35625</v>
      </c>
      <c r="F3946" s="5" t="s">
        <v>35626</v>
      </c>
      <c r="G3946" s="5" t="s">
        <v>35627</v>
      </c>
      <c r="H3946" s="1" t="s">
        <v>35628</v>
      </c>
      <c r="I3946" s="5" t="s">
        <v>35629</v>
      </c>
      <c r="J3946" s="7" t="s">
        <v>35630</v>
      </c>
      <c r="K3946" s="7" t="s">
        <v>35631</v>
      </c>
      <c r="L3946" s="5" t="s">
        <v>35632</v>
      </c>
      <c r="M3946" s="7" t="s">
        <v>35633</v>
      </c>
      <c r="N3946" s="7" t="s">
        <v>35634</v>
      </c>
      <c r="O3946" s="7">
        <v>0.92200000000000004</v>
      </c>
      <c r="P3946" s="1" t="s">
        <v>35635</v>
      </c>
    </row>
    <row r="3947" spans="1:16" ht="33.4" x14ac:dyDescent="0.3">
      <c r="A3947" s="6" t="str">
        <f>HYPERLINK("https://www.ti.com/product/TPS62560", "TPS62560")</f>
        <v>TPS62560</v>
      </c>
      <c r="B3947" s="5" t="s">
        <v>35636</v>
      </c>
      <c r="C3947" s="6" t="str">
        <f>HYPERLINK("https://www.ti.com/lit/gpn/TPS62560", "PDF")</f>
        <v>PDF</v>
      </c>
      <c r="D3947" s="5" t="s">
        <v>35637</v>
      </c>
      <c r="E3947" s="5" t="s">
        <v>35638</v>
      </c>
      <c r="F3947" s="5" t="s">
        <v>35639</v>
      </c>
      <c r="G3947" s="5" t="s">
        <v>35640</v>
      </c>
      <c r="H3947" s="1" t="s">
        <v>35641</v>
      </c>
      <c r="I3947" s="5" t="s">
        <v>35642</v>
      </c>
      <c r="J3947" s="7">
        <v>6</v>
      </c>
      <c r="K3947" s="7">
        <v>4</v>
      </c>
      <c r="L3947" s="5" t="s">
        <v>35643</v>
      </c>
      <c r="M3947" s="7">
        <v>0.8</v>
      </c>
      <c r="N3947" s="7">
        <v>0.65</v>
      </c>
      <c r="O3947" s="7">
        <v>0.40100000000000002</v>
      </c>
      <c r="P3947" s="1" t="s">
        <v>35644</v>
      </c>
    </row>
    <row r="3948" spans="1:16" ht="33.4" x14ac:dyDescent="0.3">
      <c r="A3948" s="6" t="str">
        <f>HYPERLINK("https://www.ti.com/product/TPS2062A", "TPS2062A")</f>
        <v>TPS2062A</v>
      </c>
      <c r="B3948" s="5" t="s">
        <v>35645</v>
      </c>
      <c r="C3948" s="6" t="str">
        <f>HYPERLINK("https://www.ti.com/lit/gpn/TPS2062A", "PDF")</f>
        <v>PDF</v>
      </c>
      <c r="D3948" s="5" t="s">
        <v>35646</v>
      </c>
      <c r="E3948" s="5" t="s">
        <v>35647</v>
      </c>
      <c r="F3948" s="5"/>
      <c r="G3948" s="5" t="s">
        <v>35648</v>
      </c>
      <c r="H3948" s="1" t="s">
        <v>35649</v>
      </c>
      <c r="I3948" s="5" t="s">
        <v>35650</v>
      </c>
      <c r="J3948" s="7">
        <v>8</v>
      </c>
      <c r="K3948" s="7" t="s">
        <v>35651</v>
      </c>
      <c r="L3948" s="5" t="s">
        <v>35652</v>
      </c>
      <c r="M3948" s="7" t="s">
        <v>35653</v>
      </c>
      <c r="N3948" s="7" t="s">
        <v>35654</v>
      </c>
      <c r="O3948" s="7">
        <v>0.77100000000000002</v>
      </c>
      <c r="P3948" s="1" t="s">
        <v>35655</v>
      </c>
    </row>
    <row r="3949" spans="1:16" ht="33.4" x14ac:dyDescent="0.3">
      <c r="A3949" s="6" t="str">
        <f>HYPERLINK("https://www.ti.com/product/TPS62293", "TPS62293")</f>
        <v>TPS62293</v>
      </c>
      <c r="B3949" s="5" t="s">
        <v>35656</v>
      </c>
      <c r="C3949" s="6" t="str">
        <f>HYPERLINK("https://www.ti.com/lit/gpn/TPS62293", "PDF")</f>
        <v>PDF</v>
      </c>
      <c r="D3949" s="5" t="s">
        <v>35657</v>
      </c>
      <c r="E3949" s="5" t="s">
        <v>35658</v>
      </c>
      <c r="F3949" s="5" t="s">
        <v>35659</v>
      </c>
      <c r="G3949" s="5" t="s">
        <v>35660</v>
      </c>
      <c r="H3949" s="1" t="s">
        <v>35661</v>
      </c>
      <c r="I3949" s="5" t="s">
        <v>35662</v>
      </c>
      <c r="J3949" s="7">
        <v>6</v>
      </c>
      <c r="K3949" s="7">
        <v>4</v>
      </c>
      <c r="L3949" s="5" t="s">
        <v>35663</v>
      </c>
      <c r="M3949" s="7">
        <v>0.8</v>
      </c>
      <c r="N3949" s="7">
        <v>0.65</v>
      </c>
      <c r="O3949" s="7">
        <v>0.71299999999999997</v>
      </c>
      <c r="P3949" s="1" t="s">
        <v>35664</v>
      </c>
    </row>
    <row r="3950" spans="1:16" ht="17.05" x14ac:dyDescent="0.3">
      <c r="A3950" s="6" t="str">
        <f>HYPERLINK("https://www.ti.com/product/LM3881", "LM3881")</f>
        <v>LM3881</v>
      </c>
      <c r="B3950" s="5" t="s">
        <v>35665</v>
      </c>
      <c r="C3950" s="6" t="str">
        <f>HYPERLINK("https://www.ti.com/lit/gpn/LM3881", "PDF")</f>
        <v>PDF</v>
      </c>
      <c r="D3950" s="5" t="s">
        <v>35666</v>
      </c>
      <c r="E3950" s="5" t="s">
        <v>35667</v>
      </c>
      <c r="F3950" s="5"/>
      <c r="G3950" s="5" t="s">
        <v>35668</v>
      </c>
      <c r="H3950" s="1" t="s">
        <v>35669</v>
      </c>
      <c r="I3950" s="5" t="s">
        <v>35670</v>
      </c>
      <c r="J3950" s="7">
        <v>8</v>
      </c>
      <c r="K3950" s="7">
        <v>14.7</v>
      </c>
      <c r="L3950" s="5" t="s">
        <v>35671</v>
      </c>
      <c r="M3950" s="7">
        <v>1.1000000000000001</v>
      </c>
      <c r="N3950" s="7">
        <v>0.65</v>
      </c>
      <c r="O3950" s="7">
        <v>0.59699999999999998</v>
      </c>
      <c r="P3950" s="1" t="s">
        <v>35672</v>
      </c>
    </row>
    <row r="3951" spans="1:16" ht="33.4" x14ac:dyDescent="0.3">
      <c r="A3951" s="6" t="str">
        <f>HYPERLINK("https://www.ti.com/product/TPS650243", "TPS650243")</f>
        <v>TPS650243</v>
      </c>
      <c r="B3951" s="5" t="s">
        <v>35673</v>
      </c>
      <c r="C3951" s="6" t="str">
        <f>HYPERLINK("https://www.ti.com/lit/gpn/TPS650243", "PDF")</f>
        <v>PDF</v>
      </c>
      <c r="D3951" s="5" t="s">
        <v>35674</v>
      </c>
      <c r="E3951" s="5" t="s">
        <v>35675</v>
      </c>
      <c r="F3951" s="5"/>
      <c r="G3951" s="5" t="s">
        <v>35676</v>
      </c>
      <c r="H3951" s="1" t="s">
        <v>35677</v>
      </c>
      <c r="I3951" s="5" t="s">
        <v>35678</v>
      </c>
      <c r="J3951" s="7">
        <v>32</v>
      </c>
      <c r="K3951" s="7">
        <v>25</v>
      </c>
      <c r="L3951" s="5" t="s">
        <v>35679</v>
      </c>
      <c r="M3951" s="7">
        <v>1</v>
      </c>
      <c r="N3951" s="7">
        <v>0.5</v>
      </c>
      <c r="O3951" s="7">
        <v>2.5249999999999999</v>
      </c>
      <c r="P3951" s="1" t="s">
        <v>35680</v>
      </c>
    </row>
    <row r="3952" spans="1:16" ht="17.05" x14ac:dyDescent="0.3">
      <c r="A3952" s="6" t="str">
        <f>HYPERLINK("https://www.ti.com/product/TPS650244", "TPS650244")</f>
        <v>TPS650244</v>
      </c>
      <c r="B3952" s="5" t="s">
        <v>35681</v>
      </c>
      <c r="C3952" s="6" t="str">
        <f>HYPERLINK("https://www.ti.com/lit/gpn/TPS650244", "PDF")</f>
        <v>PDF</v>
      </c>
      <c r="D3952" s="5" t="s">
        <v>35682</v>
      </c>
      <c r="E3952" s="5" t="s">
        <v>35683</v>
      </c>
      <c r="F3952" s="5"/>
      <c r="G3952" s="5" t="s">
        <v>35684</v>
      </c>
      <c r="H3952" s="1" t="s">
        <v>35685</v>
      </c>
      <c r="I3952" s="5" t="s">
        <v>35686</v>
      </c>
      <c r="J3952" s="7">
        <v>32</v>
      </c>
      <c r="K3952" s="7">
        <v>25</v>
      </c>
      <c r="L3952" s="5" t="s">
        <v>35687</v>
      </c>
      <c r="M3952" s="7">
        <v>1</v>
      </c>
      <c r="N3952" s="7">
        <v>0.5</v>
      </c>
      <c r="O3952" s="7">
        <v>2.0910000000000002</v>
      </c>
      <c r="P3952" s="1" t="s">
        <v>35688</v>
      </c>
    </row>
    <row r="3953" spans="1:16" ht="17.05" x14ac:dyDescent="0.3">
      <c r="A3953" s="6" t="str">
        <f>HYPERLINK("https://www.ti.com/product/TPS650245", "TPS650245")</f>
        <v>TPS650245</v>
      </c>
      <c r="B3953" s="5" t="s">
        <v>35689</v>
      </c>
      <c r="C3953" s="6" t="str">
        <f>HYPERLINK("https://www.ti.com/lit/gpn/TPS650245", "PDF")</f>
        <v>PDF</v>
      </c>
      <c r="D3953" s="5" t="s">
        <v>35690</v>
      </c>
      <c r="E3953" s="5" t="s">
        <v>35691</v>
      </c>
      <c r="F3953" s="5"/>
      <c r="G3953" s="5" t="s">
        <v>35692</v>
      </c>
      <c r="H3953" s="1" t="s">
        <v>35693</v>
      </c>
      <c r="I3953" s="5" t="s">
        <v>35694</v>
      </c>
      <c r="J3953" s="7">
        <v>32</v>
      </c>
      <c r="K3953" s="7">
        <v>25</v>
      </c>
      <c r="L3953" s="5" t="s">
        <v>35695</v>
      </c>
      <c r="M3953" s="7">
        <v>1</v>
      </c>
      <c r="N3953" s="7">
        <v>0.5</v>
      </c>
      <c r="O3953" s="7">
        <v>2.4049999999999998</v>
      </c>
      <c r="P3953" s="1" t="s">
        <v>35696</v>
      </c>
    </row>
    <row r="3954" spans="1:16" ht="33.4" x14ac:dyDescent="0.3">
      <c r="A3954" s="6" t="str">
        <f>HYPERLINK("https://www.ti.com/product/LM25061", "LM25061")</f>
        <v>LM25061</v>
      </c>
      <c r="B3954" s="5" t="s">
        <v>35697</v>
      </c>
      <c r="C3954" s="6" t="str">
        <f>HYPERLINK("https://www.ti.com/lit/gpn/LM25061", "PDF")</f>
        <v>PDF</v>
      </c>
      <c r="D3954" s="5" t="s">
        <v>35698</v>
      </c>
      <c r="E3954" s="5" t="s">
        <v>35699</v>
      </c>
      <c r="F3954" s="5"/>
      <c r="G3954" s="5" t="s">
        <v>35700</v>
      </c>
      <c r="H3954" s="1" t="s">
        <v>35701</v>
      </c>
      <c r="I3954" s="5" t="s">
        <v>35702</v>
      </c>
      <c r="J3954" s="7">
        <v>10</v>
      </c>
      <c r="K3954" s="7">
        <v>14.7</v>
      </c>
      <c r="L3954" s="5" t="s">
        <v>35703</v>
      </c>
      <c r="M3954" s="7">
        <v>1.1000000000000001</v>
      </c>
      <c r="N3954" s="7">
        <v>0.5</v>
      </c>
      <c r="O3954" s="7">
        <v>1.3959999999999999</v>
      </c>
      <c r="P3954" s="1" t="s">
        <v>35704</v>
      </c>
    </row>
    <row r="3955" spans="1:16" ht="17.05" x14ac:dyDescent="0.3">
      <c r="A3955" s="6" t="str">
        <f>HYPERLINK("https://www.ti.com/product/LM25069", "LM25069")</f>
        <v>LM25069</v>
      </c>
      <c r="B3955" s="5" t="s">
        <v>35705</v>
      </c>
      <c r="C3955" s="6" t="str">
        <f>HYPERLINK("https://www.ti.com/lit/gpn/LM25069", "PDF")</f>
        <v>PDF</v>
      </c>
      <c r="D3955" s="5" t="s">
        <v>35706</v>
      </c>
      <c r="E3955" s="5" t="s">
        <v>35707</v>
      </c>
      <c r="F3955" s="5"/>
      <c r="G3955" s="5" t="s">
        <v>35708</v>
      </c>
      <c r="H3955" s="1" t="s">
        <v>35709</v>
      </c>
      <c r="I3955" s="5" t="s">
        <v>35710</v>
      </c>
      <c r="J3955" s="7">
        <v>10</v>
      </c>
      <c r="K3955" s="7">
        <v>14.7</v>
      </c>
      <c r="L3955" s="5" t="s">
        <v>35711</v>
      </c>
      <c r="M3955" s="7">
        <v>1.1000000000000001</v>
      </c>
      <c r="N3955" s="7">
        <v>0.5</v>
      </c>
      <c r="O3955" s="7">
        <v>1.2450000000000001</v>
      </c>
      <c r="P3955" s="1" t="s">
        <v>35712</v>
      </c>
    </row>
    <row r="3956" spans="1:16" ht="33.4" x14ac:dyDescent="0.3">
      <c r="A3956" s="6" t="str">
        <f>HYPERLINK("https://www.ti.com/product/LM2773", "LM2773")</f>
        <v>LM2773</v>
      </c>
      <c r="B3956" s="5" t="s">
        <v>35713</v>
      </c>
      <c r="C3956" s="6" t="str">
        <f>HYPERLINK("https://www.ti.com/lit/gpn/LM2773", "PDF")</f>
        <v>PDF</v>
      </c>
      <c r="D3956" s="5" t="s">
        <v>35714</v>
      </c>
      <c r="E3956" s="5" t="s">
        <v>35715</v>
      </c>
      <c r="F3956" s="5"/>
      <c r="G3956" s="5" t="s">
        <v>35716</v>
      </c>
      <c r="H3956" s="1" t="s">
        <v>35717</v>
      </c>
      <c r="I3956" s="5" t="s">
        <v>35718</v>
      </c>
      <c r="J3956" s="7">
        <v>9</v>
      </c>
      <c r="K3956" s="7">
        <v>3.0625</v>
      </c>
      <c r="L3956" s="5" t="s">
        <v>35719</v>
      </c>
      <c r="M3956" s="7">
        <v>0.67500000000000004</v>
      </c>
      <c r="N3956" s="7">
        <v>0.5</v>
      </c>
      <c r="O3956" s="7">
        <v>0.40500000000000003</v>
      </c>
      <c r="P3956" s="1" t="s">
        <v>35720</v>
      </c>
    </row>
    <row r="3957" spans="1:16" ht="33.4" x14ac:dyDescent="0.3">
      <c r="A3957" s="6" t="str">
        <f>HYPERLINK("https://www.ti.com/product/LM3407", "LM3407")</f>
        <v>LM3407</v>
      </c>
      <c r="B3957" s="5" t="s">
        <v>35721</v>
      </c>
      <c r="C3957" s="6" t="str">
        <f>HYPERLINK("https://www.ti.com/lit/gpn/LM3407", "PDF")</f>
        <v>PDF</v>
      </c>
      <c r="D3957" s="5" t="s">
        <v>35722</v>
      </c>
      <c r="E3957" s="5" t="s">
        <v>35723</v>
      </c>
      <c r="F3957" s="5" t="s">
        <v>35724</v>
      </c>
      <c r="G3957" s="5" t="s">
        <v>35725</v>
      </c>
      <c r="H3957" s="1" t="s">
        <v>35726</v>
      </c>
      <c r="I3957" s="5" t="s">
        <v>35727</v>
      </c>
      <c r="J3957" s="7">
        <v>8</v>
      </c>
      <c r="K3957" s="7">
        <v>14.7</v>
      </c>
      <c r="L3957" s="5" t="s">
        <v>35728</v>
      </c>
      <c r="M3957" s="7">
        <v>1.1000000000000001</v>
      </c>
      <c r="N3957" s="7">
        <v>0.65</v>
      </c>
      <c r="O3957" s="7">
        <v>0.39100000000000001</v>
      </c>
      <c r="P3957" s="1" t="s">
        <v>35729</v>
      </c>
    </row>
    <row r="3958" spans="1:16" ht="33.4" x14ac:dyDescent="0.3">
      <c r="A3958" s="6" t="str">
        <f>HYPERLINK("https://www.ti.com/product/LM22674", "LM22674")</f>
        <v>LM22674</v>
      </c>
      <c r="B3958" s="5" t="s">
        <v>35730</v>
      </c>
      <c r="C3958" s="6" t="str">
        <f>HYPERLINK("https://www.ti.com/lit/gpn/LM22674", "PDF")</f>
        <v>PDF</v>
      </c>
      <c r="D3958" s="5" t="s">
        <v>35731</v>
      </c>
      <c r="E3958" s="5" t="s">
        <v>35732</v>
      </c>
      <c r="F3958" s="5" t="s">
        <v>35733</v>
      </c>
      <c r="G3958" s="5" t="s">
        <v>35734</v>
      </c>
      <c r="H3958" s="1" t="s">
        <v>35735</v>
      </c>
      <c r="I3958" s="5" t="s">
        <v>35736</v>
      </c>
      <c r="J3958" s="7">
        <v>8</v>
      </c>
      <c r="K3958" s="7">
        <v>29.4</v>
      </c>
      <c r="L3958" s="5" t="s">
        <v>35737</v>
      </c>
      <c r="M3958" s="7">
        <v>1.7</v>
      </c>
      <c r="N3958" s="7">
        <v>1.27</v>
      </c>
      <c r="O3958" s="7">
        <v>1.5309999999999999</v>
      </c>
      <c r="P3958" s="1" t="s">
        <v>35738</v>
      </c>
    </row>
    <row r="3959" spans="1:16" ht="33.4" x14ac:dyDescent="0.3">
      <c r="A3959" s="6" t="str">
        <f>HYPERLINK("https://www.ti.com/product/LM22674-Q1", "LM22674-Q1")</f>
        <v>LM22674-Q1</v>
      </c>
      <c r="B3959" s="5" t="s">
        <v>35739</v>
      </c>
      <c r="C3959" s="6" t="str">
        <f>HYPERLINK("https://www.ti.com/lit/gpn/LM22674-Q1", "PDF")</f>
        <v>PDF</v>
      </c>
      <c r="D3959" s="5" t="s">
        <v>35740</v>
      </c>
      <c r="E3959" s="5" t="s">
        <v>35741</v>
      </c>
      <c r="F3959" s="5" t="s">
        <v>35742</v>
      </c>
      <c r="G3959" s="5" t="s">
        <v>35743</v>
      </c>
      <c r="H3959" s="1" t="s">
        <v>35744</v>
      </c>
      <c r="I3959" s="5" t="s">
        <v>35745</v>
      </c>
      <c r="J3959" s="7">
        <v>8</v>
      </c>
      <c r="K3959" s="7">
        <v>29.4</v>
      </c>
      <c r="L3959" s="5" t="s">
        <v>35746</v>
      </c>
      <c r="M3959" s="7">
        <v>1.7</v>
      </c>
      <c r="N3959" s="7">
        <v>1.27</v>
      </c>
      <c r="O3959" s="7">
        <v>1.8069999999999999</v>
      </c>
      <c r="P3959" s="1" t="s">
        <v>35747</v>
      </c>
    </row>
    <row r="3960" spans="1:16" ht="33.4" x14ac:dyDescent="0.3">
      <c r="A3960" s="6" t="str">
        <f>HYPERLINK("https://www.ti.com/product/LM22675", "LM22675")</f>
        <v>LM22675</v>
      </c>
      <c r="B3960" s="5" t="s">
        <v>35748</v>
      </c>
      <c r="C3960" s="6" t="str">
        <f>HYPERLINK("https://www.ti.com/lit/gpn/LM22675", "PDF")</f>
        <v>PDF</v>
      </c>
      <c r="D3960" s="5" t="s">
        <v>35749</v>
      </c>
      <c r="E3960" s="5" t="s">
        <v>35750</v>
      </c>
      <c r="F3960" s="5" t="s">
        <v>35751</v>
      </c>
      <c r="G3960" s="5" t="s">
        <v>35752</v>
      </c>
      <c r="H3960" s="1" t="s">
        <v>35753</v>
      </c>
      <c r="I3960" s="5" t="s">
        <v>35754</v>
      </c>
      <c r="J3960" s="7">
        <v>8</v>
      </c>
      <c r="K3960" s="7">
        <v>29.4</v>
      </c>
      <c r="L3960" s="5" t="s">
        <v>35755</v>
      </c>
      <c r="M3960" s="7">
        <v>1.7</v>
      </c>
      <c r="N3960" s="7">
        <v>1.27</v>
      </c>
      <c r="O3960" s="7">
        <v>1.7989999999999999</v>
      </c>
      <c r="P3960" s="1" t="s">
        <v>35756</v>
      </c>
    </row>
    <row r="3961" spans="1:16" ht="33.4" x14ac:dyDescent="0.3">
      <c r="A3961" s="6" t="str">
        <f>HYPERLINK("https://www.ti.com/product/LM22675-Q1", "LM22675-Q1")</f>
        <v>LM22675-Q1</v>
      </c>
      <c r="B3961" s="5" t="s">
        <v>35757</v>
      </c>
      <c r="C3961" s="6" t="str">
        <f>HYPERLINK("https://www.ti.com/lit/gpn/LM22675-Q1", "PDF")</f>
        <v>PDF</v>
      </c>
      <c r="D3961" s="5" t="s">
        <v>35758</v>
      </c>
      <c r="E3961" s="5" t="s">
        <v>35759</v>
      </c>
      <c r="F3961" s="5" t="s">
        <v>35760</v>
      </c>
      <c r="G3961" s="5" t="s">
        <v>35761</v>
      </c>
      <c r="H3961" s="1" t="s">
        <v>35762</v>
      </c>
      <c r="I3961" s="5" t="s">
        <v>35763</v>
      </c>
      <c r="J3961" s="7">
        <v>8</v>
      </c>
      <c r="K3961" s="7">
        <v>29.4</v>
      </c>
      <c r="L3961" s="5" t="s">
        <v>35764</v>
      </c>
      <c r="M3961" s="7">
        <v>1.7</v>
      </c>
      <c r="N3961" s="7">
        <v>1.27</v>
      </c>
      <c r="O3961" s="7">
        <v>2.1230000000000002</v>
      </c>
      <c r="P3961" s="1" t="s">
        <v>35765</v>
      </c>
    </row>
    <row r="3962" spans="1:16" ht="17.05" x14ac:dyDescent="0.3">
      <c r="A3962" s="6" t="str">
        <f>HYPERLINK("https://www.ti.com/product/LM3553", "LM3553")</f>
        <v>LM3553</v>
      </c>
      <c r="B3962" s="5" t="s">
        <v>35766</v>
      </c>
      <c r="C3962" s="6" t="str">
        <f>HYPERLINK("https://www.ti.com/lit/gpn/LM3553", "PDF")</f>
        <v>PDF</v>
      </c>
      <c r="D3962" s="5" t="s">
        <v>35767</v>
      </c>
      <c r="E3962" s="5" t="s">
        <v>35768</v>
      </c>
      <c r="F3962" s="5" t="s">
        <v>35769</v>
      </c>
      <c r="G3962" s="5" t="s">
        <v>35770</v>
      </c>
      <c r="H3962" s="1" t="s">
        <v>35771</v>
      </c>
      <c r="I3962" s="5" t="s">
        <v>35772</v>
      </c>
      <c r="J3962" s="7">
        <v>12</v>
      </c>
      <c r="K3962" s="7">
        <v>9</v>
      </c>
      <c r="L3962" s="5" t="s">
        <v>35773</v>
      </c>
      <c r="M3962" s="7">
        <v>0.8</v>
      </c>
      <c r="N3962" s="7">
        <v>0.4</v>
      </c>
      <c r="O3962" s="7">
        <v>0.65800000000000003</v>
      </c>
      <c r="P3962" s="1" t="s">
        <v>35774</v>
      </c>
    </row>
    <row r="3963" spans="1:16" ht="33.4" x14ac:dyDescent="0.3">
      <c r="A3963" s="6" t="str">
        <f>HYPERLINK("https://www.ti.com/product/TPS40200-Q1", "TPS40200-Q1")</f>
        <v>TPS40200-Q1</v>
      </c>
      <c r="B3963" s="5" t="s">
        <v>35775</v>
      </c>
      <c r="C3963" s="6" t="str">
        <f>HYPERLINK("https://www.ti.com/lit/gpn/TPS40200-Q1", "PDF")</f>
        <v>PDF</v>
      </c>
      <c r="D3963" s="5" t="s">
        <v>35776</v>
      </c>
      <c r="E3963" s="5" t="s">
        <v>35777</v>
      </c>
      <c r="F3963" s="5" t="s">
        <v>35778</v>
      </c>
      <c r="G3963" s="5" t="s">
        <v>35779</v>
      </c>
      <c r="H3963" s="1" t="s">
        <v>35780</v>
      </c>
      <c r="I3963" s="5" t="s">
        <v>35781</v>
      </c>
      <c r="J3963" s="7">
        <v>8</v>
      </c>
      <c r="K3963" s="7">
        <v>29.4</v>
      </c>
      <c r="L3963" s="5" t="s">
        <v>35782</v>
      </c>
      <c r="M3963" s="7">
        <v>1.75</v>
      </c>
      <c r="N3963" s="7">
        <v>1.27</v>
      </c>
      <c r="O3963" s="7">
        <v>0.95899999999999996</v>
      </c>
      <c r="P3963" s="1" t="s">
        <v>35783</v>
      </c>
    </row>
    <row r="3964" spans="1:16" ht="17.05" x14ac:dyDescent="0.3">
      <c r="A3964" s="6" t="str">
        <f>HYPERLINK("https://www.ti.com/product/TLC5916-Q1", "TLC5916-Q1")</f>
        <v>TLC5916-Q1</v>
      </c>
      <c r="B3964" s="5" t="s">
        <v>35784</v>
      </c>
      <c r="C3964" s="6" t="str">
        <f>HYPERLINK("https://www.ti.com/lit/gpn/TLC5916-Q1", "PDF")</f>
        <v>PDF</v>
      </c>
      <c r="D3964" s="5" t="s">
        <v>35785</v>
      </c>
      <c r="E3964" s="5" t="s">
        <v>35786</v>
      </c>
      <c r="F3964" s="5" t="s">
        <v>35787</v>
      </c>
      <c r="G3964" s="5" t="s">
        <v>35788</v>
      </c>
      <c r="H3964" s="1" t="s">
        <v>35789</v>
      </c>
      <c r="I3964" s="5" t="s">
        <v>35790</v>
      </c>
      <c r="J3964" s="7">
        <v>16</v>
      </c>
      <c r="K3964" s="7">
        <v>59.4</v>
      </c>
      <c r="L3964" s="5" t="s">
        <v>35791</v>
      </c>
      <c r="M3964" s="7">
        <v>1.75</v>
      </c>
      <c r="N3964" s="7">
        <v>1.27</v>
      </c>
      <c r="O3964" s="7">
        <v>0.74299999999999999</v>
      </c>
      <c r="P3964" s="1" t="s">
        <v>35792</v>
      </c>
    </row>
    <row r="3965" spans="1:16" ht="33.4" x14ac:dyDescent="0.3">
      <c r="A3965" s="6" t="str">
        <f>HYPERLINK("https://www.ti.com/product/TLC5917-Q1", "TLC5917-Q1")</f>
        <v>TLC5917-Q1</v>
      </c>
      <c r="B3965" s="5" t="s">
        <v>35793</v>
      </c>
      <c r="C3965" s="6" t="str">
        <f>HYPERLINK("https://www.ti.com/lit/gpn/TLC5917-Q1", "PDF")</f>
        <v>PDF</v>
      </c>
      <c r="D3965" s="5" t="s">
        <v>35794</v>
      </c>
      <c r="E3965" s="5" t="s">
        <v>35795</v>
      </c>
      <c r="F3965" s="5" t="s">
        <v>35796</v>
      </c>
      <c r="G3965" s="5" t="s">
        <v>35797</v>
      </c>
      <c r="H3965" s="1" t="s">
        <v>35798</v>
      </c>
      <c r="I3965" s="5" t="s">
        <v>35799</v>
      </c>
      <c r="J3965" s="7">
        <v>16</v>
      </c>
      <c r="K3965" s="7">
        <v>59.4</v>
      </c>
      <c r="L3965" s="5" t="s">
        <v>35800</v>
      </c>
      <c r="M3965" s="7">
        <v>1.75</v>
      </c>
      <c r="N3965" s="7">
        <v>1.27</v>
      </c>
      <c r="O3965" s="7">
        <v>0.73399999999999999</v>
      </c>
      <c r="P3965" s="1" t="s">
        <v>35801</v>
      </c>
    </row>
    <row r="3966" spans="1:16" ht="17.05" x14ac:dyDescent="0.3">
      <c r="A3966" s="6" t="str">
        <f>HYPERLINK("https://www.ti.com/product/TPS61180", "TPS61180")</f>
        <v>TPS61180</v>
      </c>
      <c r="B3966" s="5" t="s">
        <v>35802</v>
      </c>
      <c r="C3966" s="6" t="str">
        <f>HYPERLINK("https://www.ti.com/lit/gpn/TPS61180", "PDF")</f>
        <v>PDF</v>
      </c>
      <c r="D3966" s="5" t="s">
        <v>35803</v>
      </c>
      <c r="E3966" s="5" t="s">
        <v>35804</v>
      </c>
      <c r="F3966" s="5" t="s">
        <v>35805</v>
      </c>
      <c r="G3966" s="5" t="s">
        <v>35806</v>
      </c>
      <c r="H3966" s="1" t="s">
        <v>35807</v>
      </c>
      <c r="I3966" s="5" t="s">
        <v>35808</v>
      </c>
      <c r="J3966" s="7">
        <v>16</v>
      </c>
      <c r="K3966" s="7">
        <v>9</v>
      </c>
      <c r="L3966" s="5" t="s">
        <v>35809</v>
      </c>
      <c r="M3966" s="7">
        <v>0.8</v>
      </c>
      <c r="N3966" s="7">
        <v>0.5</v>
      </c>
      <c r="O3966" s="7">
        <v>0.85</v>
      </c>
      <c r="P3966" s="1" t="s">
        <v>35810</v>
      </c>
    </row>
    <row r="3967" spans="1:16" ht="17.05" x14ac:dyDescent="0.3">
      <c r="A3967" s="6" t="str">
        <f>HYPERLINK("https://www.ti.com/product/TPS61181", "TPS61181")</f>
        <v>TPS61181</v>
      </c>
      <c r="B3967" s="5" t="s">
        <v>35811</v>
      </c>
      <c r="C3967" s="6" t="str">
        <f>HYPERLINK("https://www.ti.com/lit/gpn/TPS61181", "PDF")</f>
        <v>PDF</v>
      </c>
      <c r="D3967" s="5" t="s">
        <v>35812</v>
      </c>
      <c r="E3967" s="5" t="s">
        <v>35813</v>
      </c>
      <c r="F3967" s="5" t="s">
        <v>35814</v>
      </c>
      <c r="G3967" s="5" t="s">
        <v>35815</v>
      </c>
      <c r="H3967" s="1" t="s">
        <v>35816</v>
      </c>
      <c r="I3967" s="5" t="s">
        <v>35817</v>
      </c>
      <c r="J3967" s="7">
        <v>16</v>
      </c>
      <c r="K3967" s="7">
        <v>9</v>
      </c>
      <c r="L3967" s="5" t="s">
        <v>35818</v>
      </c>
      <c r="M3967" s="7">
        <v>0.8</v>
      </c>
      <c r="N3967" s="7">
        <v>0.5</v>
      </c>
      <c r="O3967" s="7">
        <v>0.60399999999999998</v>
      </c>
      <c r="P3967" s="1" t="s">
        <v>35819</v>
      </c>
    </row>
    <row r="3968" spans="1:16" ht="33.4" x14ac:dyDescent="0.3">
      <c r="A3968" s="6" t="str">
        <f>HYPERLINK("https://www.ti.com/product/TPS61182", "TPS61182")</f>
        <v>TPS61182</v>
      </c>
      <c r="B3968" s="5" t="s">
        <v>35820</v>
      </c>
      <c r="C3968" s="6" t="str">
        <f>HYPERLINK("https://www.ti.com/lit/gpn/TPS61182", "PDF")</f>
        <v>PDF</v>
      </c>
      <c r="D3968" s="5" t="s">
        <v>35821</v>
      </c>
      <c r="E3968" s="5" t="s">
        <v>35822</v>
      </c>
      <c r="F3968" s="5" t="s">
        <v>35823</v>
      </c>
      <c r="G3968" s="5" t="s">
        <v>35824</v>
      </c>
      <c r="H3968" s="1" t="s">
        <v>35825</v>
      </c>
      <c r="I3968" s="5" t="s">
        <v>35826</v>
      </c>
      <c r="J3968" s="7">
        <v>16</v>
      </c>
      <c r="K3968" s="7">
        <v>9</v>
      </c>
      <c r="L3968" s="5" t="s">
        <v>35827</v>
      </c>
      <c r="M3968" s="7">
        <v>0.8</v>
      </c>
      <c r="N3968" s="7">
        <v>0.5</v>
      </c>
      <c r="O3968" s="7">
        <v>0.92400000000000004</v>
      </c>
      <c r="P3968" s="1" t="s">
        <v>35828</v>
      </c>
    </row>
    <row r="3969" spans="1:16" ht="33.4" x14ac:dyDescent="0.3">
      <c r="A3969" s="6" t="str">
        <f>HYPERLINK("https://www.ti.com/product/LM2841", "LM2841")</f>
        <v>LM2841</v>
      </c>
      <c r="B3969" s="5" t="s">
        <v>35829</v>
      </c>
      <c r="C3969" s="6" t="str">
        <f>HYPERLINK("https://www.ti.com/lit/gpn/LM2841", "PDF")</f>
        <v>PDF</v>
      </c>
      <c r="D3969" s="5" t="s">
        <v>35830</v>
      </c>
      <c r="E3969" s="5" t="s">
        <v>35831</v>
      </c>
      <c r="F3969" s="5" t="s">
        <v>35832</v>
      </c>
      <c r="G3969" s="5" t="s">
        <v>35833</v>
      </c>
      <c r="H3969" s="1" t="s">
        <v>35834</v>
      </c>
      <c r="I3969" s="5" t="s">
        <v>35835</v>
      </c>
      <c r="J3969" s="7">
        <v>6</v>
      </c>
      <c r="K3969" s="7">
        <v>8.1199999999999992</v>
      </c>
      <c r="L3969" s="5" t="s">
        <v>35836</v>
      </c>
      <c r="M3969" s="7">
        <v>1.1000000000000001</v>
      </c>
      <c r="N3969" s="7">
        <v>0.95</v>
      </c>
      <c r="O3969" s="7">
        <v>1.2250000000000001</v>
      </c>
      <c r="P3969" s="1" t="s">
        <v>35837</v>
      </c>
    </row>
    <row r="3970" spans="1:16" ht="33.4" x14ac:dyDescent="0.3">
      <c r="A3970" s="6" t="str">
        <f>HYPERLINK("https://www.ti.com/product/LM2841-Q1", "LM2841-Q1")</f>
        <v>LM2841-Q1</v>
      </c>
      <c r="B3970" s="5" t="s">
        <v>35838</v>
      </c>
      <c r="C3970" s="6" t="str">
        <f>HYPERLINK("https://www.ti.com/lit/gpn/LM2841-Q1", "PDF")</f>
        <v>PDF</v>
      </c>
      <c r="D3970" s="5" t="s">
        <v>35839</v>
      </c>
      <c r="E3970" s="5" t="s">
        <v>35840</v>
      </c>
      <c r="F3970" s="5" t="s">
        <v>35841</v>
      </c>
      <c r="G3970" s="5" t="s">
        <v>35842</v>
      </c>
      <c r="H3970" s="1" t="s">
        <v>35843</v>
      </c>
      <c r="I3970" s="5" t="s">
        <v>35844</v>
      </c>
      <c r="J3970" s="7">
        <v>6</v>
      </c>
      <c r="K3970" s="7">
        <v>8.1199999999999992</v>
      </c>
      <c r="L3970" s="5" t="s">
        <v>35845</v>
      </c>
      <c r="M3970" s="7">
        <v>1.1000000000000001</v>
      </c>
      <c r="N3970" s="7">
        <v>0.95</v>
      </c>
      <c r="O3970" s="7">
        <v>1.446</v>
      </c>
      <c r="P3970" s="1" t="s">
        <v>35846</v>
      </c>
    </row>
    <row r="3971" spans="1:16" ht="33.4" x14ac:dyDescent="0.3">
      <c r="A3971" s="6" t="str">
        <f>HYPERLINK("https://www.ti.com/product/TPS40042", "TPS40042")</f>
        <v>TPS40042</v>
      </c>
      <c r="B3971" s="5" t="s">
        <v>35847</v>
      </c>
      <c r="C3971" s="6" t="str">
        <f>HYPERLINK("https://www.ti.com/lit/gpn/TPS40042", "PDF")</f>
        <v>PDF</v>
      </c>
      <c r="D3971" s="5" t="s">
        <v>35848</v>
      </c>
      <c r="E3971" s="5" t="s">
        <v>35849</v>
      </c>
      <c r="F3971" s="5"/>
      <c r="G3971" s="5" t="s">
        <v>35850</v>
      </c>
      <c r="H3971" s="1" t="s">
        <v>35851</v>
      </c>
      <c r="I3971" s="5" t="s">
        <v>35852</v>
      </c>
      <c r="J3971" s="7">
        <v>10</v>
      </c>
      <c r="K3971" s="7">
        <v>9</v>
      </c>
      <c r="L3971" s="5" t="s">
        <v>35853</v>
      </c>
      <c r="M3971" s="7">
        <v>1</v>
      </c>
      <c r="N3971" s="7">
        <v>0.5</v>
      </c>
      <c r="O3971" s="7">
        <v>0.82299999999999995</v>
      </c>
      <c r="P3971" s="1" t="s">
        <v>35854</v>
      </c>
    </row>
    <row r="3972" spans="1:16" ht="33.4" x14ac:dyDescent="0.3">
      <c r="A3972" s="6" t="str">
        <f>HYPERLINK("https://www.ti.com/product/TLC5943", "TLC5943")</f>
        <v>TLC5943</v>
      </c>
      <c r="B3972" s="5" t="s">
        <v>35855</v>
      </c>
      <c r="C3972" s="6" t="str">
        <f>HYPERLINK("https://www.ti.com/lit/gpn/TLC5943", "PDF")</f>
        <v>PDF</v>
      </c>
      <c r="D3972" s="5" t="s">
        <v>35856</v>
      </c>
      <c r="E3972" s="5" t="s">
        <v>35857</v>
      </c>
      <c r="F3972" s="5"/>
      <c r="G3972" s="5" t="s">
        <v>35858</v>
      </c>
      <c r="H3972" s="1" t="s">
        <v>35859</v>
      </c>
      <c r="I3972" s="5" t="s">
        <v>35860</v>
      </c>
      <c r="J3972" s="7" t="s">
        <v>35861</v>
      </c>
      <c r="K3972" s="7" t="s">
        <v>35862</v>
      </c>
      <c r="L3972" s="5" t="s">
        <v>35863</v>
      </c>
      <c r="M3972" s="7" t="s">
        <v>35864</v>
      </c>
      <c r="N3972" s="7" t="s">
        <v>35865</v>
      </c>
      <c r="O3972" s="7">
        <v>1.214</v>
      </c>
      <c r="P3972" s="1" t="s">
        <v>35866</v>
      </c>
    </row>
    <row r="3973" spans="1:16" ht="33.4" x14ac:dyDescent="0.3">
      <c r="A3973" s="6" t="str">
        <f>HYPERLINK("https://www.ti.com/product/TPS51620", "TPS51620")</f>
        <v>TPS51620</v>
      </c>
      <c r="B3973" s="5" t="s">
        <v>35867</v>
      </c>
      <c r="C3973" s="6" t="str">
        <f>HYPERLINK("https://www.ti.com/lit/gpn/TPS51620", "PDF")</f>
        <v>PDF</v>
      </c>
      <c r="D3973" s="5" t="s">
        <v>35868</v>
      </c>
      <c r="E3973" s="5" t="s">
        <v>35869</v>
      </c>
      <c r="F3973" s="5" t="s">
        <v>35870</v>
      </c>
      <c r="G3973" s="5" t="s">
        <v>35871</v>
      </c>
      <c r="H3973" s="1" t="s">
        <v>35872</v>
      </c>
      <c r="I3973" s="5" t="s">
        <v>35873</v>
      </c>
      <c r="J3973" s="7">
        <v>40</v>
      </c>
      <c r="K3973" s="7">
        <v>36</v>
      </c>
      <c r="L3973" s="5" t="s">
        <v>35874</v>
      </c>
      <c r="M3973" s="7">
        <v>1</v>
      </c>
      <c r="N3973" s="7">
        <v>0.5</v>
      </c>
      <c r="O3973" s="7">
        <v>2.226</v>
      </c>
      <c r="P3973" s="1" t="s">
        <v>35875</v>
      </c>
    </row>
    <row r="3974" spans="1:16" ht="33.4" x14ac:dyDescent="0.3">
      <c r="A3974" s="6" t="str">
        <f>HYPERLINK("https://www.ti.com/product/TPS74701", "TPS74701")</f>
        <v>TPS74701</v>
      </c>
      <c r="B3974" s="5" t="s">
        <v>35876</v>
      </c>
      <c r="C3974" s="6" t="str">
        <f>HYPERLINK("https://www.ti.com/lit/gpn/TPS74701", "PDF")</f>
        <v>PDF</v>
      </c>
      <c r="D3974" s="5" t="s">
        <v>35877</v>
      </c>
      <c r="E3974" s="5" t="s">
        <v>35878</v>
      </c>
      <c r="F3974" s="5"/>
      <c r="G3974" s="5" t="s">
        <v>35879</v>
      </c>
      <c r="H3974" s="1" t="s">
        <v>35880</v>
      </c>
      <c r="I3974" s="5" t="s">
        <v>35881</v>
      </c>
      <c r="J3974" s="7">
        <v>10</v>
      </c>
      <c r="K3974" s="7">
        <v>9</v>
      </c>
      <c r="L3974" s="5" t="s">
        <v>35882</v>
      </c>
      <c r="M3974" s="7">
        <v>1</v>
      </c>
      <c r="N3974" s="7">
        <v>0.5</v>
      </c>
      <c r="O3974" s="7">
        <v>0.40600000000000003</v>
      </c>
      <c r="P3974" s="1" t="s">
        <v>35883</v>
      </c>
    </row>
    <row r="3975" spans="1:16" ht="33.4" x14ac:dyDescent="0.3">
      <c r="A3975" s="6" t="str">
        <f>HYPERLINK("https://www.ti.com/product/TPS62700", "TPS62700")</f>
        <v>TPS62700</v>
      </c>
      <c r="B3975" s="5" t="s">
        <v>35884</v>
      </c>
      <c r="C3975" s="6" t="str">
        <f>HYPERLINK("https://www.ti.com/lit/gpn/TPS62700", "PDF")</f>
        <v>PDF</v>
      </c>
      <c r="D3975" s="5" t="s">
        <v>35885</v>
      </c>
      <c r="E3975" s="5" t="s">
        <v>35886</v>
      </c>
      <c r="F3975" s="5" t="s">
        <v>35887</v>
      </c>
      <c r="G3975" s="5" t="s">
        <v>35888</v>
      </c>
      <c r="H3975" s="1" t="s">
        <v>35889</v>
      </c>
      <c r="I3975" s="5" t="s">
        <v>35890</v>
      </c>
      <c r="J3975" s="7">
        <v>8</v>
      </c>
      <c r="K3975" s="7">
        <v>3.0625</v>
      </c>
      <c r="L3975" s="5" t="s">
        <v>35891</v>
      </c>
      <c r="M3975" s="7">
        <v>0.625</v>
      </c>
      <c r="N3975" s="7">
        <v>0.5</v>
      </c>
      <c r="O3975" s="7">
        <v>0.37</v>
      </c>
      <c r="P3975" s="1" t="s">
        <v>35892</v>
      </c>
    </row>
    <row r="3976" spans="1:16" ht="49.75" x14ac:dyDescent="0.3">
      <c r="A3976" s="6" t="str">
        <f>HYPERLINK("https://www.ti.com/product/TPS72118-EP", "TPS72118-EP")</f>
        <v>TPS72118-EP</v>
      </c>
      <c r="B3976" s="5" t="s">
        <v>35893</v>
      </c>
      <c r="C3976" s="6" t="str">
        <f>HYPERLINK("https://www.ti.com/lit/gpn/TPS72118-EP", "PDF")</f>
        <v>PDF</v>
      </c>
      <c r="D3976" s="5" t="s">
        <v>35894</v>
      </c>
      <c r="E3976" s="5" t="s">
        <v>35895</v>
      </c>
      <c r="F3976" s="5"/>
      <c r="G3976" s="5" t="s">
        <v>35896</v>
      </c>
      <c r="H3976" s="1" t="s">
        <v>35897</v>
      </c>
      <c r="I3976" s="5" t="s">
        <v>35898</v>
      </c>
      <c r="J3976" s="7">
        <v>5</v>
      </c>
      <c r="K3976" s="7">
        <v>8.1199999999999992</v>
      </c>
      <c r="L3976" s="5" t="s">
        <v>35899</v>
      </c>
      <c r="M3976" s="7">
        <v>1.45</v>
      </c>
      <c r="N3976" s="7">
        <v>0.95</v>
      </c>
      <c r="O3976" s="7">
        <v>1.865</v>
      </c>
      <c r="P3976" s="1" t="s">
        <v>35900</v>
      </c>
    </row>
    <row r="3977" spans="1:16" ht="33.4" x14ac:dyDescent="0.3">
      <c r="A3977" s="6" t="str">
        <f>HYPERLINK("https://www.ti.com/product/TPS62356", "TPS62356")</f>
        <v>TPS62356</v>
      </c>
      <c r="B3977" s="5" t="s">
        <v>35901</v>
      </c>
      <c r="C3977" s="6" t="str">
        <f>HYPERLINK("https://www.ti.com/lit/gpn/TPS62356", "PDF")</f>
        <v>PDF</v>
      </c>
      <c r="D3977" s="5" t="s">
        <v>35902</v>
      </c>
      <c r="E3977" s="5" t="s">
        <v>35903</v>
      </c>
      <c r="F3977" s="5" t="s">
        <v>35904</v>
      </c>
      <c r="G3977" s="5" t="s">
        <v>35905</v>
      </c>
      <c r="H3977" s="1" t="s">
        <v>35906</v>
      </c>
      <c r="I3977" s="5" t="s">
        <v>35907</v>
      </c>
      <c r="J3977" s="7">
        <v>12</v>
      </c>
      <c r="K3977" s="7">
        <v>3.9375</v>
      </c>
      <c r="L3977" s="5" t="s">
        <v>35908</v>
      </c>
      <c r="M3977" s="7">
        <v>0.625</v>
      </c>
      <c r="N3977" s="7">
        <v>0.5</v>
      </c>
      <c r="O3977" s="7">
        <v>0.65700000000000003</v>
      </c>
      <c r="P3977" s="1" t="s">
        <v>35909</v>
      </c>
    </row>
    <row r="3978" spans="1:16" ht="33.4" x14ac:dyDescent="0.3">
      <c r="A3978" s="6" t="str">
        <f>HYPERLINK("https://www.ti.com/product/TPS5420-Q1", "TPS5420-Q1")</f>
        <v>TPS5420-Q1</v>
      </c>
      <c r="B3978" s="5" t="s">
        <v>35910</v>
      </c>
      <c r="C3978" s="6" t="str">
        <f>HYPERLINK("https://www.ti.com/lit/gpn/TPS5420-Q1", "PDF")</f>
        <v>PDF</v>
      </c>
      <c r="D3978" s="5" t="s">
        <v>35911</v>
      </c>
      <c r="E3978" s="5" t="s">
        <v>35912</v>
      </c>
      <c r="F3978" s="5" t="s">
        <v>35913</v>
      </c>
      <c r="G3978" s="5" t="s">
        <v>35914</v>
      </c>
      <c r="H3978" s="1" t="s">
        <v>35915</v>
      </c>
      <c r="I3978" s="5" t="s">
        <v>35916</v>
      </c>
      <c r="J3978" s="7">
        <v>8</v>
      </c>
      <c r="K3978" s="7">
        <v>29.4</v>
      </c>
      <c r="L3978" s="5" t="s">
        <v>35917</v>
      </c>
      <c r="M3978" s="7">
        <v>1.75</v>
      </c>
      <c r="N3978" s="7">
        <v>1.27</v>
      </c>
      <c r="O3978" s="7">
        <v>1.7150000000000001</v>
      </c>
      <c r="P3978" s="1" t="s">
        <v>35918</v>
      </c>
    </row>
    <row r="3979" spans="1:16" ht="33.4" x14ac:dyDescent="0.3">
      <c r="A3979" s="6" t="str">
        <f>HYPERLINK("https://www.ti.com/product/TPS62270", "TPS62270")</f>
        <v>TPS62270</v>
      </c>
      <c r="B3979" s="5" t="s">
        <v>35919</v>
      </c>
      <c r="C3979" s="6" t="str">
        <f>HYPERLINK("https://www.ti.com/lit/gpn/TPS62270", "PDF")</f>
        <v>PDF</v>
      </c>
      <c r="D3979" s="5" t="s">
        <v>35920</v>
      </c>
      <c r="E3979" s="5" t="s">
        <v>35921</v>
      </c>
      <c r="F3979" s="5" t="s">
        <v>35922</v>
      </c>
      <c r="G3979" s="5" t="s">
        <v>35923</v>
      </c>
      <c r="H3979" s="1" t="s">
        <v>35924</v>
      </c>
      <c r="I3979" s="5" t="s">
        <v>35925</v>
      </c>
      <c r="J3979" s="7">
        <v>6</v>
      </c>
      <c r="K3979" s="7">
        <v>4</v>
      </c>
      <c r="L3979" s="5" t="s">
        <v>35926</v>
      </c>
      <c r="M3979" s="7">
        <v>0.8</v>
      </c>
      <c r="N3979" s="7">
        <v>0.65</v>
      </c>
      <c r="O3979" s="7">
        <v>0.501</v>
      </c>
      <c r="P3979" s="1" t="s">
        <v>35927</v>
      </c>
    </row>
    <row r="3980" spans="1:16" ht="33.4" x14ac:dyDescent="0.3">
      <c r="A3980" s="6" t="str">
        <f>HYPERLINK("https://www.ti.com/product/TPS5430-Q1", "TPS5430-Q1")</f>
        <v>TPS5430-Q1</v>
      </c>
      <c r="B3980" s="5" t="s">
        <v>35928</v>
      </c>
      <c r="C3980" s="6" t="str">
        <f>HYPERLINK("https://www.ti.com/lit/gpn/TPS5430-Q1", "PDF")</f>
        <v>PDF</v>
      </c>
      <c r="D3980" s="5" t="s">
        <v>35929</v>
      </c>
      <c r="E3980" s="5" t="s">
        <v>35930</v>
      </c>
      <c r="F3980" s="5" t="s">
        <v>35931</v>
      </c>
      <c r="G3980" s="5" t="s">
        <v>35932</v>
      </c>
      <c r="H3980" s="1" t="s">
        <v>35933</v>
      </c>
      <c r="I3980" s="5" t="s">
        <v>35934</v>
      </c>
      <c r="J3980" s="7">
        <v>8</v>
      </c>
      <c r="K3980" s="7">
        <v>29.4</v>
      </c>
      <c r="L3980" s="5" t="s">
        <v>35935</v>
      </c>
      <c r="M3980" s="7">
        <v>1.7</v>
      </c>
      <c r="N3980" s="7">
        <v>1.27</v>
      </c>
      <c r="O3980" s="7">
        <v>2.0960000000000001</v>
      </c>
      <c r="P3980" s="1" t="s">
        <v>35936</v>
      </c>
    </row>
    <row r="3981" spans="1:16" ht="66.150000000000006" x14ac:dyDescent="0.3">
      <c r="A3981" s="6" t="str">
        <f>HYPERLINK("https://www.ti.com/product/LP38500-ADJ", "LP38500-ADJ")</f>
        <v>LP38500-ADJ</v>
      </c>
      <c r="B3981" s="5" t="s">
        <v>35937</v>
      </c>
      <c r="C3981" s="6" t="str">
        <f>HYPERLINK("https://www.ti.com/lit/gpn/LP38500-ADJ", "PDF")</f>
        <v>PDF</v>
      </c>
      <c r="D3981" s="5" t="s">
        <v>35938</v>
      </c>
      <c r="E3981" s="5" t="s">
        <v>35939</v>
      </c>
      <c r="F3981" s="5"/>
      <c r="G3981" s="5" t="s">
        <v>35940</v>
      </c>
      <c r="H3981" s="1" t="s">
        <v>35941</v>
      </c>
      <c r="I3981" s="5" t="s">
        <v>35942</v>
      </c>
      <c r="J3981" s="7" t="s">
        <v>35943</v>
      </c>
      <c r="K3981" s="7" t="s">
        <v>35944</v>
      </c>
      <c r="L3981" s="5" t="s">
        <v>35945</v>
      </c>
      <c r="M3981" s="7" t="s">
        <v>35946</v>
      </c>
      <c r="N3981" s="7" t="s">
        <v>35947</v>
      </c>
      <c r="O3981" s="7">
        <v>0.97799999999999998</v>
      </c>
      <c r="P3981" s="1" t="s">
        <v>35948</v>
      </c>
    </row>
    <row r="3982" spans="1:16" ht="66.150000000000006" x14ac:dyDescent="0.3">
      <c r="A3982" s="6" t="str">
        <f>HYPERLINK("https://www.ti.com/product/LP38502-ADJ", "LP38502-ADJ")</f>
        <v>LP38502-ADJ</v>
      </c>
      <c r="B3982" s="5" t="s">
        <v>35949</v>
      </c>
      <c r="C3982" s="6" t="str">
        <f>HYPERLINK("https://www.ti.com/lit/gpn/LP38502-ADJ", "PDF")</f>
        <v>PDF</v>
      </c>
      <c r="D3982" s="5" t="s">
        <v>35950</v>
      </c>
      <c r="E3982" s="5" t="s">
        <v>35951</v>
      </c>
      <c r="F3982" s="5"/>
      <c r="G3982" s="5" t="s">
        <v>35952</v>
      </c>
      <c r="H3982" s="1" t="s">
        <v>35953</v>
      </c>
      <c r="I3982" s="5" t="s">
        <v>35954</v>
      </c>
      <c r="J3982" s="7" t="s">
        <v>35955</v>
      </c>
      <c r="K3982" s="7" t="s">
        <v>35956</v>
      </c>
      <c r="L3982" s="5" t="s">
        <v>35957</v>
      </c>
      <c r="M3982" s="7" t="s">
        <v>35958</v>
      </c>
      <c r="N3982" s="7" t="s">
        <v>35959</v>
      </c>
      <c r="O3982" s="7">
        <v>0.97799999999999998</v>
      </c>
      <c r="P3982" s="1" t="s">
        <v>35960</v>
      </c>
    </row>
    <row r="3983" spans="1:16" ht="33.4" x14ac:dyDescent="0.3">
      <c r="A3983" s="6" t="str">
        <f>HYPERLINK("https://www.ti.com/product/TPS2051B-Q1", "TPS2051B-Q1")</f>
        <v>TPS2051B-Q1</v>
      </c>
      <c r="B3983" s="5" t="s">
        <v>35961</v>
      </c>
      <c r="C3983" s="6" t="str">
        <f>HYPERLINK("https://www.ti.com/lit/gpn/TPS2051B-Q1", "PDF")</f>
        <v>PDF</v>
      </c>
      <c r="D3983" s="5" t="s">
        <v>35962</v>
      </c>
      <c r="E3983" s="5" t="s">
        <v>35963</v>
      </c>
      <c r="F3983" s="5"/>
      <c r="G3983" s="5" t="s">
        <v>35964</v>
      </c>
      <c r="H3983" s="1" t="s">
        <v>35965</v>
      </c>
      <c r="I3983" s="5" t="s">
        <v>35966</v>
      </c>
      <c r="J3983" s="7">
        <v>8</v>
      </c>
      <c r="K3983" s="7">
        <v>29.4</v>
      </c>
      <c r="L3983" s="5" t="s">
        <v>35967</v>
      </c>
      <c r="M3983" s="7">
        <v>1.75</v>
      </c>
      <c r="N3983" s="7">
        <v>1.27</v>
      </c>
      <c r="O3983" s="7">
        <v>0.38100000000000001</v>
      </c>
      <c r="P3983" s="1" t="s">
        <v>35968</v>
      </c>
    </row>
    <row r="3984" spans="1:16" ht="33.4" x14ac:dyDescent="0.3">
      <c r="A3984" s="6" t="str">
        <f>HYPERLINK("https://www.ti.com/product/TPS2042B-Q1", "TPS2042B-Q1")</f>
        <v>TPS2042B-Q1</v>
      </c>
      <c r="B3984" s="5" t="s">
        <v>35969</v>
      </c>
      <c r="C3984" s="6" t="str">
        <f>HYPERLINK("https://www.ti.com/lit/gpn/TPS2042B-Q1", "PDF")</f>
        <v>PDF</v>
      </c>
      <c r="D3984" s="5" t="s">
        <v>35970</v>
      </c>
      <c r="E3984" s="5" t="s">
        <v>35971</v>
      </c>
      <c r="F3984" s="5"/>
      <c r="G3984" s="5" t="s">
        <v>35972</v>
      </c>
      <c r="H3984" s="1" t="s">
        <v>35973</v>
      </c>
      <c r="I3984" s="5" t="s">
        <v>35974</v>
      </c>
      <c r="J3984" s="7">
        <v>8</v>
      </c>
      <c r="K3984" s="7">
        <v>29.4</v>
      </c>
      <c r="L3984" s="5" t="s">
        <v>35975</v>
      </c>
      <c r="M3984" s="7">
        <v>1.75</v>
      </c>
      <c r="N3984" s="7">
        <v>1.27</v>
      </c>
      <c r="O3984" s="7">
        <v>0.55000000000000004</v>
      </c>
      <c r="P3984" s="1" t="s">
        <v>35976</v>
      </c>
    </row>
    <row r="3985" spans="1:16" ht="33.4" x14ac:dyDescent="0.3">
      <c r="A3985" s="6" t="str">
        <f>HYPERLINK("https://www.ti.com/product/TPS51220", "TPS51220")</f>
        <v>TPS51220</v>
      </c>
      <c r="B3985" s="5" t="s">
        <v>35977</v>
      </c>
      <c r="C3985" s="6" t="str">
        <f>HYPERLINK("https://www.ti.com/lit/gpn/TPS51220", "PDF")</f>
        <v>PDF</v>
      </c>
      <c r="D3985" s="5" t="s">
        <v>35978</v>
      </c>
      <c r="E3985" s="5" t="s">
        <v>35979</v>
      </c>
      <c r="F3985" s="5" t="s">
        <v>35980</v>
      </c>
      <c r="G3985" s="5" t="s">
        <v>35981</v>
      </c>
      <c r="H3985" s="1" t="s">
        <v>35982</v>
      </c>
      <c r="I3985" s="5" t="s">
        <v>35983</v>
      </c>
      <c r="J3985" s="7">
        <v>32</v>
      </c>
      <c r="K3985" s="7">
        <v>25</v>
      </c>
      <c r="L3985" s="5" t="s">
        <v>35984</v>
      </c>
      <c r="M3985" s="7">
        <v>1</v>
      </c>
      <c r="N3985" s="7">
        <v>0.5</v>
      </c>
      <c r="O3985" s="7">
        <v>1.518</v>
      </c>
      <c r="P3985" s="1" t="s">
        <v>35985</v>
      </c>
    </row>
    <row r="3986" spans="1:16" ht="49.75" x14ac:dyDescent="0.3">
      <c r="A3986" s="6" t="str">
        <f>HYPERLINK("https://www.ti.com/product/TPS62112-EP", "TPS62112-EP")</f>
        <v>TPS62112-EP</v>
      </c>
      <c r="B3986" s="5" t="s">
        <v>35986</v>
      </c>
      <c r="C3986" s="6" t="str">
        <f>HYPERLINK("https://www.ti.com/lit/gpn/TPS62112-EP", "PDF")</f>
        <v>PDF</v>
      </c>
      <c r="D3986" s="5" t="s">
        <v>35987</v>
      </c>
      <c r="E3986" s="5" t="s">
        <v>35988</v>
      </c>
      <c r="F3986" s="5" t="s">
        <v>35989</v>
      </c>
      <c r="G3986" s="5" t="s">
        <v>35990</v>
      </c>
      <c r="H3986" s="1" t="s">
        <v>35991</v>
      </c>
      <c r="I3986" s="5" t="s">
        <v>35992</v>
      </c>
      <c r="J3986" s="7">
        <v>16</v>
      </c>
      <c r="K3986" s="7">
        <v>16</v>
      </c>
      <c r="L3986" s="5" t="s">
        <v>35993</v>
      </c>
      <c r="M3986" s="7">
        <v>1</v>
      </c>
      <c r="N3986" s="7">
        <v>0.65</v>
      </c>
      <c r="O3986" s="7">
        <v>5.5659999999999998</v>
      </c>
      <c r="P3986" s="1" t="s">
        <v>35994</v>
      </c>
    </row>
    <row r="3987" spans="1:16" ht="33.4" x14ac:dyDescent="0.3">
      <c r="A3987" s="6" t="str">
        <f>HYPERLINK("https://www.ti.com/product/TPS61160", "TPS61160")</f>
        <v>TPS61160</v>
      </c>
      <c r="B3987" s="5" t="s">
        <v>35995</v>
      </c>
      <c r="C3987" s="6" t="str">
        <f>HYPERLINK("https://www.ti.com/lit/gpn/TPS61160", "PDF")</f>
        <v>PDF</v>
      </c>
      <c r="D3987" s="5" t="s">
        <v>35996</v>
      </c>
      <c r="E3987" s="5" t="s">
        <v>35997</v>
      </c>
      <c r="F3987" s="5" t="s">
        <v>35998</v>
      </c>
      <c r="G3987" s="5" t="s">
        <v>35999</v>
      </c>
      <c r="H3987" s="1" t="s">
        <v>36000</v>
      </c>
      <c r="I3987" s="5" t="s">
        <v>36001</v>
      </c>
      <c r="J3987" s="7">
        <v>6</v>
      </c>
      <c r="K3987" s="7">
        <v>4</v>
      </c>
      <c r="L3987" s="5" t="s">
        <v>36002</v>
      </c>
      <c r="M3987" s="7">
        <v>0.8</v>
      </c>
      <c r="N3987" s="7">
        <v>0.65</v>
      </c>
      <c r="O3987" s="7">
        <v>0.47199999999999998</v>
      </c>
      <c r="P3987" s="1" t="s">
        <v>36003</v>
      </c>
    </row>
    <row r="3988" spans="1:16" ht="33.4" x14ac:dyDescent="0.3">
      <c r="A3988" s="6" t="str">
        <f>HYPERLINK("https://www.ti.com/product/TPS61161", "TPS61161")</f>
        <v>TPS61161</v>
      </c>
      <c r="B3988" s="5" t="s">
        <v>36004</v>
      </c>
      <c r="C3988" s="6" t="str">
        <f>HYPERLINK("https://www.ti.com/lit/gpn/TPS61161", "PDF")</f>
        <v>PDF</v>
      </c>
      <c r="D3988" s="5" t="s">
        <v>36005</v>
      </c>
      <c r="E3988" s="5" t="s">
        <v>36006</v>
      </c>
      <c r="F3988" s="5" t="s">
        <v>36007</v>
      </c>
      <c r="G3988" s="5" t="s">
        <v>36008</v>
      </c>
      <c r="H3988" s="1" t="s">
        <v>36009</v>
      </c>
      <c r="I3988" s="5" t="s">
        <v>36010</v>
      </c>
      <c r="J3988" s="7">
        <v>6</v>
      </c>
      <c r="K3988" s="7">
        <v>4</v>
      </c>
      <c r="L3988" s="5" t="s">
        <v>36011</v>
      </c>
      <c r="M3988" s="7">
        <v>0.8</v>
      </c>
      <c r="N3988" s="7">
        <v>0.65</v>
      </c>
      <c r="O3988" s="7">
        <v>0.47699999999999998</v>
      </c>
      <c r="P3988" s="1" t="s">
        <v>36012</v>
      </c>
    </row>
    <row r="3989" spans="1:16" ht="33.4" x14ac:dyDescent="0.3">
      <c r="A3989" s="6" t="str">
        <f>HYPERLINK("https://www.ti.com/product/TPS61165", "TPS61165")</f>
        <v>TPS61165</v>
      </c>
      <c r="B3989" s="5" t="s">
        <v>36013</v>
      </c>
      <c r="C3989" s="6" t="str">
        <f>HYPERLINK("https://www.ti.com/lit/gpn/TPS61165", "PDF")</f>
        <v>PDF</v>
      </c>
      <c r="D3989" s="5" t="s">
        <v>36014</v>
      </c>
      <c r="E3989" s="5" t="s">
        <v>36015</v>
      </c>
      <c r="F3989" s="5" t="s">
        <v>36016</v>
      </c>
      <c r="G3989" s="5" t="s">
        <v>36017</v>
      </c>
      <c r="H3989" s="1" t="s">
        <v>36018</v>
      </c>
      <c r="I3989" s="5" t="s">
        <v>36019</v>
      </c>
      <c r="J3989" s="7">
        <v>6</v>
      </c>
      <c r="K3989" s="7" t="s">
        <v>36020</v>
      </c>
      <c r="L3989" s="5" t="s">
        <v>36021</v>
      </c>
      <c r="M3989" s="7" t="s">
        <v>36022</v>
      </c>
      <c r="N3989" s="7" t="s">
        <v>36023</v>
      </c>
      <c r="O3989" s="7">
        <v>0.79600000000000004</v>
      </c>
      <c r="P3989" s="1" t="s">
        <v>36024</v>
      </c>
    </row>
    <row r="3990" spans="1:16" ht="33.4" x14ac:dyDescent="0.3">
      <c r="A3990" s="6" t="str">
        <f>HYPERLINK("https://www.ti.com/product/TPS61170", "TPS61170")</f>
        <v>TPS61170</v>
      </c>
      <c r="B3990" s="5" t="s">
        <v>36025</v>
      </c>
      <c r="C3990" s="6" t="str">
        <f>HYPERLINK("https://www.ti.com/lit/gpn/TPS61170", "PDF")</f>
        <v>PDF</v>
      </c>
      <c r="D3990" s="5" t="s">
        <v>36026</v>
      </c>
      <c r="E3990" s="5" t="s">
        <v>36027</v>
      </c>
      <c r="F3990" s="5" t="s">
        <v>36028</v>
      </c>
      <c r="G3990" s="5" t="s">
        <v>36029</v>
      </c>
      <c r="H3990" s="1" t="s">
        <v>36030</v>
      </c>
      <c r="I3990" s="5" t="s">
        <v>36031</v>
      </c>
      <c r="J3990" s="7">
        <v>6</v>
      </c>
      <c r="K3990" s="7">
        <v>4</v>
      </c>
      <c r="L3990" s="5" t="s">
        <v>36032</v>
      </c>
      <c r="M3990" s="7">
        <v>0.8</v>
      </c>
      <c r="N3990" s="7">
        <v>0.65</v>
      </c>
      <c r="O3990" s="7">
        <v>0.81299999999999994</v>
      </c>
      <c r="P3990" s="1" t="s">
        <v>36033</v>
      </c>
    </row>
    <row r="3991" spans="1:16" ht="33.4" x14ac:dyDescent="0.3">
      <c r="A3991" s="6" t="str">
        <f>HYPERLINK("https://www.ti.com/product/LM3679", "LM3679")</f>
        <v>LM3679</v>
      </c>
      <c r="B3991" s="5" t="s">
        <v>36034</v>
      </c>
      <c r="C3991" s="6" t="str">
        <f>HYPERLINK("https://www.ti.com/lit/gpn/LM3679", "PDF")</f>
        <v>PDF</v>
      </c>
      <c r="D3991" s="5" t="s">
        <v>36035</v>
      </c>
      <c r="E3991" s="5" t="s">
        <v>36036</v>
      </c>
      <c r="F3991" s="5" t="s">
        <v>36037</v>
      </c>
      <c r="G3991" s="5" t="s">
        <v>36038</v>
      </c>
      <c r="H3991" s="1" t="s">
        <v>36039</v>
      </c>
      <c r="I3991" s="5" t="s">
        <v>36040</v>
      </c>
      <c r="J3991" s="7">
        <v>5</v>
      </c>
      <c r="K3991" s="7">
        <v>2.02</v>
      </c>
      <c r="L3991" s="5" t="s">
        <v>36041</v>
      </c>
      <c r="M3991" s="7">
        <v>0.42499999999999999</v>
      </c>
      <c r="N3991" s="7">
        <v>0.5</v>
      </c>
      <c r="O3991" s="7">
        <v>0.434</v>
      </c>
      <c r="P3991" s="1" t="s">
        <v>36042</v>
      </c>
    </row>
    <row r="3992" spans="1:16" ht="33.4" x14ac:dyDescent="0.3">
      <c r="A3992" s="6" t="str">
        <f>HYPERLINK("https://www.ti.com/product/TPS65167A", "TPS65167A")</f>
        <v>TPS65167A</v>
      </c>
      <c r="B3992" s="5" t="s">
        <v>36043</v>
      </c>
      <c r="C3992" s="6" t="str">
        <f>HYPERLINK("https://www.ti.com/lit/gpn/TPS65167A", "PDF")</f>
        <v>PDF</v>
      </c>
      <c r="D3992" s="5" t="s">
        <v>36044</v>
      </c>
      <c r="E3992" s="5" t="s">
        <v>36045</v>
      </c>
      <c r="F3992" s="5" t="s">
        <v>36046</v>
      </c>
      <c r="G3992" s="5" t="s">
        <v>36047</v>
      </c>
      <c r="H3992" s="1" t="s">
        <v>36048</v>
      </c>
      <c r="I3992" s="5" t="s">
        <v>36049</v>
      </c>
      <c r="J3992" s="7">
        <v>40</v>
      </c>
      <c r="K3992" s="7">
        <v>36</v>
      </c>
      <c r="L3992" s="5" t="s">
        <v>36050</v>
      </c>
      <c r="M3992" s="7">
        <v>1</v>
      </c>
      <c r="N3992" s="7">
        <v>0.5</v>
      </c>
      <c r="O3992" s="7">
        <v>1.9119999999999999</v>
      </c>
      <c r="P3992" s="1" t="s">
        <v>36051</v>
      </c>
    </row>
    <row r="3993" spans="1:16" ht="33.4" x14ac:dyDescent="0.3">
      <c r="A3993" s="6" t="str">
        <f>HYPERLINK("https://www.ti.com/product/LM20123", "LM20123")</f>
        <v>LM20123</v>
      </c>
      <c r="B3993" s="5" t="s">
        <v>36052</v>
      </c>
      <c r="C3993" s="6" t="str">
        <f>HYPERLINK("https://www.ti.com/lit/gpn/LM20123", "PDF")</f>
        <v>PDF</v>
      </c>
      <c r="D3993" s="5" t="s">
        <v>36053</v>
      </c>
      <c r="E3993" s="5" t="s">
        <v>36054</v>
      </c>
      <c r="F3993" s="5" t="s">
        <v>36055</v>
      </c>
      <c r="G3993" s="5" t="s">
        <v>36056</v>
      </c>
      <c r="H3993" s="1" t="s">
        <v>36057</v>
      </c>
      <c r="I3993" s="5" t="s">
        <v>36058</v>
      </c>
      <c r="J3993" s="7">
        <v>16</v>
      </c>
      <c r="K3993" s="7">
        <v>32</v>
      </c>
      <c r="L3993" s="5" t="s">
        <v>36059</v>
      </c>
      <c r="M3993" s="7">
        <v>1.2</v>
      </c>
      <c r="N3993" s="7">
        <v>0.65</v>
      </c>
      <c r="O3993" s="7">
        <v>1.3919999999999999</v>
      </c>
      <c r="P3993" s="1" t="s">
        <v>36060</v>
      </c>
    </row>
    <row r="3994" spans="1:16" ht="33.4" x14ac:dyDescent="0.3">
      <c r="A3994" s="6" t="str">
        <f>HYPERLINK("https://www.ti.com/product/LM20124", "LM20124")</f>
        <v>LM20124</v>
      </c>
      <c r="B3994" s="5" t="s">
        <v>36061</v>
      </c>
      <c r="C3994" s="6" t="str">
        <f>HYPERLINK("https://www.ti.com/lit/gpn/LM20124", "PDF")</f>
        <v>PDF</v>
      </c>
      <c r="D3994" s="5" t="s">
        <v>36062</v>
      </c>
      <c r="E3994" s="5" t="s">
        <v>36063</v>
      </c>
      <c r="F3994" s="5" t="s">
        <v>36064</v>
      </c>
      <c r="G3994" s="5" t="s">
        <v>36065</v>
      </c>
      <c r="H3994" s="1" t="s">
        <v>36066</v>
      </c>
      <c r="I3994" s="5" t="s">
        <v>36067</v>
      </c>
      <c r="J3994" s="7">
        <v>16</v>
      </c>
      <c r="K3994" s="7">
        <v>32</v>
      </c>
      <c r="L3994" s="5" t="s">
        <v>36068</v>
      </c>
      <c r="M3994" s="7">
        <v>1.2</v>
      </c>
      <c r="N3994" s="7">
        <v>0.65</v>
      </c>
      <c r="O3994" s="7">
        <v>1.28</v>
      </c>
      <c r="P3994" s="1" t="s">
        <v>36069</v>
      </c>
    </row>
    <row r="3995" spans="1:16" ht="33.4" x14ac:dyDescent="0.3">
      <c r="A3995" s="6" t="str">
        <f>HYPERLINK("https://www.ti.com/product/LM20125", "LM20125")</f>
        <v>LM20125</v>
      </c>
      <c r="B3995" s="5" t="s">
        <v>36070</v>
      </c>
      <c r="C3995" s="6" t="str">
        <f>HYPERLINK("https://www.ti.com/lit/gpn/LM20125", "PDF")</f>
        <v>PDF</v>
      </c>
      <c r="D3995" s="5" t="s">
        <v>36071</v>
      </c>
      <c r="E3995" s="5" t="s">
        <v>36072</v>
      </c>
      <c r="F3995" s="5" t="s">
        <v>36073</v>
      </c>
      <c r="G3995" s="5" t="s">
        <v>36074</v>
      </c>
      <c r="H3995" s="1" t="s">
        <v>36075</v>
      </c>
      <c r="I3995" s="5" t="s">
        <v>36076</v>
      </c>
      <c r="J3995" s="7">
        <v>16</v>
      </c>
      <c r="K3995" s="7">
        <v>32</v>
      </c>
      <c r="L3995" s="5" t="s">
        <v>36077</v>
      </c>
      <c r="M3995" s="7">
        <v>1.2</v>
      </c>
      <c r="N3995" s="7">
        <v>0.65</v>
      </c>
      <c r="O3995" s="7">
        <v>1.3360000000000001</v>
      </c>
      <c r="P3995" s="1" t="s">
        <v>36078</v>
      </c>
    </row>
    <row r="3996" spans="1:16" ht="33.4" x14ac:dyDescent="0.3">
      <c r="A3996" s="6" t="str">
        <f>HYPERLINK("https://www.ti.com/product/LM20133", "LM20133")</f>
        <v>LM20133</v>
      </c>
      <c r="B3996" s="5" t="s">
        <v>36079</v>
      </c>
      <c r="C3996" s="6" t="str">
        <f>HYPERLINK("https://www.ti.com/lit/gpn/LM20133", "PDF")</f>
        <v>PDF</v>
      </c>
      <c r="D3996" s="5" t="s">
        <v>36080</v>
      </c>
      <c r="E3996" s="5" t="s">
        <v>36081</v>
      </c>
      <c r="F3996" s="5" t="s">
        <v>36082</v>
      </c>
      <c r="G3996" s="5" t="s">
        <v>36083</v>
      </c>
      <c r="H3996" s="1" t="s">
        <v>36084</v>
      </c>
      <c r="I3996" s="5" t="s">
        <v>36085</v>
      </c>
      <c r="J3996" s="7">
        <v>16</v>
      </c>
      <c r="K3996" s="7">
        <v>32</v>
      </c>
      <c r="L3996" s="5" t="s">
        <v>36086</v>
      </c>
      <c r="M3996" s="7">
        <v>1.2</v>
      </c>
      <c r="N3996" s="7">
        <v>0.65</v>
      </c>
      <c r="O3996" s="7">
        <v>1.3919999999999999</v>
      </c>
      <c r="P3996" s="1" t="s">
        <v>36087</v>
      </c>
    </row>
    <row r="3997" spans="1:16" ht="33.4" x14ac:dyDescent="0.3">
      <c r="A3997" s="6" t="str">
        <f>HYPERLINK("https://www.ti.com/product/LM20134", "LM20134")</f>
        <v>LM20134</v>
      </c>
      <c r="B3997" s="5" t="s">
        <v>36088</v>
      </c>
      <c r="C3997" s="6" t="str">
        <f>HYPERLINK("https://www.ti.com/lit/gpn/LM20134", "PDF")</f>
        <v>PDF</v>
      </c>
      <c r="D3997" s="5" t="s">
        <v>36089</v>
      </c>
      <c r="E3997" s="5" t="s">
        <v>36090</v>
      </c>
      <c r="F3997" s="5" t="s">
        <v>36091</v>
      </c>
      <c r="G3997" s="5" t="s">
        <v>36092</v>
      </c>
      <c r="H3997" s="1" t="s">
        <v>36093</v>
      </c>
      <c r="I3997" s="5" t="s">
        <v>36094</v>
      </c>
      <c r="J3997" s="7">
        <v>16</v>
      </c>
      <c r="K3997" s="7">
        <v>32</v>
      </c>
      <c r="L3997" s="5" t="s">
        <v>36095</v>
      </c>
      <c r="M3997" s="7">
        <v>1.2</v>
      </c>
      <c r="N3997" s="7">
        <v>0.65</v>
      </c>
      <c r="O3997" s="7">
        <v>1.3360000000000001</v>
      </c>
      <c r="P3997" s="1" t="s">
        <v>36096</v>
      </c>
    </row>
    <row r="3998" spans="1:16" ht="33.4" x14ac:dyDescent="0.3">
      <c r="A3998" s="6" t="str">
        <f>HYPERLINK("https://www.ti.com/product/LM20143", "LM20143")</f>
        <v>LM20143</v>
      </c>
      <c r="B3998" s="5" t="s">
        <v>36097</v>
      </c>
      <c r="C3998" s="6" t="str">
        <f>HYPERLINK("https://www.ti.com/lit/gpn/LM20143", "PDF")</f>
        <v>PDF</v>
      </c>
      <c r="D3998" s="5" t="s">
        <v>36098</v>
      </c>
      <c r="E3998" s="5" t="s">
        <v>36099</v>
      </c>
      <c r="F3998" s="5" t="s">
        <v>36100</v>
      </c>
      <c r="G3998" s="5" t="s">
        <v>36101</v>
      </c>
      <c r="H3998" s="1" t="s">
        <v>36102</v>
      </c>
      <c r="I3998" s="5" t="s">
        <v>36103</v>
      </c>
      <c r="J3998" s="7">
        <v>16</v>
      </c>
      <c r="K3998" s="7">
        <v>32</v>
      </c>
      <c r="L3998" s="5" t="s">
        <v>36104</v>
      </c>
      <c r="M3998" s="7">
        <v>1.2</v>
      </c>
      <c r="N3998" s="7">
        <v>0.65</v>
      </c>
      <c r="O3998" s="7">
        <v>1.3919999999999999</v>
      </c>
      <c r="P3998" s="1" t="s">
        <v>36105</v>
      </c>
    </row>
    <row r="3999" spans="1:16" ht="33.4" x14ac:dyDescent="0.3">
      <c r="A3999" s="6" t="str">
        <f>HYPERLINK("https://www.ti.com/product/LM20144", "LM20144")</f>
        <v>LM20144</v>
      </c>
      <c r="B3999" s="5" t="s">
        <v>36106</v>
      </c>
      <c r="C3999" s="6" t="str">
        <f>HYPERLINK("https://www.ti.com/lit/gpn/LM20144", "PDF")</f>
        <v>PDF</v>
      </c>
      <c r="D3999" s="5" t="s">
        <v>36107</v>
      </c>
      <c r="E3999" s="5" t="s">
        <v>36108</v>
      </c>
      <c r="F3999" s="5" t="s">
        <v>36109</v>
      </c>
      <c r="G3999" s="5" t="s">
        <v>36110</v>
      </c>
      <c r="H3999" s="1" t="s">
        <v>36111</v>
      </c>
      <c r="I3999" s="5" t="s">
        <v>36112</v>
      </c>
      <c r="J3999" s="7">
        <v>16</v>
      </c>
      <c r="K3999" s="7">
        <v>32</v>
      </c>
      <c r="L3999" s="5" t="s">
        <v>36113</v>
      </c>
      <c r="M3999" s="7">
        <v>1.2</v>
      </c>
      <c r="N3999" s="7">
        <v>0.65</v>
      </c>
      <c r="O3999" s="7">
        <v>1.28</v>
      </c>
      <c r="P3999" s="1" t="s">
        <v>36114</v>
      </c>
    </row>
    <row r="4000" spans="1:16" ht="33.4" x14ac:dyDescent="0.3">
      <c r="A4000" s="6" t="str">
        <f>HYPERLINK("https://www.ti.com/product/LM20145", "LM20145")</f>
        <v>LM20145</v>
      </c>
      <c r="B4000" s="5" t="s">
        <v>36115</v>
      </c>
      <c r="C4000" s="6" t="str">
        <f>HYPERLINK("https://www.ti.com/lit/gpn/LM20145", "PDF")</f>
        <v>PDF</v>
      </c>
      <c r="D4000" s="5" t="s">
        <v>36116</v>
      </c>
      <c r="E4000" s="5" t="s">
        <v>36117</v>
      </c>
      <c r="F4000" s="5" t="s">
        <v>36118</v>
      </c>
      <c r="G4000" s="5" t="s">
        <v>36119</v>
      </c>
      <c r="H4000" s="1" t="s">
        <v>36120</v>
      </c>
      <c r="I4000" s="5" t="s">
        <v>36121</v>
      </c>
      <c r="J4000" s="7">
        <v>16</v>
      </c>
      <c r="K4000" s="7">
        <v>32</v>
      </c>
      <c r="L4000" s="5" t="s">
        <v>36122</v>
      </c>
      <c r="M4000" s="7">
        <v>1.2</v>
      </c>
      <c r="N4000" s="7">
        <v>0.65</v>
      </c>
      <c r="O4000" s="7">
        <v>1.3360000000000001</v>
      </c>
      <c r="P4000" s="1" t="s">
        <v>36123</v>
      </c>
    </row>
    <row r="4001" spans="1:16" ht="33.4" x14ac:dyDescent="0.3">
      <c r="A4001" s="6" t="str">
        <f>HYPERLINK("https://www.ti.com/product/LM20154", "LM20154")</f>
        <v>LM20154</v>
      </c>
      <c r="B4001" s="5" t="s">
        <v>36124</v>
      </c>
      <c r="C4001" s="6" t="str">
        <f>HYPERLINK("https://www.ti.com/lit/gpn/LM20154", "PDF")</f>
        <v>PDF</v>
      </c>
      <c r="D4001" s="5" t="s">
        <v>36125</v>
      </c>
      <c r="E4001" s="5" t="s">
        <v>36126</v>
      </c>
      <c r="F4001" s="5" t="s">
        <v>36127</v>
      </c>
      <c r="G4001" s="5" t="s">
        <v>36128</v>
      </c>
      <c r="H4001" s="1" t="s">
        <v>36129</v>
      </c>
      <c r="I4001" s="5" t="s">
        <v>36130</v>
      </c>
      <c r="J4001" s="7">
        <v>16</v>
      </c>
      <c r="K4001" s="7">
        <v>32</v>
      </c>
      <c r="L4001" s="5" t="s">
        <v>36131</v>
      </c>
      <c r="M4001" s="7">
        <v>1.2</v>
      </c>
      <c r="N4001" s="7">
        <v>0.65</v>
      </c>
      <c r="O4001" s="7">
        <v>1.67</v>
      </c>
      <c r="P4001" s="1" t="s">
        <v>36132</v>
      </c>
    </row>
    <row r="4002" spans="1:16" ht="33.4" x14ac:dyDescent="0.3">
      <c r="A4002" s="6" t="str">
        <f>HYPERLINK("https://www.ti.com/product/TPS62242", "TPS62242")</f>
        <v>TPS62242</v>
      </c>
      <c r="B4002" s="5" t="s">
        <v>36133</v>
      </c>
      <c r="C4002" s="6" t="str">
        <f>HYPERLINK("https://www.ti.com/lit/gpn/TPS62242", "PDF")</f>
        <v>PDF</v>
      </c>
      <c r="D4002" s="5" t="s">
        <v>36134</v>
      </c>
      <c r="E4002" s="5" t="s">
        <v>36135</v>
      </c>
      <c r="F4002" s="5" t="s">
        <v>36136</v>
      </c>
      <c r="G4002" s="5" t="s">
        <v>36137</v>
      </c>
      <c r="H4002" s="1" t="s">
        <v>36138</v>
      </c>
      <c r="I4002" s="5" t="s">
        <v>36139</v>
      </c>
      <c r="J4002" s="7">
        <v>6</v>
      </c>
      <c r="K4002" s="7">
        <v>4</v>
      </c>
      <c r="L4002" s="5" t="s">
        <v>36140</v>
      </c>
      <c r="M4002" s="7">
        <v>0.8</v>
      </c>
      <c r="N4002" s="7">
        <v>0.65</v>
      </c>
      <c r="O4002" s="7">
        <v>0.45500000000000002</v>
      </c>
      <c r="P4002" s="1" t="s">
        <v>36141</v>
      </c>
    </row>
    <row r="4003" spans="1:16" ht="33.4" x14ac:dyDescent="0.3">
      <c r="A4003" s="6" t="str">
        <f>HYPERLINK("https://www.ti.com/product/PTR08100W", "PTR08100W")</f>
        <v>PTR08100W</v>
      </c>
      <c r="B4003" s="5" t="s">
        <v>36142</v>
      </c>
      <c r="C4003" s="6" t="str">
        <f>HYPERLINK("https://www.ti.com/lit/gpn/PTR08100W", "PDF")</f>
        <v>PDF</v>
      </c>
      <c r="D4003" s="5" t="s">
        <v>36143</v>
      </c>
      <c r="E4003" s="5" t="s">
        <v>36144</v>
      </c>
      <c r="F4003" s="5" t="s">
        <v>36145</v>
      </c>
      <c r="G4003" s="5" t="s">
        <v>36146</v>
      </c>
      <c r="H4003" s="1" t="s">
        <v>36147</v>
      </c>
      <c r="I4003" s="5" t="s">
        <v>36148</v>
      </c>
      <c r="J4003" s="7">
        <v>5</v>
      </c>
      <c r="K4003" s="7">
        <v>189.86500000000001</v>
      </c>
      <c r="L4003" s="5" t="s">
        <v>36149</v>
      </c>
      <c r="M4003" s="7">
        <v>16.64</v>
      </c>
      <c r="N4003" s="7">
        <v>1.7</v>
      </c>
      <c r="O4003" s="7">
        <v>10.901</v>
      </c>
      <c r="P4003" s="1" t="s">
        <v>36150</v>
      </c>
    </row>
    <row r="4004" spans="1:16" ht="33.4" x14ac:dyDescent="0.3">
      <c r="A4004" s="6" t="str">
        <f>HYPERLINK("https://www.ti.com/product/TPS28226", "TPS28226")</f>
        <v>TPS28226</v>
      </c>
      <c r="B4004" s="5" t="s">
        <v>36151</v>
      </c>
      <c r="C4004" s="6" t="str">
        <f>HYPERLINK("https://www.ti.com/lit/gpn/TPS28226", "PDF")</f>
        <v>PDF</v>
      </c>
      <c r="D4004" s="5" t="s">
        <v>36152</v>
      </c>
      <c r="E4004" s="5" t="s">
        <v>36153</v>
      </c>
      <c r="F4004" s="5"/>
      <c r="G4004" s="5" t="s">
        <v>36154</v>
      </c>
      <c r="H4004" s="1" t="s">
        <v>36155</v>
      </c>
      <c r="I4004" s="5" t="s">
        <v>36156</v>
      </c>
      <c r="J4004" s="7">
        <v>8</v>
      </c>
      <c r="K4004" s="7" t="s">
        <v>36157</v>
      </c>
      <c r="L4004" s="5" t="s">
        <v>36158</v>
      </c>
      <c r="M4004" s="7" t="s">
        <v>36159</v>
      </c>
      <c r="N4004" s="7" t="s">
        <v>36160</v>
      </c>
      <c r="O4004" s="7">
        <v>0.55400000000000005</v>
      </c>
      <c r="P4004" s="1" t="s">
        <v>36161</v>
      </c>
    </row>
    <row r="4005" spans="1:16" ht="33.4" x14ac:dyDescent="0.3">
      <c r="A4005" s="6" t="str">
        <f>HYPERLINK("https://www.ti.com/product/LM3405A", "LM3405A")</f>
        <v>LM3405A</v>
      </c>
      <c r="B4005" s="5" t="s">
        <v>36162</v>
      </c>
      <c r="C4005" s="6" t="str">
        <f>HYPERLINK("https://www.ti.com/lit/gpn/LM3405A", "PDF")</f>
        <v>PDF</v>
      </c>
      <c r="D4005" s="5" t="s">
        <v>36163</v>
      </c>
      <c r="E4005" s="5" t="s">
        <v>36164</v>
      </c>
      <c r="F4005" s="5" t="s">
        <v>36165</v>
      </c>
      <c r="G4005" s="5" t="s">
        <v>36166</v>
      </c>
      <c r="H4005" s="1" t="s">
        <v>36167</v>
      </c>
      <c r="I4005" s="5" t="s">
        <v>36168</v>
      </c>
      <c r="J4005" s="7" t="s">
        <v>36169</v>
      </c>
      <c r="K4005" s="7" t="s">
        <v>36170</v>
      </c>
      <c r="L4005" s="5" t="s">
        <v>36171</v>
      </c>
      <c r="M4005" s="7">
        <v>1.1000000000000001</v>
      </c>
      <c r="N4005" s="7" t="s">
        <v>36172</v>
      </c>
      <c r="O4005" s="7">
        <v>0.24</v>
      </c>
      <c r="P4005" s="1" t="s">
        <v>36173</v>
      </c>
    </row>
    <row r="4006" spans="1:16" ht="17.05" x14ac:dyDescent="0.3">
      <c r="A4006" s="6" t="str">
        <f>HYPERLINK("https://www.ti.com/product/TPS65161A", "TPS65161A")</f>
        <v>TPS65161A</v>
      </c>
      <c r="B4006" s="5" t="s">
        <v>36174</v>
      </c>
      <c r="C4006" s="6" t="str">
        <f>HYPERLINK("https://www.ti.com/lit/gpn/TPS65161A", "PDF")</f>
        <v>PDF</v>
      </c>
      <c r="D4006" s="5" t="s">
        <v>36175</v>
      </c>
      <c r="E4006" s="5" t="s">
        <v>36176</v>
      </c>
      <c r="F4006" s="5" t="s">
        <v>36177</v>
      </c>
      <c r="G4006" s="5" t="s">
        <v>36178</v>
      </c>
      <c r="H4006" s="1" t="s">
        <v>36179</v>
      </c>
      <c r="I4006" s="5" t="s">
        <v>36180</v>
      </c>
      <c r="J4006" s="7">
        <v>28</v>
      </c>
      <c r="K4006" s="7">
        <v>62.08</v>
      </c>
      <c r="L4006" s="5" t="s">
        <v>36181</v>
      </c>
      <c r="M4006" s="7">
        <v>1.2</v>
      </c>
      <c r="N4006" s="7">
        <v>0.65</v>
      </c>
      <c r="O4006" s="7">
        <v>0.68899999999999995</v>
      </c>
      <c r="P4006" s="1" t="s">
        <v>36182</v>
      </c>
    </row>
    <row r="4007" spans="1:16" ht="49.75" x14ac:dyDescent="0.3">
      <c r="A4007" s="6" t="str">
        <f>HYPERLINK("https://www.ti.com/product/LM2757", "LM2757")</f>
        <v>LM2757</v>
      </c>
      <c r="B4007" s="5" t="s">
        <v>36183</v>
      </c>
      <c r="C4007" s="6" t="str">
        <f>HYPERLINK("https://www.ti.com/lit/gpn/LM2757", "PDF")</f>
        <v>PDF</v>
      </c>
      <c r="D4007" s="5" t="s">
        <v>36184</v>
      </c>
      <c r="E4007" s="5" t="s">
        <v>36185</v>
      </c>
      <c r="F4007" s="5"/>
      <c r="G4007" s="5" t="s">
        <v>36186</v>
      </c>
      <c r="H4007" s="1" t="s">
        <v>36187</v>
      </c>
      <c r="I4007" s="5" t="s">
        <v>36188</v>
      </c>
      <c r="J4007" s="7">
        <v>12</v>
      </c>
      <c r="K4007" s="7">
        <v>2.52</v>
      </c>
      <c r="L4007" s="5" t="s">
        <v>36189</v>
      </c>
      <c r="M4007" s="7">
        <v>0.67500000000000004</v>
      </c>
      <c r="N4007" s="7">
        <v>0.4</v>
      </c>
      <c r="O4007" s="7">
        <v>0.67300000000000004</v>
      </c>
      <c r="P4007" s="1" t="s">
        <v>36190</v>
      </c>
    </row>
    <row r="4008" spans="1:16" ht="33.4" x14ac:dyDescent="0.3">
      <c r="A4008" s="6" t="str">
        <f>HYPERLINK("https://www.ti.com/product/PTR08060W", "PTR08060W")</f>
        <v>PTR08060W</v>
      </c>
      <c r="B4008" s="5" t="s">
        <v>36191</v>
      </c>
      <c r="C4008" s="6" t="str">
        <f>HYPERLINK("https://www.ti.com/lit/gpn/PTR08060W", "PDF")</f>
        <v>PDF</v>
      </c>
      <c r="D4008" s="5" t="s">
        <v>36192</v>
      </c>
      <c r="E4008" s="5" t="s">
        <v>36193</v>
      </c>
      <c r="F4008" s="5" t="s">
        <v>36194</v>
      </c>
      <c r="G4008" s="5" t="s">
        <v>36195</v>
      </c>
      <c r="H4008" s="1" t="s">
        <v>36196</v>
      </c>
      <c r="I4008" s="5" t="s">
        <v>36197</v>
      </c>
      <c r="J4008" s="7">
        <v>5</v>
      </c>
      <c r="K4008" s="7">
        <v>189.86500000000001</v>
      </c>
      <c r="L4008" s="5" t="s">
        <v>36198</v>
      </c>
      <c r="M4008" s="7">
        <v>16.64</v>
      </c>
      <c r="N4008" s="7">
        <v>1.7</v>
      </c>
      <c r="O4008" s="7">
        <v>7.9269999999999996</v>
      </c>
      <c r="P4008" s="1" t="s">
        <v>36199</v>
      </c>
    </row>
    <row r="4009" spans="1:16" ht="33.4" x14ac:dyDescent="0.3">
      <c r="A4009" s="6" t="str">
        <f>HYPERLINK("https://www.ti.com/product/TPS62355", "TPS62355")</f>
        <v>TPS62355</v>
      </c>
      <c r="B4009" s="5" t="s">
        <v>36200</v>
      </c>
      <c r="C4009" s="6" t="str">
        <f>HYPERLINK("https://www.ti.com/lit/gpn/TPS62355", "PDF")</f>
        <v>PDF</v>
      </c>
      <c r="D4009" s="5" t="s">
        <v>36201</v>
      </c>
      <c r="E4009" s="5" t="s">
        <v>36202</v>
      </c>
      <c r="F4009" s="5" t="s">
        <v>36203</v>
      </c>
      <c r="G4009" s="5" t="s">
        <v>36204</v>
      </c>
      <c r="H4009" s="1" t="s">
        <v>36205</v>
      </c>
      <c r="I4009" s="5" t="s">
        <v>36206</v>
      </c>
      <c r="J4009" s="7">
        <v>10</v>
      </c>
      <c r="K4009" s="7">
        <v>9</v>
      </c>
      <c r="L4009" s="5" t="s">
        <v>36207</v>
      </c>
      <c r="M4009" s="7">
        <v>1</v>
      </c>
      <c r="N4009" s="7">
        <v>0.5</v>
      </c>
      <c r="O4009" s="7">
        <v>0.65700000000000003</v>
      </c>
      <c r="P4009" s="1" t="s">
        <v>36208</v>
      </c>
    </row>
    <row r="4010" spans="1:16" ht="49.75" x14ac:dyDescent="0.3">
      <c r="A4010" s="6" t="str">
        <f>HYPERLINK("https://www.ti.com/product/REF3312", "REF3312")</f>
        <v>REF3312</v>
      </c>
      <c r="B4010" s="5" t="s">
        <v>36209</v>
      </c>
      <c r="C4010" s="6" t="str">
        <f>HYPERLINK("https://www.ti.com/lit/gpn/REF3312", "PDF")</f>
        <v>PDF</v>
      </c>
      <c r="D4010" s="5" t="s">
        <v>36210</v>
      </c>
      <c r="E4010" s="5" t="s">
        <v>36211</v>
      </c>
      <c r="F4010" s="5"/>
      <c r="G4010" s="5" t="s">
        <v>36212</v>
      </c>
      <c r="H4010" s="1" t="s">
        <v>36213</v>
      </c>
      <c r="I4010" s="5" t="s">
        <v>36214</v>
      </c>
      <c r="J4010" s="7" t="s">
        <v>36215</v>
      </c>
      <c r="K4010" s="7" t="s">
        <v>36216</v>
      </c>
      <c r="L4010" s="5" t="s">
        <v>36217</v>
      </c>
      <c r="M4010" s="7" t="s">
        <v>36218</v>
      </c>
      <c r="N4010" s="7" t="s">
        <v>36219</v>
      </c>
      <c r="O4010" s="7">
        <v>0.69799999999999995</v>
      </c>
      <c r="P4010" s="1" t="s">
        <v>36220</v>
      </c>
    </row>
    <row r="4011" spans="1:16" ht="49.75" x14ac:dyDescent="0.3">
      <c r="A4011" s="6" t="str">
        <f>HYPERLINK("https://www.ti.com/product/REF3318", "REF3318")</f>
        <v>REF3318</v>
      </c>
      <c r="B4011" s="5" t="s">
        <v>36221</v>
      </c>
      <c r="C4011" s="6" t="str">
        <f>HYPERLINK("https://www.ti.com/lit/gpn/REF3318", "PDF")</f>
        <v>PDF</v>
      </c>
      <c r="D4011" s="5" t="s">
        <v>36222</v>
      </c>
      <c r="E4011" s="5" t="s">
        <v>36223</v>
      </c>
      <c r="F4011" s="5"/>
      <c r="G4011" s="5" t="s">
        <v>36224</v>
      </c>
      <c r="H4011" s="1" t="s">
        <v>36225</v>
      </c>
      <c r="I4011" s="5" t="s">
        <v>36226</v>
      </c>
      <c r="J4011" s="7">
        <v>3</v>
      </c>
      <c r="K4011" s="7" t="s">
        <v>36227</v>
      </c>
      <c r="L4011" s="5" t="s">
        <v>36228</v>
      </c>
      <c r="M4011" s="7" t="s">
        <v>36229</v>
      </c>
      <c r="N4011" s="7" t="s">
        <v>36230</v>
      </c>
      <c r="O4011" s="7">
        <v>0.75700000000000001</v>
      </c>
      <c r="P4011" s="1" t="s">
        <v>36231</v>
      </c>
    </row>
    <row r="4012" spans="1:16" ht="49.75" x14ac:dyDescent="0.3">
      <c r="A4012" s="6" t="str">
        <f>HYPERLINK("https://www.ti.com/product/REF3320", "REF3320")</f>
        <v>REF3320</v>
      </c>
      <c r="B4012" s="5" t="s">
        <v>36232</v>
      </c>
      <c r="C4012" s="6" t="str">
        <f>HYPERLINK("https://www.ti.com/lit/gpn/REF3320", "PDF")</f>
        <v>PDF</v>
      </c>
      <c r="D4012" s="5" t="s">
        <v>36233</v>
      </c>
      <c r="E4012" s="5" t="s">
        <v>36234</v>
      </c>
      <c r="F4012" s="5"/>
      <c r="G4012" s="5" t="s">
        <v>36235</v>
      </c>
      <c r="H4012" s="1" t="s">
        <v>36236</v>
      </c>
      <c r="I4012" s="5" t="s">
        <v>36237</v>
      </c>
      <c r="J4012" s="7">
        <v>3</v>
      </c>
      <c r="K4012" s="7" t="s">
        <v>36238</v>
      </c>
      <c r="L4012" s="5" t="s">
        <v>36239</v>
      </c>
      <c r="M4012" s="7" t="s">
        <v>36240</v>
      </c>
      <c r="N4012" s="7" t="s">
        <v>36241</v>
      </c>
      <c r="O4012" s="7">
        <v>0.69</v>
      </c>
      <c r="P4012" s="1" t="s">
        <v>36242</v>
      </c>
    </row>
    <row r="4013" spans="1:16" ht="49.75" x14ac:dyDescent="0.3">
      <c r="A4013" s="6" t="str">
        <f>HYPERLINK("https://www.ti.com/product/REF3325", "REF3325")</f>
        <v>REF3325</v>
      </c>
      <c r="B4013" s="5" t="s">
        <v>36243</v>
      </c>
      <c r="C4013" s="6" t="str">
        <f>HYPERLINK("https://www.ti.com/lit/gpn/REF3325", "PDF")</f>
        <v>PDF</v>
      </c>
      <c r="D4013" s="5" t="s">
        <v>36244</v>
      </c>
      <c r="E4013" s="5" t="s">
        <v>36245</v>
      </c>
      <c r="F4013" s="5"/>
      <c r="G4013" s="5" t="s">
        <v>36246</v>
      </c>
      <c r="H4013" s="1" t="s">
        <v>36247</v>
      </c>
      <c r="I4013" s="5" t="s">
        <v>36248</v>
      </c>
      <c r="J4013" s="7" t="s">
        <v>36249</v>
      </c>
      <c r="K4013" s="7" t="s">
        <v>36250</v>
      </c>
      <c r="L4013" s="5" t="s">
        <v>36251</v>
      </c>
      <c r="M4013" s="7" t="s">
        <v>36252</v>
      </c>
      <c r="N4013" s="7" t="s">
        <v>36253</v>
      </c>
      <c r="O4013" s="7">
        <v>0.71099999999999997</v>
      </c>
      <c r="P4013" s="1" t="s">
        <v>36254</v>
      </c>
    </row>
    <row r="4014" spans="1:16" ht="49.75" x14ac:dyDescent="0.3">
      <c r="A4014" s="6" t="str">
        <f>HYPERLINK("https://www.ti.com/product/REF3330", "REF3330")</f>
        <v>REF3330</v>
      </c>
      <c r="B4014" s="5" t="s">
        <v>36255</v>
      </c>
      <c r="C4014" s="6" t="str">
        <f>HYPERLINK("https://www.ti.com/lit/gpn/REF3330", "PDF")</f>
        <v>PDF</v>
      </c>
      <c r="D4014" s="5" t="s">
        <v>36256</v>
      </c>
      <c r="E4014" s="5" t="s">
        <v>36257</v>
      </c>
      <c r="F4014" s="5"/>
      <c r="G4014" s="5" t="s">
        <v>36258</v>
      </c>
      <c r="H4014" s="1" t="s">
        <v>36259</v>
      </c>
      <c r="I4014" s="5" t="s">
        <v>36260</v>
      </c>
      <c r="J4014" s="7" t="s">
        <v>36261</v>
      </c>
      <c r="K4014" s="7" t="s">
        <v>36262</v>
      </c>
      <c r="L4014" s="5" t="s">
        <v>36263</v>
      </c>
      <c r="M4014" s="7" t="s">
        <v>36264</v>
      </c>
      <c r="N4014" s="7" t="s">
        <v>36265</v>
      </c>
      <c r="O4014" s="7">
        <v>0.624</v>
      </c>
      <c r="P4014" s="1" t="s">
        <v>36266</v>
      </c>
    </row>
    <row r="4015" spans="1:16" ht="49.75" x14ac:dyDescent="0.3">
      <c r="A4015" s="6" t="str">
        <f>HYPERLINK("https://www.ti.com/product/REF3333", "REF3333")</f>
        <v>REF3333</v>
      </c>
      <c r="B4015" s="5" t="s">
        <v>36267</v>
      </c>
      <c r="C4015" s="6" t="str">
        <f>HYPERLINK("https://www.ti.com/lit/gpn/REF3333", "PDF")</f>
        <v>PDF</v>
      </c>
      <c r="D4015" s="5" t="s">
        <v>36268</v>
      </c>
      <c r="E4015" s="5" t="s">
        <v>36269</v>
      </c>
      <c r="F4015" s="5"/>
      <c r="G4015" s="5" t="s">
        <v>36270</v>
      </c>
      <c r="H4015" s="1" t="s">
        <v>36271</v>
      </c>
      <c r="I4015" s="5" t="s">
        <v>36272</v>
      </c>
      <c r="J4015" s="7">
        <v>3</v>
      </c>
      <c r="K4015" s="7" t="s">
        <v>36273</v>
      </c>
      <c r="L4015" s="5" t="s">
        <v>36274</v>
      </c>
      <c r="M4015" s="7" t="s">
        <v>36275</v>
      </c>
      <c r="N4015" s="7" t="s">
        <v>36276</v>
      </c>
      <c r="O4015" s="7">
        <v>0.60699999999999998</v>
      </c>
      <c r="P4015" s="1" t="s">
        <v>36277</v>
      </c>
    </row>
    <row r="4016" spans="1:16" ht="33.4" x14ac:dyDescent="0.3">
      <c r="A4016" s="6" t="str">
        <f>HYPERLINK("https://www.ti.com/product/TPS728", "TPS728")</f>
        <v>TPS728</v>
      </c>
      <c r="B4016" s="5" t="s">
        <v>36278</v>
      </c>
      <c r="C4016" s="6" t="str">
        <f>HYPERLINK("https://www.ti.com/lit/gpn/TPS728", "PDF")</f>
        <v>PDF</v>
      </c>
      <c r="D4016" s="5" t="s">
        <v>36279</v>
      </c>
      <c r="E4016" s="5" t="s">
        <v>36280</v>
      </c>
      <c r="F4016" s="5"/>
      <c r="G4016" s="5" t="s">
        <v>36281</v>
      </c>
      <c r="H4016" s="1" t="s">
        <v>36282</v>
      </c>
      <c r="I4016" s="5" t="s">
        <v>36283</v>
      </c>
      <c r="J4016" s="7" t="s">
        <v>36284</v>
      </c>
      <c r="K4016" s="7" t="s">
        <v>36285</v>
      </c>
      <c r="L4016" s="5" t="s">
        <v>36286</v>
      </c>
      <c r="M4016" s="7" t="s">
        <v>36287</v>
      </c>
      <c r="N4016" s="7" t="s">
        <v>36288</v>
      </c>
      <c r="O4016" s="7">
        <v>0.47599999999999998</v>
      </c>
      <c r="P4016" s="1" t="s">
        <v>36289</v>
      </c>
    </row>
    <row r="4017" spans="1:16" ht="33.4" x14ac:dyDescent="0.3">
      <c r="A4017" s="6" t="str">
        <f>HYPERLINK("https://www.ti.com/product/LM4510", "LM4510")</f>
        <v>LM4510</v>
      </c>
      <c r="B4017" s="5" t="s">
        <v>36290</v>
      </c>
      <c r="C4017" s="6" t="str">
        <f>HYPERLINK("https://www.ti.com/lit/gpn/LM4510", "PDF")</f>
        <v>PDF</v>
      </c>
      <c r="D4017" s="5" t="s">
        <v>36291</v>
      </c>
      <c r="E4017" s="5" t="s">
        <v>36292</v>
      </c>
      <c r="F4017" s="5" t="s">
        <v>36293</v>
      </c>
      <c r="G4017" s="5" t="s">
        <v>36294</v>
      </c>
      <c r="H4017" s="1" t="s">
        <v>36295</v>
      </c>
      <c r="I4017" s="5" t="s">
        <v>36296</v>
      </c>
      <c r="J4017" s="7">
        <v>10</v>
      </c>
      <c r="K4017" s="7">
        <v>9</v>
      </c>
      <c r="L4017" s="5" t="s">
        <v>36297</v>
      </c>
      <c r="M4017" s="7">
        <v>0.8</v>
      </c>
      <c r="N4017" s="7">
        <v>0.5</v>
      </c>
      <c r="O4017" s="7">
        <v>0.55800000000000005</v>
      </c>
      <c r="P4017" s="1" t="s">
        <v>36298</v>
      </c>
    </row>
    <row r="4018" spans="1:16" ht="49.75" x14ac:dyDescent="0.3">
      <c r="A4018" s="6" t="str">
        <f>HYPERLINK("https://www.ti.com/product/TPS62111-EP", "TPS62111-EP")</f>
        <v>TPS62111-EP</v>
      </c>
      <c r="B4018" s="5" t="s">
        <v>36299</v>
      </c>
      <c r="C4018" s="6" t="str">
        <f>HYPERLINK("https://www.ti.com/lit/gpn/TPS62111-EP", "PDF")</f>
        <v>PDF</v>
      </c>
      <c r="D4018" s="5" t="s">
        <v>36300</v>
      </c>
      <c r="E4018" s="5" t="s">
        <v>36301</v>
      </c>
      <c r="F4018" s="5" t="s">
        <v>36302</v>
      </c>
      <c r="G4018" s="5" t="s">
        <v>36303</v>
      </c>
      <c r="H4018" s="1" t="s">
        <v>36304</v>
      </c>
      <c r="I4018" s="5" t="s">
        <v>36305</v>
      </c>
      <c r="J4018" s="7">
        <v>16</v>
      </c>
      <c r="K4018" s="7">
        <v>16</v>
      </c>
      <c r="L4018" s="5" t="s">
        <v>36306</v>
      </c>
      <c r="M4018" s="7">
        <v>1</v>
      </c>
      <c r="N4018" s="7">
        <v>0.65</v>
      </c>
      <c r="O4018" s="7">
        <v>3.1629999999999998</v>
      </c>
      <c r="P4018" s="1" t="s">
        <v>36307</v>
      </c>
    </row>
    <row r="4019" spans="1:16" ht="49.75" x14ac:dyDescent="0.3">
      <c r="A4019" s="6" t="str">
        <f>HYPERLINK("https://www.ti.com/product/LM3102", "LM3102")</f>
        <v>LM3102</v>
      </c>
      <c r="B4019" s="5" t="s">
        <v>36308</v>
      </c>
      <c r="C4019" s="6" t="str">
        <f>HYPERLINK("https://www.ti.com/lit/gpn/LM3102", "PDF")</f>
        <v>PDF</v>
      </c>
      <c r="D4019" s="5" t="s">
        <v>36309</v>
      </c>
      <c r="E4019" s="5" t="s">
        <v>36310</v>
      </c>
      <c r="F4019" s="5" t="s">
        <v>36311</v>
      </c>
      <c r="G4019" s="5" t="s">
        <v>36312</v>
      </c>
      <c r="H4019" s="1" t="s">
        <v>36313</v>
      </c>
      <c r="I4019" s="5" t="s">
        <v>36314</v>
      </c>
      <c r="J4019" s="7" t="s">
        <v>36315</v>
      </c>
      <c r="K4019" s="7" t="s">
        <v>36316</v>
      </c>
      <c r="L4019" s="5" t="s">
        <v>36317</v>
      </c>
      <c r="M4019" s="7" t="s">
        <v>36318</v>
      </c>
      <c r="N4019" s="7" t="s">
        <v>36319</v>
      </c>
      <c r="O4019" s="7">
        <v>2.3380000000000001</v>
      </c>
      <c r="P4019" s="1" t="s">
        <v>36320</v>
      </c>
    </row>
    <row r="4020" spans="1:16" ht="33.4" x14ac:dyDescent="0.3">
      <c r="A4020" s="6" t="str">
        <f>HYPERLINK("https://www.ti.com/product/LM3103", "LM3103")</f>
        <v>LM3103</v>
      </c>
      <c r="B4020" s="5" t="s">
        <v>36321</v>
      </c>
      <c r="C4020" s="6" t="str">
        <f>HYPERLINK("https://www.ti.com/lit/gpn/LM3103", "PDF")</f>
        <v>PDF</v>
      </c>
      <c r="D4020" s="5" t="s">
        <v>36322</v>
      </c>
      <c r="E4020" s="5" t="s">
        <v>36323</v>
      </c>
      <c r="F4020" s="5" t="s">
        <v>36324</v>
      </c>
      <c r="G4020" s="5" t="s">
        <v>36325</v>
      </c>
      <c r="H4020" s="1" t="s">
        <v>36326</v>
      </c>
      <c r="I4020" s="5" t="s">
        <v>36327</v>
      </c>
      <c r="J4020" s="7">
        <v>16</v>
      </c>
      <c r="K4020" s="7">
        <v>32</v>
      </c>
      <c r="L4020" s="5" t="s">
        <v>36328</v>
      </c>
      <c r="M4020" s="7">
        <v>1.2</v>
      </c>
      <c r="N4020" s="7">
        <v>0.65</v>
      </c>
      <c r="O4020" s="7">
        <v>1.7250000000000001</v>
      </c>
      <c r="P4020" s="1" t="s">
        <v>36329</v>
      </c>
    </row>
    <row r="4021" spans="1:16" ht="49.75" x14ac:dyDescent="0.3">
      <c r="A4021" s="6" t="str">
        <f>HYPERLINK("https://www.ti.com/product/LP38501-ADJ", "LP38501-ADJ")</f>
        <v>LP38501-ADJ</v>
      </c>
      <c r="B4021" s="5" t="s">
        <v>36330</v>
      </c>
      <c r="C4021" s="6" t="str">
        <f>HYPERLINK("https://www.ti.com/lit/gpn/LP38501-ADJ", "PDF")</f>
        <v>PDF</v>
      </c>
      <c r="D4021" s="5" t="s">
        <v>36331</v>
      </c>
      <c r="E4021" s="5" t="s">
        <v>36332</v>
      </c>
      <c r="F4021" s="5"/>
      <c r="G4021" s="5" t="s">
        <v>36333</v>
      </c>
      <c r="H4021" s="1" t="s">
        <v>36334</v>
      </c>
      <c r="I4021" s="5" t="s">
        <v>36335</v>
      </c>
      <c r="J4021" s="7">
        <v>5</v>
      </c>
      <c r="K4021" s="7" t="s">
        <v>36336</v>
      </c>
      <c r="L4021" s="5" t="s">
        <v>36337</v>
      </c>
      <c r="M4021" s="7" t="s">
        <v>36338</v>
      </c>
      <c r="N4021" s="7">
        <v>1.7</v>
      </c>
      <c r="O4021" s="7">
        <v>0.98399999999999999</v>
      </c>
      <c r="P4021" s="1" t="s">
        <v>36339</v>
      </c>
    </row>
    <row r="4022" spans="1:16" ht="49.75" x14ac:dyDescent="0.3">
      <c r="A4022" s="6" t="str">
        <f>HYPERLINK("https://www.ti.com/product/LP38503-ADJ", "LP38503-ADJ")</f>
        <v>LP38503-ADJ</v>
      </c>
      <c r="B4022" s="5" t="s">
        <v>36340</v>
      </c>
      <c r="C4022" s="6" t="str">
        <f>HYPERLINK("https://www.ti.com/lit/gpn/LP38503-ADJ", "PDF")</f>
        <v>PDF</v>
      </c>
      <c r="D4022" s="5" t="s">
        <v>36341</v>
      </c>
      <c r="E4022" s="5" t="s">
        <v>36342</v>
      </c>
      <c r="F4022" s="5"/>
      <c r="G4022" s="5" t="s">
        <v>36343</v>
      </c>
      <c r="H4022" s="1" t="s">
        <v>36344</v>
      </c>
      <c r="I4022" s="5" t="s">
        <v>36345</v>
      </c>
      <c r="J4022" s="7">
        <v>5</v>
      </c>
      <c r="K4022" s="7" t="s">
        <v>36346</v>
      </c>
      <c r="L4022" s="5" t="s">
        <v>36347</v>
      </c>
      <c r="M4022" s="7" t="s">
        <v>36348</v>
      </c>
      <c r="N4022" s="7">
        <v>1.7</v>
      </c>
      <c r="O4022" s="7">
        <v>0.92</v>
      </c>
      <c r="P4022" s="1" t="s">
        <v>36349</v>
      </c>
    </row>
    <row r="4023" spans="1:16" ht="33.4" x14ac:dyDescent="0.3">
      <c r="A4023" s="6" t="str">
        <f>HYPERLINK("https://www.ti.com/product/TPS54283", "TPS54283")</f>
        <v>TPS54283</v>
      </c>
      <c r="B4023" s="5" t="s">
        <v>36350</v>
      </c>
      <c r="C4023" s="6" t="str">
        <f>HYPERLINK("https://www.ti.com/lit/gpn/TPS54283", "PDF")</f>
        <v>PDF</v>
      </c>
      <c r="D4023" s="5" t="s">
        <v>36351</v>
      </c>
      <c r="E4023" s="5" t="s">
        <v>36352</v>
      </c>
      <c r="F4023" s="5" t="s">
        <v>36353</v>
      </c>
      <c r="G4023" s="5" t="s">
        <v>36354</v>
      </c>
      <c r="H4023" s="1" t="s">
        <v>36355</v>
      </c>
      <c r="I4023" s="5" t="s">
        <v>36356</v>
      </c>
      <c r="J4023" s="7">
        <v>14</v>
      </c>
      <c r="K4023" s="7">
        <v>32</v>
      </c>
      <c r="L4023" s="5" t="s">
        <v>36357</v>
      </c>
      <c r="M4023" s="7">
        <v>1.2</v>
      </c>
      <c r="N4023" s="7">
        <v>0.65</v>
      </c>
      <c r="O4023" s="7">
        <v>1.0349999999999999</v>
      </c>
      <c r="P4023" s="1" t="s">
        <v>36358</v>
      </c>
    </row>
    <row r="4024" spans="1:16" ht="33.4" x14ac:dyDescent="0.3">
      <c r="A4024" s="6" t="str">
        <f>HYPERLINK("https://www.ti.com/product/TPS54286", "TPS54286")</f>
        <v>TPS54286</v>
      </c>
      <c r="B4024" s="5" t="s">
        <v>36359</v>
      </c>
      <c r="C4024" s="6" t="str">
        <f>HYPERLINK("https://www.ti.com/lit/gpn/TPS54286", "PDF")</f>
        <v>PDF</v>
      </c>
      <c r="D4024" s="5" t="s">
        <v>36360</v>
      </c>
      <c r="E4024" s="5" t="s">
        <v>36361</v>
      </c>
      <c r="F4024" s="5" t="s">
        <v>36362</v>
      </c>
      <c r="G4024" s="5" t="s">
        <v>36363</v>
      </c>
      <c r="H4024" s="1" t="s">
        <v>36364</v>
      </c>
      <c r="I4024" s="5" t="s">
        <v>36365</v>
      </c>
      <c r="J4024" s="7">
        <v>14</v>
      </c>
      <c r="K4024" s="7">
        <v>32</v>
      </c>
      <c r="L4024" s="5" t="s">
        <v>36366</v>
      </c>
      <c r="M4024" s="7">
        <v>1.2</v>
      </c>
      <c r="N4024" s="7">
        <v>0.65</v>
      </c>
      <c r="O4024" s="7">
        <v>1.0349999999999999</v>
      </c>
      <c r="P4024" s="1" t="s">
        <v>36367</v>
      </c>
    </row>
    <row r="4025" spans="1:16" ht="33.4" x14ac:dyDescent="0.3">
      <c r="A4025" s="6" t="str">
        <f>HYPERLINK("https://www.ti.com/product/TPS54383", "TPS54383")</f>
        <v>TPS54383</v>
      </c>
      <c r="B4025" s="5" t="s">
        <v>36368</v>
      </c>
      <c r="C4025" s="6" t="str">
        <f>HYPERLINK("https://www.ti.com/lit/gpn/TPS54383", "PDF")</f>
        <v>PDF</v>
      </c>
      <c r="D4025" s="5" t="s">
        <v>36369</v>
      </c>
      <c r="E4025" s="5" t="s">
        <v>36370</v>
      </c>
      <c r="F4025" s="5" t="s">
        <v>36371</v>
      </c>
      <c r="G4025" s="5" t="s">
        <v>36372</v>
      </c>
      <c r="H4025" s="1" t="s">
        <v>36373</v>
      </c>
      <c r="I4025" s="5" t="s">
        <v>36374</v>
      </c>
      <c r="J4025" s="7">
        <v>14</v>
      </c>
      <c r="K4025" s="7">
        <v>32</v>
      </c>
      <c r="L4025" s="5" t="s">
        <v>36375</v>
      </c>
      <c r="M4025" s="7">
        <v>1.2</v>
      </c>
      <c r="N4025" s="7">
        <v>0.65</v>
      </c>
      <c r="O4025" s="7">
        <v>1.0860000000000001</v>
      </c>
      <c r="P4025" s="1" t="s">
        <v>36376</v>
      </c>
    </row>
    <row r="4026" spans="1:16" ht="33.4" x14ac:dyDescent="0.3">
      <c r="A4026" s="6" t="str">
        <f>HYPERLINK("https://www.ti.com/product/TPS54386", "TPS54386")</f>
        <v>TPS54386</v>
      </c>
      <c r="B4026" s="5" t="s">
        <v>36377</v>
      </c>
      <c r="C4026" s="6" t="str">
        <f>HYPERLINK("https://www.ti.com/lit/gpn/TPS54386", "PDF")</f>
        <v>PDF</v>
      </c>
      <c r="D4026" s="5" t="s">
        <v>36378</v>
      </c>
      <c r="E4026" s="5" t="s">
        <v>36379</v>
      </c>
      <c r="F4026" s="5" t="s">
        <v>36380</v>
      </c>
      <c r="G4026" s="5" t="s">
        <v>36381</v>
      </c>
      <c r="H4026" s="1" t="s">
        <v>36382</v>
      </c>
      <c r="I4026" s="5" t="s">
        <v>36383</v>
      </c>
      <c r="J4026" s="7">
        <v>14</v>
      </c>
      <c r="K4026" s="7">
        <v>32</v>
      </c>
      <c r="L4026" s="5" t="s">
        <v>36384</v>
      </c>
      <c r="M4026" s="7">
        <v>1.2</v>
      </c>
      <c r="N4026" s="7">
        <v>0.65</v>
      </c>
      <c r="O4026" s="7">
        <v>1.0860000000000001</v>
      </c>
      <c r="P4026" s="1" t="s">
        <v>36385</v>
      </c>
    </row>
    <row r="4027" spans="1:16" ht="33.4" x14ac:dyDescent="0.3">
      <c r="A4027" s="6" t="str">
        <f>HYPERLINK("https://www.ti.com/product/LM3410", "LM3410")</f>
        <v>LM3410</v>
      </c>
      <c r="B4027" s="5" t="s">
        <v>36386</v>
      </c>
      <c r="C4027" s="6" t="str">
        <f>HYPERLINK("https://www.ti.com/lit/gpn/LM3410", "PDF")</f>
        <v>PDF</v>
      </c>
      <c r="D4027" s="5" t="s">
        <v>36387</v>
      </c>
      <c r="E4027" s="5" t="s">
        <v>36388</v>
      </c>
      <c r="F4027" s="5" t="s">
        <v>36389</v>
      </c>
      <c r="G4027" s="5" t="s">
        <v>36390</v>
      </c>
      <c r="H4027" s="1" t="s">
        <v>36391</v>
      </c>
      <c r="I4027" s="5" t="s">
        <v>36392</v>
      </c>
      <c r="J4027" s="7" t="s">
        <v>36393</v>
      </c>
      <c r="K4027" s="7" t="s">
        <v>36394</v>
      </c>
      <c r="L4027" s="5" t="s">
        <v>36395</v>
      </c>
      <c r="M4027" s="7" t="s">
        <v>36396</v>
      </c>
      <c r="N4027" s="7" t="s">
        <v>36397</v>
      </c>
      <c r="O4027" s="7">
        <v>0.88500000000000001</v>
      </c>
      <c r="P4027" s="1" t="s">
        <v>36398</v>
      </c>
    </row>
    <row r="4028" spans="1:16" ht="33.4" x14ac:dyDescent="0.3">
      <c r="A4028" s="6" t="str">
        <f>HYPERLINK("https://www.ti.com/product/LM3410-Q1", "LM3410-Q1")</f>
        <v>LM3410-Q1</v>
      </c>
      <c r="B4028" s="5" t="s">
        <v>36399</v>
      </c>
      <c r="C4028" s="6" t="str">
        <f>HYPERLINK("https://www.ti.com/lit/gpn/LM3410-Q1", "PDF")</f>
        <v>PDF</v>
      </c>
      <c r="D4028" s="5" t="s">
        <v>36400</v>
      </c>
      <c r="E4028" s="5" t="s">
        <v>36401</v>
      </c>
      <c r="F4028" s="5" t="s">
        <v>36402</v>
      </c>
      <c r="G4028" s="5" t="s">
        <v>36403</v>
      </c>
      <c r="H4028" s="1" t="s">
        <v>36404</v>
      </c>
      <c r="I4028" s="5" t="s">
        <v>36405</v>
      </c>
      <c r="J4028" s="7">
        <v>5</v>
      </c>
      <c r="K4028" s="7">
        <v>8.1199999999999992</v>
      </c>
      <c r="L4028" s="5" t="s">
        <v>36406</v>
      </c>
      <c r="M4028" s="7">
        <v>1.45</v>
      </c>
      <c r="N4028" s="7">
        <v>0.95</v>
      </c>
      <c r="O4028" s="7">
        <v>1.0580000000000001</v>
      </c>
      <c r="P4028" s="1" t="s">
        <v>36407</v>
      </c>
    </row>
    <row r="4029" spans="1:16" ht="17.05" x14ac:dyDescent="0.3">
      <c r="A4029" s="6" t="str">
        <f>HYPERLINK("https://www.ti.com/product/LM3406", "LM3406")</f>
        <v>LM3406</v>
      </c>
      <c r="B4029" s="5" t="s">
        <v>36408</v>
      </c>
      <c r="C4029" s="6" t="str">
        <f>HYPERLINK("https://www.ti.com/lit/gpn/LM3406", "PDF")</f>
        <v>PDF</v>
      </c>
      <c r="D4029" s="5" t="s">
        <v>36409</v>
      </c>
      <c r="E4029" s="5" t="s">
        <v>36410</v>
      </c>
      <c r="F4029" s="5" t="s">
        <v>36411</v>
      </c>
      <c r="G4029" s="5" t="s">
        <v>36412</v>
      </c>
      <c r="H4029" s="1" t="s">
        <v>36413</v>
      </c>
      <c r="I4029" s="5" t="s">
        <v>36414</v>
      </c>
      <c r="J4029" s="7">
        <v>14</v>
      </c>
      <c r="K4029" s="7">
        <v>32</v>
      </c>
      <c r="L4029" s="5" t="s">
        <v>36415</v>
      </c>
      <c r="M4029" s="7">
        <v>1.2</v>
      </c>
      <c r="N4029" s="7">
        <v>0.65</v>
      </c>
      <c r="O4029" s="7">
        <v>1.2010000000000001</v>
      </c>
      <c r="P4029" s="1" t="s">
        <v>36416</v>
      </c>
    </row>
    <row r="4030" spans="1:16" ht="33.4" x14ac:dyDescent="0.3">
      <c r="A4030" s="6" t="str">
        <f>HYPERLINK("https://www.ti.com/product/PTH08T250W", "PTH08T250W")</f>
        <v>PTH08T250W</v>
      </c>
      <c r="B4030" s="5" t="s">
        <v>36417</v>
      </c>
      <c r="C4030" s="6" t="str">
        <f>HYPERLINK("https://www.ti.com/lit/gpn/PTH08T250W", "PDF")</f>
        <v>PDF</v>
      </c>
      <c r="D4030" s="5" t="s">
        <v>36418</v>
      </c>
      <c r="E4030" s="5" t="s">
        <v>36419</v>
      </c>
      <c r="F4030" s="5" t="s">
        <v>36420</v>
      </c>
      <c r="G4030" s="5" t="s">
        <v>36421</v>
      </c>
      <c r="H4030" s="1" t="s">
        <v>36422</v>
      </c>
      <c r="I4030" s="5" t="s">
        <v>36423</v>
      </c>
      <c r="J4030" s="7">
        <v>22</v>
      </c>
      <c r="K4030" s="7">
        <v>1066.5704000000001</v>
      </c>
      <c r="L4030" s="5" t="s">
        <v>36424</v>
      </c>
      <c r="M4030" s="7">
        <v>9.64</v>
      </c>
      <c r="N4030" s="7">
        <v>2.54</v>
      </c>
      <c r="O4030" s="7">
        <v>56.006</v>
      </c>
      <c r="P4030" s="1" t="s">
        <v>36425</v>
      </c>
    </row>
    <row r="4031" spans="1:16" ht="17.05" x14ac:dyDescent="0.3">
      <c r="A4031" s="6" t="str">
        <f>HYPERLINK("https://www.ti.com/product/LM3401", "LM3401")</f>
        <v>LM3401</v>
      </c>
      <c r="B4031" s="5" t="s">
        <v>36426</v>
      </c>
      <c r="C4031" s="6" t="str">
        <f>HYPERLINK("https://www.ti.com/lit/gpn/LM3401", "PDF")</f>
        <v>PDF</v>
      </c>
      <c r="D4031" s="5" t="s">
        <v>36427</v>
      </c>
      <c r="E4031" s="5" t="s">
        <v>36428</v>
      </c>
      <c r="F4031" s="5" t="s">
        <v>36429</v>
      </c>
      <c r="G4031" s="5" t="s">
        <v>36430</v>
      </c>
      <c r="H4031" s="1" t="s">
        <v>36431</v>
      </c>
      <c r="I4031" s="5" t="s">
        <v>36432</v>
      </c>
      <c r="J4031" s="7">
        <v>8</v>
      </c>
      <c r="K4031" s="7">
        <v>14.7</v>
      </c>
      <c r="L4031" s="5" t="s">
        <v>36433</v>
      </c>
      <c r="M4031" s="7">
        <v>1.1000000000000001</v>
      </c>
      <c r="N4031" s="7">
        <v>0.65</v>
      </c>
      <c r="O4031" s="7">
        <v>0.46</v>
      </c>
      <c r="P4031" s="1" t="s">
        <v>36434</v>
      </c>
    </row>
    <row r="4032" spans="1:16" ht="33.4" x14ac:dyDescent="0.3">
      <c r="A4032" s="6" t="str">
        <f>HYPERLINK("https://www.ti.com/product/LP8900", "LP8900")</f>
        <v>LP8900</v>
      </c>
      <c r="B4032" s="5" t="s">
        <v>36435</v>
      </c>
      <c r="C4032" s="6" t="str">
        <f>HYPERLINK("https://www.ti.com/lit/gpn/LP8900", "PDF")</f>
        <v>PDF</v>
      </c>
      <c r="D4032" s="5" t="s">
        <v>36436</v>
      </c>
      <c r="E4032" s="5" t="s">
        <v>36437</v>
      </c>
      <c r="F4032" s="5"/>
      <c r="G4032" s="5" t="s">
        <v>36438</v>
      </c>
      <c r="H4032" s="1" t="s">
        <v>36439</v>
      </c>
      <c r="I4032" s="5" t="s">
        <v>36440</v>
      </c>
      <c r="J4032" s="7">
        <v>6</v>
      </c>
      <c r="K4032" s="7">
        <v>2.1875</v>
      </c>
      <c r="L4032" s="5" t="s">
        <v>36441</v>
      </c>
      <c r="M4032" s="7">
        <v>0.67500000000000004</v>
      </c>
      <c r="N4032" s="7">
        <v>0.5</v>
      </c>
      <c r="O4032" s="7">
        <v>0.184</v>
      </c>
      <c r="P4032" s="1" t="s">
        <v>36442</v>
      </c>
    </row>
    <row r="4033" spans="1:16" ht="33.4" x14ac:dyDescent="0.3">
      <c r="A4033" s="6" t="str">
        <f>HYPERLINK("https://www.ti.com/product/LM3153", "LM3153")</f>
        <v>LM3153</v>
      </c>
      <c r="B4033" s="5" t="s">
        <v>36443</v>
      </c>
      <c r="C4033" s="6" t="str">
        <f>HYPERLINK("https://www.ti.com/lit/gpn/LM3153", "PDF")</f>
        <v>PDF</v>
      </c>
      <c r="D4033" s="5" t="s">
        <v>36444</v>
      </c>
      <c r="E4033" s="5" t="s">
        <v>36445</v>
      </c>
      <c r="F4033" s="5" t="s">
        <v>36446</v>
      </c>
      <c r="G4033" s="5" t="s">
        <v>36447</v>
      </c>
      <c r="H4033" s="1" t="s">
        <v>36448</v>
      </c>
      <c r="I4033" s="5" t="s">
        <v>36449</v>
      </c>
      <c r="J4033" s="7">
        <v>14</v>
      </c>
      <c r="K4033" s="7">
        <v>32</v>
      </c>
      <c r="L4033" s="5" t="s">
        <v>36450</v>
      </c>
      <c r="M4033" s="7">
        <v>1.2</v>
      </c>
      <c r="N4033" s="7">
        <v>0.65</v>
      </c>
      <c r="O4033" s="7">
        <v>1.5029999999999999</v>
      </c>
      <c r="P4033" s="1" t="s">
        <v>36451</v>
      </c>
    </row>
    <row r="4034" spans="1:16" ht="49.75" x14ac:dyDescent="0.3">
      <c r="A4034" s="6" t="str">
        <f>HYPERLINK("https://www.ti.com/product/TLC5917", "TLC5917")</f>
        <v>TLC5917</v>
      </c>
      <c r="B4034" s="5" t="s">
        <v>36452</v>
      </c>
      <c r="C4034" s="6" t="str">
        <f>HYPERLINK("https://www.ti.com/lit/gpn/TLC5917", "PDF")</f>
        <v>PDF</v>
      </c>
      <c r="D4034" s="5" t="s">
        <v>36453</v>
      </c>
      <c r="E4034" s="5" t="s">
        <v>36454</v>
      </c>
      <c r="F4034" s="5"/>
      <c r="G4034" s="5" t="s">
        <v>36455</v>
      </c>
      <c r="H4034" s="1" t="s">
        <v>36456</v>
      </c>
      <c r="I4034" s="5" t="s">
        <v>36457</v>
      </c>
      <c r="J4034" s="7">
        <v>16</v>
      </c>
      <c r="K4034" s="7" t="s">
        <v>36458</v>
      </c>
      <c r="L4034" s="5" t="s">
        <v>36459</v>
      </c>
      <c r="M4034" s="7" t="s">
        <v>36460</v>
      </c>
      <c r="N4034" s="7" t="s">
        <v>36461</v>
      </c>
      <c r="O4034" s="7">
        <v>0.56399999999999995</v>
      </c>
      <c r="P4034" s="1" t="s">
        <v>36462</v>
      </c>
    </row>
    <row r="4035" spans="1:16" ht="33.4" x14ac:dyDescent="0.3">
      <c r="A4035" s="6" t="str">
        <f>HYPERLINK("https://www.ti.com/product/REF50", "REF50")</f>
        <v>REF50</v>
      </c>
      <c r="B4035" s="5" t="s">
        <v>36463</v>
      </c>
      <c r="C4035" s="6" t="str">
        <f>HYPERLINK("https://www.ti.com/lit/gpn/REF50", "PDF")</f>
        <v>PDF</v>
      </c>
      <c r="D4035" s="5" t="s">
        <v>36464</v>
      </c>
      <c r="E4035" s="5" t="s">
        <v>36465</v>
      </c>
      <c r="F4035" s="5"/>
      <c r="G4035" s="5" t="s">
        <v>36466</v>
      </c>
      <c r="H4035" s="1" t="s">
        <v>36467</v>
      </c>
      <c r="I4035" s="5" t="s">
        <v>36468</v>
      </c>
      <c r="J4035" s="7">
        <v>8</v>
      </c>
      <c r="K4035" s="7" t="s">
        <v>36469</v>
      </c>
      <c r="L4035" s="5" t="s">
        <v>36470</v>
      </c>
      <c r="M4035" s="7" t="s">
        <v>36471</v>
      </c>
      <c r="N4035" s="7" t="s">
        <v>36472</v>
      </c>
      <c r="O4035" s="7">
        <v>1.3640000000000001</v>
      </c>
      <c r="P4035" s="1" t="s">
        <v>36473</v>
      </c>
    </row>
    <row r="4036" spans="1:16" ht="17.05" x14ac:dyDescent="0.3">
      <c r="A4036" s="6" t="str">
        <f>HYPERLINK("https://www.ti.com/product/TPS650240", "TPS650240")</f>
        <v>TPS650240</v>
      </c>
      <c r="B4036" s="5" t="s">
        <v>36474</v>
      </c>
      <c r="C4036" s="6" t="str">
        <f>HYPERLINK("https://www.ti.com/lit/gpn/TPS650240", "PDF")</f>
        <v>PDF</v>
      </c>
      <c r="D4036" s="5" t="s">
        <v>36475</v>
      </c>
      <c r="E4036" s="5" t="s">
        <v>36476</v>
      </c>
      <c r="F4036" s="5"/>
      <c r="G4036" s="5" t="s">
        <v>36477</v>
      </c>
      <c r="H4036" s="1" t="s">
        <v>36478</v>
      </c>
      <c r="I4036" s="5" t="s">
        <v>36479</v>
      </c>
      <c r="J4036" s="7">
        <v>32</v>
      </c>
      <c r="K4036" s="7">
        <v>25</v>
      </c>
      <c r="L4036" s="5" t="s">
        <v>36480</v>
      </c>
      <c r="M4036" s="7">
        <v>1</v>
      </c>
      <c r="N4036" s="7">
        <v>0.5</v>
      </c>
      <c r="O4036" s="7">
        <v>2.4529999999999998</v>
      </c>
      <c r="P4036" s="1" t="s">
        <v>36481</v>
      </c>
    </row>
    <row r="4037" spans="1:16" ht="17.05" x14ac:dyDescent="0.3">
      <c r="A4037" s="6" t="str">
        <f>HYPERLINK("https://www.ti.com/product/TPS650241", "TPS650241")</f>
        <v>TPS650241</v>
      </c>
      <c r="B4037" s="5" t="s">
        <v>36482</v>
      </c>
      <c r="C4037" s="6" t="str">
        <f>HYPERLINK("https://www.ti.com/lit/gpn/TPS650241", "PDF")</f>
        <v>PDF</v>
      </c>
      <c r="D4037" s="5" t="s">
        <v>36483</v>
      </c>
      <c r="E4037" s="5" t="s">
        <v>36484</v>
      </c>
      <c r="F4037" s="5"/>
      <c r="G4037" s="5" t="s">
        <v>36485</v>
      </c>
      <c r="H4037" s="1" t="s">
        <v>36486</v>
      </c>
      <c r="I4037" s="5" t="s">
        <v>36487</v>
      </c>
      <c r="J4037" s="7">
        <v>32</v>
      </c>
      <c r="K4037" s="7">
        <v>25</v>
      </c>
      <c r="L4037" s="5" t="s">
        <v>36488</v>
      </c>
      <c r="M4037" s="7">
        <v>1</v>
      </c>
      <c r="N4037" s="7">
        <v>0.5</v>
      </c>
      <c r="O4037" s="7">
        <v>2.4049999999999998</v>
      </c>
      <c r="P4037" s="1" t="s">
        <v>36489</v>
      </c>
    </row>
    <row r="4038" spans="1:16" ht="17.05" x14ac:dyDescent="0.3">
      <c r="A4038" s="6" t="str">
        <f>HYPERLINK("https://www.ti.com/product/TPS650242", "TPS650242")</f>
        <v>TPS650242</v>
      </c>
      <c r="B4038" s="5" t="s">
        <v>36490</v>
      </c>
      <c r="C4038" s="6" t="str">
        <f>HYPERLINK("https://www.ti.com/lit/gpn/TPS650242", "PDF")</f>
        <v>PDF</v>
      </c>
      <c r="D4038" s="5" t="s">
        <v>36491</v>
      </c>
      <c r="E4038" s="5" t="s">
        <v>36492</v>
      </c>
      <c r="F4038" s="5"/>
      <c r="G4038" s="5" t="s">
        <v>36493</v>
      </c>
      <c r="H4038" s="1" t="s">
        <v>36494</v>
      </c>
      <c r="I4038" s="5" t="s">
        <v>36495</v>
      </c>
      <c r="J4038" s="7">
        <v>32</v>
      </c>
      <c r="K4038" s="7">
        <v>25</v>
      </c>
      <c r="L4038" s="5" t="s">
        <v>36496</v>
      </c>
      <c r="M4038" s="7">
        <v>1</v>
      </c>
      <c r="N4038" s="7">
        <v>0.5</v>
      </c>
      <c r="O4038" s="7">
        <v>3.14</v>
      </c>
      <c r="P4038" s="1" t="s">
        <v>36497</v>
      </c>
    </row>
    <row r="4039" spans="1:16" ht="49.75" x14ac:dyDescent="0.3">
      <c r="A4039" s="6" t="str">
        <f>HYPERLINK("https://www.ti.com/product/LP38511", "LP38511")</f>
        <v>LP38511</v>
      </c>
      <c r="B4039" s="5" t="s">
        <v>36498</v>
      </c>
      <c r="C4039" s="6" t="str">
        <f>HYPERLINK("https://www.ti.com/lit/gpn/LP38511", "PDF")</f>
        <v>PDF</v>
      </c>
      <c r="D4039" s="5" t="s">
        <v>36499</v>
      </c>
      <c r="E4039" s="5" t="s">
        <v>36500</v>
      </c>
      <c r="F4039" s="5"/>
      <c r="G4039" s="5" t="s">
        <v>36501</v>
      </c>
      <c r="H4039" s="1" t="s">
        <v>36502</v>
      </c>
      <c r="I4039" s="5" t="s">
        <v>36503</v>
      </c>
      <c r="J4039" s="7">
        <v>5</v>
      </c>
      <c r="K4039" s="7" t="s">
        <v>36504</v>
      </c>
      <c r="L4039" s="5" t="s">
        <v>36505</v>
      </c>
      <c r="M4039" s="7" t="s">
        <v>36506</v>
      </c>
      <c r="N4039" s="7">
        <v>1.7</v>
      </c>
      <c r="O4039" s="7">
        <v>0.69</v>
      </c>
      <c r="P4039" s="1" t="s">
        <v>36507</v>
      </c>
    </row>
    <row r="4040" spans="1:16" ht="49.75" x14ac:dyDescent="0.3">
      <c r="A4040" s="6" t="str">
        <f>HYPERLINK("https://www.ti.com/product/LP38512", "LP38512")</f>
        <v>LP38512</v>
      </c>
      <c r="B4040" s="5" t="s">
        <v>36508</v>
      </c>
      <c r="C4040" s="6" t="str">
        <f>HYPERLINK("https://www.ti.com/lit/gpn/LP38512", "PDF")</f>
        <v>PDF</v>
      </c>
      <c r="D4040" s="5" t="s">
        <v>36509</v>
      </c>
      <c r="E4040" s="5" t="s">
        <v>36510</v>
      </c>
      <c r="F4040" s="5"/>
      <c r="G4040" s="5" t="s">
        <v>36511</v>
      </c>
      <c r="H4040" s="1" t="s">
        <v>36512</v>
      </c>
      <c r="I4040" s="5" t="s">
        <v>36513</v>
      </c>
      <c r="J4040" s="7">
        <v>5</v>
      </c>
      <c r="K4040" s="7" t="s">
        <v>36514</v>
      </c>
      <c r="L4040" s="5" t="s">
        <v>36515</v>
      </c>
      <c r="M4040" s="7" t="s">
        <v>36516</v>
      </c>
      <c r="N4040" s="7">
        <v>1.7</v>
      </c>
      <c r="O4040" s="7">
        <v>1.5629999999999999</v>
      </c>
      <c r="P4040" s="1" t="s">
        <v>36517</v>
      </c>
    </row>
    <row r="4041" spans="1:16" ht="33.4" x14ac:dyDescent="0.3">
      <c r="A4041" s="6" t="str">
        <f>HYPERLINK("https://www.ti.com/product/TPS62240", "TPS62240")</f>
        <v>TPS62240</v>
      </c>
      <c r="B4041" s="5" t="s">
        <v>36518</v>
      </c>
      <c r="C4041" s="6" t="str">
        <f>HYPERLINK("https://www.ti.com/lit/gpn/TPS62240", "PDF")</f>
        <v>PDF</v>
      </c>
      <c r="D4041" s="5" t="s">
        <v>36519</v>
      </c>
      <c r="E4041" s="5" t="s">
        <v>36520</v>
      </c>
      <c r="F4041" s="5" t="s">
        <v>36521</v>
      </c>
      <c r="G4041" s="5" t="s">
        <v>36522</v>
      </c>
      <c r="H4041" s="1" t="s">
        <v>36523</v>
      </c>
      <c r="I4041" s="5" t="s">
        <v>36524</v>
      </c>
      <c r="J4041" s="7" t="s">
        <v>36525</v>
      </c>
      <c r="K4041" s="7" t="s">
        <v>36526</v>
      </c>
      <c r="L4041" s="5" t="s">
        <v>36527</v>
      </c>
      <c r="M4041" s="7" t="s">
        <v>36528</v>
      </c>
      <c r="N4041" s="7" t="s">
        <v>36529</v>
      </c>
      <c r="O4041" s="7">
        <v>0.45500000000000002</v>
      </c>
      <c r="P4041" s="1" t="s">
        <v>36530</v>
      </c>
    </row>
    <row r="4042" spans="1:16" ht="33.4" x14ac:dyDescent="0.3">
      <c r="A4042" s="6" t="str">
        <f>HYPERLINK("https://www.ti.com/product/TPS62243", "TPS62243")</f>
        <v>TPS62243</v>
      </c>
      <c r="B4042" s="5" t="s">
        <v>36531</v>
      </c>
      <c r="C4042" s="6" t="str">
        <f>HYPERLINK("https://www.ti.com/lit/gpn/TPS62243", "PDF")</f>
        <v>PDF</v>
      </c>
      <c r="D4042" s="5" t="s">
        <v>36532</v>
      </c>
      <c r="E4042" s="5" t="s">
        <v>36533</v>
      </c>
      <c r="F4042" s="5" t="s">
        <v>36534</v>
      </c>
      <c r="G4042" s="5" t="s">
        <v>36535</v>
      </c>
      <c r="H4042" s="1" t="s">
        <v>36536</v>
      </c>
      <c r="I4042" s="5" t="s">
        <v>36537</v>
      </c>
      <c r="J4042" s="7">
        <v>6</v>
      </c>
      <c r="K4042" s="7">
        <v>4</v>
      </c>
      <c r="L4042" s="5" t="s">
        <v>36538</v>
      </c>
      <c r="M4042" s="7">
        <v>0.8</v>
      </c>
      <c r="N4042" s="7">
        <v>0.65</v>
      </c>
      <c r="O4042" s="7">
        <v>0.45500000000000002</v>
      </c>
      <c r="P4042" s="1" t="s">
        <v>36539</v>
      </c>
    </row>
    <row r="4043" spans="1:16" ht="33.4" x14ac:dyDescent="0.3">
      <c r="A4043" s="6" t="str">
        <f>HYPERLINK("https://www.ti.com/product/TPS62260", "TPS62260")</f>
        <v>TPS62260</v>
      </c>
      <c r="B4043" s="5" t="s">
        <v>36540</v>
      </c>
      <c r="C4043" s="6" t="str">
        <f>HYPERLINK("https://www.ti.com/lit/gpn/TPS62260", "PDF")</f>
        <v>PDF</v>
      </c>
      <c r="D4043" s="5" t="s">
        <v>36541</v>
      </c>
      <c r="E4043" s="5" t="s">
        <v>36542</v>
      </c>
      <c r="F4043" s="5" t="s">
        <v>36543</v>
      </c>
      <c r="G4043" s="5" t="s">
        <v>36544</v>
      </c>
      <c r="H4043" s="1" t="s">
        <v>36545</v>
      </c>
      <c r="I4043" s="5" t="s">
        <v>36546</v>
      </c>
      <c r="J4043" s="7" t="s">
        <v>36547</v>
      </c>
      <c r="K4043" s="7" t="s">
        <v>36548</v>
      </c>
      <c r="L4043" s="5" t="s">
        <v>36549</v>
      </c>
      <c r="M4043" s="7" t="s">
        <v>36550</v>
      </c>
      <c r="N4043" s="7" t="s">
        <v>36551</v>
      </c>
      <c r="O4043" s="7">
        <v>0.56000000000000005</v>
      </c>
      <c r="P4043" s="1" t="s">
        <v>36552</v>
      </c>
    </row>
    <row r="4044" spans="1:16" ht="33.4" x14ac:dyDescent="0.3">
      <c r="A4044" s="6" t="str">
        <f>HYPERLINK("https://www.ti.com/product/TPS62261", "TPS62261")</f>
        <v>TPS62261</v>
      </c>
      <c r="B4044" s="5" t="s">
        <v>36553</v>
      </c>
      <c r="C4044" s="6" t="str">
        <f>HYPERLINK("https://www.ti.com/lit/gpn/TPS62261", "PDF")</f>
        <v>PDF</v>
      </c>
      <c r="D4044" s="5" t="s">
        <v>36554</v>
      </c>
      <c r="E4044" s="5" t="s">
        <v>36555</v>
      </c>
      <c r="F4044" s="5" t="s">
        <v>36556</v>
      </c>
      <c r="G4044" s="5" t="s">
        <v>36557</v>
      </c>
      <c r="H4044" s="1" t="s">
        <v>36558</v>
      </c>
      <c r="I4044" s="5" t="s">
        <v>36559</v>
      </c>
      <c r="J4044" s="7">
        <v>6</v>
      </c>
      <c r="K4044" s="7">
        <v>4</v>
      </c>
      <c r="L4044" s="5" t="s">
        <v>36560</v>
      </c>
      <c r="M4044" s="7">
        <v>0.8</v>
      </c>
      <c r="N4044" s="7">
        <v>0.65</v>
      </c>
      <c r="O4044" s="7">
        <v>0.56000000000000005</v>
      </c>
      <c r="P4044" s="1" t="s">
        <v>36561</v>
      </c>
    </row>
    <row r="4045" spans="1:16" ht="33.4" x14ac:dyDescent="0.3">
      <c r="A4045" s="6" t="str">
        <f>HYPERLINK("https://www.ti.com/product/TPS62262", "TPS62262")</f>
        <v>TPS62262</v>
      </c>
      <c r="B4045" s="5" t="s">
        <v>36562</v>
      </c>
      <c r="C4045" s="6" t="str">
        <f>HYPERLINK("https://www.ti.com/lit/gpn/TPS62262", "PDF")</f>
        <v>PDF</v>
      </c>
      <c r="D4045" s="5" t="s">
        <v>36563</v>
      </c>
      <c r="E4045" s="5" t="s">
        <v>36564</v>
      </c>
      <c r="F4045" s="5" t="s">
        <v>36565</v>
      </c>
      <c r="G4045" s="5" t="s">
        <v>36566</v>
      </c>
      <c r="H4045" s="1" t="s">
        <v>36567</v>
      </c>
      <c r="I4045" s="5" t="s">
        <v>36568</v>
      </c>
      <c r="J4045" s="7" t="s">
        <v>36569</v>
      </c>
      <c r="K4045" s="7" t="s">
        <v>36570</v>
      </c>
      <c r="L4045" s="5" t="s">
        <v>36571</v>
      </c>
      <c r="M4045" s="7" t="s">
        <v>36572</v>
      </c>
      <c r="N4045" s="7" t="s">
        <v>36573</v>
      </c>
      <c r="O4045" s="7">
        <v>0.56000000000000005</v>
      </c>
      <c r="P4045" s="1" t="s">
        <v>36574</v>
      </c>
    </row>
    <row r="4046" spans="1:16" ht="33.4" x14ac:dyDescent="0.3">
      <c r="A4046" s="6" t="str">
        <f>HYPERLINK("https://www.ti.com/product/TPS62290", "TPS62290")</f>
        <v>TPS62290</v>
      </c>
      <c r="B4046" s="5" t="s">
        <v>36575</v>
      </c>
      <c r="C4046" s="6" t="str">
        <f>HYPERLINK("https://www.ti.com/lit/gpn/TPS62290", "PDF")</f>
        <v>PDF</v>
      </c>
      <c r="D4046" s="5" t="s">
        <v>36576</v>
      </c>
      <c r="E4046" s="5" t="s">
        <v>36577</v>
      </c>
      <c r="F4046" s="5" t="s">
        <v>36578</v>
      </c>
      <c r="G4046" s="5" t="s">
        <v>36579</v>
      </c>
      <c r="H4046" s="1" t="s">
        <v>36580</v>
      </c>
      <c r="I4046" s="5" t="s">
        <v>36581</v>
      </c>
      <c r="J4046" s="7">
        <v>6</v>
      </c>
      <c r="K4046" s="7">
        <v>4</v>
      </c>
      <c r="L4046" s="5" t="s">
        <v>36582</v>
      </c>
      <c r="M4046" s="7">
        <v>0.8</v>
      </c>
      <c r="N4046" s="7">
        <v>0.65</v>
      </c>
      <c r="O4046" s="7">
        <v>0.71299999999999997</v>
      </c>
      <c r="P4046" s="1" t="s">
        <v>36583</v>
      </c>
    </row>
    <row r="4047" spans="1:16" ht="33.4" x14ac:dyDescent="0.3">
      <c r="A4047" s="6" t="str">
        <f>HYPERLINK("https://www.ti.com/product/TPS718", "TPS718")</f>
        <v>TPS718</v>
      </c>
      <c r="B4047" s="5" t="s">
        <v>36584</v>
      </c>
      <c r="C4047" s="6" t="str">
        <f>HYPERLINK("https://www.ti.com/lit/gpn/TPS718", "PDF")</f>
        <v>PDF</v>
      </c>
      <c r="D4047" s="5" t="s">
        <v>36585</v>
      </c>
      <c r="E4047" s="5" t="s">
        <v>36586</v>
      </c>
      <c r="F4047" s="5"/>
      <c r="G4047" s="5" t="s">
        <v>36587</v>
      </c>
      <c r="H4047" s="1" t="s">
        <v>36588</v>
      </c>
      <c r="I4047" s="5" t="s">
        <v>36589</v>
      </c>
      <c r="J4047" s="7">
        <v>6</v>
      </c>
      <c r="K4047" s="7">
        <v>4</v>
      </c>
      <c r="L4047" s="5" t="s">
        <v>36590</v>
      </c>
      <c r="M4047" s="7">
        <v>0.8</v>
      </c>
      <c r="N4047" s="7">
        <v>0.65</v>
      </c>
      <c r="O4047" s="7">
        <v>0.72599999999999998</v>
      </c>
      <c r="P4047" s="1" t="s">
        <v>36591</v>
      </c>
    </row>
    <row r="4048" spans="1:16" ht="17.05" x14ac:dyDescent="0.3">
      <c r="A4048" s="6" t="str">
        <f>HYPERLINK("https://www.ti.com/product/LP55281", "LP55281")</f>
        <v>LP55281</v>
      </c>
      <c r="B4048" s="5" t="s">
        <v>36592</v>
      </c>
      <c r="C4048" s="6" t="str">
        <f>HYPERLINK("https://www.ti.com/lit/gpn/LP55281", "PDF")</f>
        <v>PDF</v>
      </c>
      <c r="D4048" s="5" t="s">
        <v>36593</v>
      </c>
      <c r="E4048" s="5" t="s">
        <v>36594</v>
      </c>
      <c r="F4048" s="5" t="s">
        <v>36595</v>
      </c>
      <c r="G4048" s="5" t="s">
        <v>36596</v>
      </c>
      <c r="H4048" s="1" t="s">
        <v>36597</v>
      </c>
      <c r="I4048" s="5" t="s">
        <v>36598</v>
      </c>
      <c r="J4048" s="7">
        <v>36</v>
      </c>
      <c r="K4048" s="7">
        <v>10.5625</v>
      </c>
      <c r="L4048" s="5" t="s">
        <v>36599</v>
      </c>
      <c r="M4048" s="7">
        <v>0.67500000000000004</v>
      </c>
      <c r="N4048" s="7">
        <v>0.5</v>
      </c>
      <c r="O4048" s="7">
        <v>0.91100000000000003</v>
      </c>
      <c r="P4048" s="1" t="s">
        <v>36600</v>
      </c>
    </row>
    <row r="4049" spans="1:16" ht="49.75" x14ac:dyDescent="0.3">
      <c r="A4049" s="6" t="str">
        <f>HYPERLINK("https://www.ti.com/product/TLC5916", "TLC5916")</f>
        <v>TLC5916</v>
      </c>
      <c r="B4049" s="5" t="s">
        <v>36601</v>
      </c>
      <c r="C4049" s="6" t="str">
        <f>HYPERLINK("https://www.ti.com/lit/gpn/TLC5916", "PDF")</f>
        <v>PDF</v>
      </c>
      <c r="D4049" s="5" t="s">
        <v>36602</v>
      </c>
      <c r="E4049" s="5" t="s">
        <v>36603</v>
      </c>
      <c r="F4049" s="5"/>
      <c r="G4049" s="5" t="s">
        <v>36604</v>
      </c>
      <c r="H4049" s="1" t="s">
        <v>36605</v>
      </c>
      <c r="I4049" s="5" t="s">
        <v>36606</v>
      </c>
      <c r="J4049" s="7">
        <v>16</v>
      </c>
      <c r="K4049" s="7" t="s">
        <v>36607</v>
      </c>
      <c r="L4049" s="5" t="s">
        <v>36608</v>
      </c>
      <c r="M4049" s="7" t="s">
        <v>36609</v>
      </c>
      <c r="N4049" s="7" t="s">
        <v>36610</v>
      </c>
      <c r="O4049" s="7">
        <v>0.51400000000000001</v>
      </c>
      <c r="P4049" s="1" t="s">
        <v>36611</v>
      </c>
    </row>
    <row r="4050" spans="1:16" ht="17.05" x14ac:dyDescent="0.3">
      <c r="A4050" s="6" t="str">
        <f>HYPERLINK("https://www.ti.com/product/UCD9080", "UCD9080")</f>
        <v>UCD9080</v>
      </c>
      <c r="B4050" s="5" t="s">
        <v>36612</v>
      </c>
      <c r="C4050" s="6" t="str">
        <f>HYPERLINK("https://www.ti.com/lit/gpn/UCD9080", "PDF")</f>
        <v>PDF</v>
      </c>
      <c r="D4050" s="5" t="s">
        <v>36613</v>
      </c>
      <c r="E4050" s="5" t="s">
        <v>36614</v>
      </c>
      <c r="F4050" s="5"/>
      <c r="G4050" s="5" t="s">
        <v>36615</v>
      </c>
      <c r="H4050" s="1" t="s">
        <v>36616</v>
      </c>
      <c r="I4050" s="5" t="s">
        <v>36617</v>
      </c>
      <c r="J4050" s="7">
        <v>32</v>
      </c>
      <c r="K4050" s="7">
        <v>25</v>
      </c>
      <c r="L4050" s="5" t="s">
        <v>36618</v>
      </c>
      <c r="M4050" s="7">
        <v>1</v>
      </c>
      <c r="N4050" s="7">
        <v>0.5</v>
      </c>
      <c r="O4050" s="7">
        <v>3.5819999999999999</v>
      </c>
      <c r="P4050" s="1" t="s">
        <v>36619</v>
      </c>
    </row>
    <row r="4051" spans="1:16" ht="82.5" x14ac:dyDescent="0.3">
      <c r="A4051" s="6" t="str">
        <f>HYPERLINK("https://www.ti.com/product/LP38851", "LP38851")</f>
        <v>LP38851</v>
      </c>
      <c r="B4051" s="5" t="s">
        <v>36620</v>
      </c>
      <c r="C4051" s="6" t="str">
        <f>HYPERLINK("https://www.ti.com/lit/gpn/LP38851", "PDF")</f>
        <v>PDF</v>
      </c>
      <c r="D4051" s="5" t="s">
        <v>36621</v>
      </c>
      <c r="E4051" s="5" t="s">
        <v>36622</v>
      </c>
      <c r="F4051" s="5"/>
      <c r="G4051" s="5" t="s">
        <v>36623</v>
      </c>
      <c r="H4051" s="1" t="s">
        <v>36624</v>
      </c>
      <c r="I4051" s="5" t="s">
        <v>36625</v>
      </c>
      <c r="J4051" s="7" t="s">
        <v>36626</v>
      </c>
      <c r="K4051" s="7" t="s">
        <v>36627</v>
      </c>
      <c r="L4051" s="5" t="s">
        <v>36628</v>
      </c>
      <c r="M4051" s="7" t="s">
        <v>36629</v>
      </c>
      <c r="N4051" s="7">
        <v>1.27</v>
      </c>
      <c r="O4051" s="7">
        <v>0.89800000000000002</v>
      </c>
      <c r="P4051" s="1" t="s">
        <v>36630</v>
      </c>
    </row>
    <row r="4052" spans="1:16" ht="49.75" x14ac:dyDescent="0.3">
      <c r="A4052" s="6" t="str">
        <f>HYPERLINK("https://www.ti.com/product/TPS74901", "TPS74901")</f>
        <v>TPS74901</v>
      </c>
      <c r="B4052" s="5" t="s">
        <v>36631</v>
      </c>
      <c r="C4052" s="6" t="str">
        <f>HYPERLINK("https://www.ti.com/lit/gpn/TPS74901", "PDF")</f>
        <v>PDF</v>
      </c>
      <c r="D4052" s="5" t="s">
        <v>36632</v>
      </c>
      <c r="E4052" s="5" t="s">
        <v>36633</v>
      </c>
      <c r="F4052" s="5"/>
      <c r="G4052" s="5" t="s">
        <v>36634</v>
      </c>
      <c r="H4052" s="1" t="s">
        <v>36635</v>
      </c>
      <c r="I4052" s="5" t="s">
        <v>36636</v>
      </c>
      <c r="J4052" s="7" t="s">
        <v>36637</v>
      </c>
      <c r="K4052" s="7" t="s">
        <v>36638</v>
      </c>
      <c r="L4052" s="5" t="s">
        <v>36639</v>
      </c>
      <c r="M4052" s="7" t="s">
        <v>36640</v>
      </c>
      <c r="N4052" s="7" t="s">
        <v>36641</v>
      </c>
      <c r="O4052" s="7">
        <v>0.32300000000000001</v>
      </c>
      <c r="P4052" s="1" t="s">
        <v>36642</v>
      </c>
    </row>
    <row r="4053" spans="1:16" ht="33.4" x14ac:dyDescent="0.3">
      <c r="A4053" s="6" t="str">
        <f>HYPERLINK("https://www.ti.com/product/UCC28060", "UCC28060")</f>
        <v>UCC28060</v>
      </c>
      <c r="B4053" s="5" t="s">
        <v>36643</v>
      </c>
      <c r="C4053" s="6" t="str">
        <f>HYPERLINK("https://www.ti.com/lit/gpn/UCC28060", "PDF")</f>
        <v>PDF</v>
      </c>
      <c r="D4053" s="5" t="s">
        <v>36644</v>
      </c>
      <c r="E4053" s="5" t="s">
        <v>36645</v>
      </c>
      <c r="F4053" s="5" t="s">
        <v>36646</v>
      </c>
      <c r="G4053" s="5" t="s">
        <v>36647</v>
      </c>
      <c r="H4053" s="1" t="s">
        <v>36648</v>
      </c>
      <c r="I4053" s="5" t="s">
        <v>36649</v>
      </c>
      <c r="J4053" s="7">
        <v>16</v>
      </c>
      <c r="K4053" s="7">
        <v>59.4</v>
      </c>
      <c r="L4053" s="5" t="s">
        <v>36650</v>
      </c>
      <c r="M4053" s="7">
        <v>1.75</v>
      </c>
      <c r="N4053" s="7">
        <v>1.27</v>
      </c>
      <c r="O4053" s="7">
        <v>1.127</v>
      </c>
      <c r="P4053" s="1" t="s">
        <v>36651</v>
      </c>
    </row>
    <row r="4054" spans="1:16" ht="33.4" x14ac:dyDescent="0.3">
      <c r="A4054" s="6" t="str">
        <f>HYPERLINK("https://www.ti.com/product/BUF22821", "BUF22821")</f>
        <v>BUF22821</v>
      </c>
      <c r="B4054" s="5" t="s">
        <v>36652</v>
      </c>
      <c r="C4054" s="6" t="str">
        <f>HYPERLINK("https://www.ti.com/lit/gpn/BUF22821", "PDF")</f>
        <v>PDF</v>
      </c>
      <c r="D4054" s="5" t="s">
        <v>36653</v>
      </c>
      <c r="E4054" s="5" t="s">
        <v>36654</v>
      </c>
      <c r="F4054" s="5"/>
      <c r="G4054" s="5" t="s">
        <v>36655</v>
      </c>
      <c r="H4054" s="1" t="s">
        <v>36656</v>
      </c>
      <c r="I4054" s="5" t="s">
        <v>36657</v>
      </c>
      <c r="J4054" s="7">
        <v>38</v>
      </c>
      <c r="K4054" s="7">
        <v>62.08</v>
      </c>
      <c r="L4054" s="5" t="s">
        <v>36658</v>
      </c>
      <c r="M4054" s="7">
        <v>1.2</v>
      </c>
      <c r="N4054" s="7">
        <v>0.5</v>
      </c>
      <c r="O4054" s="7">
        <v>3.2890000000000001</v>
      </c>
      <c r="P4054" s="1" t="s">
        <v>36659</v>
      </c>
    </row>
    <row r="4055" spans="1:16" ht="33.4" x14ac:dyDescent="0.3">
      <c r="A4055" s="6" t="str">
        <f>HYPERLINK("https://www.ti.com/product/LP5523", "LP5523")</f>
        <v>LP5523</v>
      </c>
      <c r="B4055" s="5" t="s">
        <v>36660</v>
      </c>
      <c r="C4055" s="6" t="str">
        <f>HYPERLINK("https://www.ti.com/lit/gpn/LP5523", "PDF")</f>
        <v>PDF</v>
      </c>
      <c r="D4055" s="5" t="s">
        <v>36661</v>
      </c>
      <c r="E4055" s="5" t="s">
        <v>36662</v>
      </c>
      <c r="F4055" s="5" t="s">
        <v>36663</v>
      </c>
      <c r="G4055" s="5" t="s">
        <v>36664</v>
      </c>
      <c r="H4055" s="1" t="s">
        <v>36665</v>
      </c>
      <c r="I4055" s="5" t="s">
        <v>36666</v>
      </c>
      <c r="J4055" s="7">
        <v>25</v>
      </c>
      <c r="K4055" s="7">
        <v>4.84</v>
      </c>
      <c r="L4055" s="5" t="s">
        <v>36667</v>
      </c>
      <c r="M4055" s="7">
        <v>0.67500000000000004</v>
      </c>
      <c r="N4055" s="7">
        <v>0.4</v>
      </c>
      <c r="O4055" s="7">
        <v>0.73799999999999999</v>
      </c>
      <c r="P4055" s="1" t="s">
        <v>36668</v>
      </c>
    </row>
    <row r="4056" spans="1:16" ht="33.4" x14ac:dyDescent="0.3">
      <c r="A4056" s="6" t="str">
        <f>HYPERLINK("https://www.ti.com/product/LM26480", "LM26480")</f>
        <v>LM26480</v>
      </c>
      <c r="B4056" s="5" t="s">
        <v>36669</v>
      </c>
      <c r="C4056" s="6" t="str">
        <f>HYPERLINK("https://www.ti.com/lit/gpn/LM26480", "PDF")</f>
        <v>PDF</v>
      </c>
      <c r="D4056" s="5" t="s">
        <v>36670</v>
      </c>
      <c r="E4056" s="5" t="s">
        <v>36671</v>
      </c>
      <c r="F4056" s="5"/>
      <c r="G4056" s="5" t="s">
        <v>36672</v>
      </c>
      <c r="H4056" s="1" t="s">
        <v>36673</v>
      </c>
      <c r="I4056" s="5" t="s">
        <v>36674</v>
      </c>
      <c r="J4056" s="7">
        <v>24</v>
      </c>
      <c r="K4056" s="7">
        <v>16</v>
      </c>
      <c r="L4056" s="5" t="s">
        <v>36675</v>
      </c>
      <c r="M4056" s="7">
        <v>0.8</v>
      </c>
      <c r="N4056" s="7">
        <v>0.5</v>
      </c>
      <c r="O4056" s="7">
        <v>1.323</v>
      </c>
      <c r="P4056" s="1" t="s">
        <v>36676</v>
      </c>
    </row>
    <row r="4057" spans="1:16" ht="33.4" x14ac:dyDescent="0.3">
      <c r="A4057" s="6" t="str">
        <f>HYPERLINK("https://www.ti.com/product/LM26480-Q1", "LM26480-Q1")</f>
        <v>LM26480-Q1</v>
      </c>
      <c r="B4057" s="5" t="s">
        <v>36677</v>
      </c>
      <c r="C4057" s="6" t="str">
        <f>HYPERLINK("https://www.ti.com/lit/gpn/LM26480-Q1", "PDF")</f>
        <v>PDF</v>
      </c>
      <c r="D4057" s="5" t="s">
        <v>36678</v>
      </c>
      <c r="E4057" s="5" t="s">
        <v>36679</v>
      </c>
      <c r="F4057" s="5"/>
      <c r="G4057" s="5" t="s">
        <v>36680</v>
      </c>
      <c r="H4057" s="1" t="s">
        <v>36681</v>
      </c>
      <c r="I4057" s="5" t="s">
        <v>36682</v>
      </c>
      <c r="J4057" s="7">
        <v>24</v>
      </c>
      <c r="K4057" s="7">
        <v>16</v>
      </c>
      <c r="L4057" s="5" t="s">
        <v>36683</v>
      </c>
      <c r="M4057" s="7">
        <v>0.8</v>
      </c>
      <c r="N4057" s="7">
        <v>0.5</v>
      </c>
      <c r="O4057" s="7">
        <v>1.5609999999999999</v>
      </c>
      <c r="P4057" s="1" t="s">
        <v>36684</v>
      </c>
    </row>
    <row r="4058" spans="1:16" ht="33.4" x14ac:dyDescent="0.3">
      <c r="A4058" s="6" t="str">
        <f>HYPERLINK("https://www.ti.com/product/LM34910C", "LM34910C")</f>
        <v>LM34910C</v>
      </c>
      <c r="B4058" s="5" t="s">
        <v>36685</v>
      </c>
      <c r="C4058" s="6" t="str">
        <f>HYPERLINK("https://www.ti.com/lit/gpn/LM34910C", "PDF")</f>
        <v>PDF</v>
      </c>
      <c r="D4058" s="5" t="s">
        <v>36686</v>
      </c>
      <c r="E4058" s="5" t="s">
        <v>36687</v>
      </c>
      <c r="F4058" s="5" t="s">
        <v>36688</v>
      </c>
      <c r="G4058" s="5" t="s">
        <v>36689</v>
      </c>
      <c r="H4058" s="1" t="s">
        <v>36690</v>
      </c>
      <c r="I4058" s="5" t="s">
        <v>36691</v>
      </c>
      <c r="J4058" s="7">
        <v>10</v>
      </c>
      <c r="K4058" s="7">
        <v>16</v>
      </c>
      <c r="L4058" s="5" t="s">
        <v>36692</v>
      </c>
      <c r="M4058" s="7">
        <v>0.8</v>
      </c>
      <c r="N4058" s="7">
        <v>0.8</v>
      </c>
      <c r="O4058" s="7">
        <v>1.2949999999999999</v>
      </c>
      <c r="P4058" s="1" t="s">
        <v>36693</v>
      </c>
    </row>
    <row r="4059" spans="1:16" ht="33.4" x14ac:dyDescent="0.3">
      <c r="A4059" s="6" t="str">
        <f>HYPERLINK("https://www.ti.com/product/TPS65162", "TPS65162")</f>
        <v>TPS65162</v>
      </c>
      <c r="B4059" s="5" t="s">
        <v>36694</v>
      </c>
      <c r="C4059" s="6" t="str">
        <f>HYPERLINK("https://www.ti.com/lit/gpn/TPS65162", "PDF")</f>
        <v>PDF</v>
      </c>
      <c r="D4059" s="5" t="s">
        <v>36695</v>
      </c>
      <c r="E4059" s="5" t="s">
        <v>36696</v>
      </c>
      <c r="F4059" s="5" t="s">
        <v>36697</v>
      </c>
      <c r="G4059" s="5" t="s">
        <v>36698</v>
      </c>
      <c r="H4059" s="1" t="s">
        <v>36699</v>
      </c>
      <c r="I4059" s="5" t="s">
        <v>36700</v>
      </c>
      <c r="J4059" s="7">
        <v>48</v>
      </c>
      <c r="K4059" s="7">
        <v>49</v>
      </c>
      <c r="L4059" s="5" t="s">
        <v>36701</v>
      </c>
      <c r="M4059" s="7">
        <v>1</v>
      </c>
      <c r="N4059" s="7">
        <v>0.5</v>
      </c>
      <c r="O4059" s="7">
        <v>0.57499999999999996</v>
      </c>
      <c r="P4059" s="1" t="s">
        <v>36702</v>
      </c>
    </row>
    <row r="4060" spans="1:16" ht="33.4" x14ac:dyDescent="0.3">
      <c r="A4060" s="6" t="str">
        <f>HYPERLINK("https://www.ti.com/product/LM34919", "LM34919")</f>
        <v>LM34919</v>
      </c>
      <c r="B4060" s="5" t="s">
        <v>36703</v>
      </c>
      <c r="C4060" s="6" t="str">
        <f>HYPERLINK("https://www.ti.com/lit/gpn/LM34919", "PDF")</f>
        <v>PDF</v>
      </c>
      <c r="D4060" s="5" t="s">
        <v>36704</v>
      </c>
      <c r="E4060" s="5" t="s">
        <v>36705</v>
      </c>
      <c r="F4060" s="5" t="s">
        <v>36706</v>
      </c>
      <c r="G4060" s="5" t="s">
        <v>36707</v>
      </c>
      <c r="H4060" s="1" t="s">
        <v>36708</v>
      </c>
      <c r="I4060" s="5" t="s">
        <v>36709</v>
      </c>
      <c r="J4060" s="7">
        <v>10</v>
      </c>
      <c r="K4060" s="7">
        <v>3.9375</v>
      </c>
      <c r="L4060" s="5" t="s">
        <v>36710</v>
      </c>
      <c r="M4060" s="7">
        <v>0.67500000000000004</v>
      </c>
      <c r="N4060" s="7">
        <v>0.5</v>
      </c>
      <c r="O4060" s="7">
        <v>1.22</v>
      </c>
      <c r="P4060" s="1" t="s">
        <v>36711</v>
      </c>
    </row>
    <row r="4061" spans="1:16" ht="49.75" x14ac:dyDescent="0.3">
      <c r="A4061" s="6" t="str">
        <f>HYPERLINK("https://www.ti.com/product/TL4051A12", "TL4051A12")</f>
        <v>TL4051A12</v>
      </c>
      <c r="B4061" s="5" t="s">
        <v>36712</v>
      </c>
      <c r="C4061" s="6" t="str">
        <f>HYPERLINK("https://www.ti.com/lit/gpn/TL4051A12", "PDF")</f>
        <v>PDF</v>
      </c>
      <c r="D4061" s="5" t="s">
        <v>36713</v>
      </c>
      <c r="E4061" s="5" t="s">
        <v>36714</v>
      </c>
      <c r="F4061" s="5"/>
      <c r="G4061" s="5" t="s">
        <v>36715</v>
      </c>
      <c r="H4061" s="1" t="s">
        <v>36716</v>
      </c>
      <c r="I4061" s="5" t="s">
        <v>36717</v>
      </c>
      <c r="J4061" s="7" t="s">
        <v>36718</v>
      </c>
      <c r="K4061" s="7" t="s">
        <v>36719</v>
      </c>
      <c r="L4061" s="5" t="s">
        <v>36720</v>
      </c>
      <c r="M4061" s="7" t="s">
        <v>36721</v>
      </c>
      <c r="N4061" s="7" t="s">
        <v>36722</v>
      </c>
      <c r="O4061" s="7">
        <v>0.78700000000000003</v>
      </c>
      <c r="P4061" s="1" t="s">
        <v>36723</v>
      </c>
    </row>
    <row r="4062" spans="1:16" ht="49.75" x14ac:dyDescent="0.3">
      <c r="A4062" s="6" t="str">
        <f>HYPERLINK("https://www.ti.com/product/TL4051B12", "TL4051B12")</f>
        <v>TL4051B12</v>
      </c>
      <c r="B4062" s="5" t="s">
        <v>36724</v>
      </c>
      <c r="C4062" s="6" t="str">
        <f>HYPERLINK("https://www.ti.com/lit/gpn/TL4051B12", "PDF")</f>
        <v>PDF</v>
      </c>
      <c r="D4062" s="5" t="s">
        <v>36725</v>
      </c>
      <c r="E4062" s="5" t="s">
        <v>36726</v>
      </c>
      <c r="F4062" s="5"/>
      <c r="G4062" s="5" t="s">
        <v>36727</v>
      </c>
      <c r="H4062" s="1" t="s">
        <v>36728</v>
      </c>
      <c r="I4062" s="5" t="s">
        <v>36729</v>
      </c>
      <c r="J4062" s="7" t="s">
        <v>36730</v>
      </c>
      <c r="K4062" s="7" t="s">
        <v>36731</v>
      </c>
      <c r="L4062" s="5" t="s">
        <v>36732</v>
      </c>
      <c r="M4062" s="7" t="s">
        <v>36733</v>
      </c>
      <c r="N4062" s="7" t="s">
        <v>36734</v>
      </c>
      <c r="O4062" s="7">
        <v>0.48399999999999999</v>
      </c>
      <c r="P4062" s="1" t="s">
        <v>36735</v>
      </c>
    </row>
    <row r="4063" spans="1:16" ht="49.75" x14ac:dyDescent="0.3">
      <c r="A4063" s="6" t="str">
        <f>HYPERLINK("https://www.ti.com/product/TL4051C12", "TL4051C12")</f>
        <v>TL4051C12</v>
      </c>
      <c r="B4063" s="5" t="s">
        <v>36736</v>
      </c>
      <c r="C4063" s="6" t="str">
        <f>HYPERLINK("https://www.ti.com/lit/gpn/TL4051C12", "PDF")</f>
        <v>PDF</v>
      </c>
      <c r="D4063" s="5" t="s">
        <v>36737</v>
      </c>
      <c r="E4063" s="5" t="s">
        <v>36738</v>
      </c>
      <c r="F4063" s="5"/>
      <c r="G4063" s="5" t="s">
        <v>36739</v>
      </c>
      <c r="H4063" s="1" t="s">
        <v>36740</v>
      </c>
      <c r="I4063" s="5" t="s">
        <v>36741</v>
      </c>
      <c r="J4063" s="7" t="s">
        <v>36742</v>
      </c>
      <c r="K4063" s="7" t="s">
        <v>36743</v>
      </c>
      <c r="L4063" s="5" t="s">
        <v>36744</v>
      </c>
      <c r="M4063" s="7" t="s">
        <v>36745</v>
      </c>
      <c r="N4063" s="7" t="s">
        <v>36746</v>
      </c>
      <c r="O4063" s="7">
        <v>0.44700000000000001</v>
      </c>
      <c r="P4063" s="1" t="s">
        <v>36747</v>
      </c>
    </row>
    <row r="4064" spans="1:16" ht="33.4" x14ac:dyDescent="0.3">
      <c r="A4064" s="6" t="str">
        <f>HYPERLINK("https://www.ti.com/product/TPS61073", "TPS61073")</f>
        <v>TPS61073</v>
      </c>
      <c r="B4064" s="5" t="s">
        <v>36748</v>
      </c>
      <c r="C4064" s="6" t="str">
        <f>HYPERLINK("https://www.ti.com/lit/gpn/TPS61073", "PDF")</f>
        <v>PDF</v>
      </c>
      <c r="D4064" s="5" t="s">
        <v>36749</v>
      </c>
      <c r="E4064" s="5" t="s">
        <v>36750</v>
      </c>
      <c r="F4064" s="5" t="s">
        <v>36751</v>
      </c>
      <c r="G4064" s="5" t="s">
        <v>36752</v>
      </c>
      <c r="H4064" s="1" t="s">
        <v>36753</v>
      </c>
      <c r="I4064" s="5" t="s">
        <v>36754</v>
      </c>
      <c r="J4064" s="7">
        <v>6</v>
      </c>
      <c r="K4064" s="7">
        <v>8.1199999999999992</v>
      </c>
      <c r="L4064" s="5" t="s">
        <v>36755</v>
      </c>
      <c r="M4064" s="7">
        <v>1.1000000000000001</v>
      </c>
      <c r="N4064" s="7">
        <v>0.95</v>
      </c>
      <c r="O4064" s="7">
        <v>0.40100000000000002</v>
      </c>
      <c r="P4064" s="1" t="s">
        <v>36756</v>
      </c>
    </row>
    <row r="4065" spans="1:16" ht="33.4" x14ac:dyDescent="0.3">
      <c r="A4065" s="6" t="str">
        <f>HYPERLINK("https://www.ti.com/product/LM26001B", "LM26001B")</f>
        <v>LM26001B</v>
      </c>
      <c r="B4065" s="5" t="s">
        <v>36757</v>
      </c>
      <c r="C4065" s="6" t="str">
        <f>HYPERLINK("https://www.ti.com/lit/gpn/LM26001B", "PDF")</f>
        <v>PDF</v>
      </c>
      <c r="D4065" s="5" t="s">
        <v>36758</v>
      </c>
      <c r="E4065" s="5" t="s">
        <v>36759</v>
      </c>
      <c r="F4065" s="5" t="s">
        <v>36760</v>
      </c>
      <c r="G4065" s="5" t="s">
        <v>36761</v>
      </c>
      <c r="H4065" s="1" t="s">
        <v>36762</v>
      </c>
      <c r="I4065" s="5" t="s">
        <v>36763</v>
      </c>
      <c r="J4065" s="7">
        <v>16</v>
      </c>
      <c r="K4065" s="7">
        <v>32</v>
      </c>
      <c r="L4065" s="5" t="s">
        <v>36764</v>
      </c>
      <c r="M4065" s="7">
        <v>1.2</v>
      </c>
      <c r="N4065" s="7">
        <v>0.65</v>
      </c>
      <c r="O4065" s="7">
        <v>0.75900000000000001</v>
      </c>
      <c r="P4065" s="1" t="s">
        <v>36765</v>
      </c>
    </row>
    <row r="4066" spans="1:16" ht="33.4" x14ac:dyDescent="0.3">
      <c r="A4066" s="6" t="str">
        <f>HYPERLINK("https://www.ti.com/product/UCC28019", "UCC28019")</f>
        <v>UCC28019</v>
      </c>
      <c r="B4066" s="5" t="s">
        <v>36766</v>
      </c>
      <c r="C4066" s="6" t="str">
        <f>HYPERLINK("https://www.ti.com/lit/gpn/UCC28019", "PDF")</f>
        <v>PDF</v>
      </c>
      <c r="D4066" s="5" t="s">
        <v>36767</v>
      </c>
      <c r="E4066" s="5" t="s">
        <v>36768</v>
      </c>
      <c r="F4066" s="5" t="s">
        <v>36769</v>
      </c>
      <c r="G4066" s="5" t="s">
        <v>36770</v>
      </c>
      <c r="H4066" s="1" t="s">
        <v>36771</v>
      </c>
      <c r="I4066" s="5" t="s">
        <v>36772</v>
      </c>
      <c r="J4066" s="7">
        <v>8</v>
      </c>
      <c r="K4066" s="7">
        <v>29.4</v>
      </c>
      <c r="L4066" s="5" t="s">
        <v>36773</v>
      </c>
      <c r="M4066" s="7">
        <v>1.75</v>
      </c>
      <c r="N4066" s="7">
        <v>1.27</v>
      </c>
      <c r="O4066" s="7">
        <v>0.61199999999999999</v>
      </c>
      <c r="P4066" s="1" t="s">
        <v>36774</v>
      </c>
    </row>
    <row r="4067" spans="1:16" ht="33.4" x14ac:dyDescent="0.3">
      <c r="A4067" s="6" t="str">
        <f>HYPERLINK("https://www.ti.com/product/TPS60250", "TPS60250")</f>
        <v>TPS60250</v>
      </c>
      <c r="B4067" s="5" t="s">
        <v>36775</v>
      </c>
      <c r="C4067" s="6" t="str">
        <f>HYPERLINK("https://www.ti.com/lit/gpn/TPS60250", "PDF")</f>
        <v>PDF</v>
      </c>
      <c r="D4067" s="5" t="s">
        <v>36776</v>
      </c>
      <c r="E4067" s="5" t="s">
        <v>36777</v>
      </c>
      <c r="F4067" s="5" t="s">
        <v>36778</v>
      </c>
      <c r="G4067" s="5" t="s">
        <v>36779</v>
      </c>
      <c r="H4067" s="1" t="s">
        <v>36780</v>
      </c>
      <c r="I4067" s="5" t="s">
        <v>36781</v>
      </c>
      <c r="J4067" s="7">
        <v>16</v>
      </c>
      <c r="K4067" s="7">
        <v>9</v>
      </c>
      <c r="L4067" s="5" t="s">
        <v>36782</v>
      </c>
      <c r="M4067" s="7">
        <v>0.8</v>
      </c>
      <c r="N4067" s="7">
        <v>0.5</v>
      </c>
      <c r="O4067" s="7">
        <v>0.85</v>
      </c>
      <c r="P4067" s="1" t="s">
        <v>36783</v>
      </c>
    </row>
    <row r="4068" spans="1:16" ht="33.4" x14ac:dyDescent="0.3">
      <c r="A4068" s="6" t="str">
        <f>HYPERLINK("https://www.ti.com/product/TPS61052", "TPS61052")</f>
        <v>TPS61052</v>
      </c>
      <c r="B4068" s="5" t="s">
        <v>36784</v>
      </c>
      <c r="C4068" s="6" t="str">
        <f>HYPERLINK("https://www.ti.com/lit/gpn/TPS61052", "PDF")</f>
        <v>PDF</v>
      </c>
      <c r="D4068" s="5" t="s">
        <v>36785</v>
      </c>
      <c r="E4068" s="5" t="s">
        <v>36786</v>
      </c>
      <c r="F4068" s="5" t="s">
        <v>36787</v>
      </c>
      <c r="G4068" s="5" t="s">
        <v>36788</v>
      </c>
      <c r="H4068" s="1" t="s">
        <v>36789</v>
      </c>
      <c r="I4068" s="5" t="s">
        <v>36790</v>
      </c>
      <c r="J4068" s="7" t="s">
        <v>36791</v>
      </c>
      <c r="K4068" s="7" t="s">
        <v>36792</v>
      </c>
      <c r="L4068" s="5" t="s">
        <v>36793</v>
      </c>
      <c r="M4068" s="7" t="s">
        <v>36794</v>
      </c>
      <c r="N4068" s="7">
        <v>0.5</v>
      </c>
      <c r="O4068" s="7">
        <v>0.42599999999999999</v>
      </c>
      <c r="P4068" s="1" t="s">
        <v>36795</v>
      </c>
    </row>
    <row r="4069" spans="1:16" ht="33.4" x14ac:dyDescent="0.3">
      <c r="A4069" s="6" t="str">
        <f>HYPERLINK("https://www.ti.com/product/PTH04T221W", "PTH04T221W")</f>
        <v>PTH04T221W</v>
      </c>
      <c r="B4069" s="5" t="s">
        <v>36796</v>
      </c>
      <c r="C4069" s="6" t="str">
        <f>HYPERLINK("https://www.ti.com/lit/gpn/PTH04T221W", "PDF")</f>
        <v>PDF</v>
      </c>
      <c r="D4069" s="5" t="s">
        <v>36797</v>
      </c>
      <c r="E4069" s="5" t="s">
        <v>36798</v>
      </c>
      <c r="F4069" s="5" t="s">
        <v>36799</v>
      </c>
      <c r="G4069" s="5" t="s">
        <v>36800</v>
      </c>
      <c r="H4069" s="1" t="s">
        <v>36801</v>
      </c>
      <c r="I4069" s="5" t="s">
        <v>36802</v>
      </c>
      <c r="J4069" s="7">
        <v>11</v>
      </c>
      <c r="K4069" s="7">
        <v>524.22260000000006</v>
      </c>
      <c r="L4069" s="5" t="s">
        <v>36803</v>
      </c>
      <c r="M4069" s="7" t="s">
        <v>36804</v>
      </c>
      <c r="N4069" s="7">
        <v>2.54</v>
      </c>
      <c r="O4069" s="7">
        <v>14.548</v>
      </c>
      <c r="P4069" s="1" t="s">
        <v>36805</v>
      </c>
    </row>
    <row r="4070" spans="1:16" ht="33.4" x14ac:dyDescent="0.3">
      <c r="A4070" s="6" t="str">
        <f>HYPERLINK("https://www.ti.com/product/TPS2066-1", "TPS2066-1")</f>
        <v>TPS2066-1</v>
      </c>
      <c r="B4070" s="5" t="s">
        <v>36806</v>
      </c>
      <c r="C4070" s="6" t="str">
        <f>HYPERLINK("https://www.ti.com/lit/gpn/TPS2066-1", "PDF")</f>
        <v>PDF</v>
      </c>
      <c r="D4070" s="5" t="s">
        <v>36807</v>
      </c>
      <c r="E4070" s="5" t="s">
        <v>36808</v>
      </c>
      <c r="F4070" s="5"/>
      <c r="G4070" s="5" t="s">
        <v>36809</v>
      </c>
      <c r="H4070" s="1" t="s">
        <v>36810</v>
      </c>
      <c r="I4070" s="5" t="s">
        <v>36811</v>
      </c>
      <c r="J4070" s="7">
        <v>8</v>
      </c>
      <c r="K4070" s="7">
        <v>14.7</v>
      </c>
      <c r="L4070" s="5" t="s">
        <v>36812</v>
      </c>
      <c r="M4070" s="7">
        <v>1.1000000000000001</v>
      </c>
      <c r="N4070" s="7">
        <v>0.65</v>
      </c>
      <c r="O4070" s="7">
        <v>0.82099999999999995</v>
      </c>
      <c r="P4070" s="1" t="s">
        <v>36813</v>
      </c>
    </row>
    <row r="4071" spans="1:16" ht="17.05" x14ac:dyDescent="0.3">
      <c r="A4071" s="6" t="str">
        <f>HYPERLINK("https://www.ti.com/product/SN070305", "SN070305")</f>
        <v>SN070305</v>
      </c>
      <c r="B4071" s="5" t="s">
        <v>36814</v>
      </c>
      <c r="C4071" s="6" t="s">
        <v>183</v>
      </c>
      <c r="D4071" s="5" t="s">
        <v>36815</v>
      </c>
      <c r="E4071" s="5" t="s">
        <v>36816</v>
      </c>
      <c r="F4071" s="5"/>
      <c r="G4071" s="5" t="s">
        <v>36817</v>
      </c>
      <c r="H4071" s="1" t="s">
        <v>36818</v>
      </c>
      <c r="I4071" s="5" t="s">
        <v>36819</v>
      </c>
      <c r="J4071" s="7">
        <v>28</v>
      </c>
      <c r="K4071" s="7">
        <v>62.08</v>
      </c>
      <c r="L4071" s="5" t="s">
        <v>36820</v>
      </c>
      <c r="M4071" s="7">
        <v>1.2</v>
      </c>
      <c r="N4071" s="7">
        <v>0.65</v>
      </c>
      <c r="O4071" s="7">
        <v>1.4279999999999999</v>
      </c>
      <c r="P4071" s="1" t="s">
        <v>36821</v>
      </c>
    </row>
    <row r="4072" spans="1:16" ht="49.75" x14ac:dyDescent="0.3">
      <c r="A4072" s="6" t="str">
        <f>HYPERLINK("https://www.ti.com/product/TL4050A", "TL4050A")</f>
        <v>TL4050A</v>
      </c>
      <c r="B4072" s="5" t="s">
        <v>36822</v>
      </c>
      <c r="C4072" s="6" t="str">
        <f>HYPERLINK("https://www.ti.com/lit/gpn/TL4050A", "PDF")</f>
        <v>PDF</v>
      </c>
      <c r="D4072" s="5" t="s">
        <v>36823</v>
      </c>
      <c r="E4072" s="5" t="s">
        <v>36824</v>
      </c>
      <c r="F4072" s="5"/>
      <c r="G4072" s="5" t="s">
        <v>36825</v>
      </c>
      <c r="H4072" s="1" t="s">
        <v>36826</v>
      </c>
      <c r="I4072" s="5" t="s">
        <v>36827</v>
      </c>
      <c r="J4072" s="7" t="s">
        <v>36828</v>
      </c>
      <c r="K4072" s="7" t="s">
        <v>36829</v>
      </c>
      <c r="L4072" s="5" t="s">
        <v>36830</v>
      </c>
      <c r="M4072" s="7" t="s">
        <v>36831</v>
      </c>
      <c r="N4072" s="7" t="s">
        <v>36832</v>
      </c>
      <c r="O4072" s="7">
        <v>0.72299999999999998</v>
      </c>
      <c r="P4072" s="1" t="s">
        <v>36833</v>
      </c>
    </row>
    <row r="4073" spans="1:16" ht="49.75" x14ac:dyDescent="0.3">
      <c r="A4073" s="6" t="str">
        <f>HYPERLINK("https://www.ti.com/product/TL4050B", "TL4050B")</f>
        <v>TL4050B</v>
      </c>
      <c r="B4073" s="5" t="s">
        <v>36834</v>
      </c>
      <c r="C4073" s="6" t="str">
        <f>HYPERLINK("https://www.ti.com/lit/gpn/TL4050B", "PDF")</f>
        <v>PDF</v>
      </c>
      <c r="D4073" s="5" t="s">
        <v>36835</v>
      </c>
      <c r="E4073" s="5" t="s">
        <v>36836</v>
      </c>
      <c r="F4073" s="5"/>
      <c r="G4073" s="5" t="s">
        <v>36837</v>
      </c>
      <c r="H4073" s="1" t="s">
        <v>36838</v>
      </c>
      <c r="I4073" s="5" t="s">
        <v>36839</v>
      </c>
      <c r="J4073" s="7" t="s">
        <v>36840</v>
      </c>
      <c r="K4073" s="7" t="s">
        <v>36841</v>
      </c>
      <c r="L4073" s="5" t="s">
        <v>36842</v>
      </c>
      <c r="M4073" s="7" t="s">
        <v>36843</v>
      </c>
      <c r="N4073" s="7" t="s">
        <v>36844</v>
      </c>
      <c r="O4073" s="7">
        <v>0.496</v>
      </c>
      <c r="P4073" s="1" t="s">
        <v>36845</v>
      </c>
    </row>
    <row r="4074" spans="1:16" ht="49.75" x14ac:dyDescent="0.3">
      <c r="A4074" s="6" t="str">
        <f>HYPERLINK("https://www.ti.com/product/TL4050C", "TL4050C")</f>
        <v>TL4050C</v>
      </c>
      <c r="B4074" s="5" t="s">
        <v>36846</v>
      </c>
      <c r="C4074" s="6" t="str">
        <f>HYPERLINK("https://www.ti.com/lit/gpn/TL4050C", "PDF")</f>
        <v>PDF</v>
      </c>
      <c r="D4074" s="5" t="s">
        <v>36847</v>
      </c>
      <c r="E4074" s="5" t="s">
        <v>36848</v>
      </c>
      <c r="F4074" s="5"/>
      <c r="G4074" s="5" t="s">
        <v>36849</v>
      </c>
      <c r="H4074" s="1" t="s">
        <v>36850</v>
      </c>
      <c r="I4074" s="5" t="s">
        <v>36851</v>
      </c>
      <c r="J4074" s="7" t="s">
        <v>36852</v>
      </c>
      <c r="K4074" s="7" t="s">
        <v>36853</v>
      </c>
      <c r="L4074" s="5" t="s">
        <v>36854</v>
      </c>
      <c r="M4074" s="7" t="s">
        <v>36855</v>
      </c>
      <c r="N4074" s="7" t="s">
        <v>36856</v>
      </c>
      <c r="O4074" s="7">
        <v>0.39900000000000002</v>
      </c>
      <c r="P4074" s="1" t="s">
        <v>36857</v>
      </c>
    </row>
    <row r="4075" spans="1:16" ht="33.4" x14ac:dyDescent="0.3">
      <c r="A4075" s="6" t="str">
        <f>HYPERLINK("https://www.ti.com/product/TPS2068", "TPS2068")</f>
        <v>TPS2068</v>
      </c>
      <c r="B4075" s="5" t="s">
        <v>36858</v>
      </c>
      <c r="C4075" s="6" t="str">
        <f>HYPERLINK("https://www.ti.com/lit/gpn/TPS2068", "PDF")</f>
        <v>PDF</v>
      </c>
      <c r="D4075" s="5" t="s">
        <v>36859</v>
      </c>
      <c r="E4075" s="5" t="s">
        <v>36860</v>
      </c>
      <c r="F4075" s="5"/>
      <c r="G4075" s="5" t="s">
        <v>36861</v>
      </c>
      <c r="H4075" s="1" t="s">
        <v>36862</v>
      </c>
      <c r="I4075" s="5" t="s">
        <v>36863</v>
      </c>
      <c r="J4075" s="7">
        <v>8</v>
      </c>
      <c r="K4075" s="7" t="s">
        <v>36864</v>
      </c>
      <c r="L4075" s="5" t="s">
        <v>36865</v>
      </c>
      <c r="M4075" s="7" t="s">
        <v>36866</v>
      </c>
      <c r="N4075" s="7" t="s">
        <v>36867</v>
      </c>
      <c r="O4075" s="7">
        <v>0.80100000000000005</v>
      </c>
      <c r="P4075" s="1" t="s">
        <v>36868</v>
      </c>
    </row>
    <row r="4076" spans="1:16" ht="33.4" x14ac:dyDescent="0.3">
      <c r="A4076" s="6" t="str">
        <f>HYPERLINK("https://www.ti.com/product/TPS2069", "TPS2069")</f>
        <v>TPS2069</v>
      </c>
      <c r="B4076" s="5" t="s">
        <v>36869</v>
      </c>
      <c r="C4076" s="6" t="str">
        <f>HYPERLINK("https://www.ti.com/lit/gpn/TPS2069", "PDF")</f>
        <v>PDF</v>
      </c>
      <c r="D4076" s="5" t="s">
        <v>36870</v>
      </c>
      <c r="E4076" s="5" t="s">
        <v>36871</v>
      </c>
      <c r="F4076" s="5"/>
      <c r="G4076" s="5" t="s">
        <v>36872</v>
      </c>
      <c r="H4076" s="1" t="s">
        <v>36873</v>
      </c>
      <c r="I4076" s="5" t="s">
        <v>36874</v>
      </c>
      <c r="J4076" s="7">
        <v>8</v>
      </c>
      <c r="K4076" s="7">
        <v>14.7</v>
      </c>
      <c r="L4076" s="5" t="s">
        <v>36875</v>
      </c>
      <c r="M4076" s="7">
        <v>1.1000000000000001</v>
      </c>
      <c r="N4076" s="7">
        <v>0.65</v>
      </c>
      <c r="O4076" s="7">
        <v>0.879</v>
      </c>
      <c r="P4076" s="1" t="s">
        <v>36876</v>
      </c>
    </row>
    <row r="4077" spans="1:16" ht="33.4" x14ac:dyDescent="0.3">
      <c r="A4077" s="6" t="str">
        <f>HYPERLINK("https://www.ti.com/product/LP2998", "LP2998")</f>
        <v>LP2998</v>
      </c>
      <c r="B4077" s="5" t="s">
        <v>36877</v>
      </c>
      <c r="C4077" s="6" t="str">
        <f>HYPERLINK("https://www.ti.com/lit/gpn/LP2998", "PDF")</f>
        <v>PDF</v>
      </c>
      <c r="D4077" s="5" t="s">
        <v>36878</v>
      </c>
      <c r="E4077" s="5" t="s">
        <v>36879</v>
      </c>
      <c r="F4077" s="5"/>
      <c r="G4077" s="5" t="s">
        <v>36880</v>
      </c>
      <c r="H4077" s="1" t="s">
        <v>36881</v>
      </c>
      <c r="I4077" s="5" t="s">
        <v>36882</v>
      </c>
      <c r="J4077" s="7">
        <v>8</v>
      </c>
      <c r="K4077" s="7">
        <v>29.4</v>
      </c>
      <c r="L4077" s="5" t="s">
        <v>36883</v>
      </c>
      <c r="M4077" s="7" t="s">
        <v>36884</v>
      </c>
      <c r="N4077" s="7">
        <v>1.27</v>
      </c>
      <c r="O4077" s="7">
        <v>0.69099999999999995</v>
      </c>
      <c r="P4077" s="1" t="s">
        <v>36885</v>
      </c>
    </row>
    <row r="4078" spans="1:16" ht="33.4" x14ac:dyDescent="0.3">
      <c r="A4078" s="6" t="str">
        <f>HYPERLINK("https://www.ti.com/product/TLC5945", "TLC5945")</f>
        <v>TLC5945</v>
      </c>
      <c r="B4078" s="5" t="s">
        <v>36886</v>
      </c>
      <c r="C4078" s="6" t="str">
        <f>HYPERLINK("https://www.ti.com/lit/gpn/TLC5945", "PDF")</f>
        <v>PDF</v>
      </c>
      <c r="D4078" s="5" t="s">
        <v>36887</v>
      </c>
      <c r="E4078" s="5" t="s">
        <v>36888</v>
      </c>
      <c r="F4078" s="5"/>
      <c r="G4078" s="5" t="s">
        <v>36889</v>
      </c>
      <c r="H4078" s="1" t="s">
        <v>36890</v>
      </c>
      <c r="I4078" s="5" t="s">
        <v>36891</v>
      </c>
      <c r="J4078" s="7" t="s">
        <v>36892</v>
      </c>
      <c r="K4078" s="7" t="s">
        <v>36893</v>
      </c>
      <c r="L4078" s="5" t="s">
        <v>36894</v>
      </c>
      <c r="M4078" s="7" t="s">
        <v>36895</v>
      </c>
      <c r="N4078" s="7" t="s">
        <v>36896</v>
      </c>
      <c r="O4078" s="7">
        <v>1.01</v>
      </c>
      <c r="P4078" s="1" t="s">
        <v>36897</v>
      </c>
    </row>
    <row r="4079" spans="1:16" ht="33.4" x14ac:dyDescent="0.3">
      <c r="A4079" s="6" t="str">
        <f>HYPERLINK("https://www.ti.com/product/PTH04T241W", "PTH04T241W")</f>
        <v>PTH04T241W</v>
      </c>
      <c r="B4079" s="5" t="s">
        <v>36898</v>
      </c>
      <c r="C4079" s="6" t="str">
        <f>HYPERLINK("https://www.ti.com/lit/gpn/PTH04T241W", "PDF")</f>
        <v>PDF</v>
      </c>
      <c r="D4079" s="5" t="s">
        <v>36899</v>
      </c>
      <c r="E4079" s="5" t="s">
        <v>36900</v>
      </c>
      <c r="F4079" s="5" t="s">
        <v>36901</v>
      </c>
      <c r="G4079" s="5" t="s">
        <v>36902</v>
      </c>
      <c r="H4079" s="1" t="s">
        <v>36903</v>
      </c>
      <c r="I4079" s="5" t="s">
        <v>36904</v>
      </c>
      <c r="J4079" s="7">
        <v>11</v>
      </c>
      <c r="K4079" s="7">
        <v>387.3236</v>
      </c>
      <c r="L4079" s="5" t="s">
        <v>36905</v>
      </c>
      <c r="M4079" s="7">
        <v>8.33</v>
      </c>
      <c r="N4079" s="7">
        <v>2.54</v>
      </c>
      <c r="O4079" s="7">
        <v>12.397</v>
      </c>
      <c r="P4079" s="1" t="s">
        <v>36906</v>
      </c>
    </row>
    <row r="4080" spans="1:16" ht="17.05" x14ac:dyDescent="0.3">
      <c r="A4080" s="6" t="str">
        <f>HYPERLINK("https://www.ti.com/product/LM3508", "LM3508")</f>
        <v>LM3508</v>
      </c>
      <c r="B4080" s="5" t="s">
        <v>36907</v>
      </c>
      <c r="C4080" s="6" t="str">
        <f>HYPERLINK("https://www.ti.com/lit/gpn/LM3508", "PDF")</f>
        <v>PDF</v>
      </c>
      <c r="D4080" s="5" t="s">
        <v>36908</v>
      </c>
      <c r="E4080" s="5" t="s">
        <v>36909</v>
      </c>
      <c r="F4080" s="5" t="s">
        <v>36910</v>
      </c>
      <c r="G4080" s="5" t="s">
        <v>36911</v>
      </c>
      <c r="H4080" s="1" t="s">
        <v>36912</v>
      </c>
      <c r="I4080" s="5" t="s">
        <v>36913</v>
      </c>
      <c r="J4080" s="7">
        <v>9</v>
      </c>
      <c r="K4080" s="7">
        <v>3.0625</v>
      </c>
      <c r="L4080" s="5" t="s">
        <v>36914</v>
      </c>
      <c r="M4080" s="7">
        <v>0.67500000000000004</v>
      </c>
      <c r="N4080" s="7">
        <v>0.5</v>
      </c>
      <c r="O4080" s="7">
        <v>0.25900000000000001</v>
      </c>
      <c r="P4080" s="1" t="s">
        <v>36915</v>
      </c>
    </row>
    <row r="4081" spans="1:16" ht="33.4" x14ac:dyDescent="0.3">
      <c r="A4081" s="6" t="str">
        <f>HYPERLINK("https://www.ti.com/product/LM25116", "LM25116")</f>
        <v>LM25116</v>
      </c>
      <c r="B4081" s="5" t="s">
        <v>36916</v>
      </c>
      <c r="C4081" s="6" t="str">
        <f>HYPERLINK("https://www.ti.com/lit/gpn/LM25116", "PDF")</f>
        <v>PDF</v>
      </c>
      <c r="D4081" s="5" t="s">
        <v>36917</v>
      </c>
      <c r="E4081" s="5" t="s">
        <v>36918</v>
      </c>
      <c r="F4081" s="5" t="s">
        <v>36919</v>
      </c>
      <c r="G4081" s="5" t="s">
        <v>36920</v>
      </c>
      <c r="H4081" s="1" t="s">
        <v>36921</v>
      </c>
      <c r="I4081" s="5" t="s">
        <v>36922</v>
      </c>
      <c r="J4081" s="7">
        <v>20</v>
      </c>
      <c r="K4081" s="7">
        <v>41.6</v>
      </c>
      <c r="L4081" s="5" t="s">
        <v>36923</v>
      </c>
      <c r="M4081" s="7">
        <v>1.2</v>
      </c>
      <c r="N4081" s="7">
        <v>0.65</v>
      </c>
      <c r="O4081" s="7">
        <v>1.893</v>
      </c>
      <c r="P4081" s="1" t="s">
        <v>36924</v>
      </c>
    </row>
    <row r="4082" spans="1:16" ht="49.75" x14ac:dyDescent="0.3">
      <c r="A4082" s="6" t="str">
        <f>HYPERLINK("https://www.ti.com/product/LM5067", "LM5067")</f>
        <v>LM5067</v>
      </c>
      <c r="B4082" s="5" t="s">
        <v>36925</v>
      </c>
      <c r="C4082" s="6" t="str">
        <f>HYPERLINK("https://www.ti.com/lit/gpn/LM5067", "PDF")</f>
        <v>PDF</v>
      </c>
      <c r="D4082" s="5" t="s">
        <v>36926</v>
      </c>
      <c r="E4082" s="5" t="s">
        <v>36927</v>
      </c>
      <c r="F4082" s="5"/>
      <c r="G4082" s="5" t="s">
        <v>36928</v>
      </c>
      <c r="H4082" s="1" t="s">
        <v>36929</v>
      </c>
      <c r="I4082" s="5" t="s">
        <v>36930</v>
      </c>
      <c r="J4082" s="7" t="s">
        <v>36931</v>
      </c>
      <c r="K4082" s="7" t="s">
        <v>36932</v>
      </c>
      <c r="L4082" s="5" t="s">
        <v>36933</v>
      </c>
      <c r="M4082" s="7" t="s">
        <v>36934</v>
      </c>
      <c r="N4082" s="7" t="s">
        <v>36935</v>
      </c>
      <c r="O4082" s="7">
        <v>1.222</v>
      </c>
      <c r="P4082" s="1" t="s">
        <v>36936</v>
      </c>
    </row>
    <row r="4083" spans="1:16" ht="66.150000000000006" x14ac:dyDescent="0.3">
      <c r="A4083" s="6" t="str">
        <f>HYPERLINK("https://www.ti.com/product/TL720M05-Q1", "TL720M05-Q1")</f>
        <v>TL720M05-Q1</v>
      </c>
      <c r="B4083" s="5" t="s">
        <v>36937</v>
      </c>
      <c r="C4083" s="6" t="str">
        <f>HYPERLINK("https://www.ti.com/lit/gpn/TL720M05-Q1", "PDF")</f>
        <v>PDF</v>
      </c>
      <c r="D4083" s="5" t="s">
        <v>36938</v>
      </c>
      <c r="E4083" s="5" t="s">
        <v>36939</v>
      </c>
      <c r="F4083" s="5"/>
      <c r="G4083" s="5" t="s">
        <v>36940</v>
      </c>
      <c r="H4083" s="1" t="s">
        <v>36941</v>
      </c>
      <c r="I4083" s="5" t="s">
        <v>36942</v>
      </c>
      <c r="J4083" s="7" t="s">
        <v>36943</v>
      </c>
      <c r="K4083" s="7" t="s">
        <v>36944</v>
      </c>
      <c r="L4083" s="5" t="s">
        <v>36945</v>
      </c>
      <c r="M4083" s="7" t="s">
        <v>36946</v>
      </c>
      <c r="N4083" s="7" t="s">
        <v>36947</v>
      </c>
      <c r="O4083" s="7">
        <v>0.55800000000000005</v>
      </c>
      <c r="P4083" s="1" t="s">
        <v>36948</v>
      </c>
    </row>
    <row r="4084" spans="1:16" ht="33.4" x14ac:dyDescent="0.3">
      <c r="A4084" s="6" t="str">
        <f>HYPERLINK("https://www.ti.com/product/LM3686", "LM3686")</f>
        <v>LM3686</v>
      </c>
      <c r="B4084" s="5" t="s">
        <v>36949</v>
      </c>
      <c r="C4084" s="6" t="str">
        <f>HYPERLINK("https://www.ti.com/lit/gpn/LM3686", "PDF")</f>
        <v>PDF</v>
      </c>
      <c r="D4084" s="5" t="s">
        <v>36950</v>
      </c>
      <c r="E4084" s="5" t="s">
        <v>36951</v>
      </c>
      <c r="F4084" s="5"/>
      <c r="G4084" s="5" t="s">
        <v>36952</v>
      </c>
      <c r="H4084" s="1" t="s">
        <v>36953</v>
      </c>
      <c r="I4084" s="5" t="s">
        <v>36954</v>
      </c>
      <c r="J4084" s="7">
        <v>12</v>
      </c>
      <c r="K4084" s="7">
        <v>3.9375</v>
      </c>
      <c r="L4084" s="5" t="s">
        <v>36955</v>
      </c>
      <c r="M4084" s="7">
        <v>0.67500000000000004</v>
      </c>
      <c r="N4084" s="7">
        <v>0.5</v>
      </c>
      <c r="O4084" s="7">
        <v>0.48299999999999998</v>
      </c>
      <c r="P4084" s="1" t="s">
        <v>36956</v>
      </c>
    </row>
    <row r="4085" spans="1:16" ht="33.4" x14ac:dyDescent="0.3">
      <c r="A4085" s="6" t="str">
        <f>HYPERLINK("https://www.ti.com/product/TPS40192", "TPS40192")</f>
        <v>TPS40192</v>
      </c>
      <c r="B4085" s="5" t="s">
        <v>36957</v>
      </c>
      <c r="C4085" s="6" t="str">
        <f>HYPERLINK("https://www.ti.com/lit/gpn/TPS40192", "PDF")</f>
        <v>PDF</v>
      </c>
      <c r="D4085" s="5" t="s">
        <v>36958</v>
      </c>
      <c r="E4085" s="5" t="s">
        <v>36959</v>
      </c>
      <c r="F4085" s="5" t="s">
        <v>36960</v>
      </c>
      <c r="G4085" s="5" t="s">
        <v>36961</v>
      </c>
      <c r="H4085" s="1" t="s">
        <v>36962</v>
      </c>
      <c r="I4085" s="5" t="s">
        <v>36963</v>
      </c>
      <c r="J4085" s="7">
        <v>10</v>
      </c>
      <c r="K4085" s="7">
        <v>9</v>
      </c>
      <c r="L4085" s="5" t="s">
        <v>36964</v>
      </c>
      <c r="M4085" s="7">
        <v>1</v>
      </c>
      <c r="N4085" s="7">
        <v>0.5</v>
      </c>
      <c r="O4085" s="7">
        <v>0.97499999999999998</v>
      </c>
      <c r="P4085" s="1" t="s">
        <v>36965</v>
      </c>
    </row>
    <row r="4086" spans="1:16" ht="33.4" x14ac:dyDescent="0.3">
      <c r="A4086" s="6" t="str">
        <f>HYPERLINK("https://www.ti.com/product/TPS61050", "TPS61050")</f>
        <v>TPS61050</v>
      </c>
      <c r="B4086" s="5" t="s">
        <v>36966</v>
      </c>
      <c r="C4086" s="6" t="str">
        <f>HYPERLINK("https://www.ti.com/lit/gpn/TPS61050", "PDF")</f>
        <v>PDF</v>
      </c>
      <c r="D4086" s="5" t="s">
        <v>36967</v>
      </c>
      <c r="E4086" s="5" t="s">
        <v>36968</v>
      </c>
      <c r="F4086" s="5" t="s">
        <v>36969</v>
      </c>
      <c r="G4086" s="5" t="s">
        <v>36970</v>
      </c>
      <c r="H4086" s="1" t="s">
        <v>36971</v>
      </c>
      <c r="I4086" s="5" t="s">
        <v>36972</v>
      </c>
      <c r="J4086" s="7" t="s">
        <v>36973</v>
      </c>
      <c r="K4086" s="7" t="s">
        <v>36974</v>
      </c>
      <c r="L4086" s="5" t="s">
        <v>36975</v>
      </c>
      <c r="M4086" s="7" t="s">
        <v>36976</v>
      </c>
      <c r="N4086" s="7">
        <v>0.5</v>
      </c>
      <c r="O4086" s="7">
        <v>0.42599999999999999</v>
      </c>
      <c r="P4086" s="1" t="s">
        <v>36977</v>
      </c>
    </row>
    <row r="4087" spans="1:16" ht="33.4" x14ac:dyDescent="0.3">
      <c r="A4087" s="6" t="str">
        <f>HYPERLINK("https://www.ti.com/product/TPS61200", "TPS61200")</f>
        <v>TPS61200</v>
      </c>
      <c r="B4087" s="5" t="s">
        <v>36978</v>
      </c>
      <c r="C4087" s="6" t="str">
        <f>HYPERLINK("https://www.ti.com/lit/gpn/TPS61200", "PDF")</f>
        <v>PDF</v>
      </c>
      <c r="D4087" s="5" t="s">
        <v>36979</v>
      </c>
      <c r="E4087" s="5" t="s">
        <v>36980</v>
      </c>
      <c r="F4087" s="5" t="s">
        <v>36981</v>
      </c>
      <c r="G4087" s="5" t="s">
        <v>36982</v>
      </c>
      <c r="H4087" s="1" t="s">
        <v>36983</v>
      </c>
      <c r="I4087" s="5" t="s">
        <v>36984</v>
      </c>
      <c r="J4087" s="7">
        <v>10</v>
      </c>
      <c r="K4087" s="7">
        <v>9</v>
      </c>
      <c r="L4087" s="5" t="s">
        <v>36985</v>
      </c>
      <c r="M4087" s="7">
        <v>1</v>
      </c>
      <c r="N4087" s="7">
        <v>0.5</v>
      </c>
      <c r="O4087" s="7">
        <v>1.002</v>
      </c>
      <c r="P4087" s="1" t="s">
        <v>36986</v>
      </c>
    </row>
    <row r="4088" spans="1:16" ht="33.4" x14ac:dyDescent="0.3">
      <c r="A4088" s="6" t="str">
        <f>HYPERLINK("https://www.ti.com/product/TPS61201", "TPS61201")</f>
        <v>TPS61201</v>
      </c>
      <c r="B4088" s="5" t="s">
        <v>36987</v>
      </c>
      <c r="C4088" s="6" t="str">
        <f>HYPERLINK("https://www.ti.com/lit/gpn/TPS61201", "PDF")</f>
        <v>PDF</v>
      </c>
      <c r="D4088" s="5" t="s">
        <v>36988</v>
      </c>
      <c r="E4088" s="5" t="s">
        <v>36989</v>
      </c>
      <c r="F4088" s="5" t="s">
        <v>36990</v>
      </c>
      <c r="G4088" s="5" t="s">
        <v>36991</v>
      </c>
      <c r="H4088" s="1" t="s">
        <v>36992</v>
      </c>
      <c r="I4088" s="5" t="s">
        <v>36993</v>
      </c>
      <c r="J4088" s="7">
        <v>10</v>
      </c>
      <c r="K4088" s="7">
        <v>9</v>
      </c>
      <c r="L4088" s="5" t="s">
        <v>36994</v>
      </c>
      <c r="M4088" s="7">
        <v>1</v>
      </c>
      <c r="N4088" s="7">
        <v>0.5</v>
      </c>
      <c r="O4088" s="7">
        <v>1.002</v>
      </c>
      <c r="P4088" s="1" t="s">
        <v>36995</v>
      </c>
    </row>
    <row r="4089" spans="1:16" ht="33.4" x14ac:dyDescent="0.3">
      <c r="A4089" s="6" t="str">
        <f>HYPERLINK("https://www.ti.com/product/TPS61202", "TPS61202")</f>
        <v>TPS61202</v>
      </c>
      <c r="B4089" s="5" t="s">
        <v>36996</v>
      </c>
      <c r="C4089" s="6" t="str">
        <f>HYPERLINK("https://www.ti.com/lit/gpn/TPS61202", "PDF")</f>
        <v>PDF</v>
      </c>
      <c r="D4089" s="5" t="s">
        <v>36997</v>
      </c>
      <c r="E4089" s="5" t="s">
        <v>36998</v>
      </c>
      <c r="F4089" s="5" t="s">
        <v>36999</v>
      </c>
      <c r="G4089" s="5" t="s">
        <v>37000</v>
      </c>
      <c r="H4089" s="1" t="s">
        <v>37001</v>
      </c>
      <c r="I4089" s="5" t="s">
        <v>37002</v>
      </c>
      <c r="J4089" s="7">
        <v>10</v>
      </c>
      <c r="K4089" s="7">
        <v>9</v>
      </c>
      <c r="L4089" s="5" t="s">
        <v>37003</v>
      </c>
      <c r="M4089" s="7" t="s">
        <v>37004</v>
      </c>
      <c r="N4089" s="7">
        <v>0.5</v>
      </c>
      <c r="O4089" s="7">
        <v>1.002</v>
      </c>
      <c r="P4089" s="1" t="s">
        <v>37005</v>
      </c>
    </row>
    <row r="4090" spans="1:16" ht="33.4" x14ac:dyDescent="0.3">
      <c r="A4090" s="6" t="str">
        <f>HYPERLINK("https://www.ti.com/product/TPS65053", "TPS65053")</f>
        <v>TPS65053</v>
      </c>
      <c r="B4090" s="5" t="s">
        <v>37006</v>
      </c>
      <c r="C4090" s="6" t="str">
        <f>HYPERLINK("https://www.ti.com/lit/gpn/TPS65053", "PDF")</f>
        <v>PDF</v>
      </c>
      <c r="D4090" s="5" t="s">
        <v>37007</v>
      </c>
      <c r="E4090" s="5" t="s">
        <v>37008</v>
      </c>
      <c r="F4090" s="5"/>
      <c r="G4090" s="5" t="s">
        <v>37009</v>
      </c>
      <c r="H4090" s="1" t="s">
        <v>37010</v>
      </c>
      <c r="I4090" s="5" t="s">
        <v>37011</v>
      </c>
      <c r="J4090" s="7">
        <v>24</v>
      </c>
      <c r="K4090" s="7">
        <v>16</v>
      </c>
      <c r="L4090" s="5" t="s">
        <v>37012</v>
      </c>
      <c r="M4090" s="7">
        <v>1</v>
      </c>
      <c r="N4090" s="7">
        <v>0.5</v>
      </c>
      <c r="O4090" s="7">
        <v>1.8149999999999999</v>
      </c>
      <c r="P4090" s="1" t="s">
        <v>37013</v>
      </c>
    </row>
    <row r="4091" spans="1:16" ht="33.4" x14ac:dyDescent="0.3">
      <c r="A4091" s="6" t="str">
        <f>HYPERLINK("https://www.ti.com/product/LM5015", "LM5015")</f>
        <v>LM5015</v>
      </c>
      <c r="B4091" s="5" t="s">
        <v>37014</v>
      </c>
      <c r="C4091" s="6" t="str">
        <f>HYPERLINK("https://www.ti.com/lit/gpn/LM5015", "PDF")</f>
        <v>PDF</v>
      </c>
      <c r="D4091" s="5" t="s">
        <v>37015</v>
      </c>
      <c r="E4091" s="5" t="s">
        <v>37016</v>
      </c>
      <c r="F4091" s="5" t="s">
        <v>37017</v>
      </c>
      <c r="G4091" s="5" t="s">
        <v>37018</v>
      </c>
      <c r="H4091" s="1" t="s">
        <v>37019</v>
      </c>
      <c r="I4091" s="5" t="s">
        <v>37020</v>
      </c>
      <c r="J4091" s="7">
        <v>14</v>
      </c>
      <c r="K4091" s="7">
        <v>32</v>
      </c>
      <c r="L4091" s="5" t="s">
        <v>37021</v>
      </c>
      <c r="M4091" s="7">
        <v>1.2</v>
      </c>
      <c r="N4091" s="7">
        <v>0.65</v>
      </c>
      <c r="O4091" s="7">
        <v>2.343</v>
      </c>
      <c r="P4091" s="1" t="s">
        <v>37022</v>
      </c>
    </row>
    <row r="4092" spans="1:16" ht="33.4" x14ac:dyDescent="0.3">
      <c r="A4092" s="6" t="str">
        <f>HYPERLINK("https://www.ti.com/product/TPS40131", "TPS40131")</f>
        <v>TPS40131</v>
      </c>
      <c r="B4092" s="5" t="s">
        <v>37023</v>
      </c>
      <c r="C4092" s="6" t="str">
        <f>HYPERLINK("https://www.ti.com/lit/gpn/TPS40131", "PDF")</f>
        <v>PDF</v>
      </c>
      <c r="D4092" s="5" t="s">
        <v>37024</v>
      </c>
      <c r="E4092" s="5" t="s">
        <v>37025</v>
      </c>
      <c r="F4092" s="5" t="s">
        <v>37026</v>
      </c>
      <c r="G4092" s="5" t="s">
        <v>37027</v>
      </c>
      <c r="H4092" s="1" t="s">
        <v>37028</v>
      </c>
      <c r="I4092" s="5" t="s">
        <v>37029</v>
      </c>
      <c r="J4092" s="7">
        <v>32</v>
      </c>
      <c r="K4092" s="7">
        <v>25</v>
      </c>
      <c r="L4092" s="5" t="s">
        <v>37030</v>
      </c>
      <c r="M4092" s="7">
        <v>1</v>
      </c>
      <c r="N4092" s="7">
        <v>0.5</v>
      </c>
      <c r="O4092" s="7">
        <v>1.518</v>
      </c>
      <c r="P4092" s="1" t="s">
        <v>37031</v>
      </c>
    </row>
    <row r="4093" spans="1:16" ht="33.4" x14ac:dyDescent="0.3">
      <c r="A4093" s="6" t="str">
        <f>HYPERLINK("https://www.ti.com/product/TPS719", "TPS719")</f>
        <v>TPS719</v>
      </c>
      <c r="B4093" s="5" t="s">
        <v>37032</v>
      </c>
      <c r="C4093" s="6" t="str">
        <f>HYPERLINK("https://www.ti.com/lit/gpn/TPS719", "PDF")</f>
        <v>PDF</v>
      </c>
      <c r="D4093" s="5" t="s">
        <v>37033</v>
      </c>
      <c r="E4093" s="5" t="s">
        <v>37034</v>
      </c>
      <c r="F4093" s="5"/>
      <c r="G4093" s="5" t="s">
        <v>37035</v>
      </c>
      <c r="H4093" s="1" t="s">
        <v>37036</v>
      </c>
      <c r="I4093" s="5" t="s">
        <v>37037</v>
      </c>
      <c r="J4093" s="7">
        <v>6</v>
      </c>
      <c r="K4093" s="7">
        <v>4</v>
      </c>
      <c r="L4093" s="5" t="s">
        <v>37038</v>
      </c>
      <c r="M4093" s="7">
        <v>0.8</v>
      </c>
      <c r="N4093" s="7">
        <v>0.65</v>
      </c>
      <c r="O4093" s="7">
        <v>0.71599999999999997</v>
      </c>
      <c r="P4093" s="1" t="s">
        <v>37039</v>
      </c>
    </row>
    <row r="4094" spans="1:16" ht="49.75" x14ac:dyDescent="0.3">
      <c r="A4094" s="6" t="str">
        <f>HYPERLINK("https://www.ti.com/product/TPS54311-EP", "TPS54311-EP")</f>
        <v>TPS54311-EP</v>
      </c>
      <c r="B4094" s="5" t="s">
        <v>37040</v>
      </c>
      <c r="C4094" s="6" t="str">
        <f>HYPERLINK("https://www.ti.com/lit/gpn/TPS54311-EP", "PDF")</f>
        <v>PDF</v>
      </c>
      <c r="D4094" s="5" t="s">
        <v>37041</v>
      </c>
      <c r="E4094" s="5" t="s">
        <v>37042</v>
      </c>
      <c r="F4094" s="5" t="s">
        <v>37043</v>
      </c>
      <c r="G4094" s="5" t="s">
        <v>37044</v>
      </c>
      <c r="H4094" s="1" t="s">
        <v>37045</v>
      </c>
      <c r="I4094" s="5" t="s">
        <v>37046</v>
      </c>
      <c r="J4094" s="7">
        <v>20</v>
      </c>
      <c r="K4094" s="7">
        <v>41.6</v>
      </c>
      <c r="L4094" s="5" t="s">
        <v>37047</v>
      </c>
      <c r="M4094" s="7">
        <v>1.2</v>
      </c>
      <c r="N4094" s="7">
        <v>0.65</v>
      </c>
      <c r="O4094" s="7">
        <v>5.3739999999999997</v>
      </c>
      <c r="P4094" s="1" t="s">
        <v>37048</v>
      </c>
    </row>
    <row r="4095" spans="1:16" ht="49.75" x14ac:dyDescent="0.3">
      <c r="A4095" s="6" t="str">
        <f>HYPERLINK("https://www.ti.com/product/TPS54313-EP", "TPS54313-EP")</f>
        <v>TPS54313-EP</v>
      </c>
      <c r="B4095" s="5" t="s">
        <v>37049</v>
      </c>
      <c r="C4095" s="6" t="str">
        <f>HYPERLINK("https://www.ti.com/lit/gpn/TPS54313-EP", "PDF")</f>
        <v>PDF</v>
      </c>
      <c r="D4095" s="5" t="s">
        <v>37050</v>
      </c>
      <c r="E4095" s="5" t="s">
        <v>37051</v>
      </c>
      <c r="F4095" s="5" t="s">
        <v>37052</v>
      </c>
      <c r="G4095" s="5" t="s">
        <v>37053</v>
      </c>
      <c r="H4095" s="1" t="s">
        <v>37054</v>
      </c>
      <c r="I4095" s="5" t="s">
        <v>37055</v>
      </c>
      <c r="J4095" s="7">
        <v>20</v>
      </c>
      <c r="K4095" s="7">
        <v>41.6</v>
      </c>
      <c r="L4095" s="5" t="s">
        <v>37056</v>
      </c>
      <c r="M4095" s="7">
        <v>1.2</v>
      </c>
      <c r="N4095" s="7">
        <v>0.65</v>
      </c>
      <c r="O4095" s="7">
        <v>6.3310000000000004</v>
      </c>
      <c r="P4095" s="1" t="s">
        <v>37057</v>
      </c>
    </row>
    <row r="4096" spans="1:16" ht="49.75" x14ac:dyDescent="0.3">
      <c r="A4096" s="6" t="str">
        <f>HYPERLINK("https://www.ti.com/product/TPS54314-EP", "TPS54314-EP")</f>
        <v>TPS54314-EP</v>
      </c>
      <c r="B4096" s="5" t="s">
        <v>37058</v>
      </c>
      <c r="C4096" s="6" t="str">
        <f>HYPERLINK("https://www.ti.com/lit/gpn/TPS54314-EP", "PDF")</f>
        <v>PDF</v>
      </c>
      <c r="D4096" s="5" t="s">
        <v>37059</v>
      </c>
      <c r="E4096" s="5" t="s">
        <v>37060</v>
      </c>
      <c r="F4096" s="5" t="s">
        <v>37061</v>
      </c>
      <c r="G4096" s="5" t="s">
        <v>37062</v>
      </c>
      <c r="H4096" s="1" t="s">
        <v>37063</v>
      </c>
      <c r="I4096" s="5" t="s">
        <v>37064</v>
      </c>
      <c r="J4096" s="7">
        <v>20</v>
      </c>
      <c r="K4096" s="7">
        <v>41.6</v>
      </c>
      <c r="L4096" s="5" t="s">
        <v>37065</v>
      </c>
      <c r="M4096" s="7">
        <v>1.2</v>
      </c>
      <c r="N4096" s="7">
        <v>0.65</v>
      </c>
      <c r="O4096" s="7">
        <v>5.3739999999999997</v>
      </c>
      <c r="P4096" s="1" t="s">
        <v>37066</v>
      </c>
    </row>
    <row r="4097" spans="1:16" ht="49.75" x14ac:dyDescent="0.3">
      <c r="A4097" s="6" t="str">
        <f>HYPERLINK("https://www.ti.com/product/TPS54315-EP", "TPS54315-EP")</f>
        <v>TPS54315-EP</v>
      </c>
      <c r="B4097" s="5" t="s">
        <v>37067</v>
      </c>
      <c r="C4097" s="6" t="str">
        <f>HYPERLINK("https://www.ti.com/lit/gpn/TPS54315-EP", "PDF")</f>
        <v>PDF</v>
      </c>
      <c r="D4097" s="5" t="s">
        <v>37068</v>
      </c>
      <c r="E4097" s="5" t="s">
        <v>37069</v>
      </c>
      <c r="F4097" s="5" t="s">
        <v>37070</v>
      </c>
      <c r="G4097" s="5" t="s">
        <v>37071</v>
      </c>
      <c r="H4097" s="1" t="s">
        <v>37072</v>
      </c>
      <c r="I4097" s="5" t="s">
        <v>37073</v>
      </c>
      <c r="J4097" s="7">
        <v>20</v>
      </c>
      <c r="K4097" s="7">
        <v>41.6</v>
      </c>
      <c r="L4097" s="5" t="s">
        <v>37074</v>
      </c>
      <c r="M4097" s="7">
        <v>1.2</v>
      </c>
      <c r="N4097" s="7">
        <v>0.65</v>
      </c>
      <c r="O4097" s="7">
        <v>4.673</v>
      </c>
      <c r="P4097" s="1" t="s">
        <v>37075</v>
      </c>
    </row>
    <row r="4098" spans="1:16" ht="49.75" x14ac:dyDescent="0.3">
      <c r="A4098" s="6" t="str">
        <f>HYPERLINK("https://www.ti.com/product/TPS54316-EP", "TPS54316-EP")</f>
        <v>TPS54316-EP</v>
      </c>
      <c r="B4098" s="5" t="s">
        <v>37076</v>
      </c>
      <c r="C4098" s="6" t="str">
        <f>HYPERLINK("https://www.ti.com/lit/gpn/TPS54316-EP", "PDF")</f>
        <v>PDF</v>
      </c>
      <c r="D4098" s="5" t="s">
        <v>37077</v>
      </c>
      <c r="E4098" s="5" t="s">
        <v>37078</v>
      </c>
      <c r="F4098" s="5" t="s">
        <v>37079</v>
      </c>
      <c r="G4098" s="5" t="s">
        <v>37080</v>
      </c>
      <c r="H4098" s="1" t="s">
        <v>37081</v>
      </c>
      <c r="I4098" s="5" t="s">
        <v>37082</v>
      </c>
      <c r="J4098" s="7">
        <v>20</v>
      </c>
      <c r="K4098" s="7">
        <v>41.6</v>
      </c>
      <c r="L4098" s="5" t="s">
        <v>37083</v>
      </c>
      <c r="M4098" s="7">
        <v>1.2</v>
      </c>
      <c r="N4098" s="7">
        <v>0.65</v>
      </c>
      <c r="O4098" s="7">
        <v>5.3739999999999997</v>
      </c>
      <c r="P4098" s="1" t="s">
        <v>37084</v>
      </c>
    </row>
    <row r="4099" spans="1:16" ht="33.4" x14ac:dyDescent="0.3">
      <c r="A4099" s="6" t="str">
        <f>HYPERLINK("https://www.ti.com/product/TPS62354", "TPS62354")</f>
        <v>TPS62354</v>
      </c>
      <c r="B4099" s="5" t="s">
        <v>37085</v>
      </c>
      <c r="C4099" s="6" t="str">
        <f>HYPERLINK("https://www.ti.com/lit/gpn/TPS62354", "PDF")</f>
        <v>PDF</v>
      </c>
      <c r="D4099" s="5" t="s">
        <v>37086</v>
      </c>
      <c r="E4099" s="5" t="s">
        <v>37087</v>
      </c>
      <c r="F4099" s="5" t="s">
        <v>37088</v>
      </c>
      <c r="G4099" s="5" t="s">
        <v>37089</v>
      </c>
      <c r="H4099" s="1" t="s">
        <v>37090</v>
      </c>
      <c r="I4099" s="5" t="s">
        <v>37091</v>
      </c>
      <c r="J4099" s="7">
        <v>12</v>
      </c>
      <c r="K4099" s="7">
        <v>3.9375</v>
      </c>
      <c r="L4099" s="5" t="s">
        <v>37092</v>
      </c>
      <c r="M4099" s="7">
        <v>0.625</v>
      </c>
      <c r="N4099" s="7">
        <v>0.5</v>
      </c>
      <c r="O4099" s="7">
        <v>0.65700000000000003</v>
      </c>
      <c r="P4099" s="1" t="s">
        <v>37093</v>
      </c>
    </row>
    <row r="4100" spans="1:16" ht="33.4" x14ac:dyDescent="0.3">
      <c r="A4100" s="6" t="str">
        <f>HYPERLINK("https://www.ti.com/product/TPS62353", "TPS62353")</f>
        <v>TPS62353</v>
      </c>
      <c r="B4100" s="5" t="s">
        <v>37094</v>
      </c>
      <c r="C4100" s="6" t="str">
        <f>HYPERLINK("https://www.ti.com/lit/gpn/TPS62353", "PDF")</f>
        <v>PDF</v>
      </c>
      <c r="D4100" s="5" t="s">
        <v>37095</v>
      </c>
      <c r="E4100" s="5" t="s">
        <v>37096</v>
      </c>
      <c r="F4100" s="5" t="s">
        <v>37097</v>
      </c>
      <c r="G4100" s="5" t="s">
        <v>37098</v>
      </c>
      <c r="H4100" s="1" t="s">
        <v>37099</v>
      </c>
      <c r="I4100" s="5" t="s">
        <v>37100</v>
      </c>
      <c r="J4100" s="7">
        <v>12</v>
      </c>
      <c r="K4100" s="7">
        <v>3.9375</v>
      </c>
      <c r="L4100" s="5" t="s">
        <v>37101</v>
      </c>
      <c r="M4100" s="7">
        <v>0.625</v>
      </c>
      <c r="N4100" s="7">
        <v>0.5</v>
      </c>
      <c r="O4100" s="7">
        <v>0.65700000000000003</v>
      </c>
      <c r="P4100" s="1" t="s">
        <v>37102</v>
      </c>
    </row>
    <row r="4101" spans="1:16" ht="33.4" x14ac:dyDescent="0.3">
      <c r="A4101" s="6" t="str">
        <f>HYPERLINK("https://www.ti.com/product/TPS62402", "TPS62402")</f>
        <v>TPS62402</v>
      </c>
      <c r="B4101" s="5" t="s">
        <v>37103</v>
      </c>
      <c r="C4101" s="6" t="str">
        <f>HYPERLINK("https://www.ti.com/lit/gpn/TPS62402", "PDF")</f>
        <v>PDF</v>
      </c>
      <c r="D4101" s="5" t="s">
        <v>37104</v>
      </c>
      <c r="E4101" s="5" t="s">
        <v>37105</v>
      </c>
      <c r="F4101" s="5" t="s">
        <v>37106</v>
      </c>
      <c r="G4101" s="5" t="s">
        <v>37107</v>
      </c>
      <c r="H4101" s="1" t="s">
        <v>37108</v>
      </c>
      <c r="I4101" s="5" t="s">
        <v>37109</v>
      </c>
      <c r="J4101" s="7">
        <v>10</v>
      </c>
      <c r="K4101" s="7">
        <v>9</v>
      </c>
      <c r="L4101" s="5" t="s">
        <v>37110</v>
      </c>
      <c r="M4101" s="7">
        <v>1</v>
      </c>
      <c r="N4101" s="7">
        <v>0.5</v>
      </c>
      <c r="O4101" s="7">
        <v>0.75900000000000001</v>
      </c>
      <c r="P4101" s="1" t="s">
        <v>37111</v>
      </c>
    </row>
    <row r="4102" spans="1:16" ht="33.4" x14ac:dyDescent="0.3">
      <c r="A4102" s="6" t="str">
        <f>HYPERLINK("https://www.ti.com/product/TPS62410", "TPS62410")</f>
        <v>TPS62410</v>
      </c>
      <c r="B4102" s="5" t="s">
        <v>37112</v>
      </c>
      <c r="C4102" s="6" t="str">
        <f>HYPERLINK("https://www.ti.com/lit/gpn/TPS62410", "PDF")</f>
        <v>PDF</v>
      </c>
      <c r="D4102" s="5" t="s">
        <v>37113</v>
      </c>
      <c r="E4102" s="5" t="s">
        <v>37114</v>
      </c>
      <c r="F4102" s="5" t="s">
        <v>37115</v>
      </c>
      <c r="G4102" s="5" t="s">
        <v>37116</v>
      </c>
      <c r="H4102" s="1" t="s">
        <v>37117</v>
      </c>
      <c r="I4102" s="5" t="s">
        <v>37118</v>
      </c>
      <c r="J4102" s="7">
        <v>10</v>
      </c>
      <c r="K4102" s="7">
        <v>9</v>
      </c>
      <c r="L4102" s="5" t="s">
        <v>37119</v>
      </c>
      <c r="M4102" s="7">
        <v>1</v>
      </c>
      <c r="N4102" s="7">
        <v>0.5</v>
      </c>
      <c r="O4102" s="7">
        <v>0.81699999999999995</v>
      </c>
      <c r="P4102" s="1" t="s">
        <v>37120</v>
      </c>
    </row>
    <row r="4103" spans="1:16" ht="33.4" x14ac:dyDescent="0.3">
      <c r="A4103" s="6" t="str">
        <f>HYPERLINK("https://www.ti.com/product/LM27342", "LM27342")</f>
        <v>LM27342</v>
      </c>
      <c r="B4103" s="5" t="s">
        <v>37121</v>
      </c>
      <c r="C4103" s="6" t="str">
        <f>HYPERLINK("https://www.ti.com/lit/gpn/LM27342", "PDF")</f>
        <v>PDF</v>
      </c>
      <c r="D4103" s="5" t="s">
        <v>37122</v>
      </c>
      <c r="E4103" s="5" t="s">
        <v>37123</v>
      </c>
      <c r="F4103" s="5" t="s">
        <v>37124</v>
      </c>
      <c r="G4103" s="5" t="s">
        <v>37125</v>
      </c>
      <c r="H4103" s="1" t="s">
        <v>37126</v>
      </c>
      <c r="I4103" s="5" t="s">
        <v>37127</v>
      </c>
      <c r="J4103" s="7">
        <v>10</v>
      </c>
      <c r="K4103" s="7" t="s">
        <v>37128</v>
      </c>
      <c r="L4103" s="5" t="s">
        <v>37129</v>
      </c>
      <c r="M4103" s="7" t="s">
        <v>37130</v>
      </c>
      <c r="N4103" s="7">
        <v>0.5</v>
      </c>
      <c r="O4103" s="7">
        <v>1.47</v>
      </c>
      <c r="P4103" s="1" t="s">
        <v>37131</v>
      </c>
    </row>
    <row r="4104" spans="1:16" ht="33.4" x14ac:dyDescent="0.3">
      <c r="A4104" s="6" t="str">
        <f>HYPERLINK("https://www.ti.com/product/LM27342-Q1", "LM27342-Q1")</f>
        <v>LM27342-Q1</v>
      </c>
      <c r="B4104" s="5" t="s">
        <v>37132</v>
      </c>
      <c r="C4104" s="6" t="str">
        <f>HYPERLINK("https://www.ti.com/lit/gpn/LM27342-Q1", "PDF")</f>
        <v>PDF</v>
      </c>
      <c r="D4104" s="5" t="s">
        <v>37133</v>
      </c>
      <c r="E4104" s="5" t="s">
        <v>37134</v>
      </c>
      <c r="F4104" s="5" t="s">
        <v>37135</v>
      </c>
      <c r="G4104" s="5" t="s">
        <v>37136</v>
      </c>
      <c r="H4104" s="1" t="s">
        <v>37137</v>
      </c>
      <c r="I4104" s="5" t="s">
        <v>37138</v>
      </c>
      <c r="J4104" s="7">
        <v>10</v>
      </c>
      <c r="K4104" s="7">
        <v>14.7</v>
      </c>
      <c r="L4104" s="5" t="s">
        <v>37139</v>
      </c>
      <c r="M4104" s="7">
        <v>1.1000000000000001</v>
      </c>
      <c r="N4104" s="7">
        <v>0.5</v>
      </c>
      <c r="O4104" s="7">
        <v>1.7350000000000001</v>
      </c>
      <c r="P4104" s="1" t="s">
        <v>37140</v>
      </c>
    </row>
    <row r="4105" spans="1:16" ht="33.4" x14ac:dyDescent="0.3">
      <c r="A4105" s="6" t="str">
        <f>HYPERLINK("https://www.ti.com/product/TPIC74100-Q1", "TPIC74100-Q1")</f>
        <v>TPIC74100-Q1</v>
      </c>
      <c r="B4105" s="5" t="s">
        <v>37141</v>
      </c>
      <c r="C4105" s="6" t="str">
        <f>HYPERLINK("https://www.ti.com/lit/gpn/TPIC74100-Q1", "PDF")</f>
        <v>PDF</v>
      </c>
      <c r="D4105" s="5" t="s">
        <v>37142</v>
      </c>
      <c r="E4105" s="5" t="s">
        <v>37143</v>
      </c>
      <c r="F4105" s="5" t="s">
        <v>37144</v>
      </c>
      <c r="G4105" s="5" t="s">
        <v>37145</v>
      </c>
      <c r="H4105" s="1" t="s">
        <v>37146</v>
      </c>
      <c r="I4105" s="5" t="s">
        <v>37147</v>
      </c>
      <c r="J4105" s="7">
        <v>20</v>
      </c>
      <c r="K4105" s="7">
        <v>41.6</v>
      </c>
      <c r="L4105" s="5" t="s">
        <v>37148</v>
      </c>
      <c r="M4105" s="7">
        <v>1.2</v>
      </c>
      <c r="N4105" s="7">
        <v>0.65</v>
      </c>
      <c r="O4105" s="7">
        <v>1.798</v>
      </c>
      <c r="P4105" s="1" t="s">
        <v>37149</v>
      </c>
    </row>
    <row r="4106" spans="1:16" ht="33.4" x14ac:dyDescent="0.3">
      <c r="A4106" s="6" t="str">
        <f>HYPERLINK("https://www.ti.com/product/TPS2065-1", "TPS2065-1")</f>
        <v>TPS2065-1</v>
      </c>
      <c r="B4106" s="5" t="s">
        <v>37150</v>
      </c>
      <c r="C4106" s="6" t="str">
        <f>HYPERLINK("https://www.ti.com/lit/gpn/TPS2065-1", "PDF")</f>
        <v>PDF</v>
      </c>
      <c r="D4106" s="5" t="s">
        <v>37151</v>
      </c>
      <c r="E4106" s="5" t="s">
        <v>37152</v>
      </c>
      <c r="F4106" s="5"/>
      <c r="G4106" s="5" t="s">
        <v>37153</v>
      </c>
      <c r="H4106" s="1" t="s">
        <v>37154</v>
      </c>
      <c r="I4106" s="5" t="s">
        <v>37155</v>
      </c>
      <c r="J4106" s="7">
        <v>8</v>
      </c>
      <c r="K4106" s="7">
        <v>14.7</v>
      </c>
      <c r="L4106" s="5" t="s">
        <v>37156</v>
      </c>
      <c r="M4106" s="7">
        <v>1.1000000000000001</v>
      </c>
      <c r="N4106" s="7">
        <v>0.65</v>
      </c>
      <c r="O4106" s="7">
        <v>0.69499999999999995</v>
      </c>
      <c r="P4106" s="1" t="s">
        <v>37157</v>
      </c>
    </row>
    <row r="4107" spans="1:16" ht="33.4" x14ac:dyDescent="0.3">
      <c r="A4107" s="6" t="str">
        <f>HYPERLINK("https://www.ti.com/product/LM3691", "LM3691")</f>
        <v>LM3691</v>
      </c>
      <c r="B4107" s="5" t="s">
        <v>37158</v>
      </c>
      <c r="C4107" s="6" t="str">
        <f>HYPERLINK("https://www.ti.com/lit/gpn/LM3691", "PDF")</f>
        <v>PDF</v>
      </c>
      <c r="D4107" s="5" t="s">
        <v>37159</v>
      </c>
      <c r="E4107" s="5" t="s">
        <v>37160</v>
      </c>
      <c r="F4107" s="5" t="s">
        <v>37161</v>
      </c>
      <c r="G4107" s="5" t="s">
        <v>37162</v>
      </c>
      <c r="H4107" s="1" t="s">
        <v>37163</v>
      </c>
      <c r="I4107" s="5" t="s">
        <v>37164</v>
      </c>
      <c r="J4107" s="7">
        <v>6</v>
      </c>
      <c r="K4107" s="7">
        <v>2.1875</v>
      </c>
      <c r="L4107" s="5" t="s">
        <v>37165</v>
      </c>
      <c r="M4107" s="7">
        <v>0.67500000000000004</v>
      </c>
      <c r="N4107" s="7">
        <v>0.5</v>
      </c>
      <c r="O4107" s="7">
        <v>0.65700000000000003</v>
      </c>
      <c r="P4107" s="1" t="s">
        <v>37166</v>
      </c>
    </row>
    <row r="4108" spans="1:16" ht="33.4" x14ac:dyDescent="0.3">
      <c r="A4108" s="6" t="str">
        <f>HYPERLINK("https://www.ti.com/product/UC2843A-Q1", "UC2843A-Q1")</f>
        <v>UC2843A-Q1</v>
      </c>
      <c r="B4108" s="5" t="s">
        <v>37167</v>
      </c>
      <c r="C4108" s="6" t="str">
        <f>HYPERLINK("https://www.ti.com/lit/gpn/UC2843A-Q1", "PDF")</f>
        <v>PDF</v>
      </c>
      <c r="D4108" s="5" t="s">
        <v>37168</v>
      </c>
      <c r="E4108" s="5" t="s">
        <v>37169</v>
      </c>
      <c r="F4108" s="5" t="s">
        <v>37170</v>
      </c>
      <c r="G4108" s="5" t="s">
        <v>37171</v>
      </c>
      <c r="H4108" s="1" t="s">
        <v>37172</v>
      </c>
      <c r="I4108" s="5" t="s">
        <v>37173</v>
      </c>
      <c r="J4108" s="7">
        <v>8</v>
      </c>
      <c r="K4108" s="7">
        <v>29.4</v>
      </c>
      <c r="L4108" s="5" t="s">
        <v>37174</v>
      </c>
      <c r="M4108" s="7">
        <v>1.75</v>
      </c>
      <c r="N4108" s="7">
        <v>1.27</v>
      </c>
      <c r="O4108" s="7">
        <v>0.60099999999999998</v>
      </c>
      <c r="P4108" s="1" t="s">
        <v>37175</v>
      </c>
    </row>
    <row r="4109" spans="1:16" ht="33.4" x14ac:dyDescent="0.3">
      <c r="A4109" s="6" t="str">
        <f>HYPERLINK("https://www.ti.com/product/LM2756", "LM2756")</f>
        <v>LM2756</v>
      </c>
      <c r="B4109" s="5" t="s">
        <v>37176</v>
      </c>
      <c r="C4109" s="6" t="str">
        <f>HYPERLINK("https://www.ti.com/lit/gpn/LM2756", "PDF")</f>
        <v>PDF</v>
      </c>
      <c r="D4109" s="5" t="s">
        <v>37177</v>
      </c>
      <c r="E4109" s="5" t="s">
        <v>37178</v>
      </c>
      <c r="F4109" s="5" t="s">
        <v>37179</v>
      </c>
      <c r="G4109" s="5" t="s">
        <v>37180</v>
      </c>
      <c r="H4109" s="1" t="s">
        <v>37181</v>
      </c>
      <c r="I4109" s="5" t="s">
        <v>37182</v>
      </c>
      <c r="J4109" s="7">
        <v>20</v>
      </c>
      <c r="K4109" s="7">
        <v>3.96</v>
      </c>
      <c r="L4109" s="5" t="s">
        <v>37183</v>
      </c>
      <c r="M4109" s="7">
        <v>0.67500000000000004</v>
      </c>
      <c r="N4109" s="7">
        <v>0.4</v>
      </c>
      <c r="O4109" s="7">
        <v>1.05</v>
      </c>
      <c r="P4109" s="1" t="s">
        <v>37184</v>
      </c>
    </row>
    <row r="4110" spans="1:16" ht="33.4" x14ac:dyDescent="0.3">
      <c r="A4110" s="6" t="str">
        <f>HYPERLINK("https://www.ti.com/product/LM3509", "LM3509")</f>
        <v>LM3509</v>
      </c>
      <c r="B4110" s="5" t="s">
        <v>37185</v>
      </c>
      <c r="C4110" s="6" t="str">
        <f>HYPERLINK("https://www.ti.com/lit/gpn/LM3509", "PDF")</f>
        <v>PDF</v>
      </c>
      <c r="D4110" s="5" t="s">
        <v>37186</v>
      </c>
      <c r="E4110" s="5" t="s">
        <v>37187</v>
      </c>
      <c r="F4110" s="5" t="s">
        <v>37188</v>
      </c>
      <c r="G4110" s="5" t="s">
        <v>37189</v>
      </c>
      <c r="H4110" s="1" t="s">
        <v>37190</v>
      </c>
      <c r="I4110" s="5" t="s">
        <v>37191</v>
      </c>
      <c r="J4110" s="7">
        <v>10</v>
      </c>
      <c r="K4110" s="7">
        <v>9</v>
      </c>
      <c r="L4110" s="5" t="s">
        <v>37192</v>
      </c>
      <c r="M4110" s="7">
        <v>0.8</v>
      </c>
      <c r="N4110" s="7">
        <v>0.5</v>
      </c>
      <c r="O4110" s="7">
        <v>0.96099999999999997</v>
      </c>
      <c r="P4110" s="1" t="s">
        <v>37193</v>
      </c>
    </row>
    <row r="4111" spans="1:16" ht="33.4" x14ac:dyDescent="0.3">
      <c r="A4111" s="6" t="str">
        <f>HYPERLINK("https://www.ti.com/product/TPS3808-Q1", "TPS3808-Q1")</f>
        <v>TPS3808-Q1</v>
      </c>
      <c r="B4111" s="5" t="s">
        <v>37194</v>
      </c>
      <c r="C4111" s="6" t="str">
        <f>HYPERLINK("https://www.ti.com/lit/gpn/TPS3808-Q1", "PDF")</f>
        <v>PDF</v>
      </c>
      <c r="D4111" s="5" t="s">
        <v>37195</v>
      </c>
      <c r="E4111" s="5" t="s">
        <v>37196</v>
      </c>
      <c r="F4111" s="5"/>
      <c r="G4111" s="5" t="s">
        <v>37197</v>
      </c>
      <c r="H4111" s="1" t="s">
        <v>37198</v>
      </c>
      <c r="I4111" s="5" t="s">
        <v>37199</v>
      </c>
      <c r="J4111" s="7">
        <v>6</v>
      </c>
      <c r="K4111" s="7" t="s">
        <v>37200</v>
      </c>
      <c r="L4111" s="5" t="s">
        <v>37201</v>
      </c>
      <c r="M4111" s="7" t="s">
        <v>37202</v>
      </c>
      <c r="N4111" s="7" t="s">
        <v>37203</v>
      </c>
      <c r="O4111" s="7">
        <v>0.76600000000000001</v>
      </c>
      <c r="P4111" s="1" t="s">
        <v>37204</v>
      </c>
    </row>
    <row r="4112" spans="1:16" ht="33.4" x14ac:dyDescent="0.3">
      <c r="A4112" s="6" t="str">
        <f>HYPERLINK("https://www.ti.com/product/TPS40195", "TPS40195")</f>
        <v>TPS40195</v>
      </c>
      <c r="B4112" s="5" t="s">
        <v>37205</v>
      </c>
      <c r="C4112" s="6" t="str">
        <f>HYPERLINK("https://www.ti.com/lit/gpn/TPS40195", "PDF")</f>
        <v>PDF</v>
      </c>
      <c r="D4112" s="5" t="s">
        <v>37206</v>
      </c>
      <c r="E4112" s="5" t="s">
        <v>37207</v>
      </c>
      <c r="F4112" s="5" t="s">
        <v>37208</v>
      </c>
      <c r="G4112" s="5" t="s">
        <v>37209</v>
      </c>
      <c r="H4112" s="1" t="s">
        <v>37210</v>
      </c>
      <c r="I4112" s="5" t="s">
        <v>37211</v>
      </c>
      <c r="J4112" s="7">
        <v>16</v>
      </c>
      <c r="K4112" s="7" t="s">
        <v>37212</v>
      </c>
      <c r="L4112" s="5" t="s">
        <v>37213</v>
      </c>
      <c r="M4112" s="7" t="s">
        <v>37214</v>
      </c>
      <c r="N4112" s="7" t="s">
        <v>37215</v>
      </c>
      <c r="O4112" s="7">
        <v>1.2110000000000001</v>
      </c>
      <c r="P4112" s="1" t="s">
        <v>37216</v>
      </c>
    </row>
    <row r="4113" spans="1:16" ht="49.75" x14ac:dyDescent="0.3">
      <c r="A4113" s="6" t="str">
        <f>HYPERLINK("https://www.ti.com/product/UCC27424-EP", "UCC27424-EP")</f>
        <v>UCC27424-EP</v>
      </c>
      <c r="B4113" s="5" t="s">
        <v>37217</v>
      </c>
      <c r="C4113" s="6" t="str">
        <f>HYPERLINK("https://www.ti.com/lit/gpn/UCC27424-EP", "PDF")</f>
        <v>PDF</v>
      </c>
      <c r="D4113" s="5" t="s">
        <v>37218</v>
      </c>
      <c r="E4113" s="5" t="s">
        <v>37219</v>
      </c>
      <c r="F4113" s="5"/>
      <c r="G4113" s="5" t="s">
        <v>37220</v>
      </c>
      <c r="H4113" s="1" t="s">
        <v>37221</v>
      </c>
      <c r="I4113" s="5" t="s">
        <v>37222</v>
      </c>
      <c r="J4113" s="7">
        <v>8</v>
      </c>
      <c r="K4113" s="7">
        <v>14.7</v>
      </c>
      <c r="L4113" s="5" t="s">
        <v>37223</v>
      </c>
      <c r="M4113" s="7">
        <v>1.1000000000000001</v>
      </c>
      <c r="N4113" s="7">
        <v>0.65</v>
      </c>
      <c r="O4113" s="7">
        <v>2.8170000000000002</v>
      </c>
      <c r="P4113" s="1" t="s">
        <v>37224</v>
      </c>
    </row>
    <row r="4114" spans="1:16" ht="33.4" x14ac:dyDescent="0.3">
      <c r="A4114" s="6" t="str">
        <f>HYPERLINK("https://www.ti.com/product/LM26400Y", "LM26400Y")</f>
        <v>LM26400Y</v>
      </c>
      <c r="B4114" s="5" t="s">
        <v>37225</v>
      </c>
      <c r="C4114" s="6" t="str">
        <f>HYPERLINK("https://www.ti.com/lit/gpn/LM26400Y", "PDF")</f>
        <v>PDF</v>
      </c>
      <c r="D4114" s="5" t="s">
        <v>37226</v>
      </c>
      <c r="E4114" s="5" t="s">
        <v>37227</v>
      </c>
      <c r="F4114" s="5" t="s">
        <v>37228</v>
      </c>
      <c r="G4114" s="5" t="s">
        <v>37229</v>
      </c>
      <c r="H4114" s="1" t="s">
        <v>37230</v>
      </c>
      <c r="I4114" s="5" t="s">
        <v>37231</v>
      </c>
      <c r="J4114" s="7">
        <v>16</v>
      </c>
      <c r="K4114" s="7" t="s">
        <v>37232</v>
      </c>
      <c r="L4114" s="5" t="s">
        <v>37233</v>
      </c>
      <c r="M4114" s="7" t="s">
        <v>37234</v>
      </c>
      <c r="N4114" s="7" t="s">
        <v>37235</v>
      </c>
      <c r="O4114" s="7">
        <v>2.78</v>
      </c>
      <c r="P4114" s="1" t="s">
        <v>37236</v>
      </c>
    </row>
    <row r="4115" spans="1:16" ht="33.4" x14ac:dyDescent="0.3">
      <c r="A4115" s="6" t="str">
        <f>HYPERLINK("https://www.ti.com/product/TPS2410", "TPS2410")</f>
        <v>TPS2410</v>
      </c>
      <c r="B4115" s="5" t="s">
        <v>37237</v>
      </c>
      <c r="C4115" s="6" t="str">
        <f>HYPERLINK("https://www.ti.com/lit/gpn/TPS2410", "PDF")</f>
        <v>PDF</v>
      </c>
      <c r="D4115" s="5" t="s">
        <v>37238</v>
      </c>
      <c r="E4115" s="5" t="s">
        <v>37239</v>
      </c>
      <c r="F4115" s="5"/>
      <c r="G4115" s="5" t="s">
        <v>37240</v>
      </c>
      <c r="H4115" s="1" t="s">
        <v>37241</v>
      </c>
      <c r="I4115" s="5" t="s">
        <v>37242</v>
      </c>
      <c r="J4115" s="7">
        <v>14</v>
      </c>
      <c r="K4115" s="7" t="s">
        <v>37243</v>
      </c>
      <c r="L4115" s="5" t="s">
        <v>37244</v>
      </c>
      <c r="M4115" s="7" t="s">
        <v>37245</v>
      </c>
      <c r="N4115" s="7" t="s">
        <v>37246</v>
      </c>
      <c r="O4115" s="7">
        <v>1.56</v>
      </c>
      <c r="P4115" s="1" t="s">
        <v>37247</v>
      </c>
    </row>
    <row r="4116" spans="1:16" ht="33.4" x14ac:dyDescent="0.3">
      <c r="A4116" s="6" t="str">
        <f>HYPERLINK("https://www.ti.com/product/TPS2411", "TPS2411")</f>
        <v>TPS2411</v>
      </c>
      <c r="B4116" s="5" t="s">
        <v>37248</v>
      </c>
      <c r="C4116" s="6" t="str">
        <f>HYPERLINK("https://www.ti.com/lit/gpn/TPS2411", "PDF")</f>
        <v>PDF</v>
      </c>
      <c r="D4116" s="5" t="s">
        <v>37249</v>
      </c>
      <c r="E4116" s="5" t="s">
        <v>37250</v>
      </c>
      <c r="F4116" s="5"/>
      <c r="G4116" s="5" t="s">
        <v>37251</v>
      </c>
      <c r="H4116" s="1" t="s">
        <v>37252</v>
      </c>
      <c r="I4116" s="5" t="s">
        <v>37253</v>
      </c>
      <c r="J4116" s="7">
        <v>14</v>
      </c>
      <c r="K4116" s="7" t="s">
        <v>37254</v>
      </c>
      <c r="L4116" s="5" t="s">
        <v>37255</v>
      </c>
      <c r="M4116" s="7" t="s">
        <v>37256</v>
      </c>
      <c r="N4116" s="7" t="s">
        <v>37257</v>
      </c>
      <c r="O4116" s="7">
        <v>1.56</v>
      </c>
      <c r="P4116" s="1" t="s">
        <v>37258</v>
      </c>
    </row>
    <row r="4117" spans="1:16" ht="33.4" x14ac:dyDescent="0.3">
      <c r="A4117" s="6" t="str">
        <f>HYPERLINK("https://www.ti.com/product/TPS2412", "TPS2412")</f>
        <v>TPS2412</v>
      </c>
      <c r="B4117" s="5" t="s">
        <v>37259</v>
      </c>
      <c r="C4117" s="6" t="str">
        <f>HYPERLINK("https://www.ti.com/lit/gpn/TPS2412", "PDF")</f>
        <v>PDF</v>
      </c>
      <c r="D4117" s="5" t="s">
        <v>37260</v>
      </c>
      <c r="E4117" s="5" t="s">
        <v>37261</v>
      </c>
      <c r="F4117" s="5"/>
      <c r="G4117" s="5" t="s">
        <v>37262</v>
      </c>
      <c r="H4117" s="1" t="s">
        <v>37263</v>
      </c>
      <c r="I4117" s="5" t="s">
        <v>37264</v>
      </c>
      <c r="J4117" s="7">
        <v>8</v>
      </c>
      <c r="K4117" s="7" t="s">
        <v>37265</v>
      </c>
      <c r="L4117" s="5" t="s">
        <v>37266</v>
      </c>
      <c r="M4117" s="7" t="s">
        <v>37267</v>
      </c>
      <c r="N4117" s="7" t="s">
        <v>37268</v>
      </c>
      <c r="O4117" s="7">
        <v>1.04</v>
      </c>
      <c r="P4117" s="1" t="s">
        <v>37269</v>
      </c>
    </row>
    <row r="4118" spans="1:16" ht="33.4" x14ac:dyDescent="0.3">
      <c r="A4118" s="6" t="str">
        <f>HYPERLINK("https://www.ti.com/product/TPS2413", "TPS2413")</f>
        <v>TPS2413</v>
      </c>
      <c r="B4118" s="5" t="s">
        <v>37270</v>
      </c>
      <c r="C4118" s="6" t="str">
        <f>HYPERLINK("https://www.ti.com/lit/gpn/TPS2413", "PDF")</f>
        <v>PDF</v>
      </c>
      <c r="D4118" s="5" t="s">
        <v>37271</v>
      </c>
      <c r="E4118" s="5" t="s">
        <v>37272</v>
      </c>
      <c r="F4118" s="5"/>
      <c r="G4118" s="5" t="s">
        <v>37273</v>
      </c>
      <c r="H4118" s="1" t="s">
        <v>37274</v>
      </c>
      <c r="I4118" s="5" t="s">
        <v>37275</v>
      </c>
      <c r="J4118" s="7">
        <v>8</v>
      </c>
      <c r="K4118" s="7" t="s">
        <v>37276</v>
      </c>
      <c r="L4118" s="5" t="s">
        <v>37277</v>
      </c>
      <c r="M4118" s="7" t="s">
        <v>37278</v>
      </c>
      <c r="N4118" s="7" t="s">
        <v>37279</v>
      </c>
      <c r="O4118" s="7">
        <v>1.04</v>
      </c>
      <c r="P4118" s="1" t="s">
        <v>37280</v>
      </c>
    </row>
    <row r="4119" spans="1:16" ht="33.4" x14ac:dyDescent="0.3">
      <c r="A4119" s="6" t="str">
        <f>HYPERLINK("https://www.ti.com/product/LM25115A", "LM25115A")</f>
        <v>LM25115A</v>
      </c>
      <c r="B4119" s="5" t="s">
        <v>37281</v>
      </c>
      <c r="C4119" s="6" t="str">
        <f>HYPERLINK("https://www.ti.com/lit/gpn/LM25115A", "PDF")</f>
        <v>PDF</v>
      </c>
      <c r="D4119" s="5" t="s">
        <v>37282</v>
      </c>
      <c r="E4119" s="5" t="s">
        <v>37283</v>
      </c>
      <c r="F4119" s="5" t="s">
        <v>37284</v>
      </c>
      <c r="G4119" s="5" t="s">
        <v>37285</v>
      </c>
      <c r="H4119" s="1" t="s">
        <v>37286</v>
      </c>
      <c r="I4119" s="5" t="s">
        <v>37287</v>
      </c>
      <c r="J4119" s="7">
        <v>16</v>
      </c>
      <c r="K4119" s="7">
        <v>32</v>
      </c>
      <c r="L4119" s="5" t="s">
        <v>37288</v>
      </c>
      <c r="M4119" s="7">
        <v>1.2</v>
      </c>
      <c r="N4119" s="7">
        <v>0.65</v>
      </c>
      <c r="O4119" s="7">
        <v>1.2250000000000001</v>
      </c>
      <c r="P4119" s="1" t="s">
        <v>37289</v>
      </c>
    </row>
    <row r="4120" spans="1:16" ht="49.75" x14ac:dyDescent="0.3">
      <c r="A4120" s="6" t="str">
        <f>HYPERLINK("https://www.ti.com/product/TPS54312-EP", "TPS54312-EP")</f>
        <v>TPS54312-EP</v>
      </c>
      <c r="B4120" s="5" t="s">
        <v>37290</v>
      </c>
      <c r="C4120" s="6" t="str">
        <f>HYPERLINK("https://www.ti.com/lit/gpn/TPS54312-EP", "PDF")</f>
        <v>PDF</v>
      </c>
      <c r="D4120" s="5" t="s">
        <v>37291</v>
      </c>
      <c r="E4120" s="5" t="s">
        <v>37292</v>
      </c>
      <c r="F4120" s="5" t="s">
        <v>37293</v>
      </c>
      <c r="G4120" s="5" t="s">
        <v>37294</v>
      </c>
      <c r="H4120" s="1" t="s">
        <v>37295</v>
      </c>
      <c r="I4120" s="5" t="s">
        <v>37296</v>
      </c>
      <c r="J4120" s="7">
        <v>20</v>
      </c>
      <c r="K4120" s="7">
        <v>41.6</v>
      </c>
      <c r="L4120" s="5" t="s">
        <v>37297</v>
      </c>
      <c r="M4120" s="7">
        <v>1.2</v>
      </c>
      <c r="N4120" s="7">
        <v>0.65</v>
      </c>
      <c r="O4120" s="7">
        <v>6.18</v>
      </c>
      <c r="P4120" s="1" t="s">
        <v>37298</v>
      </c>
    </row>
    <row r="4121" spans="1:16" ht="49.75" x14ac:dyDescent="0.3">
      <c r="A4121" s="6" t="str">
        <f>HYPERLINK("https://www.ti.com/product/TPS62110-EP", "TPS62110-EP")</f>
        <v>TPS62110-EP</v>
      </c>
      <c r="B4121" s="5" t="s">
        <v>37299</v>
      </c>
      <c r="C4121" s="6" t="str">
        <f>HYPERLINK("https://www.ti.com/lit/gpn/TPS62110-EP", "PDF")</f>
        <v>PDF</v>
      </c>
      <c r="D4121" s="5" t="s">
        <v>37300</v>
      </c>
      <c r="E4121" s="5" t="s">
        <v>37301</v>
      </c>
      <c r="F4121" s="5" t="s">
        <v>37302</v>
      </c>
      <c r="G4121" s="5" t="s">
        <v>37303</v>
      </c>
      <c r="H4121" s="1" t="s">
        <v>37304</v>
      </c>
      <c r="I4121" s="5" t="s">
        <v>37305</v>
      </c>
      <c r="J4121" s="7">
        <v>16</v>
      </c>
      <c r="K4121" s="7">
        <v>16</v>
      </c>
      <c r="L4121" s="5" t="s">
        <v>37306</v>
      </c>
      <c r="M4121" s="7">
        <v>1</v>
      </c>
      <c r="N4121" s="7">
        <v>0.65</v>
      </c>
      <c r="O4121" s="7">
        <v>4.1139999999999999</v>
      </c>
      <c r="P4121" s="1" t="s">
        <v>37307</v>
      </c>
    </row>
    <row r="4122" spans="1:16" ht="33.4" x14ac:dyDescent="0.3">
      <c r="A4122" s="6" t="str">
        <f>HYPERLINK("https://www.ti.com/product/TPS74801", "TPS74801")</f>
        <v>TPS74801</v>
      </c>
      <c r="B4122" s="5" t="s">
        <v>37308</v>
      </c>
      <c r="C4122" s="6" t="str">
        <f>HYPERLINK("https://www.ti.com/lit/gpn/TPS74801", "PDF")</f>
        <v>PDF</v>
      </c>
      <c r="D4122" s="5" t="s">
        <v>37309</v>
      </c>
      <c r="E4122" s="5" t="s">
        <v>37310</v>
      </c>
      <c r="F4122" s="5"/>
      <c r="G4122" s="5" t="s">
        <v>37311</v>
      </c>
      <c r="H4122" s="1" t="s">
        <v>37312</v>
      </c>
      <c r="I4122" s="5" t="s">
        <v>37313</v>
      </c>
      <c r="J4122" s="7" t="s">
        <v>37314</v>
      </c>
      <c r="K4122" s="7" t="s">
        <v>37315</v>
      </c>
      <c r="L4122" s="5" t="s">
        <v>37316</v>
      </c>
      <c r="M4122" s="7">
        <v>1</v>
      </c>
      <c r="N4122" s="7" t="s">
        <v>37317</v>
      </c>
      <c r="O4122" s="7">
        <v>0.32500000000000001</v>
      </c>
      <c r="P4122" s="1" t="s">
        <v>37318</v>
      </c>
    </row>
    <row r="4123" spans="1:16" ht="33.4" x14ac:dyDescent="0.3">
      <c r="A4123" s="6" t="str">
        <f>HYPERLINK("https://www.ti.com/product/LM5109B", "LM5109B")</f>
        <v>LM5109B</v>
      </c>
      <c r="B4123" s="5" t="s">
        <v>37319</v>
      </c>
      <c r="C4123" s="6" t="str">
        <f>HYPERLINK("https://www.ti.com/lit/gpn/LM5109B", "PDF")</f>
        <v>PDF</v>
      </c>
      <c r="D4123" s="5" t="s">
        <v>37320</v>
      </c>
      <c r="E4123" s="5" t="s">
        <v>37321</v>
      </c>
      <c r="F4123" s="5"/>
      <c r="G4123" s="5" t="s">
        <v>37322</v>
      </c>
      <c r="H4123" s="1" t="s">
        <v>37323</v>
      </c>
      <c r="I4123" s="5" t="s">
        <v>37324</v>
      </c>
      <c r="J4123" s="7">
        <v>8</v>
      </c>
      <c r="K4123" s="7" t="s">
        <v>37325</v>
      </c>
      <c r="L4123" s="5" t="s">
        <v>37326</v>
      </c>
      <c r="M4123" s="7" t="s">
        <v>37327</v>
      </c>
      <c r="N4123" s="7" t="s">
        <v>37328</v>
      </c>
      <c r="O4123" s="7">
        <v>0.27600000000000002</v>
      </c>
      <c r="P4123" s="1" t="s">
        <v>37329</v>
      </c>
    </row>
    <row r="4124" spans="1:16" ht="17.05" x14ac:dyDescent="0.3">
      <c r="A4124" s="6" t="str">
        <f>HYPERLINK("https://www.ti.com/product/TPS65050", "TPS65050")</f>
        <v>TPS65050</v>
      </c>
      <c r="B4124" s="5" t="s">
        <v>37330</v>
      </c>
      <c r="C4124" s="6" t="str">
        <f>HYPERLINK("https://www.ti.com/lit/gpn/TPS65050", "PDF")</f>
        <v>PDF</v>
      </c>
      <c r="D4124" s="5" t="s">
        <v>37331</v>
      </c>
      <c r="E4124" s="5" t="s">
        <v>37332</v>
      </c>
      <c r="F4124" s="5"/>
      <c r="G4124" s="5" t="s">
        <v>37333</v>
      </c>
      <c r="H4124" s="1" t="s">
        <v>37334</v>
      </c>
      <c r="I4124" s="5" t="s">
        <v>37335</v>
      </c>
      <c r="J4124" s="7">
        <v>32</v>
      </c>
      <c r="K4124" s="7">
        <v>16</v>
      </c>
      <c r="L4124" s="5" t="s">
        <v>37336</v>
      </c>
      <c r="M4124" s="7">
        <v>1</v>
      </c>
      <c r="N4124" s="7">
        <v>0.4</v>
      </c>
      <c r="O4124" s="7">
        <v>2.214</v>
      </c>
      <c r="P4124" s="1" t="s">
        <v>37337</v>
      </c>
    </row>
    <row r="4125" spans="1:16" ht="33.4" x14ac:dyDescent="0.3">
      <c r="A4125" s="6" t="str">
        <f>HYPERLINK("https://www.ti.com/product/LM25574", "LM25574")</f>
        <v>LM25574</v>
      </c>
      <c r="B4125" s="5" t="s">
        <v>37338</v>
      </c>
      <c r="C4125" s="6" t="str">
        <f>HYPERLINK("https://www.ti.com/lit/gpn/LM25574", "PDF")</f>
        <v>PDF</v>
      </c>
      <c r="D4125" s="5" t="s">
        <v>37339</v>
      </c>
      <c r="E4125" s="5" t="s">
        <v>37340</v>
      </c>
      <c r="F4125" s="5" t="s">
        <v>37341</v>
      </c>
      <c r="G4125" s="5" t="s">
        <v>37342</v>
      </c>
      <c r="H4125" s="1" t="s">
        <v>37343</v>
      </c>
      <c r="I4125" s="5" t="s">
        <v>37344</v>
      </c>
      <c r="J4125" s="7">
        <v>16</v>
      </c>
      <c r="K4125" s="7">
        <v>32</v>
      </c>
      <c r="L4125" s="5" t="s">
        <v>37345</v>
      </c>
      <c r="M4125" s="7">
        <v>1.2</v>
      </c>
      <c r="N4125" s="7">
        <v>0.65</v>
      </c>
      <c r="O4125" s="7">
        <v>1.2649999999999999</v>
      </c>
      <c r="P4125" s="1" t="s">
        <v>37346</v>
      </c>
    </row>
    <row r="4126" spans="1:16" ht="33.4" x14ac:dyDescent="0.3">
      <c r="A4126" s="6" t="str">
        <f>HYPERLINK("https://www.ti.com/product/LM25575", "LM25575")</f>
        <v>LM25575</v>
      </c>
      <c r="B4126" s="5" t="s">
        <v>37347</v>
      </c>
      <c r="C4126" s="6" t="str">
        <f>HYPERLINK("https://www.ti.com/lit/gpn/LM25575", "PDF")</f>
        <v>PDF</v>
      </c>
      <c r="D4126" s="5" t="s">
        <v>37348</v>
      </c>
      <c r="E4126" s="5" t="s">
        <v>37349</v>
      </c>
      <c r="F4126" s="5" t="s">
        <v>37350</v>
      </c>
      <c r="G4126" s="5" t="s">
        <v>37351</v>
      </c>
      <c r="H4126" s="1" t="s">
        <v>37352</v>
      </c>
      <c r="I4126" s="5" t="s">
        <v>37353</v>
      </c>
      <c r="J4126" s="7">
        <v>16</v>
      </c>
      <c r="K4126" s="7">
        <v>32</v>
      </c>
      <c r="L4126" s="5" t="s">
        <v>37354</v>
      </c>
      <c r="M4126" s="7">
        <v>1.2</v>
      </c>
      <c r="N4126" s="7">
        <v>0.65</v>
      </c>
      <c r="O4126" s="7">
        <v>1.4339999999999999</v>
      </c>
      <c r="P4126" s="1" t="s">
        <v>37355</v>
      </c>
    </row>
    <row r="4127" spans="1:16" ht="33.4" x14ac:dyDescent="0.3">
      <c r="A4127" s="6" t="str">
        <f>HYPERLINK("https://www.ti.com/product/LM25576", "LM25576")</f>
        <v>LM25576</v>
      </c>
      <c r="B4127" s="5" t="s">
        <v>37356</v>
      </c>
      <c r="C4127" s="6" t="str">
        <f>HYPERLINK("https://www.ti.com/lit/gpn/LM25576", "PDF")</f>
        <v>PDF</v>
      </c>
      <c r="D4127" s="5" t="s">
        <v>37357</v>
      </c>
      <c r="E4127" s="5" t="s">
        <v>37358</v>
      </c>
      <c r="F4127" s="5" t="s">
        <v>37359</v>
      </c>
      <c r="G4127" s="5" t="s">
        <v>37360</v>
      </c>
      <c r="H4127" s="1" t="s">
        <v>37361</v>
      </c>
      <c r="I4127" s="5" t="s">
        <v>37362</v>
      </c>
      <c r="J4127" s="7">
        <v>20</v>
      </c>
      <c r="K4127" s="7">
        <v>41.6</v>
      </c>
      <c r="L4127" s="5" t="s">
        <v>37363</v>
      </c>
      <c r="M4127" s="7">
        <v>1.2</v>
      </c>
      <c r="N4127" s="7">
        <v>0.65</v>
      </c>
      <c r="O4127" s="7">
        <v>1.5629999999999999</v>
      </c>
      <c r="P4127" s="1" t="s">
        <v>37364</v>
      </c>
    </row>
    <row r="4128" spans="1:16" ht="33.4" x14ac:dyDescent="0.3">
      <c r="A4128" s="6" t="str">
        <f>HYPERLINK("https://www.ti.com/product/LM5001", "LM5001")</f>
        <v>LM5001</v>
      </c>
      <c r="B4128" s="5" t="s">
        <v>37365</v>
      </c>
      <c r="C4128" s="6" t="str">
        <f>HYPERLINK("https://www.ti.com/lit/gpn/LM5001", "PDF")</f>
        <v>PDF</v>
      </c>
      <c r="D4128" s="5" t="s">
        <v>37366</v>
      </c>
      <c r="E4128" s="5" t="s">
        <v>37367</v>
      </c>
      <c r="F4128" s="5" t="s">
        <v>37368</v>
      </c>
      <c r="G4128" s="5" t="s">
        <v>37369</v>
      </c>
      <c r="H4128" s="1" t="s">
        <v>37370</v>
      </c>
      <c r="I4128" s="5" t="s">
        <v>37371</v>
      </c>
      <c r="J4128" s="7">
        <v>8</v>
      </c>
      <c r="K4128" s="7" t="s">
        <v>37372</v>
      </c>
      <c r="L4128" s="5" t="s">
        <v>37373</v>
      </c>
      <c r="M4128" s="7" t="s">
        <v>37374</v>
      </c>
      <c r="N4128" s="7" t="s">
        <v>37375</v>
      </c>
      <c r="O4128" s="7">
        <v>1.9239999999999999</v>
      </c>
      <c r="P4128" s="1" t="s">
        <v>37376</v>
      </c>
    </row>
    <row r="4129" spans="1:16" ht="33.4" x14ac:dyDescent="0.3">
      <c r="A4129" s="6" t="str">
        <f>HYPERLINK("https://www.ti.com/product/LM5002", "LM5002")</f>
        <v>LM5002</v>
      </c>
      <c r="B4129" s="5" t="s">
        <v>37377</v>
      </c>
      <c r="C4129" s="6" t="str">
        <f>HYPERLINK("https://www.ti.com/lit/gpn/LM5002", "PDF")</f>
        <v>PDF</v>
      </c>
      <c r="D4129" s="5" t="s">
        <v>37378</v>
      </c>
      <c r="E4129" s="5" t="s">
        <v>37379</v>
      </c>
      <c r="F4129" s="5" t="s">
        <v>37380</v>
      </c>
      <c r="G4129" s="5" t="s">
        <v>37381</v>
      </c>
      <c r="H4129" s="1" t="s">
        <v>37382</v>
      </c>
      <c r="I4129" s="5" t="s">
        <v>37383</v>
      </c>
      <c r="J4129" s="7">
        <v>8</v>
      </c>
      <c r="K4129" s="7" t="s">
        <v>37384</v>
      </c>
      <c r="L4129" s="5" t="s">
        <v>37385</v>
      </c>
      <c r="M4129" s="7" t="s">
        <v>37386</v>
      </c>
      <c r="N4129" s="7" t="s">
        <v>37387</v>
      </c>
      <c r="O4129" s="7">
        <v>1.631</v>
      </c>
      <c r="P4129" s="1" t="s">
        <v>37388</v>
      </c>
    </row>
    <row r="4130" spans="1:16" ht="33.4" x14ac:dyDescent="0.3">
      <c r="A4130" s="6" t="str">
        <f>HYPERLINK("https://www.ti.com/product/LM5574", "LM5574")</f>
        <v>LM5574</v>
      </c>
      <c r="B4130" s="5" t="s">
        <v>37389</v>
      </c>
      <c r="C4130" s="6" t="str">
        <f>HYPERLINK("https://www.ti.com/lit/gpn/LM5574", "PDF")</f>
        <v>PDF</v>
      </c>
      <c r="D4130" s="5" t="s">
        <v>37390</v>
      </c>
      <c r="E4130" s="5" t="s">
        <v>37391</v>
      </c>
      <c r="F4130" s="5" t="s">
        <v>37392</v>
      </c>
      <c r="G4130" s="5" t="s">
        <v>37393</v>
      </c>
      <c r="H4130" s="1" t="s">
        <v>37394</v>
      </c>
      <c r="I4130" s="5" t="s">
        <v>37395</v>
      </c>
      <c r="J4130" s="7">
        <v>16</v>
      </c>
      <c r="K4130" s="7">
        <v>32</v>
      </c>
      <c r="L4130" s="5" t="s">
        <v>37396</v>
      </c>
      <c r="M4130" s="7">
        <v>1.2</v>
      </c>
      <c r="N4130" s="7">
        <v>0.65</v>
      </c>
      <c r="O4130" s="7">
        <v>1.323</v>
      </c>
      <c r="P4130" s="1" t="s">
        <v>37397</v>
      </c>
    </row>
    <row r="4131" spans="1:16" ht="33.4" x14ac:dyDescent="0.3">
      <c r="A4131" s="6" t="str">
        <f>HYPERLINK("https://www.ti.com/product/LM5575", "LM5575")</f>
        <v>LM5575</v>
      </c>
      <c r="B4131" s="5" t="s">
        <v>37398</v>
      </c>
      <c r="C4131" s="6" t="str">
        <f>HYPERLINK("https://www.ti.com/lit/gpn/LM5575", "PDF")</f>
        <v>PDF</v>
      </c>
      <c r="D4131" s="5" t="s">
        <v>37399</v>
      </c>
      <c r="E4131" s="5" t="s">
        <v>37400</v>
      </c>
      <c r="F4131" s="5" t="s">
        <v>37401</v>
      </c>
      <c r="G4131" s="5" t="s">
        <v>37402</v>
      </c>
      <c r="H4131" s="1" t="s">
        <v>37403</v>
      </c>
      <c r="I4131" s="5" t="s">
        <v>37404</v>
      </c>
      <c r="J4131" s="7">
        <v>16</v>
      </c>
      <c r="K4131" s="7">
        <v>32</v>
      </c>
      <c r="L4131" s="5" t="s">
        <v>37405</v>
      </c>
      <c r="M4131" s="7">
        <v>1.2</v>
      </c>
      <c r="N4131" s="7">
        <v>0.65</v>
      </c>
      <c r="O4131" s="7">
        <v>1.488</v>
      </c>
      <c r="P4131" s="1" t="s">
        <v>37406</v>
      </c>
    </row>
    <row r="4132" spans="1:16" ht="33.4" x14ac:dyDescent="0.3">
      <c r="A4132" s="6" t="str">
        <f>HYPERLINK("https://www.ti.com/product/LM5576", "LM5576")</f>
        <v>LM5576</v>
      </c>
      <c r="B4132" s="5" t="s">
        <v>37407</v>
      </c>
      <c r="C4132" s="6" t="str">
        <f>HYPERLINK("https://www.ti.com/lit/gpn/LM5576", "PDF")</f>
        <v>PDF</v>
      </c>
      <c r="D4132" s="5" t="s">
        <v>37408</v>
      </c>
      <c r="E4132" s="5" t="s">
        <v>37409</v>
      </c>
      <c r="F4132" s="5" t="s">
        <v>37410</v>
      </c>
      <c r="G4132" s="5" t="s">
        <v>37411</v>
      </c>
      <c r="H4132" s="1" t="s">
        <v>37412</v>
      </c>
      <c r="I4132" s="5" t="s">
        <v>37413</v>
      </c>
      <c r="J4132" s="7">
        <v>20</v>
      </c>
      <c r="K4132" s="7">
        <v>41.6</v>
      </c>
      <c r="L4132" s="5" t="s">
        <v>37414</v>
      </c>
      <c r="M4132" s="7">
        <v>1.2</v>
      </c>
      <c r="N4132" s="7">
        <v>0.65</v>
      </c>
      <c r="O4132" s="7">
        <v>1.6779999999999999</v>
      </c>
      <c r="P4132" s="1" t="s">
        <v>37415</v>
      </c>
    </row>
    <row r="4133" spans="1:16" ht="49.75" x14ac:dyDescent="0.3">
      <c r="A4133" s="6" t="str">
        <f>HYPERLINK("https://www.ti.com/product/TL4051A", "TL4051A")</f>
        <v>TL4051A</v>
      </c>
      <c r="B4133" s="5" t="s">
        <v>37416</v>
      </c>
      <c r="C4133" s="6" t="str">
        <f>HYPERLINK("https://www.ti.com/lit/gpn/TL4051A", "PDF")</f>
        <v>PDF</v>
      </c>
      <c r="D4133" s="5" t="s">
        <v>37417</v>
      </c>
      <c r="E4133" s="5" t="s">
        <v>37418</v>
      </c>
      <c r="F4133" s="5"/>
      <c r="G4133" s="5" t="s">
        <v>37419</v>
      </c>
      <c r="H4133" s="1" t="s">
        <v>37420</v>
      </c>
      <c r="I4133" s="5" t="s">
        <v>37421</v>
      </c>
      <c r="J4133" s="7" t="s">
        <v>37422</v>
      </c>
      <c r="K4133" s="7" t="s">
        <v>37423</v>
      </c>
      <c r="L4133" s="5" t="s">
        <v>37424</v>
      </c>
      <c r="M4133" s="7" t="s">
        <v>37425</v>
      </c>
      <c r="N4133" s="7" t="s">
        <v>37426</v>
      </c>
      <c r="O4133" s="7">
        <v>0.78700000000000003</v>
      </c>
      <c r="P4133" s="1" t="s">
        <v>37427</v>
      </c>
    </row>
    <row r="4134" spans="1:16" ht="49.75" x14ac:dyDescent="0.3">
      <c r="A4134" s="6" t="str">
        <f>HYPERLINK("https://www.ti.com/product/TL4051B", "TL4051B")</f>
        <v>TL4051B</v>
      </c>
      <c r="B4134" s="5" t="s">
        <v>37428</v>
      </c>
      <c r="C4134" s="6" t="str">
        <f>HYPERLINK("https://www.ti.com/lit/gpn/TL4051B", "PDF")</f>
        <v>PDF</v>
      </c>
      <c r="D4134" s="5" t="s">
        <v>37429</v>
      </c>
      <c r="E4134" s="5" t="s">
        <v>37430</v>
      </c>
      <c r="F4134" s="5"/>
      <c r="G4134" s="5" t="s">
        <v>37431</v>
      </c>
      <c r="H4134" s="1" t="s">
        <v>37432</v>
      </c>
      <c r="I4134" s="5" t="s">
        <v>37433</v>
      </c>
      <c r="J4134" s="7" t="s">
        <v>37434</v>
      </c>
      <c r="K4134" s="7" t="s">
        <v>37435</v>
      </c>
      <c r="L4134" s="5" t="s">
        <v>37436</v>
      </c>
      <c r="M4134" s="7" t="s">
        <v>37437</v>
      </c>
      <c r="N4134" s="7" t="s">
        <v>37438</v>
      </c>
      <c r="O4134" s="7">
        <v>0.48399999999999999</v>
      </c>
      <c r="P4134" s="1" t="s">
        <v>37439</v>
      </c>
    </row>
    <row r="4135" spans="1:16" ht="49.75" x14ac:dyDescent="0.3">
      <c r="A4135" s="6" t="str">
        <f>HYPERLINK("https://www.ti.com/product/TL4051C", "TL4051C")</f>
        <v>TL4051C</v>
      </c>
      <c r="B4135" s="5" t="s">
        <v>37440</v>
      </c>
      <c r="C4135" s="6" t="str">
        <f>HYPERLINK("https://www.ti.com/lit/gpn/TL4051C", "PDF")</f>
        <v>PDF</v>
      </c>
      <c r="D4135" s="5" t="s">
        <v>37441</v>
      </c>
      <c r="E4135" s="5" t="s">
        <v>37442</v>
      </c>
      <c r="F4135" s="5"/>
      <c r="G4135" s="5" t="s">
        <v>37443</v>
      </c>
      <c r="H4135" s="1" t="s">
        <v>37444</v>
      </c>
      <c r="I4135" s="5" t="s">
        <v>37445</v>
      </c>
      <c r="J4135" s="7" t="s">
        <v>37446</v>
      </c>
      <c r="K4135" s="7" t="s">
        <v>37447</v>
      </c>
      <c r="L4135" s="5" t="s">
        <v>37448</v>
      </c>
      <c r="M4135" s="7" t="s">
        <v>37449</v>
      </c>
      <c r="N4135" s="7" t="s">
        <v>37450</v>
      </c>
      <c r="O4135" s="7">
        <v>0.44700000000000001</v>
      </c>
      <c r="P4135" s="1" t="s">
        <v>37451</v>
      </c>
    </row>
    <row r="4136" spans="1:16" ht="33.4" x14ac:dyDescent="0.3">
      <c r="A4136" s="6" t="str">
        <f>HYPERLINK("https://www.ti.com/product/TPS61072", "TPS61072")</f>
        <v>TPS61072</v>
      </c>
      <c r="B4136" s="5" t="s">
        <v>37452</v>
      </c>
      <c r="C4136" s="6" t="str">
        <f>HYPERLINK("https://www.ti.com/lit/gpn/TPS61072", "PDF")</f>
        <v>PDF</v>
      </c>
      <c r="D4136" s="5" t="s">
        <v>37453</v>
      </c>
      <c r="E4136" s="5" t="s">
        <v>37454</v>
      </c>
      <c r="F4136" s="5" t="s">
        <v>37455</v>
      </c>
      <c r="G4136" s="5" t="s">
        <v>37456</v>
      </c>
      <c r="H4136" s="1" t="s">
        <v>37457</v>
      </c>
      <c r="I4136" s="5" t="s">
        <v>37458</v>
      </c>
      <c r="J4136" s="7">
        <v>6</v>
      </c>
      <c r="K4136" s="7">
        <v>8.1199999999999992</v>
      </c>
      <c r="L4136" s="5" t="s">
        <v>37459</v>
      </c>
      <c r="M4136" s="7">
        <v>1.1000000000000001</v>
      </c>
      <c r="N4136" s="7">
        <v>0.95</v>
      </c>
      <c r="O4136" s="7">
        <v>0.40100000000000002</v>
      </c>
      <c r="P4136" s="1" t="s">
        <v>37460</v>
      </c>
    </row>
    <row r="4137" spans="1:16" ht="49.75" x14ac:dyDescent="0.3">
      <c r="A4137" s="6" t="str">
        <f>HYPERLINK("https://www.ti.com/product/TPS40200-EP", "TPS40200-EP")</f>
        <v>TPS40200-EP</v>
      </c>
      <c r="B4137" s="5" t="s">
        <v>37461</v>
      </c>
      <c r="C4137" s="6" t="str">
        <f>HYPERLINK("https://www.ti.com/lit/gpn/TPS40200-EP", "PDF")</f>
        <v>PDF</v>
      </c>
      <c r="D4137" s="5" t="s">
        <v>37462</v>
      </c>
      <c r="E4137" s="5" t="s">
        <v>37463</v>
      </c>
      <c r="F4137" s="5" t="s">
        <v>37464</v>
      </c>
      <c r="G4137" s="5" t="s">
        <v>37465</v>
      </c>
      <c r="H4137" s="1" t="s">
        <v>37466</v>
      </c>
      <c r="I4137" s="5" t="s">
        <v>37467</v>
      </c>
      <c r="J4137" s="7">
        <v>8</v>
      </c>
      <c r="K4137" s="7">
        <v>29.4</v>
      </c>
      <c r="L4137" s="5" t="s">
        <v>37468</v>
      </c>
      <c r="M4137" s="7">
        <v>1.75</v>
      </c>
      <c r="N4137" s="7">
        <v>1.27</v>
      </c>
      <c r="O4137" s="7">
        <v>2.2469999999999999</v>
      </c>
      <c r="P4137" s="1" t="s">
        <v>37469</v>
      </c>
    </row>
    <row r="4138" spans="1:16" ht="33.4" x14ac:dyDescent="0.3">
      <c r="A4138" s="6" t="str">
        <f>HYPERLINK("https://www.ti.com/product/LM5022", "LM5022")</f>
        <v>LM5022</v>
      </c>
      <c r="B4138" s="5" t="s">
        <v>37470</v>
      </c>
      <c r="C4138" s="6" t="str">
        <f>HYPERLINK("https://www.ti.com/lit/gpn/LM5022", "PDF")</f>
        <v>PDF</v>
      </c>
      <c r="D4138" s="5" t="s">
        <v>37471</v>
      </c>
      <c r="E4138" s="5" t="s">
        <v>37472</v>
      </c>
      <c r="F4138" s="5" t="s">
        <v>37473</v>
      </c>
      <c r="G4138" s="5" t="s">
        <v>37474</v>
      </c>
      <c r="H4138" s="1" t="s">
        <v>37475</v>
      </c>
      <c r="I4138" s="5" t="s">
        <v>37476</v>
      </c>
      <c r="J4138" s="7">
        <v>10</v>
      </c>
      <c r="K4138" s="7">
        <v>14.7</v>
      </c>
      <c r="L4138" s="5" t="s">
        <v>37477</v>
      </c>
      <c r="M4138" s="7">
        <v>1.1000000000000001</v>
      </c>
      <c r="N4138" s="7">
        <v>0.5</v>
      </c>
      <c r="O4138" s="7">
        <v>1.0469999999999999</v>
      </c>
      <c r="P4138" s="1" t="s">
        <v>37478</v>
      </c>
    </row>
    <row r="4139" spans="1:16" ht="49.75" x14ac:dyDescent="0.3">
      <c r="A4139" s="6" t="str">
        <f>HYPERLINK("https://www.ti.com/product/TPS75003-EP", "TPS75003-EP")</f>
        <v>TPS75003-EP</v>
      </c>
      <c r="B4139" s="5" t="s">
        <v>37479</v>
      </c>
      <c r="C4139" s="6" t="str">
        <f>HYPERLINK("https://www.ti.com/lit/gpn/TPS75003-EP", "PDF")</f>
        <v>PDF</v>
      </c>
      <c r="D4139" s="5" t="s">
        <v>37480</v>
      </c>
      <c r="E4139" s="5" t="s">
        <v>37481</v>
      </c>
      <c r="F4139" s="5"/>
      <c r="G4139" s="5" t="s">
        <v>37482</v>
      </c>
      <c r="H4139" s="1" t="s">
        <v>37483</v>
      </c>
      <c r="I4139" s="5" t="s">
        <v>37484</v>
      </c>
      <c r="J4139" s="7">
        <v>20</v>
      </c>
      <c r="K4139" s="7">
        <v>15.75</v>
      </c>
      <c r="L4139" s="5" t="s">
        <v>37485</v>
      </c>
      <c r="M4139" s="7">
        <v>1</v>
      </c>
      <c r="N4139" s="7">
        <v>0.5</v>
      </c>
      <c r="O4139" s="7">
        <v>5.1719999999999997</v>
      </c>
      <c r="P4139" s="1" t="s">
        <v>37486</v>
      </c>
    </row>
    <row r="4140" spans="1:16" ht="33.4" x14ac:dyDescent="0.3">
      <c r="A4140" s="6" t="str">
        <f>HYPERLINK("https://www.ti.com/product/PTH04T220W", "PTH04T220W")</f>
        <v>PTH04T220W</v>
      </c>
      <c r="B4140" s="5" t="s">
        <v>37487</v>
      </c>
      <c r="C4140" s="6" t="str">
        <f>HYPERLINK("https://www.ti.com/lit/gpn/PTH04T220W", "PDF")</f>
        <v>PDF</v>
      </c>
      <c r="D4140" s="5" t="s">
        <v>37488</v>
      </c>
      <c r="E4140" s="5" t="s">
        <v>37489</v>
      </c>
      <c r="F4140" s="5" t="s">
        <v>37490</v>
      </c>
      <c r="G4140" s="5" t="s">
        <v>37491</v>
      </c>
      <c r="H4140" s="1" t="s">
        <v>37492</v>
      </c>
      <c r="I4140" s="5" t="s">
        <v>37493</v>
      </c>
      <c r="J4140" s="7">
        <v>11</v>
      </c>
      <c r="K4140" s="7">
        <v>524.22260000000006</v>
      </c>
      <c r="L4140" s="5" t="s">
        <v>37494</v>
      </c>
      <c r="M4140" s="7" t="s">
        <v>37495</v>
      </c>
      <c r="N4140" s="7">
        <v>2.54</v>
      </c>
      <c r="O4140" s="7">
        <v>14.548</v>
      </c>
      <c r="P4140" s="1" t="s">
        <v>37496</v>
      </c>
    </row>
    <row r="4141" spans="1:16" ht="49.75" x14ac:dyDescent="0.3">
      <c r="A4141" s="6" t="str">
        <f>HYPERLINK("https://www.ti.com/product/TPS5420-EP", "TPS5420-EP")</f>
        <v>TPS5420-EP</v>
      </c>
      <c r="B4141" s="5" t="s">
        <v>37497</v>
      </c>
      <c r="C4141" s="6" t="str">
        <f>HYPERLINK("https://www.ti.com/lit/gpn/TPS5420-EP", "PDF")</f>
        <v>PDF</v>
      </c>
      <c r="D4141" s="5" t="s">
        <v>37498</v>
      </c>
      <c r="E4141" s="5" t="s">
        <v>37499</v>
      </c>
      <c r="F4141" s="5" t="s">
        <v>37500</v>
      </c>
      <c r="G4141" s="5" t="s">
        <v>37501</v>
      </c>
      <c r="H4141" s="1" t="s">
        <v>37502</v>
      </c>
      <c r="I4141" s="5" t="s">
        <v>37503</v>
      </c>
      <c r="J4141" s="7">
        <v>8</v>
      </c>
      <c r="K4141" s="7">
        <v>29.4</v>
      </c>
      <c r="L4141" s="5" t="s">
        <v>37504</v>
      </c>
      <c r="M4141" s="7">
        <v>1.75</v>
      </c>
      <c r="N4141" s="7">
        <v>1.27</v>
      </c>
      <c r="O4141" s="7">
        <v>7.9870000000000001</v>
      </c>
      <c r="P4141" s="1" t="s">
        <v>37505</v>
      </c>
    </row>
    <row r="4142" spans="1:16" ht="33.4" x14ac:dyDescent="0.3">
      <c r="A4142" s="6" t="str">
        <f>HYPERLINK("https://www.ti.com/product/TPS65165", "TPS65165")</f>
        <v>TPS65165</v>
      </c>
      <c r="B4142" s="5" t="s">
        <v>37506</v>
      </c>
      <c r="C4142" s="6" t="str">
        <f>HYPERLINK("https://www.ti.com/lit/gpn/TPS65165", "PDF")</f>
        <v>PDF</v>
      </c>
      <c r="D4142" s="5" t="s">
        <v>37507</v>
      </c>
      <c r="E4142" s="5" t="s">
        <v>37508</v>
      </c>
      <c r="F4142" s="5" t="s">
        <v>37509</v>
      </c>
      <c r="G4142" s="5" t="s">
        <v>37510</v>
      </c>
      <c r="H4142" s="1" t="s">
        <v>37511</v>
      </c>
      <c r="I4142" s="5" t="s">
        <v>37512</v>
      </c>
      <c r="J4142" s="7">
        <v>40</v>
      </c>
      <c r="K4142" s="7">
        <v>25</v>
      </c>
      <c r="L4142" s="5" t="s">
        <v>37513</v>
      </c>
      <c r="M4142" s="7">
        <v>0.8</v>
      </c>
      <c r="N4142" s="7">
        <v>0.4</v>
      </c>
      <c r="O4142" s="7">
        <v>1.8220000000000001</v>
      </c>
      <c r="P4142" s="1" t="s">
        <v>37514</v>
      </c>
    </row>
    <row r="4143" spans="1:16" ht="33.4" x14ac:dyDescent="0.3">
      <c r="A4143" s="6" t="str">
        <f>HYPERLINK("https://www.ti.com/product/UCC27200", "UCC27200")</f>
        <v>UCC27200</v>
      </c>
      <c r="B4143" s="5" t="s">
        <v>37515</v>
      </c>
      <c r="C4143" s="6" t="str">
        <f>HYPERLINK("https://www.ti.com/lit/gpn/UCC27200", "PDF")</f>
        <v>PDF</v>
      </c>
      <c r="D4143" s="5" t="s">
        <v>37516</v>
      </c>
      <c r="E4143" s="5" t="s">
        <v>37517</v>
      </c>
      <c r="F4143" s="5"/>
      <c r="G4143" s="5" t="s">
        <v>37518</v>
      </c>
      <c r="H4143" s="1" t="s">
        <v>37519</v>
      </c>
      <c r="I4143" s="5" t="s">
        <v>37520</v>
      </c>
      <c r="J4143" s="7">
        <v>8</v>
      </c>
      <c r="K4143" s="7" t="s">
        <v>37521</v>
      </c>
      <c r="L4143" s="5" t="s">
        <v>37522</v>
      </c>
      <c r="M4143" s="7" t="s">
        <v>37523</v>
      </c>
      <c r="N4143" s="7" t="s">
        <v>37524</v>
      </c>
      <c r="O4143" s="7">
        <v>0.92100000000000004</v>
      </c>
      <c r="P4143" s="1" t="s">
        <v>37525</v>
      </c>
    </row>
    <row r="4144" spans="1:16" ht="33.4" x14ac:dyDescent="0.3">
      <c r="A4144" s="6" t="str">
        <f>HYPERLINK("https://www.ti.com/product/UCC27201", "UCC27201")</f>
        <v>UCC27201</v>
      </c>
      <c r="B4144" s="5" t="s">
        <v>37526</v>
      </c>
      <c r="C4144" s="6" t="str">
        <f>HYPERLINK("https://www.ti.com/lit/gpn/UCC27201", "PDF")</f>
        <v>PDF</v>
      </c>
      <c r="D4144" s="5" t="s">
        <v>37527</v>
      </c>
      <c r="E4144" s="5" t="s">
        <v>37528</v>
      </c>
      <c r="F4144" s="5"/>
      <c r="G4144" s="5" t="s">
        <v>37529</v>
      </c>
      <c r="H4144" s="1" t="s">
        <v>37530</v>
      </c>
      <c r="I4144" s="5" t="s">
        <v>37531</v>
      </c>
      <c r="J4144" s="7">
        <v>8</v>
      </c>
      <c r="K4144" s="7" t="s">
        <v>37532</v>
      </c>
      <c r="L4144" s="5" t="s">
        <v>37533</v>
      </c>
      <c r="M4144" s="7" t="s">
        <v>37534</v>
      </c>
      <c r="N4144" s="7" t="s">
        <v>37535</v>
      </c>
      <c r="O4144" s="7">
        <v>0.80500000000000005</v>
      </c>
      <c r="P4144" s="1" t="s">
        <v>37536</v>
      </c>
    </row>
    <row r="4145" spans="1:16" ht="82.5" x14ac:dyDescent="0.3">
      <c r="A4145" s="6" t="str">
        <f>HYPERLINK("https://www.ti.com/product/LP38852", "LP38852")</f>
        <v>LP38852</v>
      </c>
      <c r="B4145" s="5" t="s">
        <v>37537</v>
      </c>
      <c r="C4145" s="6" t="str">
        <f>HYPERLINK("https://www.ti.com/lit/gpn/LP38852", "PDF")</f>
        <v>PDF</v>
      </c>
      <c r="D4145" s="5" t="s">
        <v>37538</v>
      </c>
      <c r="E4145" s="5" t="s">
        <v>37539</v>
      </c>
      <c r="F4145" s="5"/>
      <c r="G4145" s="5" t="s">
        <v>37540</v>
      </c>
      <c r="H4145" s="1" t="s">
        <v>37541</v>
      </c>
      <c r="I4145" s="5" t="s">
        <v>37542</v>
      </c>
      <c r="J4145" s="7" t="s">
        <v>37543</v>
      </c>
      <c r="K4145" s="7" t="s">
        <v>37544</v>
      </c>
      <c r="L4145" s="5" t="s">
        <v>37545</v>
      </c>
      <c r="M4145" s="7" t="s">
        <v>37546</v>
      </c>
      <c r="N4145" s="7">
        <v>1.27</v>
      </c>
      <c r="O4145" s="7">
        <v>0.97799999999999998</v>
      </c>
      <c r="P4145" s="1" t="s">
        <v>37547</v>
      </c>
    </row>
    <row r="4146" spans="1:16" ht="33.4" x14ac:dyDescent="0.3">
      <c r="A4146" s="6" t="str">
        <f>HYPERLINK("https://www.ti.com/product/LM27313", "LM27313")</f>
        <v>LM27313</v>
      </c>
      <c r="B4146" s="5" t="s">
        <v>37548</v>
      </c>
      <c r="C4146" s="6" t="str">
        <f>HYPERLINK("https://www.ti.com/lit/gpn/LM27313", "PDF")</f>
        <v>PDF</v>
      </c>
      <c r="D4146" s="5" t="s">
        <v>37549</v>
      </c>
      <c r="E4146" s="5" t="s">
        <v>37550</v>
      </c>
      <c r="F4146" s="5" t="s">
        <v>37551</v>
      </c>
      <c r="G4146" s="5" t="s">
        <v>37552</v>
      </c>
      <c r="H4146" s="1" t="s">
        <v>37553</v>
      </c>
      <c r="I4146" s="5" t="s">
        <v>37554</v>
      </c>
      <c r="J4146" s="7">
        <v>5</v>
      </c>
      <c r="K4146" s="7">
        <v>8.1199999999999992</v>
      </c>
      <c r="L4146" s="5" t="s">
        <v>37555</v>
      </c>
      <c r="M4146" s="7">
        <v>1.45</v>
      </c>
      <c r="N4146" s="7">
        <v>0.95</v>
      </c>
      <c r="O4146" s="7">
        <v>0.66800000000000004</v>
      </c>
      <c r="P4146" s="1" t="s">
        <v>37556</v>
      </c>
    </row>
    <row r="4147" spans="1:16" ht="49.75" x14ac:dyDescent="0.3">
      <c r="A4147" s="6" t="str">
        <f>HYPERLINK("https://www.ti.com/product/LP5522", "LP5522")</f>
        <v>LP5522</v>
      </c>
      <c r="B4147" s="5" t="s">
        <v>37557</v>
      </c>
      <c r="C4147" s="6" t="str">
        <f>HYPERLINK("https://www.ti.com/lit/gpn/LP5522", "PDF")</f>
        <v>PDF</v>
      </c>
      <c r="D4147" s="5" t="s">
        <v>37558</v>
      </c>
      <c r="E4147" s="5" t="s">
        <v>37559</v>
      </c>
      <c r="F4147" s="5" t="s">
        <v>37560</v>
      </c>
      <c r="G4147" s="5" t="s">
        <v>37561</v>
      </c>
      <c r="H4147" s="1" t="s">
        <v>37562</v>
      </c>
      <c r="I4147" s="5" t="s">
        <v>37563</v>
      </c>
      <c r="J4147" s="7">
        <v>6</v>
      </c>
      <c r="K4147" s="7">
        <v>1.4000000000000001</v>
      </c>
      <c r="L4147" s="5" t="s">
        <v>37564</v>
      </c>
      <c r="M4147" s="7">
        <v>0.67500000000000004</v>
      </c>
      <c r="N4147" s="7">
        <v>0.4</v>
      </c>
      <c r="O4147" s="7">
        <v>0.44500000000000001</v>
      </c>
      <c r="P4147" s="1" t="s">
        <v>37565</v>
      </c>
    </row>
    <row r="4148" spans="1:16" ht="33.4" x14ac:dyDescent="0.3">
      <c r="A4148" s="6" t="str">
        <f>HYPERLINK("https://www.ti.com/product/TPS62352", "TPS62352")</f>
        <v>TPS62352</v>
      </c>
      <c r="B4148" s="5" t="s">
        <v>37566</v>
      </c>
      <c r="C4148" s="6" t="str">
        <f>HYPERLINK("https://www.ti.com/lit/gpn/TPS62352", "PDF")</f>
        <v>PDF</v>
      </c>
      <c r="D4148" s="5" t="s">
        <v>37567</v>
      </c>
      <c r="E4148" s="5" t="s">
        <v>37568</v>
      </c>
      <c r="F4148" s="5" t="s">
        <v>37569</v>
      </c>
      <c r="G4148" s="5" t="s">
        <v>37570</v>
      </c>
      <c r="H4148" s="1" t="s">
        <v>37571</v>
      </c>
      <c r="I4148" s="5" t="s">
        <v>37572</v>
      </c>
      <c r="J4148" s="7">
        <v>12</v>
      </c>
      <c r="K4148" s="7">
        <v>3.9375</v>
      </c>
      <c r="L4148" s="5" t="s">
        <v>37573</v>
      </c>
      <c r="M4148" s="7">
        <v>0.625</v>
      </c>
      <c r="N4148" s="7">
        <v>0.5</v>
      </c>
      <c r="O4148" s="7">
        <v>0.65700000000000003</v>
      </c>
      <c r="P4148" s="1" t="s">
        <v>37574</v>
      </c>
    </row>
    <row r="4149" spans="1:16" ht="17.05" x14ac:dyDescent="0.3">
      <c r="A4149" s="6" t="str">
        <f>HYPERLINK("https://www.ti.com/product/LM3404", "LM3404")</f>
        <v>LM3404</v>
      </c>
      <c r="B4149" s="5" t="s">
        <v>37575</v>
      </c>
      <c r="C4149" s="6" t="str">
        <f>HYPERLINK("https://www.ti.com/lit/gpn/LM3404", "PDF")</f>
        <v>PDF</v>
      </c>
      <c r="D4149" s="5" t="s">
        <v>37576</v>
      </c>
      <c r="E4149" s="5" t="s">
        <v>37577</v>
      </c>
      <c r="F4149" s="5" t="s">
        <v>37578</v>
      </c>
      <c r="G4149" s="5" t="s">
        <v>37579</v>
      </c>
      <c r="H4149" s="1" t="s">
        <v>37580</v>
      </c>
      <c r="I4149" s="5" t="s">
        <v>37581</v>
      </c>
      <c r="J4149" s="7">
        <v>8</v>
      </c>
      <c r="K4149" s="7">
        <v>29.4</v>
      </c>
      <c r="L4149" s="5" t="s">
        <v>37582</v>
      </c>
      <c r="M4149" s="7" t="s">
        <v>37583</v>
      </c>
      <c r="N4149" s="7">
        <v>1.27</v>
      </c>
      <c r="O4149" s="7">
        <v>0.748</v>
      </c>
      <c r="P4149" s="1" t="s">
        <v>37584</v>
      </c>
    </row>
    <row r="4150" spans="1:16" ht="17.05" x14ac:dyDescent="0.3">
      <c r="A4150" s="6" t="str">
        <f>HYPERLINK("https://www.ti.com/product/LM3404HV", "LM3404HV")</f>
        <v>LM3404HV</v>
      </c>
      <c r="B4150" s="5" t="s">
        <v>37585</v>
      </c>
      <c r="C4150" s="6" t="str">
        <f>HYPERLINK("https://www.ti.com/lit/gpn/LM3404HV", "PDF")</f>
        <v>PDF</v>
      </c>
      <c r="D4150" s="5" t="s">
        <v>37586</v>
      </c>
      <c r="E4150" s="5" t="s">
        <v>37587</v>
      </c>
      <c r="F4150" s="5" t="s">
        <v>37588</v>
      </c>
      <c r="G4150" s="5" t="s">
        <v>37589</v>
      </c>
      <c r="H4150" s="1" t="s">
        <v>37590</v>
      </c>
      <c r="I4150" s="5" t="s">
        <v>37591</v>
      </c>
      <c r="J4150" s="7">
        <v>8</v>
      </c>
      <c r="K4150" s="7">
        <v>29.4</v>
      </c>
      <c r="L4150" s="5" t="s">
        <v>37592</v>
      </c>
      <c r="M4150" s="7" t="s">
        <v>37593</v>
      </c>
      <c r="N4150" s="7">
        <v>1.27</v>
      </c>
      <c r="O4150" s="7">
        <v>0.85799999999999998</v>
      </c>
      <c r="P4150" s="1" t="s">
        <v>37594</v>
      </c>
    </row>
    <row r="4151" spans="1:16" ht="82.5" x14ac:dyDescent="0.3">
      <c r="A4151" s="6" t="str">
        <f>HYPERLINK("https://www.ti.com/product/LP5524", "LP5524")</f>
        <v>LP5524</v>
      </c>
      <c r="B4151" s="5" t="s">
        <v>37595</v>
      </c>
      <c r="C4151" s="6" t="str">
        <f>HYPERLINK("https://www.ti.com/lit/gpn/LP5524", "PDF")</f>
        <v>PDF</v>
      </c>
      <c r="D4151" s="5" t="s">
        <v>37596</v>
      </c>
      <c r="E4151" s="5" t="s">
        <v>37597</v>
      </c>
      <c r="F4151" s="5" t="s">
        <v>37598</v>
      </c>
      <c r="G4151" s="5" t="s">
        <v>37599</v>
      </c>
      <c r="H4151" s="1" t="s">
        <v>37600</v>
      </c>
      <c r="I4151" s="5" t="s">
        <v>37601</v>
      </c>
      <c r="J4151" s="7">
        <v>9</v>
      </c>
      <c r="K4151" s="7">
        <v>1.9600000000000002</v>
      </c>
      <c r="L4151" s="5" t="s">
        <v>37602</v>
      </c>
      <c r="M4151" s="7">
        <v>0.67500000000000004</v>
      </c>
      <c r="N4151" s="7">
        <v>0.4</v>
      </c>
      <c r="O4151" s="7">
        <v>0.32300000000000001</v>
      </c>
      <c r="P4151" s="1" t="s">
        <v>37603</v>
      </c>
    </row>
    <row r="4152" spans="1:16" ht="33.4" x14ac:dyDescent="0.3">
      <c r="A4152" s="6" t="str">
        <f>HYPERLINK("https://www.ti.com/product/TPS23841", "TPS23841")</f>
        <v>TPS23841</v>
      </c>
      <c r="B4152" s="5" t="s">
        <v>37604</v>
      </c>
      <c r="C4152" s="6" t="str">
        <f>HYPERLINK("https://www.ti.com/lit/gpn/TPS23841", "PDF")</f>
        <v>PDF</v>
      </c>
      <c r="D4152" s="5" t="s">
        <v>37605</v>
      </c>
      <c r="E4152" s="5" t="s">
        <v>37606</v>
      </c>
      <c r="F4152" s="5"/>
      <c r="G4152" s="5" t="s">
        <v>37607</v>
      </c>
      <c r="H4152" s="1" t="s">
        <v>37608</v>
      </c>
      <c r="I4152" s="5" t="s">
        <v>37609</v>
      </c>
      <c r="J4152" s="7">
        <v>64</v>
      </c>
      <c r="K4152" s="7">
        <v>144</v>
      </c>
      <c r="L4152" s="5" t="s">
        <v>37610</v>
      </c>
      <c r="M4152" s="7">
        <v>1.2</v>
      </c>
      <c r="N4152" s="7">
        <v>0.5</v>
      </c>
      <c r="O4152" s="7">
        <v>6.7930000000000001</v>
      </c>
      <c r="P4152" s="1" t="s">
        <v>37611</v>
      </c>
    </row>
    <row r="4153" spans="1:16" ht="33.4" x14ac:dyDescent="0.3">
      <c r="A4153" s="6" t="str">
        <f>HYPERLINK("https://www.ti.com/product/TPS62403", "TPS62403")</f>
        <v>TPS62403</v>
      </c>
      <c r="B4153" s="5" t="s">
        <v>37612</v>
      </c>
      <c r="C4153" s="6" t="str">
        <f>HYPERLINK("https://www.ti.com/lit/gpn/TPS62403", "PDF")</f>
        <v>PDF</v>
      </c>
      <c r="D4153" s="5" t="s">
        <v>37613</v>
      </c>
      <c r="E4153" s="5" t="s">
        <v>37614</v>
      </c>
      <c r="F4153" s="5" t="s">
        <v>37615</v>
      </c>
      <c r="G4153" s="5" t="s">
        <v>37616</v>
      </c>
      <c r="H4153" s="1" t="s">
        <v>37617</v>
      </c>
      <c r="I4153" s="5" t="s">
        <v>37618</v>
      </c>
      <c r="J4153" s="7">
        <v>10</v>
      </c>
      <c r="K4153" s="7">
        <v>9</v>
      </c>
      <c r="L4153" s="5" t="s">
        <v>37619</v>
      </c>
      <c r="M4153" s="7">
        <v>1</v>
      </c>
      <c r="N4153" s="7">
        <v>0.5</v>
      </c>
      <c r="O4153" s="7">
        <v>0.75900000000000001</v>
      </c>
      <c r="P4153" s="1" t="s">
        <v>37620</v>
      </c>
    </row>
    <row r="4154" spans="1:16" ht="82.5" x14ac:dyDescent="0.3">
      <c r="A4154" s="6" t="str">
        <f>HYPERLINK("https://www.ti.com/product/TL2575HV-05", "TL2575HV-05")</f>
        <v>TL2575HV-05</v>
      </c>
      <c r="B4154" s="5" t="s">
        <v>37621</v>
      </c>
      <c r="C4154" s="6" t="str">
        <f>HYPERLINK("https://www.ti.com/lit/gpn/TL2575HV-05", "PDF")</f>
        <v>PDF</v>
      </c>
      <c r="D4154" s="5" t="s">
        <v>37622</v>
      </c>
      <c r="E4154" s="5" t="s">
        <v>37623</v>
      </c>
      <c r="F4154" s="5" t="s">
        <v>37624</v>
      </c>
      <c r="G4154" s="5" t="s">
        <v>37625</v>
      </c>
      <c r="H4154" s="1" t="s">
        <v>37626</v>
      </c>
      <c r="I4154" s="5" t="s">
        <v>37627</v>
      </c>
      <c r="J4154" s="7" t="s">
        <v>37628</v>
      </c>
      <c r="K4154" s="7" t="s">
        <v>37629</v>
      </c>
      <c r="L4154" s="5" t="s">
        <v>37630</v>
      </c>
      <c r="M4154" s="7" t="s">
        <v>37631</v>
      </c>
      <c r="N4154" s="7" t="s">
        <v>37632</v>
      </c>
      <c r="O4154" s="7">
        <v>1.6379999999999999</v>
      </c>
      <c r="P4154" s="1" t="s">
        <v>37633</v>
      </c>
    </row>
    <row r="4155" spans="1:16" ht="82.5" x14ac:dyDescent="0.3">
      <c r="A4155" s="6" t="str">
        <f>HYPERLINK("https://www.ti.com/product/TL2575HV-12", "TL2575HV-12")</f>
        <v>TL2575HV-12</v>
      </c>
      <c r="B4155" s="5" t="s">
        <v>37634</v>
      </c>
      <c r="C4155" s="6" t="str">
        <f>HYPERLINK("https://www.ti.com/lit/gpn/TL2575HV-12", "PDF")</f>
        <v>PDF</v>
      </c>
      <c r="D4155" s="5" t="s">
        <v>37635</v>
      </c>
      <c r="E4155" s="5" t="s">
        <v>37636</v>
      </c>
      <c r="F4155" s="5" t="s">
        <v>37637</v>
      </c>
      <c r="G4155" s="5" t="s">
        <v>37638</v>
      </c>
      <c r="H4155" s="1" t="s">
        <v>37639</v>
      </c>
      <c r="I4155" s="5" t="s">
        <v>37640</v>
      </c>
      <c r="J4155" s="7" t="s">
        <v>37641</v>
      </c>
      <c r="K4155" s="7" t="s">
        <v>37642</v>
      </c>
      <c r="L4155" s="5" t="s">
        <v>37643</v>
      </c>
      <c r="M4155" s="7" t="s">
        <v>37644</v>
      </c>
      <c r="N4155" s="7" t="s">
        <v>37645</v>
      </c>
      <c r="O4155" s="7">
        <v>1.6379999999999999</v>
      </c>
      <c r="P4155" s="1" t="s">
        <v>37646</v>
      </c>
    </row>
    <row r="4156" spans="1:16" ht="82.5" x14ac:dyDescent="0.3">
      <c r="A4156" s="6" t="str">
        <f>HYPERLINK("https://www.ti.com/product/TL2575HV-15", "TL2575HV-15")</f>
        <v>TL2575HV-15</v>
      </c>
      <c r="B4156" s="5" t="s">
        <v>37647</v>
      </c>
      <c r="C4156" s="6" t="str">
        <f>HYPERLINK("https://www.ti.com/lit/gpn/TL2575HV-15", "PDF")</f>
        <v>PDF</v>
      </c>
      <c r="D4156" s="5" t="s">
        <v>37648</v>
      </c>
      <c r="E4156" s="5" t="s">
        <v>37649</v>
      </c>
      <c r="F4156" s="5" t="s">
        <v>37650</v>
      </c>
      <c r="G4156" s="5" t="s">
        <v>37651</v>
      </c>
      <c r="H4156" s="1" t="s">
        <v>37652</v>
      </c>
      <c r="I4156" s="5" t="s">
        <v>37653</v>
      </c>
      <c r="J4156" s="7" t="s">
        <v>37654</v>
      </c>
      <c r="K4156" s="7" t="s">
        <v>37655</v>
      </c>
      <c r="L4156" s="5" t="s">
        <v>37656</v>
      </c>
      <c r="M4156" s="7" t="s">
        <v>37657</v>
      </c>
      <c r="N4156" s="7" t="s">
        <v>37658</v>
      </c>
      <c r="O4156" s="7">
        <v>1.6379999999999999</v>
      </c>
      <c r="P4156" s="1" t="s">
        <v>37659</v>
      </c>
    </row>
    <row r="4157" spans="1:16" ht="82.5" x14ac:dyDescent="0.3">
      <c r="A4157" s="6" t="str">
        <f>HYPERLINK("https://www.ti.com/product/TL2575HV-ADJ", "TL2575HV-ADJ")</f>
        <v>TL2575HV-ADJ</v>
      </c>
      <c r="B4157" s="5" t="s">
        <v>37660</v>
      </c>
      <c r="C4157" s="6" t="str">
        <f>HYPERLINK("https://www.ti.com/lit/gpn/TL2575HV-ADJ", "PDF")</f>
        <v>PDF</v>
      </c>
      <c r="D4157" s="5" t="s">
        <v>37661</v>
      </c>
      <c r="E4157" s="5" t="s">
        <v>37662</v>
      </c>
      <c r="F4157" s="5" t="s">
        <v>37663</v>
      </c>
      <c r="G4157" s="5" t="s">
        <v>37664</v>
      </c>
      <c r="H4157" s="1" t="s">
        <v>37665</v>
      </c>
      <c r="I4157" s="5" t="s">
        <v>37666</v>
      </c>
      <c r="J4157" s="7" t="s">
        <v>37667</v>
      </c>
      <c r="K4157" s="7" t="s">
        <v>37668</v>
      </c>
      <c r="L4157" s="5" t="s">
        <v>37669</v>
      </c>
      <c r="M4157" s="7" t="s">
        <v>37670</v>
      </c>
      <c r="N4157" s="7" t="s">
        <v>37671</v>
      </c>
      <c r="O4157" s="7">
        <v>1.6379999999999999</v>
      </c>
      <c r="P4157" s="1" t="s">
        <v>37672</v>
      </c>
    </row>
    <row r="4158" spans="1:16" ht="33.4" x14ac:dyDescent="0.3">
      <c r="A4158" s="6" t="str">
        <f>HYPERLINK("https://www.ti.com/product/LM3676", "LM3676")</f>
        <v>LM3676</v>
      </c>
      <c r="B4158" s="5" t="s">
        <v>37673</v>
      </c>
      <c r="C4158" s="6" t="str">
        <f>HYPERLINK("https://www.ti.com/lit/gpn/LM3676", "PDF")</f>
        <v>PDF</v>
      </c>
      <c r="D4158" s="5" t="s">
        <v>37674</v>
      </c>
      <c r="E4158" s="5" t="s">
        <v>37675</v>
      </c>
      <c r="F4158" s="5" t="s">
        <v>37676</v>
      </c>
      <c r="G4158" s="5" t="s">
        <v>37677</v>
      </c>
      <c r="H4158" s="1" t="s">
        <v>37678</v>
      </c>
      <c r="I4158" s="5" t="s">
        <v>37679</v>
      </c>
      <c r="J4158" s="7">
        <v>8</v>
      </c>
      <c r="K4158" s="7">
        <v>9</v>
      </c>
      <c r="L4158" s="5" t="s">
        <v>37680</v>
      </c>
      <c r="M4158" s="7">
        <v>0.8</v>
      </c>
      <c r="N4158" s="7">
        <v>0.5</v>
      </c>
      <c r="O4158" s="7">
        <v>0.53400000000000003</v>
      </c>
      <c r="P4158" s="1" t="s">
        <v>37681</v>
      </c>
    </row>
    <row r="4159" spans="1:16" ht="82.5" x14ac:dyDescent="0.3">
      <c r="A4159" s="6" t="str">
        <f>HYPERLINK("https://www.ti.com/product/LP38853", "LP38853")</f>
        <v>LP38853</v>
      </c>
      <c r="B4159" s="5" t="s">
        <v>37682</v>
      </c>
      <c r="C4159" s="6" t="str">
        <f>HYPERLINK("https://www.ti.com/lit/gpn/LP38853", "PDF")</f>
        <v>PDF</v>
      </c>
      <c r="D4159" s="5" t="s">
        <v>37683</v>
      </c>
      <c r="E4159" s="5" t="s">
        <v>37684</v>
      </c>
      <c r="F4159" s="5"/>
      <c r="G4159" s="5" t="s">
        <v>37685</v>
      </c>
      <c r="H4159" s="1" t="s">
        <v>37686</v>
      </c>
      <c r="I4159" s="5" t="s">
        <v>37687</v>
      </c>
      <c r="J4159" s="7" t="s">
        <v>37688</v>
      </c>
      <c r="K4159" s="7" t="s">
        <v>37689</v>
      </c>
      <c r="L4159" s="5" t="s">
        <v>37690</v>
      </c>
      <c r="M4159" s="7" t="s">
        <v>37691</v>
      </c>
      <c r="N4159" s="7">
        <v>1.27</v>
      </c>
      <c r="O4159" s="7">
        <v>2.0870000000000002</v>
      </c>
      <c r="P4159" s="1" t="s">
        <v>37692</v>
      </c>
    </row>
    <row r="4160" spans="1:16" ht="33.4" x14ac:dyDescent="0.3">
      <c r="A4160" s="6" t="str">
        <f>HYPERLINK("https://www.ti.com/product/LM3151", "LM3151")</f>
        <v>LM3151</v>
      </c>
      <c r="B4160" s="5" t="s">
        <v>37693</v>
      </c>
      <c r="C4160" s="6" t="str">
        <f>HYPERLINK("https://www.ti.com/lit/gpn/LM3151", "PDF")</f>
        <v>PDF</v>
      </c>
      <c r="D4160" s="5" t="s">
        <v>37694</v>
      </c>
      <c r="E4160" s="5" t="s">
        <v>37695</v>
      </c>
      <c r="F4160" s="5" t="s">
        <v>37696</v>
      </c>
      <c r="G4160" s="5" t="s">
        <v>37697</v>
      </c>
      <c r="H4160" s="1" t="s">
        <v>37698</v>
      </c>
      <c r="I4160" s="5" t="s">
        <v>37699</v>
      </c>
      <c r="J4160" s="7">
        <v>14</v>
      </c>
      <c r="K4160" s="7">
        <v>32</v>
      </c>
      <c r="L4160" s="5" t="s">
        <v>37700</v>
      </c>
      <c r="M4160" s="7">
        <v>1.2</v>
      </c>
      <c r="N4160" s="7">
        <v>0.65</v>
      </c>
      <c r="O4160" s="7">
        <v>1.5029999999999999</v>
      </c>
      <c r="P4160" s="1" t="s">
        <v>37701</v>
      </c>
    </row>
    <row r="4161" spans="1:16" ht="33.4" x14ac:dyDescent="0.3">
      <c r="A4161" s="6" t="str">
        <f>HYPERLINK("https://www.ti.com/product/LM3152", "LM3152")</f>
        <v>LM3152</v>
      </c>
      <c r="B4161" s="5" t="s">
        <v>37702</v>
      </c>
      <c r="C4161" s="6" t="str">
        <f>HYPERLINK("https://www.ti.com/lit/gpn/LM3152", "PDF")</f>
        <v>PDF</v>
      </c>
      <c r="D4161" s="5" t="s">
        <v>37703</v>
      </c>
      <c r="E4161" s="5" t="s">
        <v>37704</v>
      </c>
      <c r="F4161" s="5" t="s">
        <v>37705</v>
      </c>
      <c r="G4161" s="5" t="s">
        <v>37706</v>
      </c>
      <c r="H4161" s="1" t="s">
        <v>37707</v>
      </c>
      <c r="I4161" s="5" t="s">
        <v>37708</v>
      </c>
      <c r="J4161" s="7">
        <v>14</v>
      </c>
      <c r="K4161" s="7">
        <v>32</v>
      </c>
      <c r="L4161" s="5" t="s">
        <v>37709</v>
      </c>
      <c r="M4161" s="7">
        <v>1.2</v>
      </c>
      <c r="N4161" s="7">
        <v>0.65</v>
      </c>
      <c r="O4161" s="7">
        <v>1.5029999999999999</v>
      </c>
      <c r="P4161" s="1" t="s">
        <v>37710</v>
      </c>
    </row>
    <row r="4162" spans="1:16" ht="33.4" x14ac:dyDescent="0.3">
      <c r="A4162" s="6" t="str">
        <f>HYPERLINK("https://www.ti.com/product/LM4128", "LM4128")</f>
        <v>LM4128</v>
      </c>
      <c r="B4162" s="5" t="s">
        <v>37711</v>
      </c>
      <c r="C4162" s="6" t="str">
        <f>HYPERLINK("https://www.ti.com/lit/gpn/LM4128", "PDF")</f>
        <v>PDF</v>
      </c>
      <c r="D4162" s="5" t="s">
        <v>37712</v>
      </c>
      <c r="E4162" s="5" t="s">
        <v>37713</v>
      </c>
      <c r="F4162" s="5"/>
      <c r="G4162" s="5" t="s">
        <v>37714</v>
      </c>
      <c r="H4162" s="1" t="s">
        <v>37715</v>
      </c>
      <c r="I4162" s="5" t="s">
        <v>37716</v>
      </c>
      <c r="J4162" s="7">
        <v>5</v>
      </c>
      <c r="K4162" s="7">
        <v>8.1199999999999992</v>
      </c>
      <c r="L4162" s="5" t="s">
        <v>37717</v>
      </c>
      <c r="M4162" s="7">
        <v>1.45</v>
      </c>
      <c r="N4162" s="7">
        <v>0.95</v>
      </c>
      <c r="O4162" s="7">
        <v>0.75</v>
      </c>
      <c r="P4162" s="1" t="s">
        <v>37718</v>
      </c>
    </row>
    <row r="4163" spans="1:16" ht="82.5" x14ac:dyDescent="0.3">
      <c r="A4163" s="6" t="str">
        <f>HYPERLINK("https://www.ti.com/product/PTH08T241W", "PTH08T241W")</f>
        <v>PTH08T241W</v>
      </c>
      <c r="B4163" s="5" t="s">
        <v>37719</v>
      </c>
      <c r="C4163" s="6" t="str">
        <f>HYPERLINK("https://www.ti.com/lit/gpn/PTH08T241W", "PDF")</f>
        <v>PDF</v>
      </c>
      <c r="D4163" s="5" t="s">
        <v>37720</v>
      </c>
      <c r="E4163" s="5" t="s">
        <v>37721</v>
      </c>
      <c r="F4163" s="5" t="s">
        <v>37722</v>
      </c>
      <c r="G4163" s="5" t="s">
        <v>37723</v>
      </c>
      <c r="H4163" s="1" t="s">
        <v>37724</v>
      </c>
      <c r="I4163" s="5" t="s">
        <v>37725</v>
      </c>
      <c r="J4163" s="7">
        <v>11</v>
      </c>
      <c r="K4163" s="7" t="s">
        <v>37726</v>
      </c>
      <c r="L4163" s="5" t="s">
        <v>37727</v>
      </c>
      <c r="M4163" s="7" t="s">
        <v>37728</v>
      </c>
      <c r="N4163" s="7" t="s">
        <v>37729</v>
      </c>
      <c r="O4163" s="7">
        <v>15.275</v>
      </c>
      <c r="P4163" s="1" t="s">
        <v>37730</v>
      </c>
    </row>
    <row r="4164" spans="1:16" ht="33.4" x14ac:dyDescent="0.3">
      <c r="A4164" s="6" t="str">
        <f>HYPERLINK("https://www.ti.com/product/LM2772", "LM2772")</f>
        <v>LM2772</v>
      </c>
      <c r="B4164" s="5" t="s">
        <v>37731</v>
      </c>
      <c r="C4164" s="6" t="str">
        <f>HYPERLINK("https://www.ti.com/lit/gpn/LM2772", "PDF")</f>
        <v>PDF</v>
      </c>
      <c r="D4164" s="5" t="s">
        <v>37732</v>
      </c>
      <c r="E4164" s="5" t="s">
        <v>37733</v>
      </c>
      <c r="F4164" s="5"/>
      <c r="G4164" s="5" t="s">
        <v>37734</v>
      </c>
      <c r="H4164" s="1" t="s">
        <v>37735</v>
      </c>
      <c r="I4164" s="5" t="s">
        <v>37736</v>
      </c>
      <c r="J4164" s="7">
        <v>10</v>
      </c>
      <c r="K4164" s="7">
        <v>9</v>
      </c>
      <c r="L4164" s="5" t="s">
        <v>37737</v>
      </c>
      <c r="M4164" s="7">
        <v>0.8</v>
      </c>
      <c r="N4164" s="7">
        <v>0.5</v>
      </c>
      <c r="O4164" s="7">
        <v>0.31900000000000001</v>
      </c>
      <c r="P4164" s="1" t="s">
        <v>37738</v>
      </c>
    </row>
    <row r="4165" spans="1:16" ht="33.4" x14ac:dyDescent="0.3">
      <c r="A4165" s="6" t="str">
        <f>HYPERLINK("https://www.ti.com/product/XTR111", "XTR111")</f>
        <v>XTR111</v>
      </c>
      <c r="B4165" s="5" t="s">
        <v>37739</v>
      </c>
      <c r="C4165" s="6" t="str">
        <f>HYPERLINK("https://www.ti.com/lit/gpn/XTR111", "PDF")</f>
        <v>PDF</v>
      </c>
      <c r="D4165" s="5" t="s">
        <v>37740</v>
      </c>
      <c r="E4165" s="5" t="s">
        <v>37741</v>
      </c>
      <c r="F4165" s="5"/>
      <c r="G4165" s="5" t="s">
        <v>37742</v>
      </c>
      <c r="H4165" s="1" t="s">
        <v>37743</v>
      </c>
      <c r="I4165" s="5" t="s">
        <v>37744</v>
      </c>
      <c r="J4165" s="7">
        <v>10</v>
      </c>
      <c r="K4165" s="7" t="s">
        <v>37745</v>
      </c>
      <c r="L4165" s="5" t="s">
        <v>37746</v>
      </c>
      <c r="M4165" s="7" t="s">
        <v>37747</v>
      </c>
      <c r="N4165" s="7">
        <v>0.5</v>
      </c>
      <c r="O4165" s="7">
        <v>0.72299999999999998</v>
      </c>
      <c r="P4165" s="1" t="s">
        <v>37748</v>
      </c>
    </row>
    <row r="4166" spans="1:16" ht="33.4" x14ac:dyDescent="0.3">
      <c r="A4166" s="6" t="str">
        <f>HYPERLINK("https://www.ti.com/product/TPS65023", "TPS65023")</f>
        <v>TPS65023</v>
      </c>
      <c r="B4166" s="5" t="s">
        <v>37749</v>
      </c>
      <c r="C4166" s="6" t="str">
        <f>HYPERLINK("https://www.ti.com/lit/gpn/TPS65023", "PDF")</f>
        <v>PDF</v>
      </c>
      <c r="D4166" s="5" t="s">
        <v>37750</v>
      </c>
      <c r="E4166" s="5" t="s">
        <v>37751</v>
      </c>
      <c r="F4166" s="5"/>
      <c r="G4166" s="5" t="s">
        <v>37752</v>
      </c>
      <c r="H4166" s="1" t="s">
        <v>37753</v>
      </c>
      <c r="I4166" s="5" t="s">
        <v>37754</v>
      </c>
      <c r="J4166" s="7">
        <v>40</v>
      </c>
      <c r="K4166" s="7">
        <v>25</v>
      </c>
      <c r="L4166" s="5" t="s">
        <v>37755</v>
      </c>
      <c r="M4166" s="7">
        <v>0.8</v>
      </c>
      <c r="N4166" s="7">
        <v>0.4</v>
      </c>
      <c r="O4166" s="7">
        <v>1.712</v>
      </c>
      <c r="P4166" s="1" t="s">
        <v>37756</v>
      </c>
    </row>
    <row r="4167" spans="1:16" ht="17.05" x14ac:dyDescent="0.3">
      <c r="A4167" s="6" t="str">
        <f>HYPERLINK("https://www.ti.com/product/LM4030", "LM4030")</f>
        <v>LM4030</v>
      </c>
      <c r="B4167" s="5" t="s">
        <v>37757</v>
      </c>
      <c r="C4167" s="6" t="str">
        <f>HYPERLINK("https://www.ti.com/lit/gpn/LM4030", "PDF")</f>
        <v>PDF</v>
      </c>
      <c r="D4167" s="5" t="s">
        <v>37758</v>
      </c>
      <c r="E4167" s="5" t="s">
        <v>37759</v>
      </c>
      <c r="F4167" s="5"/>
      <c r="G4167" s="5" t="s">
        <v>37760</v>
      </c>
      <c r="H4167" s="1" t="s">
        <v>37761</v>
      </c>
      <c r="I4167" s="5" t="s">
        <v>37762</v>
      </c>
      <c r="J4167" s="7">
        <v>5</v>
      </c>
      <c r="K4167" s="7">
        <v>8.1199999999999992</v>
      </c>
      <c r="L4167" s="5" t="s">
        <v>37763</v>
      </c>
      <c r="M4167" s="7">
        <v>1.45</v>
      </c>
      <c r="N4167" s="7">
        <v>0.95</v>
      </c>
      <c r="O4167" s="7">
        <v>0.46300000000000002</v>
      </c>
      <c r="P4167" s="1" t="s">
        <v>37764</v>
      </c>
    </row>
    <row r="4168" spans="1:16" ht="33.4" x14ac:dyDescent="0.3">
      <c r="A4168" s="6" t="str">
        <f>HYPERLINK("https://www.ti.com/product/LM2758", "LM2758")</f>
        <v>LM2758</v>
      </c>
      <c r="B4168" s="5" t="s">
        <v>37765</v>
      </c>
      <c r="C4168" s="6" t="str">
        <f>HYPERLINK("https://www.ti.com/lit/gpn/LM2758", "PDF")</f>
        <v>PDF</v>
      </c>
      <c r="D4168" s="5" t="s">
        <v>37766</v>
      </c>
      <c r="E4168" s="5" t="s">
        <v>37767</v>
      </c>
      <c r="F4168" s="5" t="s">
        <v>37768</v>
      </c>
      <c r="G4168" s="5" t="s">
        <v>37769</v>
      </c>
      <c r="H4168" s="1" t="s">
        <v>37770</v>
      </c>
      <c r="I4168" s="5" t="s">
        <v>37771</v>
      </c>
      <c r="J4168" s="7">
        <v>12</v>
      </c>
      <c r="K4168" s="7">
        <v>3.9375</v>
      </c>
      <c r="L4168" s="5" t="s">
        <v>37772</v>
      </c>
      <c r="M4168" s="7">
        <v>0.67500000000000004</v>
      </c>
      <c r="N4168" s="7">
        <v>0.5</v>
      </c>
      <c r="O4168" s="7">
        <v>0.55700000000000005</v>
      </c>
      <c r="P4168" s="1" t="s">
        <v>37773</v>
      </c>
    </row>
    <row r="4169" spans="1:16" ht="33.4" x14ac:dyDescent="0.3">
      <c r="A4169" s="6" t="str">
        <f>HYPERLINK("https://www.ti.com/product/LM34914", "LM34914")</f>
        <v>LM34914</v>
      </c>
      <c r="B4169" s="5" t="s">
        <v>37774</v>
      </c>
      <c r="C4169" s="6" t="str">
        <f>HYPERLINK("https://www.ti.com/lit/gpn/LM34914", "PDF")</f>
        <v>PDF</v>
      </c>
      <c r="D4169" s="5" t="s">
        <v>37775</v>
      </c>
      <c r="E4169" s="5" t="s">
        <v>37776</v>
      </c>
      <c r="F4169" s="5" t="s">
        <v>37777</v>
      </c>
      <c r="G4169" s="5" t="s">
        <v>37778</v>
      </c>
      <c r="H4169" s="1" t="s">
        <v>37779</v>
      </c>
      <c r="I4169" s="5" t="s">
        <v>37780</v>
      </c>
      <c r="J4169" s="7">
        <v>10</v>
      </c>
      <c r="K4169" s="7">
        <v>9</v>
      </c>
      <c r="L4169" s="5" t="s">
        <v>37781</v>
      </c>
      <c r="M4169" s="7">
        <v>0.8</v>
      </c>
      <c r="N4169" s="7">
        <v>0.5</v>
      </c>
      <c r="O4169" s="7">
        <v>1.3720000000000001</v>
      </c>
      <c r="P4169" s="1" t="s">
        <v>37782</v>
      </c>
    </row>
    <row r="4170" spans="1:16" ht="33.4" x14ac:dyDescent="0.3">
      <c r="A4170" s="6" t="str">
        <f>HYPERLINK("https://www.ti.com/product/LM2853", "LM2853")</f>
        <v>LM2853</v>
      </c>
      <c r="B4170" s="5" t="s">
        <v>37783</v>
      </c>
      <c r="C4170" s="6" t="str">
        <f>HYPERLINK("https://www.ti.com/lit/gpn/LM2853", "PDF")</f>
        <v>PDF</v>
      </c>
      <c r="D4170" s="5" t="s">
        <v>37784</v>
      </c>
      <c r="E4170" s="5" t="s">
        <v>37785</v>
      </c>
      <c r="F4170" s="5" t="s">
        <v>37786</v>
      </c>
      <c r="G4170" s="5" t="s">
        <v>37787</v>
      </c>
      <c r="H4170" s="1" t="s">
        <v>37788</v>
      </c>
      <c r="I4170" s="5" t="s">
        <v>37789</v>
      </c>
      <c r="J4170" s="7">
        <v>14</v>
      </c>
      <c r="K4170" s="7">
        <v>32</v>
      </c>
      <c r="L4170" s="5" t="s">
        <v>37790</v>
      </c>
      <c r="M4170" s="7">
        <v>1.2</v>
      </c>
      <c r="N4170" s="7">
        <v>0.65</v>
      </c>
      <c r="O4170" s="7">
        <v>2.048</v>
      </c>
      <c r="P4170" s="1" t="s">
        <v>37791</v>
      </c>
    </row>
    <row r="4171" spans="1:16" ht="82.5" x14ac:dyDescent="0.3">
      <c r="A4171" s="6" t="str">
        <f>HYPERLINK("https://www.ti.com/product/TPS75103", "TPS75103")</f>
        <v>TPS75103</v>
      </c>
      <c r="B4171" s="5" t="s">
        <v>37792</v>
      </c>
      <c r="C4171" s="6" t="str">
        <f>HYPERLINK("https://www.ti.com/lit/gpn/TPS75103", "PDF")</f>
        <v>PDF</v>
      </c>
      <c r="D4171" s="5" t="s">
        <v>37793</v>
      </c>
      <c r="E4171" s="5" t="s">
        <v>37794</v>
      </c>
      <c r="F4171" s="5" t="s">
        <v>37795</v>
      </c>
      <c r="G4171" s="5" t="s">
        <v>37796</v>
      </c>
      <c r="H4171" s="1" t="s">
        <v>37797</v>
      </c>
      <c r="I4171" s="5" t="s">
        <v>37798</v>
      </c>
      <c r="J4171" s="7">
        <v>9</v>
      </c>
      <c r="K4171" s="7">
        <v>1.9600000000000002</v>
      </c>
      <c r="L4171" s="5" t="s">
        <v>37799</v>
      </c>
      <c r="M4171" s="7">
        <v>0.625</v>
      </c>
      <c r="N4171" s="7">
        <v>0.4</v>
      </c>
      <c r="O4171" s="7">
        <v>0.55700000000000005</v>
      </c>
      <c r="P4171" s="1" t="s">
        <v>37800</v>
      </c>
    </row>
    <row r="4172" spans="1:16" ht="49.75" x14ac:dyDescent="0.3">
      <c r="A4172" s="6" t="str">
        <f>HYPERLINK("https://www.ti.com/product/LP38855", "LP38855")</f>
        <v>LP38855</v>
      </c>
      <c r="B4172" s="5" t="s">
        <v>37801</v>
      </c>
      <c r="C4172" s="6" t="str">
        <f>HYPERLINK("https://www.ti.com/lit/gpn/LP38855", "PDF")</f>
        <v>PDF</v>
      </c>
      <c r="D4172" s="5" t="s">
        <v>37802</v>
      </c>
      <c r="E4172" s="5" t="s">
        <v>37803</v>
      </c>
      <c r="F4172" s="5"/>
      <c r="G4172" s="5" t="s">
        <v>37804</v>
      </c>
      <c r="H4172" s="1" t="s">
        <v>37805</v>
      </c>
      <c r="I4172" s="5" t="s">
        <v>37806</v>
      </c>
      <c r="J4172" s="7">
        <v>5</v>
      </c>
      <c r="K4172" s="7" t="s">
        <v>37807</v>
      </c>
      <c r="L4172" s="5" t="s">
        <v>37808</v>
      </c>
      <c r="M4172" s="7" t="s">
        <v>37809</v>
      </c>
      <c r="N4172" s="7">
        <v>1.7</v>
      </c>
      <c r="O4172" s="7">
        <v>1.278</v>
      </c>
      <c r="P4172" s="1" t="s">
        <v>37810</v>
      </c>
    </row>
    <row r="4173" spans="1:16" ht="49.75" x14ac:dyDescent="0.3">
      <c r="A4173" s="6" t="str">
        <f>HYPERLINK("https://www.ti.com/product/LP38858", "LP38858")</f>
        <v>LP38858</v>
      </c>
      <c r="B4173" s="5" t="s">
        <v>37811</v>
      </c>
      <c r="C4173" s="6" t="str">
        <f>HYPERLINK("https://www.ti.com/lit/gpn/LP38858", "PDF")</f>
        <v>PDF</v>
      </c>
      <c r="D4173" s="5" t="s">
        <v>37812</v>
      </c>
      <c r="E4173" s="5" t="s">
        <v>37813</v>
      </c>
      <c r="F4173" s="5"/>
      <c r="G4173" s="5" t="s">
        <v>37814</v>
      </c>
      <c r="H4173" s="1" t="s">
        <v>37815</v>
      </c>
      <c r="I4173" s="5" t="s">
        <v>37816</v>
      </c>
      <c r="J4173" s="7">
        <v>5</v>
      </c>
      <c r="K4173" s="7" t="s">
        <v>37817</v>
      </c>
      <c r="L4173" s="5" t="s">
        <v>37818</v>
      </c>
      <c r="M4173" s="7" t="s">
        <v>37819</v>
      </c>
      <c r="N4173" s="7">
        <v>1.7</v>
      </c>
      <c r="O4173" s="7">
        <v>1.278</v>
      </c>
      <c r="P4173" s="1" t="s">
        <v>37820</v>
      </c>
    </row>
    <row r="4174" spans="1:16" ht="49.75" x14ac:dyDescent="0.3">
      <c r="A4174" s="6" t="str">
        <f>HYPERLINK("https://www.ti.com/product/TPS3106-EP", "TPS3106-EP")</f>
        <v>TPS3106-EP</v>
      </c>
      <c r="B4174" s="5" t="s">
        <v>37821</v>
      </c>
      <c r="C4174" s="6" t="str">
        <f>HYPERLINK("https://www.ti.com/lit/gpn/TPS3106-EP", "PDF")</f>
        <v>PDF</v>
      </c>
      <c r="D4174" s="5" t="s">
        <v>37822</v>
      </c>
      <c r="E4174" s="5" t="s">
        <v>37823</v>
      </c>
      <c r="F4174" s="5"/>
      <c r="G4174" s="5" t="s">
        <v>37824</v>
      </c>
      <c r="H4174" s="1" t="s">
        <v>37825</v>
      </c>
      <c r="I4174" s="5" t="s">
        <v>37826</v>
      </c>
      <c r="J4174" s="7">
        <v>6</v>
      </c>
      <c r="K4174" s="7">
        <v>8.1199999999999992</v>
      </c>
      <c r="L4174" s="5" t="s">
        <v>37827</v>
      </c>
      <c r="M4174" s="7">
        <v>1.45</v>
      </c>
      <c r="N4174" s="7">
        <v>0.95</v>
      </c>
      <c r="O4174" s="7">
        <v>2.9580000000000002</v>
      </c>
      <c r="P4174" s="1" t="s">
        <v>37828</v>
      </c>
    </row>
    <row r="4175" spans="1:16" ht="33.4" x14ac:dyDescent="0.3">
      <c r="A4175" s="6" t="str">
        <f>HYPERLINK("https://www.ti.com/product/TPS2049", "TPS2049")</f>
        <v>TPS2049</v>
      </c>
      <c r="B4175" s="5" t="s">
        <v>37829</v>
      </c>
      <c r="C4175" s="6" t="str">
        <f>HYPERLINK("https://www.ti.com/lit/gpn/TPS2049", "PDF")</f>
        <v>PDF</v>
      </c>
      <c r="D4175" s="5" t="s">
        <v>37830</v>
      </c>
      <c r="E4175" s="5" t="s">
        <v>37831</v>
      </c>
      <c r="F4175" s="5"/>
      <c r="G4175" s="5" t="s">
        <v>37832</v>
      </c>
      <c r="H4175" s="1" t="s">
        <v>37833</v>
      </c>
      <c r="I4175" s="5" t="s">
        <v>37834</v>
      </c>
      <c r="J4175" s="7">
        <v>8</v>
      </c>
      <c r="K4175" s="7">
        <v>29.4</v>
      </c>
      <c r="L4175" s="5" t="s">
        <v>37835</v>
      </c>
      <c r="M4175" s="7">
        <v>1.75</v>
      </c>
      <c r="N4175" s="7">
        <v>1.27</v>
      </c>
      <c r="O4175" s="7">
        <v>0.32800000000000001</v>
      </c>
      <c r="P4175" s="1" t="s">
        <v>37836</v>
      </c>
    </row>
    <row r="4176" spans="1:16" ht="17.05" x14ac:dyDescent="0.3">
      <c r="A4176" s="6" t="str">
        <f>HYPERLINK("https://www.ti.com/product/TPS61150A", "TPS61150A")</f>
        <v>TPS61150A</v>
      </c>
      <c r="B4176" s="5" t="s">
        <v>37837</v>
      </c>
      <c r="C4176" s="6" t="str">
        <f>HYPERLINK("https://www.ti.com/lit/gpn/TPS61150A", "PDF")</f>
        <v>PDF</v>
      </c>
      <c r="D4176" s="5" t="s">
        <v>37838</v>
      </c>
      <c r="E4176" s="5" t="s">
        <v>37839</v>
      </c>
      <c r="F4176" s="5" t="s">
        <v>37840</v>
      </c>
      <c r="G4176" s="5" t="s">
        <v>37841</v>
      </c>
      <c r="H4176" s="1" t="s">
        <v>37842</v>
      </c>
      <c r="I4176" s="5" t="s">
        <v>37843</v>
      </c>
      <c r="J4176" s="7">
        <v>10</v>
      </c>
      <c r="K4176" s="7">
        <v>9</v>
      </c>
      <c r="L4176" s="5" t="s">
        <v>37844</v>
      </c>
      <c r="M4176" s="7">
        <v>1</v>
      </c>
      <c r="N4176" s="7">
        <v>0.5</v>
      </c>
      <c r="O4176" s="7">
        <v>0.95699999999999996</v>
      </c>
      <c r="P4176" s="1" t="s">
        <v>37845</v>
      </c>
    </row>
    <row r="4177" spans="1:16" ht="33.4" x14ac:dyDescent="0.3">
      <c r="A4177" s="6" t="str">
        <f>HYPERLINK("https://www.ti.com/product/PTH04T240W", "PTH04T240W")</f>
        <v>PTH04T240W</v>
      </c>
      <c r="B4177" s="5" t="s">
        <v>37846</v>
      </c>
      <c r="C4177" s="6" t="str">
        <f>HYPERLINK("https://www.ti.com/lit/gpn/PTH04T240W", "PDF")</f>
        <v>PDF</v>
      </c>
      <c r="D4177" s="5" t="s">
        <v>37847</v>
      </c>
      <c r="E4177" s="5" t="s">
        <v>37848</v>
      </c>
      <c r="F4177" s="5" t="s">
        <v>37849</v>
      </c>
      <c r="G4177" s="5" t="s">
        <v>37850</v>
      </c>
      <c r="H4177" s="1" t="s">
        <v>37851</v>
      </c>
      <c r="I4177" s="5" t="s">
        <v>37852</v>
      </c>
      <c r="J4177" s="7">
        <v>11</v>
      </c>
      <c r="K4177" s="7">
        <v>387.3236</v>
      </c>
      <c r="L4177" s="5" t="s">
        <v>37853</v>
      </c>
      <c r="M4177" s="7">
        <v>8.33</v>
      </c>
      <c r="N4177" s="7">
        <v>2.54</v>
      </c>
      <c r="O4177" s="7">
        <v>12.397</v>
      </c>
      <c r="P4177" s="1" t="s">
        <v>37854</v>
      </c>
    </row>
    <row r="4178" spans="1:16" ht="33.4" x14ac:dyDescent="0.3">
      <c r="A4178" s="6" t="str">
        <f>HYPERLINK("https://www.ti.com/product/PTH04T261W", "PTH04T261W")</f>
        <v>PTH04T261W</v>
      </c>
      <c r="B4178" s="5" t="s">
        <v>37855</v>
      </c>
      <c r="C4178" s="6" t="str">
        <f>HYPERLINK("https://www.ti.com/lit/gpn/PTH04T261W", "PDF")</f>
        <v>PDF</v>
      </c>
      <c r="D4178" s="5" t="s">
        <v>37856</v>
      </c>
      <c r="E4178" s="5" t="s">
        <v>37857</v>
      </c>
      <c r="F4178" s="5" t="s">
        <v>37858</v>
      </c>
      <c r="G4178" s="5" t="s">
        <v>37859</v>
      </c>
      <c r="H4178" s="1" t="s">
        <v>37860</v>
      </c>
      <c r="I4178" s="5" t="s">
        <v>37861</v>
      </c>
      <c r="J4178" s="7">
        <v>10</v>
      </c>
      <c r="K4178" s="7">
        <v>334.19439999999997</v>
      </c>
      <c r="L4178" s="5" t="s">
        <v>37862</v>
      </c>
      <c r="M4178" s="7">
        <v>8</v>
      </c>
      <c r="N4178" s="7">
        <v>2.54</v>
      </c>
      <c r="O4178" s="7">
        <v>8.766</v>
      </c>
      <c r="P4178" s="1" t="s">
        <v>37863</v>
      </c>
    </row>
    <row r="4179" spans="1:16" ht="17.05" x14ac:dyDescent="0.3">
      <c r="A4179" s="6" t="str">
        <f>HYPERLINK("https://www.ti.com/product/TPS2376-H", "TPS2376-H")</f>
        <v>TPS2376-H</v>
      </c>
      <c r="B4179" s="5" t="s">
        <v>37864</v>
      </c>
      <c r="C4179" s="6" t="str">
        <f>HYPERLINK("https://www.ti.com/lit/gpn/TPS2376-H", "PDF")</f>
        <v>PDF</v>
      </c>
      <c r="D4179" s="5" t="s">
        <v>37865</v>
      </c>
      <c r="E4179" s="5" t="s">
        <v>37866</v>
      </c>
      <c r="F4179" s="5"/>
      <c r="G4179" s="5" t="s">
        <v>37867</v>
      </c>
      <c r="H4179" s="1" t="s">
        <v>37868</v>
      </c>
      <c r="I4179" s="5" t="s">
        <v>37869</v>
      </c>
      <c r="J4179" s="7">
        <v>8</v>
      </c>
      <c r="K4179" s="7">
        <v>29.4</v>
      </c>
      <c r="L4179" s="5" t="s">
        <v>37870</v>
      </c>
      <c r="M4179" s="7">
        <v>1.7</v>
      </c>
      <c r="N4179" s="7">
        <v>1.27</v>
      </c>
      <c r="O4179" s="7">
        <v>1.113</v>
      </c>
      <c r="P4179" s="1" t="s">
        <v>37871</v>
      </c>
    </row>
    <row r="4180" spans="1:16" ht="98.85" x14ac:dyDescent="0.3">
      <c r="A4180" s="6" t="str">
        <f>HYPERLINK("https://www.ti.com/product/TPS75105", "TPS75105")</f>
        <v>TPS75105</v>
      </c>
      <c r="B4180" s="5" t="s">
        <v>37872</v>
      </c>
      <c r="C4180" s="6" t="str">
        <f>HYPERLINK("https://www.ti.com/lit/gpn/TPS75105", "PDF")</f>
        <v>PDF</v>
      </c>
      <c r="D4180" s="5" t="s">
        <v>37873</v>
      </c>
      <c r="E4180" s="5" t="s">
        <v>37874</v>
      </c>
      <c r="F4180" s="5" t="s">
        <v>37875</v>
      </c>
      <c r="G4180" s="5" t="s">
        <v>37876</v>
      </c>
      <c r="H4180" s="1" t="s">
        <v>37877</v>
      </c>
      <c r="I4180" s="5" t="s">
        <v>37878</v>
      </c>
      <c r="J4180" s="7" t="s">
        <v>37879</v>
      </c>
      <c r="K4180" s="7" t="s">
        <v>37880</v>
      </c>
      <c r="L4180" s="5" t="s">
        <v>37881</v>
      </c>
      <c r="M4180" s="7" t="s">
        <v>37882</v>
      </c>
      <c r="N4180" s="7" t="s">
        <v>37883</v>
      </c>
      <c r="O4180" s="7">
        <v>0.55700000000000005</v>
      </c>
      <c r="P4180" s="1" t="s">
        <v>37884</v>
      </c>
    </row>
    <row r="4181" spans="1:16" ht="33.4" x14ac:dyDescent="0.3">
      <c r="A4181" s="6" t="str">
        <f>HYPERLINK("https://www.ti.com/product/TLC5924", "TLC5924")</f>
        <v>TLC5924</v>
      </c>
      <c r="B4181" s="5" t="s">
        <v>37885</v>
      </c>
      <c r="C4181" s="6" t="str">
        <f>HYPERLINK("https://www.ti.com/lit/gpn/TLC5924", "PDF")</f>
        <v>PDF</v>
      </c>
      <c r="D4181" s="5" t="s">
        <v>37886</v>
      </c>
      <c r="E4181" s="5" t="s">
        <v>37887</v>
      </c>
      <c r="F4181" s="5"/>
      <c r="G4181" s="5" t="s">
        <v>37888</v>
      </c>
      <c r="H4181" s="1" t="s">
        <v>37889</v>
      </c>
      <c r="I4181" s="5" t="s">
        <v>37890</v>
      </c>
      <c r="J4181" s="7">
        <v>32</v>
      </c>
      <c r="K4181" s="7" t="s">
        <v>37891</v>
      </c>
      <c r="L4181" s="5" t="s">
        <v>37892</v>
      </c>
      <c r="M4181" s="7" t="s">
        <v>37893</v>
      </c>
      <c r="N4181" s="7" t="s">
        <v>37894</v>
      </c>
      <c r="O4181" s="7">
        <v>1.5189999999999999</v>
      </c>
      <c r="P4181" s="1" t="s">
        <v>37895</v>
      </c>
    </row>
    <row r="4182" spans="1:16" ht="33.4" x14ac:dyDescent="0.3">
      <c r="A4182" s="6" t="str">
        <f>HYPERLINK("https://www.ti.com/product/TPS5410", "TPS5410")</f>
        <v>TPS5410</v>
      </c>
      <c r="B4182" s="5" t="s">
        <v>37896</v>
      </c>
      <c r="C4182" s="6" t="str">
        <f>HYPERLINK("https://www.ti.com/lit/gpn/TPS5410", "PDF")</f>
        <v>PDF</v>
      </c>
      <c r="D4182" s="5" t="s">
        <v>37897</v>
      </c>
      <c r="E4182" s="5" t="s">
        <v>37898</v>
      </c>
      <c r="F4182" s="5" t="s">
        <v>37899</v>
      </c>
      <c r="G4182" s="5" t="s">
        <v>37900</v>
      </c>
      <c r="H4182" s="1" t="s">
        <v>37901</v>
      </c>
      <c r="I4182" s="5" t="s">
        <v>37902</v>
      </c>
      <c r="J4182" s="7">
        <v>8</v>
      </c>
      <c r="K4182" s="7">
        <v>29.4</v>
      </c>
      <c r="L4182" s="5" t="s">
        <v>37903</v>
      </c>
      <c r="M4182" s="7">
        <v>1.75</v>
      </c>
      <c r="N4182" s="7">
        <v>1.27</v>
      </c>
      <c r="O4182" s="7">
        <v>1.327</v>
      </c>
      <c r="P4182" s="1" t="s">
        <v>37904</v>
      </c>
    </row>
    <row r="4183" spans="1:16" ht="49.75" x14ac:dyDescent="0.3">
      <c r="A4183" s="6" t="str">
        <f>HYPERLINK("https://www.ti.com/product/LM3677", "LM3677")</f>
        <v>LM3677</v>
      </c>
      <c r="B4183" s="5" t="s">
        <v>37905</v>
      </c>
      <c r="C4183" s="6" t="str">
        <f>HYPERLINK("https://www.ti.com/lit/gpn/LM3677", "PDF")</f>
        <v>PDF</v>
      </c>
      <c r="D4183" s="5" t="s">
        <v>37906</v>
      </c>
      <c r="E4183" s="5" t="s">
        <v>37907</v>
      </c>
      <c r="F4183" s="5" t="s">
        <v>37908</v>
      </c>
      <c r="G4183" s="5" t="s">
        <v>37909</v>
      </c>
      <c r="H4183" s="1" t="s">
        <v>37910</v>
      </c>
      <c r="I4183" s="5" t="s">
        <v>37911</v>
      </c>
      <c r="J4183" s="7" t="s">
        <v>37912</v>
      </c>
      <c r="K4183" s="7" t="s">
        <v>37913</v>
      </c>
      <c r="L4183" s="5" t="s">
        <v>37914</v>
      </c>
      <c r="M4183" s="7" t="s">
        <v>37915</v>
      </c>
      <c r="N4183" s="7">
        <v>0.5</v>
      </c>
      <c r="O4183" s="7">
        <v>0.61499999999999999</v>
      </c>
      <c r="P4183" s="1" t="s">
        <v>37916</v>
      </c>
    </row>
    <row r="4184" spans="1:16" ht="33.4" x14ac:dyDescent="0.3">
      <c r="A4184" s="6" t="str">
        <f>HYPERLINK("https://www.ti.com/product/LP2951", "LP2951")</f>
        <v>LP2951</v>
      </c>
      <c r="B4184" s="5" t="s">
        <v>37917</v>
      </c>
      <c r="C4184" s="6" t="str">
        <f>HYPERLINK("https://www.ti.com/lit/gpn/LP2951", "PDF")</f>
        <v>PDF</v>
      </c>
      <c r="D4184" s="5" t="s">
        <v>37918</v>
      </c>
      <c r="E4184" s="5" t="s">
        <v>37919</v>
      </c>
      <c r="F4184" s="5"/>
      <c r="G4184" s="5" t="s">
        <v>37920</v>
      </c>
      <c r="H4184" s="1" t="s">
        <v>37921</v>
      </c>
      <c r="I4184" s="5" t="s">
        <v>37922</v>
      </c>
      <c r="J4184" s="7">
        <v>8</v>
      </c>
      <c r="K4184" s="7" t="s">
        <v>37923</v>
      </c>
      <c r="L4184" s="5" t="s">
        <v>37924</v>
      </c>
      <c r="M4184" s="7" t="s">
        <v>37925</v>
      </c>
      <c r="N4184" s="7" t="s">
        <v>37926</v>
      </c>
      <c r="O4184" s="7">
        <v>0.24199999999999999</v>
      </c>
      <c r="P4184" s="1" t="s">
        <v>37927</v>
      </c>
    </row>
    <row r="4185" spans="1:16" ht="17.05" x14ac:dyDescent="0.3">
      <c r="A4185" s="6" t="str">
        <f>HYPERLINK("https://www.ti.com/product/TPL9202", "TPL9202")</f>
        <v>TPL9202</v>
      </c>
      <c r="B4185" s="5" t="s">
        <v>37928</v>
      </c>
      <c r="C4185" s="6" t="str">
        <f>HYPERLINK("https://www.ti.com/lit/gpn/TPL9202", "PDF")</f>
        <v>PDF</v>
      </c>
      <c r="D4185" s="5" t="s">
        <v>37929</v>
      </c>
      <c r="E4185" s="5" t="s">
        <v>37930</v>
      </c>
      <c r="F4185" s="5"/>
      <c r="G4185" s="5" t="s">
        <v>37931</v>
      </c>
      <c r="H4185" s="1" t="s">
        <v>37932</v>
      </c>
      <c r="I4185" s="5" t="s">
        <v>37933</v>
      </c>
      <c r="J4185" s="7">
        <v>20</v>
      </c>
      <c r="K4185" s="7">
        <v>41.6</v>
      </c>
      <c r="L4185" s="5" t="s">
        <v>37934</v>
      </c>
      <c r="M4185" s="7">
        <v>1.2</v>
      </c>
      <c r="N4185" s="7">
        <v>0.65</v>
      </c>
      <c r="O4185" s="7">
        <v>0.59499999999999997</v>
      </c>
      <c r="P4185" s="1" t="s">
        <v>37935</v>
      </c>
    </row>
    <row r="4186" spans="1:16" ht="33.4" x14ac:dyDescent="0.3">
      <c r="A4186" s="6" t="str">
        <f>HYPERLINK("https://www.ti.com/product/LM5100B", "LM5100B")</f>
        <v>LM5100B</v>
      </c>
      <c r="B4186" s="5" t="s">
        <v>37936</v>
      </c>
      <c r="C4186" s="6" t="str">
        <f>HYPERLINK("https://www.ti.com/lit/gpn/LM5100B", "PDF")</f>
        <v>PDF</v>
      </c>
      <c r="D4186" s="5" t="s">
        <v>37937</v>
      </c>
      <c r="E4186" s="5" t="s">
        <v>37938</v>
      </c>
      <c r="F4186" s="5"/>
      <c r="G4186" s="5" t="s">
        <v>37939</v>
      </c>
      <c r="H4186" s="1" t="s">
        <v>37940</v>
      </c>
      <c r="I4186" s="5" t="s">
        <v>37941</v>
      </c>
      <c r="J4186" s="7" t="s">
        <v>37942</v>
      </c>
      <c r="K4186" s="7" t="s">
        <v>37943</v>
      </c>
      <c r="L4186" s="5" t="s">
        <v>37944</v>
      </c>
      <c r="M4186" s="7" t="s">
        <v>37945</v>
      </c>
      <c r="N4186" s="7" t="s">
        <v>37946</v>
      </c>
      <c r="O4186" s="7">
        <v>1.212</v>
      </c>
      <c r="P4186" s="1" t="s">
        <v>37947</v>
      </c>
    </row>
    <row r="4187" spans="1:16" ht="17.05" x14ac:dyDescent="0.3">
      <c r="A4187" s="6" t="str">
        <f>HYPERLINK("https://www.ti.com/product/LM5100C", "LM5100C")</f>
        <v>LM5100C</v>
      </c>
      <c r="B4187" s="5" t="s">
        <v>37948</v>
      </c>
      <c r="C4187" s="6" t="str">
        <f>HYPERLINK("https://www.ti.com/lit/gpn/LM5100C", "PDF")</f>
        <v>PDF</v>
      </c>
      <c r="D4187" s="5" t="s">
        <v>37949</v>
      </c>
      <c r="E4187" s="5" t="s">
        <v>37950</v>
      </c>
      <c r="F4187" s="5"/>
      <c r="G4187" s="5" t="s">
        <v>37951</v>
      </c>
      <c r="H4187" s="1" t="s">
        <v>37952</v>
      </c>
      <c r="I4187" s="5" t="s">
        <v>37953</v>
      </c>
      <c r="J4187" s="7">
        <v>8</v>
      </c>
      <c r="K4187" s="7">
        <v>29.4</v>
      </c>
      <c r="L4187" s="5" t="s">
        <v>37954</v>
      </c>
      <c r="M4187" s="7">
        <v>1.75</v>
      </c>
      <c r="N4187" s="7">
        <v>1.27</v>
      </c>
      <c r="O4187" s="7">
        <v>1.081</v>
      </c>
      <c r="P4187" s="1" t="s">
        <v>37955</v>
      </c>
    </row>
    <row r="4188" spans="1:16" ht="33.4" x14ac:dyDescent="0.3">
      <c r="A4188" s="6" t="str">
        <f>HYPERLINK("https://www.ti.com/product/LM5101B", "LM5101B")</f>
        <v>LM5101B</v>
      </c>
      <c r="B4188" s="5" t="s">
        <v>37956</v>
      </c>
      <c r="C4188" s="6" t="str">
        <f>HYPERLINK("https://www.ti.com/lit/gpn/LM5101B", "PDF")</f>
        <v>PDF</v>
      </c>
      <c r="D4188" s="5" t="s">
        <v>37957</v>
      </c>
      <c r="E4188" s="5" t="s">
        <v>37958</v>
      </c>
      <c r="F4188" s="5"/>
      <c r="G4188" s="5" t="s">
        <v>37959</v>
      </c>
      <c r="H4188" s="1" t="s">
        <v>37960</v>
      </c>
      <c r="I4188" s="5" t="s">
        <v>37961</v>
      </c>
      <c r="J4188" s="7" t="s">
        <v>37962</v>
      </c>
      <c r="K4188" s="7" t="s">
        <v>37963</v>
      </c>
      <c r="L4188" s="5" t="s">
        <v>37964</v>
      </c>
      <c r="M4188" s="7" t="s">
        <v>37965</v>
      </c>
      <c r="N4188" s="7" t="s">
        <v>37966</v>
      </c>
      <c r="O4188" s="7">
        <v>1.3460000000000001</v>
      </c>
      <c r="P4188" s="1" t="s">
        <v>37967</v>
      </c>
    </row>
    <row r="4189" spans="1:16" ht="49.75" x14ac:dyDescent="0.3">
      <c r="A4189" s="6" t="str">
        <f>HYPERLINK("https://www.ti.com/product/LM5101C", "LM5101C")</f>
        <v>LM5101C</v>
      </c>
      <c r="B4189" s="5" t="s">
        <v>37968</v>
      </c>
      <c r="C4189" s="6" t="str">
        <f>HYPERLINK("https://www.ti.com/lit/gpn/LM5101C", "PDF")</f>
        <v>PDF</v>
      </c>
      <c r="D4189" s="5" t="s">
        <v>37969</v>
      </c>
      <c r="E4189" s="5" t="s">
        <v>37970</v>
      </c>
      <c r="F4189" s="5"/>
      <c r="G4189" s="5" t="s">
        <v>37971</v>
      </c>
      <c r="H4189" s="1" t="s">
        <v>37972</v>
      </c>
      <c r="I4189" s="5" t="s">
        <v>37973</v>
      </c>
      <c r="J4189" s="7" t="s">
        <v>37974</v>
      </c>
      <c r="K4189" s="7" t="s">
        <v>37975</v>
      </c>
      <c r="L4189" s="5" t="s">
        <v>37976</v>
      </c>
      <c r="M4189" s="7" t="s">
        <v>37977</v>
      </c>
      <c r="N4189" s="7" t="s">
        <v>37978</v>
      </c>
      <c r="O4189" s="7">
        <v>1.5049999999999999</v>
      </c>
      <c r="P4189" s="1" t="s">
        <v>37979</v>
      </c>
    </row>
    <row r="4190" spans="1:16" ht="33.4" x14ac:dyDescent="0.3">
      <c r="A4190" s="6" t="str">
        <f>HYPERLINK("https://www.ti.com/product/LM2754", "LM2754")</f>
        <v>LM2754</v>
      </c>
      <c r="B4190" s="5" t="s">
        <v>37980</v>
      </c>
      <c r="C4190" s="6" t="str">
        <f>HYPERLINK("https://www.ti.com/lit/gpn/LM2754", "PDF")</f>
        <v>PDF</v>
      </c>
      <c r="D4190" s="5" t="s">
        <v>37981</v>
      </c>
      <c r="E4190" s="5" t="s">
        <v>37982</v>
      </c>
      <c r="F4190" s="5" t="s">
        <v>37983</v>
      </c>
      <c r="G4190" s="5" t="s">
        <v>37984</v>
      </c>
      <c r="H4190" s="1" t="s">
        <v>37985</v>
      </c>
      <c r="I4190" s="5" t="s">
        <v>37986</v>
      </c>
      <c r="J4190" s="7">
        <v>24</v>
      </c>
      <c r="K4190" s="7">
        <v>16</v>
      </c>
      <c r="L4190" s="5" t="s">
        <v>37987</v>
      </c>
      <c r="M4190" s="7">
        <v>0.8</v>
      </c>
      <c r="N4190" s="7">
        <v>0.5</v>
      </c>
      <c r="O4190" s="7">
        <v>0.75900000000000001</v>
      </c>
      <c r="P4190" s="1" t="s">
        <v>37988</v>
      </c>
    </row>
    <row r="4191" spans="1:16" ht="17.05" x14ac:dyDescent="0.3">
      <c r="A4191" s="6" t="str">
        <f>HYPERLINK("https://www.ti.com/product/LM3880", "LM3880")</f>
        <v>LM3880</v>
      </c>
      <c r="B4191" s="5" t="s">
        <v>37989</v>
      </c>
      <c r="C4191" s="6" t="str">
        <f>HYPERLINK("https://www.ti.com/lit/gpn/LM3880", "PDF")</f>
        <v>PDF</v>
      </c>
      <c r="D4191" s="5" t="s">
        <v>37990</v>
      </c>
      <c r="E4191" s="5" t="s">
        <v>37991</v>
      </c>
      <c r="F4191" s="5"/>
      <c r="G4191" s="5" t="s">
        <v>37992</v>
      </c>
      <c r="H4191" s="1" t="s">
        <v>37993</v>
      </c>
      <c r="I4191" s="5" t="s">
        <v>37994</v>
      </c>
      <c r="J4191" s="7">
        <v>6</v>
      </c>
      <c r="K4191" s="7">
        <v>8.1199999999999992</v>
      </c>
      <c r="L4191" s="5" t="s">
        <v>37995</v>
      </c>
      <c r="M4191" s="7">
        <v>1.45</v>
      </c>
      <c r="N4191" s="7">
        <v>0.95</v>
      </c>
      <c r="O4191" s="7">
        <v>0.38800000000000001</v>
      </c>
      <c r="P4191" s="1" t="s">
        <v>37996</v>
      </c>
    </row>
    <row r="4192" spans="1:16" ht="33.4" x14ac:dyDescent="0.3">
      <c r="A4192" s="6" t="str">
        <f>HYPERLINK("https://www.ti.com/product/LP2950", "LP2950")</f>
        <v>LP2950</v>
      </c>
      <c r="B4192" s="5" t="s">
        <v>37997</v>
      </c>
      <c r="C4192" s="6" t="str">
        <f>HYPERLINK("https://www.ti.com/lit/gpn/LP2950", "PDF")</f>
        <v>PDF</v>
      </c>
      <c r="D4192" s="5" t="s">
        <v>37998</v>
      </c>
      <c r="E4192" s="5" t="s">
        <v>37999</v>
      </c>
      <c r="F4192" s="5"/>
      <c r="G4192" s="5" t="s">
        <v>38000</v>
      </c>
      <c r="H4192" s="1" t="s">
        <v>38001</v>
      </c>
      <c r="I4192" s="5" t="s">
        <v>38002</v>
      </c>
      <c r="J4192" s="7">
        <v>3</v>
      </c>
      <c r="K4192" s="7">
        <v>19.135999999999999</v>
      </c>
      <c r="L4192" s="5" t="s">
        <v>38003</v>
      </c>
      <c r="M4192" s="7">
        <v>5.34</v>
      </c>
      <c r="N4192" s="7">
        <v>1.27</v>
      </c>
      <c r="O4192" s="7">
        <v>0.13400000000000001</v>
      </c>
      <c r="P4192" s="1" t="s">
        <v>38004</v>
      </c>
    </row>
    <row r="4193" spans="1:16" ht="66.150000000000006" x14ac:dyDescent="0.3">
      <c r="A4193" s="6" t="str">
        <f>HYPERLINK("https://www.ti.com/product/TL2842B", "TL2842B")</f>
        <v>TL2842B</v>
      </c>
      <c r="B4193" s="5" t="s">
        <v>38005</v>
      </c>
      <c r="C4193" s="6" t="str">
        <f>HYPERLINK("https://www.ti.com/lit/gpn/TL2842B", "PDF")</f>
        <v>PDF</v>
      </c>
      <c r="D4193" s="5" t="s">
        <v>38006</v>
      </c>
      <c r="E4193" s="5" t="s">
        <v>38007</v>
      </c>
      <c r="F4193" s="5" t="s">
        <v>38008</v>
      </c>
      <c r="G4193" s="5" t="s">
        <v>38009</v>
      </c>
      <c r="H4193" s="1" t="s">
        <v>38010</v>
      </c>
      <c r="I4193" s="5" t="s">
        <v>38011</v>
      </c>
      <c r="J4193" s="7" t="s">
        <v>38012</v>
      </c>
      <c r="K4193" s="7" t="s">
        <v>38013</v>
      </c>
      <c r="L4193" s="5" t="s">
        <v>38014</v>
      </c>
      <c r="M4193" s="7" t="s">
        <v>38015</v>
      </c>
      <c r="N4193" s="7" t="s">
        <v>38016</v>
      </c>
      <c r="O4193" s="7">
        <v>0.159</v>
      </c>
      <c r="P4193" s="1" t="s">
        <v>38017</v>
      </c>
    </row>
    <row r="4194" spans="1:16" ht="66.150000000000006" x14ac:dyDescent="0.3">
      <c r="A4194" s="6" t="str">
        <f>HYPERLINK("https://www.ti.com/product/TL2843B", "TL2843B")</f>
        <v>TL2843B</v>
      </c>
      <c r="B4194" s="5" t="s">
        <v>38018</v>
      </c>
      <c r="C4194" s="6" t="str">
        <f>HYPERLINK("https://www.ti.com/lit/gpn/TL2843B", "PDF")</f>
        <v>PDF</v>
      </c>
      <c r="D4194" s="5" t="s">
        <v>38019</v>
      </c>
      <c r="E4194" s="5" t="s">
        <v>38020</v>
      </c>
      <c r="F4194" s="5" t="s">
        <v>38021</v>
      </c>
      <c r="G4194" s="5" t="s">
        <v>38022</v>
      </c>
      <c r="H4194" s="1" t="s">
        <v>38023</v>
      </c>
      <c r="I4194" s="5" t="s">
        <v>38024</v>
      </c>
      <c r="J4194" s="7" t="s">
        <v>38025</v>
      </c>
      <c r="K4194" s="7" t="s">
        <v>38026</v>
      </c>
      <c r="L4194" s="5" t="s">
        <v>38027</v>
      </c>
      <c r="M4194" s="7" t="s">
        <v>38028</v>
      </c>
      <c r="N4194" s="7" t="s">
        <v>38029</v>
      </c>
      <c r="O4194" s="7">
        <v>0.159</v>
      </c>
      <c r="P4194" s="1" t="s">
        <v>38030</v>
      </c>
    </row>
    <row r="4195" spans="1:16" ht="33.4" x14ac:dyDescent="0.3">
      <c r="A4195" s="6" t="str">
        <f>HYPERLINK("https://www.ti.com/product/TL2844B", "TL2844B")</f>
        <v>TL2844B</v>
      </c>
      <c r="B4195" s="5" t="s">
        <v>38031</v>
      </c>
      <c r="C4195" s="6" t="str">
        <f>HYPERLINK("https://www.ti.com/lit/gpn/TL2844B", "PDF")</f>
        <v>PDF</v>
      </c>
      <c r="D4195" s="5" t="s">
        <v>38032</v>
      </c>
      <c r="E4195" s="5" t="s">
        <v>38033</v>
      </c>
      <c r="F4195" s="5" t="s">
        <v>38034</v>
      </c>
      <c r="G4195" s="5" t="s">
        <v>38035</v>
      </c>
      <c r="H4195" s="1" t="s">
        <v>38036</v>
      </c>
      <c r="I4195" s="5" t="s">
        <v>38037</v>
      </c>
      <c r="J4195" s="7" t="s">
        <v>38038</v>
      </c>
      <c r="K4195" s="7" t="s">
        <v>38039</v>
      </c>
      <c r="L4195" s="5" t="s">
        <v>38040</v>
      </c>
      <c r="M4195" s="7">
        <v>1.75</v>
      </c>
      <c r="N4195" s="7">
        <v>1.27</v>
      </c>
      <c r="O4195" s="7">
        <v>0.159</v>
      </c>
      <c r="P4195" s="1" t="s">
        <v>38041</v>
      </c>
    </row>
    <row r="4196" spans="1:16" ht="33.4" x14ac:dyDescent="0.3">
      <c r="A4196" s="6" t="str">
        <f>HYPERLINK("https://www.ti.com/product/TL2845B", "TL2845B")</f>
        <v>TL2845B</v>
      </c>
      <c r="B4196" s="5" t="s">
        <v>38042</v>
      </c>
      <c r="C4196" s="6" t="str">
        <f>HYPERLINK("https://www.ti.com/lit/gpn/TL2845B", "PDF")</f>
        <v>PDF</v>
      </c>
      <c r="D4196" s="5" t="s">
        <v>38043</v>
      </c>
      <c r="E4196" s="5" t="s">
        <v>38044</v>
      </c>
      <c r="F4196" s="5" t="s">
        <v>38045</v>
      </c>
      <c r="G4196" s="5" t="s">
        <v>38046</v>
      </c>
      <c r="H4196" s="1" t="s">
        <v>38047</v>
      </c>
      <c r="I4196" s="5" t="s">
        <v>38048</v>
      </c>
      <c r="J4196" s="7" t="s">
        <v>38049</v>
      </c>
      <c r="K4196" s="7" t="s">
        <v>38050</v>
      </c>
      <c r="L4196" s="5" t="s">
        <v>38051</v>
      </c>
      <c r="M4196" s="7">
        <v>1.75</v>
      </c>
      <c r="N4196" s="7">
        <v>1.27</v>
      </c>
      <c r="O4196" s="7">
        <v>0.159</v>
      </c>
      <c r="P4196" s="1" t="s">
        <v>38052</v>
      </c>
    </row>
    <row r="4197" spans="1:16" ht="66.150000000000006" x14ac:dyDescent="0.3">
      <c r="A4197" s="6" t="str">
        <f>HYPERLINK("https://www.ti.com/product/TL3842B", "TL3842B")</f>
        <v>TL3842B</v>
      </c>
      <c r="B4197" s="5" t="s">
        <v>38053</v>
      </c>
      <c r="C4197" s="6" t="str">
        <f>HYPERLINK("https://www.ti.com/lit/gpn/TL3842B", "PDF")</f>
        <v>PDF</v>
      </c>
      <c r="D4197" s="5" t="s">
        <v>38054</v>
      </c>
      <c r="E4197" s="5" t="s">
        <v>38055</v>
      </c>
      <c r="F4197" s="5" t="s">
        <v>38056</v>
      </c>
      <c r="G4197" s="5" t="s">
        <v>38057</v>
      </c>
      <c r="H4197" s="1" t="s">
        <v>38058</v>
      </c>
      <c r="I4197" s="5" t="s">
        <v>38059</v>
      </c>
      <c r="J4197" s="7" t="s">
        <v>38060</v>
      </c>
      <c r="K4197" s="7" t="s">
        <v>38061</v>
      </c>
      <c r="L4197" s="5" t="s">
        <v>38062</v>
      </c>
      <c r="M4197" s="7" t="s">
        <v>38063</v>
      </c>
      <c r="N4197" s="7" t="s">
        <v>38064</v>
      </c>
      <c r="O4197" s="7">
        <v>0.13</v>
      </c>
      <c r="P4197" s="1" t="s">
        <v>38065</v>
      </c>
    </row>
    <row r="4198" spans="1:16" ht="66.150000000000006" x14ac:dyDescent="0.3">
      <c r="A4198" s="6" t="str">
        <f>HYPERLINK("https://www.ti.com/product/TL3843B", "TL3843B")</f>
        <v>TL3843B</v>
      </c>
      <c r="B4198" s="5" t="s">
        <v>38066</v>
      </c>
      <c r="C4198" s="6" t="str">
        <f>HYPERLINK("https://www.ti.com/lit/gpn/TL3843B", "PDF")</f>
        <v>PDF</v>
      </c>
      <c r="D4198" s="5" t="s">
        <v>38067</v>
      </c>
      <c r="E4198" s="5" t="s">
        <v>38068</v>
      </c>
      <c r="F4198" s="5" t="s">
        <v>38069</v>
      </c>
      <c r="G4198" s="5" t="s">
        <v>38070</v>
      </c>
      <c r="H4198" s="1" t="s">
        <v>38071</v>
      </c>
      <c r="I4198" s="5" t="s">
        <v>38072</v>
      </c>
      <c r="J4198" s="7" t="s">
        <v>38073</v>
      </c>
      <c r="K4198" s="7" t="s">
        <v>38074</v>
      </c>
      <c r="L4198" s="5" t="s">
        <v>38075</v>
      </c>
      <c r="M4198" s="7" t="s">
        <v>38076</v>
      </c>
      <c r="N4198" s="7" t="s">
        <v>38077</v>
      </c>
      <c r="O4198" s="7">
        <v>0.13</v>
      </c>
      <c r="P4198" s="1" t="s">
        <v>38078</v>
      </c>
    </row>
    <row r="4199" spans="1:16" ht="66.150000000000006" x14ac:dyDescent="0.3">
      <c r="A4199" s="6" t="str">
        <f>HYPERLINK("https://www.ti.com/product/TL3844B", "TL3844B")</f>
        <v>TL3844B</v>
      </c>
      <c r="B4199" s="5" t="s">
        <v>38079</v>
      </c>
      <c r="C4199" s="6" t="str">
        <f>HYPERLINK("https://www.ti.com/lit/gpn/TL3844B", "PDF")</f>
        <v>PDF</v>
      </c>
      <c r="D4199" s="5" t="s">
        <v>38080</v>
      </c>
      <c r="E4199" s="5" t="s">
        <v>38081</v>
      </c>
      <c r="F4199" s="5" t="s">
        <v>38082</v>
      </c>
      <c r="G4199" s="5" t="s">
        <v>38083</v>
      </c>
      <c r="H4199" s="1" t="s">
        <v>38084</v>
      </c>
      <c r="I4199" s="5" t="s">
        <v>38085</v>
      </c>
      <c r="J4199" s="7" t="s">
        <v>38086</v>
      </c>
      <c r="K4199" s="7" t="s">
        <v>38087</v>
      </c>
      <c r="L4199" s="5" t="s">
        <v>38088</v>
      </c>
      <c r="M4199" s="7" t="s">
        <v>38089</v>
      </c>
      <c r="N4199" s="7" t="s">
        <v>38090</v>
      </c>
      <c r="O4199" s="7">
        <v>0.13</v>
      </c>
      <c r="P4199" s="1" t="s">
        <v>38091</v>
      </c>
    </row>
    <row r="4200" spans="1:16" ht="66.150000000000006" x14ac:dyDescent="0.3">
      <c r="A4200" s="6" t="str">
        <f>HYPERLINK("https://www.ti.com/product/TL3845B", "TL3845B")</f>
        <v>TL3845B</v>
      </c>
      <c r="B4200" s="5" t="s">
        <v>38092</v>
      </c>
      <c r="C4200" s="6" t="str">
        <f>HYPERLINK("https://www.ti.com/lit/gpn/TL3845B", "PDF")</f>
        <v>PDF</v>
      </c>
      <c r="D4200" s="5" t="s">
        <v>38093</v>
      </c>
      <c r="E4200" s="5" t="s">
        <v>38094</v>
      </c>
      <c r="F4200" s="5" t="s">
        <v>38095</v>
      </c>
      <c r="G4200" s="5" t="s">
        <v>38096</v>
      </c>
      <c r="H4200" s="1" t="s">
        <v>38097</v>
      </c>
      <c r="I4200" s="5" t="s">
        <v>38098</v>
      </c>
      <c r="J4200" s="7" t="s">
        <v>38099</v>
      </c>
      <c r="K4200" s="7" t="s">
        <v>38100</v>
      </c>
      <c r="L4200" s="5" t="s">
        <v>38101</v>
      </c>
      <c r="M4200" s="7" t="s">
        <v>38102</v>
      </c>
      <c r="N4200" s="7" t="s">
        <v>38103</v>
      </c>
      <c r="O4200" s="7">
        <v>0.13</v>
      </c>
      <c r="P4200" s="1" t="s">
        <v>38104</v>
      </c>
    </row>
    <row r="4201" spans="1:16" ht="49.75" x14ac:dyDescent="0.3">
      <c r="A4201" s="6" t="str">
        <f>HYPERLINK("https://www.ti.com/product/TL7660", "TL7660")</f>
        <v>TL7660</v>
      </c>
      <c r="B4201" s="5" t="s">
        <v>38105</v>
      </c>
      <c r="C4201" s="6" t="str">
        <f>HYPERLINK("https://www.ti.com/lit/gpn/TL7660", "PDF")</f>
        <v>PDF</v>
      </c>
      <c r="D4201" s="5" t="s">
        <v>38106</v>
      </c>
      <c r="E4201" s="5" t="s">
        <v>38107</v>
      </c>
      <c r="F4201" s="5"/>
      <c r="G4201" s="5" t="s">
        <v>38108</v>
      </c>
      <c r="H4201" s="1" t="s">
        <v>38109</v>
      </c>
      <c r="I4201" s="5" t="s">
        <v>38110</v>
      </c>
      <c r="J4201" s="7">
        <v>8</v>
      </c>
      <c r="K4201" s="7" t="s">
        <v>38111</v>
      </c>
      <c r="L4201" s="5" t="s">
        <v>38112</v>
      </c>
      <c r="M4201" s="7" t="s">
        <v>38113</v>
      </c>
      <c r="N4201" s="7" t="s">
        <v>38114</v>
      </c>
      <c r="O4201" s="7">
        <v>0.38200000000000001</v>
      </c>
      <c r="P4201" s="1" t="s">
        <v>38115</v>
      </c>
    </row>
    <row r="4202" spans="1:16" ht="33.4" x14ac:dyDescent="0.3">
      <c r="A4202" s="6" t="str">
        <f>HYPERLINK("https://www.ti.com/product/LM3431", "LM3431")</f>
        <v>LM3431</v>
      </c>
      <c r="B4202" s="5" t="s">
        <v>38116</v>
      </c>
      <c r="C4202" s="6" t="str">
        <f>HYPERLINK("https://www.ti.com/lit/gpn/LM3431", "PDF")</f>
        <v>PDF</v>
      </c>
      <c r="D4202" s="5" t="s">
        <v>38117</v>
      </c>
      <c r="E4202" s="5" t="s">
        <v>38118</v>
      </c>
      <c r="F4202" s="5" t="s">
        <v>38119</v>
      </c>
      <c r="G4202" s="5" t="s">
        <v>38120</v>
      </c>
      <c r="H4202" s="1" t="s">
        <v>38121</v>
      </c>
      <c r="I4202" s="5" t="s">
        <v>38122</v>
      </c>
      <c r="J4202" s="7">
        <v>28</v>
      </c>
      <c r="K4202" s="7">
        <v>62.08</v>
      </c>
      <c r="L4202" s="5" t="s">
        <v>38123</v>
      </c>
      <c r="M4202" s="7">
        <v>1.2</v>
      </c>
      <c r="N4202" s="7">
        <v>0.65</v>
      </c>
      <c r="O4202" s="7">
        <v>1.794</v>
      </c>
      <c r="P4202" s="1" t="s">
        <v>38124</v>
      </c>
    </row>
    <row r="4203" spans="1:16" ht="33.4" x14ac:dyDescent="0.3">
      <c r="A4203" s="6" t="str">
        <f>HYPERLINK("https://www.ti.com/product/LM3431-Q1", "LM3431-Q1")</f>
        <v>LM3431-Q1</v>
      </c>
      <c r="B4203" s="5" t="s">
        <v>38125</v>
      </c>
      <c r="C4203" s="6" t="str">
        <f>HYPERLINK("https://www.ti.com/lit/gpn/LM3431-Q1", "PDF")</f>
        <v>PDF</v>
      </c>
      <c r="D4203" s="5" t="s">
        <v>38126</v>
      </c>
      <c r="E4203" s="5" t="s">
        <v>38127</v>
      </c>
      <c r="F4203" s="5" t="s">
        <v>38128</v>
      </c>
      <c r="G4203" s="5" t="s">
        <v>38129</v>
      </c>
      <c r="H4203" s="1" t="s">
        <v>38130</v>
      </c>
      <c r="I4203" s="5" t="s">
        <v>38131</v>
      </c>
      <c r="J4203" s="7">
        <v>28</v>
      </c>
      <c r="K4203" s="7">
        <v>62.08</v>
      </c>
      <c r="L4203" s="5" t="s">
        <v>38132</v>
      </c>
      <c r="M4203" s="7">
        <v>1.2</v>
      </c>
      <c r="N4203" s="7">
        <v>0.65</v>
      </c>
      <c r="O4203" s="7">
        <v>2.008</v>
      </c>
      <c r="P4203" s="1" t="s">
        <v>38133</v>
      </c>
    </row>
    <row r="4204" spans="1:16" ht="66.150000000000006" x14ac:dyDescent="0.3">
      <c r="A4204" s="6" t="str">
        <f>HYPERLINK("https://www.ti.com/product/TLE4275-Q1", "TLE4275-Q1")</f>
        <v>TLE4275-Q1</v>
      </c>
      <c r="B4204" s="5" t="s">
        <v>38134</v>
      </c>
      <c r="C4204" s="6" t="str">
        <f>HYPERLINK("https://www.ti.com/lit/gpn/TLE4275-Q1", "PDF")</f>
        <v>PDF</v>
      </c>
      <c r="D4204" s="5" t="s">
        <v>38135</v>
      </c>
      <c r="E4204" s="5" t="s">
        <v>38136</v>
      </c>
      <c r="F4204" s="5"/>
      <c r="G4204" s="5" t="s">
        <v>38137</v>
      </c>
      <c r="H4204" s="1" t="s">
        <v>38138</v>
      </c>
      <c r="I4204" s="5" t="s">
        <v>38139</v>
      </c>
      <c r="J4204" s="7" t="s">
        <v>38140</v>
      </c>
      <c r="K4204" s="7" t="s">
        <v>38141</v>
      </c>
      <c r="L4204" s="5" t="s">
        <v>38142</v>
      </c>
      <c r="M4204" s="7" t="s">
        <v>38143</v>
      </c>
      <c r="N4204" s="7" t="s">
        <v>38144</v>
      </c>
      <c r="O4204" s="7">
        <v>1.0660000000000001</v>
      </c>
      <c r="P4204" s="1" t="s">
        <v>38145</v>
      </c>
    </row>
    <row r="4205" spans="1:16" ht="49.75" x14ac:dyDescent="0.3">
      <c r="A4205" s="6" t="str">
        <f>HYPERLINK("https://www.ti.com/product/TPS3809-EP", "TPS3809-EP")</f>
        <v>TPS3809-EP</v>
      </c>
      <c r="B4205" s="5" t="s">
        <v>38146</v>
      </c>
      <c r="C4205" s="6" t="str">
        <f>HYPERLINK("https://www.ti.com/lit/gpn/TPS3809-EP", "PDF")</f>
        <v>PDF</v>
      </c>
      <c r="D4205" s="5" t="s">
        <v>38147</v>
      </c>
      <c r="E4205" s="5" t="s">
        <v>38148</v>
      </c>
      <c r="F4205" s="5"/>
      <c r="G4205" s="5" t="s">
        <v>38149</v>
      </c>
      <c r="H4205" s="1" t="s">
        <v>38150</v>
      </c>
      <c r="I4205" s="5" t="s">
        <v>38151</v>
      </c>
      <c r="J4205" s="7">
        <v>3</v>
      </c>
      <c r="K4205" s="7">
        <v>8.1199999999999992</v>
      </c>
      <c r="L4205" s="5" t="s">
        <v>38152</v>
      </c>
      <c r="M4205" s="7">
        <v>1.45</v>
      </c>
      <c r="N4205" s="7">
        <v>0.95</v>
      </c>
      <c r="O4205" s="7">
        <v>1.2330000000000001</v>
      </c>
      <c r="P4205" s="1" t="s">
        <v>38153</v>
      </c>
    </row>
    <row r="4206" spans="1:16" ht="33.4" x14ac:dyDescent="0.3">
      <c r="A4206" s="6" t="str">
        <f>HYPERLINK("https://www.ti.com/product/LM2830", "LM2830")</f>
        <v>LM2830</v>
      </c>
      <c r="B4206" s="5" t="s">
        <v>38154</v>
      </c>
      <c r="C4206" s="6" t="str">
        <f>HYPERLINK("https://www.ti.com/lit/gpn/LM2830", "PDF")</f>
        <v>PDF</v>
      </c>
      <c r="D4206" s="5" t="s">
        <v>38155</v>
      </c>
      <c r="E4206" s="5" t="s">
        <v>38156</v>
      </c>
      <c r="F4206" s="5" t="s">
        <v>38157</v>
      </c>
      <c r="G4206" s="5" t="s">
        <v>38158</v>
      </c>
      <c r="H4206" s="1" t="s">
        <v>38159</v>
      </c>
      <c r="I4206" s="5" t="s">
        <v>38160</v>
      </c>
      <c r="J4206" s="7" t="s">
        <v>38161</v>
      </c>
      <c r="K4206" s="7" t="s">
        <v>38162</v>
      </c>
      <c r="L4206" s="5" t="s">
        <v>38163</v>
      </c>
      <c r="M4206" s="7" t="s">
        <v>38164</v>
      </c>
      <c r="N4206" s="7">
        <v>0.95</v>
      </c>
      <c r="O4206" s="7">
        <v>0.68300000000000005</v>
      </c>
      <c r="P4206" s="1" t="s">
        <v>38165</v>
      </c>
    </row>
    <row r="4207" spans="1:16" ht="33.4" x14ac:dyDescent="0.3">
      <c r="A4207" s="6" t="str">
        <f>HYPERLINK("https://www.ti.com/product/LM2831", "LM2831")</f>
        <v>LM2831</v>
      </c>
      <c r="B4207" s="5" t="s">
        <v>38166</v>
      </c>
      <c r="C4207" s="6" t="str">
        <f>HYPERLINK("https://www.ti.com/lit/gpn/LM2831", "PDF")</f>
        <v>PDF</v>
      </c>
      <c r="D4207" s="5" t="s">
        <v>38167</v>
      </c>
      <c r="E4207" s="5" t="s">
        <v>38168</v>
      </c>
      <c r="F4207" s="5" t="s">
        <v>38169</v>
      </c>
      <c r="G4207" s="5" t="s">
        <v>38170</v>
      </c>
      <c r="H4207" s="1" t="s">
        <v>38171</v>
      </c>
      <c r="I4207" s="5" t="s">
        <v>38172</v>
      </c>
      <c r="J4207" s="7" t="s">
        <v>38173</v>
      </c>
      <c r="K4207" s="7" t="s">
        <v>38174</v>
      </c>
      <c r="L4207" s="5" t="s">
        <v>38175</v>
      </c>
      <c r="M4207" s="7" t="s">
        <v>38176</v>
      </c>
      <c r="N4207" s="7">
        <v>0.95</v>
      </c>
      <c r="O4207" s="7">
        <v>0.84199999999999997</v>
      </c>
      <c r="P4207" s="1" t="s">
        <v>38177</v>
      </c>
    </row>
    <row r="4208" spans="1:16" ht="33.4" x14ac:dyDescent="0.3">
      <c r="A4208" s="6" t="str">
        <f>HYPERLINK("https://www.ti.com/product/LM2840", "LM2840")</f>
        <v>LM2840</v>
      </c>
      <c r="B4208" s="5" t="s">
        <v>38178</v>
      </c>
      <c r="C4208" s="6" t="str">
        <f>HYPERLINK("https://www.ti.com/lit/gpn/LM2840", "PDF")</f>
        <v>PDF</v>
      </c>
      <c r="D4208" s="5" t="s">
        <v>38179</v>
      </c>
      <c r="E4208" s="5" t="s">
        <v>38180</v>
      </c>
      <c r="F4208" s="5" t="s">
        <v>38181</v>
      </c>
      <c r="G4208" s="5" t="s">
        <v>38182</v>
      </c>
      <c r="H4208" s="1" t="s">
        <v>38183</v>
      </c>
      <c r="I4208" s="5" t="s">
        <v>38184</v>
      </c>
      <c r="J4208" s="7">
        <v>6</v>
      </c>
      <c r="K4208" s="7">
        <v>8.1199999999999992</v>
      </c>
      <c r="L4208" s="5" t="s">
        <v>38185</v>
      </c>
      <c r="M4208" s="7">
        <v>1.1000000000000001</v>
      </c>
      <c r="N4208" s="7">
        <v>0.95</v>
      </c>
      <c r="O4208" s="7">
        <v>1.1020000000000001</v>
      </c>
      <c r="P4208" s="1" t="s">
        <v>38186</v>
      </c>
    </row>
    <row r="4209" spans="1:16" ht="33.4" x14ac:dyDescent="0.3">
      <c r="A4209" s="6" t="str">
        <f>HYPERLINK("https://www.ti.com/product/LM2840-Q1", "LM2840-Q1")</f>
        <v>LM2840-Q1</v>
      </c>
      <c r="B4209" s="5" t="s">
        <v>38187</v>
      </c>
      <c r="C4209" s="6" t="str">
        <f>HYPERLINK("https://www.ti.com/lit/gpn/LM2840-Q1", "PDF")</f>
        <v>PDF</v>
      </c>
      <c r="D4209" s="5" t="s">
        <v>38188</v>
      </c>
      <c r="E4209" s="5" t="s">
        <v>38189</v>
      </c>
      <c r="F4209" s="5" t="s">
        <v>38190</v>
      </c>
      <c r="G4209" s="5" t="s">
        <v>38191</v>
      </c>
      <c r="H4209" s="1" t="s">
        <v>38192</v>
      </c>
      <c r="I4209" s="5" t="s">
        <v>38193</v>
      </c>
      <c r="J4209" s="7">
        <v>6</v>
      </c>
      <c r="K4209" s="7">
        <v>8.1199999999999992</v>
      </c>
      <c r="L4209" s="5" t="s">
        <v>38194</v>
      </c>
      <c r="M4209" s="7">
        <v>1.1000000000000001</v>
      </c>
      <c r="N4209" s="7">
        <v>0.95</v>
      </c>
      <c r="O4209" s="7">
        <v>1.3</v>
      </c>
      <c r="P4209" s="1" t="s">
        <v>38195</v>
      </c>
    </row>
    <row r="4210" spans="1:16" ht="33.4" x14ac:dyDescent="0.3">
      <c r="A4210" s="6" t="str">
        <f>HYPERLINK("https://www.ti.com/product/LM2842", "LM2842")</f>
        <v>LM2842</v>
      </c>
      <c r="B4210" s="5" t="s">
        <v>38196</v>
      </c>
      <c r="C4210" s="6" t="str">
        <f>HYPERLINK("https://www.ti.com/lit/gpn/LM2842", "PDF")</f>
        <v>PDF</v>
      </c>
      <c r="D4210" s="5" t="s">
        <v>38197</v>
      </c>
      <c r="E4210" s="5" t="s">
        <v>38198</v>
      </c>
      <c r="F4210" s="5" t="s">
        <v>38199</v>
      </c>
      <c r="G4210" s="5" t="s">
        <v>38200</v>
      </c>
      <c r="H4210" s="1" t="s">
        <v>38201</v>
      </c>
      <c r="I4210" s="5" t="s">
        <v>38202</v>
      </c>
      <c r="J4210" s="7">
        <v>6</v>
      </c>
      <c r="K4210" s="7">
        <v>8.1199999999999992</v>
      </c>
      <c r="L4210" s="5" t="s">
        <v>38203</v>
      </c>
      <c r="M4210" s="7">
        <v>1.1000000000000001</v>
      </c>
      <c r="N4210" s="7">
        <v>0.95</v>
      </c>
      <c r="O4210" s="7">
        <v>1.21</v>
      </c>
      <c r="P4210" s="1" t="s">
        <v>38204</v>
      </c>
    </row>
    <row r="4211" spans="1:16" ht="33.4" x14ac:dyDescent="0.3">
      <c r="A4211" s="6" t="str">
        <f>HYPERLINK("https://www.ti.com/product/LM2842-Q1", "LM2842-Q1")</f>
        <v>LM2842-Q1</v>
      </c>
      <c r="B4211" s="5" t="s">
        <v>38205</v>
      </c>
      <c r="C4211" s="6" t="str">
        <f>HYPERLINK("https://www.ti.com/lit/gpn/LM2842-Q1", "PDF")</f>
        <v>PDF</v>
      </c>
      <c r="D4211" s="5" t="s">
        <v>38206</v>
      </c>
      <c r="E4211" s="5" t="s">
        <v>38207</v>
      </c>
      <c r="F4211" s="5" t="s">
        <v>38208</v>
      </c>
      <c r="G4211" s="5" t="s">
        <v>38209</v>
      </c>
      <c r="H4211" s="1" t="s">
        <v>38210</v>
      </c>
      <c r="I4211" s="5" t="s">
        <v>38211</v>
      </c>
      <c r="J4211" s="7">
        <v>6</v>
      </c>
      <c r="K4211" s="7">
        <v>8.1199999999999992</v>
      </c>
      <c r="L4211" s="5" t="s">
        <v>38212</v>
      </c>
      <c r="M4211" s="7">
        <v>1.1000000000000001</v>
      </c>
      <c r="N4211" s="7">
        <v>0.95</v>
      </c>
      <c r="O4211" s="7">
        <v>1.4279999999999999</v>
      </c>
      <c r="P4211" s="1" t="s">
        <v>38213</v>
      </c>
    </row>
    <row r="4212" spans="1:16" ht="82.5" x14ac:dyDescent="0.3">
      <c r="A4212" s="6" t="str">
        <f>HYPERLINK("https://www.ti.com/product/TL2575-12", "TL2575-12")</f>
        <v>TL2575-12</v>
      </c>
      <c r="B4212" s="5" t="s">
        <v>38214</v>
      </c>
      <c r="C4212" s="6" t="str">
        <f>HYPERLINK("https://www.ti.com/lit/gpn/TL2575-12", "PDF")</f>
        <v>PDF</v>
      </c>
      <c r="D4212" s="5" t="s">
        <v>38215</v>
      </c>
      <c r="E4212" s="5" t="s">
        <v>38216</v>
      </c>
      <c r="F4212" s="5" t="s">
        <v>38217</v>
      </c>
      <c r="G4212" s="5" t="s">
        <v>38218</v>
      </c>
      <c r="H4212" s="1" t="s">
        <v>38219</v>
      </c>
      <c r="I4212" s="5" t="s">
        <v>38220</v>
      </c>
      <c r="J4212" s="7" t="s">
        <v>38221</v>
      </c>
      <c r="K4212" s="7" t="s">
        <v>38222</v>
      </c>
      <c r="L4212" s="5" t="s">
        <v>38223</v>
      </c>
      <c r="M4212" s="7" t="s">
        <v>38224</v>
      </c>
      <c r="N4212" s="7" t="s">
        <v>38225</v>
      </c>
      <c r="O4212" s="7">
        <v>1.0660000000000001</v>
      </c>
      <c r="P4212" s="1" t="s">
        <v>38226</v>
      </c>
    </row>
    <row r="4213" spans="1:16" ht="49.75" x14ac:dyDescent="0.3">
      <c r="A4213" s="6" t="str">
        <f>HYPERLINK("https://www.ti.com/product/TPS3620-33-EP", "TPS3620-33-EP")</f>
        <v>TPS3620-33-EP</v>
      </c>
      <c r="B4213" s="5" t="s">
        <v>38227</v>
      </c>
      <c r="C4213" s="6" t="str">
        <f>HYPERLINK("https://www.ti.com/lit/gpn/TPS3620-33-EP", "PDF")</f>
        <v>PDF</v>
      </c>
      <c r="D4213" s="5" t="s">
        <v>38228</v>
      </c>
      <c r="E4213" s="5" t="s">
        <v>38229</v>
      </c>
      <c r="F4213" s="5"/>
      <c r="G4213" s="5" t="s">
        <v>38230</v>
      </c>
      <c r="H4213" s="1" t="s">
        <v>38231</v>
      </c>
      <c r="I4213" s="5" t="s">
        <v>38232</v>
      </c>
      <c r="J4213" s="7">
        <v>8</v>
      </c>
      <c r="K4213" s="7">
        <v>14.7</v>
      </c>
      <c r="L4213" s="5" t="s">
        <v>38233</v>
      </c>
      <c r="M4213" s="7">
        <v>1.1000000000000001</v>
      </c>
      <c r="N4213" s="7">
        <v>0.65</v>
      </c>
      <c r="O4213" s="7">
        <v>3.5979999999999999</v>
      </c>
      <c r="P4213" s="1" t="s">
        <v>38234</v>
      </c>
    </row>
    <row r="4214" spans="1:16" ht="49.75" x14ac:dyDescent="0.3">
      <c r="A4214" s="6" t="str">
        <f>HYPERLINK("https://www.ti.com/product/TPS3836-EP", "TPS3836-EP")</f>
        <v>TPS3836-EP</v>
      </c>
      <c r="B4214" s="5" t="s">
        <v>38235</v>
      </c>
      <c r="C4214" s="6" t="str">
        <f>HYPERLINK("https://www.ti.com/lit/gpn/TPS3836-EP", "PDF")</f>
        <v>PDF</v>
      </c>
      <c r="D4214" s="5" t="s">
        <v>38236</v>
      </c>
      <c r="E4214" s="5" t="s">
        <v>38237</v>
      </c>
      <c r="F4214" s="5"/>
      <c r="G4214" s="5" t="s">
        <v>38238</v>
      </c>
      <c r="H4214" s="1" t="s">
        <v>38239</v>
      </c>
      <c r="I4214" s="5" t="s">
        <v>38240</v>
      </c>
      <c r="J4214" s="7">
        <v>5</v>
      </c>
      <c r="K4214" s="7">
        <v>8.1199999999999992</v>
      </c>
      <c r="L4214" s="5" t="s">
        <v>38241</v>
      </c>
      <c r="M4214" s="7">
        <v>1.45</v>
      </c>
      <c r="N4214" s="7">
        <v>0.95</v>
      </c>
      <c r="O4214" s="7">
        <v>2.9380000000000002</v>
      </c>
      <c r="P4214" s="1" t="s">
        <v>38242</v>
      </c>
    </row>
    <row r="4215" spans="1:16" ht="33.4" x14ac:dyDescent="0.3">
      <c r="A4215" s="6" t="str">
        <f>HYPERLINK("https://www.ti.com/product/TPS62400", "TPS62400")</f>
        <v>TPS62400</v>
      </c>
      <c r="B4215" s="5" t="s">
        <v>38243</v>
      </c>
      <c r="C4215" s="6" t="str">
        <f>HYPERLINK("https://www.ti.com/lit/gpn/TPS62400", "PDF")</f>
        <v>PDF</v>
      </c>
      <c r="D4215" s="5" t="s">
        <v>38244</v>
      </c>
      <c r="E4215" s="5" t="s">
        <v>38245</v>
      </c>
      <c r="F4215" s="5" t="s">
        <v>38246</v>
      </c>
      <c r="G4215" s="5" t="s">
        <v>38247</v>
      </c>
      <c r="H4215" s="1" t="s">
        <v>38248</v>
      </c>
      <c r="I4215" s="5" t="s">
        <v>38249</v>
      </c>
      <c r="J4215" s="7">
        <v>10</v>
      </c>
      <c r="K4215" s="7">
        <v>9</v>
      </c>
      <c r="L4215" s="5" t="s">
        <v>38250</v>
      </c>
      <c r="M4215" s="7">
        <v>1</v>
      </c>
      <c r="N4215" s="7">
        <v>0.5</v>
      </c>
      <c r="O4215" s="7">
        <v>0.75900000000000001</v>
      </c>
      <c r="P4215" s="1" t="s">
        <v>38251</v>
      </c>
    </row>
    <row r="4216" spans="1:16" ht="33.4" x14ac:dyDescent="0.3">
      <c r="A4216" s="6" t="str">
        <f>HYPERLINK("https://www.ti.com/product/TPS62401", "TPS62401")</f>
        <v>TPS62401</v>
      </c>
      <c r="B4216" s="5" t="s">
        <v>38252</v>
      </c>
      <c r="C4216" s="6" t="str">
        <f>HYPERLINK("https://www.ti.com/lit/gpn/TPS62401", "PDF")</f>
        <v>PDF</v>
      </c>
      <c r="D4216" s="5" t="s">
        <v>38253</v>
      </c>
      <c r="E4216" s="5" t="s">
        <v>38254</v>
      </c>
      <c r="F4216" s="5" t="s">
        <v>38255</v>
      </c>
      <c r="G4216" s="5" t="s">
        <v>38256</v>
      </c>
      <c r="H4216" s="1" t="s">
        <v>38257</v>
      </c>
      <c r="I4216" s="5" t="s">
        <v>38258</v>
      </c>
      <c r="J4216" s="7">
        <v>10</v>
      </c>
      <c r="K4216" s="7">
        <v>9</v>
      </c>
      <c r="L4216" s="5" t="s">
        <v>38259</v>
      </c>
      <c r="M4216" s="7">
        <v>1</v>
      </c>
      <c r="N4216" s="7">
        <v>0.5</v>
      </c>
      <c r="O4216" s="7">
        <v>0.75900000000000001</v>
      </c>
      <c r="P4216" s="1" t="s">
        <v>38260</v>
      </c>
    </row>
    <row r="4217" spans="1:16" ht="33.4" x14ac:dyDescent="0.3">
      <c r="A4217" s="6" t="str">
        <f>HYPERLINK("https://www.ti.com/product/TPS62420", "TPS62420")</f>
        <v>TPS62420</v>
      </c>
      <c r="B4217" s="5" t="s">
        <v>38261</v>
      </c>
      <c r="C4217" s="6" t="str">
        <f>HYPERLINK("https://www.ti.com/lit/gpn/TPS62420", "PDF")</f>
        <v>PDF</v>
      </c>
      <c r="D4217" s="5" t="s">
        <v>38262</v>
      </c>
      <c r="E4217" s="5" t="s">
        <v>38263</v>
      </c>
      <c r="F4217" s="5" t="s">
        <v>38264</v>
      </c>
      <c r="G4217" s="5" t="s">
        <v>38265</v>
      </c>
      <c r="H4217" s="1" t="s">
        <v>38266</v>
      </c>
      <c r="I4217" s="5" t="s">
        <v>38267</v>
      </c>
      <c r="J4217" s="7">
        <v>10</v>
      </c>
      <c r="K4217" s="7">
        <v>9</v>
      </c>
      <c r="L4217" s="5" t="s">
        <v>38268</v>
      </c>
      <c r="M4217" s="7">
        <v>1</v>
      </c>
      <c r="N4217" s="7">
        <v>0.5</v>
      </c>
      <c r="O4217" s="7">
        <v>0.81699999999999995</v>
      </c>
      <c r="P4217" s="1" t="s">
        <v>38269</v>
      </c>
    </row>
    <row r="4218" spans="1:16" ht="33.4" x14ac:dyDescent="0.3">
      <c r="A4218" s="6" t="str">
        <f>HYPERLINK("https://www.ti.com/product/LM3678", "LM3678")</f>
        <v>LM3678</v>
      </c>
      <c r="B4218" s="5" t="s">
        <v>38270</v>
      </c>
      <c r="C4218" s="6" t="str">
        <f>HYPERLINK("https://www.ti.com/lit/gpn/LM3678", "PDF")</f>
        <v>PDF</v>
      </c>
      <c r="D4218" s="5" t="s">
        <v>38271</v>
      </c>
      <c r="E4218" s="5" t="s">
        <v>38272</v>
      </c>
      <c r="F4218" s="5" t="s">
        <v>38273</v>
      </c>
      <c r="G4218" s="5" t="s">
        <v>38274</v>
      </c>
      <c r="H4218" s="1" t="s">
        <v>38275</v>
      </c>
      <c r="I4218" s="5" t="s">
        <v>38276</v>
      </c>
      <c r="J4218" s="7">
        <v>10</v>
      </c>
      <c r="K4218" s="7">
        <v>9</v>
      </c>
      <c r="L4218" s="5" t="s">
        <v>38277</v>
      </c>
      <c r="M4218" s="7">
        <v>0.8</v>
      </c>
      <c r="N4218" s="7">
        <v>0.5</v>
      </c>
      <c r="O4218" s="7">
        <v>0.76800000000000002</v>
      </c>
      <c r="P4218" s="1" t="s">
        <v>38278</v>
      </c>
    </row>
    <row r="4219" spans="1:16" ht="33.4" x14ac:dyDescent="0.3">
      <c r="A4219" s="6" t="str">
        <f>HYPERLINK("https://www.ti.com/product/LM2833", "LM2833")</f>
        <v>LM2833</v>
      </c>
      <c r="B4219" s="5" t="s">
        <v>38279</v>
      </c>
      <c r="C4219" s="6" t="str">
        <f>HYPERLINK("https://www.ti.com/lit/gpn/LM2833", "PDF")</f>
        <v>PDF</v>
      </c>
      <c r="D4219" s="5" t="s">
        <v>38280</v>
      </c>
      <c r="E4219" s="5" t="s">
        <v>38281</v>
      </c>
      <c r="F4219" s="5" t="s">
        <v>38282</v>
      </c>
      <c r="G4219" s="5" t="s">
        <v>38283</v>
      </c>
      <c r="H4219" s="1" t="s">
        <v>38284</v>
      </c>
      <c r="I4219" s="5" t="s">
        <v>38285</v>
      </c>
      <c r="J4219" s="7">
        <v>10</v>
      </c>
      <c r="K4219" s="7" t="s">
        <v>38286</v>
      </c>
      <c r="L4219" s="5" t="s">
        <v>38287</v>
      </c>
      <c r="M4219" s="7" t="s">
        <v>38288</v>
      </c>
      <c r="N4219" s="7">
        <v>0.5</v>
      </c>
      <c r="O4219" s="7">
        <v>1.0820000000000001</v>
      </c>
      <c r="P4219" s="1" t="s">
        <v>38289</v>
      </c>
    </row>
    <row r="4220" spans="1:16" ht="82.5" x14ac:dyDescent="0.3">
      <c r="A4220" s="6" t="str">
        <f>HYPERLINK("https://www.ti.com/product/TL2575-ADJ", "TL2575-ADJ")</f>
        <v>TL2575-ADJ</v>
      </c>
      <c r="B4220" s="5" t="s">
        <v>38290</v>
      </c>
      <c r="C4220" s="6" t="str">
        <f>HYPERLINK("https://www.ti.com/lit/gpn/TL2575-ADJ", "PDF")</f>
        <v>PDF</v>
      </c>
      <c r="D4220" s="5" t="s">
        <v>38291</v>
      </c>
      <c r="E4220" s="5" t="s">
        <v>38292</v>
      </c>
      <c r="F4220" s="5" t="s">
        <v>38293</v>
      </c>
      <c r="G4220" s="5" t="s">
        <v>38294</v>
      </c>
      <c r="H4220" s="1" t="s">
        <v>38295</v>
      </c>
      <c r="I4220" s="5" t="s">
        <v>38296</v>
      </c>
      <c r="J4220" s="7" t="s">
        <v>38297</v>
      </c>
      <c r="K4220" s="7" t="s">
        <v>38298</v>
      </c>
      <c r="L4220" s="5" t="s">
        <v>38299</v>
      </c>
      <c r="M4220" s="7" t="s">
        <v>38300</v>
      </c>
      <c r="N4220" s="7" t="s">
        <v>38301</v>
      </c>
      <c r="O4220" s="7">
        <v>0.85399999999999998</v>
      </c>
      <c r="P4220" s="1" t="s">
        <v>38302</v>
      </c>
    </row>
    <row r="4221" spans="1:16" ht="17.05" x14ac:dyDescent="0.3">
      <c r="A4221" s="6" t="str">
        <f>HYPERLINK("https://www.ti.com/product/TPS65022", "TPS65022")</f>
        <v>TPS65022</v>
      </c>
      <c r="B4221" s="5" t="s">
        <v>38303</v>
      </c>
      <c r="C4221" s="6" t="str">
        <f>HYPERLINK("https://www.ti.com/lit/gpn/TPS65022", "PDF")</f>
        <v>PDF</v>
      </c>
      <c r="D4221" s="5" t="s">
        <v>38304</v>
      </c>
      <c r="E4221" s="5" t="s">
        <v>38305</v>
      </c>
      <c r="F4221" s="5"/>
      <c r="G4221" s="5" t="s">
        <v>38306</v>
      </c>
      <c r="H4221" s="1" t="s">
        <v>38307</v>
      </c>
      <c r="I4221" s="5" t="s">
        <v>38308</v>
      </c>
      <c r="J4221" s="7">
        <v>40</v>
      </c>
      <c r="K4221" s="7">
        <v>36</v>
      </c>
      <c r="L4221" s="5" t="s">
        <v>38309</v>
      </c>
      <c r="M4221" s="7">
        <v>1</v>
      </c>
      <c r="N4221" s="7">
        <v>0.5</v>
      </c>
      <c r="O4221" s="7">
        <v>3.55</v>
      </c>
      <c r="P4221" s="1" t="s">
        <v>38310</v>
      </c>
    </row>
    <row r="4222" spans="1:16" ht="33.4" x14ac:dyDescent="0.3">
      <c r="A4222" s="6" t="str">
        <f>HYPERLINK("https://www.ti.com/product/SCS1285", "SCS1285")</f>
        <v>SCS1285</v>
      </c>
      <c r="B4222" s="5" t="s">
        <v>38311</v>
      </c>
      <c r="C4222" s="6" t="s">
        <v>183</v>
      </c>
      <c r="D4222" s="5" t="s">
        <v>38312</v>
      </c>
      <c r="E4222" s="5" t="s">
        <v>38313</v>
      </c>
      <c r="F4222" s="5"/>
      <c r="G4222" s="5" t="s">
        <v>38314</v>
      </c>
      <c r="H4222" s="1" t="s">
        <v>38315</v>
      </c>
      <c r="I4222" s="5" t="s">
        <v>38316</v>
      </c>
      <c r="J4222" s="7">
        <v>3</v>
      </c>
      <c r="K4222" s="7">
        <v>46.228000000000002</v>
      </c>
      <c r="L4222" s="5" t="s">
        <v>38317</v>
      </c>
      <c r="M4222" s="7">
        <v>4.7</v>
      </c>
      <c r="N4222" s="7">
        <v>2.54</v>
      </c>
      <c r="O4222" s="7">
        <v>0.99299999999999999</v>
      </c>
      <c r="P4222" s="1" t="s">
        <v>38318</v>
      </c>
    </row>
    <row r="4223" spans="1:16" ht="33.4" x14ac:dyDescent="0.3">
      <c r="A4223" s="6" t="str">
        <f>HYPERLINK("https://www.ti.com/product/LM3668", "LM3668")</f>
        <v>LM3668</v>
      </c>
      <c r="B4223" s="5" t="s">
        <v>38319</v>
      </c>
      <c r="C4223" s="6" t="str">
        <f>HYPERLINK("https://www.ti.com/lit/gpn/LM3668", "PDF")</f>
        <v>PDF</v>
      </c>
      <c r="D4223" s="5" t="s">
        <v>38320</v>
      </c>
      <c r="E4223" s="5" t="s">
        <v>38321</v>
      </c>
      <c r="F4223" s="5" t="s">
        <v>38322</v>
      </c>
      <c r="G4223" s="5" t="s">
        <v>38323</v>
      </c>
      <c r="H4223" s="1" t="s">
        <v>38324</v>
      </c>
      <c r="I4223" s="5" t="s">
        <v>38325</v>
      </c>
      <c r="J4223" s="7">
        <v>12</v>
      </c>
      <c r="K4223" s="7">
        <v>9</v>
      </c>
      <c r="L4223" s="5" t="s">
        <v>38326</v>
      </c>
      <c r="M4223" s="7">
        <v>0.8</v>
      </c>
      <c r="N4223" s="7">
        <v>0.4</v>
      </c>
      <c r="O4223" s="7">
        <v>1.3080000000000001</v>
      </c>
      <c r="P4223" s="1" t="s">
        <v>38327</v>
      </c>
    </row>
    <row r="4224" spans="1:16" ht="33.4" x14ac:dyDescent="0.3">
      <c r="A4224" s="6" t="str">
        <f>HYPERLINK("https://www.ti.com/product/TPS5120-Q1", "TPS5120-Q1")</f>
        <v>TPS5120-Q1</v>
      </c>
      <c r="B4224" s="5" t="s">
        <v>38328</v>
      </c>
      <c r="C4224" s="6" t="str">
        <f>HYPERLINK("https://www.ti.com/lit/gpn/TPS5120-Q1", "PDF")</f>
        <v>PDF</v>
      </c>
      <c r="D4224" s="5" t="s">
        <v>38329</v>
      </c>
      <c r="E4224" s="5" t="s">
        <v>38330</v>
      </c>
      <c r="F4224" s="5" t="s">
        <v>38331</v>
      </c>
      <c r="G4224" s="5" t="s">
        <v>38332</v>
      </c>
      <c r="H4224" s="1" t="s">
        <v>38333</v>
      </c>
      <c r="I4224" s="5" t="s">
        <v>38334</v>
      </c>
      <c r="J4224" s="7">
        <v>30</v>
      </c>
      <c r="K4224" s="7">
        <v>49.92</v>
      </c>
      <c r="L4224" s="5" t="s">
        <v>38335</v>
      </c>
      <c r="M4224" s="7">
        <v>1.2</v>
      </c>
      <c r="N4224" s="7">
        <v>0.5</v>
      </c>
      <c r="O4224" s="7">
        <v>4.2859999999999996</v>
      </c>
      <c r="P4224" s="1" t="s">
        <v>38336</v>
      </c>
    </row>
    <row r="4225" spans="1:16" ht="33.4" x14ac:dyDescent="0.3">
      <c r="A4225" s="6" t="str">
        <f>HYPERLINK("https://www.ti.com/product/TPS62350", "TPS62350")</f>
        <v>TPS62350</v>
      </c>
      <c r="B4225" s="5" t="s">
        <v>38337</v>
      </c>
      <c r="C4225" s="6" t="str">
        <f>HYPERLINK("https://www.ti.com/lit/gpn/TPS62350", "PDF")</f>
        <v>PDF</v>
      </c>
      <c r="D4225" s="5" t="s">
        <v>38338</v>
      </c>
      <c r="E4225" s="5" t="s">
        <v>38339</v>
      </c>
      <c r="F4225" s="5" t="s">
        <v>38340</v>
      </c>
      <c r="G4225" s="5" t="s">
        <v>38341</v>
      </c>
      <c r="H4225" s="1" t="s">
        <v>38342</v>
      </c>
      <c r="I4225" s="5" t="s">
        <v>38343</v>
      </c>
      <c r="J4225" s="7">
        <v>12</v>
      </c>
      <c r="K4225" s="7">
        <v>3.9375</v>
      </c>
      <c r="L4225" s="5" t="s">
        <v>38344</v>
      </c>
      <c r="M4225" s="7">
        <v>0.625</v>
      </c>
      <c r="N4225" s="7">
        <v>0.5</v>
      </c>
      <c r="O4225" s="7">
        <v>0.65700000000000003</v>
      </c>
      <c r="P4225" s="1" t="s">
        <v>38345</v>
      </c>
    </row>
    <row r="4226" spans="1:16" ht="33.4" x14ac:dyDescent="0.3">
      <c r="A4226" s="6" t="str">
        <f>HYPERLINK("https://www.ti.com/product/LM1771", "LM1771")</f>
        <v>LM1771</v>
      </c>
      <c r="B4226" s="5" t="s">
        <v>38346</v>
      </c>
      <c r="C4226" s="6" t="str">
        <f>HYPERLINK("https://www.ti.com/lit/gpn/LM1771", "PDF")</f>
        <v>PDF</v>
      </c>
      <c r="D4226" s="5" t="s">
        <v>38347</v>
      </c>
      <c r="E4226" s="5" t="s">
        <v>38348</v>
      </c>
      <c r="F4226" s="5"/>
      <c r="G4226" s="5" t="s">
        <v>38349</v>
      </c>
      <c r="H4226" s="1" t="s">
        <v>38350</v>
      </c>
      <c r="I4226" s="5" t="s">
        <v>38351</v>
      </c>
      <c r="J4226" s="7" t="s">
        <v>38352</v>
      </c>
      <c r="K4226" s="7" t="s">
        <v>38353</v>
      </c>
      <c r="L4226" s="5" t="s">
        <v>38354</v>
      </c>
      <c r="M4226" s="7" t="s">
        <v>38355</v>
      </c>
      <c r="N4226" s="7" t="s">
        <v>38356</v>
      </c>
      <c r="O4226" s="7">
        <v>0.83499999999999996</v>
      </c>
      <c r="P4226" s="1" t="s">
        <v>38357</v>
      </c>
    </row>
    <row r="4227" spans="1:16" ht="33.4" x14ac:dyDescent="0.3">
      <c r="A4227" s="6" t="str">
        <f>HYPERLINK("https://www.ti.com/product/PTH08T230W", "PTH08T230W")</f>
        <v>PTH08T230W</v>
      </c>
      <c r="B4227" s="5" t="s">
        <v>38358</v>
      </c>
      <c r="C4227" s="6" t="str">
        <f>HYPERLINK("https://www.ti.com/lit/gpn/PTH08T230W", "PDF")</f>
        <v>PDF</v>
      </c>
      <c r="D4227" s="5" t="s">
        <v>38359</v>
      </c>
      <c r="E4227" s="5" t="s">
        <v>38360</v>
      </c>
      <c r="F4227" s="5" t="s">
        <v>38361</v>
      </c>
      <c r="G4227" s="5" t="s">
        <v>38362</v>
      </c>
      <c r="H4227" s="1" t="s">
        <v>38363</v>
      </c>
      <c r="I4227" s="5" t="s">
        <v>38364</v>
      </c>
      <c r="J4227" s="7">
        <v>10</v>
      </c>
      <c r="K4227" s="7">
        <v>334.19439999999997</v>
      </c>
      <c r="L4227" s="5" t="s">
        <v>38365</v>
      </c>
      <c r="M4227" s="7">
        <v>8</v>
      </c>
      <c r="N4227" s="7">
        <v>2.54</v>
      </c>
      <c r="O4227" s="7">
        <v>10.601000000000001</v>
      </c>
      <c r="P4227" s="1" t="s">
        <v>38366</v>
      </c>
    </row>
    <row r="4228" spans="1:16" ht="17.05" x14ac:dyDescent="0.3">
      <c r="A4228" s="6" t="str">
        <f>HYPERLINK("https://www.ti.com/product/LM3405", "LM3405")</f>
        <v>LM3405</v>
      </c>
      <c r="B4228" s="5" t="s">
        <v>38367</v>
      </c>
      <c r="C4228" s="6" t="str">
        <f>HYPERLINK("https://www.ti.com/lit/gpn/LM3405", "PDF")</f>
        <v>PDF</v>
      </c>
      <c r="D4228" s="5" t="s">
        <v>38368</v>
      </c>
      <c r="E4228" s="5" t="s">
        <v>38369</v>
      </c>
      <c r="F4228" s="5" t="s">
        <v>38370</v>
      </c>
      <c r="G4228" s="5" t="s">
        <v>38371</v>
      </c>
      <c r="H4228" s="1" t="s">
        <v>38372</v>
      </c>
      <c r="I4228" s="5" t="s">
        <v>38373</v>
      </c>
      <c r="J4228" s="7">
        <v>6</v>
      </c>
      <c r="K4228" s="7">
        <v>8.1199999999999992</v>
      </c>
      <c r="L4228" s="5" t="s">
        <v>38374</v>
      </c>
      <c r="M4228" s="7">
        <v>1.1000000000000001</v>
      </c>
      <c r="N4228" s="7">
        <v>0.95</v>
      </c>
      <c r="O4228" s="7">
        <v>0.37</v>
      </c>
      <c r="P4228" s="1" t="s">
        <v>38375</v>
      </c>
    </row>
    <row r="4229" spans="1:16" ht="33.4" x14ac:dyDescent="0.3">
      <c r="A4229" s="6" t="str">
        <f>HYPERLINK("https://www.ti.com/product/DCH010505D", "DCH010505D")</f>
        <v>DCH010505D</v>
      </c>
      <c r="B4229" s="5" t="s">
        <v>38376</v>
      </c>
      <c r="C4229" s="6" t="str">
        <f>HYPERLINK("https://www.ti.com/lit/gpn/DCH010505D", "PDF")</f>
        <v>PDF</v>
      </c>
      <c r="D4229" s="5" t="s">
        <v>38377</v>
      </c>
      <c r="E4229" s="5" t="s">
        <v>38378</v>
      </c>
      <c r="F4229" s="5" t="s">
        <v>38379</v>
      </c>
      <c r="G4229" s="5" t="s">
        <v>38380</v>
      </c>
      <c r="H4229" s="1" t="s">
        <v>38381</v>
      </c>
      <c r="I4229" s="5" t="s">
        <v>38382</v>
      </c>
      <c r="J4229" s="7">
        <v>5</v>
      </c>
      <c r="K4229" s="7">
        <v>149.0472</v>
      </c>
      <c r="L4229" s="5" t="s">
        <v>38383</v>
      </c>
      <c r="M4229" s="7">
        <v>10.4</v>
      </c>
      <c r="N4229" s="7">
        <v>0.1</v>
      </c>
      <c r="O4229" s="7">
        <v>7.28</v>
      </c>
      <c r="P4229" s="1" t="s">
        <v>38384</v>
      </c>
    </row>
    <row r="4230" spans="1:16" ht="33.4" x14ac:dyDescent="0.3">
      <c r="A4230" s="6" t="str">
        <f>HYPERLINK("https://www.ti.com/product/DCH010505S", "DCH010505S")</f>
        <v>DCH010505S</v>
      </c>
      <c r="B4230" s="5" t="s">
        <v>38385</v>
      </c>
      <c r="C4230" s="6" t="str">
        <f>HYPERLINK("https://www.ti.com/lit/gpn/DCH010505S", "PDF")</f>
        <v>PDF</v>
      </c>
      <c r="D4230" s="5" t="s">
        <v>38386</v>
      </c>
      <c r="E4230" s="5" t="s">
        <v>38387</v>
      </c>
      <c r="F4230" s="5" t="s">
        <v>38388</v>
      </c>
      <c r="G4230" s="5" t="s">
        <v>38389</v>
      </c>
      <c r="H4230" s="1" t="s">
        <v>38390</v>
      </c>
      <c r="I4230" s="5" t="s">
        <v>38391</v>
      </c>
      <c r="J4230" s="7">
        <v>4</v>
      </c>
      <c r="K4230" s="7">
        <v>149.0472</v>
      </c>
      <c r="L4230" s="5" t="s">
        <v>38392</v>
      </c>
      <c r="M4230" s="7">
        <v>10.4</v>
      </c>
      <c r="N4230" s="7">
        <v>0.1</v>
      </c>
      <c r="O4230" s="7">
        <v>7.28</v>
      </c>
      <c r="P4230" s="1" t="s">
        <v>38393</v>
      </c>
    </row>
    <row r="4231" spans="1:16" ht="33.4" x14ac:dyDescent="0.3">
      <c r="A4231" s="6" t="str">
        <f>HYPERLINK("https://www.ti.com/product/DCH010512D", "DCH010512D")</f>
        <v>DCH010512D</v>
      </c>
      <c r="B4231" s="5" t="s">
        <v>38394</v>
      </c>
      <c r="C4231" s="6" t="str">
        <f>HYPERLINK("https://www.ti.com/lit/gpn/DCH010512D", "PDF")</f>
        <v>PDF</v>
      </c>
      <c r="D4231" s="5" t="s">
        <v>38395</v>
      </c>
      <c r="E4231" s="5" t="s">
        <v>38396</v>
      </c>
      <c r="F4231" s="5" t="s">
        <v>38397</v>
      </c>
      <c r="G4231" s="5" t="s">
        <v>38398</v>
      </c>
      <c r="H4231" s="1" t="s">
        <v>38399</v>
      </c>
      <c r="I4231" s="5" t="s">
        <v>38400</v>
      </c>
      <c r="J4231" s="7">
        <v>5</v>
      </c>
      <c r="K4231" s="7">
        <v>149.0472</v>
      </c>
      <c r="L4231" s="5" t="s">
        <v>38401</v>
      </c>
      <c r="M4231" s="7">
        <v>10.4</v>
      </c>
      <c r="N4231" s="7">
        <v>0.1</v>
      </c>
      <c r="O4231" s="7">
        <v>7.28</v>
      </c>
      <c r="P4231" s="1" t="s">
        <v>38402</v>
      </c>
    </row>
    <row r="4232" spans="1:16" ht="33.4" x14ac:dyDescent="0.3">
      <c r="A4232" s="6" t="str">
        <f>HYPERLINK("https://www.ti.com/product/DCH010512S", "DCH010512S")</f>
        <v>DCH010512S</v>
      </c>
      <c r="B4232" s="5" t="s">
        <v>38403</v>
      </c>
      <c r="C4232" s="6" t="str">
        <f>HYPERLINK("https://www.ti.com/lit/gpn/DCH010512S", "PDF")</f>
        <v>PDF</v>
      </c>
      <c r="D4232" s="5" t="s">
        <v>38404</v>
      </c>
      <c r="E4232" s="5" t="s">
        <v>38405</v>
      </c>
      <c r="F4232" s="5" t="s">
        <v>38406</v>
      </c>
      <c r="G4232" s="5" t="s">
        <v>38407</v>
      </c>
      <c r="H4232" s="1" t="s">
        <v>38408</v>
      </c>
      <c r="I4232" s="5" t="s">
        <v>38409</v>
      </c>
      <c r="J4232" s="7">
        <v>4</v>
      </c>
      <c r="K4232" s="7">
        <v>149.0472</v>
      </c>
      <c r="L4232" s="5" t="s">
        <v>38410</v>
      </c>
      <c r="M4232" s="7">
        <v>10.4</v>
      </c>
      <c r="N4232" s="7">
        <v>0.1</v>
      </c>
      <c r="O4232" s="7">
        <v>7.28</v>
      </c>
      <c r="P4232" s="1" t="s">
        <v>38411</v>
      </c>
    </row>
    <row r="4233" spans="1:16" ht="33.4" x14ac:dyDescent="0.3">
      <c r="A4233" s="6" t="str">
        <f>HYPERLINK("https://www.ti.com/product/DCH010515D", "DCH010515D")</f>
        <v>DCH010515D</v>
      </c>
      <c r="B4233" s="5" t="s">
        <v>38412</v>
      </c>
      <c r="C4233" s="6" t="str">
        <f>HYPERLINK("https://www.ti.com/lit/gpn/DCH010515D", "PDF")</f>
        <v>PDF</v>
      </c>
      <c r="D4233" s="5" t="s">
        <v>38413</v>
      </c>
      <c r="E4233" s="5" t="s">
        <v>38414</v>
      </c>
      <c r="F4233" s="5" t="s">
        <v>38415</v>
      </c>
      <c r="G4233" s="5" t="s">
        <v>38416</v>
      </c>
      <c r="H4233" s="1" t="s">
        <v>38417</v>
      </c>
      <c r="I4233" s="5" t="s">
        <v>38418</v>
      </c>
      <c r="J4233" s="7">
        <v>5</v>
      </c>
      <c r="K4233" s="7">
        <v>149.0472</v>
      </c>
      <c r="L4233" s="5" t="s">
        <v>38419</v>
      </c>
      <c r="M4233" s="7">
        <v>10.4</v>
      </c>
      <c r="N4233" s="7">
        <v>0.1</v>
      </c>
      <c r="O4233" s="7">
        <v>7.28</v>
      </c>
      <c r="P4233" s="1" t="s">
        <v>38420</v>
      </c>
    </row>
    <row r="4234" spans="1:16" ht="33.4" x14ac:dyDescent="0.3">
      <c r="A4234" s="6" t="str">
        <f>HYPERLINK("https://www.ti.com/product/DCH010515S", "DCH010515S")</f>
        <v>DCH010515S</v>
      </c>
      <c r="B4234" s="5" t="s">
        <v>38421</v>
      </c>
      <c r="C4234" s="6" t="str">
        <f>HYPERLINK("https://www.ti.com/lit/gpn/DCH010515S", "PDF")</f>
        <v>PDF</v>
      </c>
      <c r="D4234" s="5" t="s">
        <v>38422</v>
      </c>
      <c r="E4234" s="5" t="s">
        <v>38423</v>
      </c>
      <c r="F4234" s="5" t="s">
        <v>38424</v>
      </c>
      <c r="G4234" s="5" t="s">
        <v>38425</v>
      </c>
      <c r="H4234" s="1" t="s">
        <v>38426</v>
      </c>
      <c r="I4234" s="5" t="s">
        <v>38427</v>
      </c>
      <c r="J4234" s="7">
        <v>4</v>
      </c>
      <c r="K4234" s="7">
        <v>149.0472</v>
      </c>
      <c r="L4234" s="5" t="s">
        <v>38428</v>
      </c>
      <c r="M4234" s="7">
        <v>10.4</v>
      </c>
      <c r="N4234" s="7">
        <v>0.1</v>
      </c>
      <c r="O4234" s="7">
        <v>7.28</v>
      </c>
      <c r="P4234" s="1" t="s">
        <v>38429</v>
      </c>
    </row>
    <row r="4235" spans="1:16" ht="33.4" x14ac:dyDescent="0.3">
      <c r="A4235" s="6" t="str">
        <f>HYPERLINK("https://www.ti.com/product/LM3687", "LM3687")</f>
        <v>LM3687</v>
      </c>
      <c r="B4235" s="5" t="s">
        <v>38430</v>
      </c>
      <c r="C4235" s="6" t="str">
        <f>HYPERLINK("https://www.ti.com/lit/gpn/LM3687", "PDF")</f>
        <v>PDF</v>
      </c>
      <c r="D4235" s="5" t="s">
        <v>38431</v>
      </c>
      <c r="E4235" s="5" t="s">
        <v>38432</v>
      </c>
      <c r="F4235" s="5"/>
      <c r="G4235" s="5" t="s">
        <v>38433</v>
      </c>
      <c r="H4235" s="1" t="s">
        <v>38434</v>
      </c>
      <c r="I4235" s="5" t="s">
        <v>38435</v>
      </c>
      <c r="J4235" s="7">
        <v>9</v>
      </c>
      <c r="K4235" s="7">
        <v>3.0625</v>
      </c>
      <c r="L4235" s="5" t="s">
        <v>38436</v>
      </c>
      <c r="M4235" s="7">
        <v>0.67500000000000004</v>
      </c>
      <c r="N4235" s="7">
        <v>0.5</v>
      </c>
      <c r="O4235" s="7">
        <v>0.52900000000000003</v>
      </c>
      <c r="P4235" s="1" t="s">
        <v>38437</v>
      </c>
    </row>
    <row r="4236" spans="1:16" ht="49.75" x14ac:dyDescent="0.3">
      <c r="A4236" s="6" t="str">
        <f>HYPERLINK("https://www.ti.com/product/TPS74201", "TPS74201")</f>
        <v>TPS74201</v>
      </c>
      <c r="B4236" s="5" t="s">
        <v>38438</v>
      </c>
      <c r="C4236" s="6" t="str">
        <f>HYPERLINK("https://www.ti.com/lit/gpn/TPS74201", "PDF")</f>
        <v>PDF</v>
      </c>
      <c r="D4236" s="5" t="s">
        <v>38439</v>
      </c>
      <c r="E4236" s="5" t="s">
        <v>38440</v>
      </c>
      <c r="F4236" s="5"/>
      <c r="G4236" s="5" t="s">
        <v>38441</v>
      </c>
      <c r="H4236" s="1" t="s">
        <v>38442</v>
      </c>
      <c r="I4236" s="5" t="s">
        <v>38443</v>
      </c>
      <c r="J4236" s="7" t="s">
        <v>38444</v>
      </c>
      <c r="K4236" s="7" t="s">
        <v>38445</v>
      </c>
      <c r="L4236" s="5" t="s">
        <v>38446</v>
      </c>
      <c r="M4236" s="7" t="s">
        <v>38447</v>
      </c>
      <c r="N4236" s="7" t="s">
        <v>38448</v>
      </c>
      <c r="O4236" s="7">
        <v>0.3</v>
      </c>
      <c r="P4236" s="1" t="s">
        <v>38449</v>
      </c>
    </row>
    <row r="4237" spans="1:16" ht="33.4" x14ac:dyDescent="0.3">
      <c r="A4237" s="6" t="str">
        <f>HYPERLINK("https://www.ti.com/product/TPS74301", "TPS74301")</f>
        <v>TPS74301</v>
      </c>
      <c r="B4237" s="5" t="s">
        <v>38450</v>
      </c>
      <c r="C4237" s="6" t="str">
        <f>HYPERLINK("https://www.ti.com/lit/gpn/TPS74301", "PDF")</f>
        <v>PDF</v>
      </c>
      <c r="D4237" s="5" t="s">
        <v>38451</v>
      </c>
      <c r="E4237" s="5" t="s">
        <v>38452</v>
      </c>
      <c r="F4237" s="5"/>
      <c r="G4237" s="5" t="s">
        <v>38453</v>
      </c>
      <c r="H4237" s="1" t="s">
        <v>38454</v>
      </c>
      <c r="I4237" s="5" t="s">
        <v>38455</v>
      </c>
      <c r="J4237" s="7" t="s">
        <v>38456</v>
      </c>
      <c r="K4237" s="7" t="s">
        <v>38457</v>
      </c>
      <c r="L4237" s="5" t="s">
        <v>38458</v>
      </c>
      <c r="M4237" s="7" t="s">
        <v>38459</v>
      </c>
      <c r="N4237" s="7" t="s">
        <v>38460</v>
      </c>
      <c r="O4237" s="7">
        <v>0.3</v>
      </c>
      <c r="P4237" s="1" t="s">
        <v>38461</v>
      </c>
    </row>
    <row r="4238" spans="1:16" ht="49.75" x14ac:dyDescent="0.3">
      <c r="A4238" s="6" t="str">
        <f>HYPERLINK("https://www.ti.com/product/TPS74401", "TPS74401")</f>
        <v>TPS74401</v>
      </c>
      <c r="B4238" s="5" t="s">
        <v>38462</v>
      </c>
      <c r="C4238" s="6" t="str">
        <f>HYPERLINK("https://www.ti.com/lit/gpn/TPS74401", "PDF")</f>
        <v>PDF</v>
      </c>
      <c r="D4238" s="5" t="s">
        <v>38463</v>
      </c>
      <c r="E4238" s="5" t="s">
        <v>38464</v>
      </c>
      <c r="F4238" s="5"/>
      <c r="G4238" s="5" t="s">
        <v>38465</v>
      </c>
      <c r="H4238" s="1" t="s">
        <v>38466</v>
      </c>
      <c r="I4238" s="5" t="s">
        <v>38467</v>
      </c>
      <c r="J4238" s="7" t="s">
        <v>38468</v>
      </c>
      <c r="K4238" s="7" t="s">
        <v>38469</v>
      </c>
      <c r="L4238" s="5" t="s">
        <v>38470</v>
      </c>
      <c r="M4238" s="7" t="s">
        <v>38471</v>
      </c>
      <c r="N4238" s="7" t="s">
        <v>38472</v>
      </c>
      <c r="O4238" s="7">
        <v>0.38</v>
      </c>
      <c r="P4238" s="1" t="s">
        <v>38473</v>
      </c>
    </row>
    <row r="4239" spans="1:16" ht="49.75" x14ac:dyDescent="0.3">
      <c r="A4239" s="6" t="str">
        <f>HYPERLINK("https://www.ti.com/product/LP38856", "LP38856")</f>
        <v>LP38856</v>
      </c>
      <c r="B4239" s="5" t="s">
        <v>38474</v>
      </c>
      <c r="C4239" s="6" t="str">
        <f>HYPERLINK("https://www.ti.com/lit/gpn/LP38856", "PDF")</f>
        <v>PDF</v>
      </c>
      <c r="D4239" s="5" t="s">
        <v>38475</v>
      </c>
      <c r="E4239" s="5" t="s">
        <v>38476</v>
      </c>
      <c r="F4239" s="5"/>
      <c r="G4239" s="5" t="s">
        <v>38477</v>
      </c>
      <c r="H4239" s="1" t="s">
        <v>38478</v>
      </c>
      <c r="I4239" s="5" t="s">
        <v>38479</v>
      </c>
      <c r="J4239" s="7">
        <v>5</v>
      </c>
      <c r="K4239" s="7" t="s">
        <v>38480</v>
      </c>
      <c r="L4239" s="5" t="s">
        <v>38481</v>
      </c>
      <c r="M4239" s="7" t="s">
        <v>38482</v>
      </c>
      <c r="N4239" s="7">
        <v>1.7</v>
      </c>
      <c r="O4239" s="7">
        <v>2.14</v>
      </c>
      <c r="P4239" s="1" t="s">
        <v>38483</v>
      </c>
    </row>
    <row r="4240" spans="1:16" ht="33.4" x14ac:dyDescent="0.3">
      <c r="A4240" s="6" t="str">
        <f>HYPERLINK("https://www.ti.com/product/LM2832", "LM2832")</f>
        <v>LM2832</v>
      </c>
      <c r="B4240" s="5" t="s">
        <v>38484</v>
      </c>
      <c r="C4240" s="6" t="str">
        <f>HYPERLINK("https://www.ti.com/lit/gpn/LM2832", "PDF")</f>
        <v>PDF</v>
      </c>
      <c r="D4240" s="5" t="s">
        <v>38485</v>
      </c>
      <c r="E4240" s="5" t="s">
        <v>38486</v>
      </c>
      <c r="F4240" s="5" t="s">
        <v>38487</v>
      </c>
      <c r="G4240" s="5" t="s">
        <v>38488</v>
      </c>
      <c r="H4240" s="1" t="s">
        <v>38489</v>
      </c>
      <c r="I4240" s="5" t="s">
        <v>38490</v>
      </c>
      <c r="J4240" s="7" t="s">
        <v>38491</v>
      </c>
      <c r="K4240" s="7" t="s">
        <v>38492</v>
      </c>
      <c r="L4240" s="5" t="s">
        <v>38493</v>
      </c>
      <c r="M4240" s="7" t="s">
        <v>38494</v>
      </c>
      <c r="N4240" s="7" t="s">
        <v>38495</v>
      </c>
      <c r="O4240" s="7">
        <v>0.83499999999999996</v>
      </c>
      <c r="P4240" s="1" t="s">
        <v>38496</v>
      </c>
    </row>
    <row r="4241" spans="1:16" ht="33.4" x14ac:dyDescent="0.3">
      <c r="A4241" s="6" t="str">
        <f>HYPERLINK("https://www.ti.com/product/LP3907", "LP3907")</f>
        <v>LP3907</v>
      </c>
      <c r="B4241" s="5" t="s">
        <v>38497</v>
      </c>
      <c r="C4241" s="6" t="str">
        <f>HYPERLINK("https://www.ti.com/lit/gpn/LP3907", "PDF")</f>
        <v>PDF</v>
      </c>
      <c r="D4241" s="5" t="s">
        <v>38498</v>
      </c>
      <c r="E4241" s="5" t="s">
        <v>38499</v>
      </c>
      <c r="F4241" s="5"/>
      <c r="G4241" s="5" t="s">
        <v>38500</v>
      </c>
      <c r="H4241" s="1" t="s">
        <v>38501</v>
      </c>
      <c r="I4241" s="5" t="s">
        <v>38502</v>
      </c>
      <c r="J4241" s="7" t="s">
        <v>38503</v>
      </c>
      <c r="K4241" s="7" t="s">
        <v>38504</v>
      </c>
      <c r="L4241" s="5" t="s">
        <v>38505</v>
      </c>
      <c r="M4241" s="7" t="s">
        <v>38506</v>
      </c>
      <c r="N4241" s="7">
        <v>0.5</v>
      </c>
      <c r="O4241" s="7">
        <v>1.1479999999999999</v>
      </c>
      <c r="P4241" s="1" t="s">
        <v>38507</v>
      </c>
    </row>
    <row r="4242" spans="1:16" ht="33.4" x14ac:dyDescent="0.3">
      <c r="A4242" s="6" t="str">
        <f>HYPERLINK("https://www.ti.com/product/LP3907-Q1", "LP3907-Q1")</f>
        <v>LP3907-Q1</v>
      </c>
      <c r="B4242" s="5" t="s">
        <v>38508</v>
      </c>
      <c r="C4242" s="6" t="str">
        <f>HYPERLINK("https://www.ti.com/lit/gpn/LP3907-Q1", "PDF")</f>
        <v>PDF</v>
      </c>
      <c r="D4242" s="5" t="s">
        <v>38509</v>
      </c>
      <c r="E4242" s="5" t="s">
        <v>38510</v>
      </c>
      <c r="F4242" s="5"/>
      <c r="G4242" s="5" t="s">
        <v>38511</v>
      </c>
      <c r="H4242" s="1" t="s">
        <v>38512</v>
      </c>
      <c r="I4242" s="5" t="s">
        <v>38513</v>
      </c>
      <c r="J4242" s="7" t="s">
        <v>38514</v>
      </c>
      <c r="K4242" s="7" t="s">
        <v>38515</v>
      </c>
      <c r="L4242" s="5" t="s">
        <v>38516</v>
      </c>
      <c r="M4242" s="7" t="s">
        <v>38517</v>
      </c>
      <c r="N4242" s="7">
        <v>0.5</v>
      </c>
      <c r="O4242" s="7">
        <v>1.355</v>
      </c>
      <c r="P4242" s="1" t="s">
        <v>38518</v>
      </c>
    </row>
    <row r="4243" spans="1:16" ht="33.4" x14ac:dyDescent="0.3">
      <c r="A4243" s="6" t="str">
        <f>HYPERLINK("https://www.ti.com/product/UCC28600", "UCC28600")</f>
        <v>UCC28600</v>
      </c>
      <c r="B4243" s="5" t="s">
        <v>38519</v>
      </c>
      <c r="C4243" s="6" t="str">
        <f>HYPERLINK("https://www.ti.com/lit/gpn/UCC28600", "PDF")</f>
        <v>PDF</v>
      </c>
      <c r="D4243" s="5" t="s">
        <v>38520</v>
      </c>
      <c r="E4243" s="5" t="s">
        <v>38521</v>
      </c>
      <c r="F4243" s="5" t="s">
        <v>38522</v>
      </c>
      <c r="G4243" s="5" t="s">
        <v>38523</v>
      </c>
      <c r="H4243" s="1" t="s">
        <v>38524</v>
      </c>
      <c r="I4243" s="5" t="s">
        <v>38525</v>
      </c>
      <c r="J4243" s="7">
        <v>8</v>
      </c>
      <c r="K4243" s="7">
        <v>29.4</v>
      </c>
      <c r="L4243" s="5" t="s">
        <v>38526</v>
      </c>
      <c r="M4243" s="7">
        <v>1.75</v>
      </c>
      <c r="N4243" s="7">
        <v>1.27</v>
      </c>
      <c r="O4243" s="7">
        <v>0.36299999999999999</v>
      </c>
      <c r="P4243" s="1" t="s">
        <v>38527</v>
      </c>
    </row>
    <row r="4244" spans="1:16" ht="33.4" x14ac:dyDescent="0.3">
      <c r="A4244" s="6" t="str">
        <f>HYPERLINK("https://www.ti.com/product/LM26001", "LM26001")</f>
        <v>LM26001</v>
      </c>
      <c r="B4244" s="5" t="s">
        <v>38528</v>
      </c>
      <c r="C4244" s="6" t="str">
        <f>HYPERLINK("https://www.ti.com/lit/gpn/LM26001", "PDF")</f>
        <v>PDF</v>
      </c>
      <c r="D4244" s="5" t="s">
        <v>38529</v>
      </c>
      <c r="E4244" s="5" t="s">
        <v>38530</v>
      </c>
      <c r="F4244" s="5" t="s">
        <v>38531</v>
      </c>
      <c r="G4244" s="5" t="s">
        <v>38532</v>
      </c>
      <c r="H4244" s="1" t="s">
        <v>38533</v>
      </c>
      <c r="I4244" s="5" t="s">
        <v>38534</v>
      </c>
      <c r="J4244" s="7">
        <v>16</v>
      </c>
      <c r="K4244" s="7">
        <v>32</v>
      </c>
      <c r="L4244" s="5" t="s">
        <v>38535</v>
      </c>
      <c r="M4244" s="7">
        <v>1.2</v>
      </c>
      <c r="N4244" s="7">
        <v>0.65</v>
      </c>
      <c r="O4244" s="7">
        <v>1.3919999999999999</v>
      </c>
      <c r="P4244" s="1" t="s">
        <v>38536</v>
      </c>
    </row>
    <row r="4245" spans="1:16" ht="33.4" x14ac:dyDescent="0.3">
      <c r="A4245" s="6" t="str">
        <f>HYPERLINK("https://www.ti.com/product/TPS28225", "TPS28225")</f>
        <v>TPS28225</v>
      </c>
      <c r="B4245" s="5" t="s">
        <v>38537</v>
      </c>
      <c r="C4245" s="6" t="str">
        <f>HYPERLINK("https://www.ti.com/lit/gpn/TPS28225", "PDF")</f>
        <v>PDF</v>
      </c>
      <c r="D4245" s="5" t="s">
        <v>38538</v>
      </c>
      <c r="E4245" s="5" t="s">
        <v>38539</v>
      </c>
      <c r="F4245" s="5"/>
      <c r="G4245" s="5" t="s">
        <v>38540</v>
      </c>
      <c r="H4245" s="1" t="s">
        <v>38541</v>
      </c>
      <c r="I4245" s="5" t="s">
        <v>38542</v>
      </c>
      <c r="J4245" s="7">
        <v>8</v>
      </c>
      <c r="K4245" s="7" t="s">
        <v>38543</v>
      </c>
      <c r="L4245" s="5" t="s">
        <v>38544</v>
      </c>
      <c r="M4245" s="7" t="s">
        <v>38545</v>
      </c>
      <c r="N4245" s="7" t="s">
        <v>38546</v>
      </c>
      <c r="O4245" s="7">
        <v>0.63700000000000001</v>
      </c>
      <c r="P4245" s="1" t="s">
        <v>38547</v>
      </c>
    </row>
    <row r="4246" spans="1:16" ht="33.4" x14ac:dyDescent="0.3">
      <c r="A4246" s="6" t="str">
        <f>HYPERLINK("https://www.ti.com/product/LM2755", "LM2755")</f>
        <v>LM2755</v>
      </c>
      <c r="B4246" s="5" t="s">
        <v>38548</v>
      </c>
      <c r="C4246" s="6" t="str">
        <f>HYPERLINK("https://www.ti.com/lit/gpn/LM2755", "PDF")</f>
        <v>PDF</v>
      </c>
      <c r="D4246" s="5" t="s">
        <v>38549</v>
      </c>
      <c r="E4246" s="5" t="s">
        <v>38550</v>
      </c>
      <c r="F4246" s="5" t="s">
        <v>38551</v>
      </c>
      <c r="G4246" s="5" t="s">
        <v>38552</v>
      </c>
      <c r="H4246" s="1" t="s">
        <v>38553</v>
      </c>
      <c r="I4246" s="5" t="s">
        <v>38554</v>
      </c>
      <c r="J4246" s="7">
        <v>18</v>
      </c>
      <c r="K4246" s="7">
        <v>3.5740799999999999</v>
      </c>
      <c r="L4246" s="5" t="s">
        <v>38555</v>
      </c>
      <c r="M4246" s="7">
        <v>0.67500000000000004</v>
      </c>
      <c r="N4246" s="7">
        <v>0.4</v>
      </c>
      <c r="O4246" s="7">
        <v>0.56999999999999995</v>
      </c>
      <c r="P4246" s="1" t="s">
        <v>38556</v>
      </c>
    </row>
    <row r="4247" spans="1:16" ht="33.4" x14ac:dyDescent="0.3">
      <c r="A4247" s="6" t="str">
        <f>HYPERLINK("https://www.ti.com/product/LM3489", "LM3489")</f>
        <v>LM3489</v>
      </c>
      <c r="B4247" s="5" t="s">
        <v>38557</v>
      </c>
      <c r="C4247" s="6" t="str">
        <f>HYPERLINK("https://www.ti.com/lit/gpn/LM3489", "PDF")</f>
        <v>PDF</v>
      </c>
      <c r="D4247" s="5" t="s">
        <v>38558</v>
      </c>
      <c r="E4247" s="5" t="s">
        <v>38559</v>
      </c>
      <c r="F4247" s="5" t="s">
        <v>38560</v>
      </c>
      <c r="G4247" s="5" t="s">
        <v>38561</v>
      </c>
      <c r="H4247" s="1" t="s">
        <v>38562</v>
      </c>
      <c r="I4247" s="5" t="s">
        <v>38563</v>
      </c>
      <c r="J4247" s="7">
        <v>8</v>
      </c>
      <c r="K4247" s="7">
        <v>14.7</v>
      </c>
      <c r="L4247" s="5" t="s">
        <v>38564</v>
      </c>
      <c r="M4247" s="7">
        <v>1.1000000000000001</v>
      </c>
      <c r="N4247" s="7">
        <v>0.65</v>
      </c>
      <c r="O4247" s="7">
        <v>0.57199999999999995</v>
      </c>
      <c r="P4247" s="1" t="s">
        <v>38565</v>
      </c>
    </row>
    <row r="4248" spans="1:16" ht="33.4" x14ac:dyDescent="0.3">
      <c r="A4248" s="6" t="str">
        <f>HYPERLINK("https://www.ti.com/product/TPS62510", "TPS62510")</f>
        <v>TPS62510</v>
      </c>
      <c r="B4248" s="5" t="s">
        <v>38566</v>
      </c>
      <c r="C4248" s="6" t="str">
        <f>HYPERLINK("https://www.ti.com/lit/gpn/TPS62510", "PDF")</f>
        <v>PDF</v>
      </c>
      <c r="D4248" s="5" t="s">
        <v>38567</v>
      </c>
      <c r="E4248" s="5" t="s">
        <v>38568</v>
      </c>
      <c r="F4248" s="5" t="s">
        <v>38569</v>
      </c>
      <c r="G4248" s="5" t="s">
        <v>38570</v>
      </c>
      <c r="H4248" s="1" t="s">
        <v>38571</v>
      </c>
      <c r="I4248" s="5" t="s">
        <v>38572</v>
      </c>
      <c r="J4248" s="7">
        <v>10</v>
      </c>
      <c r="K4248" s="7">
        <v>9</v>
      </c>
      <c r="L4248" s="5" t="s">
        <v>38573</v>
      </c>
      <c r="M4248" s="7">
        <v>1</v>
      </c>
      <c r="N4248" s="7">
        <v>0.5</v>
      </c>
      <c r="O4248" s="7">
        <v>0.76800000000000002</v>
      </c>
      <c r="P4248" s="1" t="s">
        <v>38574</v>
      </c>
    </row>
    <row r="4249" spans="1:16" ht="33.4" x14ac:dyDescent="0.3">
      <c r="A4249" s="6" t="str">
        <f>HYPERLINK("https://www.ti.com/product/LM2694", "LM2694")</f>
        <v>LM2694</v>
      </c>
      <c r="B4249" s="5" t="s">
        <v>38575</v>
      </c>
      <c r="C4249" s="6" t="str">
        <f>HYPERLINK("https://www.ti.com/lit/gpn/LM2694", "PDF")</f>
        <v>PDF</v>
      </c>
      <c r="D4249" s="5" t="s">
        <v>38576</v>
      </c>
      <c r="E4249" s="5" t="s">
        <v>38577</v>
      </c>
      <c r="F4249" s="5" t="s">
        <v>38578</v>
      </c>
      <c r="G4249" s="5" t="s">
        <v>38579</v>
      </c>
      <c r="H4249" s="1" t="s">
        <v>38580</v>
      </c>
      <c r="I4249" s="5" t="s">
        <v>38581</v>
      </c>
      <c r="J4249" s="7" t="s">
        <v>38582</v>
      </c>
      <c r="K4249" s="7" t="s">
        <v>38583</v>
      </c>
      <c r="L4249" s="5" t="s">
        <v>38584</v>
      </c>
      <c r="M4249" s="7" t="s">
        <v>38585</v>
      </c>
      <c r="N4249" s="7" t="s">
        <v>38586</v>
      </c>
      <c r="O4249" s="7">
        <v>0.96799999999999997</v>
      </c>
      <c r="P4249" s="1" t="s">
        <v>38587</v>
      </c>
    </row>
    <row r="4250" spans="1:16" ht="49.75" x14ac:dyDescent="0.3">
      <c r="A4250" s="6" t="str">
        <f>HYPERLINK("https://www.ti.com/product/TPS3813K33-EP", "TPS3813K33-EP")</f>
        <v>TPS3813K33-EP</v>
      </c>
      <c r="B4250" s="5" t="s">
        <v>38588</v>
      </c>
      <c r="C4250" s="6" t="str">
        <f>HYPERLINK("https://www.ti.com/lit/gpn/TPS3813K33-EP", "PDF")</f>
        <v>PDF</v>
      </c>
      <c r="D4250" s="5" t="s">
        <v>38589</v>
      </c>
      <c r="E4250" s="5" t="s">
        <v>38590</v>
      </c>
      <c r="F4250" s="5"/>
      <c r="G4250" s="5" t="s">
        <v>38591</v>
      </c>
      <c r="H4250" s="1" t="s">
        <v>38592</v>
      </c>
      <c r="I4250" s="5" t="s">
        <v>38593</v>
      </c>
      <c r="J4250" s="7">
        <v>6</v>
      </c>
      <c r="K4250" s="7">
        <v>8.1199999999999992</v>
      </c>
      <c r="L4250" s="5" t="s">
        <v>38594</v>
      </c>
      <c r="M4250" s="7">
        <v>1.45</v>
      </c>
      <c r="N4250" s="7">
        <v>0.95</v>
      </c>
      <c r="O4250" s="7">
        <v>3.5409999999999999</v>
      </c>
      <c r="P4250" s="1" t="s">
        <v>38595</v>
      </c>
    </row>
    <row r="4251" spans="1:16" ht="49.75" x14ac:dyDescent="0.3">
      <c r="A4251" s="6" t="str">
        <f>HYPERLINK("https://www.ti.com/product/TPS3837K33-EP", "TPS3837K33-EP")</f>
        <v>TPS3837K33-EP</v>
      </c>
      <c r="B4251" s="5" t="s">
        <v>38596</v>
      </c>
      <c r="C4251" s="6" t="str">
        <f>HYPERLINK("https://www.ti.com/lit/gpn/TPS3837K33-EP", "PDF")</f>
        <v>PDF</v>
      </c>
      <c r="D4251" s="5" t="s">
        <v>38597</v>
      </c>
      <c r="E4251" s="5" t="s">
        <v>38598</v>
      </c>
      <c r="F4251" s="5"/>
      <c r="G4251" s="5" t="s">
        <v>38599</v>
      </c>
      <c r="H4251" s="1" t="s">
        <v>38600</v>
      </c>
      <c r="I4251" s="5" t="s">
        <v>38601</v>
      </c>
      <c r="J4251" s="7">
        <v>5</v>
      </c>
      <c r="K4251" s="7">
        <v>8.1199999999999992</v>
      </c>
      <c r="L4251" s="5" t="s">
        <v>38602</v>
      </c>
      <c r="M4251" s="7">
        <v>1.45</v>
      </c>
      <c r="N4251" s="7">
        <v>0.95</v>
      </c>
      <c r="O4251" s="7">
        <v>2.722</v>
      </c>
      <c r="P4251" s="1" t="s">
        <v>38603</v>
      </c>
    </row>
    <row r="4252" spans="1:16" ht="33.4" x14ac:dyDescent="0.3">
      <c r="A4252" s="6" t="str">
        <f>HYPERLINK("https://www.ti.com/product/LP5990", "LP5990")</f>
        <v>LP5990</v>
      </c>
      <c r="B4252" s="5" t="s">
        <v>38604</v>
      </c>
      <c r="C4252" s="6" t="str">
        <f>HYPERLINK("https://www.ti.com/lit/gpn/LP5990", "PDF")</f>
        <v>PDF</v>
      </c>
      <c r="D4252" s="5" t="s">
        <v>38605</v>
      </c>
      <c r="E4252" s="5" t="s">
        <v>38606</v>
      </c>
      <c r="F4252" s="5"/>
      <c r="G4252" s="5" t="s">
        <v>38607</v>
      </c>
      <c r="H4252" s="1" t="s">
        <v>38608</v>
      </c>
      <c r="I4252" s="5" t="s">
        <v>38609</v>
      </c>
      <c r="J4252" s="7">
        <v>4</v>
      </c>
      <c r="K4252" s="7">
        <v>1</v>
      </c>
      <c r="L4252" s="5" t="s">
        <v>38610</v>
      </c>
      <c r="M4252" s="7">
        <v>0.67500000000000004</v>
      </c>
      <c r="N4252" s="7">
        <v>0.4</v>
      </c>
      <c r="O4252" s="7">
        <v>0.27100000000000002</v>
      </c>
      <c r="P4252" s="1" t="s">
        <v>38611</v>
      </c>
    </row>
    <row r="4253" spans="1:16" ht="33.4" x14ac:dyDescent="0.3">
      <c r="A4253" s="6" t="str">
        <f>HYPERLINK("https://www.ti.com/product/TPS40056", "TPS40056")</f>
        <v>TPS40056</v>
      </c>
      <c r="B4253" s="5" t="s">
        <v>38612</v>
      </c>
      <c r="C4253" s="6" t="str">
        <f>HYPERLINK("https://www.ti.com/lit/gpn/TPS40056", "PDF")</f>
        <v>PDF</v>
      </c>
      <c r="D4253" s="5" t="s">
        <v>38613</v>
      </c>
      <c r="E4253" s="5" t="s">
        <v>38614</v>
      </c>
      <c r="F4253" s="5" t="s">
        <v>38615</v>
      </c>
      <c r="G4253" s="5" t="s">
        <v>38616</v>
      </c>
      <c r="H4253" s="1" t="s">
        <v>38617</v>
      </c>
      <c r="I4253" s="5" t="s">
        <v>38618</v>
      </c>
      <c r="J4253" s="7">
        <v>16</v>
      </c>
      <c r="K4253" s="7">
        <v>32</v>
      </c>
      <c r="L4253" s="5" t="s">
        <v>38619</v>
      </c>
      <c r="M4253" s="7">
        <v>1.2</v>
      </c>
      <c r="N4253" s="7">
        <v>0.65</v>
      </c>
      <c r="O4253" s="7">
        <v>1.7929999999999999</v>
      </c>
      <c r="P4253" s="1" t="s">
        <v>38620</v>
      </c>
    </row>
    <row r="4254" spans="1:16" ht="49.75" x14ac:dyDescent="0.3">
      <c r="A4254" s="6" t="str">
        <f>HYPERLINK("https://www.ti.com/product/TL431-Q1", "TL431-Q1")</f>
        <v>TL431-Q1</v>
      </c>
      <c r="B4254" s="5" t="s">
        <v>38621</v>
      </c>
      <c r="C4254" s="6" t="str">
        <f>HYPERLINK("https://www.ti.com/lit/gpn/TL431-Q1", "PDF")</f>
        <v>PDF</v>
      </c>
      <c r="D4254" s="5" t="s">
        <v>38622</v>
      </c>
      <c r="E4254" s="5" t="s">
        <v>38623</v>
      </c>
      <c r="F4254" s="5"/>
      <c r="G4254" s="5" t="s">
        <v>38624</v>
      </c>
      <c r="H4254" s="1" t="s">
        <v>38625</v>
      </c>
      <c r="I4254" s="5" t="s">
        <v>38626</v>
      </c>
      <c r="J4254" s="7" t="s">
        <v>38627</v>
      </c>
      <c r="K4254" s="7" t="s">
        <v>38628</v>
      </c>
      <c r="L4254" s="5" t="s">
        <v>38629</v>
      </c>
      <c r="M4254" s="7" t="s">
        <v>38630</v>
      </c>
      <c r="N4254" s="7" t="s">
        <v>38631</v>
      </c>
      <c r="O4254" s="7">
        <v>0.16600000000000001</v>
      </c>
      <c r="P4254" s="1" t="s">
        <v>38632</v>
      </c>
    </row>
    <row r="4255" spans="1:16" ht="17.05" x14ac:dyDescent="0.3">
      <c r="A4255" s="6" t="str">
        <f>HYPERLINK("https://www.ti.com/product/TPS65161", "TPS65161")</f>
        <v>TPS65161</v>
      </c>
      <c r="B4255" s="5" t="s">
        <v>38633</v>
      </c>
      <c r="C4255" s="6" t="str">
        <f>HYPERLINK("https://www.ti.com/lit/gpn/TPS65161", "PDF")</f>
        <v>PDF</v>
      </c>
      <c r="D4255" s="5" t="s">
        <v>38634</v>
      </c>
      <c r="E4255" s="5" t="s">
        <v>38635</v>
      </c>
      <c r="F4255" s="5" t="s">
        <v>38636</v>
      </c>
      <c r="G4255" s="5" t="s">
        <v>38637</v>
      </c>
      <c r="H4255" s="1" t="s">
        <v>38638</v>
      </c>
      <c r="I4255" s="5" t="s">
        <v>38639</v>
      </c>
      <c r="J4255" s="7">
        <v>28</v>
      </c>
      <c r="K4255" s="7">
        <v>62.08</v>
      </c>
      <c r="L4255" s="5" t="s">
        <v>38640</v>
      </c>
      <c r="M4255" s="7">
        <v>1.2</v>
      </c>
      <c r="N4255" s="7">
        <v>0.65</v>
      </c>
      <c r="O4255" s="7">
        <v>1.0349999999999999</v>
      </c>
      <c r="P4255" s="1" t="s">
        <v>38641</v>
      </c>
    </row>
    <row r="4256" spans="1:16" ht="33.4" x14ac:dyDescent="0.3">
      <c r="A4256" s="6" t="str">
        <f>HYPERLINK("https://www.ti.com/product/TPS5420", "TPS5420")</f>
        <v>TPS5420</v>
      </c>
      <c r="B4256" s="5" t="s">
        <v>38642</v>
      </c>
      <c r="C4256" s="6" t="str">
        <f>HYPERLINK("https://www.ti.com/lit/gpn/TPS5420", "PDF")</f>
        <v>PDF</v>
      </c>
      <c r="D4256" s="5" t="s">
        <v>38643</v>
      </c>
      <c r="E4256" s="5" t="s">
        <v>38644</v>
      </c>
      <c r="F4256" s="5" t="s">
        <v>38645</v>
      </c>
      <c r="G4256" s="5" t="s">
        <v>38646</v>
      </c>
      <c r="H4256" s="1" t="s">
        <v>38647</v>
      </c>
      <c r="I4256" s="5" t="s">
        <v>38648</v>
      </c>
      <c r="J4256" s="7">
        <v>8</v>
      </c>
      <c r="K4256" s="7">
        <v>29.4</v>
      </c>
      <c r="L4256" s="5" t="s">
        <v>38649</v>
      </c>
      <c r="M4256" s="7">
        <v>1.75</v>
      </c>
      <c r="N4256" s="7">
        <v>1.27</v>
      </c>
      <c r="O4256" s="7">
        <v>1.4159999999999999</v>
      </c>
      <c r="P4256" s="1" t="s">
        <v>38650</v>
      </c>
    </row>
    <row r="4257" spans="1:16" ht="33.4" x14ac:dyDescent="0.3">
      <c r="A4257" s="6" t="str">
        <f>HYPERLINK("https://www.ti.com/product/TPS5431", "TPS5431")</f>
        <v>TPS5431</v>
      </c>
      <c r="B4257" s="5" t="s">
        <v>38651</v>
      </c>
      <c r="C4257" s="6" t="str">
        <f>HYPERLINK("https://www.ti.com/lit/gpn/TPS5431", "PDF")</f>
        <v>PDF</v>
      </c>
      <c r="D4257" s="5" t="s">
        <v>38652</v>
      </c>
      <c r="E4257" s="5" t="s">
        <v>38653</v>
      </c>
      <c r="F4257" s="5" t="s">
        <v>38654</v>
      </c>
      <c r="G4257" s="5" t="s">
        <v>38655</v>
      </c>
      <c r="H4257" s="1" t="s">
        <v>38656</v>
      </c>
      <c r="I4257" s="5" t="s">
        <v>38657</v>
      </c>
      <c r="J4257" s="7">
        <v>8</v>
      </c>
      <c r="K4257" s="7">
        <v>29.4</v>
      </c>
      <c r="L4257" s="5" t="s">
        <v>38658</v>
      </c>
      <c r="M4257" s="7">
        <v>1.7</v>
      </c>
      <c r="N4257" s="7">
        <v>1.27</v>
      </c>
      <c r="O4257" s="7">
        <v>1.96</v>
      </c>
      <c r="P4257" s="1" t="s">
        <v>38659</v>
      </c>
    </row>
    <row r="4258" spans="1:16" ht="33.4" x14ac:dyDescent="0.3">
      <c r="A4258" s="6" t="str">
        <f>HYPERLINK("https://www.ti.com/product/TPS63000", "TPS63000")</f>
        <v>TPS63000</v>
      </c>
      <c r="B4258" s="5" t="s">
        <v>38660</v>
      </c>
      <c r="C4258" s="6" t="str">
        <f>HYPERLINK("https://www.ti.com/lit/gpn/TPS63000", "PDF")</f>
        <v>PDF</v>
      </c>
      <c r="D4258" s="5" t="s">
        <v>38661</v>
      </c>
      <c r="E4258" s="5" t="s">
        <v>38662</v>
      </c>
      <c r="F4258" s="5" t="s">
        <v>38663</v>
      </c>
      <c r="G4258" s="5" t="s">
        <v>38664</v>
      </c>
      <c r="H4258" s="1" t="s">
        <v>38665</v>
      </c>
      <c r="I4258" s="5" t="s">
        <v>38666</v>
      </c>
      <c r="J4258" s="7">
        <v>10</v>
      </c>
      <c r="K4258" s="7">
        <v>9</v>
      </c>
      <c r="L4258" s="5" t="s">
        <v>38667</v>
      </c>
      <c r="M4258" s="7">
        <v>1</v>
      </c>
      <c r="N4258" s="7">
        <v>0.5</v>
      </c>
      <c r="O4258" s="7">
        <v>0.98899999999999999</v>
      </c>
      <c r="P4258" s="1" t="s">
        <v>38668</v>
      </c>
    </row>
    <row r="4259" spans="1:16" ht="33.4" x14ac:dyDescent="0.3">
      <c r="A4259" s="6" t="str">
        <f>HYPERLINK("https://www.ti.com/product/TPS63001", "TPS63001")</f>
        <v>TPS63001</v>
      </c>
      <c r="B4259" s="5" t="s">
        <v>38669</v>
      </c>
      <c r="C4259" s="6" t="str">
        <f>HYPERLINK("https://www.ti.com/lit/gpn/TPS63001", "PDF")</f>
        <v>PDF</v>
      </c>
      <c r="D4259" s="5" t="s">
        <v>38670</v>
      </c>
      <c r="E4259" s="5" t="s">
        <v>38671</v>
      </c>
      <c r="F4259" s="5" t="s">
        <v>38672</v>
      </c>
      <c r="G4259" s="5" t="s">
        <v>38673</v>
      </c>
      <c r="H4259" s="1" t="s">
        <v>38674</v>
      </c>
      <c r="I4259" s="5" t="s">
        <v>38675</v>
      </c>
      <c r="J4259" s="7">
        <v>10</v>
      </c>
      <c r="K4259" s="7">
        <v>9</v>
      </c>
      <c r="L4259" s="5" t="s">
        <v>38676</v>
      </c>
      <c r="M4259" s="7">
        <v>1</v>
      </c>
      <c r="N4259" s="7">
        <v>0.5</v>
      </c>
      <c r="O4259" s="7">
        <v>0.92</v>
      </c>
      <c r="P4259" s="1" t="s">
        <v>38677</v>
      </c>
    </row>
    <row r="4260" spans="1:16" ht="33.4" x14ac:dyDescent="0.3">
      <c r="A4260" s="6" t="str">
        <f>HYPERLINK("https://www.ti.com/product/TPS63002", "TPS63002")</f>
        <v>TPS63002</v>
      </c>
      <c r="B4260" s="5" t="s">
        <v>38678</v>
      </c>
      <c r="C4260" s="6" t="str">
        <f>HYPERLINK("https://www.ti.com/lit/gpn/TPS63002", "PDF")</f>
        <v>PDF</v>
      </c>
      <c r="D4260" s="5" t="s">
        <v>38679</v>
      </c>
      <c r="E4260" s="5" t="s">
        <v>38680</v>
      </c>
      <c r="F4260" s="5" t="s">
        <v>38681</v>
      </c>
      <c r="G4260" s="5" t="s">
        <v>38682</v>
      </c>
      <c r="H4260" s="1" t="s">
        <v>38683</v>
      </c>
      <c r="I4260" s="5" t="s">
        <v>38684</v>
      </c>
      <c r="J4260" s="7">
        <v>10</v>
      </c>
      <c r="K4260" s="7">
        <v>9</v>
      </c>
      <c r="L4260" s="5" t="s">
        <v>38685</v>
      </c>
      <c r="M4260" s="7">
        <v>1</v>
      </c>
      <c r="N4260" s="7">
        <v>0.5</v>
      </c>
      <c r="O4260" s="7">
        <v>0.92</v>
      </c>
      <c r="P4260" s="1" t="s">
        <v>38686</v>
      </c>
    </row>
    <row r="4261" spans="1:16" ht="17.05" x14ac:dyDescent="0.3">
      <c r="A4261" s="6" t="str">
        <f>HYPERLINK("https://www.ti.com/product/LM185QML", "LM185QML")</f>
        <v>LM185QML</v>
      </c>
      <c r="B4261" s="5" t="s">
        <v>38687</v>
      </c>
      <c r="C4261" s="6" t="str">
        <f>HYPERLINK("https://www.ti.com/lit/gpn/LM185QML", "PDF")</f>
        <v>PDF</v>
      </c>
      <c r="D4261" s="5" t="s">
        <v>38688</v>
      </c>
      <c r="E4261" s="5" t="s">
        <v>38689</v>
      </c>
      <c r="F4261" s="5"/>
      <c r="G4261" s="5" t="s">
        <v>38690</v>
      </c>
      <c r="H4261" s="1" t="s">
        <v>38691</v>
      </c>
      <c r="I4261" s="5" t="s">
        <v>38692</v>
      </c>
      <c r="J4261" s="7">
        <v>10</v>
      </c>
      <c r="K4261" s="7">
        <v>62.9285</v>
      </c>
      <c r="L4261" s="5" t="s">
        <v>38693</v>
      </c>
      <c r="M4261" s="7">
        <v>2.0299999999999998</v>
      </c>
      <c r="N4261" s="7">
        <v>1.27</v>
      </c>
      <c r="O4261" s="7">
        <v>27.106999999999999</v>
      </c>
      <c r="P4261" s="1" t="s">
        <v>38694</v>
      </c>
    </row>
    <row r="4262" spans="1:16" ht="33.4" x14ac:dyDescent="0.3">
      <c r="A4262" s="6" t="str">
        <f>HYPERLINK("https://www.ti.com/product/TPS717", "TPS717")</f>
        <v>TPS717</v>
      </c>
      <c r="B4262" s="5" t="s">
        <v>38695</v>
      </c>
      <c r="C4262" s="6" t="str">
        <f>HYPERLINK("https://www.ti.com/lit/gpn/TPS717", "PDF")</f>
        <v>PDF</v>
      </c>
      <c r="D4262" s="5" t="s">
        <v>38696</v>
      </c>
      <c r="E4262" s="5" t="s">
        <v>38697</v>
      </c>
      <c r="F4262" s="5"/>
      <c r="G4262" s="5" t="s">
        <v>38698</v>
      </c>
      <c r="H4262" s="1" t="s">
        <v>38699</v>
      </c>
      <c r="I4262" s="5" t="s">
        <v>38700</v>
      </c>
      <c r="J4262" s="7" t="s">
        <v>38701</v>
      </c>
      <c r="K4262" s="7" t="s">
        <v>38702</v>
      </c>
      <c r="L4262" s="5" t="s">
        <v>38703</v>
      </c>
      <c r="M4262" s="7" t="s">
        <v>38704</v>
      </c>
      <c r="N4262" s="7" t="s">
        <v>38705</v>
      </c>
      <c r="O4262" s="7">
        <v>0.377</v>
      </c>
      <c r="P4262" s="1" t="s">
        <v>38706</v>
      </c>
    </row>
    <row r="4263" spans="1:16" ht="33.4" x14ac:dyDescent="0.3">
      <c r="A4263" s="6" t="str">
        <f>HYPERLINK("https://www.ti.com/product/TPS40040", "TPS40040")</f>
        <v>TPS40040</v>
      </c>
      <c r="B4263" s="5" t="s">
        <v>38707</v>
      </c>
      <c r="C4263" s="6" t="str">
        <f>HYPERLINK("https://www.ti.com/lit/gpn/TPS40040", "PDF")</f>
        <v>PDF</v>
      </c>
      <c r="D4263" s="5" t="s">
        <v>38708</v>
      </c>
      <c r="E4263" s="5" t="s">
        <v>38709</v>
      </c>
      <c r="F4263" s="5"/>
      <c r="G4263" s="5" t="s">
        <v>38710</v>
      </c>
      <c r="H4263" s="1" t="s">
        <v>38711</v>
      </c>
      <c r="I4263" s="5" t="s">
        <v>38712</v>
      </c>
      <c r="J4263" s="7">
        <v>8</v>
      </c>
      <c r="K4263" s="7">
        <v>9</v>
      </c>
      <c r="L4263" s="5" t="s">
        <v>38713</v>
      </c>
      <c r="M4263" s="7">
        <v>1</v>
      </c>
      <c r="N4263" s="7">
        <v>0.65</v>
      </c>
      <c r="O4263" s="7">
        <v>0.64500000000000002</v>
      </c>
      <c r="P4263" s="1" t="s">
        <v>38714</v>
      </c>
    </row>
    <row r="4264" spans="1:16" ht="33.4" x14ac:dyDescent="0.3">
      <c r="A4264" s="6" t="str">
        <f>HYPERLINK("https://www.ti.com/product/TPS40041", "TPS40041")</f>
        <v>TPS40041</v>
      </c>
      <c r="B4264" s="5" t="s">
        <v>38715</v>
      </c>
      <c r="C4264" s="6" t="str">
        <f>HYPERLINK("https://www.ti.com/lit/gpn/TPS40041", "PDF")</f>
        <v>PDF</v>
      </c>
      <c r="D4264" s="5" t="s">
        <v>38716</v>
      </c>
      <c r="E4264" s="5" t="s">
        <v>38717</v>
      </c>
      <c r="F4264" s="5"/>
      <c r="G4264" s="5" t="s">
        <v>38718</v>
      </c>
      <c r="H4264" s="1" t="s">
        <v>38719</v>
      </c>
      <c r="I4264" s="5" t="s">
        <v>38720</v>
      </c>
      <c r="J4264" s="7">
        <v>8</v>
      </c>
      <c r="K4264" s="7">
        <v>9</v>
      </c>
      <c r="L4264" s="5" t="s">
        <v>38721</v>
      </c>
      <c r="M4264" s="7">
        <v>1</v>
      </c>
      <c r="N4264" s="7">
        <v>0.65</v>
      </c>
      <c r="O4264" s="7">
        <v>0.64500000000000002</v>
      </c>
      <c r="P4264" s="1" t="s">
        <v>38722</v>
      </c>
    </row>
    <row r="4265" spans="1:16" ht="33.4" x14ac:dyDescent="0.3">
      <c r="A4265" s="6" t="str">
        <f>HYPERLINK("https://www.ti.com/product/LM3402", "LM3402")</f>
        <v>LM3402</v>
      </c>
      <c r="B4265" s="5" t="s">
        <v>38723</v>
      </c>
      <c r="C4265" s="6" t="str">
        <f>HYPERLINK("https://www.ti.com/lit/gpn/LM3402", "PDF")</f>
        <v>PDF</v>
      </c>
      <c r="D4265" s="5" t="s">
        <v>38724</v>
      </c>
      <c r="E4265" s="5" t="s">
        <v>38725</v>
      </c>
      <c r="F4265" s="5" t="s">
        <v>38726</v>
      </c>
      <c r="G4265" s="5" t="s">
        <v>38727</v>
      </c>
      <c r="H4265" s="1" t="s">
        <v>38728</v>
      </c>
      <c r="I4265" s="5" t="s">
        <v>38729</v>
      </c>
      <c r="J4265" s="7">
        <v>8</v>
      </c>
      <c r="K4265" s="7" t="s">
        <v>38730</v>
      </c>
      <c r="L4265" s="5" t="s">
        <v>38731</v>
      </c>
      <c r="M4265" s="7" t="s">
        <v>38732</v>
      </c>
      <c r="N4265" s="7" t="s">
        <v>38733</v>
      </c>
      <c r="O4265" s="7">
        <v>0.749</v>
      </c>
      <c r="P4265" s="1" t="s">
        <v>38734</v>
      </c>
    </row>
    <row r="4266" spans="1:16" ht="33.4" x14ac:dyDescent="0.3">
      <c r="A4266" s="6" t="str">
        <f>HYPERLINK("https://www.ti.com/product/LM3402HV", "LM3402HV")</f>
        <v>LM3402HV</v>
      </c>
      <c r="B4266" s="5" t="s">
        <v>38735</v>
      </c>
      <c r="C4266" s="6" t="str">
        <f>HYPERLINK("https://www.ti.com/lit/gpn/LM3402HV", "PDF")</f>
        <v>PDF</v>
      </c>
      <c r="D4266" s="5" t="s">
        <v>38736</v>
      </c>
      <c r="E4266" s="5" t="s">
        <v>38737</v>
      </c>
      <c r="F4266" s="5" t="s">
        <v>38738</v>
      </c>
      <c r="G4266" s="5" t="s">
        <v>38739</v>
      </c>
      <c r="H4266" s="1" t="s">
        <v>38740</v>
      </c>
      <c r="I4266" s="5" t="s">
        <v>38741</v>
      </c>
      <c r="J4266" s="7">
        <v>8</v>
      </c>
      <c r="K4266" s="7" t="s">
        <v>38742</v>
      </c>
      <c r="L4266" s="5" t="s">
        <v>38743</v>
      </c>
      <c r="M4266" s="7" t="s">
        <v>38744</v>
      </c>
      <c r="N4266" s="7" t="s">
        <v>38745</v>
      </c>
      <c r="O4266" s="7">
        <v>0.80200000000000005</v>
      </c>
      <c r="P4266" s="1" t="s">
        <v>38746</v>
      </c>
    </row>
    <row r="4267" spans="1:16" ht="33.4" x14ac:dyDescent="0.3">
      <c r="A4267" s="6" t="str">
        <f>HYPERLINK("https://www.ti.com/product/TPS62227", "TPS62227")</f>
        <v>TPS62227</v>
      </c>
      <c r="B4267" s="5" t="s">
        <v>38747</v>
      </c>
      <c r="C4267" s="6" t="str">
        <f>HYPERLINK("https://www.ti.com/lit/gpn/TPS62227", "PDF")</f>
        <v>PDF</v>
      </c>
      <c r="D4267" s="5" t="s">
        <v>38748</v>
      </c>
      <c r="E4267" s="5" t="s">
        <v>38749</v>
      </c>
      <c r="F4267" s="5" t="s">
        <v>38750</v>
      </c>
      <c r="G4267" s="5" t="s">
        <v>38751</v>
      </c>
      <c r="H4267" s="1" t="s">
        <v>38752</v>
      </c>
      <c r="I4267" s="5" t="s">
        <v>38753</v>
      </c>
      <c r="J4267" s="7">
        <v>5</v>
      </c>
      <c r="K4267" s="7">
        <v>8.1199999999999992</v>
      </c>
      <c r="L4267" s="5" t="s">
        <v>38754</v>
      </c>
      <c r="M4267" s="7">
        <v>1.1000000000000001</v>
      </c>
      <c r="N4267" s="7">
        <v>0.95</v>
      </c>
      <c r="O4267" s="7">
        <v>0.501</v>
      </c>
      <c r="P4267" s="1" t="s">
        <v>38755</v>
      </c>
    </row>
    <row r="4268" spans="1:16" ht="33.4" x14ac:dyDescent="0.3">
      <c r="A4268" s="6" t="str">
        <f>HYPERLINK("https://www.ti.com/product/LM5072", "LM5072")</f>
        <v>LM5072</v>
      </c>
      <c r="B4268" s="5" t="s">
        <v>38756</v>
      </c>
      <c r="C4268" s="6" t="str">
        <f>HYPERLINK("https://www.ti.com/lit/gpn/LM5072", "PDF")</f>
        <v>PDF</v>
      </c>
      <c r="D4268" s="5" t="s">
        <v>38757</v>
      </c>
      <c r="E4268" s="5" t="s">
        <v>38758</v>
      </c>
      <c r="F4268" s="5"/>
      <c r="G4268" s="5" t="s">
        <v>38759</v>
      </c>
      <c r="H4268" s="1" t="s">
        <v>38760</v>
      </c>
      <c r="I4268" s="5" t="s">
        <v>38761</v>
      </c>
      <c r="J4268" s="7">
        <v>16</v>
      </c>
      <c r="K4268" s="7">
        <v>32</v>
      </c>
      <c r="L4268" s="5" t="s">
        <v>38762</v>
      </c>
      <c r="M4268" s="7">
        <v>1.2</v>
      </c>
      <c r="N4268" s="7">
        <v>0.65</v>
      </c>
      <c r="O4268" s="7">
        <v>1.9390000000000001</v>
      </c>
      <c r="P4268" s="1" t="s">
        <v>38763</v>
      </c>
    </row>
    <row r="4269" spans="1:16" ht="33.4" x14ac:dyDescent="0.3">
      <c r="A4269" s="6" t="str">
        <f>HYPERLINK("https://www.ti.com/product/LM2771", "LM2771")</f>
        <v>LM2771</v>
      </c>
      <c r="B4269" s="5" t="s">
        <v>38764</v>
      </c>
      <c r="C4269" s="6" t="str">
        <f>HYPERLINK("https://www.ti.com/lit/gpn/LM2771", "PDF")</f>
        <v>PDF</v>
      </c>
      <c r="D4269" s="5" t="s">
        <v>38765</v>
      </c>
      <c r="E4269" s="5" t="s">
        <v>38766</v>
      </c>
      <c r="F4269" s="5"/>
      <c r="G4269" s="5" t="s">
        <v>38767</v>
      </c>
      <c r="H4269" s="1" t="s">
        <v>38768</v>
      </c>
      <c r="I4269" s="5" t="s">
        <v>38769</v>
      </c>
      <c r="J4269" s="7">
        <v>10</v>
      </c>
      <c r="K4269" s="7">
        <v>9</v>
      </c>
      <c r="L4269" s="5" t="s">
        <v>38770</v>
      </c>
      <c r="M4269" s="7">
        <v>0.8</v>
      </c>
      <c r="N4269" s="7">
        <v>0.5</v>
      </c>
      <c r="O4269" s="7">
        <v>0.34100000000000003</v>
      </c>
      <c r="P4269" s="1" t="s">
        <v>38771</v>
      </c>
    </row>
    <row r="4270" spans="1:16" ht="33.4" x14ac:dyDescent="0.3">
      <c r="A4270" s="6" t="str">
        <f>HYPERLINK("https://www.ti.com/product/LM3280", "LM3280")</f>
        <v>LM3280</v>
      </c>
      <c r="B4270" s="5" t="s">
        <v>38772</v>
      </c>
      <c r="C4270" s="6" t="str">
        <f>HYPERLINK("https://www.ti.com/lit/gpn/LM3280", "PDF")</f>
        <v>PDF</v>
      </c>
      <c r="D4270" s="5" t="s">
        <v>38773</v>
      </c>
      <c r="E4270" s="5" t="s">
        <v>38774</v>
      </c>
      <c r="F4270" s="5" t="s">
        <v>38775</v>
      </c>
      <c r="G4270" s="5" t="s">
        <v>38776</v>
      </c>
      <c r="H4270" s="1" t="s">
        <v>38777</v>
      </c>
      <c r="I4270" s="5" t="s">
        <v>38778</v>
      </c>
      <c r="J4270" s="7">
        <v>16</v>
      </c>
      <c r="K4270" s="7">
        <v>5.0625</v>
      </c>
      <c r="L4270" s="5" t="s">
        <v>38779</v>
      </c>
      <c r="M4270" s="7">
        <v>0.67500000000000004</v>
      </c>
      <c r="N4270" s="7">
        <v>0.5</v>
      </c>
      <c r="O4270" s="7">
        <v>1.0409999999999999</v>
      </c>
      <c r="P4270" s="1" t="s">
        <v>38780</v>
      </c>
    </row>
    <row r="4271" spans="1:16" ht="17.05" x14ac:dyDescent="0.3">
      <c r="A4271" s="6" t="str">
        <f>HYPERLINK("https://www.ti.com/product/TPS2363", "TPS2363")</f>
        <v>TPS2363</v>
      </c>
      <c r="B4271" s="5" t="s">
        <v>38781</v>
      </c>
      <c r="C4271" s="6" t="str">
        <f>HYPERLINK("https://www.ti.com/lit/gpn/TPS2363", "PDF")</f>
        <v>PDF</v>
      </c>
      <c r="D4271" s="5" t="s">
        <v>38782</v>
      </c>
      <c r="E4271" s="5" t="s">
        <v>38783</v>
      </c>
      <c r="F4271" s="5"/>
      <c r="G4271" s="5" t="s">
        <v>38784</v>
      </c>
      <c r="H4271" s="1" t="s">
        <v>38785</v>
      </c>
      <c r="I4271" s="5" t="s">
        <v>38786</v>
      </c>
      <c r="J4271" s="7">
        <v>48</v>
      </c>
      <c r="K4271" s="7">
        <v>81</v>
      </c>
      <c r="L4271" s="5" t="s">
        <v>38787</v>
      </c>
      <c r="M4271" s="7">
        <v>1.2</v>
      </c>
      <c r="N4271" s="7">
        <v>0.5</v>
      </c>
      <c r="O4271" s="7">
        <v>2.8290000000000002</v>
      </c>
      <c r="P4271" s="1" t="s">
        <v>38788</v>
      </c>
    </row>
    <row r="4272" spans="1:16" ht="33.4" x14ac:dyDescent="0.3">
      <c r="A4272" s="6" t="str">
        <f>HYPERLINK("https://www.ti.com/product/TPS61026", "TPS61026")</f>
        <v>TPS61026</v>
      </c>
      <c r="B4272" s="5" t="s">
        <v>38789</v>
      </c>
      <c r="C4272" s="6" t="str">
        <f>HYPERLINK("https://www.ti.com/lit/gpn/TPS61026", "PDF")</f>
        <v>PDF</v>
      </c>
      <c r="D4272" s="5" t="s">
        <v>38790</v>
      </c>
      <c r="E4272" s="5" t="s">
        <v>38791</v>
      </c>
      <c r="F4272" s="5" t="s">
        <v>38792</v>
      </c>
      <c r="G4272" s="5" t="s">
        <v>38793</v>
      </c>
      <c r="H4272" s="1" t="s">
        <v>38794</v>
      </c>
      <c r="I4272" s="5" t="s">
        <v>38795</v>
      </c>
      <c r="J4272" s="7">
        <v>10</v>
      </c>
      <c r="K4272" s="7">
        <v>9</v>
      </c>
      <c r="L4272" s="5" t="s">
        <v>38796</v>
      </c>
      <c r="M4272" s="7">
        <v>1</v>
      </c>
      <c r="N4272" s="7">
        <v>0.5</v>
      </c>
      <c r="O4272" s="7">
        <v>1.0209999999999999</v>
      </c>
      <c r="P4272" s="1" t="s">
        <v>38797</v>
      </c>
    </row>
    <row r="4273" spans="1:16" ht="33.4" x14ac:dyDescent="0.3">
      <c r="A4273" s="6" t="str">
        <f>HYPERLINK("https://www.ti.com/product/TPS61029", "TPS61029")</f>
        <v>TPS61029</v>
      </c>
      <c r="B4273" s="5" t="s">
        <v>38798</v>
      </c>
      <c r="C4273" s="6" t="str">
        <f>HYPERLINK("https://www.ti.com/lit/gpn/TPS61029", "PDF")</f>
        <v>PDF</v>
      </c>
      <c r="D4273" s="5" t="s">
        <v>38799</v>
      </c>
      <c r="E4273" s="5" t="s">
        <v>38800</v>
      </c>
      <c r="F4273" s="5" t="s">
        <v>38801</v>
      </c>
      <c r="G4273" s="5" t="s">
        <v>38802</v>
      </c>
      <c r="H4273" s="1" t="s">
        <v>38803</v>
      </c>
      <c r="I4273" s="5" t="s">
        <v>38804</v>
      </c>
      <c r="J4273" s="7">
        <v>10</v>
      </c>
      <c r="K4273" s="7">
        <v>9</v>
      </c>
      <c r="L4273" s="5" t="s">
        <v>38805</v>
      </c>
      <c r="M4273" s="7">
        <v>1</v>
      </c>
      <c r="N4273" s="7">
        <v>0.5</v>
      </c>
      <c r="O4273" s="7">
        <v>0.94599999999999995</v>
      </c>
      <c r="P4273" s="1" t="s">
        <v>38806</v>
      </c>
    </row>
    <row r="4274" spans="1:16" ht="33.4" x14ac:dyDescent="0.3">
      <c r="A4274" s="6" t="str">
        <f>HYPERLINK("https://www.ti.com/product/LP5521", "LP5521")</f>
        <v>LP5521</v>
      </c>
      <c r="B4274" s="5" t="s">
        <v>38807</v>
      </c>
      <c r="C4274" s="6" t="str">
        <f>HYPERLINK("https://www.ti.com/lit/gpn/LP5521", "PDF")</f>
        <v>PDF</v>
      </c>
      <c r="D4274" s="5" t="s">
        <v>38808</v>
      </c>
      <c r="E4274" s="5" t="s">
        <v>38809</v>
      </c>
      <c r="F4274" s="5" t="s">
        <v>38810</v>
      </c>
      <c r="G4274" s="5" t="s">
        <v>38811</v>
      </c>
      <c r="H4274" s="1" t="s">
        <v>38812</v>
      </c>
      <c r="I4274" s="5" t="s">
        <v>38813</v>
      </c>
      <c r="J4274" s="7" t="s">
        <v>38814</v>
      </c>
      <c r="K4274" s="7" t="s">
        <v>38815</v>
      </c>
      <c r="L4274" s="5" t="s">
        <v>38816</v>
      </c>
      <c r="M4274" s="7" t="s">
        <v>38817</v>
      </c>
      <c r="N4274" s="7" t="s">
        <v>38818</v>
      </c>
      <c r="O4274" s="7">
        <v>0.44500000000000001</v>
      </c>
      <c r="P4274" s="1" t="s">
        <v>38819</v>
      </c>
    </row>
    <row r="4275" spans="1:16" ht="33.4" x14ac:dyDescent="0.3">
      <c r="A4275" s="6" t="str">
        <f>HYPERLINK("https://www.ti.com/product/LM5009", "LM5009")</f>
        <v>LM5009</v>
      </c>
      <c r="B4275" s="5" t="s">
        <v>38820</v>
      </c>
      <c r="C4275" s="6" t="str">
        <f>HYPERLINK("https://www.ti.com/lit/gpn/LM5009", "PDF")</f>
        <v>PDF</v>
      </c>
      <c r="D4275" s="5" t="s">
        <v>38821</v>
      </c>
      <c r="E4275" s="5" t="s">
        <v>38822</v>
      </c>
      <c r="F4275" s="5" t="s">
        <v>38823</v>
      </c>
      <c r="G4275" s="5" t="s">
        <v>38824</v>
      </c>
      <c r="H4275" s="1" t="s">
        <v>38825</v>
      </c>
      <c r="I4275" s="5" t="s">
        <v>38826</v>
      </c>
      <c r="J4275" s="7">
        <v>8</v>
      </c>
      <c r="K4275" s="7" t="s">
        <v>38827</v>
      </c>
      <c r="L4275" s="5" t="s">
        <v>38828</v>
      </c>
      <c r="M4275" s="7" t="s">
        <v>38829</v>
      </c>
      <c r="N4275" s="7" t="s">
        <v>38830</v>
      </c>
      <c r="O4275" s="7">
        <v>1.2250000000000001</v>
      </c>
      <c r="P4275" s="1" t="s">
        <v>38831</v>
      </c>
    </row>
    <row r="4276" spans="1:16" ht="33.4" x14ac:dyDescent="0.3">
      <c r="A4276" s="6" t="str">
        <f>HYPERLINK("https://www.ti.com/product/TPS61140", "TPS61140")</f>
        <v>TPS61140</v>
      </c>
      <c r="B4276" s="5" t="s">
        <v>38832</v>
      </c>
      <c r="C4276" s="6" t="str">
        <f>HYPERLINK("https://www.ti.com/lit/gpn/TPS61140", "PDF")</f>
        <v>PDF</v>
      </c>
      <c r="D4276" s="5" t="s">
        <v>38833</v>
      </c>
      <c r="E4276" s="5" t="s">
        <v>38834</v>
      </c>
      <c r="F4276" s="5" t="s">
        <v>38835</v>
      </c>
      <c r="G4276" s="5" t="s">
        <v>38836</v>
      </c>
      <c r="H4276" s="1" t="s">
        <v>38837</v>
      </c>
      <c r="I4276" s="5" t="s">
        <v>38838</v>
      </c>
      <c r="J4276" s="7">
        <v>10</v>
      </c>
      <c r="K4276" s="7">
        <v>9</v>
      </c>
      <c r="L4276" s="5" t="s">
        <v>38839</v>
      </c>
      <c r="M4276" s="7">
        <v>1</v>
      </c>
      <c r="N4276" s="7">
        <v>0.5</v>
      </c>
      <c r="O4276" s="7">
        <v>0.95699999999999996</v>
      </c>
      <c r="P4276" s="1" t="s">
        <v>38840</v>
      </c>
    </row>
    <row r="4277" spans="1:16" ht="33.4" x14ac:dyDescent="0.3">
      <c r="A4277" s="6" t="str">
        <f>HYPERLINK("https://www.ti.com/product/TPS61141", "TPS61141")</f>
        <v>TPS61141</v>
      </c>
      <c r="B4277" s="5" t="s">
        <v>38841</v>
      </c>
      <c r="C4277" s="6" t="str">
        <f>HYPERLINK("https://www.ti.com/lit/gpn/TPS61141", "PDF")</f>
        <v>PDF</v>
      </c>
      <c r="D4277" s="5" t="s">
        <v>38842</v>
      </c>
      <c r="E4277" s="5" t="s">
        <v>38843</v>
      </c>
      <c r="F4277" s="5" t="s">
        <v>38844</v>
      </c>
      <c r="G4277" s="5" t="s">
        <v>38845</v>
      </c>
      <c r="H4277" s="1" t="s">
        <v>38846</v>
      </c>
      <c r="I4277" s="5" t="s">
        <v>38847</v>
      </c>
      <c r="J4277" s="7">
        <v>10</v>
      </c>
      <c r="K4277" s="7">
        <v>9</v>
      </c>
      <c r="L4277" s="5" t="s">
        <v>38848</v>
      </c>
      <c r="M4277" s="7">
        <v>1</v>
      </c>
      <c r="N4277" s="7">
        <v>0.5</v>
      </c>
      <c r="O4277" s="7">
        <v>0.83199999999999996</v>
      </c>
      <c r="P4277" s="1" t="s">
        <v>38849</v>
      </c>
    </row>
    <row r="4278" spans="1:16" ht="33.4" x14ac:dyDescent="0.3">
      <c r="A4278" s="6" t="str">
        <f>HYPERLINK("https://www.ti.com/product/TPS61150", "TPS61150")</f>
        <v>TPS61150</v>
      </c>
      <c r="B4278" s="5" t="s">
        <v>38850</v>
      </c>
      <c r="C4278" s="6" t="str">
        <f>HYPERLINK("https://www.ti.com/lit/gpn/TPS61150", "PDF")</f>
        <v>PDF</v>
      </c>
      <c r="D4278" s="5" t="s">
        <v>38851</v>
      </c>
      <c r="E4278" s="5" t="s">
        <v>38852</v>
      </c>
      <c r="F4278" s="5" t="s">
        <v>38853</v>
      </c>
      <c r="G4278" s="5" t="s">
        <v>38854</v>
      </c>
      <c r="H4278" s="1" t="s">
        <v>38855</v>
      </c>
      <c r="I4278" s="5" t="s">
        <v>38856</v>
      </c>
      <c r="J4278" s="7">
        <v>10</v>
      </c>
      <c r="K4278" s="7">
        <v>9</v>
      </c>
      <c r="L4278" s="5" t="s">
        <v>38857</v>
      </c>
      <c r="M4278" s="7">
        <v>1</v>
      </c>
      <c r="N4278" s="7">
        <v>0.5</v>
      </c>
      <c r="O4278" s="7">
        <v>0.95699999999999996</v>
      </c>
      <c r="P4278" s="1" t="s">
        <v>38858</v>
      </c>
    </row>
    <row r="4279" spans="1:16" ht="33.4" x14ac:dyDescent="0.3">
      <c r="A4279" s="6" t="str">
        <f>HYPERLINK("https://www.ti.com/product/TPS61151", "TPS61151")</f>
        <v>TPS61151</v>
      </c>
      <c r="B4279" s="5" t="s">
        <v>38859</v>
      </c>
      <c r="C4279" s="6" t="str">
        <f>HYPERLINK("https://www.ti.com/lit/gpn/TPS61151", "PDF")</f>
        <v>PDF</v>
      </c>
      <c r="D4279" s="5" t="s">
        <v>38860</v>
      </c>
      <c r="E4279" s="5" t="s">
        <v>38861</v>
      </c>
      <c r="F4279" s="5" t="s">
        <v>38862</v>
      </c>
      <c r="G4279" s="5" t="s">
        <v>38863</v>
      </c>
      <c r="H4279" s="1" t="s">
        <v>38864</v>
      </c>
      <c r="I4279" s="5" t="s">
        <v>38865</v>
      </c>
      <c r="J4279" s="7">
        <v>10</v>
      </c>
      <c r="K4279" s="7">
        <v>9</v>
      </c>
      <c r="L4279" s="5" t="s">
        <v>38866</v>
      </c>
      <c r="M4279" s="7">
        <v>1</v>
      </c>
      <c r="N4279" s="7">
        <v>0.5</v>
      </c>
      <c r="O4279" s="7">
        <v>0.95699999999999996</v>
      </c>
      <c r="P4279" s="1" t="s">
        <v>38867</v>
      </c>
    </row>
    <row r="4280" spans="1:16" ht="49.75" x14ac:dyDescent="0.3">
      <c r="A4280" s="6" t="str">
        <f>HYPERLINK("https://www.ti.com/product/TPS767D301-EP", "TPS767D301-EP")</f>
        <v>TPS767D301-EP</v>
      </c>
      <c r="B4280" s="5" t="s">
        <v>38868</v>
      </c>
      <c r="C4280" s="6" t="str">
        <f>HYPERLINK("https://www.ti.com/lit/gpn/TPS767D301-EP", "PDF")</f>
        <v>PDF</v>
      </c>
      <c r="D4280" s="5" t="s">
        <v>38869</v>
      </c>
      <c r="E4280" s="5" t="s">
        <v>38870</v>
      </c>
      <c r="F4280" s="5"/>
      <c r="G4280" s="5" t="s">
        <v>38871</v>
      </c>
      <c r="H4280" s="1" t="s">
        <v>38872</v>
      </c>
      <c r="I4280" s="5" t="s">
        <v>38873</v>
      </c>
      <c r="J4280" s="7">
        <v>28</v>
      </c>
      <c r="K4280" s="7">
        <v>62.08</v>
      </c>
      <c r="L4280" s="5" t="s">
        <v>38874</v>
      </c>
      <c r="M4280" s="7">
        <v>1.2</v>
      </c>
      <c r="N4280" s="7">
        <v>0.65</v>
      </c>
      <c r="O4280" s="7">
        <v>7.2720000000000002</v>
      </c>
      <c r="P4280" s="1" t="s">
        <v>38875</v>
      </c>
    </row>
    <row r="4281" spans="1:16" ht="33.4" x14ac:dyDescent="0.3">
      <c r="A4281" s="6" t="str">
        <f>HYPERLINK("https://www.ti.com/product/LM27341", "LM27341")</f>
        <v>LM27341</v>
      </c>
      <c r="B4281" s="5" t="s">
        <v>38876</v>
      </c>
      <c r="C4281" s="6" t="str">
        <f>HYPERLINK("https://www.ti.com/lit/gpn/LM27341", "PDF")</f>
        <v>PDF</v>
      </c>
      <c r="D4281" s="5" t="s">
        <v>38877</v>
      </c>
      <c r="E4281" s="5" t="s">
        <v>38878</v>
      </c>
      <c r="F4281" s="5" t="s">
        <v>38879</v>
      </c>
      <c r="G4281" s="5" t="s">
        <v>38880</v>
      </c>
      <c r="H4281" s="1" t="s">
        <v>38881</v>
      </c>
      <c r="I4281" s="5" t="s">
        <v>38882</v>
      </c>
      <c r="J4281" s="7">
        <v>10</v>
      </c>
      <c r="K4281" s="7" t="s">
        <v>38883</v>
      </c>
      <c r="L4281" s="5" t="s">
        <v>38884</v>
      </c>
      <c r="M4281" s="7" t="s">
        <v>38885</v>
      </c>
      <c r="N4281" s="7">
        <v>0.5</v>
      </c>
      <c r="O4281" s="7">
        <v>1.3480000000000001</v>
      </c>
      <c r="P4281" s="1" t="s">
        <v>38886</v>
      </c>
    </row>
    <row r="4282" spans="1:16" ht="33.4" x14ac:dyDescent="0.3">
      <c r="A4282" s="6" t="str">
        <f>HYPERLINK("https://www.ti.com/product/LM27341-Q1", "LM27341-Q1")</f>
        <v>LM27341-Q1</v>
      </c>
      <c r="B4282" s="5" t="s">
        <v>38887</v>
      </c>
      <c r="C4282" s="6" t="str">
        <f>HYPERLINK("https://www.ti.com/lit/gpn/LM27341-Q1", "PDF")</f>
        <v>PDF</v>
      </c>
      <c r="D4282" s="5" t="s">
        <v>38888</v>
      </c>
      <c r="E4282" s="5" t="s">
        <v>38889</v>
      </c>
      <c r="F4282" s="5" t="s">
        <v>38890</v>
      </c>
      <c r="G4282" s="5" t="s">
        <v>38891</v>
      </c>
      <c r="H4282" s="1" t="s">
        <v>38892</v>
      </c>
      <c r="I4282" s="5" t="s">
        <v>38893</v>
      </c>
      <c r="J4282" s="7">
        <v>10</v>
      </c>
      <c r="K4282" s="7">
        <v>14.7</v>
      </c>
      <c r="L4282" s="5" t="s">
        <v>38894</v>
      </c>
      <c r="M4282" s="7">
        <v>1.1000000000000001</v>
      </c>
      <c r="N4282" s="7">
        <v>0.5</v>
      </c>
      <c r="O4282" s="7">
        <v>1.591</v>
      </c>
      <c r="P4282" s="1" t="s">
        <v>38895</v>
      </c>
    </row>
    <row r="4283" spans="1:16" ht="33.4" x14ac:dyDescent="0.3">
      <c r="A4283" s="6" t="str">
        <f>HYPERLINK("https://www.ti.com/product/TPS40200", "TPS40200")</f>
        <v>TPS40200</v>
      </c>
      <c r="B4283" s="5" t="s">
        <v>38896</v>
      </c>
      <c r="C4283" s="6" t="str">
        <f>HYPERLINK("https://www.ti.com/lit/gpn/TPS40200", "PDF")</f>
        <v>PDF</v>
      </c>
      <c r="D4283" s="5" t="s">
        <v>38897</v>
      </c>
      <c r="E4283" s="5" t="s">
        <v>38898</v>
      </c>
      <c r="F4283" s="5" t="s">
        <v>38899</v>
      </c>
      <c r="G4283" s="5" t="s">
        <v>38900</v>
      </c>
      <c r="H4283" s="1" t="s">
        <v>38901</v>
      </c>
      <c r="I4283" s="5" t="s">
        <v>38902</v>
      </c>
      <c r="J4283" s="7">
        <v>8</v>
      </c>
      <c r="K4283" s="7" t="s">
        <v>38903</v>
      </c>
      <c r="L4283" s="5" t="s">
        <v>38904</v>
      </c>
      <c r="M4283" s="7" t="s">
        <v>38905</v>
      </c>
      <c r="N4283" s="7" t="s">
        <v>38906</v>
      </c>
      <c r="O4283" s="7">
        <v>0.81899999999999995</v>
      </c>
      <c r="P4283" s="1" t="s">
        <v>38907</v>
      </c>
    </row>
    <row r="4284" spans="1:16" ht="33.4" x14ac:dyDescent="0.3">
      <c r="A4284" s="6" t="str">
        <f>HYPERLINK("https://www.ti.com/product/LP3879", "LP3879")</f>
        <v>LP3879</v>
      </c>
      <c r="B4284" s="5" t="s">
        <v>38908</v>
      </c>
      <c r="C4284" s="6" t="str">
        <f>HYPERLINK("https://www.ti.com/lit/gpn/LP3879", "PDF")</f>
        <v>PDF</v>
      </c>
      <c r="D4284" s="5" t="s">
        <v>38909</v>
      </c>
      <c r="E4284" s="5" t="s">
        <v>38910</v>
      </c>
      <c r="F4284" s="5"/>
      <c r="G4284" s="5" t="s">
        <v>38911</v>
      </c>
      <c r="H4284" s="1" t="s">
        <v>38912</v>
      </c>
      <c r="I4284" s="5" t="s">
        <v>38913</v>
      </c>
      <c r="J4284" s="7">
        <v>8</v>
      </c>
      <c r="K4284" s="7" t="s">
        <v>38914</v>
      </c>
      <c r="L4284" s="5" t="s">
        <v>38915</v>
      </c>
      <c r="M4284" s="7" t="s">
        <v>38916</v>
      </c>
      <c r="N4284" s="7" t="s">
        <v>38917</v>
      </c>
      <c r="O4284" s="7">
        <v>0.88500000000000001</v>
      </c>
      <c r="P4284" s="1" t="s">
        <v>38918</v>
      </c>
    </row>
    <row r="4285" spans="1:16" ht="49.75" x14ac:dyDescent="0.3">
      <c r="A4285" s="6" t="str">
        <f>HYPERLINK("https://www.ti.com/product/TPS737", "TPS737")</f>
        <v>TPS737</v>
      </c>
      <c r="B4285" s="5" t="s">
        <v>38919</v>
      </c>
      <c r="C4285" s="6" t="str">
        <f>HYPERLINK("https://www.ti.com/lit/gpn/TPS737", "PDF")</f>
        <v>PDF</v>
      </c>
      <c r="D4285" s="5" t="s">
        <v>38920</v>
      </c>
      <c r="E4285" s="5" t="s">
        <v>38921</v>
      </c>
      <c r="F4285" s="5"/>
      <c r="G4285" s="5" t="s">
        <v>38922</v>
      </c>
      <c r="H4285" s="1" t="s">
        <v>38923</v>
      </c>
      <c r="I4285" s="5" t="s">
        <v>38924</v>
      </c>
      <c r="J4285" s="7" t="s">
        <v>38925</v>
      </c>
      <c r="K4285" s="7" t="s">
        <v>38926</v>
      </c>
      <c r="L4285" s="5" t="s">
        <v>38927</v>
      </c>
      <c r="M4285" s="7" t="s">
        <v>38928</v>
      </c>
      <c r="N4285" s="7" t="s">
        <v>38929</v>
      </c>
      <c r="O4285" s="7">
        <v>0.27500000000000002</v>
      </c>
      <c r="P4285" s="1" t="s">
        <v>38930</v>
      </c>
    </row>
    <row r="4286" spans="1:16" ht="33.4" x14ac:dyDescent="0.3">
      <c r="A4286" s="6" t="str">
        <f>HYPERLINK("https://www.ti.com/product/LM5035", "LM5035")</f>
        <v>LM5035</v>
      </c>
      <c r="B4286" s="5" t="s">
        <v>38931</v>
      </c>
      <c r="C4286" s="6" t="str">
        <f>HYPERLINK("https://www.ti.com/lit/gpn/LM5035", "PDF")</f>
        <v>PDF</v>
      </c>
      <c r="D4286" s="5" t="s">
        <v>38932</v>
      </c>
      <c r="E4286" s="5" t="s">
        <v>38933</v>
      </c>
      <c r="F4286" s="5" t="s">
        <v>38934</v>
      </c>
      <c r="G4286" s="5" t="s">
        <v>38935</v>
      </c>
      <c r="H4286" s="1" t="s">
        <v>38936</v>
      </c>
      <c r="I4286" s="5" t="s">
        <v>38937</v>
      </c>
      <c r="J4286" s="7" t="s">
        <v>38938</v>
      </c>
      <c r="K4286" s="7" t="s">
        <v>38939</v>
      </c>
      <c r="L4286" s="5" t="s">
        <v>38940</v>
      </c>
      <c r="M4286" s="7" t="s">
        <v>38941</v>
      </c>
      <c r="N4286" s="7" t="s">
        <v>38942</v>
      </c>
      <c r="O4286" s="7">
        <v>1.8069999999999999</v>
      </c>
      <c r="P4286" s="1" t="s">
        <v>38943</v>
      </c>
    </row>
    <row r="4287" spans="1:16" ht="33.4" x14ac:dyDescent="0.3">
      <c r="A4287" s="6" t="str">
        <f>HYPERLINK("https://www.ti.com/product/TPS5430", "TPS5430")</f>
        <v>TPS5430</v>
      </c>
      <c r="B4287" s="5" t="s">
        <v>38944</v>
      </c>
      <c r="C4287" s="6" t="str">
        <f>HYPERLINK("https://www.ti.com/lit/gpn/TPS5430", "PDF")</f>
        <v>PDF</v>
      </c>
      <c r="D4287" s="5" t="s">
        <v>38945</v>
      </c>
      <c r="E4287" s="5" t="s">
        <v>38946</v>
      </c>
      <c r="F4287" s="5" t="s">
        <v>38947</v>
      </c>
      <c r="G4287" s="5" t="s">
        <v>38948</v>
      </c>
      <c r="H4287" s="1" t="s">
        <v>38949</v>
      </c>
      <c r="I4287" s="5" t="s">
        <v>38950</v>
      </c>
      <c r="J4287" s="7">
        <v>8</v>
      </c>
      <c r="K4287" s="7">
        <v>29.4</v>
      </c>
      <c r="L4287" s="5" t="s">
        <v>38951</v>
      </c>
      <c r="M4287" s="7">
        <v>1.7</v>
      </c>
      <c r="N4287" s="7">
        <v>1.27</v>
      </c>
      <c r="O4287" s="7">
        <v>1.7450000000000001</v>
      </c>
      <c r="P4287" s="1" t="s">
        <v>38952</v>
      </c>
    </row>
    <row r="4288" spans="1:16" ht="33.4" x14ac:dyDescent="0.3">
      <c r="A4288" s="6" t="str">
        <f>HYPERLINK("https://www.ti.com/product/LP3910", "LP3910")</f>
        <v>LP3910</v>
      </c>
      <c r="B4288" s="5" t="s">
        <v>38953</v>
      </c>
      <c r="C4288" s="6" t="str">
        <f>HYPERLINK("https://www.ti.com/lit/gpn/LP3910", "PDF")</f>
        <v>PDF</v>
      </c>
      <c r="D4288" s="5" t="s">
        <v>38954</v>
      </c>
      <c r="E4288" s="5" t="s">
        <v>38955</v>
      </c>
      <c r="F4288" s="5"/>
      <c r="G4288" s="5" t="s">
        <v>38956</v>
      </c>
      <c r="H4288" s="1" t="s">
        <v>38957</v>
      </c>
      <c r="I4288" s="5" t="s">
        <v>38958</v>
      </c>
      <c r="J4288" s="7">
        <v>48</v>
      </c>
      <c r="K4288" s="7">
        <v>36</v>
      </c>
      <c r="L4288" s="5" t="s">
        <v>38959</v>
      </c>
      <c r="M4288" s="7">
        <v>0.8</v>
      </c>
      <c r="N4288" s="7">
        <v>0.4</v>
      </c>
      <c r="O4288" s="7">
        <v>2.2429999999999999</v>
      </c>
      <c r="P4288" s="1" t="s">
        <v>38960</v>
      </c>
    </row>
    <row r="4289" spans="1:16" ht="82.5" x14ac:dyDescent="0.3">
      <c r="A4289" s="6" t="str">
        <f>HYPERLINK("https://www.ti.com/product/TL2575-05", "TL2575-05")</f>
        <v>TL2575-05</v>
      </c>
      <c r="B4289" s="5" t="s">
        <v>38961</v>
      </c>
      <c r="C4289" s="6" t="str">
        <f>HYPERLINK("https://www.ti.com/lit/gpn/TL2575-05", "PDF")</f>
        <v>PDF</v>
      </c>
      <c r="D4289" s="5" t="s">
        <v>38962</v>
      </c>
      <c r="E4289" s="5" t="s">
        <v>38963</v>
      </c>
      <c r="F4289" s="5" t="s">
        <v>38964</v>
      </c>
      <c r="G4289" s="5" t="s">
        <v>38965</v>
      </c>
      <c r="H4289" s="1" t="s">
        <v>38966</v>
      </c>
      <c r="I4289" s="5" t="s">
        <v>38967</v>
      </c>
      <c r="J4289" s="7" t="s">
        <v>38968</v>
      </c>
      <c r="K4289" s="7" t="s">
        <v>38969</v>
      </c>
      <c r="L4289" s="5" t="s">
        <v>38970</v>
      </c>
      <c r="M4289" s="7" t="s">
        <v>38971</v>
      </c>
      <c r="N4289" s="7" t="s">
        <v>38972</v>
      </c>
      <c r="O4289" s="7">
        <v>1.0660000000000001</v>
      </c>
      <c r="P4289" s="1" t="s">
        <v>38973</v>
      </c>
    </row>
    <row r="4290" spans="1:16" ht="82.5" x14ac:dyDescent="0.3">
      <c r="A4290" s="6" t="str">
        <f>HYPERLINK("https://www.ti.com/product/TL2575-33", "TL2575-33")</f>
        <v>TL2575-33</v>
      </c>
      <c r="B4290" s="5" t="s">
        <v>38974</v>
      </c>
      <c r="C4290" s="6" t="str">
        <f>HYPERLINK("https://www.ti.com/lit/gpn/TL2575-33", "PDF")</f>
        <v>PDF</v>
      </c>
      <c r="D4290" s="5" t="s">
        <v>38975</v>
      </c>
      <c r="E4290" s="5" t="s">
        <v>38976</v>
      </c>
      <c r="F4290" s="5" t="s">
        <v>38977</v>
      </c>
      <c r="G4290" s="5" t="s">
        <v>38978</v>
      </c>
      <c r="H4290" s="1" t="s">
        <v>38979</v>
      </c>
      <c r="I4290" s="5" t="s">
        <v>38980</v>
      </c>
      <c r="J4290" s="7" t="s">
        <v>38981</v>
      </c>
      <c r="K4290" s="7" t="s">
        <v>38982</v>
      </c>
      <c r="L4290" s="5" t="s">
        <v>38983</v>
      </c>
      <c r="M4290" s="7" t="s">
        <v>38984</v>
      </c>
      <c r="N4290" s="7" t="s">
        <v>38985</v>
      </c>
      <c r="O4290" s="7">
        <v>0.98</v>
      </c>
      <c r="P4290" s="1" t="s">
        <v>38986</v>
      </c>
    </row>
    <row r="4291" spans="1:16" ht="33.4" x14ac:dyDescent="0.3">
      <c r="A4291" s="6" t="str">
        <f>HYPERLINK("https://www.ti.com/product/LM5106", "LM5106")</f>
        <v>LM5106</v>
      </c>
      <c r="B4291" s="5" t="s">
        <v>38987</v>
      </c>
      <c r="C4291" s="6" t="str">
        <f>HYPERLINK("https://www.ti.com/lit/gpn/LM5106", "PDF")</f>
        <v>PDF</v>
      </c>
      <c r="D4291" s="5" t="s">
        <v>38988</v>
      </c>
      <c r="E4291" s="5" t="s">
        <v>38989</v>
      </c>
      <c r="F4291" s="5"/>
      <c r="G4291" s="5" t="s">
        <v>38990</v>
      </c>
      <c r="H4291" s="1" t="s">
        <v>38991</v>
      </c>
      <c r="I4291" s="5" t="s">
        <v>38992</v>
      </c>
      <c r="J4291" s="7">
        <v>10</v>
      </c>
      <c r="K4291" s="7" t="s">
        <v>38993</v>
      </c>
      <c r="L4291" s="5" t="s">
        <v>38994</v>
      </c>
      <c r="M4291" s="7" t="s">
        <v>38995</v>
      </c>
      <c r="N4291" s="7" t="s">
        <v>38996</v>
      </c>
      <c r="O4291" s="7">
        <v>0.58899999999999997</v>
      </c>
      <c r="P4291" s="1" t="s">
        <v>38997</v>
      </c>
    </row>
    <row r="4292" spans="1:16" ht="17.05" x14ac:dyDescent="0.3">
      <c r="A4292" s="6" t="str">
        <f>HYPERLINK("https://www.ti.com/product/LP3958", "LP3958")</f>
        <v>LP3958</v>
      </c>
      <c r="B4292" s="5" t="s">
        <v>38998</v>
      </c>
      <c r="C4292" s="6" t="str">
        <f>HYPERLINK("https://www.ti.com/lit/gpn/LP3958", "PDF")</f>
        <v>PDF</v>
      </c>
      <c r="D4292" s="5" t="s">
        <v>38999</v>
      </c>
      <c r="E4292" s="5" t="s">
        <v>39000</v>
      </c>
      <c r="F4292" s="5" t="s">
        <v>39001</v>
      </c>
      <c r="G4292" s="5" t="s">
        <v>39002</v>
      </c>
      <c r="H4292" s="1" t="s">
        <v>39003</v>
      </c>
      <c r="I4292" s="5" t="s">
        <v>39004</v>
      </c>
      <c r="J4292" s="7">
        <v>25</v>
      </c>
      <c r="K4292" s="7">
        <v>7.5625</v>
      </c>
      <c r="L4292" s="5" t="s">
        <v>39005</v>
      </c>
      <c r="M4292" s="7">
        <v>0.67500000000000004</v>
      </c>
      <c r="N4292" s="7">
        <v>0.5</v>
      </c>
      <c r="O4292" s="7">
        <v>1.5980000000000001</v>
      </c>
      <c r="P4292" s="1" t="s">
        <v>39006</v>
      </c>
    </row>
    <row r="4293" spans="1:16" ht="33.4" x14ac:dyDescent="0.3">
      <c r="A4293" s="6" t="str">
        <f>HYPERLINK("https://www.ti.com/product/LM3100", "LM3100")</f>
        <v>LM3100</v>
      </c>
      <c r="B4293" s="5" t="s">
        <v>39007</v>
      </c>
      <c r="C4293" s="6" t="str">
        <f>HYPERLINK("https://www.ti.com/lit/gpn/LM3100", "PDF")</f>
        <v>PDF</v>
      </c>
      <c r="D4293" s="5" t="s">
        <v>39008</v>
      </c>
      <c r="E4293" s="5" t="s">
        <v>39009</v>
      </c>
      <c r="F4293" s="5" t="s">
        <v>39010</v>
      </c>
      <c r="G4293" s="5" t="s">
        <v>39011</v>
      </c>
      <c r="H4293" s="1" t="s">
        <v>39012</v>
      </c>
      <c r="I4293" s="5" t="s">
        <v>39013</v>
      </c>
      <c r="J4293" s="7">
        <v>20</v>
      </c>
      <c r="K4293" s="7">
        <v>41.6</v>
      </c>
      <c r="L4293" s="5" t="s">
        <v>39014</v>
      </c>
      <c r="M4293" s="7">
        <v>1.2</v>
      </c>
      <c r="N4293" s="7">
        <v>0.65</v>
      </c>
      <c r="O4293" s="7">
        <v>2.06</v>
      </c>
      <c r="P4293" s="1" t="s">
        <v>39015</v>
      </c>
    </row>
    <row r="4294" spans="1:16" ht="33.4" x14ac:dyDescent="0.3">
      <c r="A4294" s="6" t="str">
        <f>HYPERLINK("https://www.ti.com/product/LM25007", "LM25007")</f>
        <v>LM25007</v>
      </c>
      <c r="B4294" s="5" t="s">
        <v>39016</v>
      </c>
      <c r="C4294" s="6" t="str">
        <f>HYPERLINK("https://www.ti.com/lit/gpn/LM25007", "PDF")</f>
        <v>PDF</v>
      </c>
      <c r="D4294" s="5" t="s">
        <v>39017</v>
      </c>
      <c r="E4294" s="5" t="s">
        <v>39018</v>
      </c>
      <c r="F4294" s="5" t="s">
        <v>39019</v>
      </c>
      <c r="G4294" s="5" t="s">
        <v>39020</v>
      </c>
      <c r="H4294" s="1" t="s">
        <v>39021</v>
      </c>
      <c r="I4294" s="5" t="s">
        <v>39022</v>
      </c>
      <c r="J4294" s="7">
        <v>8</v>
      </c>
      <c r="K4294" s="7" t="s">
        <v>39023</v>
      </c>
      <c r="L4294" s="5" t="s">
        <v>39024</v>
      </c>
      <c r="M4294" s="7" t="s">
        <v>39025</v>
      </c>
      <c r="N4294" s="7" t="s">
        <v>39026</v>
      </c>
      <c r="O4294" s="7">
        <v>0.78400000000000003</v>
      </c>
      <c r="P4294" s="1" t="s">
        <v>39027</v>
      </c>
    </row>
    <row r="4295" spans="1:16" ht="33.4" x14ac:dyDescent="0.3">
      <c r="A4295" s="6" t="str">
        <f>HYPERLINK("https://www.ti.com/product/LP3906", "LP3906")</f>
        <v>LP3906</v>
      </c>
      <c r="B4295" s="5" t="s">
        <v>39028</v>
      </c>
      <c r="C4295" s="6" t="str">
        <f>HYPERLINK("https://www.ti.com/lit/gpn/LP3906", "PDF")</f>
        <v>PDF</v>
      </c>
      <c r="D4295" s="5" t="s">
        <v>39029</v>
      </c>
      <c r="E4295" s="5" t="s">
        <v>39030</v>
      </c>
      <c r="F4295" s="5"/>
      <c r="G4295" s="5" t="s">
        <v>39031</v>
      </c>
      <c r="H4295" s="1" t="s">
        <v>39032</v>
      </c>
      <c r="I4295" s="5" t="s">
        <v>39033</v>
      </c>
      <c r="J4295" s="7">
        <v>24</v>
      </c>
      <c r="K4295" s="7">
        <v>20</v>
      </c>
      <c r="L4295" s="5" t="s">
        <v>39034</v>
      </c>
      <c r="M4295" s="7">
        <v>0.8</v>
      </c>
      <c r="N4295" s="7">
        <v>0.5</v>
      </c>
      <c r="O4295" s="7">
        <v>1.244</v>
      </c>
      <c r="P4295" s="1" t="s">
        <v>39035</v>
      </c>
    </row>
    <row r="4296" spans="1:16" ht="33.4" x14ac:dyDescent="0.3">
      <c r="A4296" s="6" t="str">
        <f>HYPERLINK("https://www.ti.com/product/LM25005", "LM25005")</f>
        <v>LM25005</v>
      </c>
      <c r="B4296" s="5" t="s">
        <v>39036</v>
      </c>
      <c r="C4296" s="6" t="str">
        <f>HYPERLINK("https://www.ti.com/lit/gpn/LM25005", "PDF")</f>
        <v>PDF</v>
      </c>
      <c r="D4296" s="5" t="s">
        <v>39037</v>
      </c>
      <c r="E4296" s="5" t="s">
        <v>39038</v>
      </c>
      <c r="F4296" s="5" t="s">
        <v>39039</v>
      </c>
      <c r="G4296" s="5" t="s">
        <v>39040</v>
      </c>
      <c r="H4296" s="1" t="s">
        <v>39041</v>
      </c>
      <c r="I4296" s="5" t="s">
        <v>39042</v>
      </c>
      <c r="J4296" s="7">
        <v>20</v>
      </c>
      <c r="K4296" s="7">
        <v>41.6</v>
      </c>
      <c r="L4296" s="5" t="s">
        <v>39043</v>
      </c>
      <c r="M4296" s="7">
        <v>1.2</v>
      </c>
      <c r="N4296" s="7">
        <v>0.65</v>
      </c>
      <c r="O4296" s="7">
        <v>1.5</v>
      </c>
      <c r="P4296" s="1" t="s">
        <v>39044</v>
      </c>
    </row>
    <row r="4297" spans="1:16" ht="33.4" x14ac:dyDescent="0.3">
      <c r="A4297" s="6" t="str">
        <f>HYPERLINK("https://www.ti.com/product/LM2717-ADJ", "LM2717-ADJ")</f>
        <v>LM2717-ADJ</v>
      </c>
      <c r="B4297" s="5" t="s">
        <v>39045</v>
      </c>
      <c r="C4297" s="6" t="str">
        <f>HYPERLINK("https://www.ti.com/lit/gpn/LM2717-ADJ", "PDF")</f>
        <v>PDF</v>
      </c>
      <c r="D4297" s="5" t="s">
        <v>39046</v>
      </c>
      <c r="E4297" s="5" t="s">
        <v>39047</v>
      </c>
      <c r="F4297" s="5" t="s">
        <v>39048</v>
      </c>
      <c r="G4297" s="5" t="s">
        <v>39049</v>
      </c>
      <c r="H4297" s="1" t="s">
        <v>39050</v>
      </c>
      <c r="I4297" s="5" t="s">
        <v>39051</v>
      </c>
      <c r="J4297" s="7">
        <v>24</v>
      </c>
      <c r="K4297" s="7">
        <v>49.92</v>
      </c>
      <c r="L4297" s="5" t="s">
        <v>39052</v>
      </c>
      <c r="M4297" s="7">
        <v>1.2</v>
      </c>
      <c r="N4297" s="7">
        <v>0.65</v>
      </c>
      <c r="O4297" s="7">
        <v>3.2450000000000001</v>
      </c>
      <c r="P4297" s="1" t="s">
        <v>39053</v>
      </c>
    </row>
    <row r="4298" spans="1:16" ht="33.4" x14ac:dyDescent="0.3">
      <c r="A4298" s="6" t="str">
        <f>HYPERLINK("https://www.ti.com/product/LM3674", "LM3674")</f>
        <v>LM3674</v>
      </c>
      <c r="B4298" s="5" t="s">
        <v>39054</v>
      </c>
      <c r="C4298" s="6" t="str">
        <f>HYPERLINK("https://www.ti.com/lit/gpn/LM3674", "PDF")</f>
        <v>PDF</v>
      </c>
      <c r="D4298" s="5" t="s">
        <v>39055</v>
      </c>
      <c r="E4298" s="5" t="s">
        <v>39056</v>
      </c>
      <c r="F4298" s="5" t="s">
        <v>39057</v>
      </c>
      <c r="G4298" s="5" t="s">
        <v>39058</v>
      </c>
      <c r="H4298" s="1" t="s">
        <v>39059</v>
      </c>
      <c r="I4298" s="5" t="s">
        <v>39060</v>
      </c>
      <c r="J4298" s="7">
        <v>5</v>
      </c>
      <c r="K4298" s="7">
        <v>8.1199999999999992</v>
      </c>
      <c r="L4298" s="5" t="s">
        <v>39061</v>
      </c>
      <c r="M4298" s="7">
        <v>1.45</v>
      </c>
      <c r="N4298" s="7">
        <v>0.95</v>
      </c>
      <c r="O4298" s="7">
        <v>0.55700000000000005</v>
      </c>
      <c r="P4298" s="1" t="s">
        <v>39062</v>
      </c>
    </row>
    <row r="4299" spans="1:16" ht="33.4" x14ac:dyDescent="0.3">
      <c r="A4299" s="6" t="str">
        <f>HYPERLINK("https://www.ti.com/product/PTH05T210W", "PTH05T210W")</f>
        <v>PTH05T210W</v>
      </c>
      <c r="B4299" s="5" t="s">
        <v>39063</v>
      </c>
      <c r="C4299" s="6" t="str">
        <f>HYPERLINK("https://www.ti.com/lit/gpn/PTH05T210W", "PDF")</f>
        <v>PDF</v>
      </c>
      <c r="D4299" s="5" t="s">
        <v>39064</v>
      </c>
      <c r="E4299" s="5" t="s">
        <v>39065</v>
      </c>
      <c r="F4299" s="5" t="s">
        <v>39066</v>
      </c>
      <c r="G4299" s="5" t="s">
        <v>39067</v>
      </c>
      <c r="H4299" s="1" t="s">
        <v>39068</v>
      </c>
      <c r="I4299" s="5" t="s">
        <v>39069</v>
      </c>
      <c r="J4299" s="7">
        <v>14</v>
      </c>
      <c r="K4299" s="7">
        <v>600.17560000000003</v>
      </c>
      <c r="L4299" s="5" t="s">
        <v>39070</v>
      </c>
      <c r="M4299" s="7">
        <v>8.5</v>
      </c>
      <c r="N4299" s="7">
        <v>3.18</v>
      </c>
      <c r="O4299" s="7">
        <v>28.716000000000001</v>
      </c>
      <c r="P4299" s="1" t="s">
        <v>39071</v>
      </c>
    </row>
    <row r="4300" spans="1:16" ht="82.5" x14ac:dyDescent="0.3">
      <c r="A4300" s="6" t="str">
        <f>HYPERLINK("https://www.ti.com/product/PTH08T240W", "PTH08T240W")</f>
        <v>PTH08T240W</v>
      </c>
      <c r="B4300" s="5" t="s">
        <v>39072</v>
      </c>
      <c r="C4300" s="6" t="str">
        <f>HYPERLINK("https://www.ti.com/lit/gpn/PTH08T240W", "PDF")</f>
        <v>PDF</v>
      </c>
      <c r="D4300" s="5" t="s">
        <v>39073</v>
      </c>
      <c r="E4300" s="5" t="s">
        <v>39074</v>
      </c>
      <c r="F4300" s="5" t="s">
        <v>39075</v>
      </c>
      <c r="G4300" s="5" t="s">
        <v>39076</v>
      </c>
      <c r="H4300" s="1" t="s">
        <v>39077</v>
      </c>
      <c r="I4300" s="5" t="s">
        <v>39078</v>
      </c>
      <c r="J4300" s="7">
        <v>11</v>
      </c>
      <c r="K4300" s="7" t="s">
        <v>39079</v>
      </c>
      <c r="L4300" s="5" t="s">
        <v>39080</v>
      </c>
      <c r="M4300" s="7" t="s">
        <v>39081</v>
      </c>
      <c r="N4300" s="7" t="s">
        <v>39082</v>
      </c>
      <c r="O4300" s="7">
        <v>16.806000000000001</v>
      </c>
      <c r="P4300" s="1" t="s">
        <v>39083</v>
      </c>
    </row>
    <row r="4301" spans="1:16" ht="33.4" x14ac:dyDescent="0.3">
      <c r="A4301" s="6" t="str">
        <f>HYPERLINK("https://www.ti.com/product/TPS51117", "TPS51117")</f>
        <v>TPS51117</v>
      </c>
      <c r="B4301" s="5" t="s">
        <v>39084</v>
      </c>
      <c r="C4301" s="6" t="str">
        <f>HYPERLINK("https://www.ti.com/lit/gpn/TPS51117", "PDF")</f>
        <v>PDF</v>
      </c>
      <c r="D4301" s="5" t="s">
        <v>39085</v>
      </c>
      <c r="E4301" s="5" t="s">
        <v>39086</v>
      </c>
      <c r="F4301" s="5" t="s">
        <v>39087</v>
      </c>
      <c r="G4301" s="5" t="s">
        <v>39088</v>
      </c>
      <c r="H4301" s="1" t="s">
        <v>39089</v>
      </c>
      <c r="I4301" s="5" t="s">
        <v>39090</v>
      </c>
      <c r="J4301" s="7">
        <v>14</v>
      </c>
      <c r="K4301" s="7" t="s">
        <v>39091</v>
      </c>
      <c r="L4301" s="5" t="s">
        <v>39092</v>
      </c>
      <c r="M4301" s="7" t="s">
        <v>39093</v>
      </c>
      <c r="N4301" s="7" t="s">
        <v>39094</v>
      </c>
      <c r="O4301" s="7">
        <v>0.79200000000000004</v>
      </c>
      <c r="P4301" s="1" t="s">
        <v>39095</v>
      </c>
    </row>
    <row r="4302" spans="1:16" ht="33.4" x14ac:dyDescent="0.3">
      <c r="A4302" s="6" t="str">
        <f>HYPERLINK("https://www.ti.com/product/LM5109A", "LM5109A")</f>
        <v>LM5109A</v>
      </c>
      <c r="B4302" s="5" t="s">
        <v>39096</v>
      </c>
      <c r="C4302" s="6" t="str">
        <f>HYPERLINK("https://www.ti.com/lit/gpn/LM5109A", "PDF")</f>
        <v>PDF</v>
      </c>
      <c r="D4302" s="5" t="s">
        <v>39097</v>
      </c>
      <c r="E4302" s="5" t="s">
        <v>39098</v>
      </c>
      <c r="F4302" s="5"/>
      <c r="G4302" s="5" t="s">
        <v>39099</v>
      </c>
      <c r="H4302" s="1" t="s">
        <v>39100</v>
      </c>
      <c r="I4302" s="5" t="s">
        <v>39101</v>
      </c>
      <c r="J4302" s="7">
        <v>8</v>
      </c>
      <c r="K4302" s="7" t="s">
        <v>39102</v>
      </c>
      <c r="L4302" s="5" t="s">
        <v>39103</v>
      </c>
      <c r="M4302" s="7" t="s">
        <v>39104</v>
      </c>
      <c r="N4302" s="7" t="s">
        <v>39105</v>
      </c>
      <c r="O4302" s="7">
        <v>0.58199999999999996</v>
      </c>
      <c r="P4302" s="1" t="s">
        <v>39106</v>
      </c>
    </row>
    <row r="4303" spans="1:16" ht="17.05" x14ac:dyDescent="0.3">
      <c r="A4303" s="6" t="str">
        <f>HYPERLINK("https://www.ti.com/product/LP5520", "LP5520")</f>
        <v>LP5520</v>
      </c>
      <c r="B4303" s="5" t="s">
        <v>39107</v>
      </c>
      <c r="C4303" s="6" t="str">
        <f>HYPERLINK("https://www.ti.com/lit/gpn/LP5520", "PDF")</f>
        <v>PDF</v>
      </c>
      <c r="D4303" s="5" t="s">
        <v>39108</v>
      </c>
      <c r="E4303" s="5" t="s">
        <v>39109</v>
      </c>
      <c r="F4303" s="5" t="s">
        <v>39110</v>
      </c>
      <c r="G4303" s="5" t="s">
        <v>39111</v>
      </c>
      <c r="H4303" s="1" t="s">
        <v>39112</v>
      </c>
      <c r="I4303" s="5" t="s">
        <v>39113</v>
      </c>
      <c r="J4303" s="7">
        <v>25</v>
      </c>
      <c r="K4303" s="7">
        <v>7.5625</v>
      </c>
      <c r="L4303" s="5" t="s">
        <v>39114</v>
      </c>
      <c r="M4303" s="7">
        <v>0.67500000000000004</v>
      </c>
      <c r="N4303" s="7">
        <v>0.5</v>
      </c>
      <c r="O4303" s="7">
        <v>1.837</v>
      </c>
      <c r="P4303" s="1" t="s">
        <v>39115</v>
      </c>
    </row>
    <row r="4304" spans="1:16" ht="33.4" x14ac:dyDescent="0.3">
      <c r="A4304" s="6" t="str">
        <f>HYPERLINK("https://www.ti.com/product/TPS51124", "TPS51124")</f>
        <v>TPS51124</v>
      </c>
      <c r="B4304" s="5" t="s">
        <v>39116</v>
      </c>
      <c r="C4304" s="6" t="str">
        <f>HYPERLINK("https://www.ti.com/lit/gpn/TPS51124", "PDF")</f>
        <v>PDF</v>
      </c>
      <c r="D4304" s="5" t="s">
        <v>39117</v>
      </c>
      <c r="E4304" s="5" t="s">
        <v>39118</v>
      </c>
      <c r="F4304" s="5" t="s">
        <v>39119</v>
      </c>
      <c r="G4304" s="5" t="s">
        <v>39120</v>
      </c>
      <c r="H4304" s="1" t="s">
        <v>39121</v>
      </c>
      <c r="I4304" s="5" t="s">
        <v>39122</v>
      </c>
      <c r="J4304" s="7">
        <v>24</v>
      </c>
      <c r="K4304" s="7">
        <v>16</v>
      </c>
      <c r="L4304" s="5" t="s">
        <v>39123</v>
      </c>
      <c r="M4304" s="7">
        <v>1</v>
      </c>
      <c r="N4304" s="7">
        <v>0.5</v>
      </c>
      <c r="O4304" s="7">
        <v>2.9590000000000001</v>
      </c>
      <c r="P4304" s="1" t="s">
        <v>39124</v>
      </c>
    </row>
    <row r="4305" spans="1:16" ht="33.4" x14ac:dyDescent="0.3">
      <c r="A4305" s="6" t="str">
        <f>HYPERLINK("https://www.ti.com/product/TPS62304", "TPS62304")</f>
        <v>TPS62304</v>
      </c>
      <c r="B4305" s="5" t="s">
        <v>39125</v>
      </c>
      <c r="C4305" s="6" t="str">
        <f>HYPERLINK("https://www.ti.com/lit/gpn/TPS62304", "PDF")</f>
        <v>PDF</v>
      </c>
      <c r="D4305" s="5" t="s">
        <v>39126</v>
      </c>
      <c r="E4305" s="5" t="s">
        <v>39127</v>
      </c>
      <c r="F4305" s="5" t="s">
        <v>39128</v>
      </c>
      <c r="G4305" s="5" t="s">
        <v>39129</v>
      </c>
      <c r="H4305" s="1" t="s">
        <v>39130</v>
      </c>
      <c r="I4305" s="5" t="s">
        <v>39131</v>
      </c>
      <c r="J4305" s="7">
        <v>10</v>
      </c>
      <c r="K4305" s="7">
        <v>9</v>
      </c>
      <c r="L4305" s="5" t="s">
        <v>39132</v>
      </c>
      <c r="M4305" s="7">
        <v>1</v>
      </c>
      <c r="N4305" s="7">
        <v>0.5</v>
      </c>
      <c r="O4305" s="7">
        <v>0.68</v>
      </c>
      <c r="P4305" s="1" t="s">
        <v>39133</v>
      </c>
    </row>
    <row r="4306" spans="1:16" ht="33.4" x14ac:dyDescent="0.3">
      <c r="A4306" s="6" t="str">
        <f>HYPERLINK("https://www.ti.com/product/LM25010", "LM25010")</f>
        <v>LM25010</v>
      </c>
      <c r="B4306" s="5" t="s">
        <v>39134</v>
      </c>
      <c r="C4306" s="6" t="str">
        <f>HYPERLINK("https://www.ti.com/lit/gpn/LM25010", "PDF")</f>
        <v>PDF</v>
      </c>
      <c r="D4306" s="5" t="s">
        <v>39135</v>
      </c>
      <c r="E4306" s="5" t="s">
        <v>39136</v>
      </c>
      <c r="F4306" s="5" t="s">
        <v>39137</v>
      </c>
      <c r="G4306" s="5" t="s">
        <v>39138</v>
      </c>
      <c r="H4306" s="1" t="s">
        <v>39139</v>
      </c>
      <c r="I4306" s="5" t="s">
        <v>39140</v>
      </c>
      <c r="J4306" s="7" t="s">
        <v>39141</v>
      </c>
      <c r="K4306" s="7" t="s">
        <v>39142</v>
      </c>
      <c r="L4306" s="5" t="s">
        <v>39143</v>
      </c>
      <c r="M4306" s="7" t="s">
        <v>39144</v>
      </c>
      <c r="N4306" s="7" t="s">
        <v>39145</v>
      </c>
      <c r="O4306" s="7">
        <v>1.0489999999999999</v>
      </c>
      <c r="P4306" s="1" t="s">
        <v>39146</v>
      </c>
    </row>
    <row r="4307" spans="1:16" ht="17.05" x14ac:dyDescent="0.3">
      <c r="A4307" s="6" t="str">
        <f>HYPERLINK("https://www.ti.com/product/LM27964", "LM27964")</f>
        <v>LM27964</v>
      </c>
      <c r="B4307" s="5" t="s">
        <v>39147</v>
      </c>
      <c r="C4307" s="6" t="str">
        <f>HYPERLINK("https://www.ti.com/lit/gpn/LM27964", "PDF")</f>
        <v>PDF</v>
      </c>
      <c r="D4307" s="5" t="s">
        <v>39148</v>
      </c>
      <c r="E4307" s="5" t="s">
        <v>39149</v>
      </c>
      <c r="F4307" s="5" t="s">
        <v>39150</v>
      </c>
      <c r="G4307" s="5" t="s">
        <v>39151</v>
      </c>
      <c r="H4307" s="1" t="s">
        <v>39152</v>
      </c>
      <c r="I4307" s="5" t="s">
        <v>39153</v>
      </c>
      <c r="J4307" s="7">
        <v>24</v>
      </c>
      <c r="K4307" s="7">
        <v>16</v>
      </c>
      <c r="L4307" s="5" t="s">
        <v>39154</v>
      </c>
      <c r="M4307" s="7">
        <v>0.8</v>
      </c>
      <c r="N4307" s="7">
        <v>0.5</v>
      </c>
      <c r="O4307" s="7">
        <v>1.506</v>
      </c>
      <c r="P4307" s="1" t="s">
        <v>39155</v>
      </c>
    </row>
    <row r="4308" spans="1:16" ht="33.4" x14ac:dyDescent="0.3">
      <c r="A4308" s="6" t="str">
        <f>HYPERLINK("https://www.ti.com/product/LM5116", "LM5116")</f>
        <v>LM5116</v>
      </c>
      <c r="B4308" s="5" t="s">
        <v>39156</v>
      </c>
      <c r="C4308" s="6" t="str">
        <f>HYPERLINK("https://www.ti.com/lit/gpn/LM5116", "PDF")</f>
        <v>PDF</v>
      </c>
      <c r="D4308" s="5" t="s">
        <v>39157</v>
      </c>
      <c r="E4308" s="5" t="s">
        <v>39158</v>
      </c>
      <c r="F4308" s="5" t="s">
        <v>39159</v>
      </c>
      <c r="G4308" s="5" t="s">
        <v>39160</v>
      </c>
      <c r="H4308" s="1" t="s">
        <v>39161</v>
      </c>
      <c r="I4308" s="5" t="s">
        <v>39162</v>
      </c>
      <c r="J4308" s="7">
        <v>20</v>
      </c>
      <c r="K4308" s="7">
        <v>41.6</v>
      </c>
      <c r="L4308" s="5" t="s">
        <v>39163</v>
      </c>
      <c r="M4308" s="7">
        <v>1.2</v>
      </c>
      <c r="N4308" s="7">
        <v>0.65</v>
      </c>
      <c r="O4308" s="7">
        <v>2.3490000000000002</v>
      </c>
      <c r="P4308" s="1" t="s">
        <v>39164</v>
      </c>
    </row>
    <row r="4309" spans="1:16" ht="33.4" x14ac:dyDescent="0.3">
      <c r="A4309" s="6" t="str">
        <f>HYPERLINK("https://www.ti.com/product/LM5642X", "LM5642X")</f>
        <v>LM5642X</v>
      </c>
      <c r="B4309" s="5" t="s">
        <v>39165</v>
      </c>
      <c r="C4309" s="6" t="str">
        <f>HYPERLINK("https://www.ti.com/lit/gpn/LM5642X", "PDF")</f>
        <v>PDF</v>
      </c>
      <c r="D4309" s="5" t="s">
        <v>39166</v>
      </c>
      <c r="E4309" s="5" t="s">
        <v>39167</v>
      </c>
      <c r="F4309" s="5" t="s">
        <v>39168</v>
      </c>
      <c r="G4309" s="5" t="s">
        <v>39169</v>
      </c>
      <c r="H4309" s="1" t="s">
        <v>39170</v>
      </c>
      <c r="I4309" s="5" t="s">
        <v>39171</v>
      </c>
      <c r="J4309" s="7">
        <v>28</v>
      </c>
      <c r="K4309" s="7">
        <v>62.08</v>
      </c>
      <c r="L4309" s="5" t="s">
        <v>39172</v>
      </c>
      <c r="M4309" s="7">
        <v>1.2</v>
      </c>
      <c r="N4309" s="7">
        <v>0.65</v>
      </c>
      <c r="O4309" s="7">
        <v>1.948</v>
      </c>
      <c r="P4309" s="1" t="s">
        <v>39173</v>
      </c>
    </row>
    <row r="4310" spans="1:16" ht="17.05" x14ac:dyDescent="0.3">
      <c r="A4310" s="6" t="str">
        <f>HYPERLINK("https://www.ti.com/product/LM8342", "LM8342")</f>
        <v>LM8342</v>
      </c>
      <c r="B4310" s="5" t="s">
        <v>39174</v>
      </c>
      <c r="C4310" s="6" t="str">
        <f>HYPERLINK("https://www.ti.com/lit/gpn/LM8342", "PDF")</f>
        <v>PDF</v>
      </c>
      <c r="D4310" s="5" t="s">
        <v>39175</v>
      </c>
      <c r="E4310" s="5" t="s">
        <v>39176</v>
      </c>
      <c r="F4310" s="5"/>
      <c r="G4310" s="5" t="s">
        <v>39177</v>
      </c>
      <c r="H4310" s="1" t="s">
        <v>39178</v>
      </c>
      <c r="I4310" s="5" t="s">
        <v>39179</v>
      </c>
      <c r="J4310" s="7">
        <v>10</v>
      </c>
      <c r="K4310" s="7">
        <v>9</v>
      </c>
      <c r="L4310" s="5" t="s">
        <v>39180</v>
      </c>
      <c r="M4310" s="7">
        <v>0.8</v>
      </c>
      <c r="N4310" s="7">
        <v>0.5</v>
      </c>
      <c r="O4310" s="7">
        <v>0.51400000000000001</v>
      </c>
      <c r="P4310" s="1" t="s">
        <v>39181</v>
      </c>
    </row>
    <row r="4311" spans="1:16" ht="33.4" x14ac:dyDescent="0.3">
      <c r="A4311" s="6" t="str">
        <f>HYPERLINK("https://www.ti.com/product/LM25115", "LM25115")</f>
        <v>LM25115</v>
      </c>
      <c r="B4311" s="5" t="s">
        <v>39182</v>
      </c>
      <c r="C4311" s="6" t="str">
        <f>HYPERLINK("https://www.ti.com/lit/gpn/LM25115", "PDF")</f>
        <v>PDF</v>
      </c>
      <c r="D4311" s="5" t="s">
        <v>39183</v>
      </c>
      <c r="E4311" s="5" t="s">
        <v>39184</v>
      </c>
      <c r="F4311" s="5" t="s">
        <v>39185</v>
      </c>
      <c r="G4311" s="5" t="s">
        <v>39186</v>
      </c>
      <c r="H4311" s="1" t="s">
        <v>39187</v>
      </c>
      <c r="I4311" s="5" t="s">
        <v>39188</v>
      </c>
      <c r="J4311" s="7">
        <v>16</v>
      </c>
      <c r="K4311" s="7" t="s">
        <v>39189</v>
      </c>
      <c r="L4311" s="5" t="s">
        <v>39190</v>
      </c>
      <c r="M4311" s="7" t="s">
        <v>39191</v>
      </c>
      <c r="N4311" s="7" t="s">
        <v>39192</v>
      </c>
      <c r="O4311" s="7">
        <v>0.94899999999999995</v>
      </c>
      <c r="P4311" s="1" t="s">
        <v>39193</v>
      </c>
    </row>
    <row r="4312" spans="1:16" ht="33.4" x14ac:dyDescent="0.3">
      <c r="A4312" s="6" t="str">
        <f>HYPERLINK("https://www.ti.com/product/TPS65021", "TPS65021")</f>
        <v>TPS65021</v>
      </c>
      <c r="B4312" s="5" t="s">
        <v>39194</v>
      </c>
      <c r="C4312" s="6" t="str">
        <f>HYPERLINK("https://www.ti.com/lit/gpn/TPS65021", "PDF")</f>
        <v>PDF</v>
      </c>
      <c r="D4312" s="5" t="s">
        <v>39195</v>
      </c>
      <c r="E4312" s="5" t="s">
        <v>39196</v>
      </c>
      <c r="F4312" s="5"/>
      <c r="G4312" s="5" t="s">
        <v>39197</v>
      </c>
      <c r="H4312" s="1" t="s">
        <v>39198</v>
      </c>
      <c r="I4312" s="5" t="s">
        <v>39199</v>
      </c>
      <c r="J4312" s="7">
        <v>40</v>
      </c>
      <c r="K4312" s="7">
        <v>36</v>
      </c>
      <c r="L4312" s="5" t="s">
        <v>39200</v>
      </c>
      <c r="M4312" s="7">
        <v>1</v>
      </c>
      <c r="N4312" s="7">
        <v>0.5</v>
      </c>
      <c r="O4312" s="7">
        <v>3.7269999999999999</v>
      </c>
      <c r="P4312" s="1" t="s">
        <v>39201</v>
      </c>
    </row>
    <row r="4313" spans="1:16" ht="33.4" x14ac:dyDescent="0.3">
      <c r="A4313" s="6" t="str">
        <f>HYPERLINK("https://www.ti.com/product/LM27951", "LM27951")</f>
        <v>LM27951</v>
      </c>
      <c r="B4313" s="5" t="s">
        <v>39202</v>
      </c>
      <c r="C4313" s="6" t="str">
        <f>HYPERLINK("https://www.ti.com/lit/gpn/LM27951", "PDF")</f>
        <v>PDF</v>
      </c>
      <c r="D4313" s="5" t="s">
        <v>39203</v>
      </c>
      <c r="E4313" s="5" t="s">
        <v>39204</v>
      </c>
      <c r="F4313" s="5" t="s">
        <v>39205</v>
      </c>
      <c r="G4313" s="5" t="s">
        <v>39206</v>
      </c>
      <c r="H4313" s="1" t="s">
        <v>39207</v>
      </c>
      <c r="I4313" s="5" t="s">
        <v>39208</v>
      </c>
      <c r="J4313" s="7">
        <v>14</v>
      </c>
      <c r="K4313" s="7">
        <v>12</v>
      </c>
      <c r="L4313" s="5" t="s">
        <v>39209</v>
      </c>
      <c r="M4313" s="7">
        <v>0.8</v>
      </c>
      <c r="N4313" s="7">
        <v>0.5</v>
      </c>
      <c r="O4313" s="7">
        <v>0.59499999999999997</v>
      </c>
      <c r="P4313" s="1" t="s">
        <v>39210</v>
      </c>
    </row>
    <row r="4314" spans="1:16" ht="33.4" x14ac:dyDescent="0.3">
      <c r="A4314" s="6" t="str">
        <f>HYPERLINK("https://www.ti.com/product/PTH08T210W", "PTH08T210W")</f>
        <v>PTH08T210W</v>
      </c>
      <c r="B4314" s="5" t="s">
        <v>39211</v>
      </c>
      <c r="C4314" s="6" t="str">
        <f>HYPERLINK("https://www.ti.com/lit/gpn/PTH08T210W", "PDF")</f>
        <v>PDF</v>
      </c>
      <c r="D4314" s="5" t="s">
        <v>39212</v>
      </c>
      <c r="E4314" s="5" t="s">
        <v>39213</v>
      </c>
      <c r="F4314" s="5" t="s">
        <v>39214</v>
      </c>
      <c r="G4314" s="5" t="s">
        <v>39215</v>
      </c>
      <c r="H4314" s="1" t="s">
        <v>39216</v>
      </c>
      <c r="I4314" s="5" t="s">
        <v>39217</v>
      </c>
      <c r="J4314" s="7">
        <v>14</v>
      </c>
      <c r="K4314" s="7">
        <v>600.17560000000003</v>
      </c>
      <c r="L4314" s="5" t="s">
        <v>39218</v>
      </c>
      <c r="M4314" s="7">
        <v>8.5</v>
      </c>
      <c r="N4314" s="7">
        <v>3.18</v>
      </c>
      <c r="O4314" s="7">
        <v>28.004999999999999</v>
      </c>
      <c r="P4314" s="1" t="s">
        <v>39219</v>
      </c>
    </row>
    <row r="4315" spans="1:16" ht="33.4" x14ac:dyDescent="0.3">
      <c r="A4315" s="6" t="str">
        <f>HYPERLINK("https://www.ti.com/product/PTV08T250W", "PTV08T250W")</f>
        <v>PTV08T250W</v>
      </c>
      <c r="B4315" s="5" t="s">
        <v>39220</v>
      </c>
      <c r="C4315" s="6" t="str">
        <f>HYPERLINK("https://www.ti.com/lit/gpn/PTV08T250W", "PDF")</f>
        <v>PDF</v>
      </c>
      <c r="D4315" s="5" t="s">
        <v>39221</v>
      </c>
      <c r="E4315" s="5" t="s">
        <v>39222</v>
      </c>
      <c r="F4315" s="5" t="s">
        <v>39223</v>
      </c>
      <c r="G4315" s="5" t="s">
        <v>39224</v>
      </c>
      <c r="H4315" s="1" t="s">
        <v>39225</v>
      </c>
      <c r="I4315" s="5" t="s">
        <v>39226</v>
      </c>
      <c r="J4315" s="7">
        <v>21</v>
      </c>
      <c r="K4315" s="7">
        <v>562.83659999999998</v>
      </c>
      <c r="L4315" s="5" t="s">
        <v>39227</v>
      </c>
      <c r="M4315" s="7">
        <v>24.38</v>
      </c>
      <c r="N4315" s="7">
        <v>2.54</v>
      </c>
      <c r="O4315" s="7">
        <v>63.643999999999998</v>
      </c>
      <c r="P4315" s="1" t="s">
        <v>39228</v>
      </c>
    </row>
    <row r="4316" spans="1:16" ht="33.4" x14ac:dyDescent="0.3">
      <c r="A4316" s="6" t="str">
        <f>HYPERLINK("https://www.ti.com/product/LM5071", "LM5071")</f>
        <v>LM5071</v>
      </c>
      <c r="B4316" s="5" t="s">
        <v>39229</v>
      </c>
      <c r="C4316" s="6" t="str">
        <f>HYPERLINK("https://www.ti.com/lit/gpn/LM5071", "PDF")</f>
        <v>PDF</v>
      </c>
      <c r="D4316" s="5" t="s">
        <v>39230</v>
      </c>
      <c r="E4316" s="5" t="s">
        <v>39231</v>
      </c>
      <c r="F4316" s="5"/>
      <c r="G4316" s="5" t="s">
        <v>39232</v>
      </c>
      <c r="H4316" s="1" t="s">
        <v>39233</v>
      </c>
      <c r="I4316" s="5" t="s">
        <v>39234</v>
      </c>
      <c r="J4316" s="7">
        <v>16</v>
      </c>
      <c r="K4316" s="7">
        <v>32</v>
      </c>
      <c r="L4316" s="5" t="s">
        <v>39235</v>
      </c>
      <c r="M4316" s="7">
        <v>1.2</v>
      </c>
      <c r="N4316" s="7">
        <v>0.65</v>
      </c>
      <c r="O4316" s="7">
        <v>1.4319999999999999</v>
      </c>
      <c r="P4316" s="1" t="s">
        <v>39236</v>
      </c>
    </row>
    <row r="4317" spans="1:16" ht="33.4" x14ac:dyDescent="0.3">
      <c r="A4317" s="6" t="str">
        <f>HYPERLINK("https://www.ti.com/product/TPS40222", "TPS40222")</f>
        <v>TPS40222</v>
      </c>
      <c r="B4317" s="5" t="s">
        <v>39237</v>
      </c>
      <c r="C4317" s="6" t="str">
        <f>HYPERLINK("https://www.ti.com/lit/gpn/TPS40222", "PDF")</f>
        <v>PDF</v>
      </c>
      <c r="D4317" s="5" t="s">
        <v>39238</v>
      </c>
      <c r="E4317" s="5" t="s">
        <v>39239</v>
      </c>
      <c r="F4317" s="5"/>
      <c r="G4317" s="5" t="s">
        <v>39240</v>
      </c>
      <c r="H4317" s="1" t="s">
        <v>39241</v>
      </c>
      <c r="I4317" s="5" t="s">
        <v>39242</v>
      </c>
      <c r="J4317" s="7">
        <v>6</v>
      </c>
      <c r="K4317" s="7">
        <v>9</v>
      </c>
      <c r="L4317" s="5" t="s">
        <v>39243</v>
      </c>
      <c r="M4317" s="7">
        <v>1</v>
      </c>
      <c r="N4317" s="7">
        <v>0.95</v>
      </c>
      <c r="O4317" s="7">
        <v>0.89700000000000002</v>
      </c>
      <c r="P4317" s="1" t="s">
        <v>39244</v>
      </c>
    </row>
    <row r="4318" spans="1:16" ht="33.4" x14ac:dyDescent="0.3">
      <c r="A4318" s="6" t="str">
        <f>HYPERLINK("https://www.ti.com/product/LM5010A", "LM5010A")</f>
        <v>LM5010A</v>
      </c>
      <c r="B4318" s="5" t="s">
        <v>39245</v>
      </c>
      <c r="C4318" s="6" t="str">
        <f>HYPERLINK("https://www.ti.com/lit/gpn/LM5010A", "PDF")</f>
        <v>PDF</v>
      </c>
      <c r="D4318" s="5" t="s">
        <v>39246</v>
      </c>
      <c r="E4318" s="5" t="s">
        <v>39247</v>
      </c>
      <c r="F4318" s="5" t="s">
        <v>39248</v>
      </c>
      <c r="G4318" s="5" t="s">
        <v>39249</v>
      </c>
      <c r="H4318" s="1" t="s">
        <v>39250</v>
      </c>
      <c r="I4318" s="5" t="s">
        <v>39251</v>
      </c>
      <c r="J4318" s="7" t="s">
        <v>39252</v>
      </c>
      <c r="K4318" s="7" t="s">
        <v>39253</v>
      </c>
      <c r="L4318" s="5" t="s">
        <v>39254</v>
      </c>
      <c r="M4318" s="7" t="s">
        <v>39255</v>
      </c>
      <c r="N4318" s="7" t="s">
        <v>39256</v>
      </c>
      <c r="O4318" s="7">
        <v>1.323</v>
      </c>
      <c r="P4318" s="1" t="s">
        <v>39257</v>
      </c>
    </row>
    <row r="4319" spans="1:16" ht="33.4" x14ac:dyDescent="0.3">
      <c r="A4319" s="6" t="str">
        <f>HYPERLINK("https://www.ti.com/product/LM2696", "LM2696")</f>
        <v>LM2696</v>
      </c>
      <c r="B4319" s="5" t="s">
        <v>39258</v>
      </c>
      <c r="C4319" s="6" t="str">
        <f>HYPERLINK("https://www.ti.com/lit/gpn/LM2696", "PDF")</f>
        <v>PDF</v>
      </c>
      <c r="D4319" s="5" t="s">
        <v>39259</v>
      </c>
      <c r="E4319" s="5" t="s">
        <v>39260</v>
      </c>
      <c r="F4319" s="5" t="s">
        <v>39261</v>
      </c>
      <c r="G4319" s="5" t="s">
        <v>39262</v>
      </c>
      <c r="H4319" s="1" t="s">
        <v>39263</v>
      </c>
      <c r="I4319" s="5" t="s">
        <v>39264</v>
      </c>
      <c r="J4319" s="7">
        <v>16</v>
      </c>
      <c r="K4319" s="7">
        <v>32</v>
      </c>
      <c r="L4319" s="5" t="s">
        <v>39265</v>
      </c>
      <c r="M4319" s="7">
        <v>1.2</v>
      </c>
      <c r="N4319" s="7">
        <v>0.65</v>
      </c>
      <c r="O4319" s="7">
        <v>1.6459999999999999</v>
      </c>
      <c r="P4319" s="1" t="s">
        <v>39266</v>
      </c>
    </row>
    <row r="4320" spans="1:16" ht="49.75" x14ac:dyDescent="0.3">
      <c r="A4320" s="6" t="str">
        <f>HYPERLINK("https://www.ti.com/product/DCP010507DB", "DCP010507DB")</f>
        <v>DCP010507DB</v>
      </c>
      <c r="B4320" s="5" t="s">
        <v>39267</v>
      </c>
      <c r="C4320" s="6" t="str">
        <f>HYPERLINK("https://www.ti.com/lit/gpn/DCP010507DB", "PDF")</f>
        <v>PDF</v>
      </c>
      <c r="D4320" s="5" t="s">
        <v>39268</v>
      </c>
      <c r="E4320" s="5" t="s">
        <v>39269</v>
      </c>
      <c r="F4320" s="5" t="s">
        <v>39270</v>
      </c>
      <c r="G4320" s="5" t="s">
        <v>39271</v>
      </c>
      <c r="H4320" s="1" t="s">
        <v>39272</v>
      </c>
      <c r="I4320" s="5" t="s">
        <v>39273</v>
      </c>
      <c r="J4320" s="7">
        <v>7</v>
      </c>
      <c r="K4320" s="7" t="s">
        <v>39274</v>
      </c>
      <c r="L4320" s="5" t="s">
        <v>39275</v>
      </c>
      <c r="M4320" s="7">
        <v>5.33</v>
      </c>
      <c r="N4320" s="7">
        <v>2.54</v>
      </c>
      <c r="O4320" s="7">
        <v>9.1660000000000004</v>
      </c>
      <c r="P4320" s="1" t="s">
        <v>39276</v>
      </c>
    </row>
    <row r="4321" spans="1:16" ht="33.4" x14ac:dyDescent="0.3">
      <c r="A4321" s="6" t="str">
        <f>HYPERLINK("https://www.ti.com/product/PTV08040W", "PTV08040W")</f>
        <v>PTV08040W</v>
      </c>
      <c r="B4321" s="5" t="s">
        <v>39277</v>
      </c>
      <c r="C4321" s="6" t="str">
        <f>HYPERLINK("https://www.ti.com/lit/gpn/PTV08040W", "PDF")</f>
        <v>PDF</v>
      </c>
      <c r="D4321" s="5" t="s">
        <v>39278</v>
      </c>
      <c r="E4321" s="5" t="s">
        <v>39279</v>
      </c>
      <c r="F4321" s="5" t="s">
        <v>39280</v>
      </c>
      <c r="G4321" s="5" t="s">
        <v>39281</v>
      </c>
      <c r="H4321" s="1" t="s">
        <v>39282</v>
      </c>
      <c r="I4321" s="5" t="s">
        <v>39283</v>
      </c>
      <c r="J4321" s="7">
        <v>21</v>
      </c>
      <c r="K4321" s="7">
        <v>562.83659999999998</v>
      </c>
      <c r="L4321" s="5" t="s">
        <v>39284</v>
      </c>
      <c r="M4321" s="7">
        <v>24.38</v>
      </c>
      <c r="N4321" s="7">
        <v>2.54</v>
      </c>
      <c r="O4321" s="7">
        <v>53.811999999999998</v>
      </c>
      <c r="P4321" s="1" t="s">
        <v>39285</v>
      </c>
    </row>
    <row r="4322" spans="1:16" ht="33.4" x14ac:dyDescent="0.3">
      <c r="A4322" s="6" t="str">
        <f>HYPERLINK("https://www.ti.com/product/UCD8220", "UCD8220")</f>
        <v>UCD8220</v>
      </c>
      <c r="B4322" s="5" t="s">
        <v>39286</v>
      </c>
      <c r="C4322" s="6" t="str">
        <f>HYPERLINK("https://www.ti.com/lit/gpn/UCD8220", "PDF")</f>
        <v>PDF</v>
      </c>
      <c r="D4322" s="5" t="s">
        <v>39287</v>
      </c>
      <c r="E4322" s="5" t="s">
        <v>39288</v>
      </c>
      <c r="F4322" s="5" t="s">
        <v>39289</v>
      </c>
      <c r="G4322" s="5" t="s">
        <v>39290</v>
      </c>
      <c r="H4322" s="1" t="s">
        <v>39291</v>
      </c>
      <c r="I4322" s="5" t="s">
        <v>39292</v>
      </c>
      <c r="J4322" s="7">
        <v>16</v>
      </c>
      <c r="K4322" s="7">
        <v>32</v>
      </c>
      <c r="L4322" s="5" t="s">
        <v>39293</v>
      </c>
      <c r="M4322" s="7">
        <v>1.2</v>
      </c>
      <c r="N4322" s="7">
        <v>0.65</v>
      </c>
      <c r="O4322" s="7">
        <v>1.9730000000000001</v>
      </c>
      <c r="P4322" s="1" t="s">
        <v>39294</v>
      </c>
    </row>
    <row r="4323" spans="1:16" ht="33.4" x14ac:dyDescent="0.3">
      <c r="A4323" s="6" t="str">
        <f>HYPERLINK("https://www.ti.com/product/TPS65150", "TPS65150")</f>
        <v>TPS65150</v>
      </c>
      <c r="B4323" s="5" t="s">
        <v>39295</v>
      </c>
      <c r="C4323" s="6" t="str">
        <f>HYPERLINK("https://www.ti.com/lit/gpn/TPS65150", "PDF")</f>
        <v>PDF</v>
      </c>
      <c r="D4323" s="5" t="s">
        <v>39296</v>
      </c>
      <c r="E4323" s="5" t="s">
        <v>39297</v>
      </c>
      <c r="F4323" s="5" t="s">
        <v>39298</v>
      </c>
      <c r="G4323" s="5" t="s">
        <v>39299</v>
      </c>
      <c r="H4323" s="1" t="s">
        <v>39300</v>
      </c>
      <c r="I4323" s="5" t="s">
        <v>39301</v>
      </c>
      <c r="J4323" s="7">
        <v>24</v>
      </c>
      <c r="K4323" s="7" t="s">
        <v>39302</v>
      </c>
      <c r="L4323" s="5" t="s">
        <v>39303</v>
      </c>
      <c r="M4323" s="7" t="s">
        <v>39304</v>
      </c>
      <c r="N4323" s="7" t="s">
        <v>39305</v>
      </c>
      <c r="O4323" s="7">
        <v>1.012</v>
      </c>
      <c r="P4323" s="1" t="s">
        <v>39306</v>
      </c>
    </row>
    <row r="4324" spans="1:16" ht="33.4" x14ac:dyDescent="0.3">
      <c r="A4324" s="6" t="str">
        <f>HYPERLINK("https://www.ti.com/product/TPS63700", "TPS63700")</f>
        <v>TPS63700</v>
      </c>
      <c r="B4324" s="5" t="s">
        <v>39307</v>
      </c>
      <c r="C4324" s="6" t="str">
        <f>HYPERLINK("https://www.ti.com/lit/gpn/TPS63700", "PDF")</f>
        <v>PDF</v>
      </c>
      <c r="D4324" s="5" t="s">
        <v>39308</v>
      </c>
      <c r="E4324" s="5" t="s">
        <v>39309</v>
      </c>
      <c r="F4324" s="5" t="s">
        <v>39310</v>
      </c>
      <c r="G4324" s="5" t="s">
        <v>39311</v>
      </c>
      <c r="H4324" s="1" t="s">
        <v>39312</v>
      </c>
      <c r="I4324" s="5" t="s">
        <v>39313</v>
      </c>
      <c r="J4324" s="7">
        <v>10</v>
      </c>
      <c r="K4324" s="7">
        <v>9</v>
      </c>
      <c r="L4324" s="5" t="s">
        <v>39314</v>
      </c>
      <c r="M4324" s="7">
        <v>1</v>
      </c>
      <c r="N4324" s="7">
        <v>0.5</v>
      </c>
      <c r="O4324" s="7">
        <v>0.91500000000000004</v>
      </c>
      <c r="P4324" s="1" t="s">
        <v>39315</v>
      </c>
    </row>
    <row r="4325" spans="1:16" ht="33.4" x14ac:dyDescent="0.3">
      <c r="A4325" s="6" t="str">
        <f>HYPERLINK("https://www.ti.com/product/PTN04050C", "PTN04050C")</f>
        <v>PTN04050C</v>
      </c>
      <c r="B4325" s="5" t="s">
        <v>39316</v>
      </c>
      <c r="C4325" s="6" t="str">
        <f>HYPERLINK("https://www.ti.com/lit/gpn/PTN04050C", "PDF")</f>
        <v>PDF</v>
      </c>
      <c r="D4325" s="5" t="s">
        <v>39317</v>
      </c>
      <c r="E4325" s="5" t="s">
        <v>39318</v>
      </c>
      <c r="F4325" s="5" t="s">
        <v>39319</v>
      </c>
      <c r="G4325" s="5" t="s">
        <v>39320</v>
      </c>
      <c r="H4325" s="1" t="s">
        <v>39321</v>
      </c>
      <c r="I4325" s="5" t="s">
        <v>39322</v>
      </c>
      <c r="J4325" s="7">
        <v>4</v>
      </c>
      <c r="K4325" s="7">
        <v>314.20080000000002</v>
      </c>
      <c r="L4325" s="5" t="s">
        <v>39323</v>
      </c>
      <c r="M4325" s="7">
        <v>8.5</v>
      </c>
      <c r="N4325" s="7">
        <v>3.1749999999999998</v>
      </c>
      <c r="O4325" s="7">
        <v>12.65</v>
      </c>
      <c r="P4325" s="1" t="s">
        <v>39324</v>
      </c>
    </row>
    <row r="4326" spans="1:16" ht="33.4" x14ac:dyDescent="0.3">
      <c r="A4326" s="6" t="str">
        <f>HYPERLINK("https://www.ti.com/product/TPS65020", "TPS65020")</f>
        <v>TPS65020</v>
      </c>
      <c r="B4326" s="5" t="s">
        <v>39325</v>
      </c>
      <c r="C4326" s="6" t="str">
        <f>HYPERLINK("https://www.ti.com/lit/gpn/TPS65020", "PDF")</f>
        <v>PDF</v>
      </c>
      <c r="D4326" s="5" t="s">
        <v>39326</v>
      </c>
      <c r="E4326" s="5" t="s">
        <v>39327</v>
      </c>
      <c r="F4326" s="5"/>
      <c r="G4326" s="5" t="s">
        <v>39328</v>
      </c>
      <c r="H4326" s="1" t="s">
        <v>39329</v>
      </c>
      <c r="I4326" s="5" t="s">
        <v>39330</v>
      </c>
      <c r="J4326" s="7">
        <v>40</v>
      </c>
      <c r="K4326" s="7">
        <v>36</v>
      </c>
      <c r="L4326" s="5" t="s">
        <v>39331</v>
      </c>
      <c r="M4326" s="7">
        <v>1</v>
      </c>
      <c r="N4326" s="7">
        <v>0.5</v>
      </c>
      <c r="O4326" s="7">
        <v>3.7269999999999999</v>
      </c>
      <c r="P4326" s="1" t="s">
        <v>39332</v>
      </c>
    </row>
    <row r="4327" spans="1:16" ht="17.05" x14ac:dyDescent="0.3">
      <c r="A4327" s="6" t="str">
        <f>HYPERLINK("https://www.ti.com/product/TPS3807A30", "TPS3807A30")</f>
        <v>TPS3807A30</v>
      </c>
      <c r="B4327" s="5" t="s">
        <v>39333</v>
      </c>
      <c r="C4327" s="6" t="str">
        <f>HYPERLINK("https://www.ti.com/lit/gpn/TPS3807A30", "PDF")</f>
        <v>PDF</v>
      </c>
      <c r="D4327" s="5" t="s">
        <v>39334</v>
      </c>
      <c r="E4327" s="5" t="s">
        <v>39335</v>
      </c>
      <c r="F4327" s="5"/>
      <c r="G4327" s="5" t="s">
        <v>39336</v>
      </c>
      <c r="H4327" s="1" t="s">
        <v>39337</v>
      </c>
      <c r="I4327" s="5" t="s">
        <v>39338</v>
      </c>
      <c r="J4327" s="7">
        <v>5</v>
      </c>
      <c r="K4327" s="7">
        <v>4.2</v>
      </c>
      <c r="L4327" s="5" t="s">
        <v>39339</v>
      </c>
      <c r="M4327" s="7">
        <v>1.1000000000000001</v>
      </c>
      <c r="N4327" s="7">
        <v>0.65</v>
      </c>
      <c r="O4327" s="7">
        <v>1.048</v>
      </c>
      <c r="P4327" s="1" t="s">
        <v>39340</v>
      </c>
    </row>
    <row r="4328" spans="1:16" ht="33.4" x14ac:dyDescent="0.3">
      <c r="A4328" s="6" t="str">
        <f>HYPERLINK("https://www.ti.com/product/TLC5941", "TLC5941")</f>
        <v>TLC5941</v>
      </c>
      <c r="B4328" s="5" t="s">
        <v>39341</v>
      </c>
      <c r="C4328" s="6" t="str">
        <f>HYPERLINK("https://www.ti.com/lit/gpn/TLC5941", "PDF")</f>
        <v>PDF</v>
      </c>
      <c r="D4328" s="5" t="s">
        <v>39342</v>
      </c>
      <c r="E4328" s="5" t="s">
        <v>39343</v>
      </c>
      <c r="F4328" s="5"/>
      <c r="G4328" s="5" t="s">
        <v>39344</v>
      </c>
      <c r="H4328" s="1" t="s">
        <v>39345</v>
      </c>
      <c r="I4328" s="5" t="s">
        <v>39346</v>
      </c>
      <c r="J4328" s="7" t="s">
        <v>39347</v>
      </c>
      <c r="K4328" s="7" t="s">
        <v>39348</v>
      </c>
      <c r="L4328" s="5" t="s">
        <v>39349</v>
      </c>
      <c r="M4328" s="7" t="s">
        <v>39350</v>
      </c>
      <c r="N4328" s="7" t="s">
        <v>39351</v>
      </c>
      <c r="O4328" s="7">
        <v>1.0089999999999999</v>
      </c>
      <c r="P4328" s="1" t="s">
        <v>39352</v>
      </c>
    </row>
    <row r="4329" spans="1:16" ht="49.75" x14ac:dyDescent="0.3">
      <c r="A4329" s="6" t="str">
        <f>HYPERLINK("https://www.ti.com/product/LM4041A12", "LM4041A12")</f>
        <v>LM4041A12</v>
      </c>
      <c r="B4329" s="5" t="s">
        <v>39353</v>
      </c>
      <c r="C4329" s="6" t="str">
        <f>HYPERLINK("https://www.ti.com/lit/gpn/LM4041A12", "PDF")</f>
        <v>PDF</v>
      </c>
      <c r="D4329" s="5" t="s">
        <v>39354</v>
      </c>
      <c r="E4329" s="5" t="s">
        <v>39355</v>
      </c>
      <c r="F4329" s="5"/>
      <c r="G4329" s="5" t="s">
        <v>39356</v>
      </c>
      <c r="H4329" s="1" t="s">
        <v>39357</v>
      </c>
      <c r="I4329" s="5" t="s">
        <v>39358</v>
      </c>
      <c r="J4329" s="7" t="s">
        <v>39359</v>
      </c>
      <c r="K4329" s="7" t="s">
        <v>39360</v>
      </c>
      <c r="L4329" s="5" t="s">
        <v>39361</v>
      </c>
      <c r="M4329" s="7" t="s">
        <v>39362</v>
      </c>
      <c r="N4329" s="7" t="s">
        <v>39363</v>
      </c>
      <c r="O4329" s="7">
        <v>0.72599999999999998</v>
      </c>
      <c r="P4329" s="1" t="s">
        <v>39364</v>
      </c>
    </row>
    <row r="4330" spans="1:16" ht="49.75" x14ac:dyDescent="0.3">
      <c r="A4330" s="6" t="str">
        <f>HYPERLINK("https://www.ti.com/product/LM4041B12", "LM4041B12")</f>
        <v>LM4041B12</v>
      </c>
      <c r="B4330" s="5" t="s">
        <v>39365</v>
      </c>
      <c r="C4330" s="6" t="str">
        <f>HYPERLINK("https://www.ti.com/lit/gpn/LM4041B12", "PDF")</f>
        <v>PDF</v>
      </c>
      <c r="D4330" s="5" t="s">
        <v>39366</v>
      </c>
      <c r="E4330" s="5" t="s">
        <v>39367</v>
      </c>
      <c r="F4330" s="5"/>
      <c r="G4330" s="5" t="s">
        <v>39368</v>
      </c>
      <c r="H4330" s="1" t="s">
        <v>39369</v>
      </c>
      <c r="I4330" s="5" t="s">
        <v>39370</v>
      </c>
      <c r="J4330" s="7" t="s">
        <v>39371</v>
      </c>
      <c r="K4330" s="7" t="s">
        <v>39372</v>
      </c>
      <c r="L4330" s="5" t="s">
        <v>39373</v>
      </c>
      <c r="M4330" s="7" t="s">
        <v>39374</v>
      </c>
      <c r="N4330" s="7" t="s">
        <v>39375</v>
      </c>
      <c r="O4330" s="7">
        <v>0.496</v>
      </c>
      <c r="P4330" s="1" t="s">
        <v>39376</v>
      </c>
    </row>
    <row r="4331" spans="1:16" ht="33.4" x14ac:dyDescent="0.3">
      <c r="A4331" s="6" t="str">
        <f>HYPERLINK("https://www.ti.com/product/LM5005", "LM5005")</f>
        <v>LM5005</v>
      </c>
      <c r="B4331" s="5" t="s">
        <v>39377</v>
      </c>
      <c r="C4331" s="6" t="str">
        <f>HYPERLINK("https://www.ti.com/lit/gpn/LM5005", "PDF")</f>
        <v>PDF</v>
      </c>
      <c r="D4331" s="5" t="s">
        <v>39378</v>
      </c>
      <c r="E4331" s="5" t="s">
        <v>39379</v>
      </c>
      <c r="F4331" s="5" t="s">
        <v>39380</v>
      </c>
      <c r="G4331" s="5" t="s">
        <v>39381</v>
      </c>
      <c r="H4331" s="1" t="s">
        <v>39382</v>
      </c>
      <c r="I4331" s="5" t="s">
        <v>39383</v>
      </c>
      <c r="J4331" s="7">
        <v>20</v>
      </c>
      <c r="K4331" s="7">
        <v>41.6</v>
      </c>
      <c r="L4331" s="5" t="s">
        <v>39384</v>
      </c>
      <c r="M4331" s="7">
        <v>1.2</v>
      </c>
      <c r="N4331" s="7">
        <v>0.65</v>
      </c>
      <c r="O4331" s="7">
        <v>1.4950000000000001</v>
      </c>
      <c r="P4331" s="1" t="s">
        <v>39385</v>
      </c>
    </row>
    <row r="4332" spans="1:16" ht="49.75" x14ac:dyDescent="0.3">
      <c r="A4332" s="6" t="str">
        <f>HYPERLINK("https://www.ti.com/product/LM4041B", "LM4041B")</f>
        <v>LM4041B</v>
      </c>
      <c r="B4332" s="5" t="s">
        <v>39386</v>
      </c>
      <c r="C4332" s="6" t="str">
        <f>HYPERLINK("https://www.ti.com/lit/gpn/LM4041B", "PDF")</f>
        <v>PDF</v>
      </c>
      <c r="D4332" s="5" t="s">
        <v>39387</v>
      </c>
      <c r="E4332" s="5" t="s">
        <v>39388</v>
      </c>
      <c r="F4332" s="5"/>
      <c r="G4332" s="5" t="s">
        <v>39389</v>
      </c>
      <c r="H4332" s="1" t="s">
        <v>39390</v>
      </c>
      <c r="I4332" s="5" t="s">
        <v>39391</v>
      </c>
      <c r="J4332" s="7" t="s">
        <v>39392</v>
      </c>
      <c r="K4332" s="7" t="s">
        <v>39393</v>
      </c>
      <c r="L4332" s="5" t="s">
        <v>39394</v>
      </c>
      <c r="M4332" s="7" t="s">
        <v>39395</v>
      </c>
      <c r="N4332" s="7" t="s">
        <v>39396</v>
      </c>
      <c r="O4332" s="7">
        <v>0.499</v>
      </c>
      <c r="P4332" s="1" t="s">
        <v>39397</v>
      </c>
    </row>
    <row r="4333" spans="1:16" ht="49.75" x14ac:dyDescent="0.3">
      <c r="A4333" s="6" t="str">
        <f>HYPERLINK("https://www.ti.com/product/TPS732-Q1", "TPS732-Q1")</f>
        <v>TPS732-Q1</v>
      </c>
      <c r="B4333" s="5" t="s">
        <v>39398</v>
      </c>
      <c r="C4333" s="6" t="str">
        <f>HYPERLINK("https://www.ti.com/lit/gpn/TPS732-Q1", "PDF")</f>
        <v>PDF</v>
      </c>
      <c r="D4333" s="5" t="s">
        <v>39399</v>
      </c>
      <c r="E4333" s="5" t="s">
        <v>39400</v>
      </c>
      <c r="F4333" s="5"/>
      <c r="G4333" s="5" t="s">
        <v>39401</v>
      </c>
      <c r="H4333" s="1" t="s">
        <v>39402</v>
      </c>
      <c r="I4333" s="5" t="s">
        <v>39403</v>
      </c>
      <c r="J4333" s="7" t="s">
        <v>39404</v>
      </c>
      <c r="K4333" s="7" t="s">
        <v>39405</v>
      </c>
      <c r="L4333" s="5" t="s">
        <v>39406</v>
      </c>
      <c r="M4333" s="7" t="s">
        <v>39407</v>
      </c>
      <c r="N4333" s="7" t="s">
        <v>39408</v>
      </c>
      <c r="O4333" s="7">
        <v>0.33800000000000002</v>
      </c>
      <c r="P4333" s="1" t="s">
        <v>39409</v>
      </c>
    </row>
    <row r="4334" spans="1:16" ht="33.4" x14ac:dyDescent="0.3">
      <c r="A4334" s="6" t="str">
        <f>HYPERLINK("https://www.ti.com/product/BUF20800", "BUF20800")</f>
        <v>BUF20800</v>
      </c>
      <c r="B4334" s="5" t="s">
        <v>39410</v>
      </c>
      <c r="C4334" s="6" t="str">
        <f>HYPERLINK("https://www.ti.com/lit/gpn/BUF20800", "PDF")</f>
        <v>PDF</v>
      </c>
      <c r="D4334" s="5" t="s">
        <v>39411</v>
      </c>
      <c r="E4334" s="5" t="s">
        <v>39412</v>
      </c>
      <c r="F4334" s="5"/>
      <c r="G4334" s="5" t="s">
        <v>39413</v>
      </c>
      <c r="H4334" s="1" t="s">
        <v>39414</v>
      </c>
      <c r="I4334" s="5" t="s">
        <v>39415</v>
      </c>
      <c r="J4334" s="7">
        <v>38</v>
      </c>
      <c r="K4334" s="7">
        <v>62.08</v>
      </c>
      <c r="L4334" s="5" t="s">
        <v>39416</v>
      </c>
      <c r="M4334" s="7">
        <v>1.2</v>
      </c>
      <c r="N4334" s="7">
        <v>0.5</v>
      </c>
      <c r="O4334" s="7">
        <v>2.9849999999999999</v>
      </c>
      <c r="P4334" s="1" t="s">
        <v>39417</v>
      </c>
    </row>
    <row r="4335" spans="1:16" ht="33.4" x14ac:dyDescent="0.3">
      <c r="A4335" s="6" t="str">
        <f>HYPERLINK("https://www.ti.com/product/TPS23770", "TPS23770")</f>
        <v>TPS23770</v>
      </c>
      <c r="B4335" s="5" t="s">
        <v>39418</v>
      </c>
      <c r="C4335" s="6" t="str">
        <f>HYPERLINK("https://www.ti.com/lit/gpn/TPS23770", "PDF")</f>
        <v>PDF</v>
      </c>
      <c r="D4335" s="5" t="s">
        <v>39419</v>
      </c>
      <c r="E4335" s="5" t="s">
        <v>39420</v>
      </c>
      <c r="F4335" s="5"/>
      <c r="G4335" s="5" t="s">
        <v>39421</v>
      </c>
      <c r="H4335" s="1" t="s">
        <v>39422</v>
      </c>
      <c r="I4335" s="5" t="s">
        <v>39423</v>
      </c>
      <c r="J4335" s="7">
        <v>20</v>
      </c>
      <c r="K4335" s="7">
        <v>41.6</v>
      </c>
      <c r="L4335" s="5" t="s">
        <v>39424</v>
      </c>
      <c r="M4335" s="7">
        <v>1.2</v>
      </c>
      <c r="N4335" s="7">
        <v>0.65</v>
      </c>
      <c r="O4335" s="7">
        <v>1.248</v>
      </c>
      <c r="P4335" s="1" t="s">
        <v>39425</v>
      </c>
    </row>
    <row r="4336" spans="1:16" ht="33.4" x14ac:dyDescent="0.3">
      <c r="A4336" s="6" t="str">
        <f>HYPERLINK("https://www.ti.com/product/LM20242", "LM20242")</f>
        <v>LM20242</v>
      </c>
      <c r="B4336" s="5" t="s">
        <v>39426</v>
      </c>
      <c r="C4336" s="6" t="str">
        <f>HYPERLINK("https://www.ti.com/lit/gpn/LM20242", "PDF")</f>
        <v>PDF</v>
      </c>
      <c r="D4336" s="5" t="s">
        <v>39427</v>
      </c>
      <c r="E4336" s="5" t="s">
        <v>39428</v>
      </c>
      <c r="F4336" s="5" t="s">
        <v>39429</v>
      </c>
      <c r="G4336" s="5" t="s">
        <v>39430</v>
      </c>
      <c r="H4336" s="1" t="s">
        <v>39431</v>
      </c>
      <c r="I4336" s="5" t="s">
        <v>39432</v>
      </c>
      <c r="J4336" s="7">
        <v>20</v>
      </c>
      <c r="K4336" s="7">
        <v>41.6</v>
      </c>
      <c r="L4336" s="5" t="s">
        <v>39433</v>
      </c>
      <c r="M4336" s="7">
        <v>1.2</v>
      </c>
      <c r="N4336" s="7">
        <v>0.65</v>
      </c>
      <c r="O4336" s="7">
        <v>1.67</v>
      </c>
      <c r="P4336" s="1" t="s">
        <v>39434</v>
      </c>
    </row>
    <row r="4337" spans="1:16" ht="17.05" x14ac:dyDescent="0.3">
      <c r="A4337" s="6" t="str">
        <f>HYPERLINK("https://www.ti.com/product/TPS23750", "TPS23750")</f>
        <v>TPS23750</v>
      </c>
      <c r="B4337" s="5" t="s">
        <v>39435</v>
      </c>
      <c r="C4337" s="6" t="str">
        <f>HYPERLINK("https://www.ti.com/lit/gpn/TPS23750", "PDF")</f>
        <v>PDF</v>
      </c>
      <c r="D4337" s="5" t="s">
        <v>39436</v>
      </c>
      <c r="E4337" s="5" t="s">
        <v>39437</v>
      </c>
      <c r="F4337" s="5"/>
      <c r="G4337" s="5" t="s">
        <v>39438</v>
      </c>
      <c r="H4337" s="1" t="s">
        <v>39439</v>
      </c>
      <c r="I4337" s="5" t="s">
        <v>39440</v>
      </c>
      <c r="J4337" s="7">
        <v>20</v>
      </c>
      <c r="K4337" s="7">
        <v>41.6</v>
      </c>
      <c r="L4337" s="5" t="s">
        <v>39441</v>
      </c>
      <c r="M4337" s="7">
        <v>1.2</v>
      </c>
      <c r="N4337" s="7">
        <v>0.65</v>
      </c>
      <c r="O4337" s="7">
        <v>1.256</v>
      </c>
      <c r="P4337" s="1" t="s">
        <v>39442</v>
      </c>
    </row>
    <row r="4338" spans="1:16" ht="33.4" x14ac:dyDescent="0.3">
      <c r="A4338" s="6" t="str">
        <f>HYPERLINK("https://www.ti.com/product/LP5952", "LP5952")</f>
        <v>LP5952</v>
      </c>
      <c r="B4338" s="5" t="s">
        <v>39443</v>
      </c>
      <c r="C4338" s="6" t="str">
        <f>HYPERLINK("https://www.ti.com/lit/gpn/LP5952", "PDF")</f>
        <v>PDF</v>
      </c>
      <c r="D4338" s="5" t="s">
        <v>39444</v>
      </c>
      <c r="E4338" s="5" t="s">
        <v>39445</v>
      </c>
      <c r="F4338" s="5"/>
      <c r="G4338" s="5" t="s">
        <v>39446</v>
      </c>
      <c r="H4338" s="1" t="s">
        <v>39447</v>
      </c>
      <c r="I4338" s="5" t="s">
        <v>39448</v>
      </c>
      <c r="J4338" s="7" t="s">
        <v>39449</v>
      </c>
      <c r="K4338" s="7" t="s">
        <v>39450</v>
      </c>
      <c r="L4338" s="5" t="s">
        <v>39451</v>
      </c>
      <c r="M4338" s="7" t="s">
        <v>39452</v>
      </c>
      <c r="N4338" s="7">
        <v>0.5</v>
      </c>
      <c r="O4338" s="7">
        <v>0.253</v>
      </c>
      <c r="P4338" s="1" t="s">
        <v>39453</v>
      </c>
    </row>
    <row r="4339" spans="1:16" ht="33.4" x14ac:dyDescent="0.3">
      <c r="A4339" s="6" t="str">
        <f>HYPERLINK("https://www.ti.com/product/LM3743", "LM3743")</f>
        <v>LM3743</v>
      </c>
      <c r="B4339" s="5" t="s">
        <v>39454</v>
      </c>
      <c r="C4339" s="6" t="str">
        <f>HYPERLINK("https://www.ti.com/lit/gpn/LM3743", "PDF")</f>
        <v>PDF</v>
      </c>
      <c r="D4339" s="5" t="s">
        <v>39455</v>
      </c>
      <c r="E4339" s="5" t="s">
        <v>39456</v>
      </c>
      <c r="F4339" s="5"/>
      <c r="G4339" s="5" t="s">
        <v>39457</v>
      </c>
      <c r="H4339" s="1" t="s">
        <v>39458</v>
      </c>
      <c r="I4339" s="5" t="s">
        <v>39459</v>
      </c>
      <c r="J4339" s="7">
        <v>10</v>
      </c>
      <c r="K4339" s="7">
        <v>14.7</v>
      </c>
      <c r="L4339" s="5" t="s">
        <v>39460</v>
      </c>
      <c r="M4339" s="7">
        <v>1.1000000000000001</v>
      </c>
      <c r="N4339" s="7">
        <v>0.5</v>
      </c>
      <c r="O4339" s="7">
        <v>0.86</v>
      </c>
      <c r="P4339" s="1" t="s">
        <v>39461</v>
      </c>
    </row>
    <row r="4340" spans="1:16" ht="33.4" x14ac:dyDescent="0.3">
      <c r="A4340" s="6" t="str">
        <f>HYPERLINK("https://www.ti.com/product/TPS51120", "TPS51120")</f>
        <v>TPS51120</v>
      </c>
      <c r="B4340" s="5" t="s">
        <v>39462</v>
      </c>
      <c r="C4340" s="6" t="str">
        <f>HYPERLINK("https://www.ti.com/lit/gpn/TPS51120", "PDF")</f>
        <v>PDF</v>
      </c>
      <c r="D4340" s="5" t="s">
        <v>39463</v>
      </c>
      <c r="E4340" s="5" t="s">
        <v>39464</v>
      </c>
      <c r="F4340" s="5" t="s">
        <v>39465</v>
      </c>
      <c r="G4340" s="5" t="s">
        <v>39466</v>
      </c>
      <c r="H4340" s="1" t="s">
        <v>39467</v>
      </c>
      <c r="I4340" s="5" t="s">
        <v>39468</v>
      </c>
      <c r="J4340" s="7">
        <v>32</v>
      </c>
      <c r="K4340" s="7">
        <v>25</v>
      </c>
      <c r="L4340" s="5" t="s">
        <v>39469</v>
      </c>
      <c r="M4340" s="7">
        <v>1</v>
      </c>
      <c r="N4340" s="7">
        <v>0.5</v>
      </c>
      <c r="O4340" s="7">
        <v>1.869</v>
      </c>
      <c r="P4340" s="1" t="s">
        <v>39470</v>
      </c>
    </row>
    <row r="4341" spans="1:16" ht="33.4" x14ac:dyDescent="0.3">
      <c r="A4341" s="6" t="str">
        <f>HYPERLINK("https://www.ti.com/product/TPS40190", "TPS40190")</f>
        <v>TPS40190</v>
      </c>
      <c r="B4341" s="5" t="s">
        <v>39471</v>
      </c>
      <c r="C4341" s="6" t="str">
        <f>HYPERLINK("https://www.ti.com/lit/gpn/TPS40190", "PDF")</f>
        <v>PDF</v>
      </c>
      <c r="D4341" s="5" t="s">
        <v>39472</v>
      </c>
      <c r="E4341" s="5" t="s">
        <v>39473</v>
      </c>
      <c r="F4341" s="5" t="s">
        <v>39474</v>
      </c>
      <c r="G4341" s="5" t="s">
        <v>39475</v>
      </c>
      <c r="H4341" s="1" t="s">
        <v>39476</v>
      </c>
      <c r="I4341" s="5" t="s">
        <v>39477</v>
      </c>
      <c r="J4341" s="7">
        <v>10</v>
      </c>
      <c r="K4341" s="7">
        <v>9</v>
      </c>
      <c r="L4341" s="5" t="s">
        <v>39478</v>
      </c>
      <c r="M4341" s="7">
        <v>1</v>
      </c>
      <c r="N4341" s="7">
        <v>0.5</v>
      </c>
      <c r="O4341" s="7">
        <v>0.69599999999999995</v>
      </c>
      <c r="P4341" s="1" t="s">
        <v>39479</v>
      </c>
    </row>
    <row r="4342" spans="1:16" ht="33.4" x14ac:dyDescent="0.3">
      <c r="A4342" s="6" t="str">
        <f>HYPERLINK("https://www.ti.com/product/LM3310", "LM3310")</f>
        <v>LM3310</v>
      </c>
      <c r="B4342" s="5" t="s">
        <v>39480</v>
      </c>
      <c r="C4342" s="6" t="str">
        <f>HYPERLINK("https://www.ti.com/lit/gpn/LM3310", "PDF")</f>
        <v>PDF</v>
      </c>
      <c r="D4342" s="5" t="s">
        <v>39481</v>
      </c>
      <c r="E4342" s="5" t="s">
        <v>39482</v>
      </c>
      <c r="F4342" s="5" t="s">
        <v>39483</v>
      </c>
      <c r="G4342" s="5" t="s">
        <v>39484</v>
      </c>
      <c r="H4342" s="1" t="s">
        <v>39485</v>
      </c>
      <c r="I4342" s="5" t="s">
        <v>39486</v>
      </c>
      <c r="J4342" s="7">
        <v>24</v>
      </c>
      <c r="K4342" s="7">
        <v>16</v>
      </c>
      <c r="L4342" s="5" t="s">
        <v>39487</v>
      </c>
      <c r="M4342" s="7">
        <v>0.8</v>
      </c>
      <c r="N4342" s="7">
        <v>0.5</v>
      </c>
      <c r="O4342" s="7">
        <v>2.0699999999999998</v>
      </c>
      <c r="P4342" s="1" t="s">
        <v>39488</v>
      </c>
    </row>
    <row r="4343" spans="1:16" ht="33.4" x14ac:dyDescent="0.3">
      <c r="A4343" s="6" t="str">
        <f>HYPERLINK("https://www.ti.com/product/TPS62111", "TPS62111")</f>
        <v>TPS62111</v>
      </c>
      <c r="B4343" s="5" t="s">
        <v>39489</v>
      </c>
      <c r="C4343" s="6" t="str">
        <f>HYPERLINK("https://www.ti.com/lit/gpn/TPS62111", "PDF")</f>
        <v>PDF</v>
      </c>
      <c r="D4343" s="5" t="s">
        <v>39490</v>
      </c>
      <c r="E4343" s="5" t="s">
        <v>39491</v>
      </c>
      <c r="F4343" s="5" t="s">
        <v>39492</v>
      </c>
      <c r="G4343" s="5" t="s">
        <v>39493</v>
      </c>
      <c r="H4343" s="1" t="s">
        <v>39494</v>
      </c>
      <c r="I4343" s="5" t="s">
        <v>39495</v>
      </c>
      <c r="J4343" s="7">
        <v>16</v>
      </c>
      <c r="K4343" s="7">
        <v>16</v>
      </c>
      <c r="L4343" s="5" t="s">
        <v>39496</v>
      </c>
      <c r="M4343" s="7">
        <v>1</v>
      </c>
      <c r="N4343" s="7">
        <v>0.65</v>
      </c>
      <c r="O4343" s="7">
        <v>1</v>
      </c>
      <c r="P4343" s="1" t="s">
        <v>39497</v>
      </c>
    </row>
    <row r="4344" spans="1:16" ht="33.4" x14ac:dyDescent="0.3">
      <c r="A4344" s="6" t="str">
        <f>HYPERLINK("https://www.ti.com/product/TPS62112", "TPS62112")</f>
        <v>TPS62112</v>
      </c>
      <c r="B4344" s="5" t="s">
        <v>39498</v>
      </c>
      <c r="C4344" s="6" t="str">
        <f>HYPERLINK("https://www.ti.com/lit/gpn/TPS62112", "PDF")</f>
        <v>PDF</v>
      </c>
      <c r="D4344" s="5" t="s">
        <v>39499</v>
      </c>
      <c r="E4344" s="5" t="s">
        <v>39500</v>
      </c>
      <c r="F4344" s="5" t="s">
        <v>39501</v>
      </c>
      <c r="G4344" s="5" t="s">
        <v>39502</v>
      </c>
      <c r="H4344" s="1" t="s">
        <v>39503</v>
      </c>
      <c r="I4344" s="5" t="s">
        <v>39504</v>
      </c>
      <c r="J4344" s="7">
        <v>16</v>
      </c>
      <c r="K4344" s="7">
        <v>16</v>
      </c>
      <c r="L4344" s="5" t="s">
        <v>39505</v>
      </c>
      <c r="M4344" s="7">
        <v>1</v>
      </c>
      <c r="N4344" s="7">
        <v>0.65</v>
      </c>
      <c r="O4344" s="7">
        <v>1</v>
      </c>
      <c r="P4344" s="1" t="s">
        <v>39506</v>
      </c>
    </row>
    <row r="4345" spans="1:16" ht="33.4" x14ac:dyDescent="0.3">
      <c r="A4345" s="6" t="str">
        <f>HYPERLINK("https://www.ti.com/product/MC33063A-Q1", "MC33063A-Q1")</f>
        <v>MC33063A-Q1</v>
      </c>
      <c r="B4345" s="5" t="s">
        <v>39507</v>
      </c>
      <c r="C4345" s="6" t="str">
        <f>HYPERLINK("https://www.ti.com/lit/gpn/MC33063A-Q1", "PDF")</f>
        <v>PDF</v>
      </c>
      <c r="D4345" s="5" t="s">
        <v>39508</v>
      </c>
      <c r="E4345" s="5" t="s">
        <v>39509</v>
      </c>
      <c r="F4345" s="5" t="s">
        <v>39510</v>
      </c>
      <c r="G4345" s="5" t="s">
        <v>39511</v>
      </c>
      <c r="H4345" s="1" t="s">
        <v>39512</v>
      </c>
      <c r="I4345" s="5" t="s">
        <v>39513</v>
      </c>
      <c r="J4345" s="7">
        <v>8</v>
      </c>
      <c r="K4345" s="7">
        <v>29.4</v>
      </c>
      <c r="L4345" s="5" t="s">
        <v>39514</v>
      </c>
      <c r="M4345" s="7">
        <v>1.75</v>
      </c>
      <c r="N4345" s="7">
        <v>1.27</v>
      </c>
      <c r="O4345" s="7">
        <v>0.60499999999999998</v>
      </c>
      <c r="P4345" s="1" t="s">
        <v>39515</v>
      </c>
    </row>
    <row r="4346" spans="1:16" ht="33.4" x14ac:dyDescent="0.3">
      <c r="A4346" s="6" t="str">
        <f>HYPERLINK("https://www.ti.com/product/TPS62110", "TPS62110")</f>
        <v>TPS62110</v>
      </c>
      <c r="B4346" s="5" t="s">
        <v>39516</v>
      </c>
      <c r="C4346" s="6" t="str">
        <f>HYPERLINK("https://www.ti.com/lit/gpn/TPS62110", "PDF")</f>
        <v>PDF</v>
      </c>
      <c r="D4346" s="5" t="s">
        <v>39517</v>
      </c>
      <c r="E4346" s="5" t="s">
        <v>39518</v>
      </c>
      <c r="F4346" s="5" t="s">
        <v>39519</v>
      </c>
      <c r="G4346" s="5" t="s">
        <v>39520</v>
      </c>
      <c r="H4346" s="1" t="s">
        <v>39521</v>
      </c>
      <c r="I4346" s="5" t="s">
        <v>39522</v>
      </c>
      <c r="J4346" s="7">
        <v>16</v>
      </c>
      <c r="K4346" s="7">
        <v>16</v>
      </c>
      <c r="L4346" s="5" t="s">
        <v>39523</v>
      </c>
      <c r="M4346" s="7">
        <v>1</v>
      </c>
      <c r="N4346" s="7">
        <v>0.65</v>
      </c>
      <c r="O4346" s="7">
        <v>1</v>
      </c>
      <c r="P4346" s="1" t="s">
        <v>39524</v>
      </c>
    </row>
    <row r="4347" spans="1:16" ht="17.05" x14ac:dyDescent="0.3">
      <c r="A4347" s="6" t="str">
        <f>HYPERLINK("https://www.ti.com/product/TPS65160A", "TPS65160A")</f>
        <v>TPS65160A</v>
      </c>
      <c r="B4347" s="5" t="s">
        <v>39525</v>
      </c>
      <c r="C4347" s="6" t="str">
        <f>HYPERLINK("https://www.ti.com/lit/gpn/TPS65160A", "PDF")</f>
        <v>PDF</v>
      </c>
      <c r="D4347" s="5" t="s">
        <v>39526</v>
      </c>
      <c r="E4347" s="5" t="s">
        <v>39527</v>
      </c>
      <c r="F4347" s="5" t="s">
        <v>39528</v>
      </c>
      <c r="G4347" s="5" t="s">
        <v>39529</v>
      </c>
      <c r="H4347" s="1" t="s">
        <v>39530</v>
      </c>
      <c r="I4347" s="5" t="s">
        <v>39531</v>
      </c>
      <c r="J4347" s="7">
        <v>28</v>
      </c>
      <c r="K4347" s="7">
        <v>62.08</v>
      </c>
      <c r="L4347" s="5" t="s">
        <v>39532</v>
      </c>
      <c r="M4347" s="7">
        <v>1.2</v>
      </c>
      <c r="N4347" s="7">
        <v>0.65</v>
      </c>
      <c r="O4347" s="7">
        <v>1.8620000000000001</v>
      </c>
      <c r="P4347" s="1" t="s">
        <v>39533</v>
      </c>
    </row>
    <row r="4348" spans="1:16" ht="33.4" x14ac:dyDescent="0.3">
      <c r="A4348" s="6" t="str">
        <f>HYPERLINK("https://www.ti.com/product/LM5025B", "LM5025B")</f>
        <v>LM5025B</v>
      </c>
      <c r="B4348" s="5" t="s">
        <v>39534</v>
      </c>
      <c r="C4348" s="6" t="str">
        <f>HYPERLINK("https://www.ti.com/lit/gpn/LM5025B", "PDF")</f>
        <v>PDF</v>
      </c>
      <c r="D4348" s="5" t="s">
        <v>39535</v>
      </c>
      <c r="E4348" s="5" t="s">
        <v>39536</v>
      </c>
      <c r="F4348" s="5" t="s">
        <v>39537</v>
      </c>
      <c r="G4348" s="5" t="s">
        <v>39538</v>
      </c>
      <c r="H4348" s="1" t="s">
        <v>39539</v>
      </c>
      <c r="I4348" s="5" t="s">
        <v>39540</v>
      </c>
      <c r="J4348" s="7">
        <v>16</v>
      </c>
      <c r="K4348" s="7" t="s">
        <v>39541</v>
      </c>
      <c r="L4348" s="5" t="s">
        <v>39542</v>
      </c>
      <c r="M4348" s="7" t="s">
        <v>39543</v>
      </c>
      <c r="N4348" s="7" t="s">
        <v>39544</v>
      </c>
      <c r="O4348" s="7">
        <v>1.319</v>
      </c>
      <c r="P4348" s="1" t="s">
        <v>39545</v>
      </c>
    </row>
    <row r="4349" spans="1:16" ht="33.4" x14ac:dyDescent="0.3">
      <c r="A4349" s="6" t="str">
        <f>HYPERLINK("https://www.ti.com/product/LM3000", "LM3000")</f>
        <v>LM3000</v>
      </c>
      <c r="B4349" s="5" t="s">
        <v>39546</v>
      </c>
      <c r="C4349" s="6" t="str">
        <f>HYPERLINK("https://www.ti.com/lit/gpn/LM3000", "PDF")</f>
        <v>PDF</v>
      </c>
      <c r="D4349" s="5" t="s">
        <v>39547</v>
      </c>
      <c r="E4349" s="5" t="s">
        <v>39548</v>
      </c>
      <c r="F4349" s="5" t="s">
        <v>39549</v>
      </c>
      <c r="G4349" s="5" t="s">
        <v>39550</v>
      </c>
      <c r="H4349" s="1" t="s">
        <v>39551</v>
      </c>
      <c r="I4349" s="5" t="s">
        <v>39552</v>
      </c>
      <c r="J4349" s="7">
        <v>32</v>
      </c>
      <c r="K4349" s="7">
        <v>25</v>
      </c>
      <c r="L4349" s="5" t="s">
        <v>39553</v>
      </c>
      <c r="M4349" s="7">
        <v>0.8</v>
      </c>
      <c r="N4349" s="7">
        <v>0.5</v>
      </c>
      <c r="O4349" s="7">
        <v>2.9279999999999999</v>
      </c>
      <c r="P4349" s="1" t="s">
        <v>39554</v>
      </c>
    </row>
    <row r="4350" spans="1:16" ht="66.150000000000006" x14ac:dyDescent="0.3">
      <c r="A4350" s="6" t="str">
        <f>HYPERLINK("https://www.ti.com/product/LM4041C12", "LM4041C12")</f>
        <v>LM4041C12</v>
      </c>
      <c r="B4350" s="5" t="s">
        <v>39555</v>
      </c>
      <c r="C4350" s="6" t="str">
        <f>HYPERLINK("https://www.ti.com/lit/gpn/LM4041C12", "PDF")</f>
        <v>PDF</v>
      </c>
      <c r="D4350" s="5" t="s">
        <v>39556</v>
      </c>
      <c r="E4350" s="5" t="s">
        <v>39557</v>
      </c>
      <c r="F4350" s="5"/>
      <c r="G4350" s="5" t="s">
        <v>39558</v>
      </c>
      <c r="H4350" s="1" t="s">
        <v>39559</v>
      </c>
      <c r="I4350" s="5" t="s">
        <v>39560</v>
      </c>
      <c r="J4350" s="7" t="s">
        <v>39561</v>
      </c>
      <c r="K4350" s="7" t="s">
        <v>39562</v>
      </c>
      <c r="L4350" s="5" t="s">
        <v>39563</v>
      </c>
      <c r="M4350" s="7" t="s">
        <v>39564</v>
      </c>
      <c r="N4350" s="7" t="s">
        <v>39565</v>
      </c>
      <c r="O4350" s="7">
        <v>0.23</v>
      </c>
      <c r="P4350" s="1" t="s">
        <v>39566</v>
      </c>
    </row>
    <row r="4351" spans="1:16" ht="66.150000000000006" x14ac:dyDescent="0.3">
      <c r="A4351" s="6" t="str">
        <f>HYPERLINK("https://www.ti.com/product/LM4041D12", "LM4041D12")</f>
        <v>LM4041D12</v>
      </c>
      <c r="B4351" s="5" t="s">
        <v>39567</v>
      </c>
      <c r="C4351" s="6" t="str">
        <f>HYPERLINK("https://www.ti.com/lit/gpn/LM4041D12", "PDF")</f>
        <v>PDF</v>
      </c>
      <c r="D4351" s="5" t="s">
        <v>39568</v>
      </c>
      <c r="E4351" s="5" t="s">
        <v>39569</v>
      </c>
      <c r="F4351" s="5"/>
      <c r="G4351" s="5" t="s">
        <v>39570</v>
      </c>
      <c r="H4351" s="1" t="s">
        <v>39571</v>
      </c>
      <c r="I4351" s="5" t="s">
        <v>39572</v>
      </c>
      <c r="J4351" s="7" t="s">
        <v>39573</v>
      </c>
      <c r="K4351" s="7" t="s">
        <v>39574</v>
      </c>
      <c r="L4351" s="5" t="s">
        <v>39575</v>
      </c>
      <c r="M4351" s="7" t="s">
        <v>39576</v>
      </c>
      <c r="N4351" s="7" t="s">
        <v>39577</v>
      </c>
      <c r="O4351" s="7">
        <v>0.219</v>
      </c>
      <c r="P4351" s="1" t="s">
        <v>39578</v>
      </c>
    </row>
    <row r="4352" spans="1:16" ht="33.4" x14ac:dyDescent="0.3">
      <c r="A4352" s="6" t="str">
        <f>HYPERLINK("https://www.ti.com/product/REF3212", "REF3212")</f>
        <v>REF3212</v>
      </c>
      <c r="B4352" s="5" t="s">
        <v>39579</v>
      </c>
      <c r="C4352" s="6" t="str">
        <f>HYPERLINK("https://www.ti.com/lit/gpn/REF3212", "PDF")</f>
        <v>PDF</v>
      </c>
      <c r="D4352" s="5" t="s">
        <v>39580</v>
      </c>
      <c r="E4352" s="5" t="s">
        <v>39581</v>
      </c>
      <c r="F4352" s="5"/>
      <c r="G4352" s="5" t="s">
        <v>39582</v>
      </c>
      <c r="H4352" s="1" t="s">
        <v>39583</v>
      </c>
      <c r="I4352" s="5" t="s">
        <v>39584</v>
      </c>
      <c r="J4352" s="7">
        <v>6</v>
      </c>
      <c r="K4352" s="7">
        <v>8.1199999999999992</v>
      </c>
      <c r="L4352" s="5" t="s">
        <v>39585</v>
      </c>
      <c r="M4352" s="7">
        <v>1.45</v>
      </c>
      <c r="N4352" s="7">
        <v>0.95</v>
      </c>
      <c r="O4352" s="7">
        <v>1.875</v>
      </c>
      <c r="P4352" s="1" t="s">
        <v>39586</v>
      </c>
    </row>
    <row r="4353" spans="1:16" ht="33.4" x14ac:dyDescent="0.3">
      <c r="A4353" s="6" t="str">
        <f>HYPERLINK("https://www.ti.com/product/REF3220", "REF3220")</f>
        <v>REF3220</v>
      </c>
      <c r="B4353" s="5" t="s">
        <v>39587</v>
      </c>
      <c r="C4353" s="6" t="str">
        <f>HYPERLINK("https://www.ti.com/lit/gpn/REF3220", "PDF")</f>
        <v>PDF</v>
      </c>
      <c r="D4353" s="5" t="s">
        <v>39588</v>
      </c>
      <c r="E4353" s="5" t="s">
        <v>39589</v>
      </c>
      <c r="F4353" s="5"/>
      <c r="G4353" s="5" t="s">
        <v>39590</v>
      </c>
      <c r="H4353" s="1" t="s">
        <v>39591</v>
      </c>
      <c r="I4353" s="5" t="s">
        <v>39592</v>
      </c>
      <c r="J4353" s="7">
        <v>6</v>
      </c>
      <c r="K4353" s="7">
        <v>8.1199999999999992</v>
      </c>
      <c r="L4353" s="5" t="s">
        <v>39593</v>
      </c>
      <c r="M4353" s="7">
        <v>1.45</v>
      </c>
      <c r="N4353" s="7">
        <v>0.95</v>
      </c>
      <c r="O4353" s="7">
        <v>1.875</v>
      </c>
      <c r="P4353" s="1" t="s">
        <v>39594</v>
      </c>
    </row>
    <row r="4354" spans="1:16" ht="33.4" x14ac:dyDescent="0.3">
      <c r="A4354" s="6" t="str">
        <f>HYPERLINK("https://www.ti.com/product/TPS61028", "TPS61028")</f>
        <v>TPS61028</v>
      </c>
      <c r="B4354" s="5" t="s">
        <v>39595</v>
      </c>
      <c r="C4354" s="6" t="str">
        <f>HYPERLINK("https://www.ti.com/lit/gpn/TPS61028", "PDF")</f>
        <v>PDF</v>
      </c>
      <c r="D4354" s="5" t="s">
        <v>39596</v>
      </c>
      <c r="E4354" s="5" t="s">
        <v>39597</v>
      </c>
      <c r="F4354" s="5" t="s">
        <v>39598</v>
      </c>
      <c r="G4354" s="5" t="s">
        <v>39599</v>
      </c>
      <c r="H4354" s="1" t="s">
        <v>39600</v>
      </c>
      <c r="I4354" s="5" t="s">
        <v>39601</v>
      </c>
      <c r="J4354" s="7">
        <v>10</v>
      </c>
      <c r="K4354" s="7">
        <v>9</v>
      </c>
      <c r="L4354" s="5" t="s">
        <v>39602</v>
      </c>
      <c r="M4354" s="7">
        <v>1</v>
      </c>
      <c r="N4354" s="7">
        <v>0.5</v>
      </c>
      <c r="O4354" s="7">
        <v>0.83499999999999996</v>
      </c>
      <c r="P4354" s="1" t="s">
        <v>39603</v>
      </c>
    </row>
    <row r="4355" spans="1:16" ht="33.4" x14ac:dyDescent="0.3">
      <c r="A4355" s="6" t="str">
        <f>HYPERLINK("https://www.ti.com/product/TPS40100", "TPS40100")</f>
        <v>TPS40100</v>
      </c>
      <c r="B4355" s="5" t="s">
        <v>39604</v>
      </c>
      <c r="C4355" s="6" t="str">
        <f>HYPERLINK("https://www.ti.com/lit/gpn/TPS40100", "PDF")</f>
        <v>PDF</v>
      </c>
      <c r="D4355" s="5" t="s">
        <v>39605</v>
      </c>
      <c r="E4355" s="5" t="s">
        <v>39606</v>
      </c>
      <c r="F4355" s="5" t="s">
        <v>39607</v>
      </c>
      <c r="G4355" s="5" t="s">
        <v>39608</v>
      </c>
      <c r="H4355" s="1" t="s">
        <v>39609</v>
      </c>
      <c r="I4355" s="5" t="s">
        <v>39610</v>
      </c>
      <c r="J4355" s="7">
        <v>24</v>
      </c>
      <c r="K4355" s="7">
        <v>16</v>
      </c>
      <c r="L4355" s="5" t="s">
        <v>39611</v>
      </c>
      <c r="M4355" s="7">
        <v>1</v>
      </c>
      <c r="N4355" s="7">
        <v>0.5</v>
      </c>
      <c r="O4355" s="7">
        <v>1.2649999999999999</v>
      </c>
      <c r="P4355" s="1" t="s">
        <v>39612</v>
      </c>
    </row>
    <row r="4356" spans="1:16" ht="33.4" x14ac:dyDescent="0.3">
      <c r="A4356" s="6" t="str">
        <f>HYPERLINK("https://www.ti.com/product/LM3481", "LM3481")</f>
        <v>LM3481</v>
      </c>
      <c r="B4356" s="5" t="s">
        <v>39613</v>
      </c>
      <c r="C4356" s="6" t="str">
        <f>HYPERLINK("https://www.ti.com/lit/gpn/LM3481", "PDF")</f>
        <v>PDF</v>
      </c>
      <c r="D4356" s="5" t="s">
        <v>39614</v>
      </c>
      <c r="E4356" s="5" t="s">
        <v>39615</v>
      </c>
      <c r="F4356" s="5" t="s">
        <v>39616</v>
      </c>
      <c r="G4356" s="5" t="s">
        <v>39617</v>
      </c>
      <c r="H4356" s="1" t="s">
        <v>39618</v>
      </c>
      <c r="I4356" s="5" t="s">
        <v>39619</v>
      </c>
      <c r="J4356" s="7">
        <v>10</v>
      </c>
      <c r="K4356" s="7">
        <v>14.7</v>
      </c>
      <c r="L4356" s="5" t="s">
        <v>39620</v>
      </c>
      <c r="M4356" s="7">
        <v>1.1000000000000001</v>
      </c>
      <c r="N4356" s="7">
        <v>0.5</v>
      </c>
      <c r="O4356" s="7">
        <v>1.0369999999999999</v>
      </c>
      <c r="P4356" s="1" t="s">
        <v>39621</v>
      </c>
    </row>
    <row r="4357" spans="1:16" ht="33.4" x14ac:dyDescent="0.3">
      <c r="A4357" s="6" t="str">
        <f>HYPERLINK("https://www.ti.com/product/LM3481-Q1", "LM3481-Q1")</f>
        <v>LM3481-Q1</v>
      </c>
      <c r="B4357" s="5" t="s">
        <v>39622</v>
      </c>
      <c r="C4357" s="6" t="str">
        <f>HYPERLINK("https://www.ti.com/lit/gpn/LM3481-Q1", "PDF")</f>
        <v>PDF</v>
      </c>
      <c r="D4357" s="5" t="s">
        <v>39623</v>
      </c>
      <c r="E4357" s="5" t="s">
        <v>39624</v>
      </c>
      <c r="F4357" s="5" t="s">
        <v>39625</v>
      </c>
      <c r="G4357" s="5" t="s">
        <v>39626</v>
      </c>
      <c r="H4357" s="1" t="s">
        <v>39627</v>
      </c>
      <c r="I4357" s="5" t="s">
        <v>39628</v>
      </c>
      <c r="J4357" s="7">
        <v>10</v>
      </c>
      <c r="K4357" s="7">
        <v>14.7</v>
      </c>
      <c r="L4357" s="5" t="s">
        <v>39629</v>
      </c>
      <c r="M4357" s="7">
        <v>1.1000000000000001</v>
      </c>
      <c r="N4357" s="7">
        <v>0.5</v>
      </c>
      <c r="O4357" s="7">
        <v>0.88900000000000001</v>
      </c>
      <c r="P4357" s="1" t="s">
        <v>39630</v>
      </c>
    </row>
    <row r="4358" spans="1:16" ht="49.75" x14ac:dyDescent="0.3">
      <c r="A4358" s="6" t="str">
        <f>HYPERLINK("https://www.ti.com/product/LP38513", "LP38513")</f>
        <v>LP38513</v>
      </c>
      <c r="B4358" s="5" t="s">
        <v>39631</v>
      </c>
      <c r="C4358" s="6" t="str">
        <f>HYPERLINK("https://www.ti.com/lit/gpn/LP38513", "PDF")</f>
        <v>PDF</v>
      </c>
      <c r="D4358" s="5" t="s">
        <v>39632</v>
      </c>
      <c r="E4358" s="5" t="s">
        <v>39633</v>
      </c>
      <c r="F4358" s="5"/>
      <c r="G4358" s="5" t="s">
        <v>39634</v>
      </c>
      <c r="H4358" s="1" t="s">
        <v>39635</v>
      </c>
      <c r="I4358" s="5" t="s">
        <v>39636</v>
      </c>
      <c r="J4358" s="7">
        <v>5</v>
      </c>
      <c r="K4358" s="7" t="s">
        <v>39637</v>
      </c>
      <c r="L4358" s="5" t="s">
        <v>39638</v>
      </c>
      <c r="M4358" s="7" t="s">
        <v>39639</v>
      </c>
      <c r="N4358" s="7">
        <v>1.7</v>
      </c>
      <c r="O4358" s="7">
        <v>2.14</v>
      </c>
      <c r="P4358" s="1" t="s">
        <v>39640</v>
      </c>
    </row>
    <row r="4359" spans="1:16" ht="33.4" x14ac:dyDescent="0.3">
      <c r="A4359" s="6" t="str">
        <f>HYPERLINK("https://www.ti.com/product/LP3878-ADJ", "LP3878-ADJ")</f>
        <v>LP3878-ADJ</v>
      </c>
      <c r="B4359" s="5" t="s">
        <v>39641</v>
      </c>
      <c r="C4359" s="6" t="str">
        <f>HYPERLINK("https://www.ti.com/lit/gpn/LP3878-ADJ", "PDF")</f>
        <v>PDF</v>
      </c>
      <c r="D4359" s="5" t="s">
        <v>39642</v>
      </c>
      <c r="E4359" s="5" t="s">
        <v>39643</v>
      </c>
      <c r="F4359" s="5"/>
      <c r="G4359" s="5" t="s">
        <v>39644</v>
      </c>
      <c r="H4359" s="1" t="s">
        <v>39645</v>
      </c>
      <c r="I4359" s="5" t="s">
        <v>39646</v>
      </c>
      <c r="J4359" s="7">
        <v>8</v>
      </c>
      <c r="K4359" s="7" t="s">
        <v>39647</v>
      </c>
      <c r="L4359" s="5" t="s">
        <v>39648</v>
      </c>
      <c r="M4359" s="7" t="s">
        <v>39649</v>
      </c>
      <c r="N4359" s="7" t="s">
        <v>39650</v>
      </c>
      <c r="O4359" s="7">
        <v>1.3280000000000001</v>
      </c>
      <c r="P4359" s="1" t="s">
        <v>39651</v>
      </c>
    </row>
    <row r="4360" spans="1:16" ht="17.05" x14ac:dyDescent="0.3">
      <c r="A4360" s="6" t="str">
        <f>HYPERLINK("https://www.ti.com/product/LM5069", "LM5069")</f>
        <v>LM5069</v>
      </c>
      <c r="B4360" s="5" t="s">
        <v>39652</v>
      </c>
      <c r="C4360" s="6" t="str">
        <f>HYPERLINK("https://www.ti.com/lit/gpn/LM5069", "PDF")</f>
        <v>PDF</v>
      </c>
      <c r="D4360" s="5" t="s">
        <v>39653</v>
      </c>
      <c r="E4360" s="5" t="s">
        <v>39654</v>
      </c>
      <c r="F4360" s="5"/>
      <c r="G4360" s="5" t="s">
        <v>39655</v>
      </c>
      <c r="H4360" s="1" t="s">
        <v>39656</v>
      </c>
      <c r="I4360" s="5" t="s">
        <v>39657</v>
      </c>
      <c r="J4360" s="7">
        <v>10</v>
      </c>
      <c r="K4360" s="7">
        <v>14.7</v>
      </c>
      <c r="L4360" s="5" t="s">
        <v>39658</v>
      </c>
      <c r="M4360" s="7">
        <v>1.1000000000000001</v>
      </c>
      <c r="N4360" s="7">
        <v>0.5</v>
      </c>
      <c r="O4360" s="7">
        <v>1.079</v>
      </c>
      <c r="P4360" s="1" t="s">
        <v>39659</v>
      </c>
    </row>
    <row r="4361" spans="1:16" ht="33.4" x14ac:dyDescent="0.3">
      <c r="A4361" s="6" t="str">
        <f>HYPERLINK("https://www.ti.com/product/LM2717", "LM2717")</f>
        <v>LM2717</v>
      </c>
      <c r="B4361" s="5" t="s">
        <v>39660</v>
      </c>
      <c r="C4361" s="6" t="str">
        <f>HYPERLINK("https://www.ti.com/lit/gpn/LM2717", "PDF")</f>
        <v>PDF</v>
      </c>
      <c r="D4361" s="5" t="s">
        <v>39661</v>
      </c>
      <c r="E4361" s="5" t="s">
        <v>39662</v>
      </c>
      <c r="F4361" s="5" t="s">
        <v>39663</v>
      </c>
      <c r="G4361" s="5" t="s">
        <v>39664</v>
      </c>
      <c r="H4361" s="1" t="s">
        <v>39665</v>
      </c>
      <c r="I4361" s="5" t="s">
        <v>39666</v>
      </c>
      <c r="J4361" s="7">
        <v>24</v>
      </c>
      <c r="K4361" s="7">
        <v>49.92</v>
      </c>
      <c r="L4361" s="5" t="s">
        <v>39667</v>
      </c>
      <c r="M4361" s="7">
        <v>1.2</v>
      </c>
      <c r="N4361" s="7">
        <v>0.65</v>
      </c>
      <c r="O4361" s="7">
        <v>3.2450000000000001</v>
      </c>
      <c r="P4361" s="1" t="s">
        <v>39668</v>
      </c>
    </row>
    <row r="4362" spans="1:16" ht="49.75" x14ac:dyDescent="0.3">
      <c r="A4362" s="6" t="str">
        <f>HYPERLINK("https://www.ti.com/product/LM5021", "LM5021")</f>
        <v>LM5021</v>
      </c>
      <c r="B4362" s="5" t="s">
        <v>39669</v>
      </c>
      <c r="C4362" s="6" t="str">
        <f>HYPERLINK("https://www.ti.com/lit/gpn/LM5021", "PDF")</f>
        <v>PDF</v>
      </c>
      <c r="D4362" s="5" t="s">
        <v>39670</v>
      </c>
      <c r="E4362" s="5" t="s">
        <v>39671</v>
      </c>
      <c r="F4362" s="5" t="s">
        <v>39672</v>
      </c>
      <c r="G4362" s="5" t="s">
        <v>39673</v>
      </c>
      <c r="H4362" s="1" t="s">
        <v>39674</v>
      </c>
      <c r="I4362" s="5" t="s">
        <v>39675</v>
      </c>
      <c r="J4362" s="7">
        <v>8</v>
      </c>
      <c r="K4362" s="7" t="s">
        <v>39676</v>
      </c>
      <c r="L4362" s="5" t="s">
        <v>39677</v>
      </c>
      <c r="M4362" s="7" t="s">
        <v>39678</v>
      </c>
      <c r="N4362" s="7" t="s">
        <v>39679</v>
      </c>
      <c r="O4362" s="7">
        <v>0.61399999999999999</v>
      </c>
      <c r="P4362" s="1" t="s">
        <v>39680</v>
      </c>
    </row>
    <row r="4363" spans="1:16" ht="33.4" x14ac:dyDescent="0.3">
      <c r="A4363" s="6" t="str">
        <f>HYPERLINK("https://www.ti.com/product/PTN78000H", "PTN78000H")</f>
        <v>PTN78000H</v>
      </c>
      <c r="B4363" s="5" t="s">
        <v>39681</v>
      </c>
      <c r="C4363" s="6" t="str">
        <f>HYPERLINK("https://www.ti.com/lit/gpn/PTN78000H", "PDF")</f>
        <v>PDF</v>
      </c>
      <c r="D4363" s="5" t="s">
        <v>39682</v>
      </c>
      <c r="E4363" s="5" t="s">
        <v>39683</v>
      </c>
      <c r="F4363" s="5" t="s">
        <v>39684</v>
      </c>
      <c r="G4363" s="5" t="s">
        <v>39685</v>
      </c>
      <c r="H4363" s="1" t="s">
        <v>39686</v>
      </c>
      <c r="I4363" s="5" t="s">
        <v>39687</v>
      </c>
      <c r="J4363" s="7">
        <v>5</v>
      </c>
      <c r="K4363" s="7">
        <v>270.9846</v>
      </c>
      <c r="L4363" s="5" t="s">
        <v>39688</v>
      </c>
      <c r="M4363" s="7">
        <v>8.5</v>
      </c>
      <c r="N4363" s="7">
        <v>3.1749999999999998</v>
      </c>
      <c r="O4363" s="7">
        <v>11.577999999999999</v>
      </c>
      <c r="P4363" s="1" t="s">
        <v>39689</v>
      </c>
    </row>
    <row r="4364" spans="1:16" ht="17.05" x14ac:dyDescent="0.3">
      <c r="A4364" s="6" t="str">
        <f>HYPERLINK("https://www.ti.com/product/LP3905", "LP3905")</f>
        <v>LP3905</v>
      </c>
      <c r="B4364" s="5" t="s">
        <v>39690</v>
      </c>
      <c r="C4364" s="6" t="str">
        <f>HYPERLINK("https://www.ti.com/lit/gpn/LP3905", "PDF")</f>
        <v>PDF</v>
      </c>
      <c r="D4364" s="5" t="s">
        <v>39691</v>
      </c>
      <c r="E4364" s="5" t="s">
        <v>39692</v>
      </c>
      <c r="F4364" s="5"/>
      <c r="G4364" s="5" t="s">
        <v>39693</v>
      </c>
      <c r="H4364" s="1" t="s">
        <v>39694</v>
      </c>
      <c r="I4364" s="5" t="s">
        <v>39695</v>
      </c>
      <c r="J4364" s="7">
        <v>14</v>
      </c>
      <c r="K4364" s="7">
        <v>16</v>
      </c>
      <c r="L4364" s="5" t="s">
        <v>39696</v>
      </c>
      <c r="M4364" s="7">
        <v>0.8</v>
      </c>
      <c r="N4364" s="7">
        <v>0.5</v>
      </c>
      <c r="O4364" s="7">
        <v>1.1359999999999999</v>
      </c>
      <c r="P4364" s="1" t="s">
        <v>39697</v>
      </c>
    </row>
    <row r="4365" spans="1:16" ht="33.4" x14ac:dyDescent="0.3">
      <c r="A4365" s="6" t="str">
        <f>HYPERLINK("https://www.ti.com/product/LM27952", "LM27952")</f>
        <v>LM27952</v>
      </c>
      <c r="B4365" s="5" t="s">
        <v>39698</v>
      </c>
      <c r="C4365" s="6" t="str">
        <f>HYPERLINK("https://www.ti.com/lit/gpn/LM27952", "PDF")</f>
        <v>PDF</v>
      </c>
      <c r="D4365" s="5" t="s">
        <v>39699</v>
      </c>
      <c r="E4365" s="5" t="s">
        <v>39700</v>
      </c>
      <c r="F4365" s="5" t="s">
        <v>39701</v>
      </c>
      <c r="G4365" s="5" t="s">
        <v>39702</v>
      </c>
      <c r="H4365" s="1" t="s">
        <v>39703</v>
      </c>
      <c r="I4365" s="5" t="s">
        <v>39704</v>
      </c>
      <c r="J4365" s="7">
        <v>14</v>
      </c>
      <c r="K4365" s="7">
        <v>12</v>
      </c>
      <c r="L4365" s="5" t="s">
        <v>39705</v>
      </c>
      <c r="M4365" s="7">
        <v>0.8</v>
      </c>
      <c r="N4365" s="7">
        <v>0.5</v>
      </c>
      <c r="O4365" s="7">
        <v>0.63700000000000001</v>
      </c>
      <c r="P4365" s="1" t="s">
        <v>39706</v>
      </c>
    </row>
    <row r="4366" spans="1:16" ht="33.4" x14ac:dyDescent="0.3">
      <c r="A4366" s="6" t="str">
        <f>HYPERLINK("https://www.ti.com/product/UCD7100", "UCD7100")</f>
        <v>UCD7100</v>
      </c>
      <c r="B4366" s="5" t="s">
        <v>39707</v>
      </c>
      <c r="C4366" s="6" t="str">
        <f>HYPERLINK("https://www.ti.com/lit/gpn/UCD7100", "PDF")</f>
        <v>PDF</v>
      </c>
      <c r="D4366" s="5" t="s">
        <v>39708</v>
      </c>
      <c r="E4366" s="5" t="s">
        <v>39709</v>
      </c>
      <c r="F4366" s="5"/>
      <c r="G4366" s="5" t="s">
        <v>39710</v>
      </c>
      <c r="H4366" s="1" t="s">
        <v>39711</v>
      </c>
      <c r="I4366" s="5" t="s">
        <v>39712</v>
      </c>
      <c r="J4366" s="7">
        <v>14</v>
      </c>
      <c r="K4366" s="7">
        <v>32</v>
      </c>
      <c r="L4366" s="5" t="s">
        <v>39713</v>
      </c>
      <c r="M4366" s="7">
        <v>1.2</v>
      </c>
      <c r="N4366" s="7">
        <v>0.65</v>
      </c>
      <c r="O4366" s="7">
        <v>1.105</v>
      </c>
      <c r="P4366" s="1" t="s">
        <v>39714</v>
      </c>
    </row>
    <row r="4367" spans="1:16" ht="33.4" x14ac:dyDescent="0.3">
      <c r="A4367" s="6" t="str">
        <f>HYPERLINK("https://www.ti.com/product/PTN78020A", "PTN78020A")</f>
        <v>PTN78020A</v>
      </c>
      <c r="B4367" s="5" t="s">
        <v>39715</v>
      </c>
      <c r="C4367" s="6" t="str">
        <f>HYPERLINK("https://www.ti.com/lit/gpn/PTN78020A", "PDF")</f>
        <v>PDF</v>
      </c>
      <c r="D4367" s="5" t="s">
        <v>39716</v>
      </c>
      <c r="E4367" s="5" t="s">
        <v>39717</v>
      </c>
      <c r="F4367" s="5" t="s">
        <v>39718</v>
      </c>
      <c r="G4367" s="5" t="s">
        <v>39719</v>
      </c>
      <c r="H4367" s="1" t="s">
        <v>39720</v>
      </c>
      <c r="I4367" s="5" t="s">
        <v>39721</v>
      </c>
      <c r="J4367" s="7">
        <v>7</v>
      </c>
      <c r="K4367" s="7">
        <v>901.05889999999999</v>
      </c>
      <c r="L4367" s="5" t="s">
        <v>39722</v>
      </c>
      <c r="M4367" s="7">
        <v>9</v>
      </c>
      <c r="N4367" s="7">
        <v>3.18</v>
      </c>
      <c r="O4367" s="7">
        <v>20.829000000000001</v>
      </c>
      <c r="P4367" s="1" t="s">
        <v>39723</v>
      </c>
    </row>
    <row r="4368" spans="1:16" ht="33.4" x14ac:dyDescent="0.3">
      <c r="A4368" s="6" t="str">
        <f>HYPERLINK("https://www.ti.com/product/TPS2060", "TPS2060")</f>
        <v>TPS2060</v>
      </c>
      <c r="B4368" s="5" t="s">
        <v>39724</v>
      </c>
      <c r="C4368" s="6" t="str">
        <f>HYPERLINK("https://www.ti.com/lit/gpn/TPS2060", "PDF")</f>
        <v>PDF</v>
      </c>
      <c r="D4368" s="5" t="s">
        <v>39725</v>
      </c>
      <c r="E4368" s="5" t="s">
        <v>39726</v>
      </c>
      <c r="F4368" s="5"/>
      <c r="G4368" s="5" t="s">
        <v>39727</v>
      </c>
      <c r="H4368" s="1" t="s">
        <v>39728</v>
      </c>
      <c r="I4368" s="5" t="s">
        <v>39729</v>
      </c>
      <c r="J4368" s="7">
        <v>8</v>
      </c>
      <c r="K4368" s="7" t="s">
        <v>39730</v>
      </c>
      <c r="L4368" s="5" t="s">
        <v>39731</v>
      </c>
      <c r="M4368" s="7" t="s">
        <v>39732</v>
      </c>
      <c r="N4368" s="7">
        <v>0.65</v>
      </c>
      <c r="O4368" s="7">
        <v>0.79400000000000004</v>
      </c>
      <c r="P4368" s="1" t="s">
        <v>39733</v>
      </c>
    </row>
    <row r="4369" spans="1:16" ht="17.05" x14ac:dyDescent="0.3">
      <c r="A4369" s="6" t="str">
        <f>HYPERLINK("https://www.ti.com/product/LM5109", "LM5109")</f>
        <v>LM5109</v>
      </c>
      <c r="B4369" s="5" t="s">
        <v>39734</v>
      </c>
      <c r="C4369" s="6" t="str">
        <f>HYPERLINK("https://www.ti.com/lit/gpn/LM5109", "PDF")</f>
        <v>PDF</v>
      </c>
      <c r="D4369" s="5" t="s">
        <v>39735</v>
      </c>
      <c r="E4369" s="5" t="s">
        <v>39736</v>
      </c>
      <c r="F4369" s="5"/>
      <c r="G4369" s="5" t="s">
        <v>39737</v>
      </c>
      <c r="H4369" s="1" t="s">
        <v>39738</v>
      </c>
      <c r="I4369" s="5" t="s">
        <v>39739</v>
      </c>
      <c r="J4369" s="7">
        <v>8</v>
      </c>
      <c r="K4369" s="7">
        <v>29.4</v>
      </c>
      <c r="L4369" s="5" t="s">
        <v>39740</v>
      </c>
      <c r="M4369" s="7">
        <v>1.75</v>
      </c>
      <c r="N4369" s="7">
        <v>1.27</v>
      </c>
      <c r="O4369" s="7">
        <v>0.66</v>
      </c>
      <c r="P4369" s="1" t="s">
        <v>39741</v>
      </c>
    </row>
    <row r="4370" spans="1:16" ht="66.150000000000006" x14ac:dyDescent="0.3">
      <c r="A4370" s="6" t="str">
        <f>HYPERLINK("https://www.ti.com/product/LM4040", "LM4040")</f>
        <v>LM4040</v>
      </c>
      <c r="B4370" s="5" t="s">
        <v>39742</v>
      </c>
      <c r="C4370" s="6" t="str">
        <f>HYPERLINK("https://www.ti.com/lit/gpn/LM4040", "PDF")</f>
        <v>PDF</v>
      </c>
      <c r="D4370" s="5" t="s">
        <v>39743</v>
      </c>
      <c r="E4370" s="5" t="s">
        <v>39744</v>
      </c>
      <c r="F4370" s="5"/>
      <c r="G4370" s="5" t="s">
        <v>39745</v>
      </c>
      <c r="H4370" s="1" t="s">
        <v>39746</v>
      </c>
      <c r="I4370" s="5" t="s">
        <v>39747</v>
      </c>
      <c r="J4370" s="7" t="s">
        <v>39748</v>
      </c>
      <c r="K4370" s="7" t="s">
        <v>39749</v>
      </c>
      <c r="L4370" s="5" t="s">
        <v>39750</v>
      </c>
      <c r="M4370" s="7" t="s">
        <v>39751</v>
      </c>
      <c r="N4370" s="7" t="s">
        <v>39752</v>
      </c>
      <c r="O4370" s="7">
        <v>0.19</v>
      </c>
      <c r="P4370" s="1" t="s">
        <v>39753</v>
      </c>
    </row>
    <row r="4371" spans="1:16" ht="66.150000000000006" x14ac:dyDescent="0.3">
      <c r="A4371" s="6" t="str">
        <f>HYPERLINK("https://www.ti.com/product/LM4041C", "LM4041C")</f>
        <v>LM4041C</v>
      </c>
      <c r="B4371" s="5" t="s">
        <v>39754</v>
      </c>
      <c r="C4371" s="6" t="str">
        <f>HYPERLINK("https://www.ti.com/lit/gpn/LM4041C", "PDF")</f>
        <v>PDF</v>
      </c>
      <c r="D4371" s="5" t="s">
        <v>39755</v>
      </c>
      <c r="E4371" s="5" t="s">
        <v>39756</v>
      </c>
      <c r="F4371" s="5"/>
      <c r="G4371" s="5" t="s">
        <v>39757</v>
      </c>
      <c r="H4371" s="1" t="s">
        <v>39758</v>
      </c>
      <c r="I4371" s="5" t="s">
        <v>39759</v>
      </c>
      <c r="J4371" s="7" t="s">
        <v>39760</v>
      </c>
      <c r="K4371" s="7" t="s">
        <v>39761</v>
      </c>
      <c r="L4371" s="5" t="s">
        <v>39762</v>
      </c>
      <c r="M4371" s="7" t="s">
        <v>39763</v>
      </c>
      <c r="N4371" s="7" t="s">
        <v>39764</v>
      </c>
      <c r="O4371" s="7">
        <v>0.254</v>
      </c>
      <c r="P4371" s="1" t="s">
        <v>39765</v>
      </c>
    </row>
    <row r="4372" spans="1:16" ht="82.5" x14ac:dyDescent="0.3">
      <c r="A4372" s="6" t="str">
        <f>HYPERLINK("https://www.ti.com/product/TLVH431", "TLVH431")</f>
        <v>TLVH431</v>
      </c>
      <c r="B4372" s="5" t="s">
        <v>39766</v>
      </c>
      <c r="C4372" s="6" t="str">
        <f>HYPERLINK("https://www.ti.com/lit/gpn/TLVH431", "PDF")</f>
        <v>PDF</v>
      </c>
      <c r="D4372" s="5" t="s">
        <v>39767</v>
      </c>
      <c r="E4372" s="5" t="s">
        <v>39768</v>
      </c>
      <c r="F4372" s="5"/>
      <c r="G4372" s="5" t="s">
        <v>39769</v>
      </c>
      <c r="H4372" s="1" t="s">
        <v>39770</v>
      </c>
      <c r="I4372" s="5" t="s">
        <v>39771</v>
      </c>
      <c r="J4372" s="7" t="s">
        <v>39772</v>
      </c>
      <c r="K4372" s="7" t="s">
        <v>39773</v>
      </c>
      <c r="L4372" s="5" t="s">
        <v>39774</v>
      </c>
      <c r="M4372" s="7" t="s">
        <v>39775</v>
      </c>
      <c r="N4372" s="7" t="s">
        <v>39776</v>
      </c>
      <c r="O4372" s="7">
        <v>0.182</v>
      </c>
      <c r="P4372" s="1" t="s">
        <v>39777</v>
      </c>
    </row>
    <row r="4373" spans="1:16" ht="82.5" x14ac:dyDescent="0.3">
      <c r="A4373" s="6" t="str">
        <f>HYPERLINK("https://www.ti.com/product/TLVH431A", "TLVH431A")</f>
        <v>TLVH431A</v>
      </c>
      <c r="B4373" s="5" t="s">
        <v>39778</v>
      </c>
      <c r="C4373" s="6" t="str">
        <f>HYPERLINK("https://www.ti.com/lit/gpn/TLVH431A", "PDF")</f>
        <v>PDF</v>
      </c>
      <c r="D4373" s="5" t="s">
        <v>39779</v>
      </c>
      <c r="E4373" s="5" t="s">
        <v>39780</v>
      </c>
      <c r="F4373" s="5"/>
      <c r="G4373" s="5" t="s">
        <v>39781</v>
      </c>
      <c r="H4373" s="1" t="s">
        <v>39782</v>
      </c>
      <c r="I4373" s="5" t="s">
        <v>39783</v>
      </c>
      <c r="J4373" s="7" t="s">
        <v>39784</v>
      </c>
      <c r="K4373" s="7" t="s">
        <v>39785</v>
      </c>
      <c r="L4373" s="5" t="s">
        <v>39786</v>
      </c>
      <c r="M4373" s="7" t="s">
        <v>39787</v>
      </c>
      <c r="N4373" s="7" t="s">
        <v>39788</v>
      </c>
      <c r="O4373" s="7">
        <v>0.154</v>
      </c>
      <c r="P4373" s="1" t="s">
        <v>39789</v>
      </c>
    </row>
    <row r="4374" spans="1:16" ht="49.75" x14ac:dyDescent="0.3">
      <c r="A4374" s="6" t="str">
        <f>HYPERLINK("https://www.ti.com/product/TLVH432", "TLVH432")</f>
        <v>TLVH432</v>
      </c>
      <c r="B4374" s="5" t="s">
        <v>39790</v>
      </c>
      <c r="C4374" s="6" t="str">
        <f>HYPERLINK("https://www.ti.com/lit/gpn/TLVH432", "PDF")</f>
        <v>PDF</v>
      </c>
      <c r="D4374" s="5" t="s">
        <v>39791</v>
      </c>
      <c r="E4374" s="5" t="s">
        <v>39792</v>
      </c>
      <c r="F4374" s="5"/>
      <c r="G4374" s="5" t="s">
        <v>39793</v>
      </c>
      <c r="H4374" s="1" t="s">
        <v>39794</v>
      </c>
      <c r="I4374" s="5" t="s">
        <v>39795</v>
      </c>
      <c r="J4374" s="7">
        <v>3</v>
      </c>
      <c r="K4374" s="7" t="s">
        <v>39796</v>
      </c>
      <c r="L4374" s="5" t="s">
        <v>39797</v>
      </c>
      <c r="M4374" s="7" t="s">
        <v>39798</v>
      </c>
      <c r="N4374" s="7" t="s">
        <v>39799</v>
      </c>
      <c r="O4374" s="7">
        <v>0.19900000000000001</v>
      </c>
      <c r="P4374" s="1" t="s">
        <v>39800</v>
      </c>
    </row>
    <row r="4375" spans="1:16" ht="49.75" x14ac:dyDescent="0.3">
      <c r="A4375" s="6" t="str">
        <f>HYPERLINK("https://www.ti.com/product/TLVH432A", "TLVH432A")</f>
        <v>TLVH432A</v>
      </c>
      <c r="B4375" s="5" t="s">
        <v>39801</v>
      </c>
      <c r="C4375" s="6" t="str">
        <f>HYPERLINK("https://www.ti.com/lit/gpn/TLVH432A", "PDF")</f>
        <v>PDF</v>
      </c>
      <c r="D4375" s="5" t="s">
        <v>39802</v>
      </c>
      <c r="E4375" s="5" t="s">
        <v>39803</v>
      </c>
      <c r="F4375" s="5"/>
      <c r="G4375" s="5" t="s">
        <v>39804</v>
      </c>
      <c r="H4375" s="1" t="s">
        <v>39805</v>
      </c>
      <c r="I4375" s="5" t="s">
        <v>39806</v>
      </c>
      <c r="J4375" s="7">
        <v>3</v>
      </c>
      <c r="K4375" s="7" t="s">
        <v>39807</v>
      </c>
      <c r="L4375" s="5" t="s">
        <v>39808</v>
      </c>
      <c r="M4375" s="7" t="s">
        <v>39809</v>
      </c>
      <c r="N4375" s="7" t="s">
        <v>39810</v>
      </c>
      <c r="O4375" s="7">
        <v>0.22700000000000001</v>
      </c>
      <c r="P4375" s="1" t="s">
        <v>39811</v>
      </c>
    </row>
    <row r="4376" spans="1:16" ht="49.75" x14ac:dyDescent="0.3">
      <c r="A4376" s="6" t="str">
        <f>HYPERLINK("https://www.ti.com/product/TLVH432B", "TLVH432B")</f>
        <v>TLVH432B</v>
      </c>
      <c r="B4376" s="5" t="s">
        <v>39812</v>
      </c>
      <c r="C4376" s="6" t="str">
        <f>HYPERLINK("https://www.ti.com/lit/gpn/TLVH432B", "PDF")</f>
        <v>PDF</v>
      </c>
      <c r="D4376" s="5" t="s">
        <v>39813</v>
      </c>
      <c r="E4376" s="5" t="s">
        <v>39814</v>
      </c>
      <c r="F4376" s="5"/>
      <c r="G4376" s="5" t="s">
        <v>39815</v>
      </c>
      <c r="H4376" s="1" t="s">
        <v>39816</v>
      </c>
      <c r="I4376" s="5" t="s">
        <v>39817</v>
      </c>
      <c r="J4376" s="7">
        <v>3</v>
      </c>
      <c r="K4376" s="7" t="s">
        <v>39818</v>
      </c>
      <c r="L4376" s="5" t="s">
        <v>39819</v>
      </c>
      <c r="M4376" s="7" t="s">
        <v>39820</v>
      </c>
      <c r="N4376" s="7" t="s">
        <v>39821</v>
      </c>
      <c r="O4376" s="7">
        <v>0.30599999999999999</v>
      </c>
      <c r="P4376" s="1" t="s">
        <v>39822</v>
      </c>
    </row>
    <row r="4377" spans="1:16" ht="33.4" x14ac:dyDescent="0.3">
      <c r="A4377" s="6" t="str">
        <f>HYPERLINK("https://www.ti.com/product/LM2745", "LM2745")</f>
        <v>LM2745</v>
      </c>
      <c r="B4377" s="5" t="s">
        <v>39823</v>
      </c>
      <c r="C4377" s="6" t="str">
        <f>HYPERLINK("https://www.ti.com/lit/gpn/LM2745", "PDF")</f>
        <v>PDF</v>
      </c>
      <c r="D4377" s="5" t="s">
        <v>39824</v>
      </c>
      <c r="E4377" s="5" t="s">
        <v>39825</v>
      </c>
      <c r="F4377" s="5" t="s">
        <v>39826</v>
      </c>
      <c r="G4377" s="5" t="s">
        <v>39827</v>
      </c>
      <c r="H4377" s="1" t="s">
        <v>39828</v>
      </c>
      <c r="I4377" s="5" t="s">
        <v>39829</v>
      </c>
      <c r="J4377" s="7">
        <v>14</v>
      </c>
      <c r="K4377" s="7">
        <v>32</v>
      </c>
      <c r="L4377" s="5" t="s">
        <v>39830</v>
      </c>
      <c r="M4377" s="7">
        <v>1.2</v>
      </c>
      <c r="N4377" s="7">
        <v>0.65</v>
      </c>
      <c r="O4377" s="7">
        <v>1.0409999999999999</v>
      </c>
      <c r="P4377" s="1" t="s">
        <v>39831</v>
      </c>
    </row>
    <row r="4378" spans="1:16" ht="33.4" x14ac:dyDescent="0.3">
      <c r="A4378" s="6" t="str">
        <f>HYPERLINK("https://www.ti.com/product/PTN78000A", "PTN78000A")</f>
        <v>PTN78000A</v>
      </c>
      <c r="B4378" s="5" t="s">
        <v>39832</v>
      </c>
      <c r="C4378" s="6" t="str">
        <f>HYPERLINK("https://www.ti.com/lit/gpn/PTN78000A", "PDF")</f>
        <v>PDF</v>
      </c>
      <c r="D4378" s="5" t="s">
        <v>39833</v>
      </c>
      <c r="E4378" s="5" t="s">
        <v>39834</v>
      </c>
      <c r="F4378" s="5" t="s">
        <v>39835</v>
      </c>
      <c r="G4378" s="5" t="s">
        <v>39836</v>
      </c>
      <c r="H4378" s="1" t="s">
        <v>39837</v>
      </c>
      <c r="I4378" s="5" t="s">
        <v>39838</v>
      </c>
      <c r="J4378" s="7">
        <v>5</v>
      </c>
      <c r="K4378" s="7">
        <v>270.9846</v>
      </c>
      <c r="L4378" s="5" t="s">
        <v>39839</v>
      </c>
      <c r="M4378" s="7">
        <v>8.5</v>
      </c>
      <c r="N4378" s="7">
        <v>3.1749999999999998</v>
      </c>
      <c r="O4378" s="7">
        <v>12.721</v>
      </c>
      <c r="P4378" s="1" t="s">
        <v>39840</v>
      </c>
    </row>
    <row r="4379" spans="1:16" ht="33.4" x14ac:dyDescent="0.3">
      <c r="A4379" s="6" t="str">
        <f>HYPERLINK("https://www.ti.com/product/PTN78060A", "PTN78060A")</f>
        <v>PTN78060A</v>
      </c>
      <c r="B4379" s="5" t="s">
        <v>39841</v>
      </c>
      <c r="C4379" s="6" t="str">
        <f>HYPERLINK("https://www.ti.com/lit/gpn/PTN78060A", "PDF")</f>
        <v>PDF</v>
      </c>
      <c r="D4379" s="5" t="s">
        <v>39842</v>
      </c>
      <c r="E4379" s="5" t="s">
        <v>39843</v>
      </c>
      <c r="F4379" s="5" t="s">
        <v>39844</v>
      </c>
      <c r="G4379" s="5" t="s">
        <v>39845</v>
      </c>
      <c r="H4379" s="1" t="s">
        <v>39846</v>
      </c>
      <c r="I4379" s="5" t="s">
        <v>39847</v>
      </c>
      <c r="J4379" s="7">
        <v>7</v>
      </c>
      <c r="K4379" s="7">
        <v>440.62040000000002</v>
      </c>
      <c r="L4379" s="5" t="s">
        <v>39848</v>
      </c>
      <c r="M4379" s="7">
        <v>9</v>
      </c>
      <c r="N4379" s="7">
        <v>3.1749999999999998</v>
      </c>
      <c r="O4379" s="7">
        <v>19.45</v>
      </c>
      <c r="P4379" s="1" t="s">
        <v>39849</v>
      </c>
    </row>
    <row r="4380" spans="1:16" ht="33.4" x14ac:dyDescent="0.3">
      <c r="A4380" s="6" t="str">
        <f>HYPERLINK("https://www.ti.com/product/UCD7201", "UCD7201")</f>
        <v>UCD7201</v>
      </c>
      <c r="B4380" s="5" t="s">
        <v>39850</v>
      </c>
      <c r="C4380" s="6" t="str">
        <f>HYPERLINK("https://www.ti.com/lit/gpn/UCD7201", "PDF")</f>
        <v>PDF</v>
      </c>
      <c r="D4380" s="5" t="s">
        <v>39851</v>
      </c>
      <c r="E4380" s="5" t="s">
        <v>39852</v>
      </c>
      <c r="F4380" s="5"/>
      <c r="G4380" s="5" t="s">
        <v>39853</v>
      </c>
      <c r="H4380" s="1" t="s">
        <v>39854</v>
      </c>
      <c r="I4380" s="5" t="s">
        <v>39855</v>
      </c>
      <c r="J4380" s="7">
        <v>14</v>
      </c>
      <c r="K4380" s="7">
        <v>32</v>
      </c>
      <c r="L4380" s="5" t="s">
        <v>39856</v>
      </c>
      <c r="M4380" s="7">
        <v>1.2</v>
      </c>
      <c r="N4380" s="7">
        <v>0.65</v>
      </c>
      <c r="O4380" s="7">
        <v>1.4670000000000001</v>
      </c>
      <c r="P4380" s="1" t="s">
        <v>39857</v>
      </c>
    </row>
    <row r="4381" spans="1:16" ht="33.4" x14ac:dyDescent="0.3">
      <c r="A4381" s="6" t="str">
        <f>HYPERLINK("https://www.ti.com/product/PTH04040W", "PTH04040W")</f>
        <v>PTH04040W</v>
      </c>
      <c r="B4381" s="5" t="s">
        <v>39858</v>
      </c>
      <c r="C4381" s="6" t="str">
        <f>HYPERLINK("https://www.ti.com/lit/gpn/PTH04040W", "PDF")</f>
        <v>PDF</v>
      </c>
      <c r="D4381" s="5" t="s">
        <v>39859</v>
      </c>
      <c r="E4381" s="5" t="s">
        <v>39860</v>
      </c>
      <c r="F4381" s="5" t="s">
        <v>39861</v>
      </c>
      <c r="G4381" s="5" t="s">
        <v>39862</v>
      </c>
      <c r="H4381" s="1" t="s">
        <v>39863</v>
      </c>
      <c r="I4381" s="5" t="s">
        <v>39864</v>
      </c>
      <c r="J4381" s="7">
        <v>20</v>
      </c>
      <c r="K4381" s="7">
        <v>1459.5776000000001</v>
      </c>
      <c r="L4381" s="5" t="s">
        <v>39865</v>
      </c>
      <c r="M4381" s="7">
        <v>9.07</v>
      </c>
      <c r="N4381" s="7">
        <v>3.17</v>
      </c>
      <c r="O4381" s="7">
        <v>44.274999999999999</v>
      </c>
      <c r="P4381" s="1" t="s">
        <v>39866</v>
      </c>
    </row>
    <row r="4382" spans="1:16" ht="17.05" x14ac:dyDescent="0.3">
      <c r="A4382" s="6" t="str">
        <f>HYPERLINK("https://www.ti.com/product/TPS2375-1", "TPS2375-1")</f>
        <v>TPS2375-1</v>
      </c>
      <c r="B4382" s="5" t="s">
        <v>39867</v>
      </c>
      <c r="C4382" s="6" t="str">
        <f>HYPERLINK("https://www.ti.com/lit/gpn/TPS2375-1", "PDF")</f>
        <v>PDF</v>
      </c>
      <c r="D4382" s="5" t="s">
        <v>39868</v>
      </c>
      <c r="E4382" s="5" t="s">
        <v>39869</v>
      </c>
      <c r="F4382" s="5"/>
      <c r="G4382" s="5" t="s">
        <v>39870</v>
      </c>
      <c r="H4382" s="1" t="s">
        <v>39871</v>
      </c>
      <c r="I4382" s="5" t="s">
        <v>39872</v>
      </c>
      <c r="J4382" s="7">
        <v>8</v>
      </c>
      <c r="K4382" s="7">
        <v>19.2</v>
      </c>
      <c r="L4382" s="5" t="s">
        <v>39873</v>
      </c>
      <c r="M4382" s="7">
        <v>1.2</v>
      </c>
      <c r="N4382" s="7">
        <v>0.65</v>
      </c>
      <c r="O4382" s="7">
        <v>0.79100000000000004</v>
      </c>
      <c r="P4382" s="1" t="s">
        <v>39874</v>
      </c>
    </row>
    <row r="4383" spans="1:16" ht="17.05" x14ac:dyDescent="0.3">
      <c r="A4383" s="6" t="str">
        <f>HYPERLINK("https://www.ti.com/product/TPS2377-1", "TPS2377-1")</f>
        <v>TPS2377-1</v>
      </c>
      <c r="B4383" s="5" t="s">
        <v>39875</v>
      </c>
      <c r="C4383" s="6" t="str">
        <f>HYPERLINK("https://www.ti.com/lit/gpn/TPS2377-1", "PDF")</f>
        <v>PDF</v>
      </c>
      <c r="D4383" s="5" t="s">
        <v>39876</v>
      </c>
      <c r="E4383" s="5" t="s">
        <v>39877</v>
      </c>
      <c r="F4383" s="5"/>
      <c r="G4383" s="5" t="s">
        <v>39878</v>
      </c>
      <c r="H4383" s="1" t="s">
        <v>39879</v>
      </c>
      <c r="I4383" s="5" t="s">
        <v>39880</v>
      </c>
      <c r="J4383" s="7">
        <v>8</v>
      </c>
      <c r="K4383" s="7">
        <v>29.4</v>
      </c>
      <c r="L4383" s="5" t="s">
        <v>39881</v>
      </c>
      <c r="M4383" s="7">
        <v>1.75</v>
      </c>
      <c r="N4383" s="7">
        <v>1.27</v>
      </c>
      <c r="O4383" s="7">
        <v>1.113</v>
      </c>
      <c r="P4383" s="1" t="s">
        <v>39882</v>
      </c>
    </row>
    <row r="4384" spans="1:16" ht="17.05" x14ac:dyDescent="0.3">
      <c r="A4384" s="6" t="str">
        <f>HYPERLINK("https://www.ti.com/product/TPS65160", "TPS65160")</f>
        <v>TPS65160</v>
      </c>
      <c r="B4384" s="5" t="s">
        <v>39883</v>
      </c>
      <c r="C4384" s="6" t="str">
        <f>HYPERLINK("https://www.ti.com/lit/gpn/TPS65160", "PDF")</f>
        <v>PDF</v>
      </c>
      <c r="D4384" s="5" t="s">
        <v>39884</v>
      </c>
      <c r="E4384" s="5" t="s">
        <v>39885</v>
      </c>
      <c r="F4384" s="5" t="s">
        <v>39886</v>
      </c>
      <c r="G4384" s="5" t="s">
        <v>39887</v>
      </c>
      <c r="H4384" s="1" t="s">
        <v>39888</v>
      </c>
      <c r="I4384" s="5" t="s">
        <v>39889</v>
      </c>
      <c r="J4384" s="7">
        <v>28</v>
      </c>
      <c r="K4384" s="7">
        <v>62.08</v>
      </c>
      <c r="L4384" s="5" t="s">
        <v>39890</v>
      </c>
      <c r="M4384" s="7">
        <v>1.2</v>
      </c>
      <c r="N4384" s="7">
        <v>0.65</v>
      </c>
      <c r="O4384" s="7">
        <v>2.2469999999999999</v>
      </c>
      <c r="P4384" s="1" t="s">
        <v>39891</v>
      </c>
    </row>
    <row r="4385" spans="1:16" ht="33.4" x14ac:dyDescent="0.3">
      <c r="A4385" s="6" t="str">
        <f>HYPERLINK("https://www.ti.com/product/LM5041A", "LM5041A")</f>
        <v>LM5041A</v>
      </c>
      <c r="B4385" s="5" t="s">
        <v>39892</v>
      </c>
      <c r="C4385" s="6" t="str">
        <f>HYPERLINK("https://www.ti.com/lit/gpn/LM5041A", "PDF")</f>
        <v>PDF</v>
      </c>
      <c r="D4385" s="5" t="s">
        <v>39893</v>
      </c>
      <c r="E4385" s="5" t="s">
        <v>39894</v>
      </c>
      <c r="F4385" s="5" t="s">
        <v>39895</v>
      </c>
      <c r="G4385" s="5" t="s">
        <v>39896</v>
      </c>
      <c r="H4385" s="1" t="s">
        <v>39897</v>
      </c>
      <c r="I4385" s="5" t="s">
        <v>39898</v>
      </c>
      <c r="J4385" s="7">
        <v>16</v>
      </c>
      <c r="K4385" s="7" t="s">
        <v>39899</v>
      </c>
      <c r="L4385" s="5" t="s">
        <v>39900</v>
      </c>
      <c r="M4385" s="7" t="s">
        <v>39901</v>
      </c>
      <c r="N4385" s="7" t="s">
        <v>39902</v>
      </c>
      <c r="O4385" s="7">
        <v>1.381</v>
      </c>
      <c r="P4385" s="1" t="s">
        <v>39903</v>
      </c>
    </row>
    <row r="4386" spans="1:16" ht="33.4" x14ac:dyDescent="0.3">
      <c r="A4386" s="6" t="str">
        <f>HYPERLINK("https://www.ti.com/product/LM5115A", "LM5115A")</f>
        <v>LM5115A</v>
      </c>
      <c r="B4386" s="5" t="s">
        <v>39904</v>
      </c>
      <c r="C4386" s="6" t="str">
        <f>HYPERLINK("https://www.ti.com/lit/gpn/LM5115A", "PDF")</f>
        <v>PDF</v>
      </c>
      <c r="D4386" s="5" t="s">
        <v>39905</v>
      </c>
      <c r="E4386" s="5" t="s">
        <v>39906</v>
      </c>
      <c r="F4386" s="5" t="s">
        <v>39907</v>
      </c>
      <c r="G4386" s="5" t="s">
        <v>39908</v>
      </c>
      <c r="H4386" s="1" t="s">
        <v>39909</v>
      </c>
      <c r="I4386" s="5" t="s">
        <v>39910</v>
      </c>
      <c r="J4386" s="7">
        <v>16</v>
      </c>
      <c r="K4386" s="7">
        <v>32</v>
      </c>
      <c r="L4386" s="5" t="s">
        <v>39911</v>
      </c>
      <c r="M4386" s="7">
        <v>1.2</v>
      </c>
      <c r="N4386" s="7">
        <v>0.65</v>
      </c>
      <c r="O4386" s="7">
        <v>1.8979999999999999</v>
      </c>
      <c r="P4386" s="1" t="s">
        <v>39912</v>
      </c>
    </row>
    <row r="4387" spans="1:16" ht="33.4" x14ac:dyDescent="0.3">
      <c r="A4387" s="6" t="str">
        <f>HYPERLINK("https://www.ti.com/product/LM3673", "LM3673")</f>
        <v>LM3673</v>
      </c>
      <c r="B4387" s="5" t="s">
        <v>39913</v>
      </c>
      <c r="C4387" s="6" t="str">
        <f>HYPERLINK("https://www.ti.com/lit/gpn/LM3673", "PDF")</f>
        <v>PDF</v>
      </c>
      <c r="D4387" s="5" t="s">
        <v>39914</v>
      </c>
      <c r="E4387" s="5" t="s">
        <v>39915</v>
      </c>
      <c r="F4387" s="5" t="s">
        <v>39916</v>
      </c>
      <c r="G4387" s="5" t="s">
        <v>39917</v>
      </c>
      <c r="H4387" s="1" t="s">
        <v>39918</v>
      </c>
      <c r="I4387" s="5" t="s">
        <v>39919</v>
      </c>
      <c r="J4387" s="7">
        <v>5</v>
      </c>
      <c r="K4387" s="7">
        <v>2.02</v>
      </c>
      <c r="L4387" s="5" t="s">
        <v>39920</v>
      </c>
      <c r="M4387" s="7">
        <v>0.67500000000000004</v>
      </c>
      <c r="N4387" s="7">
        <v>0.5</v>
      </c>
      <c r="O4387" s="7">
        <v>0.45700000000000002</v>
      </c>
      <c r="P4387" s="1" t="s">
        <v>39921</v>
      </c>
    </row>
    <row r="4388" spans="1:16" ht="33.4" x14ac:dyDescent="0.3">
      <c r="A4388" s="6" t="str">
        <f>HYPERLINK("https://www.ti.com/product/LM3370", "LM3370")</f>
        <v>LM3370</v>
      </c>
      <c r="B4388" s="5" t="s">
        <v>39922</v>
      </c>
      <c r="C4388" s="6" t="str">
        <f>HYPERLINK("https://www.ti.com/lit/gpn/LM3370", "PDF")</f>
        <v>PDF</v>
      </c>
      <c r="D4388" s="5" t="s">
        <v>39923</v>
      </c>
      <c r="E4388" s="5" t="s">
        <v>39924</v>
      </c>
      <c r="F4388" s="5" t="s">
        <v>39925</v>
      </c>
      <c r="G4388" s="5" t="s">
        <v>39926</v>
      </c>
      <c r="H4388" s="1" t="s">
        <v>39927</v>
      </c>
      <c r="I4388" s="5" t="s">
        <v>39928</v>
      </c>
      <c r="J4388" s="7" t="s">
        <v>39929</v>
      </c>
      <c r="K4388" s="7" t="s">
        <v>39930</v>
      </c>
      <c r="L4388" s="5" t="s">
        <v>39931</v>
      </c>
      <c r="M4388" s="7" t="s">
        <v>39932</v>
      </c>
      <c r="N4388" s="7">
        <v>0.5</v>
      </c>
      <c r="O4388" s="7">
        <v>0.66800000000000004</v>
      </c>
      <c r="P4388" s="1" t="s">
        <v>39933</v>
      </c>
    </row>
    <row r="4389" spans="1:16" ht="33.4" x14ac:dyDescent="0.3">
      <c r="A4389" s="6" t="str">
        <f>HYPERLINK("https://www.ti.com/product/TPS2064", "TPS2064")</f>
        <v>TPS2064</v>
      </c>
      <c r="B4389" s="5" t="s">
        <v>39934</v>
      </c>
      <c r="C4389" s="6" t="str">
        <f>HYPERLINK("https://www.ti.com/lit/gpn/TPS2064", "PDF")</f>
        <v>PDF</v>
      </c>
      <c r="D4389" s="5" t="s">
        <v>39935</v>
      </c>
      <c r="E4389" s="5" t="s">
        <v>39936</v>
      </c>
      <c r="F4389" s="5"/>
      <c r="G4389" s="5" t="s">
        <v>39937</v>
      </c>
      <c r="H4389" s="1" t="s">
        <v>39938</v>
      </c>
      <c r="I4389" s="5" t="s">
        <v>39939</v>
      </c>
      <c r="J4389" s="7">
        <v>8</v>
      </c>
      <c r="K4389" s="7" t="s">
        <v>39940</v>
      </c>
      <c r="L4389" s="5" t="s">
        <v>39941</v>
      </c>
      <c r="M4389" s="7" t="s">
        <v>39942</v>
      </c>
      <c r="N4389" s="7">
        <v>0.65</v>
      </c>
      <c r="O4389" s="7">
        <v>0.79400000000000004</v>
      </c>
      <c r="P4389" s="1" t="s">
        <v>39943</v>
      </c>
    </row>
    <row r="4390" spans="1:16" ht="33.4" x14ac:dyDescent="0.3">
      <c r="A4390" s="6" t="str">
        <f>HYPERLINK("https://www.ti.com/product/TPS75003", "TPS75003")</f>
        <v>TPS75003</v>
      </c>
      <c r="B4390" s="5" t="s">
        <v>39944</v>
      </c>
      <c r="C4390" s="6" t="str">
        <f>HYPERLINK("https://www.ti.com/lit/gpn/TPS75003", "PDF")</f>
        <v>PDF</v>
      </c>
      <c r="D4390" s="5" t="s">
        <v>39945</v>
      </c>
      <c r="E4390" s="5" t="s">
        <v>39946</v>
      </c>
      <c r="F4390" s="5"/>
      <c r="G4390" s="5" t="s">
        <v>39947</v>
      </c>
      <c r="H4390" s="1" t="s">
        <v>39948</v>
      </c>
      <c r="I4390" s="5" t="s">
        <v>39949</v>
      </c>
      <c r="J4390" s="7">
        <v>20</v>
      </c>
      <c r="K4390" s="7">
        <v>15.75</v>
      </c>
      <c r="L4390" s="5" t="s">
        <v>39950</v>
      </c>
      <c r="M4390" s="7">
        <v>1</v>
      </c>
      <c r="N4390" s="7">
        <v>0.5</v>
      </c>
      <c r="O4390" s="7">
        <v>2.2309999999999999</v>
      </c>
      <c r="P4390" s="1" t="s">
        <v>39951</v>
      </c>
    </row>
    <row r="4391" spans="1:16" ht="33.4" x14ac:dyDescent="0.3">
      <c r="A4391" s="6" t="str">
        <f>HYPERLINK("https://www.ti.com/product/LM5032", "LM5032")</f>
        <v>LM5032</v>
      </c>
      <c r="B4391" s="5" t="s">
        <v>39952</v>
      </c>
      <c r="C4391" s="6" t="str">
        <f>HYPERLINK("https://www.ti.com/lit/gpn/LM5032", "PDF")</f>
        <v>PDF</v>
      </c>
      <c r="D4391" s="5" t="s">
        <v>39953</v>
      </c>
      <c r="E4391" s="5" t="s">
        <v>39954</v>
      </c>
      <c r="F4391" s="5" t="s">
        <v>39955</v>
      </c>
      <c r="G4391" s="5" t="s">
        <v>39956</v>
      </c>
      <c r="H4391" s="1" t="s">
        <v>39957</v>
      </c>
      <c r="I4391" s="5" t="s">
        <v>39958</v>
      </c>
      <c r="J4391" s="7">
        <v>16</v>
      </c>
      <c r="K4391" s="7">
        <v>32</v>
      </c>
      <c r="L4391" s="5" t="s">
        <v>39959</v>
      </c>
      <c r="M4391" s="7">
        <v>1.2</v>
      </c>
      <c r="N4391" s="7">
        <v>0.65</v>
      </c>
      <c r="O4391" s="7">
        <v>1.417</v>
      </c>
      <c r="P4391" s="1" t="s">
        <v>39960</v>
      </c>
    </row>
    <row r="4392" spans="1:16" ht="17.05" x14ac:dyDescent="0.3">
      <c r="A4392" s="6" t="str">
        <f>HYPERLINK("https://www.ti.com/product/LM2753", "LM2753")</f>
        <v>LM2753</v>
      </c>
      <c r="B4392" s="5" t="s">
        <v>39961</v>
      </c>
      <c r="C4392" s="6" t="str">
        <f>HYPERLINK("https://www.ti.com/lit/gpn/LM2753", "PDF")</f>
        <v>PDF</v>
      </c>
      <c r="D4392" s="5" t="s">
        <v>39962</v>
      </c>
      <c r="E4392" s="5" t="s">
        <v>39963</v>
      </c>
      <c r="F4392" s="5" t="s">
        <v>39964</v>
      </c>
      <c r="G4392" s="5" t="s">
        <v>39965</v>
      </c>
      <c r="H4392" s="1" t="s">
        <v>39966</v>
      </c>
      <c r="I4392" s="5" t="s">
        <v>39967</v>
      </c>
      <c r="J4392" s="7">
        <v>10</v>
      </c>
      <c r="K4392" s="7">
        <v>9</v>
      </c>
      <c r="L4392" s="5" t="s">
        <v>39968</v>
      </c>
      <c r="M4392" s="7">
        <v>0.8</v>
      </c>
      <c r="N4392" s="7">
        <v>0.5</v>
      </c>
      <c r="O4392" s="7">
        <v>0.76900000000000002</v>
      </c>
      <c r="P4392" s="1" t="s">
        <v>39969</v>
      </c>
    </row>
    <row r="4393" spans="1:16" ht="17.05" x14ac:dyDescent="0.3">
      <c r="A4393" s="6" t="str">
        <f>HYPERLINK("https://www.ti.com/product/TPS2384", "TPS2384")</f>
        <v>TPS2384</v>
      </c>
      <c r="B4393" s="5" t="s">
        <v>39970</v>
      </c>
      <c r="C4393" s="6" t="str">
        <f>HYPERLINK("https://www.ti.com/lit/gpn/TPS2384", "PDF")</f>
        <v>PDF</v>
      </c>
      <c r="D4393" s="5" t="s">
        <v>39971</v>
      </c>
      <c r="E4393" s="5" t="s">
        <v>39972</v>
      </c>
      <c r="F4393" s="5"/>
      <c r="G4393" s="5" t="s">
        <v>39973</v>
      </c>
      <c r="H4393" s="1" t="s">
        <v>39974</v>
      </c>
      <c r="I4393" s="5" t="s">
        <v>39975</v>
      </c>
      <c r="J4393" s="7">
        <v>64</v>
      </c>
      <c r="K4393" s="7">
        <v>144</v>
      </c>
      <c r="L4393" s="5" t="s">
        <v>39976</v>
      </c>
      <c r="M4393" s="7">
        <v>1.2</v>
      </c>
      <c r="N4393" s="7">
        <v>0.5</v>
      </c>
      <c r="O4393" s="7">
        <v>4.7709999999999999</v>
      </c>
      <c r="P4393" s="1" t="s">
        <v>39977</v>
      </c>
    </row>
    <row r="4394" spans="1:16" ht="33.4" x14ac:dyDescent="0.3">
      <c r="A4394" s="6" t="str">
        <f>HYPERLINK("https://www.ti.com/product/PTH08080W", "PTH08080W")</f>
        <v>PTH08080W</v>
      </c>
      <c r="B4394" s="5" t="s">
        <v>39978</v>
      </c>
      <c r="C4394" s="6" t="str">
        <f>HYPERLINK("https://www.ti.com/lit/gpn/PTH08080W", "PDF")</f>
        <v>PDF</v>
      </c>
      <c r="D4394" s="5" t="s">
        <v>39979</v>
      </c>
      <c r="E4394" s="5" t="s">
        <v>39980</v>
      </c>
      <c r="F4394" s="5" t="s">
        <v>39981</v>
      </c>
      <c r="G4394" s="5" t="s">
        <v>39982</v>
      </c>
      <c r="H4394" s="1" t="s">
        <v>39983</v>
      </c>
      <c r="I4394" s="5" t="s">
        <v>39984</v>
      </c>
      <c r="J4394" s="7">
        <v>5</v>
      </c>
      <c r="K4394" s="7">
        <v>222.95</v>
      </c>
      <c r="L4394" s="5" t="s">
        <v>39985</v>
      </c>
      <c r="M4394" s="7">
        <v>8.18</v>
      </c>
      <c r="N4394" s="7">
        <v>3.56</v>
      </c>
      <c r="O4394" s="7">
        <v>6.5830000000000002</v>
      </c>
      <c r="P4394" s="1" t="s">
        <v>39986</v>
      </c>
    </row>
    <row r="4395" spans="1:16" ht="49.75" x14ac:dyDescent="0.3">
      <c r="A4395" s="6" t="str">
        <f>HYPERLINK("https://www.ti.com/product/TL1431-SP", "TL1431-SP")</f>
        <v>TL1431-SP</v>
      </c>
      <c r="B4395" s="5" t="s">
        <v>39987</v>
      </c>
      <c r="C4395" s="6" t="str">
        <f>HYPERLINK("https://www.ti.com/lit/gpn/TL1431-SP", "PDF")</f>
        <v>PDF</v>
      </c>
      <c r="D4395" s="5" t="s">
        <v>39988</v>
      </c>
      <c r="E4395" s="5" t="s">
        <v>39989</v>
      </c>
      <c r="F4395" s="5"/>
      <c r="G4395" s="5" t="s">
        <v>39990</v>
      </c>
      <c r="H4395" s="1" t="s">
        <v>39991</v>
      </c>
      <c r="I4395" s="5" t="s">
        <v>39992</v>
      </c>
      <c r="J4395" s="7" t="s">
        <v>39993</v>
      </c>
      <c r="K4395" s="7" t="s">
        <v>39994</v>
      </c>
      <c r="L4395" s="5" t="s">
        <v>39995</v>
      </c>
      <c r="M4395" s="7" t="s">
        <v>39996</v>
      </c>
      <c r="N4395" s="7" t="s">
        <v>39997</v>
      </c>
      <c r="O4395" s="7">
        <v>466.93900000000002</v>
      </c>
      <c r="P4395" s="1" t="s">
        <v>39998</v>
      </c>
    </row>
    <row r="4396" spans="1:16" ht="33.4" x14ac:dyDescent="0.3">
      <c r="A4396" s="6" t="str">
        <f>HYPERLINK("https://www.ti.com/product/LP38841-ADJ", "LP38841-ADJ")</f>
        <v>LP38841-ADJ</v>
      </c>
      <c r="B4396" s="5" t="s">
        <v>39999</v>
      </c>
      <c r="C4396" s="6" t="str">
        <f>HYPERLINK("https://www.ti.com/lit/gpn/LP38841-ADJ", "PDF")</f>
        <v>PDF</v>
      </c>
      <c r="D4396" s="5" t="s">
        <v>40000</v>
      </c>
      <c r="E4396" s="5" t="s">
        <v>40001</v>
      </c>
      <c r="F4396" s="5"/>
      <c r="G4396" s="5" t="s">
        <v>40002</v>
      </c>
      <c r="H4396" s="1" t="s">
        <v>40003</v>
      </c>
      <c r="I4396" s="5" t="s">
        <v>40004</v>
      </c>
      <c r="J4396" s="7">
        <v>8</v>
      </c>
      <c r="K4396" s="7">
        <v>29.4</v>
      </c>
      <c r="L4396" s="5" t="s">
        <v>40005</v>
      </c>
      <c r="M4396" s="7">
        <v>1.7</v>
      </c>
      <c r="N4396" s="7">
        <v>1.27</v>
      </c>
      <c r="O4396" s="7">
        <v>0.69</v>
      </c>
      <c r="P4396" s="1" t="s">
        <v>40006</v>
      </c>
    </row>
    <row r="4397" spans="1:16" ht="33.4" x14ac:dyDescent="0.3">
      <c r="A4397" s="6" t="str">
        <f>HYPERLINK("https://www.ti.com/product/LP38842-ADJ", "LP38842-ADJ")</f>
        <v>LP38842-ADJ</v>
      </c>
      <c r="B4397" s="5" t="s">
        <v>40007</v>
      </c>
      <c r="C4397" s="6" t="str">
        <f>HYPERLINK("https://www.ti.com/lit/gpn/LP38842-ADJ", "PDF")</f>
        <v>PDF</v>
      </c>
      <c r="D4397" s="5" t="s">
        <v>40008</v>
      </c>
      <c r="E4397" s="5" t="s">
        <v>40009</v>
      </c>
      <c r="F4397" s="5"/>
      <c r="G4397" s="5" t="s">
        <v>40010</v>
      </c>
      <c r="H4397" s="1" t="s">
        <v>40011</v>
      </c>
      <c r="I4397" s="5" t="s">
        <v>40012</v>
      </c>
      <c r="J4397" s="7">
        <v>8</v>
      </c>
      <c r="K4397" s="7">
        <v>29.4</v>
      </c>
      <c r="L4397" s="5" t="s">
        <v>40013</v>
      </c>
      <c r="M4397" s="7">
        <v>1.7</v>
      </c>
      <c r="N4397" s="7">
        <v>1.27</v>
      </c>
      <c r="O4397" s="7">
        <v>0.97799999999999998</v>
      </c>
      <c r="P4397" s="1" t="s">
        <v>40014</v>
      </c>
    </row>
    <row r="4398" spans="1:16" ht="33.4" x14ac:dyDescent="0.3">
      <c r="A4398" s="6" t="str">
        <f>HYPERLINK("https://www.ti.com/product/LP5996", "LP5996")</f>
        <v>LP5996</v>
      </c>
      <c r="B4398" s="5" t="s">
        <v>40015</v>
      </c>
      <c r="C4398" s="6" t="str">
        <f>HYPERLINK("https://www.ti.com/lit/gpn/LP5996", "PDF")</f>
        <v>PDF</v>
      </c>
      <c r="D4398" s="5" t="s">
        <v>40016</v>
      </c>
      <c r="E4398" s="5" t="s">
        <v>40017</v>
      </c>
      <c r="F4398" s="5"/>
      <c r="G4398" s="5" t="s">
        <v>40018</v>
      </c>
      <c r="H4398" s="1" t="s">
        <v>40019</v>
      </c>
      <c r="I4398" s="5" t="s">
        <v>40020</v>
      </c>
      <c r="J4398" s="7">
        <v>10</v>
      </c>
      <c r="K4398" s="7">
        <v>9</v>
      </c>
      <c r="L4398" s="5" t="s">
        <v>40021</v>
      </c>
      <c r="M4398" s="7">
        <v>0.8</v>
      </c>
      <c r="N4398" s="7">
        <v>0.5</v>
      </c>
      <c r="O4398" s="7">
        <v>0.38</v>
      </c>
      <c r="P4398" s="1" t="s">
        <v>40022</v>
      </c>
    </row>
    <row r="4399" spans="1:16" ht="49.75" x14ac:dyDescent="0.3">
      <c r="A4399" s="6" t="str">
        <f>HYPERLINK("https://www.ti.com/product/TPS799", "TPS799")</f>
        <v>TPS799</v>
      </c>
      <c r="B4399" s="5" t="s">
        <v>40023</v>
      </c>
      <c r="C4399" s="6" t="str">
        <f>HYPERLINK("https://www.ti.com/lit/gpn/TPS799", "PDF")</f>
        <v>PDF</v>
      </c>
      <c r="D4399" s="5" t="s">
        <v>40024</v>
      </c>
      <c r="E4399" s="5" t="s">
        <v>40025</v>
      </c>
      <c r="F4399" s="5"/>
      <c r="G4399" s="5" t="s">
        <v>40026</v>
      </c>
      <c r="H4399" s="1" t="s">
        <v>40027</v>
      </c>
      <c r="I4399" s="5" t="s">
        <v>40028</v>
      </c>
      <c r="J4399" s="7" t="s">
        <v>40029</v>
      </c>
      <c r="K4399" s="7" t="s">
        <v>40030</v>
      </c>
      <c r="L4399" s="5" t="s">
        <v>40031</v>
      </c>
      <c r="M4399" s="7" t="s">
        <v>40032</v>
      </c>
      <c r="N4399" s="7" t="s">
        <v>40033</v>
      </c>
      <c r="O4399" s="7">
        <v>0.23</v>
      </c>
      <c r="P4399" s="1" t="s">
        <v>40034</v>
      </c>
    </row>
    <row r="4400" spans="1:16" ht="49.75" x14ac:dyDescent="0.3">
      <c r="A4400" s="6" t="str">
        <f>HYPERLINK("https://www.ti.com/product/MC33063A", "MC33063A")</f>
        <v>MC33063A</v>
      </c>
      <c r="B4400" s="5" t="s">
        <v>40035</v>
      </c>
      <c r="C4400" s="6" t="str">
        <f>HYPERLINK("https://www.ti.com/lit/gpn/MC33063A", "PDF")</f>
        <v>PDF</v>
      </c>
      <c r="D4400" s="5" t="s">
        <v>40036</v>
      </c>
      <c r="E4400" s="5" t="s">
        <v>40037</v>
      </c>
      <c r="F4400" s="5" t="s">
        <v>40038</v>
      </c>
      <c r="G4400" s="5" t="s">
        <v>40039</v>
      </c>
      <c r="H4400" s="1" t="s">
        <v>40040</v>
      </c>
      <c r="I4400" s="5" t="s">
        <v>40041</v>
      </c>
      <c r="J4400" s="7">
        <v>8</v>
      </c>
      <c r="K4400" s="7" t="s">
        <v>40042</v>
      </c>
      <c r="L4400" s="5" t="s">
        <v>40043</v>
      </c>
      <c r="M4400" s="7" t="s">
        <v>40044</v>
      </c>
      <c r="N4400" s="7" t="s">
        <v>40045</v>
      </c>
      <c r="O4400" s="7">
        <v>0.22500000000000001</v>
      </c>
      <c r="P4400" s="1" t="s">
        <v>40046</v>
      </c>
    </row>
    <row r="4401" spans="1:16" ht="49.75" x14ac:dyDescent="0.3">
      <c r="A4401" s="6" t="str">
        <f>HYPERLINK("https://www.ti.com/product/MC34063A", "MC34063A")</f>
        <v>MC34063A</v>
      </c>
      <c r="B4401" s="5" t="s">
        <v>40047</v>
      </c>
      <c r="C4401" s="6" t="str">
        <f>HYPERLINK("https://www.ti.com/lit/gpn/MC34063A", "PDF")</f>
        <v>PDF</v>
      </c>
      <c r="D4401" s="5" t="s">
        <v>40048</v>
      </c>
      <c r="E4401" s="5" t="s">
        <v>40049</v>
      </c>
      <c r="F4401" s="5" t="s">
        <v>40050</v>
      </c>
      <c r="G4401" s="5" t="s">
        <v>40051</v>
      </c>
      <c r="H4401" s="1" t="s">
        <v>40052</v>
      </c>
      <c r="I4401" s="5" t="s">
        <v>40053</v>
      </c>
      <c r="J4401" s="7">
        <v>8</v>
      </c>
      <c r="K4401" s="7" t="s">
        <v>40054</v>
      </c>
      <c r="L4401" s="5" t="s">
        <v>40055</v>
      </c>
      <c r="M4401" s="7" t="s">
        <v>40056</v>
      </c>
      <c r="N4401" s="7" t="s">
        <v>40057</v>
      </c>
      <c r="O4401" s="7">
        <v>0.23100000000000001</v>
      </c>
      <c r="P4401" s="1" t="s">
        <v>40058</v>
      </c>
    </row>
    <row r="4402" spans="1:16" ht="33.4" x14ac:dyDescent="0.3">
      <c r="A4402" s="6" t="str">
        <f>HYPERLINK("https://www.ti.com/product/LM2852", "LM2852")</f>
        <v>LM2852</v>
      </c>
      <c r="B4402" s="5" t="s">
        <v>40059</v>
      </c>
      <c r="C4402" s="6" t="str">
        <f>HYPERLINK("https://www.ti.com/lit/gpn/LM2852", "PDF")</f>
        <v>PDF</v>
      </c>
      <c r="D4402" s="5" t="s">
        <v>40060</v>
      </c>
      <c r="E4402" s="5" t="s">
        <v>40061</v>
      </c>
      <c r="F4402" s="5" t="s">
        <v>40062</v>
      </c>
      <c r="G4402" s="5" t="s">
        <v>40063</v>
      </c>
      <c r="H4402" s="1" t="s">
        <v>40064</v>
      </c>
      <c r="I4402" s="5" t="s">
        <v>40065</v>
      </c>
      <c r="J4402" s="7">
        <v>14</v>
      </c>
      <c r="K4402" s="7">
        <v>32</v>
      </c>
      <c r="L4402" s="5" t="s">
        <v>40066</v>
      </c>
      <c r="M4402" s="7">
        <v>1.2</v>
      </c>
      <c r="N4402" s="7">
        <v>0.65</v>
      </c>
      <c r="O4402" s="7">
        <v>1.7549999999999999</v>
      </c>
      <c r="P4402" s="1" t="s">
        <v>40067</v>
      </c>
    </row>
    <row r="4403" spans="1:16" ht="33.4" x14ac:dyDescent="0.3">
      <c r="A4403" s="6" t="str">
        <f>HYPERLINK("https://www.ti.com/product/LP38691", "LP38691")</f>
        <v>LP38691</v>
      </c>
      <c r="B4403" s="5" t="s">
        <v>40068</v>
      </c>
      <c r="C4403" s="6" t="str">
        <f>HYPERLINK("https://www.ti.com/lit/gpn/LP38691", "PDF")</f>
        <v>PDF</v>
      </c>
      <c r="D4403" s="5" t="s">
        <v>40069</v>
      </c>
      <c r="E4403" s="5" t="s">
        <v>40070</v>
      </c>
      <c r="F4403" s="5"/>
      <c r="G4403" s="5" t="s">
        <v>40071</v>
      </c>
      <c r="H4403" s="1" t="s">
        <v>40072</v>
      </c>
      <c r="I4403" s="5" t="s">
        <v>40073</v>
      </c>
      <c r="J4403" s="7" t="s">
        <v>40074</v>
      </c>
      <c r="K4403" s="7" t="s">
        <v>40075</v>
      </c>
      <c r="L4403" s="5" t="s">
        <v>40076</v>
      </c>
      <c r="M4403" s="7" t="s">
        <v>40077</v>
      </c>
      <c r="N4403" s="7" t="s">
        <v>40078</v>
      </c>
      <c r="O4403" s="7">
        <v>0.55200000000000005</v>
      </c>
      <c r="P4403" s="1" t="s">
        <v>40079</v>
      </c>
    </row>
    <row r="4404" spans="1:16" ht="33.4" x14ac:dyDescent="0.3">
      <c r="A4404" s="6" t="str">
        <f>HYPERLINK("https://www.ti.com/product/LP38691-ADJ", "LP38691-ADJ")</f>
        <v>LP38691-ADJ</v>
      </c>
      <c r="B4404" s="5" t="s">
        <v>40080</v>
      </c>
      <c r="C4404" s="6" t="str">
        <f>HYPERLINK("https://www.ti.com/lit/gpn/LP38691-ADJ", "PDF")</f>
        <v>PDF</v>
      </c>
      <c r="D4404" s="5" t="s">
        <v>40081</v>
      </c>
      <c r="E4404" s="5" t="s">
        <v>40082</v>
      </c>
      <c r="F4404" s="5"/>
      <c r="G4404" s="5" t="s">
        <v>40083</v>
      </c>
      <c r="H4404" s="1" t="s">
        <v>40084</v>
      </c>
      <c r="I4404" s="5" t="s">
        <v>40085</v>
      </c>
      <c r="J4404" s="7">
        <v>6</v>
      </c>
      <c r="K4404" s="7">
        <v>9</v>
      </c>
      <c r="L4404" s="5" t="s">
        <v>40086</v>
      </c>
      <c r="M4404" s="7">
        <v>0.8</v>
      </c>
      <c r="N4404" s="7">
        <v>0.95</v>
      </c>
      <c r="O4404" s="7">
        <v>0.55700000000000005</v>
      </c>
      <c r="P4404" s="1" t="s">
        <v>40087</v>
      </c>
    </row>
    <row r="4405" spans="1:16" ht="33.4" x14ac:dyDescent="0.3">
      <c r="A4405" s="6" t="str">
        <f>HYPERLINK("https://www.ti.com/product/LP38693", "LP38693")</f>
        <v>LP38693</v>
      </c>
      <c r="B4405" s="5" t="s">
        <v>40088</v>
      </c>
      <c r="C4405" s="6" t="str">
        <f>HYPERLINK("https://www.ti.com/lit/gpn/LP38693", "PDF")</f>
        <v>PDF</v>
      </c>
      <c r="D4405" s="5" t="s">
        <v>40089</v>
      </c>
      <c r="E4405" s="5" t="s">
        <v>40090</v>
      </c>
      <c r="F4405" s="5"/>
      <c r="G4405" s="5" t="s">
        <v>40091</v>
      </c>
      <c r="H4405" s="1" t="s">
        <v>40092</v>
      </c>
      <c r="I4405" s="5" t="s">
        <v>40093</v>
      </c>
      <c r="J4405" s="7" t="s">
        <v>40094</v>
      </c>
      <c r="K4405" s="7" t="s">
        <v>40095</v>
      </c>
      <c r="L4405" s="5" t="s">
        <v>40096</v>
      </c>
      <c r="M4405" s="7" t="s">
        <v>40097</v>
      </c>
      <c r="N4405" s="7" t="s">
        <v>40098</v>
      </c>
      <c r="O4405" s="7">
        <v>0.55700000000000005</v>
      </c>
      <c r="P4405" s="1" t="s">
        <v>40099</v>
      </c>
    </row>
    <row r="4406" spans="1:16" ht="33.4" x14ac:dyDescent="0.3">
      <c r="A4406" s="6" t="str">
        <f>HYPERLINK("https://www.ti.com/product/LP38693-ADJ", "LP38693-ADJ")</f>
        <v>LP38693-ADJ</v>
      </c>
      <c r="B4406" s="5" t="s">
        <v>40100</v>
      </c>
      <c r="C4406" s="6" t="str">
        <f>HYPERLINK("https://www.ti.com/lit/gpn/LP38693-ADJ", "PDF")</f>
        <v>PDF</v>
      </c>
      <c r="D4406" s="5" t="s">
        <v>40101</v>
      </c>
      <c r="E4406" s="5" t="s">
        <v>40102</v>
      </c>
      <c r="F4406" s="5"/>
      <c r="G4406" s="5" t="s">
        <v>40103</v>
      </c>
      <c r="H4406" s="1" t="s">
        <v>40104</v>
      </c>
      <c r="I4406" s="5" t="s">
        <v>40105</v>
      </c>
      <c r="J4406" s="7" t="s">
        <v>40106</v>
      </c>
      <c r="K4406" s="7" t="s">
        <v>40107</v>
      </c>
      <c r="L4406" s="5" t="s">
        <v>40108</v>
      </c>
      <c r="M4406" s="7" t="s">
        <v>40109</v>
      </c>
      <c r="N4406" s="7" t="s">
        <v>40110</v>
      </c>
      <c r="O4406" s="7">
        <v>0.47699999999999998</v>
      </c>
      <c r="P4406" s="1" t="s">
        <v>40111</v>
      </c>
    </row>
    <row r="4407" spans="1:16" ht="33.4" x14ac:dyDescent="0.3">
      <c r="A4407" s="6" t="str">
        <f>HYPERLINK("https://www.ti.com/product/LM2734Z", "LM2734Z")</f>
        <v>LM2734Z</v>
      </c>
      <c r="B4407" s="5" t="s">
        <v>40112</v>
      </c>
      <c r="C4407" s="6" t="str">
        <f>HYPERLINK("https://www.ti.com/lit/gpn/LM2734Z", "PDF")</f>
        <v>PDF</v>
      </c>
      <c r="D4407" s="5" t="s">
        <v>40113</v>
      </c>
      <c r="E4407" s="5" t="s">
        <v>40114</v>
      </c>
      <c r="F4407" s="5" t="s">
        <v>40115</v>
      </c>
      <c r="G4407" s="5" t="s">
        <v>40116</v>
      </c>
      <c r="H4407" s="1" t="s">
        <v>40117</v>
      </c>
      <c r="I4407" s="5" t="s">
        <v>40118</v>
      </c>
      <c r="J4407" s="7">
        <v>6</v>
      </c>
      <c r="K4407" s="7" t="s">
        <v>40119</v>
      </c>
      <c r="L4407" s="5" t="s">
        <v>40120</v>
      </c>
      <c r="M4407" s="7" t="s">
        <v>40121</v>
      </c>
      <c r="N4407" s="7">
        <v>0.95</v>
      </c>
      <c r="O4407" s="7">
        <v>1.6539999999999999</v>
      </c>
      <c r="P4407" s="1" t="s">
        <v>40122</v>
      </c>
    </row>
    <row r="4408" spans="1:16" ht="33.4" x14ac:dyDescent="0.3">
      <c r="A4408" s="6" t="str">
        <f>HYPERLINK("https://www.ti.com/product/TLC5923", "TLC5923")</f>
        <v>TLC5923</v>
      </c>
      <c r="B4408" s="5" t="s">
        <v>40123</v>
      </c>
      <c r="C4408" s="6" t="str">
        <f>HYPERLINK("https://www.ti.com/lit/gpn/TLC5923", "PDF")</f>
        <v>PDF</v>
      </c>
      <c r="D4408" s="5" t="s">
        <v>40124</v>
      </c>
      <c r="E4408" s="5" t="s">
        <v>40125</v>
      </c>
      <c r="F4408" s="5"/>
      <c r="G4408" s="5" t="s">
        <v>40126</v>
      </c>
      <c r="H4408" s="1" t="s">
        <v>40127</v>
      </c>
      <c r="I4408" s="5" t="s">
        <v>40128</v>
      </c>
      <c r="J4408" s="7">
        <v>32</v>
      </c>
      <c r="K4408" s="7" t="s">
        <v>40129</v>
      </c>
      <c r="L4408" s="5" t="s">
        <v>40130</v>
      </c>
      <c r="M4408" s="7" t="s">
        <v>40131</v>
      </c>
      <c r="N4408" s="7" t="s">
        <v>40132</v>
      </c>
      <c r="O4408" s="7">
        <v>1.5269999999999999</v>
      </c>
      <c r="P4408" s="1" t="s">
        <v>40133</v>
      </c>
    </row>
    <row r="4409" spans="1:16" ht="33.4" x14ac:dyDescent="0.3">
      <c r="A4409" s="6" t="str">
        <f>HYPERLINK("https://www.ti.com/product/TLC5940", "TLC5940")</f>
        <v>TLC5940</v>
      </c>
      <c r="B4409" s="5" t="s">
        <v>40134</v>
      </c>
      <c r="C4409" s="6" t="str">
        <f>HYPERLINK("https://www.ti.com/lit/gpn/TLC5940", "PDF")</f>
        <v>PDF</v>
      </c>
      <c r="D4409" s="5" t="s">
        <v>40135</v>
      </c>
      <c r="E4409" s="5" t="s">
        <v>40136</v>
      </c>
      <c r="F4409" s="5"/>
      <c r="G4409" s="5" t="s">
        <v>40137</v>
      </c>
      <c r="H4409" s="1" t="s">
        <v>40138</v>
      </c>
      <c r="I4409" s="5" t="s">
        <v>40139</v>
      </c>
      <c r="J4409" s="7" t="s">
        <v>40140</v>
      </c>
      <c r="K4409" s="7" t="s">
        <v>40141</v>
      </c>
      <c r="L4409" s="5" t="s">
        <v>40142</v>
      </c>
      <c r="M4409" s="7" t="s">
        <v>40143</v>
      </c>
      <c r="N4409" s="7" t="s">
        <v>40144</v>
      </c>
      <c r="O4409" s="7">
        <v>1.3320000000000001</v>
      </c>
      <c r="P4409" s="1" t="s">
        <v>40145</v>
      </c>
    </row>
    <row r="4410" spans="1:16" ht="82.5" x14ac:dyDescent="0.3">
      <c r="A4410" s="6" t="str">
        <f>HYPERLINK("https://www.ti.com/product/TLVH431B", "TLVH431B")</f>
        <v>TLVH431B</v>
      </c>
      <c r="B4410" s="5" t="s">
        <v>40146</v>
      </c>
      <c r="C4410" s="6" t="str">
        <f>HYPERLINK("https://www.ti.com/lit/gpn/TLVH431B", "PDF")</f>
        <v>PDF</v>
      </c>
      <c r="D4410" s="5" t="s">
        <v>40147</v>
      </c>
      <c r="E4410" s="5" t="s">
        <v>40148</v>
      </c>
      <c r="F4410" s="5"/>
      <c r="G4410" s="5" t="s">
        <v>40149</v>
      </c>
      <c r="H4410" s="1" t="s">
        <v>40150</v>
      </c>
      <c r="I4410" s="5" t="s">
        <v>40151</v>
      </c>
      <c r="J4410" s="7" t="s">
        <v>40152</v>
      </c>
      <c r="K4410" s="7" t="s">
        <v>40153</v>
      </c>
      <c r="L4410" s="5" t="s">
        <v>40154</v>
      </c>
      <c r="M4410" s="7" t="s">
        <v>40155</v>
      </c>
      <c r="N4410" s="7" t="s">
        <v>40156</v>
      </c>
      <c r="O4410" s="7">
        <v>0.193</v>
      </c>
      <c r="P4410" s="1" t="s">
        <v>40157</v>
      </c>
    </row>
    <row r="4411" spans="1:16" ht="33.4" x14ac:dyDescent="0.3">
      <c r="A4411" s="6" t="str">
        <f>HYPERLINK("https://www.ti.com/product/TPS61040-Q1", "TPS61040-Q1")</f>
        <v>TPS61040-Q1</v>
      </c>
      <c r="B4411" s="5" t="s">
        <v>40158</v>
      </c>
      <c r="C4411" s="6" t="str">
        <f>HYPERLINK("https://www.ti.com/lit/gpn/TPS61040-Q1", "PDF")</f>
        <v>PDF</v>
      </c>
      <c r="D4411" s="5" t="s">
        <v>40159</v>
      </c>
      <c r="E4411" s="5" t="s">
        <v>40160</v>
      </c>
      <c r="F4411" s="5" t="s">
        <v>40161</v>
      </c>
      <c r="G4411" s="5" t="s">
        <v>40162</v>
      </c>
      <c r="H4411" s="1" t="s">
        <v>40163</v>
      </c>
      <c r="I4411" s="5" t="s">
        <v>40164</v>
      </c>
      <c r="J4411" s="7">
        <v>5</v>
      </c>
      <c r="K4411" s="7">
        <v>8.1199999999999992</v>
      </c>
      <c r="L4411" s="5" t="s">
        <v>40165</v>
      </c>
      <c r="M4411" s="7">
        <v>1.45</v>
      </c>
      <c r="N4411" s="7">
        <v>0.95</v>
      </c>
      <c r="O4411" s="7">
        <v>0.998</v>
      </c>
      <c r="P4411" s="1" t="s">
        <v>40166</v>
      </c>
    </row>
    <row r="4412" spans="1:16" ht="33.4" x14ac:dyDescent="0.3">
      <c r="A4412" s="6" t="str">
        <f>HYPERLINK("https://www.ti.com/product/TPS61041-Q1", "TPS61041-Q1")</f>
        <v>TPS61041-Q1</v>
      </c>
      <c r="B4412" s="5" t="s">
        <v>40167</v>
      </c>
      <c r="C4412" s="6" t="str">
        <f>HYPERLINK("https://www.ti.com/lit/gpn/TPS61041-Q1", "PDF")</f>
        <v>PDF</v>
      </c>
      <c r="D4412" s="5" t="s">
        <v>40168</v>
      </c>
      <c r="E4412" s="5" t="s">
        <v>40169</v>
      </c>
      <c r="F4412" s="5" t="s">
        <v>40170</v>
      </c>
      <c r="G4412" s="5" t="s">
        <v>40171</v>
      </c>
      <c r="H4412" s="1" t="s">
        <v>40172</v>
      </c>
      <c r="I4412" s="5" t="s">
        <v>40173</v>
      </c>
      <c r="J4412" s="7">
        <v>5</v>
      </c>
      <c r="K4412" s="7">
        <v>8.1199999999999992</v>
      </c>
      <c r="L4412" s="5" t="s">
        <v>40174</v>
      </c>
      <c r="M4412" s="7">
        <v>1.45</v>
      </c>
      <c r="N4412" s="7">
        <v>0.95</v>
      </c>
      <c r="O4412" s="7">
        <v>0.92700000000000005</v>
      </c>
      <c r="P4412" s="1" t="s">
        <v>40175</v>
      </c>
    </row>
    <row r="4413" spans="1:16" ht="33.4" x14ac:dyDescent="0.3">
      <c r="A4413" s="6" t="str">
        <f>HYPERLINK("https://www.ti.com/product/PTV12010L", "PTV12010L")</f>
        <v>PTV12010L</v>
      </c>
      <c r="B4413" s="5" t="s">
        <v>40176</v>
      </c>
      <c r="C4413" s="6" t="str">
        <f>HYPERLINK("https://www.ti.com/lit/gpn/PTV12010L", "PDF")</f>
        <v>PDF</v>
      </c>
      <c r="D4413" s="5" t="s">
        <v>40177</v>
      </c>
      <c r="E4413" s="5" t="s">
        <v>40178</v>
      </c>
      <c r="F4413" s="5" t="s">
        <v>40179</v>
      </c>
      <c r="G4413" s="5" t="s">
        <v>40180</v>
      </c>
      <c r="H4413" s="1" t="s">
        <v>40181</v>
      </c>
      <c r="I4413" s="5" t="s">
        <v>40182</v>
      </c>
      <c r="J4413" s="7">
        <v>8</v>
      </c>
      <c r="K4413" s="7">
        <v>185.8518</v>
      </c>
      <c r="L4413" s="5" t="s">
        <v>40183</v>
      </c>
      <c r="M4413" s="7">
        <v>10.4</v>
      </c>
      <c r="N4413" s="7">
        <v>2.54</v>
      </c>
      <c r="O4413" s="7">
        <v>13.423999999999999</v>
      </c>
      <c r="P4413" s="1" t="s">
        <v>40184</v>
      </c>
    </row>
    <row r="4414" spans="1:16" ht="33.4" x14ac:dyDescent="0.3">
      <c r="A4414" s="6" t="str">
        <f>HYPERLINK("https://www.ti.com/product/PTV12010W", "PTV12010W")</f>
        <v>PTV12010W</v>
      </c>
      <c r="B4414" s="5" t="s">
        <v>40185</v>
      </c>
      <c r="C4414" s="6" t="str">
        <f>HYPERLINK("https://www.ti.com/lit/gpn/PTV12010W", "PDF")</f>
        <v>PDF</v>
      </c>
      <c r="D4414" s="5" t="s">
        <v>40186</v>
      </c>
      <c r="E4414" s="5" t="s">
        <v>40187</v>
      </c>
      <c r="F4414" s="5" t="s">
        <v>40188</v>
      </c>
      <c r="G4414" s="5" t="s">
        <v>40189</v>
      </c>
      <c r="H4414" s="1" t="s">
        <v>40190</v>
      </c>
      <c r="I4414" s="5" t="s">
        <v>40191</v>
      </c>
      <c r="J4414" s="7">
        <v>8</v>
      </c>
      <c r="K4414" s="7">
        <v>185.8518</v>
      </c>
      <c r="L4414" s="5" t="s">
        <v>40192</v>
      </c>
      <c r="M4414" s="7">
        <v>10.4</v>
      </c>
      <c r="N4414" s="7">
        <v>2.54</v>
      </c>
      <c r="O4414" s="7">
        <v>12.84</v>
      </c>
      <c r="P4414" s="1" t="s">
        <v>40193</v>
      </c>
    </row>
    <row r="4415" spans="1:16" ht="33.4" x14ac:dyDescent="0.3">
      <c r="A4415" s="6" t="str">
        <f>HYPERLINK("https://www.ti.com/product/TPS62026", "TPS62026")</f>
        <v>TPS62026</v>
      </c>
      <c r="B4415" s="5" t="s">
        <v>40194</v>
      </c>
      <c r="C4415" s="6" t="str">
        <f>HYPERLINK("https://www.ti.com/lit/gpn/TPS62026", "PDF")</f>
        <v>PDF</v>
      </c>
      <c r="D4415" s="5" t="s">
        <v>40195</v>
      </c>
      <c r="E4415" s="5" t="s">
        <v>40196</v>
      </c>
      <c r="F4415" s="5" t="s">
        <v>40197</v>
      </c>
      <c r="G4415" s="5" t="s">
        <v>40198</v>
      </c>
      <c r="H4415" s="1" t="s">
        <v>40199</v>
      </c>
      <c r="I4415" s="5" t="s">
        <v>40200</v>
      </c>
      <c r="J4415" s="7">
        <v>10</v>
      </c>
      <c r="K4415" s="7" t="s">
        <v>40201</v>
      </c>
      <c r="L4415" s="5" t="s">
        <v>40202</v>
      </c>
      <c r="M4415" s="7" t="s">
        <v>40203</v>
      </c>
      <c r="N4415" s="7">
        <v>0.5</v>
      </c>
      <c r="O4415" s="7">
        <v>0.72299999999999998</v>
      </c>
      <c r="P4415" s="1" t="s">
        <v>40204</v>
      </c>
    </row>
    <row r="4416" spans="1:16" ht="33.4" x14ac:dyDescent="0.3">
      <c r="A4416" s="6" t="str">
        <f>HYPERLINK("https://www.ti.com/product/TPS715A", "TPS715A")</f>
        <v>TPS715A</v>
      </c>
      <c r="B4416" s="5" t="s">
        <v>40205</v>
      </c>
      <c r="C4416" s="6" t="str">
        <f>HYPERLINK("https://www.ti.com/lit/gpn/TPS715A", "PDF")</f>
        <v>PDF</v>
      </c>
      <c r="D4416" s="5" t="s">
        <v>40206</v>
      </c>
      <c r="E4416" s="5" t="s">
        <v>40207</v>
      </c>
      <c r="F4416" s="5"/>
      <c r="G4416" s="5" t="s">
        <v>40208</v>
      </c>
      <c r="H4416" s="1" t="s">
        <v>40209</v>
      </c>
      <c r="I4416" s="5" t="s">
        <v>40210</v>
      </c>
      <c r="J4416" s="7" t="s">
        <v>40211</v>
      </c>
      <c r="K4416" s="7" t="s">
        <v>40212</v>
      </c>
      <c r="L4416" s="5" t="s">
        <v>40213</v>
      </c>
      <c r="M4416" s="7" t="s">
        <v>40214</v>
      </c>
      <c r="N4416" s="7">
        <v>0.65</v>
      </c>
      <c r="O4416" s="7">
        <v>0.46899999999999997</v>
      </c>
      <c r="P4416" s="1" t="s">
        <v>40215</v>
      </c>
    </row>
    <row r="4417" spans="1:16" ht="33.4" x14ac:dyDescent="0.3">
      <c r="A4417" s="6" t="str">
        <f>HYPERLINK("https://www.ti.com/product/TPS713", "TPS713")</f>
        <v>TPS713</v>
      </c>
      <c r="B4417" s="5" t="s">
        <v>40216</v>
      </c>
      <c r="C4417" s="6" t="str">
        <f>HYPERLINK("https://www.ti.com/lit/gpn/TPS713", "PDF")</f>
        <v>PDF</v>
      </c>
      <c r="D4417" s="5" t="s">
        <v>40217</v>
      </c>
      <c r="E4417" s="5" t="s">
        <v>40218</v>
      </c>
      <c r="F4417" s="5"/>
      <c r="G4417" s="5" t="s">
        <v>40219</v>
      </c>
      <c r="H4417" s="1" t="s">
        <v>40220</v>
      </c>
      <c r="I4417" s="5" t="s">
        <v>40221</v>
      </c>
      <c r="J4417" s="7">
        <v>10</v>
      </c>
      <c r="K4417" s="7">
        <v>9</v>
      </c>
      <c r="L4417" s="5" t="s">
        <v>40222</v>
      </c>
      <c r="M4417" s="7">
        <v>1</v>
      </c>
      <c r="N4417" s="7">
        <v>0.5</v>
      </c>
      <c r="O4417" s="7">
        <v>1.155</v>
      </c>
      <c r="P4417" s="1" t="s">
        <v>40223</v>
      </c>
    </row>
    <row r="4418" spans="1:16" ht="33.4" x14ac:dyDescent="0.3">
      <c r="A4418" s="6" t="str">
        <f>HYPERLINK("https://www.ti.com/product/TPS712", "TPS712")</f>
        <v>TPS712</v>
      </c>
      <c r="B4418" s="5" t="s">
        <v>40224</v>
      </c>
      <c r="C4418" s="6" t="str">
        <f>HYPERLINK("https://www.ti.com/lit/gpn/TPS712", "PDF")</f>
        <v>PDF</v>
      </c>
      <c r="D4418" s="5" t="s">
        <v>40225</v>
      </c>
      <c r="E4418" s="5" t="s">
        <v>40226</v>
      </c>
      <c r="F4418" s="5"/>
      <c r="G4418" s="5" t="s">
        <v>40227</v>
      </c>
      <c r="H4418" s="1" t="s">
        <v>40228</v>
      </c>
      <c r="I4418" s="5" t="s">
        <v>40229</v>
      </c>
      <c r="J4418" s="7">
        <v>10</v>
      </c>
      <c r="K4418" s="7">
        <v>9</v>
      </c>
      <c r="L4418" s="5" t="s">
        <v>40230</v>
      </c>
      <c r="M4418" s="7">
        <v>1</v>
      </c>
      <c r="N4418" s="7">
        <v>0.5</v>
      </c>
      <c r="O4418" s="7">
        <v>1.0449999999999999</v>
      </c>
      <c r="P4418" s="1" t="s">
        <v>40231</v>
      </c>
    </row>
    <row r="4419" spans="1:16" ht="33.4" x14ac:dyDescent="0.3">
      <c r="A4419" s="6" t="str">
        <f>HYPERLINK("https://www.ti.com/product/PTN78020W", "PTN78020W")</f>
        <v>PTN78020W</v>
      </c>
      <c r="B4419" s="5" t="s">
        <v>40232</v>
      </c>
      <c r="C4419" s="6" t="str">
        <f>HYPERLINK("https://www.ti.com/lit/gpn/PTN78020W", "PDF")</f>
        <v>PDF</v>
      </c>
      <c r="D4419" s="5" t="s">
        <v>40233</v>
      </c>
      <c r="E4419" s="5" t="s">
        <v>40234</v>
      </c>
      <c r="F4419" s="5" t="s">
        <v>40235</v>
      </c>
      <c r="G4419" s="5" t="s">
        <v>40236</v>
      </c>
      <c r="H4419" s="1" t="s">
        <v>40237</v>
      </c>
      <c r="I4419" s="5" t="s">
        <v>40238</v>
      </c>
      <c r="J4419" s="7">
        <v>7</v>
      </c>
      <c r="K4419" s="7">
        <v>901.05889999999999</v>
      </c>
      <c r="L4419" s="5" t="s">
        <v>40239</v>
      </c>
      <c r="M4419" s="7">
        <v>9</v>
      </c>
      <c r="N4419" s="7">
        <v>3.18</v>
      </c>
      <c r="O4419" s="7">
        <v>21.602</v>
      </c>
      <c r="P4419" s="1" t="s">
        <v>40240</v>
      </c>
    </row>
    <row r="4420" spans="1:16" ht="33.4" x14ac:dyDescent="0.3">
      <c r="A4420" s="6" t="str">
        <f>HYPERLINK("https://www.ti.com/product/PTH12040W", "PTH12040W")</f>
        <v>PTH12040W</v>
      </c>
      <c r="B4420" s="5" t="s">
        <v>40241</v>
      </c>
      <c r="C4420" s="6" t="str">
        <f>HYPERLINK("https://www.ti.com/lit/gpn/PTH12040W", "PDF")</f>
        <v>PDF</v>
      </c>
      <c r="D4420" s="5" t="s">
        <v>40242</v>
      </c>
      <c r="E4420" s="5" t="s">
        <v>40243</v>
      </c>
      <c r="F4420" s="5" t="s">
        <v>40244</v>
      </c>
      <c r="G4420" s="5" t="s">
        <v>40245</v>
      </c>
      <c r="H4420" s="1" t="s">
        <v>40246</v>
      </c>
      <c r="I4420" s="5" t="s">
        <v>40247</v>
      </c>
      <c r="J4420" s="7">
        <v>20</v>
      </c>
      <c r="K4420" s="7">
        <v>1459.5776000000001</v>
      </c>
      <c r="L4420" s="5" t="s">
        <v>40248</v>
      </c>
      <c r="M4420" s="7">
        <v>9.07</v>
      </c>
      <c r="N4420" s="7">
        <v>3.17</v>
      </c>
      <c r="O4420" s="7">
        <v>58.985999999999997</v>
      </c>
      <c r="P4420" s="1" t="s">
        <v>40249</v>
      </c>
    </row>
    <row r="4421" spans="1:16" ht="33.4" x14ac:dyDescent="0.3">
      <c r="A4421" s="6" t="str">
        <f>HYPERLINK("https://www.ti.com/product/LM5107", "LM5107")</f>
        <v>LM5107</v>
      </c>
      <c r="B4421" s="5" t="s">
        <v>40250</v>
      </c>
      <c r="C4421" s="6" t="str">
        <f>HYPERLINK("https://www.ti.com/lit/gpn/LM5107", "PDF")</f>
        <v>PDF</v>
      </c>
      <c r="D4421" s="5" t="s">
        <v>40251</v>
      </c>
      <c r="E4421" s="5" t="s">
        <v>40252</v>
      </c>
      <c r="F4421" s="5"/>
      <c r="G4421" s="5" t="s">
        <v>40253</v>
      </c>
      <c r="H4421" s="1" t="s">
        <v>40254</v>
      </c>
      <c r="I4421" s="5" t="s">
        <v>40255</v>
      </c>
      <c r="J4421" s="7">
        <v>8</v>
      </c>
      <c r="K4421" s="7" t="s">
        <v>40256</v>
      </c>
      <c r="L4421" s="5" t="s">
        <v>40257</v>
      </c>
      <c r="M4421" s="7" t="s">
        <v>40258</v>
      </c>
      <c r="N4421" s="7" t="s">
        <v>40259</v>
      </c>
      <c r="O4421" s="7">
        <v>0.91900000000000004</v>
      </c>
      <c r="P4421" s="1" t="s">
        <v>40260</v>
      </c>
    </row>
    <row r="4422" spans="1:16" ht="98.85" x14ac:dyDescent="0.3">
      <c r="A4422" s="6" t="str">
        <f>HYPERLINK("https://www.ti.com/product/TLV1117", "TLV1117")</f>
        <v>TLV1117</v>
      </c>
      <c r="B4422" s="5" t="s">
        <v>40261</v>
      </c>
      <c r="C4422" s="6" t="str">
        <f>HYPERLINK("https://www.ti.com/lit/gpn/TLV1117", "PDF")</f>
        <v>PDF</v>
      </c>
      <c r="D4422" s="5" t="s">
        <v>40262</v>
      </c>
      <c r="E4422" s="5" t="s">
        <v>40263</v>
      </c>
      <c r="F4422" s="5"/>
      <c r="G4422" s="5" t="s">
        <v>40264</v>
      </c>
      <c r="H4422" s="1" t="s">
        <v>40265</v>
      </c>
      <c r="I4422" s="5" t="s">
        <v>40266</v>
      </c>
      <c r="J4422" s="7" t="s">
        <v>40267</v>
      </c>
      <c r="K4422" s="7" t="s">
        <v>40268</v>
      </c>
      <c r="L4422" s="5" t="s">
        <v>40269</v>
      </c>
      <c r="M4422" s="7" t="s">
        <v>40270</v>
      </c>
      <c r="N4422" s="7" t="s">
        <v>40271</v>
      </c>
      <c r="O4422" s="7">
        <v>0.13400000000000001</v>
      </c>
      <c r="P4422" s="1" t="s">
        <v>40272</v>
      </c>
    </row>
    <row r="4423" spans="1:16" ht="17.05" x14ac:dyDescent="0.3">
      <c r="A4423" s="6" t="str">
        <f>HYPERLINK("https://www.ti.com/product/TPS65014", "TPS65014")</f>
        <v>TPS65014</v>
      </c>
      <c r="B4423" s="5" t="s">
        <v>40273</v>
      </c>
      <c r="C4423" s="6" t="str">
        <f>HYPERLINK("https://www.ti.com/lit/gpn/TPS65014", "PDF")</f>
        <v>PDF</v>
      </c>
      <c r="D4423" s="5" t="s">
        <v>40274</v>
      </c>
      <c r="E4423" s="5" t="s">
        <v>40275</v>
      </c>
      <c r="F4423" s="5"/>
      <c r="G4423" s="5" t="s">
        <v>40276</v>
      </c>
      <c r="H4423" s="1" t="s">
        <v>40277</v>
      </c>
      <c r="I4423" s="5" t="s">
        <v>40278</v>
      </c>
      <c r="J4423" s="7">
        <v>48</v>
      </c>
      <c r="K4423" s="7">
        <v>49</v>
      </c>
      <c r="L4423" s="5" t="s">
        <v>40279</v>
      </c>
      <c r="M4423" s="7">
        <v>1</v>
      </c>
      <c r="N4423" s="7">
        <v>0.5</v>
      </c>
      <c r="O4423" s="7">
        <v>3.6720000000000002</v>
      </c>
      <c r="P4423" s="1" t="s">
        <v>40280</v>
      </c>
    </row>
    <row r="4424" spans="1:16" ht="66.150000000000006" x14ac:dyDescent="0.3">
      <c r="A4424" s="6" t="str">
        <f>HYPERLINK("https://www.ti.com/product/TPS730", "TPS730")</f>
        <v>TPS730</v>
      </c>
      <c r="B4424" s="5" t="s">
        <v>40281</v>
      </c>
      <c r="C4424" s="6" t="str">
        <f>HYPERLINK("https://www.ti.com/lit/gpn/TPS730", "PDF")</f>
        <v>PDF</v>
      </c>
      <c r="D4424" s="5" t="s">
        <v>40282</v>
      </c>
      <c r="E4424" s="5" t="s">
        <v>40283</v>
      </c>
      <c r="F4424" s="5"/>
      <c r="G4424" s="5" t="s">
        <v>40284</v>
      </c>
      <c r="H4424" s="1" t="s">
        <v>40285</v>
      </c>
      <c r="I4424" s="5" t="s">
        <v>40286</v>
      </c>
      <c r="J4424" s="7" t="s">
        <v>40287</v>
      </c>
      <c r="K4424" s="7" t="s">
        <v>40288</v>
      </c>
      <c r="L4424" s="5" t="s">
        <v>40289</v>
      </c>
      <c r="M4424" s="7" t="s">
        <v>40290</v>
      </c>
      <c r="N4424" s="7" t="s">
        <v>40291</v>
      </c>
      <c r="O4424" s="7">
        <v>0.184</v>
      </c>
      <c r="P4424" s="1" t="s">
        <v>40292</v>
      </c>
    </row>
    <row r="4425" spans="1:16" ht="33.4" x14ac:dyDescent="0.3">
      <c r="A4425" s="6" t="str">
        <f>HYPERLINK("https://www.ti.com/product/LM5100A", "LM5100A")</f>
        <v>LM5100A</v>
      </c>
      <c r="B4425" s="5" t="s">
        <v>40293</v>
      </c>
      <c r="C4425" s="6" t="str">
        <f>HYPERLINK("https://www.ti.com/lit/gpn/LM5100A", "PDF")</f>
        <v>PDF</v>
      </c>
      <c r="D4425" s="5" t="s">
        <v>40294</v>
      </c>
      <c r="E4425" s="5" t="s">
        <v>40295</v>
      </c>
      <c r="F4425" s="5"/>
      <c r="G4425" s="5" t="s">
        <v>40296</v>
      </c>
      <c r="H4425" s="1" t="s">
        <v>40297</v>
      </c>
      <c r="I4425" s="5" t="s">
        <v>40298</v>
      </c>
      <c r="J4425" s="7" t="s">
        <v>40299</v>
      </c>
      <c r="K4425" s="7" t="s">
        <v>40300</v>
      </c>
      <c r="L4425" s="5" t="s">
        <v>40301</v>
      </c>
      <c r="M4425" s="7" t="s">
        <v>40302</v>
      </c>
      <c r="N4425" s="7" t="s">
        <v>40303</v>
      </c>
      <c r="O4425" s="7">
        <v>1.212</v>
      </c>
      <c r="P4425" s="1" t="s">
        <v>40304</v>
      </c>
    </row>
    <row r="4426" spans="1:16" ht="33.4" x14ac:dyDescent="0.3">
      <c r="A4426" s="6" t="str">
        <f>HYPERLINK("https://www.ti.com/product/LM5101A", "LM5101A")</f>
        <v>LM5101A</v>
      </c>
      <c r="B4426" s="5" t="s">
        <v>40305</v>
      </c>
      <c r="C4426" s="6" t="str">
        <f>HYPERLINK("https://www.ti.com/lit/gpn/LM5101A", "PDF")</f>
        <v>PDF</v>
      </c>
      <c r="D4426" s="5" t="s">
        <v>40306</v>
      </c>
      <c r="E4426" s="5" t="s">
        <v>40307</v>
      </c>
      <c r="F4426" s="5"/>
      <c r="G4426" s="5" t="s">
        <v>40308</v>
      </c>
      <c r="H4426" s="1" t="s">
        <v>40309</v>
      </c>
      <c r="I4426" s="5" t="s">
        <v>40310</v>
      </c>
      <c r="J4426" s="7" t="s">
        <v>40311</v>
      </c>
      <c r="K4426" s="7" t="s">
        <v>40312</v>
      </c>
      <c r="L4426" s="5" t="s">
        <v>40313</v>
      </c>
      <c r="M4426" s="7" t="s">
        <v>40314</v>
      </c>
      <c r="N4426" s="7" t="s">
        <v>40315</v>
      </c>
      <c r="O4426" s="7">
        <v>1.421</v>
      </c>
      <c r="P4426" s="1" t="s">
        <v>40316</v>
      </c>
    </row>
    <row r="4427" spans="1:16" ht="33.4" x14ac:dyDescent="0.3">
      <c r="A4427" s="6" t="str">
        <f>HYPERLINK("https://www.ti.com/product/PTN78060W", "PTN78060W")</f>
        <v>PTN78060W</v>
      </c>
      <c r="B4427" s="5" t="s">
        <v>40317</v>
      </c>
      <c r="C4427" s="6" t="str">
        <f>HYPERLINK("https://www.ti.com/lit/gpn/PTN78060W", "PDF")</f>
        <v>PDF</v>
      </c>
      <c r="D4427" s="5" t="s">
        <v>40318</v>
      </c>
      <c r="E4427" s="5" t="s">
        <v>40319</v>
      </c>
      <c r="F4427" s="5" t="s">
        <v>40320</v>
      </c>
      <c r="G4427" s="5" t="s">
        <v>40321</v>
      </c>
      <c r="H4427" s="1" t="s">
        <v>40322</v>
      </c>
      <c r="I4427" s="5" t="s">
        <v>40323</v>
      </c>
      <c r="J4427" s="7">
        <v>7</v>
      </c>
      <c r="K4427" s="7">
        <v>440.62040000000002</v>
      </c>
      <c r="L4427" s="5" t="s">
        <v>40324</v>
      </c>
      <c r="M4427" s="7">
        <v>9</v>
      </c>
      <c r="N4427" s="7">
        <v>3.1749999999999998</v>
      </c>
      <c r="O4427" s="7">
        <v>16.972999999999999</v>
      </c>
      <c r="P4427" s="1" t="s">
        <v>40325</v>
      </c>
    </row>
    <row r="4428" spans="1:16" ht="33.4" x14ac:dyDescent="0.3">
      <c r="A4428" s="6" t="str">
        <f>HYPERLINK("https://www.ti.com/product/LP38690", "LP38690")</f>
        <v>LP38690</v>
      </c>
      <c r="B4428" s="5" t="s">
        <v>40326</v>
      </c>
      <c r="C4428" s="6" t="str">
        <f>HYPERLINK("https://www.ti.com/lit/gpn/LP38690", "PDF")</f>
        <v>PDF</v>
      </c>
      <c r="D4428" s="5" t="s">
        <v>40327</v>
      </c>
      <c r="E4428" s="5" t="s">
        <v>40328</v>
      </c>
      <c r="F4428" s="5"/>
      <c r="G4428" s="5" t="s">
        <v>40329</v>
      </c>
      <c r="H4428" s="1" t="s">
        <v>40330</v>
      </c>
      <c r="I4428" s="5" t="s">
        <v>40331</v>
      </c>
      <c r="J4428" s="7" t="s">
        <v>40332</v>
      </c>
      <c r="K4428" s="7" t="s">
        <v>40333</v>
      </c>
      <c r="L4428" s="5" t="s">
        <v>40334</v>
      </c>
      <c r="M4428" s="7" t="s">
        <v>40335</v>
      </c>
      <c r="N4428" s="7" t="s">
        <v>40336</v>
      </c>
      <c r="O4428" s="7">
        <v>0.64900000000000002</v>
      </c>
      <c r="P4428" s="1" t="s">
        <v>40337</v>
      </c>
    </row>
    <row r="4429" spans="1:16" ht="33.4" x14ac:dyDescent="0.3">
      <c r="A4429" s="6" t="str">
        <f>HYPERLINK("https://www.ti.com/product/LP38690-ADJ", "LP38690-ADJ")</f>
        <v>LP38690-ADJ</v>
      </c>
      <c r="B4429" s="5" t="s">
        <v>40338</v>
      </c>
      <c r="C4429" s="6" t="str">
        <f>HYPERLINK("https://www.ti.com/lit/gpn/LP38690-ADJ", "PDF")</f>
        <v>PDF</v>
      </c>
      <c r="D4429" s="5" t="s">
        <v>40339</v>
      </c>
      <c r="E4429" s="5" t="s">
        <v>40340</v>
      </c>
      <c r="F4429" s="5"/>
      <c r="G4429" s="5" t="s">
        <v>40341</v>
      </c>
      <c r="H4429" s="1" t="s">
        <v>40342</v>
      </c>
      <c r="I4429" s="5" t="s">
        <v>40343</v>
      </c>
      <c r="J4429" s="7">
        <v>6</v>
      </c>
      <c r="K4429" s="7">
        <v>9</v>
      </c>
      <c r="L4429" s="5" t="s">
        <v>40344</v>
      </c>
      <c r="M4429" s="7">
        <v>0.8</v>
      </c>
      <c r="N4429" s="7">
        <v>0.95</v>
      </c>
      <c r="O4429" s="7">
        <v>0.57999999999999996</v>
      </c>
      <c r="P4429" s="1" t="s">
        <v>40345</v>
      </c>
    </row>
    <row r="4430" spans="1:16" ht="33.4" x14ac:dyDescent="0.3">
      <c r="A4430" s="6" t="str">
        <f>HYPERLINK("https://www.ti.com/product/LP38692", "LP38692")</f>
        <v>LP38692</v>
      </c>
      <c r="B4430" s="5" t="s">
        <v>40346</v>
      </c>
      <c r="C4430" s="6" t="str">
        <f>HYPERLINK("https://www.ti.com/lit/gpn/LP38692", "PDF")</f>
        <v>PDF</v>
      </c>
      <c r="D4430" s="5" t="s">
        <v>40347</v>
      </c>
      <c r="E4430" s="5" t="s">
        <v>40348</v>
      </c>
      <c r="F4430" s="5"/>
      <c r="G4430" s="5" t="s">
        <v>40349</v>
      </c>
      <c r="H4430" s="1" t="s">
        <v>40350</v>
      </c>
      <c r="I4430" s="5" t="s">
        <v>40351</v>
      </c>
      <c r="J4430" s="7" t="s">
        <v>40352</v>
      </c>
      <c r="K4430" s="7" t="s">
        <v>40353</v>
      </c>
      <c r="L4430" s="5" t="s">
        <v>40354</v>
      </c>
      <c r="M4430" s="7" t="s">
        <v>40355</v>
      </c>
      <c r="N4430" s="7" t="s">
        <v>40356</v>
      </c>
      <c r="O4430" s="7">
        <v>0.64900000000000002</v>
      </c>
      <c r="P4430" s="1" t="s">
        <v>40357</v>
      </c>
    </row>
    <row r="4431" spans="1:16" ht="33.4" x14ac:dyDescent="0.3">
      <c r="A4431" s="6" t="str">
        <f>HYPERLINK("https://www.ti.com/product/LP38692-ADJ", "LP38692-ADJ")</f>
        <v>LP38692-ADJ</v>
      </c>
      <c r="B4431" s="5" t="s">
        <v>40358</v>
      </c>
      <c r="C4431" s="6" t="str">
        <f>HYPERLINK("https://www.ti.com/lit/gpn/LP38692-ADJ", "PDF")</f>
        <v>PDF</v>
      </c>
      <c r="D4431" s="5" t="s">
        <v>40359</v>
      </c>
      <c r="E4431" s="5" t="s">
        <v>40360</v>
      </c>
      <c r="F4431" s="5"/>
      <c r="G4431" s="5" t="s">
        <v>40361</v>
      </c>
      <c r="H4431" s="1" t="s">
        <v>40362</v>
      </c>
      <c r="I4431" s="5" t="s">
        <v>40363</v>
      </c>
      <c r="J4431" s="7" t="s">
        <v>40364</v>
      </c>
      <c r="K4431" s="7" t="s">
        <v>40365</v>
      </c>
      <c r="L4431" s="5" t="s">
        <v>40366</v>
      </c>
      <c r="M4431" s="7" t="s">
        <v>40367</v>
      </c>
      <c r="N4431" s="7" t="s">
        <v>40368</v>
      </c>
      <c r="O4431" s="7">
        <v>0.59899999999999998</v>
      </c>
      <c r="P4431" s="1" t="s">
        <v>40369</v>
      </c>
    </row>
    <row r="4432" spans="1:16" ht="17.05" x14ac:dyDescent="0.3">
      <c r="A4432" s="6" t="str">
        <f>HYPERLINK("https://www.ti.com/product/BUF12800", "BUF12800")</f>
        <v>BUF12800</v>
      </c>
      <c r="B4432" s="5" t="s">
        <v>40370</v>
      </c>
      <c r="C4432" s="6" t="str">
        <f>HYPERLINK("https://www.ti.com/lit/gpn/BUF12800", "PDF")</f>
        <v>PDF</v>
      </c>
      <c r="D4432" s="5" t="s">
        <v>40371</v>
      </c>
      <c r="E4432" s="5" t="s">
        <v>40372</v>
      </c>
      <c r="F4432" s="5"/>
      <c r="G4432" s="5" t="s">
        <v>40373</v>
      </c>
      <c r="H4432" s="1" t="s">
        <v>40374</v>
      </c>
      <c r="I4432" s="5" t="s">
        <v>40375</v>
      </c>
      <c r="J4432" s="7">
        <v>24</v>
      </c>
      <c r="K4432" s="7">
        <v>49.92</v>
      </c>
      <c r="L4432" s="5" t="s">
        <v>40376</v>
      </c>
      <c r="M4432" s="7">
        <v>1.2</v>
      </c>
      <c r="N4432" s="7">
        <v>0.65</v>
      </c>
      <c r="O4432" s="7">
        <v>1.804</v>
      </c>
      <c r="P4432" s="1" t="s">
        <v>40377</v>
      </c>
    </row>
    <row r="4433" spans="1:16" ht="33.4" x14ac:dyDescent="0.3">
      <c r="A4433" s="6" t="str">
        <f>HYPERLINK("https://www.ti.com/product/LM5025A", "LM5025A")</f>
        <v>LM5025A</v>
      </c>
      <c r="B4433" s="5" t="s">
        <v>40378</v>
      </c>
      <c r="C4433" s="6" t="str">
        <f>HYPERLINK("https://www.ti.com/lit/gpn/LM5025A", "PDF")</f>
        <v>PDF</v>
      </c>
      <c r="D4433" s="5" t="s">
        <v>40379</v>
      </c>
      <c r="E4433" s="5" t="s">
        <v>40380</v>
      </c>
      <c r="F4433" s="5" t="s">
        <v>40381</v>
      </c>
      <c r="G4433" s="5" t="s">
        <v>40382</v>
      </c>
      <c r="H4433" s="1" t="s">
        <v>40383</v>
      </c>
      <c r="I4433" s="5" t="s">
        <v>40384</v>
      </c>
      <c r="J4433" s="7">
        <v>16</v>
      </c>
      <c r="K4433" s="7" t="s">
        <v>40385</v>
      </c>
      <c r="L4433" s="5" t="s">
        <v>40386</v>
      </c>
      <c r="M4433" s="7" t="s">
        <v>40387</v>
      </c>
      <c r="N4433" s="7" t="s">
        <v>40388</v>
      </c>
      <c r="O4433" s="7">
        <v>1.1479999999999999</v>
      </c>
      <c r="P4433" s="1" t="s">
        <v>40389</v>
      </c>
    </row>
    <row r="4434" spans="1:16" ht="33.4" x14ac:dyDescent="0.3">
      <c r="A4434" s="6" t="str">
        <f>HYPERLINK("https://www.ti.com/product/LM3224", "LM3224")</f>
        <v>LM3224</v>
      </c>
      <c r="B4434" s="5" t="s">
        <v>40390</v>
      </c>
      <c r="C4434" s="6" t="str">
        <f>HYPERLINK("https://www.ti.com/lit/gpn/LM3224", "PDF")</f>
        <v>PDF</v>
      </c>
      <c r="D4434" s="5" t="s">
        <v>40391</v>
      </c>
      <c r="E4434" s="5" t="s">
        <v>40392</v>
      </c>
      <c r="F4434" s="5" t="s">
        <v>40393</v>
      </c>
      <c r="G4434" s="5" t="s">
        <v>40394</v>
      </c>
      <c r="H4434" s="1" t="s">
        <v>40395</v>
      </c>
      <c r="I4434" s="5" t="s">
        <v>40396</v>
      </c>
      <c r="J4434" s="7">
        <v>8</v>
      </c>
      <c r="K4434" s="7">
        <v>14.7</v>
      </c>
      <c r="L4434" s="5" t="s">
        <v>40397</v>
      </c>
      <c r="M4434" s="7">
        <v>1.1000000000000001</v>
      </c>
      <c r="N4434" s="7">
        <v>0.65</v>
      </c>
      <c r="O4434" s="7">
        <v>1.2210000000000001</v>
      </c>
      <c r="P4434" s="1" t="s">
        <v>40398</v>
      </c>
    </row>
    <row r="4435" spans="1:16" ht="82.5" x14ac:dyDescent="0.3">
      <c r="A4435" s="6" t="str">
        <f>HYPERLINK("https://www.ti.com/product/TLV431B", "TLV431B")</f>
        <v>TLV431B</v>
      </c>
      <c r="B4435" s="5" t="s">
        <v>40399</v>
      </c>
      <c r="C4435" s="6" t="str">
        <f>HYPERLINK("https://www.ti.com/lit/gpn/TLV431B", "PDF")</f>
        <v>PDF</v>
      </c>
      <c r="D4435" s="5" t="s">
        <v>40400</v>
      </c>
      <c r="E4435" s="5" t="s">
        <v>40401</v>
      </c>
      <c r="F4435" s="5"/>
      <c r="G4435" s="5" t="s">
        <v>40402</v>
      </c>
      <c r="H4435" s="1" t="s">
        <v>40403</v>
      </c>
      <c r="I4435" s="5" t="s">
        <v>40404</v>
      </c>
      <c r="J4435" s="7" t="s">
        <v>40405</v>
      </c>
      <c r="K4435" s="7" t="s">
        <v>40406</v>
      </c>
      <c r="L4435" s="5" t="s">
        <v>40407</v>
      </c>
      <c r="M4435" s="7" t="s">
        <v>40408</v>
      </c>
      <c r="N4435" s="7" t="s">
        <v>40409</v>
      </c>
      <c r="O4435" s="7">
        <v>0.16700000000000001</v>
      </c>
      <c r="P4435" s="1" t="s">
        <v>40410</v>
      </c>
    </row>
    <row r="4436" spans="1:16" ht="33.4" x14ac:dyDescent="0.3">
      <c r="A4436" s="6" t="str">
        <f>HYPERLINK("https://www.ti.com/product/LP3996", "LP3996")</f>
        <v>LP3996</v>
      </c>
      <c r="B4436" s="5" t="s">
        <v>40411</v>
      </c>
      <c r="C4436" s="6" t="str">
        <f>HYPERLINK("https://www.ti.com/lit/gpn/LP3996", "PDF")</f>
        <v>PDF</v>
      </c>
      <c r="D4436" s="5" t="s">
        <v>40412</v>
      </c>
      <c r="E4436" s="5" t="s">
        <v>40413</v>
      </c>
      <c r="F4436" s="5"/>
      <c r="G4436" s="5" t="s">
        <v>40414</v>
      </c>
      <c r="H4436" s="1" t="s">
        <v>40415</v>
      </c>
      <c r="I4436" s="5" t="s">
        <v>40416</v>
      </c>
      <c r="J4436" s="7">
        <v>10</v>
      </c>
      <c r="K4436" s="7">
        <v>9</v>
      </c>
      <c r="L4436" s="5" t="s">
        <v>40417</v>
      </c>
      <c r="M4436" s="7">
        <v>0.8</v>
      </c>
      <c r="N4436" s="7">
        <v>0.5</v>
      </c>
      <c r="O4436" s="7">
        <v>0.38</v>
      </c>
      <c r="P4436" s="1" t="s">
        <v>40418</v>
      </c>
    </row>
    <row r="4437" spans="1:16" ht="49.75" x14ac:dyDescent="0.3">
      <c r="A4437" s="6" t="str">
        <f>HYPERLINK("https://www.ti.com/product/LM3671", "LM3671")</f>
        <v>LM3671</v>
      </c>
      <c r="B4437" s="5" t="s">
        <v>40419</v>
      </c>
      <c r="C4437" s="6" t="str">
        <f>HYPERLINK("https://www.ti.com/lit/gpn/LM3671", "PDF")</f>
        <v>PDF</v>
      </c>
      <c r="D4437" s="5" t="s">
        <v>40420</v>
      </c>
      <c r="E4437" s="5" t="s">
        <v>40421</v>
      </c>
      <c r="F4437" s="5" t="s">
        <v>40422</v>
      </c>
      <c r="G4437" s="5" t="s">
        <v>40423</v>
      </c>
      <c r="H4437" s="1" t="s">
        <v>40424</v>
      </c>
      <c r="I4437" s="5" t="s">
        <v>40425</v>
      </c>
      <c r="J4437" s="7" t="s">
        <v>40426</v>
      </c>
      <c r="K4437" s="7" t="s">
        <v>40427</v>
      </c>
      <c r="L4437" s="5" t="s">
        <v>40428</v>
      </c>
      <c r="M4437" s="7" t="s">
        <v>40429</v>
      </c>
      <c r="N4437" s="7" t="s">
        <v>40430</v>
      </c>
      <c r="O4437" s="7">
        <v>0.53400000000000003</v>
      </c>
      <c r="P4437" s="1" t="s">
        <v>40431</v>
      </c>
    </row>
    <row r="4438" spans="1:16" ht="33.4" x14ac:dyDescent="0.3">
      <c r="A4438" s="6" t="str">
        <f>HYPERLINK("https://www.ti.com/product/TPS61060", "TPS61060")</f>
        <v>TPS61060</v>
      </c>
      <c r="B4438" s="5" t="s">
        <v>40432</v>
      </c>
      <c r="C4438" s="6" t="str">
        <f>HYPERLINK("https://www.ti.com/lit/gpn/TPS61060", "PDF")</f>
        <v>PDF</v>
      </c>
      <c r="D4438" s="5" t="s">
        <v>40433</v>
      </c>
      <c r="E4438" s="5" t="s">
        <v>40434</v>
      </c>
      <c r="F4438" s="5" t="s">
        <v>40435</v>
      </c>
      <c r="G4438" s="5" t="s">
        <v>40436</v>
      </c>
      <c r="H4438" s="1" t="s">
        <v>40437</v>
      </c>
      <c r="I4438" s="5" t="s">
        <v>40438</v>
      </c>
      <c r="J4438" s="7">
        <v>8</v>
      </c>
      <c r="K4438" s="7" t="s">
        <v>40439</v>
      </c>
      <c r="L4438" s="5" t="s">
        <v>40440</v>
      </c>
      <c r="M4438" s="7" t="s">
        <v>40441</v>
      </c>
      <c r="N4438" s="7" t="s">
        <v>40442</v>
      </c>
      <c r="O4438" s="7">
        <v>0.622</v>
      </c>
      <c r="P4438" s="1" t="s">
        <v>40443</v>
      </c>
    </row>
    <row r="4439" spans="1:16" ht="33.4" x14ac:dyDescent="0.3">
      <c r="A4439" s="6" t="str">
        <f>HYPERLINK("https://www.ti.com/product/TPS61061", "TPS61061")</f>
        <v>TPS61061</v>
      </c>
      <c r="B4439" s="5" t="s">
        <v>40444</v>
      </c>
      <c r="C4439" s="6" t="str">
        <f>HYPERLINK("https://www.ti.com/lit/gpn/TPS61061", "PDF")</f>
        <v>PDF</v>
      </c>
      <c r="D4439" s="5" t="s">
        <v>40445</v>
      </c>
      <c r="E4439" s="5" t="s">
        <v>40446</v>
      </c>
      <c r="F4439" s="5" t="s">
        <v>40447</v>
      </c>
      <c r="G4439" s="5" t="s">
        <v>40448</v>
      </c>
      <c r="H4439" s="1" t="s">
        <v>40449</v>
      </c>
      <c r="I4439" s="5" t="s">
        <v>40450</v>
      </c>
      <c r="J4439" s="7">
        <v>8</v>
      </c>
      <c r="K4439" s="7" t="s">
        <v>40451</v>
      </c>
      <c r="L4439" s="5" t="s">
        <v>40452</v>
      </c>
      <c r="M4439" s="7" t="s">
        <v>40453</v>
      </c>
      <c r="N4439" s="7" t="s">
        <v>40454</v>
      </c>
      <c r="O4439" s="7">
        <v>0.622</v>
      </c>
      <c r="P4439" s="1" t="s">
        <v>40455</v>
      </c>
    </row>
    <row r="4440" spans="1:16" ht="33.4" x14ac:dyDescent="0.3">
      <c r="A4440" s="6" t="str">
        <f>HYPERLINK("https://www.ti.com/product/TPS61062", "TPS61062")</f>
        <v>TPS61062</v>
      </c>
      <c r="B4440" s="5" t="s">
        <v>40456</v>
      </c>
      <c r="C4440" s="6" t="str">
        <f>HYPERLINK("https://www.ti.com/lit/gpn/TPS61062", "PDF")</f>
        <v>PDF</v>
      </c>
      <c r="D4440" s="5" t="s">
        <v>40457</v>
      </c>
      <c r="E4440" s="5" t="s">
        <v>40458</v>
      </c>
      <c r="F4440" s="5" t="s">
        <v>40459</v>
      </c>
      <c r="G4440" s="5" t="s">
        <v>40460</v>
      </c>
      <c r="H4440" s="1" t="s">
        <v>40461</v>
      </c>
      <c r="I4440" s="5" t="s">
        <v>40462</v>
      </c>
      <c r="J4440" s="7">
        <v>8</v>
      </c>
      <c r="K4440" s="7" t="s">
        <v>40463</v>
      </c>
      <c r="L4440" s="5" t="s">
        <v>40464</v>
      </c>
      <c r="M4440" s="7" t="s">
        <v>40465</v>
      </c>
      <c r="N4440" s="7" t="s">
        <v>40466</v>
      </c>
      <c r="O4440" s="7">
        <v>0.622</v>
      </c>
      <c r="P4440" s="1" t="s">
        <v>40467</v>
      </c>
    </row>
    <row r="4441" spans="1:16" ht="49.75" x14ac:dyDescent="0.3">
      <c r="A4441" s="6" t="str">
        <f>HYPERLINK("https://www.ti.com/product/LP38859", "LP38859")</f>
        <v>LP38859</v>
      </c>
      <c r="B4441" s="5" t="s">
        <v>40468</v>
      </c>
      <c r="C4441" s="6" t="str">
        <f>HYPERLINK("https://www.ti.com/lit/gpn/LP38859", "PDF")</f>
        <v>PDF</v>
      </c>
      <c r="D4441" s="5" t="s">
        <v>40469</v>
      </c>
      <c r="E4441" s="5" t="s">
        <v>40470</v>
      </c>
      <c r="F4441" s="5"/>
      <c r="G4441" s="5" t="s">
        <v>40471</v>
      </c>
      <c r="H4441" s="1" t="s">
        <v>40472</v>
      </c>
      <c r="I4441" s="5" t="s">
        <v>40473</v>
      </c>
      <c r="J4441" s="7">
        <v>5</v>
      </c>
      <c r="K4441" s="7" t="s">
        <v>40474</v>
      </c>
      <c r="L4441" s="5" t="s">
        <v>40475</v>
      </c>
      <c r="M4441" s="7" t="s">
        <v>40476</v>
      </c>
      <c r="N4441" s="7">
        <v>1.7</v>
      </c>
      <c r="O4441" s="7">
        <v>2.14</v>
      </c>
      <c r="P4441" s="1" t="s">
        <v>40477</v>
      </c>
    </row>
    <row r="4442" spans="1:16" ht="33.4" x14ac:dyDescent="0.3">
      <c r="A4442" s="6" t="str">
        <f>HYPERLINK("https://www.ti.com/product/TPS60231", "TPS60231")</f>
        <v>TPS60231</v>
      </c>
      <c r="B4442" s="5" t="s">
        <v>40478</v>
      </c>
      <c r="C4442" s="6" t="str">
        <f>HYPERLINK("https://www.ti.com/lit/gpn/TPS60231", "PDF")</f>
        <v>PDF</v>
      </c>
      <c r="D4442" s="5" t="s">
        <v>40479</v>
      </c>
      <c r="E4442" s="5" t="s">
        <v>40480</v>
      </c>
      <c r="F4442" s="5" t="s">
        <v>40481</v>
      </c>
      <c r="G4442" s="5" t="s">
        <v>40482</v>
      </c>
      <c r="H4442" s="1" t="s">
        <v>40483</v>
      </c>
      <c r="I4442" s="5" t="s">
        <v>40484</v>
      </c>
      <c r="J4442" s="7">
        <v>16</v>
      </c>
      <c r="K4442" s="7">
        <v>9</v>
      </c>
      <c r="L4442" s="5" t="s">
        <v>40485</v>
      </c>
      <c r="M4442" s="7">
        <v>1</v>
      </c>
      <c r="N4442" s="7">
        <v>0.5</v>
      </c>
      <c r="O4442" s="7">
        <v>0.39900000000000002</v>
      </c>
      <c r="P4442" s="1" t="s">
        <v>40486</v>
      </c>
    </row>
    <row r="4443" spans="1:16" ht="33.4" x14ac:dyDescent="0.3">
      <c r="A4443" s="6" t="str">
        <f>HYPERLINK("https://www.ti.com/product/TPS715-Q1", "TPS715-Q1")</f>
        <v>TPS715-Q1</v>
      </c>
      <c r="B4443" s="5" t="s">
        <v>40487</v>
      </c>
      <c r="C4443" s="6" t="str">
        <f>HYPERLINK("https://www.ti.com/lit/gpn/TPS715-Q1", "PDF")</f>
        <v>PDF</v>
      </c>
      <c r="D4443" s="5" t="s">
        <v>40488</v>
      </c>
      <c r="E4443" s="5" t="s">
        <v>40489</v>
      </c>
      <c r="F4443" s="5"/>
      <c r="G4443" s="5" t="s">
        <v>40490</v>
      </c>
      <c r="H4443" s="1" t="s">
        <v>40491</v>
      </c>
      <c r="I4443" s="5" t="s">
        <v>40492</v>
      </c>
      <c r="J4443" s="7">
        <v>5</v>
      </c>
      <c r="K4443" s="7">
        <v>4.2</v>
      </c>
      <c r="L4443" s="5" t="s">
        <v>40493</v>
      </c>
      <c r="M4443" s="7">
        <v>1.1000000000000001</v>
      </c>
      <c r="N4443" s="7">
        <v>0.65</v>
      </c>
      <c r="O4443" s="7">
        <v>0.251</v>
      </c>
      <c r="P4443" s="1" t="s">
        <v>40494</v>
      </c>
    </row>
    <row r="4444" spans="1:16" ht="33.4" x14ac:dyDescent="0.3">
      <c r="A4444" s="6" t="str">
        <f>HYPERLINK("https://www.ti.com/product/LM5010", "LM5010")</f>
        <v>LM5010</v>
      </c>
      <c r="B4444" s="5" t="s">
        <v>40495</v>
      </c>
      <c r="C4444" s="6" t="str">
        <f>HYPERLINK("https://www.ti.com/lit/gpn/LM5010", "PDF")</f>
        <v>PDF</v>
      </c>
      <c r="D4444" s="5" t="s">
        <v>40496</v>
      </c>
      <c r="E4444" s="5" t="s">
        <v>40497</v>
      </c>
      <c r="F4444" s="5" t="s">
        <v>40498</v>
      </c>
      <c r="G4444" s="5" t="s">
        <v>40499</v>
      </c>
      <c r="H4444" s="1" t="s">
        <v>40500</v>
      </c>
      <c r="I4444" s="5" t="s">
        <v>40501</v>
      </c>
      <c r="J4444" s="7" t="s">
        <v>40502</v>
      </c>
      <c r="K4444" s="7" t="s">
        <v>40503</v>
      </c>
      <c r="L4444" s="5" t="s">
        <v>40504</v>
      </c>
      <c r="M4444" s="7" t="s">
        <v>40505</v>
      </c>
      <c r="N4444" s="7" t="s">
        <v>40506</v>
      </c>
      <c r="O4444" s="7">
        <v>1.2649999999999999</v>
      </c>
      <c r="P4444" s="1" t="s">
        <v>40507</v>
      </c>
    </row>
    <row r="4445" spans="1:16" ht="33.4" x14ac:dyDescent="0.3">
      <c r="A4445" s="6" t="str">
        <f>HYPERLINK("https://www.ti.com/product/LM5026", "LM5026")</f>
        <v>LM5026</v>
      </c>
      <c r="B4445" s="5" t="s">
        <v>40508</v>
      </c>
      <c r="C4445" s="6" t="str">
        <f>HYPERLINK("https://www.ti.com/lit/gpn/LM5026", "PDF")</f>
        <v>PDF</v>
      </c>
      <c r="D4445" s="5" t="s">
        <v>40509</v>
      </c>
      <c r="E4445" s="5" t="s">
        <v>40510</v>
      </c>
      <c r="F4445" s="5" t="s">
        <v>40511</v>
      </c>
      <c r="G4445" s="5" t="s">
        <v>40512</v>
      </c>
      <c r="H4445" s="1" t="s">
        <v>40513</v>
      </c>
      <c r="I4445" s="5" t="s">
        <v>40514</v>
      </c>
      <c r="J4445" s="7">
        <v>16</v>
      </c>
      <c r="K4445" s="7" t="s">
        <v>40515</v>
      </c>
      <c r="L4445" s="5" t="s">
        <v>40516</v>
      </c>
      <c r="M4445" s="7" t="s">
        <v>40517</v>
      </c>
      <c r="N4445" s="7" t="s">
        <v>40518</v>
      </c>
      <c r="O4445" s="7">
        <v>1.3280000000000001</v>
      </c>
      <c r="P4445" s="1" t="s">
        <v>40519</v>
      </c>
    </row>
    <row r="4446" spans="1:16" ht="33.4" x14ac:dyDescent="0.3">
      <c r="A4446" s="6" t="str">
        <f>HYPERLINK("https://www.ti.com/product/TPS2052B", "TPS2052B")</f>
        <v>TPS2052B</v>
      </c>
      <c r="B4446" s="5" t="s">
        <v>40520</v>
      </c>
      <c r="C4446" s="6" t="str">
        <f>HYPERLINK("https://www.ti.com/lit/gpn/TPS2052B", "PDF")</f>
        <v>PDF</v>
      </c>
      <c r="D4446" s="5" t="s">
        <v>40521</v>
      </c>
      <c r="E4446" s="5" t="s">
        <v>40522</v>
      </c>
      <c r="F4446" s="5"/>
      <c r="G4446" s="5" t="s">
        <v>40523</v>
      </c>
      <c r="H4446" s="1" t="s">
        <v>40524</v>
      </c>
      <c r="I4446" s="5" t="s">
        <v>40525</v>
      </c>
      <c r="J4446" s="7">
        <v>8</v>
      </c>
      <c r="K4446" s="7" t="s">
        <v>40526</v>
      </c>
      <c r="L4446" s="5" t="s">
        <v>40527</v>
      </c>
      <c r="M4446" s="7" t="s">
        <v>40528</v>
      </c>
      <c r="N4446" s="7" t="s">
        <v>40529</v>
      </c>
      <c r="O4446" s="7">
        <v>0.46600000000000003</v>
      </c>
      <c r="P4446" s="1" t="s">
        <v>40530</v>
      </c>
    </row>
    <row r="4447" spans="1:16" ht="33.4" x14ac:dyDescent="0.3">
      <c r="A4447" s="6" t="str">
        <f>HYPERLINK("https://www.ti.com/product/TPS62228", "TPS62228")</f>
        <v>TPS62228</v>
      </c>
      <c r="B4447" s="5" t="s">
        <v>40531</v>
      </c>
      <c r="C4447" s="6" t="str">
        <f>HYPERLINK("https://www.ti.com/lit/gpn/TPS62228", "PDF")</f>
        <v>PDF</v>
      </c>
      <c r="D4447" s="5" t="s">
        <v>40532</v>
      </c>
      <c r="E4447" s="5" t="s">
        <v>40533</v>
      </c>
      <c r="F4447" s="5" t="s">
        <v>40534</v>
      </c>
      <c r="G4447" s="5" t="s">
        <v>40535</v>
      </c>
      <c r="H4447" s="1" t="s">
        <v>40536</v>
      </c>
      <c r="I4447" s="5" t="s">
        <v>40537</v>
      </c>
      <c r="J4447" s="7">
        <v>5</v>
      </c>
      <c r="K4447" s="7">
        <v>8.1199999999999992</v>
      </c>
      <c r="L4447" s="5" t="s">
        <v>40538</v>
      </c>
      <c r="M4447" s="7">
        <v>1.1000000000000001</v>
      </c>
      <c r="N4447" s="7">
        <v>0.95</v>
      </c>
      <c r="O4447" s="7">
        <v>0.501</v>
      </c>
      <c r="P4447" s="1" t="s">
        <v>40539</v>
      </c>
    </row>
    <row r="4448" spans="1:16" ht="33.4" x14ac:dyDescent="0.3">
      <c r="A4448" s="6" t="str">
        <f>HYPERLINK("https://www.ti.com/product/UCC28089", "UCC28089")</f>
        <v>UCC28089</v>
      </c>
      <c r="B4448" s="5" t="s">
        <v>40540</v>
      </c>
      <c r="C4448" s="6" t="str">
        <f>HYPERLINK("https://www.ti.com/lit/gpn/UCC28089", "PDF")</f>
        <v>PDF</v>
      </c>
      <c r="D4448" s="5" t="s">
        <v>40541</v>
      </c>
      <c r="E4448" s="5" t="s">
        <v>40542</v>
      </c>
      <c r="F4448" s="5" t="s">
        <v>40543</v>
      </c>
      <c r="G4448" s="5" t="s">
        <v>40544</v>
      </c>
      <c r="H4448" s="1" t="s">
        <v>40545</v>
      </c>
      <c r="I4448" s="5" t="s">
        <v>40546</v>
      </c>
      <c r="J4448" s="7">
        <v>8</v>
      </c>
      <c r="K4448" s="7">
        <v>29.4</v>
      </c>
      <c r="L4448" s="5" t="s">
        <v>40547</v>
      </c>
      <c r="M4448" s="7">
        <v>1.75</v>
      </c>
      <c r="N4448" s="7">
        <v>1.27</v>
      </c>
      <c r="O4448" s="7">
        <v>0.96599999999999997</v>
      </c>
      <c r="P4448" s="1" t="s">
        <v>40548</v>
      </c>
    </row>
    <row r="4449" spans="1:16" ht="33.4" x14ac:dyDescent="0.3">
      <c r="A4449" s="6" t="str">
        <f>HYPERLINK("https://www.ti.com/product/LM27222", "LM27222")</f>
        <v>LM27222</v>
      </c>
      <c r="B4449" s="5" t="s">
        <v>40549</v>
      </c>
      <c r="C4449" s="6" t="str">
        <f>HYPERLINK("https://www.ti.com/lit/gpn/LM27222", "PDF")</f>
        <v>PDF</v>
      </c>
      <c r="D4449" s="5" t="s">
        <v>40550</v>
      </c>
      <c r="E4449" s="5" t="s">
        <v>40551</v>
      </c>
      <c r="F4449" s="5"/>
      <c r="G4449" s="5" t="s">
        <v>40552</v>
      </c>
      <c r="H4449" s="1" t="s">
        <v>40553</v>
      </c>
      <c r="I4449" s="5" t="s">
        <v>40554</v>
      </c>
      <c r="J4449" s="7">
        <v>8</v>
      </c>
      <c r="K4449" s="7" t="s">
        <v>40555</v>
      </c>
      <c r="L4449" s="5" t="s">
        <v>40556</v>
      </c>
      <c r="M4449" s="7" t="s">
        <v>40557</v>
      </c>
      <c r="N4449" s="7" t="s">
        <v>40558</v>
      </c>
      <c r="O4449" s="7">
        <v>1.1639999999999999</v>
      </c>
      <c r="P4449" s="1" t="s">
        <v>40559</v>
      </c>
    </row>
    <row r="4450" spans="1:16" ht="33.4" x14ac:dyDescent="0.3">
      <c r="A4450" s="6" t="str">
        <f>HYPERLINK("https://www.ti.com/product/LM5112", "LM5112")</f>
        <v>LM5112</v>
      </c>
      <c r="B4450" s="5" t="s">
        <v>40560</v>
      </c>
      <c r="C4450" s="6" t="str">
        <f>HYPERLINK("https://www.ti.com/lit/gpn/LM5112", "PDF")</f>
        <v>PDF</v>
      </c>
      <c r="D4450" s="5" t="s">
        <v>40561</v>
      </c>
      <c r="E4450" s="5" t="s">
        <v>40562</v>
      </c>
      <c r="F4450" s="5"/>
      <c r="G4450" s="5" t="s">
        <v>40563</v>
      </c>
      <c r="H4450" s="1" t="s">
        <v>40564</v>
      </c>
      <c r="I4450" s="5" t="s">
        <v>40565</v>
      </c>
      <c r="J4450" s="7" t="s">
        <v>40566</v>
      </c>
      <c r="K4450" s="7" t="s">
        <v>40567</v>
      </c>
      <c r="L4450" s="5" t="s">
        <v>40568</v>
      </c>
      <c r="M4450" s="7" t="s">
        <v>40569</v>
      </c>
      <c r="N4450" s="7" t="s">
        <v>40570</v>
      </c>
      <c r="O4450" s="7">
        <v>0.60199999999999998</v>
      </c>
      <c r="P4450" s="1" t="s">
        <v>40571</v>
      </c>
    </row>
    <row r="4451" spans="1:16" ht="17.05" x14ac:dyDescent="0.3">
      <c r="A4451" s="6" t="str">
        <f>HYPERLINK("https://www.ti.com/product/BUF07704", "BUF07704")</f>
        <v>BUF07704</v>
      </c>
      <c r="B4451" s="5" t="s">
        <v>40572</v>
      </c>
      <c r="C4451" s="6" t="str">
        <f>HYPERLINK("https://www.ti.com/lit/gpn/BUF07704", "PDF")</f>
        <v>PDF</v>
      </c>
      <c r="D4451" s="5" t="s">
        <v>40573</v>
      </c>
      <c r="E4451" s="5" t="s">
        <v>40574</v>
      </c>
      <c r="F4451" s="5"/>
      <c r="G4451" s="5" t="s">
        <v>40575</v>
      </c>
      <c r="H4451" s="1" t="s">
        <v>40576</v>
      </c>
      <c r="I4451" s="5" t="s">
        <v>40577</v>
      </c>
      <c r="J4451" s="7">
        <v>20</v>
      </c>
      <c r="K4451" s="7">
        <v>41.6</v>
      </c>
      <c r="L4451" s="5" t="s">
        <v>40578</v>
      </c>
      <c r="M4451" s="7">
        <v>1.2</v>
      </c>
      <c r="N4451" s="7">
        <v>0.65</v>
      </c>
      <c r="O4451" s="7">
        <v>0.312</v>
      </c>
      <c r="P4451" s="1" t="s">
        <v>40579</v>
      </c>
    </row>
    <row r="4452" spans="1:16" ht="33.4" x14ac:dyDescent="0.3">
      <c r="A4452" s="6" t="str">
        <f>HYPERLINK("https://www.ti.com/product/TPS2063", "TPS2063")</f>
        <v>TPS2063</v>
      </c>
      <c r="B4452" s="5" t="s">
        <v>40580</v>
      </c>
      <c r="C4452" s="6" t="str">
        <f>HYPERLINK("https://www.ti.com/lit/gpn/TPS2063", "PDF")</f>
        <v>PDF</v>
      </c>
      <c r="D4452" s="5" t="s">
        <v>40581</v>
      </c>
      <c r="E4452" s="5" t="s">
        <v>40582</v>
      </c>
      <c r="F4452" s="5"/>
      <c r="G4452" s="5" t="s">
        <v>40583</v>
      </c>
      <c r="H4452" s="1" t="s">
        <v>40584</v>
      </c>
      <c r="I4452" s="5" t="s">
        <v>40585</v>
      </c>
      <c r="J4452" s="7">
        <v>16</v>
      </c>
      <c r="K4452" s="7">
        <v>59.4</v>
      </c>
      <c r="L4452" s="5" t="s">
        <v>40586</v>
      </c>
      <c r="M4452" s="7">
        <v>1.75</v>
      </c>
      <c r="N4452" s="7">
        <v>1.27</v>
      </c>
      <c r="O4452" s="7">
        <v>0.81</v>
      </c>
      <c r="P4452" s="1" t="s">
        <v>40587</v>
      </c>
    </row>
    <row r="4453" spans="1:16" ht="33.4" x14ac:dyDescent="0.3">
      <c r="A4453" s="6" t="str">
        <f>HYPERLINK("https://www.ti.com/product/TPS2067", "TPS2067")</f>
        <v>TPS2067</v>
      </c>
      <c r="B4453" s="5" t="s">
        <v>40588</v>
      </c>
      <c r="C4453" s="6" t="str">
        <f>HYPERLINK("https://www.ti.com/lit/gpn/TPS2067", "PDF")</f>
        <v>PDF</v>
      </c>
      <c r="D4453" s="5" t="s">
        <v>40589</v>
      </c>
      <c r="E4453" s="5" t="s">
        <v>40590</v>
      </c>
      <c r="F4453" s="5"/>
      <c r="G4453" s="5" t="s">
        <v>40591</v>
      </c>
      <c r="H4453" s="1" t="s">
        <v>40592</v>
      </c>
      <c r="I4453" s="5" t="s">
        <v>40593</v>
      </c>
      <c r="J4453" s="7">
        <v>16</v>
      </c>
      <c r="K4453" s="7">
        <v>59.4</v>
      </c>
      <c r="L4453" s="5" t="s">
        <v>40594</v>
      </c>
      <c r="M4453" s="7">
        <v>1.75</v>
      </c>
      <c r="N4453" s="7">
        <v>1.27</v>
      </c>
      <c r="O4453" s="7">
        <v>0.81</v>
      </c>
      <c r="P4453" s="1" t="s">
        <v>40595</v>
      </c>
    </row>
    <row r="4454" spans="1:16" ht="33.4" x14ac:dyDescent="0.3">
      <c r="A4454" s="6" t="str">
        <f>HYPERLINK("https://www.ti.com/product/TPS65013", "TPS65013")</f>
        <v>TPS65013</v>
      </c>
      <c r="B4454" s="5" t="s">
        <v>40596</v>
      </c>
      <c r="C4454" s="6" t="str">
        <f>HYPERLINK("https://www.ti.com/lit/gpn/TPS65013", "PDF")</f>
        <v>PDF</v>
      </c>
      <c r="D4454" s="5" t="s">
        <v>40597</v>
      </c>
      <c r="E4454" s="5" t="s">
        <v>40598</v>
      </c>
      <c r="F4454" s="5"/>
      <c r="G4454" s="5" t="s">
        <v>40599</v>
      </c>
      <c r="H4454" s="1" t="s">
        <v>40600</v>
      </c>
      <c r="I4454" s="5" t="s">
        <v>40601</v>
      </c>
      <c r="J4454" s="7">
        <v>48</v>
      </c>
      <c r="K4454" s="7">
        <v>49</v>
      </c>
      <c r="L4454" s="5" t="s">
        <v>40602</v>
      </c>
      <c r="M4454" s="7">
        <v>1</v>
      </c>
      <c r="N4454" s="7">
        <v>0.5</v>
      </c>
      <c r="O4454" s="7">
        <v>2.3239999999999998</v>
      </c>
      <c r="P4454" s="1" t="s">
        <v>40603</v>
      </c>
    </row>
    <row r="4455" spans="1:16" ht="33.4" x14ac:dyDescent="0.3">
      <c r="A4455" s="6" t="str">
        <f>HYPERLINK("https://www.ti.com/product/UCC2813-0-Q1", "UCC2813-0-Q1")</f>
        <v>UCC2813-0-Q1</v>
      </c>
      <c r="B4455" s="5" t="s">
        <v>40604</v>
      </c>
      <c r="C4455" s="6" t="str">
        <f>HYPERLINK("https://www.ti.com/lit/gpn/UCC2813-0-Q1", "PDF")</f>
        <v>PDF</v>
      </c>
      <c r="D4455" s="5" t="s">
        <v>40605</v>
      </c>
      <c r="E4455" s="5" t="s">
        <v>40606</v>
      </c>
      <c r="F4455" s="5" t="s">
        <v>40607</v>
      </c>
      <c r="G4455" s="5" t="s">
        <v>40608</v>
      </c>
      <c r="H4455" s="1" t="s">
        <v>40609</v>
      </c>
      <c r="I4455" s="5" t="s">
        <v>40610</v>
      </c>
      <c r="J4455" s="7">
        <v>8</v>
      </c>
      <c r="K4455" s="7">
        <v>29.4</v>
      </c>
      <c r="L4455" s="5" t="s">
        <v>40611</v>
      </c>
      <c r="M4455" s="7">
        <v>1.75</v>
      </c>
      <c r="N4455" s="7">
        <v>1.27</v>
      </c>
      <c r="O4455" s="7">
        <v>1.1930000000000001</v>
      </c>
      <c r="P4455" s="1" t="s">
        <v>40612</v>
      </c>
    </row>
    <row r="4456" spans="1:16" ht="33.4" x14ac:dyDescent="0.3">
      <c r="A4456" s="6" t="str">
        <f>HYPERLINK("https://www.ti.com/product/UCC2813-2-Q1", "UCC2813-2-Q1")</f>
        <v>UCC2813-2-Q1</v>
      </c>
      <c r="B4456" s="5" t="s">
        <v>40613</v>
      </c>
      <c r="C4456" s="6" t="str">
        <f>HYPERLINK("https://www.ti.com/lit/gpn/UCC2813-2-Q1", "PDF")</f>
        <v>PDF</v>
      </c>
      <c r="D4456" s="5" t="s">
        <v>40614</v>
      </c>
      <c r="E4456" s="5" t="s">
        <v>40615</v>
      </c>
      <c r="F4456" s="5" t="s">
        <v>40616</v>
      </c>
      <c r="G4456" s="5" t="s">
        <v>40617</v>
      </c>
      <c r="H4456" s="1" t="s">
        <v>40618</v>
      </c>
      <c r="I4456" s="5" t="s">
        <v>40619</v>
      </c>
      <c r="J4456" s="7">
        <v>8</v>
      </c>
      <c r="K4456" s="7">
        <v>29.4</v>
      </c>
      <c r="L4456" s="5" t="s">
        <v>40620</v>
      </c>
      <c r="M4456" s="7">
        <v>1.75</v>
      </c>
      <c r="N4456" s="7">
        <v>1.27</v>
      </c>
      <c r="O4456" s="7">
        <v>1.1930000000000001</v>
      </c>
      <c r="P4456" s="1" t="s">
        <v>40621</v>
      </c>
    </row>
    <row r="4457" spans="1:16" ht="33.4" x14ac:dyDescent="0.3">
      <c r="A4457" s="6" t="str">
        <f>HYPERLINK("https://www.ti.com/product/UCC2813-3-Q1", "UCC2813-3-Q1")</f>
        <v>UCC2813-3-Q1</v>
      </c>
      <c r="B4457" s="5" t="s">
        <v>40622</v>
      </c>
      <c r="C4457" s="6" t="str">
        <f>HYPERLINK("https://www.ti.com/lit/gpn/UCC2813-3-Q1", "PDF")</f>
        <v>PDF</v>
      </c>
      <c r="D4457" s="5" t="s">
        <v>40623</v>
      </c>
      <c r="E4457" s="5" t="s">
        <v>40624</v>
      </c>
      <c r="F4457" s="5" t="s">
        <v>40625</v>
      </c>
      <c r="G4457" s="5" t="s">
        <v>40626</v>
      </c>
      <c r="H4457" s="1" t="s">
        <v>40627</v>
      </c>
      <c r="I4457" s="5" t="s">
        <v>40628</v>
      </c>
      <c r="J4457" s="7">
        <v>8</v>
      </c>
      <c r="K4457" s="7" t="s">
        <v>40629</v>
      </c>
      <c r="L4457" s="5" t="s">
        <v>40630</v>
      </c>
      <c r="M4457" s="7" t="s">
        <v>40631</v>
      </c>
      <c r="N4457" s="7" t="s">
        <v>40632</v>
      </c>
      <c r="O4457" s="7">
        <v>1.1930000000000001</v>
      </c>
      <c r="P4457" s="1" t="s">
        <v>40633</v>
      </c>
    </row>
    <row r="4458" spans="1:16" ht="33.4" x14ac:dyDescent="0.3">
      <c r="A4458" s="6" t="str">
        <f>HYPERLINK("https://www.ti.com/product/UCC2813-4-Q1", "UCC2813-4-Q1")</f>
        <v>UCC2813-4-Q1</v>
      </c>
      <c r="B4458" s="5" t="s">
        <v>40634</v>
      </c>
      <c r="C4458" s="6" t="str">
        <f>HYPERLINK("https://www.ti.com/lit/gpn/UCC2813-4-Q1", "PDF")</f>
        <v>PDF</v>
      </c>
      <c r="D4458" s="5" t="s">
        <v>40635</v>
      </c>
      <c r="E4458" s="5" t="s">
        <v>40636</v>
      </c>
      <c r="F4458" s="5" t="s">
        <v>40637</v>
      </c>
      <c r="G4458" s="5" t="s">
        <v>40638</v>
      </c>
      <c r="H4458" s="1" t="s">
        <v>40639</v>
      </c>
      <c r="I4458" s="5" t="s">
        <v>40640</v>
      </c>
      <c r="J4458" s="7">
        <v>8</v>
      </c>
      <c r="K4458" s="7">
        <v>29.4</v>
      </c>
      <c r="L4458" s="5" t="s">
        <v>40641</v>
      </c>
      <c r="M4458" s="7">
        <v>1.75</v>
      </c>
      <c r="N4458" s="7">
        <v>1.27</v>
      </c>
      <c r="O4458" s="7">
        <v>1.1930000000000001</v>
      </c>
      <c r="P4458" s="1" t="s">
        <v>40642</v>
      </c>
    </row>
    <row r="4459" spans="1:16" ht="33.4" x14ac:dyDescent="0.3">
      <c r="A4459" s="6" t="str">
        <f>HYPERLINK("https://www.ti.com/product/UCC2813-5-Q1", "UCC2813-5-Q1")</f>
        <v>UCC2813-5-Q1</v>
      </c>
      <c r="B4459" s="5" t="s">
        <v>40643</v>
      </c>
      <c r="C4459" s="6" t="str">
        <f>HYPERLINK("https://www.ti.com/lit/gpn/UCC2813-5-Q1", "PDF")</f>
        <v>PDF</v>
      </c>
      <c r="D4459" s="5" t="s">
        <v>40644</v>
      </c>
      <c r="E4459" s="5" t="s">
        <v>40645</v>
      </c>
      <c r="F4459" s="5" t="s">
        <v>40646</v>
      </c>
      <c r="G4459" s="5" t="s">
        <v>40647</v>
      </c>
      <c r="H4459" s="1" t="s">
        <v>40648</v>
      </c>
      <c r="I4459" s="5" t="s">
        <v>40649</v>
      </c>
      <c r="J4459" s="7">
        <v>8</v>
      </c>
      <c r="K4459" s="7">
        <v>29.4</v>
      </c>
      <c r="L4459" s="5" t="s">
        <v>40650</v>
      </c>
      <c r="M4459" s="7">
        <v>1.75</v>
      </c>
      <c r="N4459" s="7">
        <v>1.27</v>
      </c>
      <c r="O4459" s="7">
        <v>1.1930000000000001</v>
      </c>
      <c r="P4459" s="1" t="s">
        <v>40651</v>
      </c>
    </row>
    <row r="4460" spans="1:16" ht="33.4" x14ac:dyDescent="0.3">
      <c r="A4460" s="6" t="str">
        <f>HYPERLINK("https://www.ti.com/product/LP2981", "LP2981")</f>
        <v>LP2981</v>
      </c>
      <c r="B4460" s="5" t="s">
        <v>40652</v>
      </c>
      <c r="C4460" s="6" t="str">
        <f>HYPERLINK("https://www.ti.com/lit/gpn/LP2981", "PDF")</f>
        <v>PDF</v>
      </c>
      <c r="D4460" s="5" t="s">
        <v>40653</v>
      </c>
      <c r="E4460" s="5" t="s">
        <v>40654</v>
      </c>
      <c r="F4460" s="5"/>
      <c r="G4460" s="5" t="s">
        <v>40655</v>
      </c>
      <c r="H4460" s="1" t="s">
        <v>40656</v>
      </c>
      <c r="I4460" s="5" t="s">
        <v>40657</v>
      </c>
      <c r="J4460" s="7">
        <v>5</v>
      </c>
      <c r="K4460" s="7">
        <v>8.1199999999999992</v>
      </c>
      <c r="L4460" s="5" t="s">
        <v>40658</v>
      </c>
      <c r="M4460" s="7">
        <v>1.45</v>
      </c>
      <c r="N4460" s="7">
        <v>0.95</v>
      </c>
      <c r="O4460" s="7">
        <v>0.13</v>
      </c>
      <c r="P4460" s="1" t="s">
        <v>40659</v>
      </c>
    </row>
    <row r="4461" spans="1:16" ht="33.4" x14ac:dyDescent="0.3">
      <c r="A4461" s="6" t="str">
        <f>HYPERLINK("https://www.ti.com/product/LP2981A", "LP2981A")</f>
        <v>LP2981A</v>
      </c>
      <c r="B4461" s="5" t="s">
        <v>40660</v>
      </c>
      <c r="C4461" s="6" t="str">
        <f>HYPERLINK("https://www.ti.com/lit/gpn/LP2981A", "PDF")</f>
        <v>PDF</v>
      </c>
      <c r="D4461" s="5" t="s">
        <v>40661</v>
      </c>
      <c r="E4461" s="5" t="s">
        <v>40662</v>
      </c>
      <c r="F4461" s="5"/>
      <c r="G4461" s="5" t="s">
        <v>40663</v>
      </c>
      <c r="H4461" s="1" t="s">
        <v>40664</v>
      </c>
      <c r="I4461" s="5" t="s">
        <v>40665</v>
      </c>
      <c r="J4461" s="7">
        <v>5</v>
      </c>
      <c r="K4461" s="7">
        <v>8.1199999999999992</v>
      </c>
      <c r="L4461" s="5" t="s">
        <v>40666</v>
      </c>
      <c r="M4461" s="7">
        <v>1.45</v>
      </c>
      <c r="N4461" s="7">
        <v>0.95</v>
      </c>
      <c r="O4461" s="7">
        <v>0.19600000000000001</v>
      </c>
      <c r="P4461" s="1" t="s">
        <v>40667</v>
      </c>
    </row>
    <row r="4462" spans="1:16" ht="33.4" x14ac:dyDescent="0.3">
      <c r="A4462" s="6" t="str">
        <f>HYPERLINK("https://www.ti.com/product/LP2985A", "LP2985A")</f>
        <v>LP2985A</v>
      </c>
      <c r="B4462" s="5" t="s">
        <v>40668</v>
      </c>
      <c r="C4462" s="6" t="str">
        <f>HYPERLINK("https://www.ti.com/lit/gpn/LP2985A", "PDF")</f>
        <v>PDF</v>
      </c>
      <c r="D4462" s="5" t="s">
        <v>40669</v>
      </c>
      <c r="E4462" s="5" t="s">
        <v>40670</v>
      </c>
      <c r="F4462" s="5"/>
      <c r="G4462" s="5" t="s">
        <v>40671</v>
      </c>
      <c r="H4462" s="1" t="s">
        <v>40672</v>
      </c>
      <c r="I4462" s="5" t="s">
        <v>40673</v>
      </c>
      <c r="J4462" s="7">
        <v>5</v>
      </c>
      <c r="K4462" s="7">
        <v>8.1199999999999992</v>
      </c>
      <c r="L4462" s="5" t="s">
        <v>40674</v>
      </c>
      <c r="M4462" s="7">
        <v>1.45</v>
      </c>
      <c r="N4462" s="7">
        <v>0.95</v>
      </c>
      <c r="O4462" s="7">
        <v>0.158</v>
      </c>
      <c r="P4462" s="1" t="s">
        <v>40675</v>
      </c>
    </row>
    <row r="4463" spans="1:16" ht="33.4" x14ac:dyDescent="0.3">
      <c r="A4463" s="6" t="str">
        <f>HYPERLINK("https://www.ti.com/product/LM34910", "LM34910")</f>
        <v>LM34910</v>
      </c>
      <c r="B4463" s="5" t="s">
        <v>40676</v>
      </c>
      <c r="C4463" s="6" t="str">
        <f>HYPERLINK("https://www.ti.com/lit/gpn/LM34910", "PDF")</f>
        <v>PDF</v>
      </c>
      <c r="D4463" s="5" t="s">
        <v>40677</v>
      </c>
      <c r="E4463" s="5" t="s">
        <v>40678</v>
      </c>
      <c r="F4463" s="5" t="s">
        <v>40679</v>
      </c>
      <c r="G4463" s="5" t="s">
        <v>40680</v>
      </c>
      <c r="H4463" s="1" t="s">
        <v>40681</v>
      </c>
      <c r="I4463" s="5" t="s">
        <v>40682</v>
      </c>
      <c r="J4463" s="7">
        <v>10</v>
      </c>
      <c r="K4463" s="7">
        <v>16</v>
      </c>
      <c r="L4463" s="5" t="s">
        <v>40683</v>
      </c>
      <c r="M4463" s="7">
        <v>0.8</v>
      </c>
      <c r="N4463" s="7">
        <v>0.8</v>
      </c>
      <c r="O4463" s="7">
        <v>1.3109999999999999</v>
      </c>
      <c r="P4463" s="1" t="s">
        <v>40684</v>
      </c>
    </row>
    <row r="4464" spans="1:16" ht="66.150000000000006" x14ac:dyDescent="0.3">
      <c r="A4464" s="6" t="str">
        <f>HYPERLINK("https://www.ti.com/product/TL432", "TL432")</f>
        <v>TL432</v>
      </c>
      <c r="B4464" s="5" t="s">
        <v>40685</v>
      </c>
      <c r="C4464" s="6" t="str">
        <f>HYPERLINK("https://www.ti.com/lit/gpn/TL432", "PDF")</f>
        <v>PDF</v>
      </c>
      <c r="D4464" s="5" t="s">
        <v>40686</v>
      </c>
      <c r="E4464" s="5" t="s">
        <v>40687</v>
      </c>
      <c r="F4464" s="5"/>
      <c r="G4464" s="5" t="s">
        <v>40688</v>
      </c>
      <c r="H4464" s="1" t="s">
        <v>40689</v>
      </c>
      <c r="I4464" s="5" t="s">
        <v>40690</v>
      </c>
      <c r="J4464" s="7" t="s">
        <v>40691</v>
      </c>
      <c r="K4464" s="7" t="s">
        <v>40692</v>
      </c>
      <c r="L4464" s="5" t="s">
        <v>40693</v>
      </c>
      <c r="M4464" s="7" t="s">
        <v>40694</v>
      </c>
      <c r="N4464" s="7" t="s">
        <v>40695</v>
      </c>
      <c r="O4464" s="7">
        <v>6.8000000000000005E-2</v>
      </c>
      <c r="P4464" s="1" t="s">
        <v>40696</v>
      </c>
    </row>
    <row r="4465" spans="1:16" ht="49.75" x14ac:dyDescent="0.3">
      <c r="A4465" s="6" t="str">
        <f>HYPERLINK("https://www.ti.com/product/TPS2065", "TPS2065")</f>
        <v>TPS2065</v>
      </c>
      <c r="B4465" s="5" t="s">
        <v>40697</v>
      </c>
      <c r="C4465" s="6" t="str">
        <f>HYPERLINK("https://www.ti.com/lit/gpn/TPS2065", "PDF")</f>
        <v>PDF</v>
      </c>
      <c r="D4465" s="5" t="s">
        <v>40698</v>
      </c>
      <c r="E4465" s="5" t="s">
        <v>40699</v>
      </c>
      <c r="F4465" s="5"/>
      <c r="G4465" s="5" t="s">
        <v>40700</v>
      </c>
      <c r="H4465" s="1" t="s">
        <v>40701</v>
      </c>
      <c r="I4465" s="5" t="s">
        <v>40702</v>
      </c>
      <c r="J4465" s="7" t="s">
        <v>40703</v>
      </c>
      <c r="K4465" s="7" t="s">
        <v>40704</v>
      </c>
      <c r="L4465" s="5" t="s">
        <v>40705</v>
      </c>
      <c r="M4465" s="7" t="s">
        <v>40706</v>
      </c>
      <c r="N4465" s="7" t="s">
        <v>40707</v>
      </c>
      <c r="O4465" s="7">
        <v>0.441</v>
      </c>
      <c r="P4465" s="1" t="s">
        <v>40708</v>
      </c>
    </row>
    <row r="4466" spans="1:16" ht="17.05" x14ac:dyDescent="0.3">
      <c r="A4466" s="6" t="str">
        <f>HYPERLINK("https://www.ti.com/product/LM27965", "LM27965")</f>
        <v>LM27965</v>
      </c>
      <c r="B4466" s="5" t="s">
        <v>40709</v>
      </c>
      <c r="C4466" s="6" t="str">
        <f>HYPERLINK("https://www.ti.com/lit/gpn/LM27965", "PDF")</f>
        <v>PDF</v>
      </c>
      <c r="D4466" s="5" t="s">
        <v>40710</v>
      </c>
      <c r="E4466" s="5" t="s">
        <v>40711</v>
      </c>
      <c r="F4466" s="5" t="s">
        <v>40712</v>
      </c>
      <c r="G4466" s="5" t="s">
        <v>40713</v>
      </c>
      <c r="H4466" s="1" t="s">
        <v>40714</v>
      </c>
      <c r="I4466" s="5" t="s">
        <v>40715</v>
      </c>
      <c r="J4466" s="7">
        <v>24</v>
      </c>
      <c r="K4466" s="7">
        <v>16</v>
      </c>
      <c r="L4466" s="5" t="s">
        <v>40716</v>
      </c>
      <c r="M4466" s="7">
        <v>0.8</v>
      </c>
      <c r="N4466" s="7">
        <v>0.5</v>
      </c>
      <c r="O4466" s="7">
        <v>1.139</v>
      </c>
      <c r="P4466" s="1" t="s">
        <v>40717</v>
      </c>
    </row>
    <row r="4467" spans="1:16" ht="17.05" x14ac:dyDescent="0.3">
      <c r="A4467" s="6" t="str">
        <f>HYPERLINK("https://www.ti.com/product/LM27966", "LM27966")</f>
        <v>LM27966</v>
      </c>
      <c r="B4467" s="5" t="s">
        <v>40718</v>
      </c>
      <c r="C4467" s="6" t="str">
        <f>HYPERLINK("https://www.ti.com/lit/gpn/LM27966", "PDF")</f>
        <v>PDF</v>
      </c>
      <c r="D4467" s="5" t="s">
        <v>40719</v>
      </c>
      <c r="E4467" s="5" t="s">
        <v>40720</v>
      </c>
      <c r="F4467" s="5" t="s">
        <v>40721</v>
      </c>
      <c r="G4467" s="5" t="s">
        <v>40722</v>
      </c>
      <c r="H4467" s="1" t="s">
        <v>40723</v>
      </c>
      <c r="I4467" s="5" t="s">
        <v>40724</v>
      </c>
      <c r="J4467" s="7">
        <v>24</v>
      </c>
      <c r="K4467" s="7">
        <v>16</v>
      </c>
      <c r="L4467" s="5" t="s">
        <v>40725</v>
      </c>
      <c r="M4467" s="7">
        <v>0.8</v>
      </c>
      <c r="N4467" s="7">
        <v>0.5</v>
      </c>
      <c r="O4467" s="7">
        <v>1.1160000000000001</v>
      </c>
      <c r="P4467" s="1" t="s">
        <v>40726</v>
      </c>
    </row>
    <row r="4468" spans="1:16" ht="33.4" x14ac:dyDescent="0.3">
      <c r="A4468" s="6" t="str">
        <f>HYPERLINK("https://www.ti.com/product/TPS62300", "TPS62300")</f>
        <v>TPS62300</v>
      </c>
      <c r="B4468" s="5" t="s">
        <v>40727</v>
      </c>
      <c r="C4468" s="6" t="str">
        <f>HYPERLINK("https://www.ti.com/lit/gpn/TPS62300", "PDF")</f>
        <v>PDF</v>
      </c>
      <c r="D4468" s="5" t="s">
        <v>40728</v>
      </c>
      <c r="E4468" s="5" t="s">
        <v>40729</v>
      </c>
      <c r="F4468" s="5" t="s">
        <v>40730</v>
      </c>
      <c r="G4468" s="5" t="s">
        <v>40731</v>
      </c>
      <c r="H4468" s="1" t="s">
        <v>40732</v>
      </c>
      <c r="I4468" s="5" t="s">
        <v>40733</v>
      </c>
      <c r="J4468" s="7">
        <v>10</v>
      </c>
      <c r="K4468" s="7">
        <v>9</v>
      </c>
      <c r="L4468" s="5" t="s">
        <v>40734</v>
      </c>
      <c r="M4468" s="7">
        <v>1</v>
      </c>
      <c r="N4468" s="7">
        <v>0.5</v>
      </c>
      <c r="O4468" s="7">
        <v>0.68</v>
      </c>
      <c r="P4468" s="1" t="s">
        <v>40735</v>
      </c>
    </row>
    <row r="4469" spans="1:16" ht="33.4" x14ac:dyDescent="0.3">
      <c r="A4469" s="6" t="str">
        <f>HYPERLINK("https://www.ti.com/product/TPS62301", "TPS62301")</f>
        <v>TPS62301</v>
      </c>
      <c r="B4469" s="5" t="s">
        <v>40736</v>
      </c>
      <c r="C4469" s="6" t="str">
        <f>HYPERLINK("https://www.ti.com/lit/gpn/TPS62301", "PDF")</f>
        <v>PDF</v>
      </c>
      <c r="D4469" s="5" t="s">
        <v>40737</v>
      </c>
      <c r="E4469" s="5" t="s">
        <v>40738</v>
      </c>
      <c r="F4469" s="5" t="s">
        <v>40739</v>
      </c>
      <c r="G4469" s="5" t="s">
        <v>40740</v>
      </c>
      <c r="H4469" s="1" t="s">
        <v>40741</v>
      </c>
      <c r="I4469" s="5" t="s">
        <v>40742</v>
      </c>
      <c r="J4469" s="7">
        <v>10</v>
      </c>
      <c r="K4469" s="7">
        <v>9</v>
      </c>
      <c r="L4469" s="5" t="s">
        <v>40743</v>
      </c>
      <c r="M4469" s="7">
        <v>1</v>
      </c>
      <c r="N4469" s="7">
        <v>0.5</v>
      </c>
      <c r="O4469" s="7">
        <v>0.68</v>
      </c>
      <c r="P4469" s="1" t="s">
        <v>40744</v>
      </c>
    </row>
    <row r="4470" spans="1:16" ht="33.4" x14ac:dyDescent="0.3">
      <c r="A4470" s="6" t="str">
        <f>HYPERLINK("https://www.ti.com/product/TPS62302", "TPS62302")</f>
        <v>TPS62302</v>
      </c>
      <c r="B4470" s="5" t="s">
        <v>40745</v>
      </c>
      <c r="C4470" s="6" t="str">
        <f>HYPERLINK("https://www.ti.com/lit/gpn/TPS62302", "PDF")</f>
        <v>PDF</v>
      </c>
      <c r="D4470" s="5" t="s">
        <v>40746</v>
      </c>
      <c r="E4470" s="5" t="s">
        <v>40747</v>
      </c>
      <c r="F4470" s="5" t="s">
        <v>40748</v>
      </c>
      <c r="G4470" s="5" t="s">
        <v>40749</v>
      </c>
      <c r="H4470" s="1" t="s">
        <v>40750</v>
      </c>
      <c r="I4470" s="5" t="s">
        <v>40751</v>
      </c>
      <c r="J4470" s="7">
        <v>10</v>
      </c>
      <c r="K4470" s="7">
        <v>9</v>
      </c>
      <c r="L4470" s="5" t="s">
        <v>40752</v>
      </c>
      <c r="M4470" s="7">
        <v>1</v>
      </c>
      <c r="N4470" s="7">
        <v>0.5</v>
      </c>
      <c r="O4470" s="7">
        <v>0.68</v>
      </c>
      <c r="P4470" s="1" t="s">
        <v>40753</v>
      </c>
    </row>
    <row r="4471" spans="1:16" ht="33.4" x14ac:dyDescent="0.3">
      <c r="A4471" s="6" t="str">
        <f>HYPERLINK("https://www.ti.com/product/TPS62303", "TPS62303")</f>
        <v>TPS62303</v>
      </c>
      <c r="B4471" s="5" t="s">
        <v>40754</v>
      </c>
      <c r="C4471" s="6" t="str">
        <f>HYPERLINK("https://www.ti.com/lit/gpn/TPS62303", "PDF")</f>
        <v>PDF</v>
      </c>
      <c r="D4471" s="5" t="s">
        <v>40755</v>
      </c>
      <c r="E4471" s="5" t="s">
        <v>40756</v>
      </c>
      <c r="F4471" s="5" t="s">
        <v>40757</v>
      </c>
      <c r="G4471" s="5" t="s">
        <v>40758</v>
      </c>
      <c r="H4471" s="1" t="s">
        <v>40759</v>
      </c>
      <c r="I4471" s="5" t="s">
        <v>40760</v>
      </c>
      <c r="J4471" s="7">
        <v>10</v>
      </c>
      <c r="K4471" s="7">
        <v>9</v>
      </c>
      <c r="L4471" s="5" t="s">
        <v>40761</v>
      </c>
      <c r="M4471" s="7">
        <v>1</v>
      </c>
      <c r="N4471" s="7">
        <v>0.5</v>
      </c>
      <c r="O4471" s="7">
        <v>0.68</v>
      </c>
      <c r="P4471" s="1" t="s">
        <v>40762</v>
      </c>
    </row>
    <row r="4472" spans="1:16" ht="33.4" x14ac:dyDescent="0.3">
      <c r="A4472" s="6" t="str">
        <f>HYPERLINK("https://www.ti.com/product/TPS62305", "TPS62305")</f>
        <v>TPS62305</v>
      </c>
      <c r="B4472" s="5" t="s">
        <v>40763</v>
      </c>
      <c r="C4472" s="6" t="str">
        <f>HYPERLINK("https://www.ti.com/lit/gpn/TPS62305", "PDF")</f>
        <v>PDF</v>
      </c>
      <c r="D4472" s="5" t="s">
        <v>40764</v>
      </c>
      <c r="E4472" s="5" t="s">
        <v>40765</v>
      </c>
      <c r="F4472" s="5" t="s">
        <v>40766</v>
      </c>
      <c r="G4472" s="5" t="s">
        <v>40767</v>
      </c>
      <c r="H4472" s="1" t="s">
        <v>40768</v>
      </c>
      <c r="I4472" s="5" t="s">
        <v>40769</v>
      </c>
      <c r="J4472" s="7">
        <v>10</v>
      </c>
      <c r="K4472" s="7">
        <v>9</v>
      </c>
      <c r="L4472" s="5" t="s">
        <v>40770</v>
      </c>
      <c r="M4472" s="7">
        <v>1</v>
      </c>
      <c r="N4472" s="7">
        <v>0.5</v>
      </c>
      <c r="O4472" s="7">
        <v>0.68</v>
      </c>
      <c r="P4472" s="1" t="s">
        <v>40771</v>
      </c>
    </row>
    <row r="4473" spans="1:16" ht="33.4" x14ac:dyDescent="0.3">
      <c r="A4473" s="6" t="str">
        <f>HYPERLINK("https://www.ti.com/product/TPS62320", "TPS62320")</f>
        <v>TPS62320</v>
      </c>
      <c r="B4473" s="5" t="s">
        <v>40772</v>
      </c>
      <c r="C4473" s="6" t="str">
        <f>HYPERLINK("https://www.ti.com/lit/gpn/TPS62320", "PDF")</f>
        <v>PDF</v>
      </c>
      <c r="D4473" s="5" t="s">
        <v>40773</v>
      </c>
      <c r="E4473" s="5" t="s">
        <v>40774</v>
      </c>
      <c r="F4473" s="5" t="s">
        <v>40775</v>
      </c>
      <c r="G4473" s="5" t="s">
        <v>40776</v>
      </c>
      <c r="H4473" s="1" t="s">
        <v>40777</v>
      </c>
      <c r="I4473" s="5" t="s">
        <v>40778</v>
      </c>
      <c r="J4473" s="7">
        <v>10</v>
      </c>
      <c r="K4473" s="7">
        <v>9</v>
      </c>
      <c r="L4473" s="5" t="s">
        <v>40779</v>
      </c>
      <c r="M4473" s="7">
        <v>1</v>
      </c>
      <c r="N4473" s="7">
        <v>0.5</v>
      </c>
      <c r="O4473" s="7">
        <v>0.68</v>
      </c>
      <c r="P4473" s="1" t="s">
        <v>40780</v>
      </c>
    </row>
    <row r="4474" spans="1:16" ht="33.4" x14ac:dyDescent="0.3">
      <c r="A4474" s="6" t="str">
        <f>HYPERLINK("https://www.ti.com/product/TPS62321", "TPS62321")</f>
        <v>TPS62321</v>
      </c>
      <c r="B4474" s="5" t="s">
        <v>40781</v>
      </c>
      <c r="C4474" s="6" t="str">
        <f>HYPERLINK("https://www.ti.com/lit/gpn/TPS62321", "PDF")</f>
        <v>PDF</v>
      </c>
      <c r="D4474" s="5" t="s">
        <v>40782</v>
      </c>
      <c r="E4474" s="5" t="s">
        <v>40783</v>
      </c>
      <c r="F4474" s="5" t="s">
        <v>40784</v>
      </c>
      <c r="G4474" s="5" t="s">
        <v>40785</v>
      </c>
      <c r="H4474" s="1" t="s">
        <v>40786</v>
      </c>
      <c r="I4474" s="5" t="s">
        <v>40787</v>
      </c>
      <c r="J4474" s="7">
        <v>10</v>
      </c>
      <c r="K4474" s="7">
        <v>9</v>
      </c>
      <c r="L4474" s="5" t="s">
        <v>40788</v>
      </c>
      <c r="M4474" s="7">
        <v>1</v>
      </c>
      <c r="N4474" s="7">
        <v>0.5</v>
      </c>
      <c r="O4474" s="7">
        <v>0.68</v>
      </c>
      <c r="P4474" s="1" t="s">
        <v>40789</v>
      </c>
    </row>
    <row r="4475" spans="1:16" ht="33.4" x14ac:dyDescent="0.3">
      <c r="A4475" s="6" t="str">
        <f>HYPERLINK("https://www.ti.com/product/TPS54010", "TPS54010")</f>
        <v>TPS54010</v>
      </c>
      <c r="B4475" s="5" t="s">
        <v>40790</v>
      </c>
      <c r="C4475" s="6" t="str">
        <f>HYPERLINK("https://www.ti.com/lit/gpn/TPS54010", "PDF")</f>
        <v>PDF</v>
      </c>
      <c r="D4475" s="5" t="s">
        <v>40791</v>
      </c>
      <c r="E4475" s="5" t="s">
        <v>40792</v>
      </c>
      <c r="F4475" s="5" t="s">
        <v>40793</v>
      </c>
      <c r="G4475" s="5" t="s">
        <v>40794</v>
      </c>
      <c r="H4475" s="1" t="s">
        <v>40795</v>
      </c>
      <c r="I4475" s="5" t="s">
        <v>40796</v>
      </c>
      <c r="J4475" s="7">
        <v>28</v>
      </c>
      <c r="K4475" s="7">
        <v>62.08</v>
      </c>
      <c r="L4475" s="5" t="s">
        <v>40797</v>
      </c>
      <c r="M4475" s="7">
        <v>1.2</v>
      </c>
      <c r="N4475" s="7">
        <v>0.65</v>
      </c>
      <c r="O4475" s="7">
        <v>3.4159999999999999</v>
      </c>
      <c r="P4475" s="1" t="s">
        <v>40798</v>
      </c>
    </row>
    <row r="4476" spans="1:16" ht="33.4" x14ac:dyDescent="0.3">
      <c r="A4476" s="6" t="str">
        <f>HYPERLINK("https://www.ti.com/product/TPS51116", "TPS51116")</f>
        <v>TPS51116</v>
      </c>
      <c r="B4476" s="5" t="s">
        <v>40799</v>
      </c>
      <c r="C4476" s="6" t="str">
        <f>HYPERLINK("https://www.ti.com/lit/gpn/TPS51116", "PDF")</f>
        <v>PDF</v>
      </c>
      <c r="D4476" s="5" t="s">
        <v>40800</v>
      </c>
      <c r="E4476" s="5" t="s">
        <v>40801</v>
      </c>
      <c r="F4476" s="5"/>
      <c r="G4476" s="5" t="s">
        <v>40802</v>
      </c>
      <c r="H4476" s="1" t="s">
        <v>40803</v>
      </c>
      <c r="I4476" s="5" t="s">
        <v>40804</v>
      </c>
      <c r="J4476" s="7" t="s">
        <v>40805</v>
      </c>
      <c r="K4476" s="7" t="s">
        <v>40806</v>
      </c>
      <c r="L4476" s="5" t="s">
        <v>40807</v>
      </c>
      <c r="M4476" s="7" t="s">
        <v>40808</v>
      </c>
      <c r="N4476" s="7" t="s">
        <v>40809</v>
      </c>
      <c r="O4476" s="7">
        <v>1.0529999999999999</v>
      </c>
      <c r="P4476" s="1" t="s">
        <v>40810</v>
      </c>
    </row>
    <row r="4477" spans="1:16" ht="17.05" x14ac:dyDescent="0.3">
      <c r="A4477" s="6" t="str">
        <f>HYPERLINK("https://www.ti.com/product/TL1431-Q1", "TL1431-Q1")</f>
        <v>TL1431-Q1</v>
      </c>
      <c r="B4477" s="5" t="s">
        <v>40811</v>
      </c>
      <c r="C4477" s="6" t="str">
        <f>HYPERLINK("https://www.ti.com/lit/gpn/TL1431-Q1", "PDF")</f>
        <v>PDF</v>
      </c>
      <c r="D4477" s="5" t="s">
        <v>40812</v>
      </c>
      <c r="E4477" s="5" t="s">
        <v>40813</v>
      </c>
      <c r="F4477" s="5"/>
      <c r="G4477" s="5" t="s">
        <v>40814</v>
      </c>
      <c r="H4477" s="1" t="s">
        <v>40815</v>
      </c>
      <c r="I4477" s="5" t="s">
        <v>40816</v>
      </c>
      <c r="J4477" s="7">
        <v>8</v>
      </c>
      <c r="K4477" s="7">
        <v>29.4</v>
      </c>
      <c r="L4477" s="5" t="s">
        <v>40817</v>
      </c>
      <c r="M4477" s="7">
        <v>1.75</v>
      </c>
      <c r="N4477" s="7">
        <v>1.27</v>
      </c>
      <c r="O4477" s="7">
        <v>0.313</v>
      </c>
      <c r="P4477" s="1" t="s">
        <v>40818</v>
      </c>
    </row>
    <row r="4478" spans="1:16" ht="33.4" x14ac:dyDescent="0.3">
      <c r="A4478" s="6" t="str">
        <f>HYPERLINK("https://www.ti.com/product/TPS2046B", "TPS2046B")</f>
        <v>TPS2046B</v>
      </c>
      <c r="B4478" s="5" t="s">
        <v>40819</v>
      </c>
      <c r="C4478" s="6" t="str">
        <f>HYPERLINK("https://www.ti.com/lit/gpn/TPS2046B", "PDF")</f>
        <v>PDF</v>
      </c>
      <c r="D4478" s="5" t="s">
        <v>40820</v>
      </c>
      <c r="E4478" s="5" t="s">
        <v>40821</v>
      </c>
      <c r="F4478" s="5"/>
      <c r="G4478" s="5" t="s">
        <v>40822</v>
      </c>
      <c r="H4478" s="1" t="s">
        <v>40823</v>
      </c>
      <c r="I4478" s="5" t="s">
        <v>40824</v>
      </c>
      <c r="J4478" s="7">
        <v>8</v>
      </c>
      <c r="K4478" s="7">
        <v>29.4</v>
      </c>
      <c r="L4478" s="5" t="s">
        <v>40825</v>
      </c>
      <c r="M4478" s="7">
        <v>1.75</v>
      </c>
      <c r="N4478" s="7">
        <v>1.27</v>
      </c>
      <c r="O4478" s="7">
        <v>0.70799999999999996</v>
      </c>
      <c r="P4478" s="1" t="s">
        <v>40826</v>
      </c>
    </row>
    <row r="4479" spans="1:16" ht="33.4" x14ac:dyDescent="0.3">
      <c r="A4479" s="6" t="str">
        <f>HYPERLINK("https://www.ti.com/product/TPS2047B", "TPS2047B")</f>
        <v>TPS2047B</v>
      </c>
      <c r="B4479" s="5" t="s">
        <v>40827</v>
      </c>
      <c r="C4479" s="6" t="str">
        <f>HYPERLINK("https://www.ti.com/lit/gpn/TPS2047B", "PDF")</f>
        <v>PDF</v>
      </c>
      <c r="D4479" s="5" t="s">
        <v>40828</v>
      </c>
      <c r="E4479" s="5" t="s">
        <v>40829</v>
      </c>
      <c r="F4479" s="5"/>
      <c r="G4479" s="5" t="s">
        <v>40830</v>
      </c>
      <c r="H4479" s="1" t="s">
        <v>40831</v>
      </c>
      <c r="I4479" s="5" t="s">
        <v>40832</v>
      </c>
      <c r="J4479" s="7">
        <v>16</v>
      </c>
      <c r="K4479" s="7">
        <v>59.4</v>
      </c>
      <c r="L4479" s="5" t="s">
        <v>40833</v>
      </c>
      <c r="M4479" s="7">
        <v>1.75</v>
      </c>
      <c r="N4479" s="7">
        <v>1.27</v>
      </c>
      <c r="O4479" s="7">
        <v>1.093</v>
      </c>
      <c r="P4479" s="1" t="s">
        <v>40834</v>
      </c>
    </row>
    <row r="4480" spans="1:16" ht="49.75" x14ac:dyDescent="0.3">
      <c r="A4480" s="6" t="str">
        <f>HYPERLINK("https://www.ti.com/product/TL1431-EP", "TL1431-EP")</f>
        <v>TL1431-EP</v>
      </c>
      <c r="B4480" s="5" t="s">
        <v>40835</v>
      </c>
      <c r="C4480" s="6" t="str">
        <f>HYPERLINK("https://www.ti.com/lit/gpn/TL1431-EP", "PDF")</f>
        <v>PDF</v>
      </c>
      <c r="D4480" s="5" t="s">
        <v>40836</v>
      </c>
      <c r="E4480" s="5" t="s">
        <v>40837</v>
      </c>
      <c r="F4480" s="5"/>
      <c r="G4480" s="5" t="s">
        <v>40838</v>
      </c>
      <c r="H4480" s="1" t="s">
        <v>40839</v>
      </c>
      <c r="I4480" s="5" t="s">
        <v>40840</v>
      </c>
      <c r="J4480" s="7">
        <v>8</v>
      </c>
      <c r="K4480" s="7">
        <v>29.4</v>
      </c>
      <c r="L4480" s="5" t="s">
        <v>40841</v>
      </c>
      <c r="M4480" s="7">
        <v>1.75</v>
      </c>
      <c r="N4480" s="7">
        <v>1.27</v>
      </c>
      <c r="O4480" s="7">
        <v>1.1910000000000001</v>
      </c>
      <c r="P4480" s="1" t="s">
        <v>40842</v>
      </c>
    </row>
    <row r="4481" spans="1:16" ht="33.4" x14ac:dyDescent="0.3">
      <c r="A4481" s="6" t="str">
        <f>HYPERLINK("https://www.ti.com/product/LM5111", "LM5111")</f>
        <v>LM5111</v>
      </c>
      <c r="B4481" s="5" t="s">
        <v>40843</v>
      </c>
      <c r="C4481" s="6" t="str">
        <f>HYPERLINK("https://www.ti.com/lit/gpn/LM5111", "PDF")</f>
        <v>PDF</v>
      </c>
      <c r="D4481" s="5" t="s">
        <v>40844</v>
      </c>
      <c r="E4481" s="5" t="s">
        <v>40845</v>
      </c>
      <c r="F4481" s="5"/>
      <c r="G4481" s="5" t="s">
        <v>40846</v>
      </c>
      <c r="H4481" s="1" t="s">
        <v>40847</v>
      </c>
      <c r="I4481" s="5" t="s">
        <v>40848</v>
      </c>
      <c r="J4481" s="7">
        <v>8</v>
      </c>
      <c r="K4481" s="7" t="s">
        <v>40849</v>
      </c>
      <c r="L4481" s="5" t="s">
        <v>40850</v>
      </c>
      <c r="M4481" s="7" t="s">
        <v>40851</v>
      </c>
      <c r="N4481" s="7" t="s">
        <v>40852</v>
      </c>
      <c r="O4481" s="7">
        <v>0.94299999999999995</v>
      </c>
      <c r="P4481" s="1" t="s">
        <v>40853</v>
      </c>
    </row>
    <row r="4482" spans="1:16" ht="33.4" x14ac:dyDescent="0.3">
      <c r="A4482" s="6" t="str">
        <f>HYPERLINK("https://www.ti.com/product/TPS2043B", "TPS2043B")</f>
        <v>TPS2043B</v>
      </c>
      <c r="B4482" s="5" t="s">
        <v>40854</v>
      </c>
      <c r="C4482" s="6" t="str">
        <f>HYPERLINK("https://www.ti.com/lit/gpn/TPS2043B", "PDF")</f>
        <v>PDF</v>
      </c>
      <c r="D4482" s="5" t="s">
        <v>40855</v>
      </c>
      <c r="E4482" s="5" t="s">
        <v>40856</v>
      </c>
      <c r="F4482" s="5"/>
      <c r="G4482" s="5" t="s">
        <v>40857</v>
      </c>
      <c r="H4482" s="1" t="s">
        <v>40858</v>
      </c>
      <c r="I4482" s="5" t="s">
        <v>40859</v>
      </c>
      <c r="J4482" s="7">
        <v>16</v>
      </c>
      <c r="K4482" s="7">
        <v>59.4</v>
      </c>
      <c r="L4482" s="5" t="s">
        <v>40860</v>
      </c>
      <c r="M4482" s="7">
        <v>1.75</v>
      </c>
      <c r="N4482" s="7">
        <v>1.27</v>
      </c>
      <c r="O4482" s="7">
        <v>0.81</v>
      </c>
      <c r="P4482" s="1" t="s">
        <v>40861</v>
      </c>
    </row>
    <row r="4483" spans="1:16" ht="49.75" x14ac:dyDescent="0.3">
      <c r="A4483" s="6" t="str">
        <f>HYPERLINK("https://www.ti.com/product/TPS2061", "TPS2061")</f>
        <v>TPS2061</v>
      </c>
      <c r="B4483" s="5" t="s">
        <v>40862</v>
      </c>
      <c r="C4483" s="6" t="str">
        <f>HYPERLINK("https://www.ti.com/lit/gpn/TPS2061", "PDF")</f>
        <v>PDF</v>
      </c>
      <c r="D4483" s="5" t="s">
        <v>40863</v>
      </c>
      <c r="E4483" s="5" t="s">
        <v>40864</v>
      </c>
      <c r="F4483" s="5"/>
      <c r="G4483" s="5" t="s">
        <v>40865</v>
      </c>
      <c r="H4483" s="1" t="s">
        <v>40866</v>
      </c>
      <c r="I4483" s="5" t="s">
        <v>40867</v>
      </c>
      <c r="J4483" s="7" t="s">
        <v>40868</v>
      </c>
      <c r="K4483" s="7" t="s">
        <v>40869</v>
      </c>
      <c r="L4483" s="5" t="s">
        <v>40870</v>
      </c>
      <c r="M4483" s="7" t="s">
        <v>40871</v>
      </c>
      <c r="N4483" s="7" t="s">
        <v>40872</v>
      </c>
      <c r="O4483" s="7">
        <v>0.317</v>
      </c>
      <c r="P4483" s="1" t="s">
        <v>40873</v>
      </c>
    </row>
    <row r="4484" spans="1:16" ht="33.4" x14ac:dyDescent="0.3">
      <c r="A4484" s="6" t="str">
        <f>HYPERLINK("https://www.ti.com/product/TPS2400", "TPS2400")</f>
        <v>TPS2400</v>
      </c>
      <c r="B4484" s="5" t="s">
        <v>40874</v>
      </c>
      <c r="C4484" s="6" t="str">
        <f>HYPERLINK("https://www.ti.com/lit/gpn/TPS2400", "PDF")</f>
        <v>PDF</v>
      </c>
      <c r="D4484" s="5" t="s">
        <v>40875</v>
      </c>
      <c r="E4484" s="5" t="s">
        <v>40876</v>
      </c>
      <c r="F4484" s="5"/>
      <c r="G4484" s="5" t="s">
        <v>40877</v>
      </c>
      <c r="H4484" s="1" t="s">
        <v>40878</v>
      </c>
      <c r="I4484" s="5" t="s">
        <v>40879</v>
      </c>
      <c r="J4484" s="7">
        <v>5</v>
      </c>
      <c r="K4484" s="7">
        <v>8.1199999999999992</v>
      </c>
      <c r="L4484" s="5" t="s">
        <v>40880</v>
      </c>
      <c r="M4484" s="7">
        <v>1.45</v>
      </c>
      <c r="N4484" s="7">
        <v>0.95</v>
      </c>
      <c r="O4484" s="7">
        <v>0.93200000000000005</v>
      </c>
      <c r="P4484" s="1" t="s">
        <v>40881</v>
      </c>
    </row>
    <row r="4485" spans="1:16" ht="33.4" x14ac:dyDescent="0.3">
      <c r="A4485" s="6" t="str">
        <f>HYPERLINK("https://www.ti.com/product/TPS60400-Q1", "TPS60400-Q1")</f>
        <v>TPS60400-Q1</v>
      </c>
      <c r="B4485" s="5" t="s">
        <v>40882</v>
      </c>
      <c r="C4485" s="6" t="str">
        <f>HYPERLINK("https://www.ti.com/lit/gpn/TPS60400-Q1", "PDF")</f>
        <v>PDF</v>
      </c>
      <c r="D4485" s="5" t="s">
        <v>40883</v>
      </c>
      <c r="E4485" s="5" t="s">
        <v>40884</v>
      </c>
      <c r="F4485" s="5"/>
      <c r="G4485" s="5" t="s">
        <v>40885</v>
      </c>
      <c r="H4485" s="1" t="s">
        <v>40886</v>
      </c>
      <c r="I4485" s="5" t="s">
        <v>40887</v>
      </c>
      <c r="J4485" s="7">
        <v>5</v>
      </c>
      <c r="K4485" s="7">
        <v>8.1199999999999992</v>
      </c>
      <c r="L4485" s="5" t="s">
        <v>40888</v>
      </c>
      <c r="M4485" s="7">
        <v>1.45</v>
      </c>
      <c r="N4485" s="7">
        <v>0.95</v>
      </c>
      <c r="O4485" s="7">
        <v>0.48099999999999998</v>
      </c>
      <c r="P4485" s="1" t="s">
        <v>40889</v>
      </c>
    </row>
    <row r="4486" spans="1:16" ht="33.4" x14ac:dyDescent="0.3">
      <c r="A4486" s="6" t="str">
        <f>HYPERLINK("https://www.ti.com/product/TPS60401-Q1", "TPS60401-Q1")</f>
        <v>TPS60401-Q1</v>
      </c>
      <c r="B4486" s="5" t="s">
        <v>40890</v>
      </c>
      <c r="C4486" s="6" t="str">
        <f>HYPERLINK("https://www.ti.com/lit/gpn/TPS60401-Q1", "PDF")</f>
        <v>PDF</v>
      </c>
      <c r="D4486" s="5" t="s">
        <v>40891</v>
      </c>
      <c r="E4486" s="5" t="s">
        <v>40892</v>
      </c>
      <c r="F4486" s="5"/>
      <c r="G4486" s="5" t="s">
        <v>40893</v>
      </c>
      <c r="H4486" s="1" t="s">
        <v>40894</v>
      </c>
      <c r="I4486" s="5" t="s">
        <v>40895</v>
      </c>
      <c r="J4486" s="7">
        <v>5</v>
      </c>
      <c r="K4486" s="7">
        <v>8.1199999999999992</v>
      </c>
      <c r="L4486" s="5" t="s">
        <v>40896</v>
      </c>
      <c r="M4486" s="7">
        <v>1.45</v>
      </c>
      <c r="N4486" s="7">
        <v>0.95</v>
      </c>
      <c r="O4486" s="7">
        <v>0.48099999999999998</v>
      </c>
      <c r="P4486" s="1" t="s">
        <v>40897</v>
      </c>
    </row>
    <row r="4487" spans="1:16" ht="33.4" x14ac:dyDescent="0.3">
      <c r="A4487" s="6" t="str">
        <f>HYPERLINK("https://www.ti.com/product/TPS60402-Q1", "TPS60402-Q1")</f>
        <v>TPS60402-Q1</v>
      </c>
      <c r="B4487" s="5" t="s">
        <v>40898</v>
      </c>
      <c r="C4487" s="6" t="str">
        <f>HYPERLINK("https://www.ti.com/lit/gpn/TPS60402-Q1", "PDF")</f>
        <v>PDF</v>
      </c>
      <c r="D4487" s="5" t="s">
        <v>40899</v>
      </c>
      <c r="E4487" s="5" t="s">
        <v>40900</v>
      </c>
      <c r="F4487" s="5"/>
      <c r="G4487" s="5" t="s">
        <v>40901</v>
      </c>
      <c r="H4487" s="1" t="s">
        <v>40902</v>
      </c>
      <c r="I4487" s="5" t="s">
        <v>40903</v>
      </c>
      <c r="J4487" s="7">
        <v>5</v>
      </c>
      <c r="K4487" s="7">
        <v>8.1199999999999992</v>
      </c>
      <c r="L4487" s="5" t="s">
        <v>40904</v>
      </c>
      <c r="M4487" s="7">
        <v>1.45</v>
      </c>
      <c r="N4487" s="7">
        <v>0.95</v>
      </c>
      <c r="O4487" s="7">
        <v>0.48099999999999998</v>
      </c>
      <c r="P4487" s="1" t="s">
        <v>40905</v>
      </c>
    </row>
    <row r="4488" spans="1:16" ht="33.4" x14ac:dyDescent="0.3">
      <c r="A4488" s="6" t="str">
        <f>HYPERLINK("https://www.ti.com/product/TPS60403-Q1", "TPS60403-Q1")</f>
        <v>TPS60403-Q1</v>
      </c>
      <c r="B4488" s="5" t="s">
        <v>40906</v>
      </c>
      <c r="C4488" s="6" t="str">
        <f>HYPERLINK("https://www.ti.com/lit/gpn/TPS60403-Q1", "PDF")</f>
        <v>PDF</v>
      </c>
      <c r="D4488" s="5" t="s">
        <v>40907</v>
      </c>
      <c r="E4488" s="5" t="s">
        <v>40908</v>
      </c>
      <c r="F4488" s="5"/>
      <c r="G4488" s="5" t="s">
        <v>40909</v>
      </c>
      <c r="H4488" s="1" t="s">
        <v>40910</v>
      </c>
      <c r="I4488" s="5" t="s">
        <v>40911</v>
      </c>
      <c r="J4488" s="7">
        <v>5</v>
      </c>
      <c r="K4488" s="7">
        <v>8.1199999999999992</v>
      </c>
      <c r="L4488" s="5" t="s">
        <v>40912</v>
      </c>
      <c r="M4488" s="7">
        <v>1.45</v>
      </c>
      <c r="N4488" s="7">
        <v>0.95</v>
      </c>
      <c r="O4488" s="7">
        <v>0.48099999999999998</v>
      </c>
      <c r="P4488" s="1" t="s">
        <v>40913</v>
      </c>
    </row>
    <row r="4489" spans="1:16" ht="33.4" x14ac:dyDescent="0.3">
      <c r="A4489" s="6" t="str">
        <f>HYPERLINK("https://www.ti.com/product/TPS763-Q1", "TPS763-Q1")</f>
        <v>TPS763-Q1</v>
      </c>
      <c r="B4489" s="5" t="s">
        <v>40914</v>
      </c>
      <c r="C4489" s="6" t="str">
        <f>HYPERLINK("https://www.ti.com/lit/gpn/TPS763-Q1", "PDF")</f>
        <v>PDF</v>
      </c>
      <c r="D4489" s="5" t="s">
        <v>40915</v>
      </c>
      <c r="E4489" s="5" t="s">
        <v>40916</v>
      </c>
      <c r="F4489" s="5"/>
      <c r="G4489" s="5" t="s">
        <v>40917</v>
      </c>
      <c r="H4489" s="1" t="s">
        <v>40918</v>
      </c>
      <c r="I4489" s="5" t="s">
        <v>40919</v>
      </c>
      <c r="J4489" s="7">
        <v>5</v>
      </c>
      <c r="K4489" s="7">
        <v>8.1199999999999992</v>
      </c>
      <c r="L4489" s="5" t="s">
        <v>40920</v>
      </c>
      <c r="M4489" s="7">
        <v>1.45</v>
      </c>
      <c r="N4489" s="7">
        <v>0.95</v>
      </c>
      <c r="O4489" s="7">
        <v>0.378</v>
      </c>
      <c r="P4489" s="1" t="s">
        <v>40921</v>
      </c>
    </row>
    <row r="4490" spans="1:16" ht="33.4" x14ac:dyDescent="0.3">
      <c r="A4490" s="6" t="str">
        <f>HYPERLINK("https://www.ti.com/product/TPS3808", "TPS3808")</f>
        <v>TPS3808</v>
      </c>
      <c r="B4490" s="5" t="s">
        <v>40922</v>
      </c>
      <c r="C4490" s="6" t="str">
        <f>HYPERLINK("https://www.ti.com/lit/gpn/TPS3808", "PDF")</f>
        <v>PDF</v>
      </c>
      <c r="D4490" s="5" t="s">
        <v>40923</v>
      </c>
      <c r="E4490" s="5" t="s">
        <v>40924</v>
      </c>
      <c r="F4490" s="5"/>
      <c r="G4490" s="5" t="s">
        <v>40925</v>
      </c>
      <c r="H4490" s="1" t="s">
        <v>40926</v>
      </c>
      <c r="I4490" s="5" t="s">
        <v>40927</v>
      </c>
      <c r="J4490" s="7">
        <v>6</v>
      </c>
      <c r="K4490" s="7" t="s">
        <v>40928</v>
      </c>
      <c r="L4490" s="5" t="s">
        <v>40929</v>
      </c>
      <c r="M4490" s="7" t="s">
        <v>40930</v>
      </c>
      <c r="N4490" s="7" t="s">
        <v>40931</v>
      </c>
      <c r="O4490" s="7">
        <v>0.64900000000000002</v>
      </c>
      <c r="P4490" s="1" t="s">
        <v>40932</v>
      </c>
    </row>
    <row r="4491" spans="1:16" ht="33.4" x14ac:dyDescent="0.3">
      <c r="A4491" s="6" t="str">
        <f>HYPERLINK("https://www.ti.com/product/TPS62207", "TPS62207")</f>
        <v>TPS62207</v>
      </c>
      <c r="B4491" s="5" t="s">
        <v>40933</v>
      </c>
      <c r="C4491" s="6" t="str">
        <f>HYPERLINK("https://www.ti.com/lit/gpn/TPS62207", "PDF")</f>
        <v>PDF</v>
      </c>
      <c r="D4491" s="5" t="s">
        <v>40934</v>
      </c>
      <c r="E4491" s="5" t="s">
        <v>40935</v>
      </c>
      <c r="F4491" s="5" t="s">
        <v>40936</v>
      </c>
      <c r="G4491" s="5" t="s">
        <v>40937</v>
      </c>
      <c r="H4491" s="1" t="s">
        <v>40938</v>
      </c>
      <c r="I4491" s="5" t="s">
        <v>40939</v>
      </c>
      <c r="J4491" s="7">
        <v>5</v>
      </c>
      <c r="K4491" s="7">
        <v>8.1199999999999992</v>
      </c>
      <c r="L4491" s="5" t="s">
        <v>40940</v>
      </c>
      <c r="M4491" s="7">
        <v>1.45</v>
      </c>
      <c r="N4491" s="7">
        <v>0.95</v>
      </c>
      <c r="O4491" s="7">
        <v>0.47799999999999998</v>
      </c>
      <c r="P4491" s="1" t="s">
        <v>40941</v>
      </c>
    </row>
    <row r="4492" spans="1:16" ht="33.4" x14ac:dyDescent="0.3">
      <c r="A4492" s="6" t="str">
        <f>HYPERLINK("https://www.ti.com/product/TPS62021", "TPS62021")</f>
        <v>TPS62021</v>
      </c>
      <c r="B4492" s="5" t="s">
        <v>40942</v>
      </c>
      <c r="C4492" s="6" t="str">
        <f>HYPERLINK("https://www.ti.com/lit/gpn/TPS62021", "PDF")</f>
        <v>PDF</v>
      </c>
      <c r="D4492" s="5" t="s">
        <v>40943</v>
      </c>
      <c r="E4492" s="5" t="s">
        <v>40944</v>
      </c>
      <c r="F4492" s="5" t="s">
        <v>40945</v>
      </c>
      <c r="G4492" s="5" t="s">
        <v>40946</v>
      </c>
      <c r="H4492" s="1" t="s">
        <v>40947</v>
      </c>
      <c r="I4492" s="5" t="s">
        <v>40948</v>
      </c>
      <c r="J4492" s="7">
        <v>10</v>
      </c>
      <c r="K4492" s="7">
        <v>9</v>
      </c>
      <c r="L4492" s="5" t="s">
        <v>40949</v>
      </c>
      <c r="M4492" s="7">
        <v>1</v>
      </c>
      <c r="N4492" s="7">
        <v>0.5</v>
      </c>
      <c r="O4492" s="7">
        <v>0.72299999999999998</v>
      </c>
      <c r="P4492" s="1" t="s">
        <v>40950</v>
      </c>
    </row>
    <row r="4493" spans="1:16" ht="33.4" x14ac:dyDescent="0.3">
      <c r="A4493" s="6" t="str">
        <f>HYPERLINK("https://www.ti.com/product/TPS61070", "TPS61070")</f>
        <v>TPS61070</v>
      </c>
      <c r="B4493" s="5" t="s">
        <v>40951</v>
      </c>
      <c r="C4493" s="6" t="str">
        <f>HYPERLINK("https://www.ti.com/lit/gpn/TPS61070", "PDF")</f>
        <v>PDF</v>
      </c>
      <c r="D4493" s="5" t="s">
        <v>40952</v>
      </c>
      <c r="E4493" s="5" t="s">
        <v>40953</v>
      </c>
      <c r="F4493" s="5" t="s">
        <v>40954</v>
      </c>
      <c r="G4493" s="5" t="s">
        <v>40955</v>
      </c>
      <c r="H4493" s="1" t="s">
        <v>40956</v>
      </c>
      <c r="I4493" s="5" t="s">
        <v>40957</v>
      </c>
      <c r="J4493" s="7">
        <v>6</v>
      </c>
      <c r="K4493" s="7">
        <v>8.1199999999999992</v>
      </c>
      <c r="L4493" s="5" t="s">
        <v>40958</v>
      </c>
      <c r="M4493" s="7">
        <v>1.1000000000000001</v>
      </c>
      <c r="N4493" s="7">
        <v>0.95</v>
      </c>
      <c r="O4493" s="7">
        <v>0.40100000000000002</v>
      </c>
      <c r="P4493" s="1" t="s">
        <v>40959</v>
      </c>
    </row>
    <row r="4494" spans="1:16" ht="33.4" x14ac:dyDescent="0.3">
      <c r="A4494" s="6" t="str">
        <f>HYPERLINK("https://www.ti.com/product/TPS61071", "TPS61071")</f>
        <v>TPS61071</v>
      </c>
      <c r="B4494" s="5" t="s">
        <v>40960</v>
      </c>
      <c r="C4494" s="6" t="str">
        <f>HYPERLINK("https://www.ti.com/lit/gpn/TPS61071", "PDF")</f>
        <v>PDF</v>
      </c>
      <c r="D4494" s="5" t="s">
        <v>40961</v>
      </c>
      <c r="E4494" s="5" t="s">
        <v>40962</v>
      </c>
      <c r="F4494" s="5" t="s">
        <v>40963</v>
      </c>
      <c r="G4494" s="5" t="s">
        <v>40964</v>
      </c>
      <c r="H4494" s="1" t="s">
        <v>40965</v>
      </c>
      <c r="I4494" s="5" t="s">
        <v>40966</v>
      </c>
      <c r="J4494" s="7">
        <v>6</v>
      </c>
      <c r="K4494" s="7">
        <v>8.1199999999999992</v>
      </c>
      <c r="L4494" s="5" t="s">
        <v>40967</v>
      </c>
      <c r="M4494" s="7">
        <v>1.1000000000000001</v>
      </c>
      <c r="N4494" s="7">
        <v>0.95</v>
      </c>
      <c r="O4494" s="7">
        <v>0.40100000000000002</v>
      </c>
      <c r="P4494" s="1" t="s">
        <v>40968</v>
      </c>
    </row>
    <row r="4495" spans="1:16" ht="17.05" x14ac:dyDescent="0.3">
      <c r="A4495" s="6" t="str">
        <f>HYPERLINK("https://www.ti.com/product/LP3954", "LP3954")</f>
        <v>LP3954</v>
      </c>
      <c r="B4495" s="5" t="s">
        <v>40969</v>
      </c>
      <c r="C4495" s="6" t="str">
        <f>HYPERLINK("https://www.ti.com/lit/gpn/LP3954", "PDF")</f>
        <v>PDF</v>
      </c>
      <c r="D4495" s="5" t="s">
        <v>40970</v>
      </c>
      <c r="E4495" s="5" t="s">
        <v>40971</v>
      </c>
      <c r="F4495" s="5" t="s">
        <v>40972</v>
      </c>
      <c r="G4495" s="5" t="s">
        <v>40973</v>
      </c>
      <c r="H4495" s="1" t="s">
        <v>40974</v>
      </c>
      <c r="I4495" s="5" t="s">
        <v>40975</v>
      </c>
      <c r="J4495" s="7">
        <v>36</v>
      </c>
      <c r="K4495" s="7">
        <v>10.5625</v>
      </c>
      <c r="L4495" s="5" t="s">
        <v>40976</v>
      </c>
      <c r="M4495" s="7">
        <v>0.67500000000000004</v>
      </c>
      <c r="N4495" s="7">
        <v>0.5</v>
      </c>
      <c r="O4495" s="7">
        <v>2.2999999999999998</v>
      </c>
      <c r="P4495" s="1" t="s">
        <v>40977</v>
      </c>
    </row>
    <row r="4496" spans="1:16" ht="33.4" x14ac:dyDescent="0.3">
      <c r="A4496" s="6" t="str">
        <f>HYPERLINK("https://www.ti.com/product/TPS60230", "TPS60230")</f>
        <v>TPS60230</v>
      </c>
      <c r="B4496" s="5" t="s">
        <v>40978</v>
      </c>
      <c r="C4496" s="6" t="str">
        <f>HYPERLINK("https://www.ti.com/lit/gpn/TPS60230", "PDF")</f>
        <v>PDF</v>
      </c>
      <c r="D4496" s="5" t="s">
        <v>40979</v>
      </c>
      <c r="E4496" s="5" t="s">
        <v>40980</v>
      </c>
      <c r="F4496" s="5" t="s">
        <v>40981</v>
      </c>
      <c r="G4496" s="5" t="s">
        <v>40982</v>
      </c>
      <c r="H4496" s="1" t="s">
        <v>40983</v>
      </c>
      <c r="I4496" s="5" t="s">
        <v>40984</v>
      </c>
      <c r="J4496" s="7">
        <v>16</v>
      </c>
      <c r="K4496" s="7">
        <v>9</v>
      </c>
      <c r="L4496" s="5" t="s">
        <v>40985</v>
      </c>
      <c r="M4496" s="7">
        <v>1</v>
      </c>
      <c r="N4496" s="7">
        <v>0.5</v>
      </c>
      <c r="O4496" s="7">
        <v>0.47899999999999998</v>
      </c>
      <c r="P4496" s="1" t="s">
        <v>40986</v>
      </c>
    </row>
    <row r="4497" spans="1:16" ht="33.4" x14ac:dyDescent="0.3">
      <c r="A4497" s="6" t="str">
        <f>HYPERLINK("https://www.ti.com/product/LP2997", "LP2997")</f>
        <v>LP2997</v>
      </c>
      <c r="B4497" s="5" t="s">
        <v>40987</v>
      </c>
      <c r="C4497" s="6" t="str">
        <f>HYPERLINK("https://www.ti.com/lit/gpn/LP2997", "PDF")</f>
        <v>PDF</v>
      </c>
      <c r="D4497" s="5" t="s">
        <v>40988</v>
      </c>
      <c r="E4497" s="5" t="s">
        <v>40989</v>
      </c>
      <c r="F4497" s="5"/>
      <c r="G4497" s="5" t="s">
        <v>40990</v>
      </c>
      <c r="H4497" s="1" t="s">
        <v>40991</v>
      </c>
      <c r="I4497" s="5" t="s">
        <v>40992</v>
      </c>
      <c r="J4497" s="7">
        <v>8</v>
      </c>
      <c r="K4497" s="7">
        <v>29.4</v>
      </c>
      <c r="L4497" s="5" t="s">
        <v>40993</v>
      </c>
      <c r="M4497" s="7" t="s">
        <v>40994</v>
      </c>
      <c r="N4497" s="7">
        <v>1.27</v>
      </c>
      <c r="O4497" s="7">
        <v>0.53100000000000003</v>
      </c>
      <c r="P4497" s="1" t="s">
        <v>40995</v>
      </c>
    </row>
    <row r="4498" spans="1:16" ht="33.4" x14ac:dyDescent="0.3">
      <c r="A4498" s="6" t="str">
        <f>HYPERLINK("https://www.ti.com/product/TPS2375", "TPS2375")</f>
        <v>TPS2375</v>
      </c>
      <c r="B4498" s="5" t="s">
        <v>40996</v>
      </c>
      <c r="C4498" s="6" t="str">
        <f>HYPERLINK("https://www.ti.com/lit/gpn/TPS2375", "PDF")</f>
        <v>PDF</v>
      </c>
      <c r="D4498" s="5" t="s">
        <v>40997</v>
      </c>
      <c r="E4498" s="5" t="s">
        <v>40998</v>
      </c>
      <c r="F4498" s="5"/>
      <c r="G4498" s="5" t="s">
        <v>40999</v>
      </c>
      <c r="H4498" s="1" t="s">
        <v>41000</v>
      </c>
      <c r="I4498" s="5" t="s">
        <v>41001</v>
      </c>
      <c r="J4498" s="7">
        <v>8</v>
      </c>
      <c r="K4498" s="7" t="s">
        <v>41002</v>
      </c>
      <c r="L4498" s="5" t="s">
        <v>41003</v>
      </c>
      <c r="M4498" s="7" t="s">
        <v>41004</v>
      </c>
      <c r="N4498" s="7" t="s">
        <v>41005</v>
      </c>
      <c r="O4498" s="7">
        <v>1.071</v>
      </c>
      <c r="P4498" s="1" t="s">
        <v>41006</v>
      </c>
    </row>
    <row r="4499" spans="1:16" ht="33.4" x14ac:dyDescent="0.3">
      <c r="A4499" s="6" t="str">
        <f>HYPERLINK("https://www.ti.com/product/TPS2376", "TPS2376")</f>
        <v>TPS2376</v>
      </c>
      <c r="B4499" s="5" t="s">
        <v>41007</v>
      </c>
      <c r="C4499" s="6" t="str">
        <f>HYPERLINK("https://www.ti.com/lit/gpn/TPS2376", "PDF")</f>
        <v>PDF</v>
      </c>
      <c r="D4499" s="5" t="s">
        <v>41008</v>
      </c>
      <c r="E4499" s="5" t="s">
        <v>41009</v>
      </c>
      <c r="F4499" s="5"/>
      <c r="G4499" s="5" t="s">
        <v>41010</v>
      </c>
      <c r="H4499" s="1" t="s">
        <v>41011</v>
      </c>
      <c r="I4499" s="5" t="s">
        <v>41012</v>
      </c>
      <c r="J4499" s="7">
        <v>8</v>
      </c>
      <c r="K4499" s="7" t="s">
        <v>41013</v>
      </c>
      <c r="L4499" s="5" t="s">
        <v>41014</v>
      </c>
      <c r="M4499" s="7" t="s">
        <v>41015</v>
      </c>
      <c r="N4499" s="7" t="s">
        <v>41016</v>
      </c>
      <c r="O4499" s="7">
        <v>1.113</v>
      </c>
      <c r="P4499" s="1" t="s">
        <v>41017</v>
      </c>
    </row>
    <row r="4500" spans="1:16" ht="33.4" x14ac:dyDescent="0.3">
      <c r="A4500" s="6" t="str">
        <f>HYPERLINK("https://www.ti.com/product/TPS2377", "TPS2377")</f>
        <v>TPS2377</v>
      </c>
      <c r="B4500" s="5" t="s">
        <v>41018</v>
      </c>
      <c r="C4500" s="6" t="str">
        <f>HYPERLINK("https://www.ti.com/lit/gpn/TPS2377", "PDF")</f>
        <v>PDF</v>
      </c>
      <c r="D4500" s="5" t="s">
        <v>41019</v>
      </c>
      <c r="E4500" s="5" t="s">
        <v>41020</v>
      </c>
      <c r="F4500" s="5"/>
      <c r="G4500" s="5" t="s">
        <v>41021</v>
      </c>
      <c r="H4500" s="1" t="s">
        <v>41022</v>
      </c>
      <c r="I4500" s="5" t="s">
        <v>41023</v>
      </c>
      <c r="J4500" s="7">
        <v>8</v>
      </c>
      <c r="K4500" s="7" t="s">
        <v>41024</v>
      </c>
      <c r="L4500" s="5" t="s">
        <v>41025</v>
      </c>
      <c r="M4500" s="7" t="s">
        <v>41026</v>
      </c>
      <c r="N4500" s="7" t="s">
        <v>41027</v>
      </c>
      <c r="O4500" s="7">
        <v>1.2050000000000001</v>
      </c>
      <c r="P4500" s="1" t="s">
        <v>41028</v>
      </c>
    </row>
    <row r="4501" spans="1:16" ht="33.4" x14ac:dyDescent="0.3">
      <c r="A4501" s="6" t="str">
        <f>HYPERLINK("https://www.ti.com/product/TPS40007", "TPS40007")</f>
        <v>TPS40007</v>
      </c>
      <c r="B4501" s="5" t="s">
        <v>41029</v>
      </c>
      <c r="C4501" s="6" t="str">
        <f>HYPERLINK("https://www.ti.com/lit/gpn/TPS40007", "PDF")</f>
        <v>PDF</v>
      </c>
      <c r="D4501" s="5" t="s">
        <v>41030</v>
      </c>
      <c r="E4501" s="5" t="s">
        <v>41031</v>
      </c>
      <c r="F4501" s="5"/>
      <c r="G4501" s="5" t="s">
        <v>41032</v>
      </c>
      <c r="H4501" s="1" t="s">
        <v>41033</v>
      </c>
      <c r="I4501" s="5" t="s">
        <v>41034</v>
      </c>
      <c r="J4501" s="7">
        <v>10</v>
      </c>
      <c r="K4501" s="7">
        <v>14.7</v>
      </c>
      <c r="L4501" s="5" t="s">
        <v>41035</v>
      </c>
      <c r="M4501" s="7">
        <v>1.1000000000000001</v>
      </c>
      <c r="N4501" s="7">
        <v>0.5</v>
      </c>
      <c r="O4501" s="7">
        <v>0.78400000000000003</v>
      </c>
      <c r="P4501" s="1" t="s">
        <v>41036</v>
      </c>
    </row>
    <row r="4502" spans="1:16" ht="33.4" x14ac:dyDescent="0.3">
      <c r="A4502" s="6" t="str">
        <f>HYPERLINK("https://www.ti.com/product/TPS40009", "TPS40009")</f>
        <v>TPS40009</v>
      </c>
      <c r="B4502" s="5" t="s">
        <v>41037</v>
      </c>
      <c r="C4502" s="6" t="str">
        <f>HYPERLINK("https://www.ti.com/lit/gpn/TPS40009", "PDF")</f>
        <v>PDF</v>
      </c>
      <c r="D4502" s="5" t="s">
        <v>41038</v>
      </c>
      <c r="E4502" s="5" t="s">
        <v>41039</v>
      </c>
      <c r="F4502" s="5"/>
      <c r="G4502" s="5" t="s">
        <v>41040</v>
      </c>
      <c r="H4502" s="1" t="s">
        <v>41041</v>
      </c>
      <c r="I4502" s="5" t="s">
        <v>41042</v>
      </c>
      <c r="J4502" s="7">
        <v>10</v>
      </c>
      <c r="K4502" s="7">
        <v>14.7</v>
      </c>
      <c r="L4502" s="5" t="s">
        <v>41043</v>
      </c>
      <c r="M4502" s="7">
        <v>1.1000000000000001</v>
      </c>
      <c r="N4502" s="7">
        <v>0.5</v>
      </c>
      <c r="O4502" s="7">
        <v>0.78400000000000003</v>
      </c>
      <c r="P4502" s="1" t="s">
        <v>41044</v>
      </c>
    </row>
    <row r="4503" spans="1:16" ht="33.4" x14ac:dyDescent="0.3">
      <c r="A4503" s="6" t="str">
        <f>HYPERLINK("https://www.ti.com/product/LM5034", "LM5034")</f>
        <v>LM5034</v>
      </c>
      <c r="B4503" s="5" t="s">
        <v>41045</v>
      </c>
      <c r="C4503" s="6" t="str">
        <f>HYPERLINK("https://www.ti.com/lit/gpn/LM5034", "PDF")</f>
        <v>PDF</v>
      </c>
      <c r="D4503" s="5" t="s">
        <v>41046</v>
      </c>
      <c r="E4503" s="5" t="s">
        <v>41047</v>
      </c>
      <c r="F4503" s="5" t="s">
        <v>41048</v>
      </c>
      <c r="G4503" s="5" t="s">
        <v>41049</v>
      </c>
      <c r="H4503" s="1" t="s">
        <v>41050</v>
      </c>
      <c r="I4503" s="5" t="s">
        <v>41051</v>
      </c>
      <c r="J4503" s="7">
        <v>20</v>
      </c>
      <c r="K4503" s="7">
        <v>41.6</v>
      </c>
      <c r="L4503" s="5" t="s">
        <v>41052</v>
      </c>
      <c r="M4503" s="7">
        <v>1.2</v>
      </c>
      <c r="N4503" s="7">
        <v>0.65</v>
      </c>
      <c r="O4503" s="7">
        <v>1.5409999999999999</v>
      </c>
      <c r="P4503" s="1" t="s">
        <v>41053</v>
      </c>
    </row>
    <row r="4504" spans="1:16" ht="33.4" x14ac:dyDescent="0.3">
      <c r="A4504" s="6" t="str">
        <f>HYPERLINK("https://www.ti.com/product/TPS62223", "TPS62223")</f>
        <v>TPS62223</v>
      </c>
      <c r="B4504" s="5" t="s">
        <v>41054</v>
      </c>
      <c r="C4504" s="6" t="str">
        <f>HYPERLINK("https://www.ti.com/lit/gpn/TPS62223", "PDF")</f>
        <v>PDF</v>
      </c>
      <c r="D4504" s="5" t="s">
        <v>41055</v>
      </c>
      <c r="E4504" s="5" t="s">
        <v>41056</v>
      </c>
      <c r="F4504" s="5" t="s">
        <v>41057</v>
      </c>
      <c r="G4504" s="5" t="s">
        <v>41058</v>
      </c>
      <c r="H4504" s="1" t="s">
        <v>41059</v>
      </c>
      <c r="I4504" s="5" t="s">
        <v>41060</v>
      </c>
      <c r="J4504" s="7">
        <v>5</v>
      </c>
      <c r="K4504" s="7">
        <v>8.1199999999999992</v>
      </c>
      <c r="L4504" s="5" t="s">
        <v>41061</v>
      </c>
      <c r="M4504" s="7">
        <v>1.1000000000000001</v>
      </c>
      <c r="N4504" s="7">
        <v>0.95</v>
      </c>
      <c r="O4504" s="7">
        <v>0.501</v>
      </c>
      <c r="P4504" s="1" t="s">
        <v>41062</v>
      </c>
    </row>
    <row r="4505" spans="1:16" ht="33.4" x14ac:dyDescent="0.3">
      <c r="A4505" s="6" t="str">
        <f>HYPERLINK("https://www.ti.com/product/LP5951", "LP5951")</f>
        <v>LP5951</v>
      </c>
      <c r="B4505" s="5" t="s">
        <v>41063</v>
      </c>
      <c r="C4505" s="6" t="str">
        <f>HYPERLINK("https://www.ti.com/lit/gpn/LP5951", "PDF")</f>
        <v>PDF</v>
      </c>
      <c r="D4505" s="5" t="s">
        <v>41064</v>
      </c>
      <c r="E4505" s="5" t="s">
        <v>41065</v>
      </c>
      <c r="F4505" s="5"/>
      <c r="G4505" s="5" t="s">
        <v>41066</v>
      </c>
      <c r="H4505" s="1" t="s">
        <v>41067</v>
      </c>
      <c r="I4505" s="5" t="s">
        <v>41068</v>
      </c>
      <c r="J4505" s="7">
        <v>5</v>
      </c>
      <c r="K4505" s="7" t="s">
        <v>41069</v>
      </c>
      <c r="L4505" s="5" t="s">
        <v>41070</v>
      </c>
      <c r="M4505" s="7" t="s">
        <v>41071</v>
      </c>
      <c r="N4505" s="7" t="s">
        <v>41072</v>
      </c>
      <c r="O4505" s="7">
        <v>0.20699999999999999</v>
      </c>
      <c r="P4505" s="1" t="s">
        <v>41073</v>
      </c>
    </row>
    <row r="4506" spans="1:16" ht="33.4" x14ac:dyDescent="0.3">
      <c r="A4506" s="6" t="str">
        <f>HYPERLINK("https://www.ti.com/product/LM26003", "LM26003")</f>
        <v>LM26003</v>
      </c>
      <c r="B4506" s="5" t="s">
        <v>41074</v>
      </c>
      <c r="C4506" s="6" t="str">
        <f>HYPERLINK("https://www.ti.com/lit/gpn/LM26003", "PDF")</f>
        <v>PDF</v>
      </c>
      <c r="D4506" s="5" t="s">
        <v>41075</v>
      </c>
      <c r="E4506" s="5" t="s">
        <v>41076</v>
      </c>
      <c r="F4506" s="5" t="s">
        <v>41077</v>
      </c>
      <c r="G4506" s="5" t="s">
        <v>41078</v>
      </c>
      <c r="H4506" s="1" t="s">
        <v>41079</v>
      </c>
      <c r="I4506" s="5" t="s">
        <v>41080</v>
      </c>
      <c r="J4506" s="7">
        <v>20</v>
      </c>
      <c r="K4506" s="7">
        <v>41.6</v>
      </c>
      <c r="L4506" s="5" t="s">
        <v>41081</v>
      </c>
      <c r="M4506" s="7">
        <v>1.2</v>
      </c>
      <c r="N4506" s="7">
        <v>0.65</v>
      </c>
      <c r="O4506" s="7">
        <v>1.615</v>
      </c>
      <c r="P4506" s="1" t="s">
        <v>41082</v>
      </c>
    </row>
    <row r="4507" spans="1:16" ht="33.4" x14ac:dyDescent="0.3">
      <c r="A4507" s="6" t="str">
        <f>HYPERLINK("https://www.ti.com/product/LM26003-Q1", "LM26003-Q1")</f>
        <v>LM26003-Q1</v>
      </c>
      <c r="B4507" s="5" t="s">
        <v>41083</v>
      </c>
      <c r="C4507" s="6" t="str">
        <f>HYPERLINK("https://www.ti.com/lit/gpn/LM26003-Q1", "PDF")</f>
        <v>PDF</v>
      </c>
      <c r="D4507" s="5" t="s">
        <v>41084</v>
      </c>
      <c r="E4507" s="5" t="s">
        <v>41085</v>
      </c>
      <c r="F4507" s="5" t="s">
        <v>41086</v>
      </c>
      <c r="G4507" s="5" t="s">
        <v>41087</v>
      </c>
      <c r="H4507" s="1" t="s">
        <v>41088</v>
      </c>
      <c r="I4507" s="5" t="s">
        <v>41089</v>
      </c>
      <c r="J4507" s="7">
        <v>20</v>
      </c>
      <c r="K4507" s="7">
        <v>41.6</v>
      </c>
      <c r="L4507" s="5" t="s">
        <v>41090</v>
      </c>
      <c r="M4507" s="7">
        <v>1.2</v>
      </c>
      <c r="N4507" s="7">
        <v>0.65</v>
      </c>
      <c r="O4507" s="7">
        <v>2.0510000000000002</v>
      </c>
      <c r="P4507" s="1" t="s">
        <v>41091</v>
      </c>
    </row>
    <row r="4508" spans="1:16" ht="33.4" x14ac:dyDescent="0.3">
      <c r="A4508" s="6" t="str">
        <f>HYPERLINK("https://www.ti.com/product/TPS51100", "TPS51100")</f>
        <v>TPS51100</v>
      </c>
      <c r="B4508" s="5" t="s">
        <v>41092</v>
      </c>
      <c r="C4508" s="6" t="str">
        <f>HYPERLINK("https://www.ti.com/lit/gpn/TPS51100", "PDF")</f>
        <v>PDF</v>
      </c>
      <c r="D4508" s="5" t="s">
        <v>41093</v>
      </c>
      <c r="E4508" s="5" t="s">
        <v>41094</v>
      </c>
      <c r="F4508" s="5"/>
      <c r="G4508" s="5" t="s">
        <v>41095</v>
      </c>
      <c r="H4508" s="1" t="s">
        <v>41096</v>
      </c>
      <c r="I4508" s="5" t="s">
        <v>41097</v>
      </c>
      <c r="J4508" s="7">
        <v>10</v>
      </c>
      <c r="K4508" s="7">
        <v>14.7</v>
      </c>
      <c r="L4508" s="5" t="s">
        <v>41098</v>
      </c>
      <c r="M4508" s="7">
        <v>1.1000000000000001</v>
      </c>
      <c r="N4508" s="7">
        <v>0.5</v>
      </c>
      <c r="O4508" s="7">
        <v>0.56299999999999994</v>
      </c>
      <c r="P4508" s="1" t="s">
        <v>41099</v>
      </c>
    </row>
    <row r="4509" spans="1:16" ht="33.4" x14ac:dyDescent="0.3">
      <c r="A4509" s="6" t="str">
        <f>HYPERLINK("https://www.ti.com/product/LM5033", "LM5033")</f>
        <v>LM5033</v>
      </c>
      <c r="B4509" s="5" t="s">
        <v>41100</v>
      </c>
      <c r="C4509" s="6" t="str">
        <f>HYPERLINK("https://www.ti.com/lit/gpn/LM5033", "PDF")</f>
        <v>PDF</v>
      </c>
      <c r="D4509" s="5" t="s">
        <v>41101</v>
      </c>
      <c r="E4509" s="5" t="s">
        <v>41102</v>
      </c>
      <c r="F4509" s="5" t="s">
        <v>41103</v>
      </c>
      <c r="G4509" s="5" t="s">
        <v>41104</v>
      </c>
      <c r="H4509" s="1" t="s">
        <v>41105</v>
      </c>
      <c r="I4509" s="5" t="s">
        <v>41106</v>
      </c>
      <c r="J4509" s="7">
        <v>10</v>
      </c>
      <c r="K4509" s="7" t="s">
        <v>41107</v>
      </c>
      <c r="L4509" s="5" t="s">
        <v>41108</v>
      </c>
      <c r="M4509" s="7" t="s">
        <v>41109</v>
      </c>
      <c r="N4509" s="7" t="s">
        <v>41110</v>
      </c>
      <c r="O4509" s="7">
        <v>0.90300000000000002</v>
      </c>
      <c r="P4509" s="1" t="s">
        <v>41111</v>
      </c>
    </row>
    <row r="4510" spans="1:16" ht="17.05" x14ac:dyDescent="0.3">
      <c r="A4510" s="6" t="str">
        <f>HYPERLINK("https://www.ti.com/product/LP3950", "LP3950")</f>
        <v>LP3950</v>
      </c>
      <c r="B4510" s="5" t="s">
        <v>41112</v>
      </c>
      <c r="C4510" s="6" t="str">
        <f>HYPERLINK("https://www.ti.com/lit/gpn/LP3950", "PDF")</f>
        <v>PDF</v>
      </c>
      <c r="D4510" s="5" t="s">
        <v>41113</v>
      </c>
      <c r="E4510" s="5" t="s">
        <v>41114</v>
      </c>
      <c r="F4510" s="5" t="s">
        <v>41115</v>
      </c>
      <c r="G4510" s="5" t="s">
        <v>41116</v>
      </c>
      <c r="H4510" s="1" t="s">
        <v>41117</v>
      </c>
      <c r="I4510" s="5" t="s">
        <v>41118</v>
      </c>
      <c r="J4510" s="7">
        <v>32</v>
      </c>
      <c r="K4510" s="7">
        <v>24.75</v>
      </c>
      <c r="L4510" s="5" t="s">
        <v>41119</v>
      </c>
      <c r="M4510" s="7">
        <v>0.8</v>
      </c>
      <c r="N4510" s="7">
        <v>0.5</v>
      </c>
      <c r="O4510" s="7">
        <v>2.04</v>
      </c>
      <c r="P4510" s="1" t="s">
        <v>41120</v>
      </c>
    </row>
    <row r="4511" spans="1:16" ht="33.4" x14ac:dyDescent="0.3">
      <c r="A4511" s="6" t="str">
        <f>HYPERLINK("https://www.ti.com/product/TPS2042B", "TPS2042B")</f>
        <v>TPS2042B</v>
      </c>
      <c r="B4511" s="5" t="s">
        <v>41121</v>
      </c>
      <c r="C4511" s="6" t="str">
        <f>HYPERLINK("https://www.ti.com/lit/gpn/TPS2042B", "PDF")</f>
        <v>PDF</v>
      </c>
      <c r="D4511" s="5" t="s">
        <v>41122</v>
      </c>
      <c r="E4511" s="5" t="s">
        <v>41123</v>
      </c>
      <c r="F4511" s="5"/>
      <c r="G4511" s="5" t="s">
        <v>41124</v>
      </c>
      <c r="H4511" s="1" t="s">
        <v>41125</v>
      </c>
      <c r="I4511" s="5" t="s">
        <v>41126</v>
      </c>
      <c r="J4511" s="7">
        <v>8</v>
      </c>
      <c r="K4511" s="7" t="s">
        <v>41127</v>
      </c>
      <c r="L4511" s="5" t="s">
        <v>41128</v>
      </c>
      <c r="M4511" s="7" t="s">
        <v>41129</v>
      </c>
      <c r="N4511" s="7" t="s">
        <v>41130</v>
      </c>
      <c r="O4511" s="7">
        <v>0.46600000000000003</v>
      </c>
      <c r="P4511" s="1" t="s">
        <v>41131</v>
      </c>
    </row>
    <row r="4512" spans="1:16" ht="82.5" x14ac:dyDescent="0.3">
      <c r="A4512" s="6" t="str">
        <f>HYPERLINK("https://www.ti.com/product/LP38841", "LP38841")</f>
        <v>LP38841</v>
      </c>
      <c r="B4512" s="5" t="s">
        <v>41132</v>
      </c>
      <c r="C4512" s="6" t="str">
        <f>HYPERLINK("https://www.ti.com/lit/gpn/LP38841", "PDF")</f>
        <v>PDF</v>
      </c>
      <c r="D4512" s="5" t="s">
        <v>41133</v>
      </c>
      <c r="E4512" s="5" t="s">
        <v>41134</v>
      </c>
      <c r="F4512" s="5"/>
      <c r="G4512" s="5" t="s">
        <v>41135</v>
      </c>
      <c r="H4512" s="1" t="s">
        <v>41136</v>
      </c>
      <c r="I4512" s="5" t="s">
        <v>41137</v>
      </c>
      <c r="J4512" s="7">
        <v>5</v>
      </c>
      <c r="K4512" s="7" t="s">
        <v>41138</v>
      </c>
      <c r="L4512" s="5" t="s">
        <v>41139</v>
      </c>
      <c r="M4512" s="7" t="s">
        <v>41140</v>
      </c>
      <c r="N4512" s="7">
        <v>1.7</v>
      </c>
      <c r="O4512" s="7">
        <v>0.99</v>
      </c>
      <c r="P4512" s="1" t="s">
        <v>41141</v>
      </c>
    </row>
    <row r="4513" spans="1:16" ht="49.75" x14ac:dyDescent="0.3">
      <c r="A4513" s="6" t="str">
        <f>HYPERLINK("https://www.ti.com/product/TPS2051B", "TPS2051B")</f>
        <v>TPS2051B</v>
      </c>
      <c r="B4513" s="5" t="s">
        <v>41142</v>
      </c>
      <c r="C4513" s="6" t="str">
        <f>HYPERLINK("https://www.ti.com/lit/gpn/TPS2051B", "PDF")</f>
        <v>PDF</v>
      </c>
      <c r="D4513" s="5" t="s">
        <v>41143</v>
      </c>
      <c r="E4513" s="5" t="s">
        <v>41144</v>
      </c>
      <c r="F4513" s="5"/>
      <c r="G4513" s="5" t="s">
        <v>41145</v>
      </c>
      <c r="H4513" s="1" t="s">
        <v>41146</v>
      </c>
      <c r="I4513" s="5" t="s">
        <v>41147</v>
      </c>
      <c r="J4513" s="7" t="s">
        <v>41148</v>
      </c>
      <c r="K4513" s="7" t="s">
        <v>41149</v>
      </c>
      <c r="L4513" s="5" t="s">
        <v>41150</v>
      </c>
      <c r="M4513" s="7" t="s">
        <v>41151</v>
      </c>
      <c r="N4513" s="7" t="s">
        <v>41152</v>
      </c>
      <c r="O4513" s="7">
        <v>0.22700000000000001</v>
      </c>
      <c r="P4513" s="1" t="s">
        <v>41153</v>
      </c>
    </row>
    <row r="4514" spans="1:16" ht="33.4" x14ac:dyDescent="0.3">
      <c r="A4514" s="6" t="str">
        <f>HYPERLINK("https://www.ti.com/product/TPS2054B", "TPS2054B")</f>
        <v>TPS2054B</v>
      </c>
      <c r="B4514" s="5" t="s">
        <v>41154</v>
      </c>
      <c r="C4514" s="6" t="str">
        <f>HYPERLINK("https://www.ti.com/lit/gpn/TPS2054B", "PDF")</f>
        <v>PDF</v>
      </c>
      <c r="D4514" s="5" t="s">
        <v>41155</v>
      </c>
      <c r="E4514" s="5" t="s">
        <v>41156</v>
      </c>
      <c r="F4514" s="5"/>
      <c r="G4514" s="5" t="s">
        <v>41157</v>
      </c>
      <c r="H4514" s="1" t="s">
        <v>41158</v>
      </c>
      <c r="I4514" s="5" t="s">
        <v>41159</v>
      </c>
      <c r="J4514" s="7">
        <v>16</v>
      </c>
      <c r="K4514" s="7">
        <v>59.4</v>
      </c>
      <c r="L4514" s="5" t="s">
        <v>41160</v>
      </c>
      <c r="M4514" s="7">
        <v>1.75</v>
      </c>
      <c r="N4514" s="7">
        <v>1.27</v>
      </c>
      <c r="O4514" s="7">
        <v>1.1779999999999999</v>
      </c>
      <c r="P4514" s="1" t="s">
        <v>41161</v>
      </c>
    </row>
    <row r="4515" spans="1:16" ht="33.4" x14ac:dyDescent="0.3">
      <c r="A4515" s="6" t="str">
        <f>HYPERLINK("https://www.ti.com/product/LM2735", "LM2735")</f>
        <v>LM2735</v>
      </c>
      <c r="B4515" s="5" t="s">
        <v>41162</v>
      </c>
      <c r="C4515" s="6" t="str">
        <f>HYPERLINK("https://www.ti.com/lit/gpn/LM2735", "PDF")</f>
        <v>PDF</v>
      </c>
      <c r="D4515" s="5" t="s">
        <v>41163</v>
      </c>
      <c r="E4515" s="5" t="s">
        <v>41164</v>
      </c>
      <c r="F4515" s="5" t="s">
        <v>41165</v>
      </c>
      <c r="G4515" s="5" t="s">
        <v>41166</v>
      </c>
      <c r="H4515" s="1" t="s">
        <v>41167</v>
      </c>
      <c r="I4515" s="5" t="s">
        <v>41168</v>
      </c>
      <c r="J4515" s="7" t="s">
        <v>41169</v>
      </c>
      <c r="K4515" s="7" t="s">
        <v>41170</v>
      </c>
      <c r="L4515" s="5" t="s">
        <v>41171</v>
      </c>
      <c r="M4515" s="7" t="s">
        <v>41172</v>
      </c>
      <c r="N4515" s="7" t="s">
        <v>41173</v>
      </c>
      <c r="O4515" s="7">
        <v>0.91900000000000004</v>
      </c>
      <c r="P4515" s="1" t="s">
        <v>41174</v>
      </c>
    </row>
    <row r="4516" spans="1:16" ht="33.4" x14ac:dyDescent="0.3">
      <c r="A4516" s="6" t="str">
        <f>HYPERLINK("https://www.ti.com/product/LM2735-Q1", "LM2735-Q1")</f>
        <v>LM2735-Q1</v>
      </c>
      <c r="B4516" s="5" t="s">
        <v>41175</v>
      </c>
      <c r="C4516" s="6" t="str">
        <f>HYPERLINK("https://www.ti.com/lit/gpn/LM2735-Q1", "PDF")</f>
        <v>PDF</v>
      </c>
      <c r="D4516" s="5" t="s">
        <v>41176</v>
      </c>
      <c r="E4516" s="5" t="s">
        <v>41177</v>
      </c>
      <c r="F4516" s="5" t="s">
        <v>41178</v>
      </c>
      <c r="G4516" s="5" t="s">
        <v>41179</v>
      </c>
      <c r="H4516" s="1" t="s">
        <v>41180</v>
      </c>
      <c r="I4516" s="5" t="s">
        <v>41181</v>
      </c>
      <c r="J4516" s="7" t="s">
        <v>41182</v>
      </c>
      <c r="K4516" s="7" t="s">
        <v>41183</v>
      </c>
      <c r="L4516" s="5" t="s">
        <v>41184</v>
      </c>
      <c r="M4516" s="7" t="s">
        <v>41185</v>
      </c>
      <c r="N4516" s="7">
        <v>0.95</v>
      </c>
      <c r="O4516" s="7">
        <v>1.0840000000000001</v>
      </c>
      <c r="P4516" s="1" t="s">
        <v>41186</v>
      </c>
    </row>
    <row r="4517" spans="1:16" ht="33.4" x14ac:dyDescent="0.3">
      <c r="A4517" s="6" t="str">
        <f>HYPERLINK("https://www.ti.com/product/TPS62208", "TPS62208")</f>
        <v>TPS62208</v>
      </c>
      <c r="B4517" s="5" t="s">
        <v>41187</v>
      </c>
      <c r="C4517" s="6" t="str">
        <f>HYPERLINK("https://www.ti.com/lit/gpn/TPS62208", "PDF")</f>
        <v>PDF</v>
      </c>
      <c r="D4517" s="5" t="s">
        <v>41188</v>
      </c>
      <c r="E4517" s="5" t="s">
        <v>41189</v>
      </c>
      <c r="F4517" s="5" t="s">
        <v>41190</v>
      </c>
      <c r="G4517" s="5" t="s">
        <v>41191</v>
      </c>
      <c r="H4517" s="1" t="s">
        <v>41192</v>
      </c>
      <c r="I4517" s="5" t="s">
        <v>41193</v>
      </c>
      <c r="J4517" s="7">
        <v>5</v>
      </c>
      <c r="K4517" s="7">
        <v>8.1199999999999992</v>
      </c>
      <c r="L4517" s="5" t="s">
        <v>41194</v>
      </c>
      <c r="M4517" s="7">
        <v>1.45</v>
      </c>
      <c r="N4517" s="7">
        <v>0.95</v>
      </c>
      <c r="O4517" s="7">
        <v>0.47799999999999998</v>
      </c>
      <c r="P4517" s="1" t="s">
        <v>41195</v>
      </c>
    </row>
    <row r="4518" spans="1:16" ht="49.75" x14ac:dyDescent="0.3">
      <c r="A4518" s="6" t="str">
        <f>HYPERLINK("https://www.ti.com/product/PTH12010Y", "PTH12010Y")</f>
        <v>PTH12010Y</v>
      </c>
      <c r="B4518" s="5" t="s">
        <v>41196</v>
      </c>
      <c r="C4518" s="6" t="str">
        <f>HYPERLINK("https://www.ti.com/lit/gpn/PTH12010Y", "PDF")</f>
        <v>PDF</v>
      </c>
      <c r="D4518" s="5" t="s">
        <v>41197</v>
      </c>
      <c r="E4518" s="5" t="s">
        <v>41198</v>
      </c>
      <c r="F4518" s="5" t="s">
        <v>41199</v>
      </c>
      <c r="G4518" s="5" t="s">
        <v>41200</v>
      </c>
      <c r="H4518" s="1" t="s">
        <v>41201</v>
      </c>
      <c r="I4518" s="5" t="s">
        <v>41202</v>
      </c>
      <c r="J4518" s="7">
        <v>10</v>
      </c>
      <c r="K4518" s="7" t="s">
        <v>41203</v>
      </c>
      <c r="L4518" s="5" t="s">
        <v>41204</v>
      </c>
      <c r="M4518" s="7">
        <v>9</v>
      </c>
      <c r="N4518" s="7">
        <v>3.1749999999999998</v>
      </c>
      <c r="O4518" s="7">
        <v>22.565999999999999</v>
      </c>
      <c r="P4518" s="1" t="s">
        <v>41205</v>
      </c>
    </row>
    <row r="4519" spans="1:16" ht="33.4" x14ac:dyDescent="0.3">
      <c r="A4519" s="6" t="str">
        <f>HYPERLINK("https://www.ti.com/product/PTH12050Y", "PTH12050Y")</f>
        <v>PTH12050Y</v>
      </c>
      <c r="B4519" s="5" t="s">
        <v>41206</v>
      </c>
      <c r="C4519" s="6" t="str">
        <f>HYPERLINK("https://www.ti.com/lit/gpn/PTH12050Y", "PDF")</f>
        <v>PDF</v>
      </c>
      <c r="D4519" s="5" t="s">
        <v>41207</v>
      </c>
      <c r="E4519" s="5" t="s">
        <v>41208</v>
      </c>
      <c r="F4519" s="5" t="s">
        <v>41209</v>
      </c>
      <c r="G4519" s="5" t="s">
        <v>41210</v>
      </c>
      <c r="H4519" s="1" t="s">
        <v>41211</v>
      </c>
      <c r="I4519" s="5" t="s">
        <v>41212</v>
      </c>
      <c r="J4519" s="7">
        <v>6</v>
      </c>
      <c r="K4519" s="7">
        <v>314.20080000000002</v>
      </c>
      <c r="L4519" s="5" t="s">
        <v>41213</v>
      </c>
      <c r="M4519" s="7">
        <v>8.5</v>
      </c>
      <c r="N4519" s="7">
        <v>3.1749999999999998</v>
      </c>
      <c r="O4519" s="7">
        <v>13.423999999999999</v>
      </c>
      <c r="P4519" s="1" t="s">
        <v>41214</v>
      </c>
    </row>
    <row r="4520" spans="1:16" ht="33.4" x14ac:dyDescent="0.3">
      <c r="A4520" s="6" t="str">
        <f>HYPERLINK("https://www.ti.com/product/PTH12060Y", "PTH12060Y")</f>
        <v>PTH12060Y</v>
      </c>
      <c r="B4520" s="5" t="s">
        <v>41215</v>
      </c>
      <c r="C4520" s="6" t="str">
        <f>HYPERLINK("https://www.ti.com/lit/gpn/PTH12060Y", "PDF")</f>
        <v>PDF</v>
      </c>
      <c r="D4520" s="5" t="s">
        <v>41216</v>
      </c>
      <c r="E4520" s="5" t="s">
        <v>41217</v>
      </c>
      <c r="F4520" s="5" t="s">
        <v>41218</v>
      </c>
      <c r="G4520" s="5" t="s">
        <v>41219</v>
      </c>
      <c r="H4520" s="1" t="s">
        <v>41220</v>
      </c>
      <c r="I4520" s="5" t="s">
        <v>41221</v>
      </c>
      <c r="J4520" s="7">
        <v>10</v>
      </c>
      <c r="K4520" s="7">
        <v>440.62040000000002</v>
      </c>
      <c r="L4520" s="5" t="s">
        <v>41222</v>
      </c>
      <c r="M4520" s="7">
        <v>9</v>
      </c>
      <c r="N4520" s="7">
        <v>3.1749999999999998</v>
      </c>
      <c r="O4520" s="7">
        <v>19.067</v>
      </c>
      <c r="P4520" s="1" t="s">
        <v>41223</v>
      </c>
    </row>
    <row r="4521" spans="1:16" ht="33.4" x14ac:dyDescent="0.3">
      <c r="A4521" s="6" t="str">
        <f>HYPERLINK("https://www.ti.com/product/TPS2110A", "TPS2110A")</f>
        <v>TPS2110A</v>
      </c>
      <c r="B4521" s="5" t="s">
        <v>41224</v>
      </c>
      <c r="C4521" s="6" t="str">
        <f>HYPERLINK("https://www.ti.com/lit/gpn/TPS2110A", "PDF")</f>
        <v>PDF</v>
      </c>
      <c r="D4521" s="5" t="s">
        <v>41225</v>
      </c>
      <c r="E4521" s="5" t="s">
        <v>41226</v>
      </c>
      <c r="F4521" s="5"/>
      <c r="G4521" s="5" t="s">
        <v>41227</v>
      </c>
      <c r="H4521" s="1" t="s">
        <v>41228</v>
      </c>
      <c r="I4521" s="5" t="s">
        <v>41229</v>
      </c>
      <c r="J4521" s="7">
        <v>8</v>
      </c>
      <c r="K4521" s="7">
        <v>19.2</v>
      </c>
      <c r="L4521" s="5" t="s">
        <v>41230</v>
      </c>
      <c r="M4521" s="7">
        <v>1.2</v>
      </c>
      <c r="N4521" s="7">
        <v>0.65</v>
      </c>
      <c r="O4521" s="7">
        <v>1.002</v>
      </c>
      <c r="P4521" s="1" t="s">
        <v>41231</v>
      </c>
    </row>
    <row r="4522" spans="1:16" ht="33.4" x14ac:dyDescent="0.3">
      <c r="A4522" s="6" t="str">
        <f>HYPERLINK("https://www.ti.com/product/TPS2111A", "TPS2111A")</f>
        <v>TPS2111A</v>
      </c>
      <c r="B4522" s="5" t="s">
        <v>41232</v>
      </c>
      <c r="C4522" s="6" t="str">
        <f>HYPERLINK("https://www.ti.com/lit/gpn/TPS2111A", "PDF")</f>
        <v>PDF</v>
      </c>
      <c r="D4522" s="5" t="s">
        <v>41233</v>
      </c>
      <c r="E4522" s="5" t="s">
        <v>41234</v>
      </c>
      <c r="F4522" s="5"/>
      <c r="G4522" s="5" t="s">
        <v>41235</v>
      </c>
      <c r="H4522" s="1" t="s">
        <v>41236</v>
      </c>
      <c r="I4522" s="5" t="s">
        <v>41237</v>
      </c>
      <c r="J4522" s="7">
        <v>8</v>
      </c>
      <c r="K4522" s="7">
        <v>19.2</v>
      </c>
      <c r="L4522" s="5" t="s">
        <v>41238</v>
      </c>
      <c r="M4522" s="7">
        <v>1.2</v>
      </c>
      <c r="N4522" s="7">
        <v>0.65</v>
      </c>
      <c r="O4522" s="7">
        <v>1.002</v>
      </c>
      <c r="P4522" s="1" t="s">
        <v>41239</v>
      </c>
    </row>
    <row r="4523" spans="1:16" ht="33.4" x14ac:dyDescent="0.3">
      <c r="A4523" s="6" t="str">
        <f>HYPERLINK("https://www.ti.com/product/TPS2112A", "TPS2112A")</f>
        <v>TPS2112A</v>
      </c>
      <c r="B4523" s="5" t="s">
        <v>41240</v>
      </c>
      <c r="C4523" s="6" t="str">
        <f>HYPERLINK("https://www.ti.com/lit/gpn/TPS2112A", "PDF")</f>
        <v>PDF</v>
      </c>
      <c r="D4523" s="5" t="s">
        <v>41241</v>
      </c>
      <c r="E4523" s="5" t="s">
        <v>41242</v>
      </c>
      <c r="F4523" s="5"/>
      <c r="G4523" s="5" t="s">
        <v>41243</v>
      </c>
      <c r="H4523" s="1" t="s">
        <v>41244</v>
      </c>
      <c r="I4523" s="5" t="s">
        <v>41245</v>
      </c>
      <c r="J4523" s="7">
        <v>8</v>
      </c>
      <c r="K4523" s="7">
        <v>19.2</v>
      </c>
      <c r="L4523" s="5" t="s">
        <v>41246</v>
      </c>
      <c r="M4523" s="7">
        <v>1.2</v>
      </c>
      <c r="N4523" s="7">
        <v>0.65</v>
      </c>
      <c r="O4523" s="7">
        <v>1.002</v>
      </c>
      <c r="P4523" s="1" t="s">
        <v>41247</v>
      </c>
    </row>
    <row r="4524" spans="1:16" ht="33.4" x14ac:dyDescent="0.3">
      <c r="A4524" s="6" t="str">
        <f>HYPERLINK("https://www.ti.com/product/TPS2113A", "TPS2113A")</f>
        <v>TPS2113A</v>
      </c>
      <c r="B4524" s="5" t="s">
        <v>41248</v>
      </c>
      <c r="C4524" s="6" t="str">
        <f>HYPERLINK("https://www.ti.com/lit/gpn/TPS2113A", "PDF")</f>
        <v>PDF</v>
      </c>
      <c r="D4524" s="5" t="s">
        <v>41249</v>
      </c>
      <c r="E4524" s="5" t="s">
        <v>41250</v>
      </c>
      <c r="F4524" s="5"/>
      <c r="G4524" s="5" t="s">
        <v>41251</v>
      </c>
      <c r="H4524" s="1" t="s">
        <v>41252</v>
      </c>
      <c r="I4524" s="5" t="s">
        <v>41253</v>
      </c>
      <c r="J4524" s="7">
        <v>8</v>
      </c>
      <c r="K4524" s="7" t="s">
        <v>41254</v>
      </c>
      <c r="L4524" s="5" t="s">
        <v>41255</v>
      </c>
      <c r="M4524" s="7" t="s">
        <v>41256</v>
      </c>
      <c r="N4524" s="7">
        <v>0.65</v>
      </c>
      <c r="O4524" s="7">
        <v>0.85199999999999998</v>
      </c>
      <c r="P4524" s="1" t="s">
        <v>41257</v>
      </c>
    </row>
    <row r="4525" spans="1:16" ht="33.4" x14ac:dyDescent="0.3">
      <c r="A4525" s="6" t="str">
        <f>HYPERLINK("https://www.ti.com/product/TPS2114A", "TPS2114A")</f>
        <v>TPS2114A</v>
      </c>
      <c r="B4525" s="5" t="s">
        <v>41258</v>
      </c>
      <c r="C4525" s="6" t="str">
        <f>HYPERLINK("https://www.ti.com/lit/gpn/TPS2114A", "PDF")</f>
        <v>PDF</v>
      </c>
      <c r="D4525" s="5" t="s">
        <v>41259</v>
      </c>
      <c r="E4525" s="5" t="s">
        <v>41260</v>
      </c>
      <c r="F4525" s="5"/>
      <c r="G4525" s="5" t="s">
        <v>41261</v>
      </c>
      <c r="H4525" s="1" t="s">
        <v>41262</v>
      </c>
      <c r="I4525" s="5" t="s">
        <v>41263</v>
      </c>
      <c r="J4525" s="7">
        <v>8</v>
      </c>
      <c r="K4525" s="7">
        <v>19.2</v>
      </c>
      <c r="L4525" s="5" t="s">
        <v>41264</v>
      </c>
      <c r="M4525" s="7">
        <v>1.2</v>
      </c>
      <c r="N4525" s="7">
        <v>0.65</v>
      </c>
      <c r="O4525" s="7">
        <v>1.002</v>
      </c>
      <c r="P4525" s="1" t="s">
        <v>41265</v>
      </c>
    </row>
    <row r="4526" spans="1:16" ht="33.4" x14ac:dyDescent="0.3">
      <c r="A4526" s="6" t="str">
        <f>HYPERLINK("https://www.ti.com/product/TPS2115A", "TPS2115A")</f>
        <v>TPS2115A</v>
      </c>
      <c r="B4526" s="5" t="s">
        <v>41266</v>
      </c>
      <c r="C4526" s="6" t="str">
        <f>HYPERLINK("https://www.ti.com/lit/gpn/TPS2115A", "PDF")</f>
        <v>PDF</v>
      </c>
      <c r="D4526" s="5" t="s">
        <v>41267</v>
      </c>
      <c r="E4526" s="5" t="s">
        <v>41268</v>
      </c>
      <c r="F4526" s="5"/>
      <c r="G4526" s="5" t="s">
        <v>41269</v>
      </c>
      <c r="H4526" s="1" t="s">
        <v>41270</v>
      </c>
      <c r="I4526" s="5" t="s">
        <v>41271</v>
      </c>
      <c r="J4526" s="7">
        <v>8</v>
      </c>
      <c r="K4526" s="7" t="s">
        <v>41272</v>
      </c>
      <c r="L4526" s="5" t="s">
        <v>41273</v>
      </c>
      <c r="M4526" s="7" t="s">
        <v>41274</v>
      </c>
      <c r="N4526" s="7">
        <v>0.65</v>
      </c>
      <c r="O4526" s="7">
        <v>0.85199999999999998</v>
      </c>
      <c r="P4526" s="1" t="s">
        <v>41275</v>
      </c>
    </row>
    <row r="4527" spans="1:16" ht="33.4" x14ac:dyDescent="0.3">
      <c r="A4527" s="6" t="str">
        <f>HYPERLINK("https://www.ti.com/product/LM2742", "LM2742")</f>
        <v>LM2742</v>
      </c>
      <c r="B4527" s="5" t="s">
        <v>41276</v>
      </c>
      <c r="C4527" s="6" t="str">
        <f>HYPERLINK("https://www.ti.com/lit/gpn/LM2742", "PDF")</f>
        <v>PDF</v>
      </c>
      <c r="D4527" s="5" t="s">
        <v>41277</v>
      </c>
      <c r="E4527" s="5" t="s">
        <v>41278</v>
      </c>
      <c r="F4527" s="5" t="s">
        <v>41279</v>
      </c>
      <c r="G4527" s="5" t="s">
        <v>41280</v>
      </c>
      <c r="H4527" s="1" t="s">
        <v>41281</v>
      </c>
      <c r="I4527" s="5" t="s">
        <v>41282</v>
      </c>
      <c r="J4527" s="7">
        <v>14</v>
      </c>
      <c r="K4527" s="7">
        <v>32</v>
      </c>
      <c r="L4527" s="5" t="s">
        <v>41283</v>
      </c>
      <c r="M4527" s="7">
        <v>1.2</v>
      </c>
      <c r="N4527" s="7">
        <v>0.65</v>
      </c>
      <c r="O4527" s="7">
        <v>0.97899999999999998</v>
      </c>
      <c r="P4527" s="1" t="s">
        <v>41284</v>
      </c>
    </row>
    <row r="4528" spans="1:16" ht="49.75" x14ac:dyDescent="0.3">
      <c r="A4528" s="6" t="str">
        <f>HYPERLINK("https://www.ti.com/product/LP38842", "LP38842")</f>
        <v>LP38842</v>
      </c>
      <c r="B4528" s="5" t="s">
        <v>41285</v>
      </c>
      <c r="C4528" s="6" t="str">
        <f>HYPERLINK("https://www.ti.com/lit/gpn/LP38842", "PDF")</f>
        <v>PDF</v>
      </c>
      <c r="D4528" s="5" t="s">
        <v>41286</v>
      </c>
      <c r="E4528" s="5" t="s">
        <v>41287</v>
      </c>
      <c r="F4528" s="5"/>
      <c r="G4528" s="5" t="s">
        <v>41288</v>
      </c>
      <c r="H4528" s="1" t="s">
        <v>41289</v>
      </c>
      <c r="I4528" s="5" t="s">
        <v>41290</v>
      </c>
      <c r="J4528" s="7">
        <v>5</v>
      </c>
      <c r="K4528" s="7" t="s">
        <v>41291</v>
      </c>
      <c r="L4528" s="5" t="s">
        <v>41292</v>
      </c>
      <c r="M4528" s="7" t="s">
        <v>41293</v>
      </c>
      <c r="N4528" s="7">
        <v>1.7</v>
      </c>
      <c r="O4528" s="7">
        <v>1.478</v>
      </c>
      <c r="P4528" s="1" t="s">
        <v>41294</v>
      </c>
    </row>
    <row r="4529" spans="1:16" ht="49.75" x14ac:dyDescent="0.3">
      <c r="A4529" s="6" t="str">
        <f>HYPERLINK("https://www.ti.com/product/LP38843", "LP38843")</f>
        <v>LP38843</v>
      </c>
      <c r="B4529" s="5" t="s">
        <v>41295</v>
      </c>
      <c r="C4529" s="6" t="str">
        <f>HYPERLINK("https://www.ti.com/lit/gpn/LP38843", "PDF")</f>
        <v>PDF</v>
      </c>
      <c r="D4529" s="5" t="s">
        <v>41296</v>
      </c>
      <c r="E4529" s="5" t="s">
        <v>41297</v>
      </c>
      <c r="F4529" s="5"/>
      <c r="G4529" s="5" t="s">
        <v>41298</v>
      </c>
      <c r="H4529" s="1" t="s">
        <v>41299</v>
      </c>
      <c r="I4529" s="5" t="s">
        <v>41300</v>
      </c>
      <c r="J4529" s="7">
        <v>5</v>
      </c>
      <c r="K4529" s="7" t="s">
        <v>41301</v>
      </c>
      <c r="L4529" s="5" t="s">
        <v>41302</v>
      </c>
      <c r="M4529" s="7" t="s">
        <v>41303</v>
      </c>
      <c r="N4529" s="7">
        <v>1.7</v>
      </c>
      <c r="O4529" s="7">
        <v>2.0299999999999998</v>
      </c>
      <c r="P4529" s="1" t="s">
        <v>41304</v>
      </c>
    </row>
    <row r="4530" spans="1:16" ht="33.4" x14ac:dyDescent="0.3">
      <c r="A4530" s="6" t="str">
        <f>HYPERLINK("https://www.ti.com/product/TPS2053B", "TPS2053B")</f>
        <v>TPS2053B</v>
      </c>
      <c r="B4530" s="5" t="s">
        <v>41305</v>
      </c>
      <c r="C4530" s="6" t="str">
        <f>HYPERLINK("https://www.ti.com/lit/gpn/TPS2053B", "PDF")</f>
        <v>PDF</v>
      </c>
      <c r="D4530" s="5" t="s">
        <v>41306</v>
      </c>
      <c r="E4530" s="5" t="s">
        <v>41307</v>
      </c>
      <c r="F4530" s="5"/>
      <c r="G4530" s="5" t="s">
        <v>41308</v>
      </c>
      <c r="H4530" s="1" t="s">
        <v>41309</v>
      </c>
      <c r="I4530" s="5" t="s">
        <v>41310</v>
      </c>
      <c r="J4530" s="7">
        <v>16</v>
      </c>
      <c r="K4530" s="7">
        <v>59.4</v>
      </c>
      <c r="L4530" s="5" t="s">
        <v>41311</v>
      </c>
      <c r="M4530" s="7">
        <v>1.75</v>
      </c>
      <c r="N4530" s="7">
        <v>1.27</v>
      </c>
      <c r="O4530" s="7">
        <v>0.81</v>
      </c>
      <c r="P4530" s="1" t="s">
        <v>41312</v>
      </c>
    </row>
    <row r="4531" spans="1:16" ht="33.4" x14ac:dyDescent="0.3">
      <c r="A4531" s="6" t="str">
        <f>HYPERLINK("https://www.ti.com/product/LM2770", "LM2770")</f>
        <v>LM2770</v>
      </c>
      <c r="B4531" s="5" t="s">
        <v>41313</v>
      </c>
      <c r="C4531" s="6" t="str">
        <f>HYPERLINK("https://www.ti.com/lit/gpn/LM2770", "PDF")</f>
        <v>PDF</v>
      </c>
      <c r="D4531" s="5" t="s">
        <v>41314</v>
      </c>
      <c r="E4531" s="5" t="s">
        <v>41315</v>
      </c>
      <c r="F4531" s="5"/>
      <c r="G4531" s="5" t="s">
        <v>41316</v>
      </c>
      <c r="H4531" s="1" t="s">
        <v>41317</v>
      </c>
      <c r="I4531" s="5" t="s">
        <v>41318</v>
      </c>
      <c r="J4531" s="7">
        <v>10</v>
      </c>
      <c r="K4531" s="7">
        <v>9</v>
      </c>
      <c r="L4531" s="5" t="s">
        <v>41319</v>
      </c>
      <c r="M4531" s="7">
        <v>0.8</v>
      </c>
      <c r="N4531" s="7">
        <v>0.5</v>
      </c>
      <c r="O4531" s="7">
        <v>0.41</v>
      </c>
      <c r="P4531" s="1" t="s">
        <v>41320</v>
      </c>
    </row>
    <row r="4532" spans="1:16" ht="33.4" x14ac:dyDescent="0.3">
      <c r="A4532" s="6" t="str">
        <f>HYPERLINK("https://www.ti.com/product/LM5008", "LM5008")</f>
        <v>LM5008</v>
      </c>
      <c r="B4532" s="5" t="s">
        <v>41321</v>
      </c>
      <c r="C4532" s="6" t="str">
        <f>HYPERLINK("https://www.ti.com/lit/gpn/LM5008", "PDF")</f>
        <v>PDF</v>
      </c>
      <c r="D4532" s="5" t="s">
        <v>41322</v>
      </c>
      <c r="E4532" s="5" t="s">
        <v>41323</v>
      </c>
      <c r="F4532" s="5" t="s">
        <v>41324</v>
      </c>
      <c r="G4532" s="5" t="s">
        <v>41325</v>
      </c>
      <c r="H4532" s="1" t="s">
        <v>41326</v>
      </c>
      <c r="I4532" s="5" t="s">
        <v>41327</v>
      </c>
      <c r="J4532" s="7">
        <v>8</v>
      </c>
      <c r="K4532" s="7" t="s">
        <v>41328</v>
      </c>
      <c r="L4532" s="5" t="s">
        <v>41329</v>
      </c>
      <c r="M4532" s="7" t="s">
        <v>41330</v>
      </c>
      <c r="N4532" s="7" t="s">
        <v>41331</v>
      </c>
      <c r="O4532" s="7">
        <v>1.216</v>
      </c>
      <c r="P4532" s="1" t="s">
        <v>41332</v>
      </c>
    </row>
    <row r="4533" spans="1:16" ht="33.4" x14ac:dyDescent="0.3">
      <c r="A4533" s="6" t="str">
        <f>HYPERLINK("https://www.ti.com/product/TPS65012", "TPS65012")</f>
        <v>TPS65012</v>
      </c>
      <c r="B4533" s="5" t="s">
        <v>41333</v>
      </c>
      <c r="C4533" s="6" t="str">
        <f>HYPERLINK("https://www.ti.com/lit/gpn/TPS65012", "PDF")</f>
        <v>PDF</v>
      </c>
      <c r="D4533" s="5" t="s">
        <v>41334</v>
      </c>
      <c r="E4533" s="5" t="s">
        <v>41335</v>
      </c>
      <c r="F4533" s="5"/>
      <c r="G4533" s="5" t="s">
        <v>41336</v>
      </c>
      <c r="H4533" s="1" t="s">
        <v>41337</v>
      </c>
      <c r="I4533" s="5" t="s">
        <v>41338</v>
      </c>
      <c r="J4533" s="7">
        <v>48</v>
      </c>
      <c r="K4533" s="7">
        <v>49</v>
      </c>
      <c r="L4533" s="5" t="s">
        <v>41339</v>
      </c>
      <c r="M4533" s="7">
        <v>1</v>
      </c>
      <c r="N4533" s="7">
        <v>0.5</v>
      </c>
      <c r="O4533" s="7">
        <v>2.3239999999999998</v>
      </c>
      <c r="P4533" s="1" t="s">
        <v>41340</v>
      </c>
    </row>
    <row r="4534" spans="1:16" ht="33.4" x14ac:dyDescent="0.3">
      <c r="A4534" s="6" t="str">
        <f>HYPERLINK("https://www.ti.com/product/LM5115", "LM5115")</f>
        <v>LM5115</v>
      </c>
      <c r="B4534" s="5" t="s">
        <v>41341</v>
      </c>
      <c r="C4534" s="6" t="str">
        <f>HYPERLINK("https://www.ti.com/lit/gpn/LM5115", "PDF")</f>
        <v>PDF</v>
      </c>
      <c r="D4534" s="5" t="s">
        <v>41342</v>
      </c>
      <c r="E4534" s="5" t="s">
        <v>41343</v>
      </c>
      <c r="F4534" s="5" t="s">
        <v>41344</v>
      </c>
      <c r="G4534" s="5" t="s">
        <v>41345</v>
      </c>
      <c r="H4534" s="1" t="s">
        <v>41346</v>
      </c>
      <c r="I4534" s="5" t="s">
        <v>41347</v>
      </c>
      <c r="J4534" s="7">
        <v>16</v>
      </c>
      <c r="K4534" s="7" t="s">
        <v>41348</v>
      </c>
      <c r="L4534" s="5" t="s">
        <v>41349</v>
      </c>
      <c r="M4534" s="7" t="s">
        <v>41350</v>
      </c>
      <c r="N4534" s="7" t="s">
        <v>41351</v>
      </c>
      <c r="O4534" s="7">
        <v>1.8340000000000001</v>
      </c>
      <c r="P4534" s="1" t="s">
        <v>41352</v>
      </c>
    </row>
    <row r="4535" spans="1:16" ht="33.4" x14ac:dyDescent="0.3">
      <c r="A4535" s="6" t="str">
        <f>HYPERLINK("https://www.ti.com/product/LM2796", "LM2796")</f>
        <v>LM2796</v>
      </c>
      <c r="B4535" s="5" t="s">
        <v>41353</v>
      </c>
      <c r="C4535" s="6" t="str">
        <f>HYPERLINK("https://www.ti.com/lit/gpn/LM2796", "PDF")</f>
        <v>PDF</v>
      </c>
      <c r="D4535" s="5" t="s">
        <v>41354</v>
      </c>
      <c r="E4535" s="5" t="s">
        <v>41355</v>
      </c>
      <c r="F4535" s="5" t="s">
        <v>41356</v>
      </c>
      <c r="G4535" s="5" t="s">
        <v>41357</v>
      </c>
      <c r="H4535" s="1" t="s">
        <v>41358</v>
      </c>
      <c r="I4535" s="5" t="s">
        <v>41359</v>
      </c>
      <c r="J4535" s="7">
        <v>18</v>
      </c>
      <c r="K4535" s="7">
        <v>5.5845000000000002</v>
      </c>
      <c r="L4535" s="5" t="s">
        <v>41360</v>
      </c>
      <c r="M4535" s="7">
        <v>0.67500000000000004</v>
      </c>
      <c r="N4535" s="7">
        <v>0.5</v>
      </c>
      <c r="O4535" s="7">
        <v>0.65500000000000003</v>
      </c>
      <c r="P4535" s="1" t="s">
        <v>41361</v>
      </c>
    </row>
    <row r="4536" spans="1:16" ht="17.05" x14ac:dyDescent="0.3">
      <c r="A4536" s="6" t="str">
        <f>HYPERLINK("https://www.ti.com/product/TPS3306-Q1", "TPS3306-Q1")</f>
        <v>TPS3306-Q1</v>
      </c>
      <c r="B4536" s="5" t="s">
        <v>41362</v>
      </c>
      <c r="C4536" s="6" t="str">
        <f>HYPERLINK("https://www.ti.com/lit/gpn/TPS3306-Q1", "PDF")</f>
        <v>PDF</v>
      </c>
      <c r="D4536" s="5" t="s">
        <v>41363</v>
      </c>
      <c r="E4536" s="5" t="s">
        <v>41364</v>
      </c>
      <c r="F4536" s="5"/>
      <c r="G4536" s="5" t="s">
        <v>41365</v>
      </c>
      <c r="H4536" s="1" t="s">
        <v>41366</v>
      </c>
      <c r="I4536" s="5" t="s">
        <v>41367</v>
      </c>
      <c r="J4536" s="7">
        <v>8</v>
      </c>
      <c r="K4536" s="7">
        <v>29.4</v>
      </c>
      <c r="L4536" s="5" t="s">
        <v>41368</v>
      </c>
      <c r="M4536" s="7">
        <v>1.75</v>
      </c>
      <c r="N4536" s="7">
        <v>1.27</v>
      </c>
      <c r="O4536" s="7">
        <v>1.3660000000000001</v>
      </c>
      <c r="P4536" s="1" t="s">
        <v>41369</v>
      </c>
    </row>
    <row r="4537" spans="1:16" ht="33.4" x14ac:dyDescent="0.3">
      <c r="A4537" s="6" t="str">
        <f>HYPERLINK("https://www.ti.com/product/TPS65011", "TPS65011")</f>
        <v>TPS65011</v>
      </c>
      <c r="B4537" s="5" t="s">
        <v>41370</v>
      </c>
      <c r="C4537" s="6" t="str">
        <f>HYPERLINK("https://www.ti.com/lit/gpn/TPS65011", "PDF")</f>
        <v>PDF</v>
      </c>
      <c r="D4537" s="5" t="s">
        <v>41371</v>
      </c>
      <c r="E4537" s="5" t="s">
        <v>41372</v>
      </c>
      <c r="F4537" s="5"/>
      <c r="G4537" s="5" t="s">
        <v>41373</v>
      </c>
      <c r="H4537" s="1" t="s">
        <v>41374</v>
      </c>
      <c r="I4537" s="5" t="s">
        <v>41375</v>
      </c>
      <c r="J4537" s="7">
        <v>48</v>
      </c>
      <c r="K4537" s="7">
        <v>49</v>
      </c>
      <c r="L4537" s="5" t="s">
        <v>41376</v>
      </c>
      <c r="M4537" s="7">
        <v>1</v>
      </c>
      <c r="N4537" s="7">
        <v>0.5</v>
      </c>
      <c r="O4537" s="7">
        <v>2.3239999999999998</v>
      </c>
      <c r="P4537" s="1" t="s">
        <v>41377</v>
      </c>
    </row>
    <row r="4538" spans="1:16" ht="33.4" x14ac:dyDescent="0.3">
      <c r="A4538" s="6" t="str">
        <f>HYPERLINK("https://www.ti.com/product/TPS767D3-Q1", "TPS767D3-Q1")</f>
        <v>TPS767D3-Q1</v>
      </c>
      <c r="B4538" s="5" t="s">
        <v>41378</v>
      </c>
      <c r="C4538" s="6" t="str">
        <f>HYPERLINK("https://www.ti.com/lit/gpn/TPS767D3-Q1", "PDF")</f>
        <v>PDF</v>
      </c>
      <c r="D4538" s="5" t="s">
        <v>41379</v>
      </c>
      <c r="E4538" s="5" t="s">
        <v>41380</v>
      </c>
      <c r="F4538" s="5"/>
      <c r="G4538" s="5" t="s">
        <v>41381</v>
      </c>
      <c r="H4538" s="1" t="s">
        <v>41382</v>
      </c>
      <c r="I4538" s="5" t="s">
        <v>41383</v>
      </c>
      <c r="J4538" s="7">
        <v>28</v>
      </c>
      <c r="K4538" s="7">
        <v>62.08</v>
      </c>
      <c r="L4538" s="5" t="s">
        <v>41384</v>
      </c>
      <c r="M4538" s="7">
        <v>1.2</v>
      </c>
      <c r="N4538" s="7">
        <v>0.65</v>
      </c>
      <c r="O4538" s="7">
        <v>3.1120000000000001</v>
      </c>
      <c r="P4538" s="1" t="s">
        <v>41385</v>
      </c>
    </row>
    <row r="4539" spans="1:16" ht="33.4" x14ac:dyDescent="0.3">
      <c r="A4539" s="6" t="str">
        <f>HYPERLINK("https://www.ti.com/product/LM5070", "LM5070")</f>
        <v>LM5070</v>
      </c>
      <c r="B4539" s="5" t="s">
        <v>41386</v>
      </c>
      <c r="C4539" s="6" t="str">
        <f>HYPERLINK("https://www.ti.com/lit/gpn/LM5070", "PDF")</f>
        <v>PDF</v>
      </c>
      <c r="D4539" s="5" t="s">
        <v>41387</v>
      </c>
      <c r="E4539" s="5" t="s">
        <v>41388</v>
      </c>
      <c r="F4539" s="5"/>
      <c r="G4539" s="5" t="s">
        <v>41389</v>
      </c>
      <c r="H4539" s="1" t="s">
        <v>41390</v>
      </c>
      <c r="I4539" s="5" t="s">
        <v>41391</v>
      </c>
      <c r="J4539" s="7">
        <v>16</v>
      </c>
      <c r="K4539" s="7" t="s">
        <v>41392</v>
      </c>
      <c r="L4539" s="5" t="s">
        <v>41393</v>
      </c>
      <c r="M4539" s="7" t="s">
        <v>41394</v>
      </c>
      <c r="N4539" s="7" t="s">
        <v>41395</v>
      </c>
      <c r="O4539" s="7">
        <v>1.4319999999999999</v>
      </c>
      <c r="P4539" s="1" t="s">
        <v>41396</v>
      </c>
    </row>
    <row r="4540" spans="1:16" ht="33.4" x14ac:dyDescent="0.3">
      <c r="A4540" s="6" t="str">
        <f>HYPERLINK("https://www.ti.com/product/TPS40055", "TPS40055")</f>
        <v>TPS40055</v>
      </c>
      <c r="B4540" s="5" t="s">
        <v>41397</v>
      </c>
      <c r="C4540" s="6" t="str">
        <f>HYPERLINK("https://www.ti.com/lit/gpn/TPS40055", "PDF")</f>
        <v>PDF</v>
      </c>
      <c r="D4540" s="5" t="s">
        <v>41398</v>
      </c>
      <c r="E4540" s="5" t="s">
        <v>41399</v>
      </c>
      <c r="F4540" s="5" t="s">
        <v>41400</v>
      </c>
      <c r="G4540" s="5" t="s">
        <v>41401</v>
      </c>
      <c r="H4540" s="1" t="s">
        <v>41402</v>
      </c>
      <c r="I4540" s="5" t="s">
        <v>41403</v>
      </c>
      <c r="J4540" s="7">
        <v>16</v>
      </c>
      <c r="K4540" s="7">
        <v>32</v>
      </c>
      <c r="L4540" s="5" t="s">
        <v>41404</v>
      </c>
      <c r="M4540" s="7">
        <v>1.2</v>
      </c>
      <c r="N4540" s="7">
        <v>0.65</v>
      </c>
      <c r="O4540" s="7">
        <v>2.0030000000000001</v>
      </c>
      <c r="P4540" s="1" t="s">
        <v>41405</v>
      </c>
    </row>
    <row r="4541" spans="1:16" ht="33.4" x14ac:dyDescent="0.3">
      <c r="A4541" s="6" t="str">
        <f>HYPERLINK("https://www.ti.com/product/TPS40057", "TPS40057")</f>
        <v>TPS40057</v>
      </c>
      <c r="B4541" s="5" t="s">
        <v>41406</v>
      </c>
      <c r="C4541" s="6" t="str">
        <f>HYPERLINK("https://www.ti.com/lit/gpn/TPS40057", "PDF")</f>
        <v>PDF</v>
      </c>
      <c r="D4541" s="5" t="s">
        <v>41407</v>
      </c>
      <c r="E4541" s="5" t="s">
        <v>41408</v>
      </c>
      <c r="F4541" s="5" t="s">
        <v>41409</v>
      </c>
      <c r="G4541" s="5" t="s">
        <v>41410</v>
      </c>
      <c r="H4541" s="1" t="s">
        <v>41411</v>
      </c>
      <c r="I4541" s="5" t="s">
        <v>41412</v>
      </c>
      <c r="J4541" s="7">
        <v>16</v>
      </c>
      <c r="K4541" s="7">
        <v>32</v>
      </c>
      <c r="L4541" s="5" t="s">
        <v>41413</v>
      </c>
      <c r="M4541" s="7">
        <v>1.2</v>
      </c>
      <c r="N4541" s="7">
        <v>0.65</v>
      </c>
      <c r="O4541" s="7">
        <v>2.0030000000000001</v>
      </c>
      <c r="P4541" s="1" t="s">
        <v>41414</v>
      </c>
    </row>
    <row r="4542" spans="1:16" ht="33.4" x14ac:dyDescent="0.3">
      <c r="A4542" s="6" t="str">
        <f>HYPERLINK("https://www.ti.com/product/LM1770", "LM1770")</f>
        <v>LM1770</v>
      </c>
      <c r="B4542" s="5" t="s">
        <v>41415</v>
      </c>
      <c r="C4542" s="6" t="str">
        <f>HYPERLINK("https://www.ti.com/lit/gpn/LM1770", "PDF")</f>
        <v>PDF</v>
      </c>
      <c r="D4542" s="5" t="s">
        <v>41416</v>
      </c>
      <c r="E4542" s="5" t="s">
        <v>41417</v>
      </c>
      <c r="F4542" s="5"/>
      <c r="G4542" s="5" t="s">
        <v>41418</v>
      </c>
      <c r="H4542" s="1" t="s">
        <v>41419</v>
      </c>
      <c r="I4542" s="5" t="s">
        <v>41420</v>
      </c>
      <c r="J4542" s="7">
        <v>5</v>
      </c>
      <c r="K4542" s="7">
        <v>8.1199999999999992</v>
      </c>
      <c r="L4542" s="5" t="s">
        <v>41421</v>
      </c>
      <c r="M4542" s="7">
        <v>1.45</v>
      </c>
      <c r="N4542" s="7">
        <v>0.95</v>
      </c>
      <c r="O4542" s="7">
        <v>0.78</v>
      </c>
      <c r="P4542" s="1" t="s">
        <v>41422</v>
      </c>
    </row>
    <row r="4543" spans="1:16" ht="33.4" x14ac:dyDescent="0.3">
      <c r="A4543" s="6" t="str">
        <f>HYPERLINK("https://www.ti.com/product/LM3670", "LM3670")</f>
        <v>LM3670</v>
      </c>
      <c r="B4543" s="5" t="s">
        <v>41423</v>
      </c>
      <c r="C4543" s="6" t="str">
        <f>HYPERLINK("https://www.ti.com/lit/gpn/LM3670", "PDF")</f>
        <v>PDF</v>
      </c>
      <c r="D4543" s="5" t="s">
        <v>41424</v>
      </c>
      <c r="E4543" s="5" t="s">
        <v>41425</v>
      </c>
      <c r="F4543" s="5" t="s">
        <v>41426</v>
      </c>
      <c r="G4543" s="5" t="s">
        <v>41427</v>
      </c>
      <c r="H4543" s="1" t="s">
        <v>41428</v>
      </c>
      <c r="I4543" s="5" t="s">
        <v>41429</v>
      </c>
      <c r="J4543" s="7">
        <v>5</v>
      </c>
      <c r="K4543" s="7">
        <v>8.1199999999999992</v>
      </c>
      <c r="L4543" s="5" t="s">
        <v>41430</v>
      </c>
      <c r="M4543" s="7">
        <v>1.45</v>
      </c>
      <c r="N4543" s="7">
        <v>0.95</v>
      </c>
      <c r="O4543" s="7">
        <v>0.434</v>
      </c>
      <c r="P4543" s="1" t="s">
        <v>41431</v>
      </c>
    </row>
    <row r="4544" spans="1:16" ht="17.05" x14ac:dyDescent="0.3">
      <c r="A4544" s="6" t="str">
        <f>HYPERLINK("https://www.ti.com/product/LM5101", "LM5101")</f>
        <v>LM5101</v>
      </c>
      <c r="B4544" s="5" t="s">
        <v>41432</v>
      </c>
      <c r="C4544" s="6" t="str">
        <f>HYPERLINK("https://www.ti.com/lit/gpn/LM5101", "PDF")</f>
        <v>PDF</v>
      </c>
      <c r="D4544" s="5" t="s">
        <v>41433</v>
      </c>
      <c r="E4544" s="5" t="s">
        <v>41434</v>
      </c>
      <c r="F4544" s="5"/>
      <c r="G4544" s="5" t="s">
        <v>41435</v>
      </c>
      <c r="H4544" s="1" t="s">
        <v>41436</v>
      </c>
      <c r="I4544" s="5" t="s">
        <v>41437</v>
      </c>
      <c r="J4544" s="7">
        <v>8</v>
      </c>
      <c r="K4544" s="7">
        <v>29.4</v>
      </c>
      <c r="L4544" s="5" t="s">
        <v>41438</v>
      </c>
      <c r="M4544" s="7">
        <v>1.75</v>
      </c>
      <c r="N4544" s="7">
        <v>1.27</v>
      </c>
      <c r="O4544" s="7">
        <v>1.5840000000000001</v>
      </c>
      <c r="P4544" s="1" t="s">
        <v>41439</v>
      </c>
    </row>
    <row r="4545" spans="1:16" ht="33.4" x14ac:dyDescent="0.3">
      <c r="A4545" s="6" t="str">
        <f>HYPERLINK("https://www.ti.com/product/LM5102", "LM5102")</f>
        <v>LM5102</v>
      </c>
      <c r="B4545" s="5" t="s">
        <v>41440</v>
      </c>
      <c r="C4545" s="6" t="str">
        <f>HYPERLINK("https://www.ti.com/lit/gpn/LM5102", "PDF")</f>
        <v>PDF</v>
      </c>
      <c r="D4545" s="5" t="s">
        <v>41441</v>
      </c>
      <c r="E4545" s="5" t="s">
        <v>41442</v>
      </c>
      <c r="F4545" s="5"/>
      <c r="G4545" s="5" t="s">
        <v>41443</v>
      </c>
      <c r="H4545" s="1" t="s">
        <v>41444</v>
      </c>
      <c r="I4545" s="5" t="s">
        <v>41445</v>
      </c>
      <c r="J4545" s="7">
        <v>10</v>
      </c>
      <c r="K4545" s="7" t="s">
        <v>41446</v>
      </c>
      <c r="L4545" s="5" t="s">
        <v>41447</v>
      </c>
      <c r="M4545" s="7" t="s">
        <v>41448</v>
      </c>
      <c r="N4545" s="7" t="s">
        <v>41449</v>
      </c>
      <c r="O4545" s="7">
        <v>1.2709999999999999</v>
      </c>
      <c r="P4545" s="1" t="s">
        <v>41450</v>
      </c>
    </row>
    <row r="4546" spans="1:16" ht="33.4" x14ac:dyDescent="0.3">
      <c r="A4546" s="6" t="str">
        <f>HYPERLINK("https://www.ti.com/product/LM5104", "LM5104")</f>
        <v>LM5104</v>
      </c>
      <c r="B4546" s="5" t="s">
        <v>41451</v>
      </c>
      <c r="C4546" s="6" t="str">
        <f>HYPERLINK("https://www.ti.com/lit/gpn/LM5104", "PDF")</f>
        <v>PDF</v>
      </c>
      <c r="D4546" s="5" t="s">
        <v>41452</v>
      </c>
      <c r="E4546" s="5" t="s">
        <v>41453</v>
      </c>
      <c r="F4546" s="5"/>
      <c r="G4546" s="5" t="s">
        <v>41454</v>
      </c>
      <c r="H4546" s="1" t="s">
        <v>41455</v>
      </c>
      <c r="I4546" s="5" t="s">
        <v>41456</v>
      </c>
      <c r="J4546" s="7" t="s">
        <v>41457</v>
      </c>
      <c r="K4546" s="7" t="s">
        <v>41458</v>
      </c>
      <c r="L4546" s="5" t="s">
        <v>41459</v>
      </c>
      <c r="M4546" s="7" t="s">
        <v>41460</v>
      </c>
      <c r="N4546" s="7" t="s">
        <v>41461</v>
      </c>
      <c r="O4546" s="7">
        <v>1.28</v>
      </c>
      <c r="P4546" s="1" t="s">
        <v>41462</v>
      </c>
    </row>
    <row r="4547" spans="1:16" ht="49.75" x14ac:dyDescent="0.3">
      <c r="A4547" s="6" t="str">
        <f>HYPERLINK("https://www.ti.com/product/TPS3803-EP", "TPS3803-EP")</f>
        <v>TPS3803-EP</v>
      </c>
      <c r="B4547" s="5" t="s">
        <v>41463</v>
      </c>
      <c r="C4547" s="6" t="str">
        <f>HYPERLINK("https://www.ti.com/lit/gpn/TPS3803-EP", "PDF")</f>
        <v>PDF</v>
      </c>
      <c r="D4547" s="5" t="s">
        <v>41464</v>
      </c>
      <c r="E4547" s="5" t="s">
        <v>41465</v>
      </c>
      <c r="F4547" s="5"/>
      <c r="G4547" s="5" t="s">
        <v>41466</v>
      </c>
      <c r="H4547" s="1" t="s">
        <v>41467</v>
      </c>
      <c r="I4547" s="5" t="s">
        <v>41468</v>
      </c>
      <c r="J4547" s="7">
        <v>5</v>
      </c>
      <c r="K4547" s="7">
        <v>4.2</v>
      </c>
      <c r="L4547" s="5" t="s">
        <v>41469</v>
      </c>
      <c r="M4547" s="7">
        <v>1.1000000000000001</v>
      </c>
      <c r="N4547" s="7">
        <v>0.65</v>
      </c>
      <c r="O4547" s="7">
        <v>1.3069999999999999</v>
      </c>
      <c r="P4547" s="1" t="s">
        <v>41470</v>
      </c>
    </row>
    <row r="4548" spans="1:16" ht="33.4" x14ac:dyDescent="0.3">
      <c r="A4548" s="6" t="str">
        <f>HYPERLINK("https://www.ti.com/product/PTH12050W", "PTH12050W")</f>
        <v>PTH12050W</v>
      </c>
      <c r="B4548" s="5" t="s">
        <v>41471</v>
      </c>
      <c r="C4548" s="6" t="str">
        <f>HYPERLINK("https://www.ti.com/lit/gpn/PTH12050W", "PDF")</f>
        <v>PDF</v>
      </c>
      <c r="D4548" s="5" t="s">
        <v>41472</v>
      </c>
      <c r="E4548" s="5" t="s">
        <v>41473</v>
      </c>
      <c r="F4548" s="5" t="s">
        <v>41474</v>
      </c>
      <c r="G4548" s="5" t="s">
        <v>41475</v>
      </c>
      <c r="H4548" s="1" t="s">
        <v>41476</v>
      </c>
      <c r="I4548" s="5" t="s">
        <v>41477</v>
      </c>
      <c r="J4548" s="7">
        <v>6</v>
      </c>
      <c r="K4548" s="7">
        <v>314.20080000000002</v>
      </c>
      <c r="L4548" s="5" t="s">
        <v>41478</v>
      </c>
      <c r="M4548" s="7">
        <v>8.5</v>
      </c>
      <c r="N4548" s="7">
        <v>3.1749999999999998</v>
      </c>
      <c r="O4548" s="7">
        <v>10.92</v>
      </c>
      <c r="P4548" s="1" t="s">
        <v>41479</v>
      </c>
    </row>
    <row r="4549" spans="1:16" ht="33.4" x14ac:dyDescent="0.3">
      <c r="A4549" s="6" t="str">
        <f>HYPERLINK("https://www.ti.com/product/REF3112", "REF3112")</f>
        <v>REF3112</v>
      </c>
      <c r="B4549" s="5" t="s">
        <v>41480</v>
      </c>
      <c r="C4549" s="6" t="str">
        <f>HYPERLINK("https://www.ti.com/lit/gpn/REF3112", "PDF")</f>
        <v>PDF</v>
      </c>
      <c r="D4549" s="5" t="s">
        <v>41481</v>
      </c>
      <c r="E4549" s="5" t="s">
        <v>41482</v>
      </c>
      <c r="F4549" s="5"/>
      <c r="G4549" s="5" t="s">
        <v>41483</v>
      </c>
      <c r="H4549" s="1" t="s">
        <v>41484</v>
      </c>
      <c r="I4549" s="5" t="s">
        <v>41485</v>
      </c>
      <c r="J4549" s="7">
        <v>3</v>
      </c>
      <c r="K4549" s="7">
        <v>6.9203999999999999</v>
      </c>
      <c r="L4549" s="5" t="s">
        <v>41486</v>
      </c>
      <c r="M4549" s="7">
        <v>1.1200000000000001</v>
      </c>
      <c r="N4549" s="7">
        <v>0.96</v>
      </c>
      <c r="O4549" s="7">
        <v>1.091</v>
      </c>
      <c r="P4549" s="1" t="s">
        <v>41487</v>
      </c>
    </row>
    <row r="4550" spans="1:16" ht="17.05" x14ac:dyDescent="0.3">
      <c r="A4550" s="6" t="str">
        <f>HYPERLINK("https://www.ti.com/product/REF3120", "REF3120")</f>
        <v>REF3120</v>
      </c>
      <c r="B4550" s="5" t="s">
        <v>41488</v>
      </c>
      <c r="C4550" s="6" t="str">
        <f>HYPERLINK("https://www.ti.com/lit/gpn/REF3120", "PDF")</f>
        <v>PDF</v>
      </c>
      <c r="D4550" s="5" t="s">
        <v>41489</v>
      </c>
      <c r="E4550" s="5" t="s">
        <v>41490</v>
      </c>
      <c r="F4550" s="5"/>
      <c r="G4550" s="5" t="s">
        <v>41491</v>
      </c>
      <c r="H4550" s="1" t="s">
        <v>41492</v>
      </c>
      <c r="I4550" s="5" t="s">
        <v>41493</v>
      </c>
      <c r="J4550" s="7">
        <v>3</v>
      </c>
      <c r="K4550" s="7">
        <v>6.9203999999999999</v>
      </c>
      <c r="L4550" s="5" t="s">
        <v>41494</v>
      </c>
      <c r="M4550" s="7">
        <v>1.1200000000000001</v>
      </c>
      <c r="N4550" s="7">
        <v>0.96</v>
      </c>
      <c r="O4550" s="7">
        <v>0.91100000000000003</v>
      </c>
      <c r="P4550" s="1" t="s">
        <v>41495</v>
      </c>
    </row>
    <row r="4551" spans="1:16" ht="33.4" x14ac:dyDescent="0.3">
      <c r="A4551" s="6" t="str">
        <f>HYPERLINK("https://www.ti.com/product/REF3125", "REF3125")</f>
        <v>REF3125</v>
      </c>
      <c r="B4551" s="5" t="s">
        <v>41496</v>
      </c>
      <c r="C4551" s="6" t="str">
        <f>HYPERLINK("https://www.ti.com/lit/gpn/REF3125", "PDF")</f>
        <v>PDF</v>
      </c>
      <c r="D4551" s="5" t="s">
        <v>41497</v>
      </c>
      <c r="E4551" s="5" t="s">
        <v>41498</v>
      </c>
      <c r="F4551" s="5"/>
      <c r="G4551" s="5" t="s">
        <v>41499</v>
      </c>
      <c r="H4551" s="1" t="s">
        <v>41500</v>
      </c>
      <c r="I4551" s="5" t="s">
        <v>41501</v>
      </c>
      <c r="J4551" s="7">
        <v>3</v>
      </c>
      <c r="K4551" s="7">
        <v>6.9203999999999999</v>
      </c>
      <c r="L4551" s="5" t="s">
        <v>41502</v>
      </c>
      <c r="M4551" s="7">
        <v>1.1200000000000001</v>
      </c>
      <c r="N4551" s="7">
        <v>0.96</v>
      </c>
      <c r="O4551" s="7">
        <v>0.85199999999999998</v>
      </c>
      <c r="P4551" s="1" t="s">
        <v>41503</v>
      </c>
    </row>
    <row r="4552" spans="1:16" ht="17.05" x14ac:dyDescent="0.3">
      <c r="A4552" s="6" t="str">
        <f>HYPERLINK("https://www.ti.com/product/REF3130", "REF3130")</f>
        <v>REF3130</v>
      </c>
      <c r="B4552" s="5" t="s">
        <v>41504</v>
      </c>
      <c r="C4552" s="6" t="str">
        <f>HYPERLINK("https://www.ti.com/lit/gpn/REF3130", "PDF")</f>
        <v>PDF</v>
      </c>
      <c r="D4552" s="5" t="s">
        <v>41505</v>
      </c>
      <c r="E4552" s="5" t="s">
        <v>41506</v>
      </c>
      <c r="F4552" s="5"/>
      <c r="G4552" s="5" t="s">
        <v>41507</v>
      </c>
      <c r="H4552" s="1" t="s">
        <v>41508</v>
      </c>
      <c r="I4552" s="5" t="s">
        <v>41509</v>
      </c>
      <c r="J4552" s="7">
        <v>3</v>
      </c>
      <c r="K4552" s="7">
        <v>6.9203999999999999</v>
      </c>
      <c r="L4552" s="5" t="s">
        <v>41510</v>
      </c>
      <c r="M4552" s="7">
        <v>1.1200000000000001</v>
      </c>
      <c r="N4552" s="7">
        <v>0.96</v>
      </c>
      <c r="O4552" s="7">
        <v>0.92</v>
      </c>
      <c r="P4552" s="1" t="s">
        <v>41511</v>
      </c>
    </row>
    <row r="4553" spans="1:16" ht="33.4" x14ac:dyDescent="0.3">
      <c r="A4553" s="6" t="str">
        <f>HYPERLINK("https://www.ti.com/product/REF3133", "REF3133")</f>
        <v>REF3133</v>
      </c>
      <c r="B4553" s="5" t="s">
        <v>41512</v>
      </c>
      <c r="C4553" s="6" t="str">
        <f>HYPERLINK("https://www.ti.com/lit/gpn/REF3133", "PDF")</f>
        <v>PDF</v>
      </c>
      <c r="D4553" s="5" t="s">
        <v>41513</v>
      </c>
      <c r="E4553" s="5" t="s">
        <v>41514</v>
      </c>
      <c r="F4553" s="5"/>
      <c r="G4553" s="5" t="s">
        <v>41515</v>
      </c>
      <c r="H4553" s="1" t="s">
        <v>41516</v>
      </c>
      <c r="I4553" s="5" t="s">
        <v>41517</v>
      </c>
      <c r="J4553" s="7">
        <v>3</v>
      </c>
      <c r="K4553" s="7">
        <v>6.9203999999999999</v>
      </c>
      <c r="L4553" s="5" t="s">
        <v>41518</v>
      </c>
      <c r="M4553" s="7">
        <v>1.1200000000000001</v>
      </c>
      <c r="N4553" s="7">
        <v>0.96</v>
      </c>
      <c r="O4553" s="7">
        <v>0.91</v>
      </c>
      <c r="P4553" s="1" t="s">
        <v>41519</v>
      </c>
    </row>
    <row r="4554" spans="1:16" ht="17.05" x14ac:dyDescent="0.3">
      <c r="A4554" s="6" t="str">
        <f>HYPERLINK("https://www.ti.com/product/REF3140", "REF3140")</f>
        <v>REF3140</v>
      </c>
      <c r="B4554" s="5" t="s">
        <v>41520</v>
      </c>
      <c r="C4554" s="6" t="str">
        <f>HYPERLINK("https://www.ti.com/lit/gpn/REF3140", "PDF")</f>
        <v>PDF</v>
      </c>
      <c r="D4554" s="5" t="s">
        <v>41521</v>
      </c>
      <c r="E4554" s="5" t="s">
        <v>41522</v>
      </c>
      <c r="F4554" s="5"/>
      <c r="G4554" s="5" t="s">
        <v>41523</v>
      </c>
      <c r="H4554" s="1" t="s">
        <v>41524</v>
      </c>
      <c r="I4554" s="5" t="s">
        <v>41525</v>
      </c>
      <c r="J4554" s="7">
        <v>3</v>
      </c>
      <c r="K4554" s="7">
        <v>6.9203999999999999</v>
      </c>
      <c r="L4554" s="5" t="s">
        <v>41526</v>
      </c>
      <c r="M4554" s="7">
        <v>1.1200000000000001</v>
      </c>
      <c r="N4554" s="7">
        <v>0.96</v>
      </c>
      <c r="O4554" s="7">
        <v>0.93899999999999995</v>
      </c>
      <c r="P4554" s="1" t="s">
        <v>41527</v>
      </c>
    </row>
    <row r="4555" spans="1:16" ht="17.05" x14ac:dyDescent="0.3">
      <c r="A4555" s="6" t="str">
        <f>HYPERLINK("https://www.ti.com/product/TPS3803-Q1", "TPS3803-Q1")</f>
        <v>TPS3803-Q1</v>
      </c>
      <c r="B4555" s="5" t="s">
        <v>41528</v>
      </c>
      <c r="C4555" s="6" t="str">
        <f>HYPERLINK("https://www.ti.com/lit/gpn/TPS3803-Q1", "PDF")</f>
        <v>PDF</v>
      </c>
      <c r="D4555" s="5" t="s">
        <v>41529</v>
      </c>
      <c r="E4555" s="5" t="s">
        <v>41530</v>
      </c>
      <c r="F4555" s="5"/>
      <c r="G4555" s="5" t="s">
        <v>41531</v>
      </c>
      <c r="H4555" s="1" t="s">
        <v>41532</v>
      </c>
      <c r="I4555" s="5" t="s">
        <v>41533</v>
      </c>
      <c r="J4555" s="7">
        <v>5</v>
      </c>
      <c r="K4555" s="7">
        <v>4.2</v>
      </c>
      <c r="L4555" s="5" t="s">
        <v>41534</v>
      </c>
      <c r="M4555" s="7">
        <v>1.1000000000000001</v>
      </c>
      <c r="N4555" s="7">
        <v>0.65</v>
      </c>
      <c r="O4555" s="7">
        <v>0.35299999999999998</v>
      </c>
      <c r="P4555" s="1" t="s">
        <v>41535</v>
      </c>
    </row>
    <row r="4556" spans="1:16" ht="49.75" x14ac:dyDescent="0.3">
      <c r="A4556" s="6" t="str">
        <f>HYPERLINK("https://www.ti.com/product/TPS3805H33-EP", "TPS3805H33-EP")</f>
        <v>TPS3805H33-EP</v>
      </c>
      <c r="B4556" s="5" t="s">
        <v>41536</v>
      </c>
      <c r="C4556" s="6" t="str">
        <f>HYPERLINK("https://www.ti.com/lit/gpn/TPS3805H33-EP", "PDF")</f>
        <v>PDF</v>
      </c>
      <c r="D4556" s="5" t="s">
        <v>41537</v>
      </c>
      <c r="E4556" s="5" t="s">
        <v>41538</v>
      </c>
      <c r="F4556" s="5"/>
      <c r="G4556" s="5" t="s">
        <v>41539</v>
      </c>
      <c r="H4556" s="1" t="s">
        <v>41540</v>
      </c>
      <c r="I4556" s="5" t="s">
        <v>41541</v>
      </c>
      <c r="J4556" s="7">
        <v>5</v>
      </c>
      <c r="K4556" s="7">
        <v>4.2</v>
      </c>
      <c r="L4556" s="5" t="s">
        <v>41542</v>
      </c>
      <c r="M4556" s="7">
        <v>1.1000000000000001</v>
      </c>
      <c r="N4556" s="7">
        <v>0.65</v>
      </c>
      <c r="O4556" s="7">
        <v>1.4239999999999999</v>
      </c>
      <c r="P4556" s="1" t="s">
        <v>41543</v>
      </c>
    </row>
    <row r="4557" spans="1:16" ht="17.05" x14ac:dyDescent="0.3">
      <c r="A4557" s="6" t="str">
        <f>HYPERLINK("https://www.ti.com/product/TPS3805H33-Q1", "TPS3805H33-Q1")</f>
        <v>TPS3805H33-Q1</v>
      </c>
      <c r="B4557" s="5" t="s">
        <v>41544</v>
      </c>
      <c r="C4557" s="6" t="str">
        <f>HYPERLINK("https://www.ti.com/lit/gpn/TPS3805H33-Q1", "PDF")</f>
        <v>PDF</v>
      </c>
      <c r="D4557" s="5" t="s">
        <v>41545</v>
      </c>
      <c r="E4557" s="5" t="s">
        <v>41546</v>
      </c>
      <c r="F4557" s="5"/>
      <c r="G4557" s="5" t="s">
        <v>41547</v>
      </c>
      <c r="H4557" s="1" t="s">
        <v>41548</v>
      </c>
      <c r="I4557" s="5" t="s">
        <v>41549</v>
      </c>
      <c r="J4557" s="7">
        <v>5</v>
      </c>
      <c r="K4557" s="7">
        <v>4.2</v>
      </c>
      <c r="L4557" s="5" t="s">
        <v>41550</v>
      </c>
      <c r="M4557" s="7">
        <v>1.1000000000000001</v>
      </c>
      <c r="N4557" s="7">
        <v>0.65</v>
      </c>
      <c r="O4557" s="7">
        <v>0.50700000000000001</v>
      </c>
      <c r="P4557" s="1" t="s">
        <v>41551</v>
      </c>
    </row>
    <row r="4558" spans="1:16" ht="33.4" x14ac:dyDescent="0.3">
      <c r="A4558" s="6" t="str">
        <f>HYPERLINK("https://www.ti.com/product/TPS2062", "TPS2062")</f>
        <v>TPS2062</v>
      </c>
      <c r="B4558" s="5" t="s">
        <v>41552</v>
      </c>
      <c r="C4558" s="6" t="str">
        <f>HYPERLINK("https://www.ti.com/lit/gpn/TPS2062", "PDF")</f>
        <v>PDF</v>
      </c>
      <c r="D4558" s="5" t="s">
        <v>41553</v>
      </c>
      <c r="E4558" s="5" t="s">
        <v>41554</v>
      </c>
      <c r="F4558" s="5"/>
      <c r="G4558" s="5" t="s">
        <v>41555</v>
      </c>
      <c r="H4558" s="1" t="s">
        <v>41556</v>
      </c>
      <c r="I4558" s="5" t="s">
        <v>41557</v>
      </c>
      <c r="J4558" s="7">
        <v>8</v>
      </c>
      <c r="K4558" s="7" t="s">
        <v>41558</v>
      </c>
      <c r="L4558" s="5" t="s">
        <v>41559</v>
      </c>
      <c r="M4558" s="7" t="s">
        <v>41560</v>
      </c>
      <c r="N4558" s="7" t="s">
        <v>41561</v>
      </c>
      <c r="O4558" s="7">
        <v>0.45300000000000001</v>
      </c>
      <c r="P4558" s="1" t="s">
        <v>41562</v>
      </c>
    </row>
    <row r="4559" spans="1:16" ht="33.4" x14ac:dyDescent="0.3">
      <c r="A4559" s="6" t="str">
        <f>HYPERLINK("https://www.ti.com/product/TPS2066", "TPS2066")</f>
        <v>TPS2066</v>
      </c>
      <c r="B4559" s="5" t="s">
        <v>41563</v>
      </c>
      <c r="C4559" s="6" t="str">
        <f>HYPERLINK("https://www.ti.com/lit/gpn/TPS2066", "PDF")</f>
        <v>PDF</v>
      </c>
      <c r="D4559" s="5" t="s">
        <v>41564</v>
      </c>
      <c r="E4559" s="5" t="s">
        <v>41565</v>
      </c>
      <c r="F4559" s="5"/>
      <c r="G4559" s="5" t="s">
        <v>41566</v>
      </c>
      <c r="H4559" s="1" t="s">
        <v>41567</v>
      </c>
      <c r="I4559" s="5" t="s">
        <v>41568</v>
      </c>
      <c r="J4559" s="7">
        <v>8</v>
      </c>
      <c r="K4559" s="7" t="s">
        <v>41569</v>
      </c>
      <c r="L4559" s="5" t="s">
        <v>41570</v>
      </c>
      <c r="M4559" s="7" t="s">
        <v>41571</v>
      </c>
      <c r="N4559" s="7" t="s">
        <v>41572</v>
      </c>
      <c r="O4559" s="7">
        <v>0.77100000000000002</v>
      </c>
      <c r="P4559" s="1" t="s">
        <v>41573</v>
      </c>
    </row>
    <row r="4560" spans="1:16" ht="17.05" x14ac:dyDescent="0.3">
      <c r="A4560" s="6" t="str">
        <f>HYPERLINK("https://www.ti.com/product/TPS2490", "TPS2490")</f>
        <v>TPS2490</v>
      </c>
      <c r="B4560" s="5" t="s">
        <v>41574</v>
      </c>
      <c r="C4560" s="6" t="str">
        <f>HYPERLINK("https://www.ti.com/lit/gpn/TPS2490", "PDF")</f>
        <v>PDF</v>
      </c>
      <c r="D4560" s="5" t="s">
        <v>41575</v>
      </c>
      <c r="E4560" s="5" t="s">
        <v>41576</v>
      </c>
      <c r="F4560" s="5"/>
      <c r="G4560" s="5" t="s">
        <v>41577</v>
      </c>
      <c r="H4560" s="1" t="s">
        <v>41578</v>
      </c>
      <c r="I4560" s="5" t="s">
        <v>41579</v>
      </c>
      <c r="J4560" s="7">
        <v>10</v>
      </c>
      <c r="K4560" s="7">
        <v>14.7</v>
      </c>
      <c r="L4560" s="5" t="s">
        <v>41580</v>
      </c>
      <c r="M4560" s="7">
        <v>1.1000000000000001</v>
      </c>
      <c r="N4560" s="7">
        <v>0.5</v>
      </c>
      <c r="O4560" s="7">
        <v>1.294</v>
      </c>
      <c r="P4560" s="1" t="s">
        <v>41581</v>
      </c>
    </row>
    <row r="4561" spans="1:16" ht="17.05" x14ac:dyDescent="0.3">
      <c r="A4561" s="6" t="str">
        <f>HYPERLINK("https://www.ti.com/product/TPS2491", "TPS2491")</f>
        <v>TPS2491</v>
      </c>
      <c r="B4561" s="5" t="s">
        <v>41582</v>
      </c>
      <c r="C4561" s="6" t="str">
        <f>HYPERLINK("https://www.ti.com/lit/gpn/TPS2491", "PDF")</f>
        <v>PDF</v>
      </c>
      <c r="D4561" s="5" t="s">
        <v>41583</v>
      </c>
      <c r="E4561" s="5" t="s">
        <v>41584</v>
      </c>
      <c r="F4561" s="5"/>
      <c r="G4561" s="5" t="s">
        <v>41585</v>
      </c>
      <c r="H4561" s="1" t="s">
        <v>41586</v>
      </c>
      <c r="I4561" s="5" t="s">
        <v>41587</v>
      </c>
      <c r="J4561" s="7">
        <v>10</v>
      </c>
      <c r="K4561" s="7">
        <v>14.7</v>
      </c>
      <c r="L4561" s="5" t="s">
        <v>41588</v>
      </c>
      <c r="M4561" s="7">
        <v>1.1000000000000001</v>
      </c>
      <c r="N4561" s="7">
        <v>0.5</v>
      </c>
      <c r="O4561" s="7">
        <v>1.294</v>
      </c>
      <c r="P4561" s="1" t="s">
        <v>41589</v>
      </c>
    </row>
    <row r="4562" spans="1:16" ht="49.75" x14ac:dyDescent="0.3">
      <c r="A4562" s="6" t="str">
        <f>HYPERLINK("https://www.ti.com/product/TPS2041B", "TPS2041B")</f>
        <v>TPS2041B</v>
      </c>
      <c r="B4562" s="5" t="s">
        <v>41590</v>
      </c>
      <c r="C4562" s="6" t="str">
        <f>HYPERLINK("https://www.ti.com/lit/gpn/TPS2041B", "PDF")</f>
        <v>PDF</v>
      </c>
      <c r="D4562" s="5" t="s">
        <v>41591</v>
      </c>
      <c r="E4562" s="5" t="s">
        <v>41592</v>
      </c>
      <c r="F4562" s="5"/>
      <c r="G4562" s="5" t="s">
        <v>41593</v>
      </c>
      <c r="H4562" s="1" t="s">
        <v>41594</v>
      </c>
      <c r="I4562" s="5" t="s">
        <v>41595</v>
      </c>
      <c r="J4562" s="7" t="s">
        <v>41596</v>
      </c>
      <c r="K4562" s="7" t="s">
        <v>41597</v>
      </c>
      <c r="L4562" s="5" t="s">
        <v>41598</v>
      </c>
      <c r="M4562" s="7" t="s">
        <v>41599</v>
      </c>
      <c r="N4562" s="7" t="s">
        <v>41600</v>
      </c>
      <c r="O4562" s="7">
        <v>0.28399999999999997</v>
      </c>
      <c r="P4562" s="1" t="s">
        <v>41601</v>
      </c>
    </row>
    <row r="4563" spans="1:16" ht="33.4" x14ac:dyDescent="0.3">
      <c r="A4563" s="6" t="str">
        <f>HYPERLINK("https://www.ti.com/product/TPS2044B", "TPS2044B")</f>
        <v>TPS2044B</v>
      </c>
      <c r="B4563" s="5" t="s">
        <v>41602</v>
      </c>
      <c r="C4563" s="6" t="str">
        <f>HYPERLINK("https://www.ti.com/lit/gpn/TPS2044B", "PDF")</f>
        <v>PDF</v>
      </c>
      <c r="D4563" s="5" t="s">
        <v>41603</v>
      </c>
      <c r="E4563" s="5" t="s">
        <v>41604</v>
      </c>
      <c r="F4563" s="5"/>
      <c r="G4563" s="5" t="s">
        <v>41605</v>
      </c>
      <c r="H4563" s="1" t="s">
        <v>41606</v>
      </c>
      <c r="I4563" s="5" t="s">
        <v>41607</v>
      </c>
      <c r="J4563" s="7">
        <v>16</v>
      </c>
      <c r="K4563" s="7">
        <v>59.4</v>
      </c>
      <c r="L4563" s="5" t="s">
        <v>41608</v>
      </c>
      <c r="M4563" s="7">
        <v>1.75</v>
      </c>
      <c r="N4563" s="7">
        <v>1.27</v>
      </c>
      <c r="O4563" s="7">
        <v>1.173</v>
      </c>
      <c r="P4563" s="1" t="s">
        <v>41609</v>
      </c>
    </row>
    <row r="4564" spans="1:16" ht="17.05" x14ac:dyDescent="0.3">
      <c r="A4564" s="6" t="str">
        <f>HYPERLINK("https://www.ti.com/product/TPS61043", "TPS61043")</f>
        <v>TPS61043</v>
      </c>
      <c r="B4564" s="5" t="s">
        <v>41610</v>
      </c>
      <c r="C4564" s="6" t="str">
        <f>HYPERLINK("https://www.ti.com/lit/gpn/TPS61043", "PDF")</f>
        <v>PDF</v>
      </c>
      <c r="D4564" s="5" t="s">
        <v>41611</v>
      </c>
      <c r="E4564" s="5" t="s">
        <v>41612</v>
      </c>
      <c r="F4564" s="5" t="s">
        <v>41613</v>
      </c>
      <c r="G4564" s="5" t="s">
        <v>41614</v>
      </c>
      <c r="H4564" s="1" t="s">
        <v>41615</v>
      </c>
      <c r="I4564" s="5" t="s">
        <v>41616</v>
      </c>
      <c r="J4564" s="7">
        <v>8</v>
      </c>
      <c r="K4564" s="7">
        <v>9</v>
      </c>
      <c r="L4564" s="5" t="s">
        <v>41617</v>
      </c>
      <c r="M4564" s="7">
        <v>1</v>
      </c>
      <c r="N4564" s="7">
        <v>0.65</v>
      </c>
      <c r="O4564" s="7">
        <v>0.504</v>
      </c>
      <c r="P4564" s="1" t="s">
        <v>41618</v>
      </c>
    </row>
    <row r="4565" spans="1:16" ht="17.05" x14ac:dyDescent="0.3">
      <c r="A4565" s="6" t="str">
        <f>HYPERLINK("https://www.ti.com/product/LM185-2.5QML-SP", "LM185-2.5QML-SP")</f>
        <v>LM185-2.5QML-SP</v>
      </c>
      <c r="B4565" s="5" t="s">
        <v>41619</v>
      </c>
      <c r="C4565" s="6" t="str">
        <f>HYPERLINK("https://www.ti.com/lit/gpn/LM185-2.5QML-SP", "PDF")</f>
        <v>PDF</v>
      </c>
      <c r="D4565" s="5" t="s">
        <v>41620</v>
      </c>
      <c r="E4565" s="5" t="s">
        <v>41621</v>
      </c>
      <c r="F4565" s="5"/>
      <c r="G4565" s="5" t="s">
        <v>41622</v>
      </c>
      <c r="H4565" s="1" t="s">
        <v>41623</v>
      </c>
      <c r="I4565" s="5" t="s">
        <v>41624</v>
      </c>
      <c r="J4565" s="7">
        <v>2</v>
      </c>
      <c r="K4565" s="7">
        <v>34.870399999999997</v>
      </c>
      <c r="L4565" s="5" t="s">
        <v>41625</v>
      </c>
      <c r="M4565" s="7">
        <v>2.67</v>
      </c>
      <c r="N4565" s="7">
        <v>2.54</v>
      </c>
      <c r="O4565" s="7">
        <v>410.21699999999998</v>
      </c>
      <c r="P4565" s="1" t="s">
        <v>41626</v>
      </c>
    </row>
    <row r="4566" spans="1:16" ht="49.75" x14ac:dyDescent="0.3">
      <c r="A4566" s="6" t="str">
        <f>HYPERLINK("https://www.ti.com/product/TPS5120-EP", "TPS5120-EP")</f>
        <v>TPS5120-EP</v>
      </c>
      <c r="B4566" s="5" t="s">
        <v>41627</v>
      </c>
      <c r="C4566" s="6" t="str">
        <f>HYPERLINK("https://www.ti.com/lit/gpn/TPS5120-EP", "PDF")</f>
        <v>PDF</v>
      </c>
      <c r="D4566" s="5" t="s">
        <v>41628</v>
      </c>
      <c r="E4566" s="5" t="s">
        <v>41629</v>
      </c>
      <c r="F4566" s="5" t="s">
        <v>41630</v>
      </c>
      <c r="G4566" s="5" t="s">
        <v>41631</v>
      </c>
      <c r="H4566" s="1" t="s">
        <v>41632</v>
      </c>
      <c r="I4566" s="5" t="s">
        <v>41633</v>
      </c>
      <c r="J4566" s="7">
        <v>30</v>
      </c>
      <c r="K4566" s="7">
        <v>49.92</v>
      </c>
      <c r="L4566" s="5" t="s">
        <v>41634</v>
      </c>
      <c r="M4566" s="7">
        <v>1.2</v>
      </c>
      <c r="N4566" s="7">
        <v>0.5</v>
      </c>
      <c r="O4566" s="7">
        <v>5.8959999999999999</v>
      </c>
      <c r="P4566" s="1" t="s">
        <v>41635</v>
      </c>
    </row>
    <row r="4567" spans="1:16" ht="17.05" x14ac:dyDescent="0.3">
      <c r="A4567" s="6" t="str">
        <f>HYPERLINK("https://www.ti.com/product/LM2751", "LM2751")</f>
        <v>LM2751</v>
      </c>
      <c r="B4567" s="5" t="s">
        <v>41636</v>
      </c>
      <c r="C4567" s="6" t="str">
        <f>HYPERLINK("https://www.ti.com/lit/gpn/LM2751", "PDF")</f>
        <v>PDF</v>
      </c>
      <c r="D4567" s="5" t="s">
        <v>41637</v>
      </c>
      <c r="E4567" s="5" t="s">
        <v>41638</v>
      </c>
      <c r="F4567" s="5" t="s">
        <v>41639</v>
      </c>
      <c r="G4567" s="5" t="s">
        <v>41640</v>
      </c>
      <c r="H4567" s="1" t="s">
        <v>41641</v>
      </c>
      <c r="I4567" s="5" t="s">
        <v>41642</v>
      </c>
      <c r="J4567" s="7">
        <v>10</v>
      </c>
      <c r="K4567" s="7">
        <v>9</v>
      </c>
      <c r="L4567" s="5" t="s">
        <v>41643</v>
      </c>
      <c r="M4567" s="7">
        <v>0.8</v>
      </c>
      <c r="N4567" s="7">
        <v>0.5</v>
      </c>
      <c r="O4567" s="7">
        <v>0.84899999999999998</v>
      </c>
      <c r="P4567" s="1" t="s">
        <v>41644</v>
      </c>
    </row>
    <row r="4568" spans="1:16" ht="33.4" x14ac:dyDescent="0.3">
      <c r="A4568" s="6" t="str">
        <f>HYPERLINK("https://www.ti.com/product/REG71050", "REG71050")</f>
        <v>REG71050</v>
      </c>
      <c r="B4568" s="5" t="s">
        <v>41645</v>
      </c>
      <c r="C4568" s="6" t="str">
        <f>HYPERLINK("https://www.ti.com/lit/gpn/REG71050", "PDF")</f>
        <v>PDF</v>
      </c>
      <c r="D4568" s="5" t="s">
        <v>41646</v>
      </c>
      <c r="E4568" s="5" t="s">
        <v>41647</v>
      </c>
      <c r="F4568" s="5"/>
      <c r="G4568" s="5" t="s">
        <v>41648</v>
      </c>
      <c r="H4568" s="1" t="s">
        <v>41649</v>
      </c>
      <c r="I4568" s="5" t="s">
        <v>41650</v>
      </c>
      <c r="J4568" s="7">
        <v>6</v>
      </c>
      <c r="K4568" s="7" t="s">
        <v>41651</v>
      </c>
      <c r="L4568" s="5" t="s">
        <v>41652</v>
      </c>
      <c r="M4568" s="7" t="s">
        <v>41653</v>
      </c>
      <c r="N4568" s="7" t="s">
        <v>41654</v>
      </c>
      <c r="O4568" s="7">
        <v>0.52700000000000002</v>
      </c>
      <c r="P4568" s="1" t="s">
        <v>41655</v>
      </c>
    </row>
    <row r="4569" spans="1:16" ht="33.4" x14ac:dyDescent="0.3">
      <c r="A4569" s="6" t="str">
        <f>HYPERLINK("https://www.ti.com/product/LP3943", "LP3943")</f>
        <v>LP3943</v>
      </c>
      <c r="B4569" s="5" t="s">
        <v>41656</v>
      </c>
      <c r="C4569" s="6" t="str">
        <f>HYPERLINK("https://www.ti.com/lit/gpn/LP3943", "PDF")</f>
        <v>PDF</v>
      </c>
      <c r="D4569" s="5" t="s">
        <v>41657</v>
      </c>
      <c r="E4569" s="5" t="s">
        <v>41658</v>
      </c>
      <c r="F4569" s="5" t="s">
        <v>41659</v>
      </c>
      <c r="G4569" s="5" t="s">
        <v>41660</v>
      </c>
      <c r="H4569" s="1" t="s">
        <v>41661</v>
      </c>
      <c r="I4569" s="5" t="s">
        <v>41662</v>
      </c>
      <c r="J4569" s="7">
        <v>24</v>
      </c>
      <c r="K4569" s="7">
        <v>16</v>
      </c>
      <c r="L4569" s="5" t="s">
        <v>41663</v>
      </c>
      <c r="M4569" s="7">
        <v>0.8</v>
      </c>
      <c r="N4569" s="7">
        <v>0.5</v>
      </c>
      <c r="O4569" s="7">
        <v>0.93500000000000005</v>
      </c>
      <c r="P4569" s="1" t="s">
        <v>41664</v>
      </c>
    </row>
    <row r="4570" spans="1:16" ht="17.05" x14ac:dyDescent="0.3">
      <c r="A4570" s="6" t="str">
        <f>HYPERLINK("https://www.ti.com/product/LP3944", "LP3944")</f>
        <v>LP3944</v>
      </c>
      <c r="B4570" s="5" t="s">
        <v>41665</v>
      </c>
      <c r="C4570" s="6" t="str">
        <f>HYPERLINK("https://www.ti.com/lit/gpn/LP3944", "PDF")</f>
        <v>PDF</v>
      </c>
      <c r="D4570" s="5" t="s">
        <v>41666</v>
      </c>
      <c r="E4570" s="5" t="s">
        <v>41667</v>
      </c>
      <c r="F4570" s="5" t="s">
        <v>41668</v>
      </c>
      <c r="G4570" s="5" t="s">
        <v>41669</v>
      </c>
      <c r="H4570" s="1" t="s">
        <v>41670</v>
      </c>
      <c r="I4570" s="5" t="s">
        <v>41671</v>
      </c>
      <c r="J4570" s="7">
        <v>24</v>
      </c>
      <c r="K4570" s="7">
        <v>16</v>
      </c>
      <c r="L4570" s="5" t="s">
        <v>41672</v>
      </c>
      <c r="M4570" s="7">
        <v>0.8</v>
      </c>
      <c r="N4570" s="7">
        <v>0.5</v>
      </c>
      <c r="O4570" s="7">
        <v>0.78</v>
      </c>
      <c r="P4570" s="1" t="s">
        <v>41673</v>
      </c>
    </row>
    <row r="4571" spans="1:16" ht="33.4" x14ac:dyDescent="0.3">
      <c r="A4571" s="6" t="str">
        <f>HYPERLINK("https://www.ti.com/product/UCC2891", "UCC2891")</f>
        <v>UCC2891</v>
      </c>
      <c r="B4571" s="5" t="s">
        <v>41674</v>
      </c>
      <c r="C4571" s="6" t="str">
        <f>HYPERLINK("https://www.ti.com/lit/gpn/UCC2891", "PDF")</f>
        <v>PDF</v>
      </c>
      <c r="D4571" s="5" t="s">
        <v>41675</v>
      </c>
      <c r="E4571" s="5" t="s">
        <v>41676</v>
      </c>
      <c r="F4571" s="5" t="s">
        <v>41677</v>
      </c>
      <c r="G4571" s="5" t="s">
        <v>41678</v>
      </c>
      <c r="H4571" s="1" t="s">
        <v>41679</v>
      </c>
      <c r="I4571" s="5" t="s">
        <v>41680</v>
      </c>
      <c r="J4571" s="7">
        <v>16</v>
      </c>
      <c r="K4571" s="7" t="s">
        <v>41681</v>
      </c>
      <c r="L4571" s="5" t="s">
        <v>41682</v>
      </c>
      <c r="M4571" s="7" t="s">
        <v>41683</v>
      </c>
      <c r="N4571" s="7" t="s">
        <v>41684</v>
      </c>
      <c r="O4571" s="7">
        <v>1.1679999999999999</v>
      </c>
      <c r="P4571" s="1" t="s">
        <v>41685</v>
      </c>
    </row>
    <row r="4572" spans="1:16" ht="33.4" x14ac:dyDescent="0.3">
      <c r="A4572" s="6" t="str">
        <f>HYPERLINK("https://www.ti.com/product/UCC2893", "UCC2893")</f>
        <v>UCC2893</v>
      </c>
      <c r="B4572" s="5" t="s">
        <v>41686</v>
      </c>
      <c r="C4572" s="6" t="str">
        <f>HYPERLINK("https://www.ti.com/lit/gpn/UCC2893", "PDF")</f>
        <v>PDF</v>
      </c>
      <c r="D4572" s="5" t="s">
        <v>41687</v>
      </c>
      <c r="E4572" s="5" t="s">
        <v>41688</v>
      </c>
      <c r="F4572" s="5" t="s">
        <v>41689</v>
      </c>
      <c r="G4572" s="5" t="s">
        <v>41690</v>
      </c>
      <c r="H4572" s="1" t="s">
        <v>41691</v>
      </c>
      <c r="I4572" s="5" t="s">
        <v>41692</v>
      </c>
      <c r="J4572" s="7">
        <v>16</v>
      </c>
      <c r="K4572" s="7" t="s">
        <v>41693</v>
      </c>
      <c r="L4572" s="5" t="s">
        <v>41694</v>
      </c>
      <c r="M4572" s="7" t="s">
        <v>41695</v>
      </c>
      <c r="N4572" s="7" t="s">
        <v>41696</v>
      </c>
      <c r="O4572" s="7">
        <v>1.3580000000000001</v>
      </c>
      <c r="P4572" s="1" t="s">
        <v>41697</v>
      </c>
    </row>
    <row r="4573" spans="1:16" ht="33.4" x14ac:dyDescent="0.3">
      <c r="A4573" s="6" t="str">
        <f>HYPERLINK("https://www.ti.com/product/LM3519", "LM3519")</f>
        <v>LM3519</v>
      </c>
      <c r="B4573" s="5" t="s">
        <v>41698</v>
      </c>
      <c r="C4573" s="6" t="str">
        <f>HYPERLINK("https://www.ti.com/lit/gpn/LM3519", "PDF")</f>
        <v>PDF</v>
      </c>
      <c r="D4573" s="5" t="s">
        <v>41699</v>
      </c>
      <c r="E4573" s="5" t="s">
        <v>41700</v>
      </c>
      <c r="F4573" s="5" t="s">
        <v>41701</v>
      </c>
      <c r="G4573" s="5" t="s">
        <v>41702</v>
      </c>
      <c r="H4573" s="1" t="s">
        <v>41703</v>
      </c>
      <c r="I4573" s="5" t="s">
        <v>41704</v>
      </c>
      <c r="J4573" s="7">
        <v>6</v>
      </c>
      <c r="K4573" s="7">
        <v>8.1199999999999992</v>
      </c>
      <c r="L4573" s="5" t="s">
        <v>41705</v>
      </c>
      <c r="M4573" s="7">
        <v>1.1000000000000001</v>
      </c>
      <c r="N4573" s="7">
        <v>0.95</v>
      </c>
      <c r="O4573" s="7">
        <v>0.77600000000000002</v>
      </c>
      <c r="P4573" s="1" t="s">
        <v>41706</v>
      </c>
    </row>
    <row r="4574" spans="1:16" ht="33.4" x14ac:dyDescent="0.3">
      <c r="A4574" s="6" t="str">
        <f>HYPERLINK("https://www.ti.com/product/TPS54350", "TPS54350")</f>
        <v>TPS54350</v>
      </c>
      <c r="B4574" s="5" t="s">
        <v>41707</v>
      </c>
      <c r="C4574" s="6" t="str">
        <f>HYPERLINK("https://www.ti.com/lit/gpn/TPS54350", "PDF")</f>
        <v>PDF</v>
      </c>
      <c r="D4574" s="5" t="s">
        <v>41708</v>
      </c>
      <c r="E4574" s="5" t="s">
        <v>41709</v>
      </c>
      <c r="F4574" s="5" t="s">
        <v>41710</v>
      </c>
      <c r="G4574" s="5" t="s">
        <v>41711</v>
      </c>
      <c r="H4574" s="1" t="s">
        <v>41712</v>
      </c>
      <c r="I4574" s="5" t="s">
        <v>41713</v>
      </c>
      <c r="J4574" s="7">
        <v>16</v>
      </c>
      <c r="K4574" s="7">
        <v>32</v>
      </c>
      <c r="L4574" s="5" t="s">
        <v>41714</v>
      </c>
      <c r="M4574" s="7">
        <v>1.2</v>
      </c>
      <c r="N4574" s="7">
        <v>0.65</v>
      </c>
      <c r="O4574" s="7">
        <v>1.7150000000000001</v>
      </c>
      <c r="P4574" s="1" t="s">
        <v>41715</v>
      </c>
    </row>
    <row r="4575" spans="1:16" ht="49.75" x14ac:dyDescent="0.3">
      <c r="A4575" s="6" t="str">
        <f>HYPERLINK("https://www.ti.com/product/UCC27423", "UCC27423")</f>
        <v>UCC27423</v>
      </c>
      <c r="B4575" s="5" t="s">
        <v>41716</v>
      </c>
      <c r="C4575" s="6" t="str">
        <f>HYPERLINK("https://www.ti.com/lit/gpn/UCC27423", "PDF")</f>
        <v>PDF</v>
      </c>
      <c r="D4575" s="5" t="s">
        <v>41717</v>
      </c>
      <c r="E4575" s="5" t="s">
        <v>41718</v>
      </c>
      <c r="F4575" s="5"/>
      <c r="G4575" s="5" t="s">
        <v>41719</v>
      </c>
      <c r="H4575" s="1" t="s">
        <v>41720</v>
      </c>
      <c r="I4575" s="5" t="s">
        <v>41721</v>
      </c>
      <c r="J4575" s="7">
        <v>8</v>
      </c>
      <c r="K4575" s="7" t="s">
        <v>41722</v>
      </c>
      <c r="L4575" s="5" t="s">
        <v>41723</v>
      </c>
      <c r="M4575" s="7" t="s">
        <v>41724</v>
      </c>
      <c r="N4575" s="7" t="s">
        <v>41725</v>
      </c>
      <c r="O4575" s="7">
        <v>0.3</v>
      </c>
      <c r="P4575" s="1" t="s">
        <v>41726</v>
      </c>
    </row>
    <row r="4576" spans="1:16" ht="49.75" x14ac:dyDescent="0.3">
      <c r="A4576" s="6" t="str">
        <f>HYPERLINK("https://www.ti.com/product/UCC27424", "UCC27424")</f>
        <v>UCC27424</v>
      </c>
      <c r="B4576" s="5" t="s">
        <v>41727</v>
      </c>
      <c r="C4576" s="6" t="str">
        <f>HYPERLINK("https://www.ti.com/lit/gpn/UCC27424", "PDF")</f>
        <v>PDF</v>
      </c>
      <c r="D4576" s="5" t="s">
        <v>41728</v>
      </c>
      <c r="E4576" s="5" t="s">
        <v>41729</v>
      </c>
      <c r="F4576" s="5"/>
      <c r="G4576" s="5" t="s">
        <v>41730</v>
      </c>
      <c r="H4576" s="1" t="s">
        <v>41731</v>
      </c>
      <c r="I4576" s="5" t="s">
        <v>41732</v>
      </c>
      <c r="J4576" s="7">
        <v>8</v>
      </c>
      <c r="K4576" s="7" t="s">
        <v>41733</v>
      </c>
      <c r="L4576" s="5" t="s">
        <v>41734</v>
      </c>
      <c r="M4576" s="7" t="s">
        <v>41735</v>
      </c>
      <c r="N4576" s="7" t="s">
        <v>41736</v>
      </c>
      <c r="O4576" s="7">
        <v>0.4</v>
      </c>
      <c r="P4576" s="1" t="s">
        <v>41737</v>
      </c>
    </row>
    <row r="4577" spans="1:16" ht="49.75" x14ac:dyDescent="0.3">
      <c r="A4577" s="6" t="str">
        <f>HYPERLINK("https://www.ti.com/product/UCC27425", "UCC27425")</f>
        <v>UCC27425</v>
      </c>
      <c r="B4577" s="5" t="s">
        <v>41738</v>
      </c>
      <c r="C4577" s="6" t="str">
        <f>HYPERLINK("https://www.ti.com/lit/gpn/UCC27425", "PDF")</f>
        <v>PDF</v>
      </c>
      <c r="D4577" s="5" t="s">
        <v>41739</v>
      </c>
      <c r="E4577" s="5" t="s">
        <v>41740</v>
      </c>
      <c r="F4577" s="5"/>
      <c r="G4577" s="5" t="s">
        <v>41741</v>
      </c>
      <c r="H4577" s="1" t="s">
        <v>41742</v>
      </c>
      <c r="I4577" s="5" t="s">
        <v>41743</v>
      </c>
      <c r="J4577" s="7">
        <v>8</v>
      </c>
      <c r="K4577" s="7" t="s">
        <v>41744</v>
      </c>
      <c r="L4577" s="5" t="s">
        <v>41745</v>
      </c>
      <c r="M4577" s="7" t="s">
        <v>41746</v>
      </c>
      <c r="N4577" s="7" t="s">
        <v>41747</v>
      </c>
      <c r="O4577" s="7">
        <v>0.3</v>
      </c>
      <c r="P4577" s="1" t="s">
        <v>41748</v>
      </c>
    </row>
    <row r="4578" spans="1:16" ht="17.05" x14ac:dyDescent="0.3">
      <c r="A4578" s="6" t="str">
        <f>HYPERLINK("https://www.ti.com/product/REF1112", "REF1112")</f>
        <v>REF1112</v>
      </c>
      <c r="B4578" s="5" t="s">
        <v>41749</v>
      </c>
      <c r="C4578" s="6" t="str">
        <f>HYPERLINK("https://www.ti.com/lit/gpn/REF1112", "PDF")</f>
        <v>PDF</v>
      </c>
      <c r="D4578" s="5" t="s">
        <v>41750</v>
      </c>
      <c r="E4578" s="5" t="s">
        <v>41751</v>
      </c>
      <c r="F4578" s="5"/>
      <c r="G4578" s="5" t="s">
        <v>41752</v>
      </c>
      <c r="H4578" s="1" t="s">
        <v>41753</v>
      </c>
      <c r="I4578" s="5" t="s">
        <v>41754</v>
      </c>
      <c r="J4578" s="7">
        <v>3</v>
      </c>
      <c r="K4578" s="7">
        <v>6.9203999999999999</v>
      </c>
      <c r="L4578" s="5" t="s">
        <v>41755</v>
      </c>
      <c r="M4578" s="7">
        <v>1.1200000000000001</v>
      </c>
      <c r="N4578" s="7">
        <v>0.96</v>
      </c>
      <c r="O4578" s="7">
        <v>0.76</v>
      </c>
      <c r="P4578" s="1" t="s">
        <v>41756</v>
      </c>
    </row>
    <row r="4579" spans="1:16" ht="33.4" x14ac:dyDescent="0.3">
      <c r="A4579" s="6" t="str">
        <f>HYPERLINK("https://www.ti.com/product/LM4132", "LM4132")</f>
        <v>LM4132</v>
      </c>
      <c r="B4579" s="5" t="s">
        <v>41757</v>
      </c>
      <c r="C4579" s="6" t="str">
        <f>HYPERLINK("https://www.ti.com/lit/gpn/LM4132", "PDF")</f>
        <v>PDF</v>
      </c>
      <c r="D4579" s="5" t="s">
        <v>41758</v>
      </c>
      <c r="E4579" s="5" t="s">
        <v>41759</v>
      </c>
      <c r="F4579" s="5"/>
      <c r="G4579" s="5" t="s">
        <v>41760</v>
      </c>
      <c r="H4579" s="1" t="s">
        <v>41761</v>
      </c>
      <c r="I4579" s="5" t="s">
        <v>41762</v>
      </c>
      <c r="J4579" s="7">
        <v>5</v>
      </c>
      <c r="K4579" s="7">
        <v>8.1199999999999992</v>
      </c>
      <c r="L4579" s="5" t="s">
        <v>41763</v>
      </c>
      <c r="M4579" s="7">
        <v>1.45</v>
      </c>
      <c r="N4579" s="7">
        <v>0.95</v>
      </c>
      <c r="O4579" s="7">
        <v>0.86</v>
      </c>
      <c r="P4579" s="1" t="s">
        <v>41764</v>
      </c>
    </row>
    <row r="4580" spans="1:16" ht="33.4" x14ac:dyDescent="0.3">
      <c r="A4580" s="6" t="str">
        <f>HYPERLINK("https://www.ti.com/product/TPS723", "TPS723")</f>
        <v>TPS723</v>
      </c>
      <c r="B4580" s="5" t="s">
        <v>41765</v>
      </c>
      <c r="C4580" s="6" t="str">
        <f>HYPERLINK("https://www.ti.com/lit/gpn/TPS723", "PDF")</f>
        <v>PDF</v>
      </c>
      <c r="D4580" s="5" t="s">
        <v>41766</v>
      </c>
      <c r="E4580" s="5" t="s">
        <v>41767</v>
      </c>
      <c r="F4580" s="5"/>
      <c r="G4580" s="5" t="s">
        <v>41768</v>
      </c>
      <c r="H4580" s="1" t="s">
        <v>41769</v>
      </c>
      <c r="I4580" s="5" t="s">
        <v>41770</v>
      </c>
      <c r="J4580" s="7" t="s">
        <v>41771</v>
      </c>
      <c r="K4580" s="7" t="s">
        <v>41772</v>
      </c>
      <c r="L4580" s="5" t="s">
        <v>41773</v>
      </c>
      <c r="M4580" s="7" t="s">
        <v>41774</v>
      </c>
      <c r="N4580" s="7" t="s">
        <v>41775</v>
      </c>
      <c r="O4580" s="7">
        <v>1.292</v>
      </c>
      <c r="P4580" s="1" t="s">
        <v>41776</v>
      </c>
    </row>
    <row r="4581" spans="1:16" ht="33.4" x14ac:dyDescent="0.3">
      <c r="A4581" s="6" t="str">
        <f>HYPERLINK("https://www.ti.com/product/TPS731", "TPS731")</f>
        <v>TPS731</v>
      </c>
      <c r="B4581" s="5" t="s">
        <v>41777</v>
      </c>
      <c r="C4581" s="6" t="str">
        <f>HYPERLINK("https://www.ti.com/lit/gpn/TPS731", "PDF")</f>
        <v>PDF</v>
      </c>
      <c r="D4581" s="5" t="s">
        <v>41778</v>
      </c>
      <c r="E4581" s="5" t="s">
        <v>41779</v>
      </c>
      <c r="F4581" s="5"/>
      <c r="G4581" s="5" t="s">
        <v>41780</v>
      </c>
      <c r="H4581" s="1" t="s">
        <v>41781</v>
      </c>
      <c r="I4581" s="5" t="s">
        <v>41782</v>
      </c>
      <c r="J4581" s="7">
        <v>5</v>
      </c>
      <c r="K4581" s="7">
        <v>8.1199999999999992</v>
      </c>
      <c r="L4581" s="5" t="s">
        <v>41783</v>
      </c>
      <c r="M4581" s="7">
        <v>1.45</v>
      </c>
      <c r="N4581" s="7">
        <v>0.95</v>
      </c>
      <c r="O4581" s="7">
        <v>0.34799999999999998</v>
      </c>
      <c r="P4581" s="1" t="s">
        <v>41784</v>
      </c>
    </row>
    <row r="4582" spans="1:16" ht="49.75" x14ac:dyDescent="0.3">
      <c r="A4582" s="6" t="str">
        <f>HYPERLINK("https://www.ti.com/product/TPS732", "TPS732")</f>
        <v>TPS732</v>
      </c>
      <c r="B4582" s="5" t="s">
        <v>41785</v>
      </c>
      <c r="C4582" s="6" t="str">
        <f>HYPERLINK("https://www.ti.com/lit/gpn/TPS732", "PDF")</f>
        <v>PDF</v>
      </c>
      <c r="D4582" s="5" t="s">
        <v>41786</v>
      </c>
      <c r="E4582" s="5" t="s">
        <v>41787</v>
      </c>
      <c r="F4582" s="5"/>
      <c r="G4582" s="5" t="s">
        <v>41788</v>
      </c>
      <c r="H4582" s="1" t="s">
        <v>41789</v>
      </c>
      <c r="I4582" s="5" t="s">
        <v>41790</v>
      </c>
      <c r="J4582" s="7" t="s">
        <v>41791</v>
      </c>
      <c r="K4582" s="7" t="s">
        <v>41792</v>
      </c>
      <c r="L4582" s="5" t="s">
        <v>41793</v>
      </c>
      <c r="M4582" s="7" t="s">
        <v>41794</v>
      </c>
      <c r="N4582" s="7" t="s">
        <v>41795</v>
      </c>
      <c r="O4582" s="7">
        <v>0.27600000000000002</v>
      </c>
      <c r="P4582" s="1" t="s">
        <v>41796</v>
      </c>
    </row>
    <row r="4583" spans="1:16" ht="49.75" x14ac:dyDescent="0.3">
      <c r="A4583" s="6" t="str">
        <f>HYPERLINK("https://www.ti.com/product/TPS736", "TPS736")</f>
        <v>TPS736</v>
      </c>
      <c r="B4583" s="5" t="s">
        <v>41797</v>
      </c>
      <c r="C4583" s="6" t="str">
        <f>HYPERLINK("https://www.ti.com/lit/gpn/TPS736", "PDF")</f>
        <v>PDF</v>
      </c>
      <c r="D4583" s="5" t="s">
        <v>41798</v>
      </c>
      <c r="E4583" s="5" t="s">
        <v>41799</v>
      </c>
      <c r="F4583" s="5"/>
      <c r="G4583" s="5" t="s">
        <v>41800</v>
      </c>
      <c r="H4583" s="1" t="s">
        <v>41801</v>
      </c>
      <c r="I4583" s="5" t="s">
        <v>41802</v>
      </c>
      <c r="J4583" s="7" t="s">
        <v>41803</v>
      </c>
      <c r="K4583" s="7" t="s">
        <v>41804</v>
      </c>
      <c r="L4583" s="5" t="s">
        <v>41805</v>
      </c>
      <c r="M4583" s="7" t="s">
        <v>41806</v>
      </c>
      <c r="N4583" s="7" t="s">
        <v>41807</v>
      </c>
      <c r="O4583" s="7">
        <v>0.36799999999999999</v>
      </c>
      <c r="P4583" s="1" t="s">
        <v>41808</v>
      </c>
    </row>
    <row r="4584" spans="1:16" ht="49.75" x14ac:dyDescent="0.3">
      <c r="A4584" s="6" t="str">
        <f>HYPERLINK("https://www.ti.com/product/LP5900", "LP5900")</f>
        <v>LP5900</v>
      </c>
      <c r="B4584" s="5" t="s">
        <v>41809</v>
      </c>
      <c r="C4584" s="6" t="str">
        <f>HYPERLINK("https://www.ti.com/lit/gpn/LP5900", "PDF")</f>
        <v>PDF</v>
      </c>
      <c r="D4584" s="5" t="s">
        <v>41810</v>
      </c>
      <c r="E4584" s="5" t="s">
        <v>41811</v>
      </c>
      <c r="F4584" s="5"/>
      <c r="G4584" s="5" t="s">
        <v>41812</v>
      </c>
      <c r="H4584" s="1" t="s">
        <v>41813</v>
      </c>
      <c r="I4584" s="5" t="s">
        <v>41814</v>
      </c>
      <c r="J4584" s="7" t="s">
        <v>41815</v>
      </c>
      <c r="K4584" s="7" t="s">
        <v>41816</v>
      </c>
      <c r="L4584" s="5" t="s">
        <v>41817</v>
      </c>
      <c r="M4584" s="7" t="s">
        <v>41818</v>
      </c>
      <c r="N4584" s="7" t="s">
        <v>41819</v>
      </c>
      <c r="O4584" s="7">
        <v>0.23</v>
      </c>
      <c r="P4584" s="1" t="s">
        <v>41820</v>
      </c>
    </row>
    <row r="4585" spans="1:16" ht="33.4" x14ac:dyDescent="0.3">
      <c r="A4585" s="6" t="str">
        <f>HYPERLINK("https://www.ti.com/product/TLC5922", "TLC5922")</f>
        <v>TLC5922</v>
      </c>
      <c r="B4585" s="5" t="s">
        <v>41821</v>
      </c>
      <c r="C4585" s="6" t="str">
        <f>HYPERLINK("https://www.ti.com/lit/gpn/TLC5922", "PDF")</f>
        <v>PDF</v>
      </c>
      <c r="D4585" s="5" t="s">
        <v>41822</v>
      </c>
      <c r="E4585" s="5" t="s">
        <v>41823</v>
      </c>
      <c r="F4585" s="5"/>
      <c r="G4585" s="5" t="s">
        <v>41824</v>
      </c>
      <c r="H4585" s="1" t="s">
        <v>41825</v>
      </c>
      <c r="I4585" s="5" t="s">
        <v>41826</v>
      </c>
      <c r="J4585" s="7">
        <v>32</v>
      </c>
      <c r="K4585" s="7">
        <v>89.1</v>
      </c>
      <c r="L4585" s="5" t="s">
        <v>41827</v>
      </c>
      <c r="M4585" s="7">
        <v>1.2</v>
      </c>
      <c r="N4585" s="7">
        <v>0.65</v>
      </c>
      <c r="O4585" s="7">
        <v>1.2869999999999999</v>
      </c>
      <c r="P4585" s="1" t="s">
        <v>41828</v>
      </c>
    </row>
    <row r="4586" spans="1:16" ht="33.4" x14ac:dyDescent="0.3">
      <c r="A4586" s="6" t="str">
        <f>HYPERLINK("https://www.ti.com/product/TPS62220", "TPS62220")</f>
        <v>TPS62220</v>
      </c>
      <c r="B4586" s="5" t="s">
        <v>41829</v>
      </c>
      <c r="C4586" s="6" t="str">
        <f>HYPERLINK("https://www.ti.com/lit/gpn/TPS62220", "PDF")</f>
        <v>PDF</v>
      </c>
      <c r="D4586" s="5" t="s">
        <v>41830</v>
      </c>
      <c r="E4586" s="5" t="s">
        <v>41831</v>
      </c>
      <c r="F4586" s="5" t="s">
        <v>41832</v>
      </c>
      <c r="G4586" s="5" t="s">
        <v>41833</v>
      </c>
      <c r="H4586" s="1" t="s">
        <v>41834</v>
      </c>
      <c r="I4586" s="5" t="s">
        <v>41835</v>
      </c>
      <c r="J4586" s="7">
        <v>5</v>
      </c>
      <c r="K4586" s="7">
        <v>8.1199999999999992</v>
      </c>
      <c r="L4586" s="5" t="s">
        <v>41836</v>
      </c>
      <c r="M4586" s="7">
        <v>1.1000000000000001</v>
      </c>
      <c r="N4586" s="7">
        <v>0.95</v>
      </c>
      <c r="O4586" s="7">
        <v>0.501</v>
      </c>
      <c r="P4586" s="1" t="s">
        <v>41837</v>
      </c>
    </row>
    <row r="4587" spans="1:16" ht="33.4" x14ac:dyDescent="0.3">
      <c r="A4587" s="6" t="str">
        <f>HYPERLINK("https://www.ti.com/product/TPS62221", "TPS62221")</f>
        <v>TPS62221</v>
      </c>
      <c r="B4587" s="5" t="s">
        <v>41838</v>
      </c>
      <c r="C4587" s="6" t="str">
        <f>HYPERLINK("https://www.ti.com/lit/gpn/TPS62221", "PDF")</f>
        <v>PDF</v>
      </c>
      <c r="D4587" s="5" t="s">
        <v>41839</v>
      </c>
      <c r="E4587" s="5" t="s">
        <v>41840</v>
      </c>
      <c r="F4587" s="5" t="s">
        <v>41841</v>
      </c>
      <c r="G4587" s="5" t="s">
        <v>41842</v>
      </c>
      <c r="H4587" s="1" t="s">
        <v>41843</v>
      </c>
      <c r="I4587" s="5" t="s">
        <v>41844</v>
      </c>
      <c r="J4587" s="7">
        <v>5</v>
      </c>
      <c r="K4587" s="7">
        <v>8.1199999999999992</v>
      </c>
      <c r="L4587" s="5" t="s">
        <v>41845</v>
      </c>
      <c r="M4587" s="7">
        <v>1.1000000000000001</v>
      </c>
      <c r="N4587" s="7">
        <v>0.95</v>
      </c>
      <c r="O4587" s="7">
        <v>0.501</v>
      </c>
      <c r="P4587" s="1" t="s">
        <v>41846</v>
      </c>
    </row>
    <row r="4588" spans="1:16" ht="33.4" x14ac:dyDescent="0.3">
      <c r="A4588" s="6" t="str">
        <f>HYPERLINK("https://www.ti.com/product/TPS62222", "TPS62222")</f>
        <v>TPS62222</v>
      </c>
      <c r="B4588" s="5" t="s">
        <v>41847</v>
      </c>
      <c r="C4588" s="6" t="str">
        <f>HYPERLINK("https://www.ti.com/lit/gpn/TPS62222", "PDF")</f>
        <v>PDF</v>
      </c>
      <c r="D4588" s="5" t="s">
        <v>41848</v>
      </c>
      <c r="E4588" s="5" t="s">
        <v>41849</v>
      </c>
      <c r="F4588" s="5" t="s">
        <v>41850</v>
      </c>
      <c r="G4588" s="5" t="s">
        <v>41851</v>
      </c>
      <c r="H4588" s="1" t="s">
        <v>41852</v>
      </c>
      <c r="I4588" s="5" t="s">
        <v>41853</v>
      </c>
      <c r="J4588" s="7">
        <v>5</v>
      </c>
      <c r="K4588" s="7">
        <v>8.1199999999999992</v>
      </c>
      <c r="L4588" s="5" t="s">
        <v>41854</v>
      </c>
      <c r="M4588" s="7">
        <v>1.1000000000000001</v>
      </c>
      <c r="N4588" s="7">
        <v>0.95</v>
      </c>
      <c r="O4588" s="7">
        <v>0.501</v>
      </c>
      <c r="P4588" s="1" t="s">
        <v>41855</v>
      </c>
    </row>
    <row r="4589" spans="1:16" ht="33.4" x14ac:dyDescent="0.3">
      <c r="A4589" s="6" t="str">
        <f>HYPERLINK("https://www.ti.com/product/TPS62224", "TPS62224")</f>
        <v>TPS62224</v>
      </c>
      <c r="B4589" s="5" t="s">
        <v>41856</v>
      </c>
      <c r="C4589" s="6" t="str">
        <f>HYPERLINK("https://www.ti.com/lit/gpn/TPS62224", "PDF")</f>
        <v>PDF</v>
      </c>
      <c r="D4589" s="5" t="s">
        <v>41857</v>
      </c>
      <c r="E4589" s="5" t="s">
        <v>41858</v>
      </c>
      <c r="F4589" s="5" t="s">
        <v>41859</v>
      </c>
      <c r="G4589" s="5" t="s">
        <v>41860</v>
      </c>
      <c r="H4589" s="1" t="s">
        <v>41861</v>
      </c>
      <c r="I4589" s="5" t="s">
        <v>41862</v>
      </c>
      <c r="J4589" s="7">
        <v>5</v>
      </c>
      <c r="K4589" s="7">
        <v>8.1199999999999992</v>
      </c>
      <c r="L4589" s="5" t="s">
        <v>41863</v>
      </c>
      <c r="M4589" s="7">
        <v>1.1000000000000001</v>
      </c>
      <c r="N4589" s="7">
        <v>0.95</v>
      </c>
      <c r="O4589" s="7">
        <v>0.501</v>
      </c>
      <c r="P4589" s="1" t="s">
        <v>41864</v>
      </c>
    </row>
    <row r="4590" spans="1:16" ht="33.4" x14ac:dyDescent="0.3">
      <c r="A4590" s="6" t="str">
        <f>HYPERLINK("https://www.ti.com/product/UCC28220", "UCC28220")</f>
        <v>UCC28220</v>
      </c>
      <c r="B4590" s="5" t="s">
        <v>41865</v>
      </c>
      <c r="C4590" s="6" t="str">
        <f>HYPERLINK("https://www.ti.com/lit/gpn/UCC28220", "PDF")</f>
        <v>PDF</v>
      </c>
      <c r="D4590" s="5" t="s">
        <v>41866</v>
      </c>
      <c r="E4590" s="5" t="s">
        <v>41867</v>
      </c>
      <c r="F4590" s="5" t="s">
        <v>41868</v>
      </c>
      <c r="G4590" s="5" t="s">
        <v>41869</v>
      </c>
      <c r="H4590" s="1" t="s">
        <v>41870</v>
      </c>
      <c r="I4590" s="5" t="s">
        <v>41871</v>
      </c>
      <c r="J4590" s="7">
        <v>16</v>
      </c>
      <c r="K4590" s="7" t="s">
        <v>41872</v>
      </c>
      <c r="L4590" s="5" t="s">
        <v>41873</v>
      </c>
      <c r="M4590" s="7" t="s">
        <v>41874</v>
      </c>
      <c r="N4590" s="7" t="s">
        <v>41875</v>
      </c>
      <c r="O4590" s="7">
        <v>2.0190000000000001</v>
      </c>
      <c r="P4590" s="1" t="s">
        <v>41876</v>
      </c>
    </row>
    <row r="4591" spans="1:16" ht="33.4" x14ac:dyDescent="0.3">
      <c r="A4591" s="6" t="str">
        <f>HYPERLINK("https://www.ti.com/product/TPS61020", "TPS61020")</f>
        <v>TPS61020</v>
      </c>
      <c r="B4591" s="5" t="s">
        <v>41877</v>
      </c>
      <c r="C4591" s="6" t="str">
        <f>HYPERLINK("https://www.ti.com/lit/gpn/TPS61020", "PDF")</f>
        <v>PDF</v>
      </c>
      <c r="D4591" s="5" t="s">
        <v>41878</v>
      </c>
      <c r="E4591" s="5" t="s">
        <v>41879</v>
      </c>
      <c r="F4591" s="5" t="s">
        <v>41880</v>
      </c>
      <c r="G4591" s="5" t="s">
        <v>41881</v>
      </c>
      <c r="H4591" s="1" t="s">
        <v>41882</v>
      </c>
      <c r="I4591" s="5" t="s">
        <v>41883</v>
      </c>
      <c r="J4591" s="7">
        <v>10</v>
      </c>
      <c r="K4591" s="7">
        <v>9</v>
      </c>
      <c r="L4591" s="5" t="s">
        <v>41884</v>
      </c>
      <c r="M4591" s="7">
        <v>1</v>
      </c>
      <c r="N4591" s="7">
        <v>0.5</v>
      </c>
      <c r="O4591" s="7">
        <v>0.94399999999999995</v>
      </c>
      <c r="P4591" s="1" t="s">
        <v>41885</v>
      </c>
    </row>
    <row r="4592" spans="1:16" ht="33.4" x14ac:dyDescent="0.3">
      <c r="A4592" s="6" t="str">
        <f>HYPERLINK("https://www.ti.com/product/TPS61024", "TPS61024")</f>
        <v>TPS61024</v>
      </c>
      <c r="B4592" s="5" t="s">
        <v>41886</v>
      </c>
      <c r="C4592" s="6" t="str">
        <f>HYPERLINK("https://www.ti.com/lit/gpn/TPS61024", "PDF")</f>
        <v>PDF</v>
      </c>
      <c r="D4592" s="5" t="s">
        <v>41887</v>
      </c>
      <c r="E4592" s="5" t="s">
        <v>41888</v>
      </c>
      <c r="F4592" s="5" t="s">
        <v>41889</v>
      </c>
      <c r="G4592" s="5" t="s">
        <v>41890</v>
      </c>
      <c r="H4592" s="1" t="s">
        <v>41891</v>
      </c>
      <c r="I4592" s="5" t="s">
        <v>41892</v>
      </c>
      <c r="J4592" s="7">
        <v>10</v>
      </c>
      <c r="K4592" s="7">
        <v>9</v>
      </c>
      <c r="L4592" s="5" t="s">
        <v>41893</v>
      </c>
      <c r="M4592" s="7">
        <v>1</v>
      </c>
      <c r="N4592" s="7">
        <v>0.5</v>
      </c>
      <c r="O4592" s="7">
        <v>0.89</v>
      </c>
      <c r="P4592" s="1" t="s">
        <v>41894</v>
      </c>
    </row>
    <row r="4593" spans="1:16" ht="33.4" x14ac:dyDescent="0.3">
      <c r="A4593" s="6" t="str">
        <f>HYPERLINK("https://www.ti.com/product/TPS61025", "TPS61025")</f>
        <v>TPS61025</v>
      </c>
      <c r="B4593" s="5" t="s">
        <v>41895</v>
      </c>
      <c r="C4593" s="6" t="str">
        <f>HYPERLINK("https://www.ti.com/lit/gpn/TPS61025", "PDF")</f>
        <v>PDF</v>
      </c>
      <c r="D4593" s="5" t="s">
        <v>41896</v>
      </c>
      <c r="E4593" s="5" t="s">
        <v>41897</v>
      </c>
      <c r="F4593" s="5" t="s">
        <v>41898</v>
      </c>
      <c r="G4593" s="5" t="s">
        <v>41899</v>
      </c>
      <c r="H4593" s="1" t="s">
        <v>41900</v>
      </c>
      <c r="I4593" s="5" t="s">
        <v>41901</v>
      </c>
      <c r="J4593" s="7">
        <v>10</v>
      </c>
      <c r="K4593" s="7">
        <v>9</v>
      </c>
      <c r="L4593" s="5" t="s">
        <v>41902</v>
      </c>
      <c r="M4593" s="7">
        <v>1</v>
      </c>
      <c r="N4593" s="7">
        <v>0.5</v>
      </c>
      <c r="O4593" s="7">
        <v>0.89</v>
      </c>
      <c r="P4593" s="1" t="s">
        <v>41903</v>
      </c>
    </row>
    <row r="4594" spans="1:16" ht="33.4" x14ac:dyDescent="0.3">
      <c r="A4594" s="6" t="str">
        <f>HYPERLINK("https://www.ti.com/product/TPS61027", "TPS61027")</f>
        <v>TPS61027</v>
      </c>
      <c r="B4594" s="5" t="s">
        <v>41904</v>
      </c>
      <c r="C4594" s="6" t="str">
        <f>HYPERLINK("https://www.ti.com/lit/gpn/TPS61027", "PDF")</f>
        <v>PDF</v>
      </c>
      <c r="D4594" s="5" t="s">
        <v>41905</v>
      </c>
      <c r="E4594" s="5" t="s">
        <v>41906</v>
      </c>
      <c r="F4594" s="5" t="s">
        <v>41907</v>
      </c>
      <c r="G4594" s="5" t="s">
        <v>41908</v>
      </c>
      <c r="H4594" s="1" t="s">
        <v>41909</v>
      </c>
      <c r="I4594" s="5" t="s">
        <v>41910</v>
      </c>
      <c r="J4594" s="7">
        <v>10</v>
      </c>
      <c r="K4594" s="7">
        <v>9</v>
      </c>
      <c r="L4594" s="5" t="s">
        <v>41911</v>
      </c>
      <c r="M4594" s="7">
        <v>1</v>
      </c>
      <c r="N4594" s="7">
        <v>0.5</v>
      </c>
      <c r="O4594" s="7">
        <v>0.89</v>
      </c>
      <c r="P4594" s="1" t="s">
        <v>41912</v>
      </c>
    </row>
    <row r="4595" spans="1:16" ht="49.75" x14ac:dyDescent="0.3">
      <c r="A4595" s="6" t="str">
        <f>HYPERLINK("https://www.ti.com/product/UCC2808A-1EP", "UCC2808A-1EP")</f>
        <v>UCC2808A-1EP</v>
      </c>
      <c r="B4595" s="5" t="s">
        <v>41913</v>
      </c>
      <c r="C4595" s="6" t="str">
        <f>HYPERLINK("https://www.ti.com/lit/gpn/UCC2808A-1EP", "PDF")</f>
        <v>PDF</v>
      </c>
      <c r="D4595" s="5" t="s">
        <v>41914</v>
      </c>
      <c r="E4595" s="5" t="s">
        <v>41915</v>
      </c>
      <c r="F4595" s="5" t="s">
        <v>41916</v>
      </c>
      <c r="G4595" s="5" t="s">
        <v>41917</v>
      </c>
      <c r="H4595" s="1" t="s">
        <v>41918</v>
      </c>
      <c r="I4595" s="5" t="s">
        <v>41919</v>
      </c>
      <c r="J4595" s="7">
        <v>8</v>
      </c>
      <c r="K4595" s="7">
        <v>29.4</v>
      </c>
      <c r="L4595" s="5" t="s">
        <v>41920</v>
      </c>
      <c r="M4595" s="7">
        <v>1.75</v>
      </c>
      <c r="N4595" s="7">
        <v>1.27</v>
      </c>
      <c r="O4595" s="7">
        <v>1.804</v>
      </c>
      <c r="P4595" s="1" t="s">
        <v>41921</v>
      </c>
    </row>
    <row r="4596" spans="1:16" ht="33.4" x14ac:dyDescent="0.3">
      <c r="A4596" s="6" t="str">
        <f>HYPERLINK("https://www.ti.com/product/UCC2808A-1Q1", "UCC2808A-1Q1")</f>
        <v>UCC2808A-1Q1</v>
      </c>
      <c r="B4596" s="5" t="s">
        <v>41922</v>
      </c>
      <c r="C4596" s="6" t="str">
        <f>HYPERLINK("https://www.ti.com/lit/gpn/UCC2808A-1Q1", "PDF")</f>
        <v>PDF</v>
      </c>
      <c r="D4596" s="5" t="s">
        <v>41923</v>
      </c>
      <c r="E4596" s="5" t="s">
        <v>41924</v>
      </c>
      <c r="F4596" s="5" t="s">
        <v>41925</v>
      </c>
      <c r="G4596" s="5" t="s">
        <v>41926</v>
      </c>
      <c r="H4596" s="1" t="s">
        <v>41927</v>
      </c>
      <c r="I4596" s="5" t="s">
        <v>41928</v>
      </c>
      <c r="J4596" s="7">
        <v>8</v>
      </c>
      <c r="K4596" s="7">
        <v>29.4</v>
      </c>
      <c r="L4596" s="5" t="s">
        <v>41929</v>
      </c>
      <c r="M4596" s="7">
        <v>1.75</v>
      </c>
      <c r="N4596" s="7">
        <v>1.27</v>
      </c>
      <c r="O4596" s="7">
        <v>1.254</v>
      </c>
      <c r="P4596" s="1" t="s">
        <v>41930</v>
      </c>
    </row>
    <row r="4597" spans="1:16" ht="49.75" x14ac:dyDescent="0.3">
      <c r="A4597" s="6" t="str">
        <f>HYPERLINK("https://www.ti.com/product/UCC2808A-2EP", "UCC2808A-2EP")</f>
        <v>UCC2808A-2EP</v>
      </c>
      <c r="B4597" s="5" t="s">
        <v>41931</v>
      </c>
      <c r="C4597" s="6" t="str">
        <f>HYPERLINK("https://www.ti.com/lit/gpn/UCC2808A-2EP", "PDF")</f>
        <v>PDF</v>
      </c>
      <c r="D4597" s="5" t="s">
        <v>41932</v>
      </c>
      <c r="E4597" s="5" t="s">
        <v>41933</v>
      </c>
      <c r="F4597" s="5" t="s">
        <v>41934</v>
      </c>
      <c r="G4597" s="5" t="s">
        <v>41935</v>
      </c>
      <c r="H4597" s="1" t="s">
        <v>41936</v>
      </c>
      <c r="I4597" s="5" t="s">
        <v>41937</v>
      </c>
      <c r="J4597" s="7">
        <v>8</v>
      </c>
      <c r="K4597" s="7">
        <v>29.4</v>
      </c>
      <c r="L4597" s="5" t="s">
        <v>41938</v>
      </c>
      <c r="M4597" s="7">
        <v>1.75</v>
      </c>
      <c r="N4597" s="7">
        <v>1.27</v>
      </c>
      <c r="O4597" s="7">
        <v>1.804</v>
      </c>
      <c r="P4597" s="1" t="s">
        <v>41939</v>
      </c>
    </row>
    <row r="4598" spans="1:16" ht="33.4" x14ac:dyDescent="0.3">
      <c r="A4598" s="6" t="str">
        <f>HYPERLINK("https://www.ti.com/product/UCC2808A-2Q1", "UCC2808A-2Q1")</f>
        <v>UCC2808A-2Q1</v>
      </c>
      <c r="B4598" s="5" t="s">
        <v>41940</v>
      </c>
      <c r="C4598" s="6" t="str">
        <f>HYPERLINK("https://www.ti.com/lit/gpn/UCC2808A-2Q1", "PDF")</f>
        <v>PDF</v>
      </c>
      <c r="D4598" s="5" t="s">
        <v>41941</v>
      </c>
      <c r="E4598" s="5" t="s">
        <v>41942</v>
      </c>
      <c r="F4598" s="5" t="s">
        <v>41943</v>
      </c>
      <c r="G4598" s="5" t="s">
        <v>41944</v>
      </c>
      <c r="H4598" s="1" t="s">
        <v>41945</v>
      </c>
      <c r="I4598" s="5" t="s">
        <v>41946</v>
      </c>
      <c r="J4598" s="7">
        <v>8</v>
      </c>
      <c r="K4598" s="7">
        <v>29.4</v>
      </c>
      <c r="L4598" s="5" t="s">
        <v>41947</v>
      </c>
      <c r="M4598" s="7">
        <v>1.75</v>
      </c>
      <c r="N4598" s="7">
        <v>1.27</v>
      </c>
      <c r="O4598" s="7">
        <v>1.7290000000000001</v>
      </c>
      <c r="P4598" s="1" t="s">
        <v>41948</v>
      </c>
    </row>
    <row r="4599" spans="1:16" ht="49.75" x14ac:dyDescent="0.3">
      <c r="A4599" s="6" t="str">
        <f>HYPERLINK("https://www.ti.com/product/PTH12010W", "PTH12010W")</f>
        <v>PTH12010W</v>
      </c>
      <c r="B4599" s="5" t="s">
        <v>41949</v>
      </c>
      <c r="C4599" s="6" t="str">
        <f>HYPERLINK("https://www.ti.com/lit/gpn/PTH12010W", "PDF")</f>
        <v>PDF</v>
      </c>
      <c r="D4599" s="5" t="s">
        <v>41950</v>
      </c>
      <c r="E4599" s="5" t="s">
        <v>41951</v>
      </c>
      <c r="F4599" s="5" t="s">
        <v>41952</v>
      </c>
      <c r="G4599" s="5" t="s">
        <v>41953</v>
      </c>
      <c r="H4599" s="1" t="s">
        <v>41954</v>
      </c>
      <c r="I4599" s="5" t="s">
        <v>41955</v>
      </c>
      <c r="J4599" s="7">
        <v>10</v>
      </c>
      <c r="K4599" s="7" t="s">
        <v>41956</v>
      </c>
      <c r="L4599" s="5" t="s">
        <v>41957</v>
      </c>
      <c r="M4599" s="7">
        <v>9</v>
      </c>
      <c r="N4599" s="7">
        <v>3.1749999999999998</v>
      </c>
      <c r="O4599" s="7">
        <v>18.052</v>
      </c>
      <c r="P4599" s="1" t="s">
        <v>41958</v>
      </c>
    </row>
    <row r="4600" spans="1:16" ht="49.75" x14ac:dyDescent="0.3">
      <c r="A4600" s="6" t="str">
        <f>HYPERLINK("https://www.ti.com/product/LP3891", "LP3891")</f>
        <v>LP3891</v>
      </c>
      <c r="B4600" s="5" t="s">
        <v>41959</v>
      </c>
      <c r="C4600" s="6" t="str">
        <f>HYPERLINK("https://www.ti.com/lit/gpn/LP3891", "PDF")</f>
        <v>PDF</v>
      </c>
      <c r="D4600" s="5" t="s">
        <v>41960</v>
      </c>
      <c r="E4600" s="5" t="s">
        <v>41961</v>
      </c>
      <c r="F4600" s="5"/>
      <c r="G4600" s="5" t="s">
        <v>41962</v>
      </c>
      <c r="H4600" s="1" t="s">
        <v>41963</v>
      </c>
      <c r="I4600" s="5" t="s">
        <v>41964</v>
      </c>
      <c r="J4600" s="7" t="s">
        <v>41965</v>
      </c>
      <c r="K4600" s="7" t="s">
        <v>41966</v>
      </c>
      <c r="L4600" s="5" t="s">
        <v>41967</v>
      </c>
      <c r="M4600" s="7" t="s">
        <v>41968</v>
      </c>
      <c r="N4600" s="7" t="s">
        <v>41969</v>
      </c>
      <c r="O4600" s="7">
        <v>1.19</v>
      </c>
      <c r="P4600" s="1" t="s">
        <v>41970</v>
      </c>
    </row>
    <row r="4601" spans="1:16" ht="49.75" x14ac:dyDescent="0.3">
      <c r="A4601" s="6" t="str">
        <f>HYPERLINK("https://www.ti.com/product/LP3892", "LP3892")</f>
        <v>LP3892</v>
      </c>
      <c r="B4601" s="5" t="s">
        <v>41971</v>
      </c>
      <c r="C4601" s="6" t="str">
        <f>HYPERLINK("https://www.ti.com/lit/gpn/LP3892", "PDF")</f>
        <v>PDF</v>
      </c>
      <c r="D4601" s="5" t="s">
        <v>41972</v>
      </c>
      <c r="E4601" s="5" t="s">
        <v>41973</v>
      </c>
      <c r="F4601" s="5"/>
      <c r="G4601" s="5" t="s">
        <v>41974</v>
      </c>
      <c r="H4601" s="1" t="s">
        <v>41975</v>
      </c>
      <c r="I4601" s="5" t="s">
        <v>41976</v>
      </c>
      <c r="J4601" s="7" t="s">
        <v>41977</v>
      </c>
      <c r="K4601" s="7" t="s">
        <v>41978</v>
      </c>
      <c r="L4601" s="5" t="s">
        <v>41979</v>
      </c>
      <c r="M4601" s="7" t="s">
        <v>41980</v>
      </c>
      <c r="N4601" s="7" t="s">
        <v>41981</v>
      </c>
      <c r="O4601" s="7">
        <v>0.97799999999999998</v>
      </c>
      <c r="P4601" s="1" t="s">
        <v>41982</v>
      </c>
    </row>
    <row r="4602" spans="1:16" ht="33.4" x14ac:dyDescent="0.3">
      <c r="A4602" s="6" t="str">
        <f>HYPERLINK("https://www.ti.com/product/LP3893", "LP3893")</f>
        <v>LP3893</v>
      </c>
      <c r="B4602" s="5" t="s">
        <v>41983</v>
      </c>
      <c r="C4602" s="6" t="str">
        <f>HYPERLINK("https://www.ti.com/lit/gpn/LP3893", "PDF")</f>
        <v>PDF</v>
      </c>
      <c r="D4602" s="5" t="s">
        <v>41984</v>
      </c>
      <c r="E4602" s="5" t="s">
        <v>41985</v>
      </c>
      <c r="F4602" s="5"/>
      <c r="G4602" s="5" t="s">
        <v>41986</v>
      </c>
      <c r="H4602" s="1" t="s">
        <v>41987</v>
      </c>
      <c r="I4602" s="5" t="s">
        <v>41988</v>
      </c>
      <c r="J4602" s="7">
        <v>5</v>
      </c>
      <c r="K4602" s="7">
        <v>154.83840000000001</v>
      </c>
      <c r="L4602" s="5" t="s">
        <v>41989</v>
      </c>
      <c r="M4602" s="7">
        <v>4.83</v>
      </c>
      <c r="N4602" s="7">
        <v>1.7</v>
      </c>
      <c r="O4602" s="7">
        <v>2.34</v>
      </c>
      <c r="P4602" s="1" t="s">
        <v>41990</v>
      </c>
    </row>
    <row r="4603" spans="1:16" ht="82.5" x14ac:dyDescent="0.3">
      <c r="A4603" s="6" t="str">
        <f>HYPERLINK("https://www.ti.com/product/LP3855-ADJ", "LP3855-ADJ")</f>
        <v>LP3855-ADJ</v>
      </c>
      <c r="B4603" s="5" t="s">
        <v>41991</v>
      </c>
      <c r="C4603" s="6" t="str">
        <f>HYPERLINK("https://www.ti.com/lit/gpn/LP3855-ADJ", "PDF")</f>
        <v>PDF</v>
      </c>
      <c r="D4603" s="5" t="s">
        <v>41992</v>
      </c>
      <c r="E4603" s="5" t="s">
        <v>41993</v>
      </c>
      <c r="F4603" s="5"/>
      <c r="G4603" s="5" t="s">
        <v>41994</v>
      </c>
      <c r="H4603" s="1" t="s">
        <v>41995</v>
      </c>
      <c r="I4603" s="5" t="s">
        <v>41996</v>
      </c>
      <c r="J4603" s="7">
        <v>5</v>
      </c>
      <c r="K4603" s="7" t="s">
        <v>41997</v>
      </c>
      <c r="L4603" s="5" t="s">
        <v>41998</v>
      </c>
      <c r="M4603" s="7" t="s">
        <v>41999</v>
      </c>
      <c r="N4603" s="7" t="s">
        <v>42000</v>
      </c>
      <c r="O4603" s="7">
        <v>1.0780000000000001</v>
      </c>
      <c r="P4603" s="1" t="s">
        <v>42001</v>
      </c>
    </row>
    <row r="4604" spans="1:16" ht="49.75" x14ac:dyDescent="0.3">
      <c r="A4604" s="6" t="str">
        <f>HYPERLINK("https://www.ti.com/product/LP3856-ADJ", "LP3856-ADJ")</f>
        <v>LP3856-ADJ</v>
      </c>
      <c r="B4604" s="5" t="s">
        <v>42002</v>
      </c>
      <c r="C4604" s="6" t="str">
        <f>HYPERLINK("https://www.ti.com/lit/gpn/LP3856-ADJ", "PDF")</f>
        <v>PDF</v>
      </c>
      <c r="D4604" s="5" t="s">
        <v>42003</v>
      </c>
      <c r="E4604" s="5" t="s">
        <v>42004</v>
      </c>
      <c r="F4604" s="5"/>
      <c r="G4604" s="5" t="s">
        <v>42005</v>
      </c>
      <c r="H4604" s="1" t="s">
        <v>42006</v>
      </c>
      <c r="I4604" s="5" t="s">
        <v>42007</v>
      </c>
      <c r="J4604" s="7">
        <v>5</v>
      </c>
      <c r="K4604" s="7" t="s">
        <v>42008</v>
      </c>
      <c r="L4604" s="5" t="s">
        <v>42009</v>
      </c>
      <c r="M4604" s="7" t="s">
        <v>42010</v>
      </c>
      <c r="N4604" s="7">
        <v>1.7</v>
      </c>
      <c r="O4604" s="7">
        <v>1.964</v>
      </c>
      <c r="P4604" s="1" t="s">
        <v>42011</v>
      </c>
    </row>
    <row r="4605" spans="1:16" ht="49.75" x14ac:dyDescent="0.3">
      <c r="A4605" s="6" t="str">
        <f>HYPERLINK("https://www.ti.com/product/LP3874-ADJ", "LP3874-ADJ")</f>
        <v>LP3874-ADJ</v>
      </c>
      <c r="B4605" s="5" t="s">
        <v>42012</v>
      </c>
      <c r="C4605" s="6" t="str">
        <f>HYPERLINK("https://www.ti.com/lit/gpn/LP3874-ADJ", "PDF")</f>
        <v>PDF</v>
      </c>
      <c r="D4605" s="5" t="s">
        <v>42013</v>
      </c>
      <c r="E4605" s="5" t="s">
        <v>42014</v>
      </c>
      <c r="F4605" s="5"/>
      <c r="G4605" s="5" t="s">
        <v>42015</v>
      </c>
      <c r="H4605" s="1" t="s">
        <v>42016</v>
      </c>
      <c r="I4605" s="5" t="s">
        <v>42017</v>
      </c>
      <c r="J4605" s="7">
        <v>5</v>
      </c>
      <c r="K4605" s="7" t="s">
        <v>42018</v>
      </c>
      <c r="L4605" s="5" t="s">
        <v>42019</v>
      </c>
      <c r="M4605" s="7" t="s">
        <v>42020</v>
      </c>
      <c r="N4605" s="7" t="s">
        <v>42021</v>
      </c>
      <c r="O4605" s="7">
        <v>1.1499999999999999</v>
      </c>
      <c r="P4605" s="1" t="s">
        <v>42022</v>
      </c>
    </row>
    <row r="4606" spans="1:16" ht="49.75" x14ac:dyDescent="0.3">
      <c r="A4606" s="6" t="str">
        <f>HYPERLINK("https://www.ti.com/product/LP3875-ADJ", "LP3875-ADJ")</f>
        <v>LP3875-ADJ</v>
      </c>
      <c r="B4606" s="5" t="s">
        <v>42023</v>
      </c>
      <c r="C4606" s="6" t="str">
        <f>HYPERLINK("https://www.ti.com/lit/gpn/LP3875-ADJ", "PDF")</f>
        <v>PDF</v>
      </c>
      <c r="D4606" s="5" t="s">
        <v>42024</v>
      </c>
      <c r="E4606" s="5" t="s">
        <v>42025</v>
      </c>
      <c r="F4606" s="5"/>
      <c r="G4606" s="5" t="s">
        <v>42026</v>
      </c>
      <c r="H4606" s="1" t="s">
        <v>42027</v>
      </c>
      <c r="I4606" s="5" t="s">
        <v>42028</v>
      </c>
      <c r="J4606" s="7">
        <v>5</v>
      </c>
      <c r="K4606" s="7" t="s">
        <v>42029</v>
      </c>
      <c r="L4606" s="5" t="s">
        <v>42030</v>
      </c>
      <c r="M4606" s="7" t="s">
        <v>42031</v>
      </c>
      <c r="N4606" s="7" t="s">
        <v>42032</v>
      </c>
      <c r="O4606" s="7">
        <v>1.0780000000000001</v>
      </c>
      <c r="P4606" s="1" t="s">
        <v>42033</v>
      </c>
    </row>
    <row r="4607" spans="1:16" ht="33.4" x14ac:dyDescent="0.3">
      <c r="A4607" s="6" t="str">
        <f>HYPERLINK("https://www.ti.com/product/LP3876-ADJ", "LP3876-ADJ")</f>
        <v>LP3876-ADJ</v>
      </c>
      <c r="B4607" s="5" t="s">
        <v>42034</v>
      </c>
      <c r="C4607" s="6" t="str">
        <f>HYPERLINK("https://www.ti.com/lit/gpn/LP3876-ADJ", "PDF")</f>
        <v>PDF</v>
      </c>
      <c r="D4607" s="5" t="s">
        <v>42035</v>
      </c>
      <c r="E4607" s="5" t="s">
        <v>42036</v>
      </c>
      <c r="F4607" s="5"/>
      <c r="G4607" s="5" t="s">
        <v>42037</v>
      </c>
      <c r="H4607" s="1" t="s">
        <v>42038</v>
      </c>
      <c r="I4607" s="5" t="s">
        <v>42039</v>
      </c>
      <c r="J4607" s="7">
        <v>5</v>
      </c>
      <c r="K4607" s="7">
        <v>154.83840000000001</v>
      </c>
      <c r="L4607" s="5" t="s">
        <v>42040</v>
      </c>
      <c r="M4607" s="7">
        <v>4.83</v>
      </c>
      <c r="N4607" s="7">
        <v>1.7</v>
      </c>
      <c r="O4607" s="7">
        <v>2.34</v>
      </c>
      <c r="P4607" s="1" t="s">
        <v>42041</v>
      </c>
    </row>
    <row r="4608" spans="1:16" ht="33.4" x14ac:dyDescent="0.3">
      <c r="A4608" s="6" t="str">
        <f>HYPERLINK("https://www.ti.com/product/LM5020", "LM5020")</f>
        <v>LM5020</v>
      </c>
      <c r="B4608" s="5" t="s">
        <v>42042</v>
      </c>
      <c r="C4608" s="6" t="str">
        <f>HYPERLINK("https://www.ti.com/lit/gpn/LM5020", "PDF")</f>
        <v>PDF</v>
      </c>
      <c r="D4608" s="5" t="s">
        <v>42043</v>
      </c>
      <c r="E4608" s="5" t="s">
        <v>42044</v>
      </c>
      <c r="F4608" s="5" t="s">
        <v>42045</v>
      </c>
      <c r="G4608" s="5" t="s">
        <v>42046</v>
      </c>
      <c r="H4608" s="1" t="s">
        <v>42047</v>
      </c>
      <c r="I4608" s="5" t="s">
        <v>42048</v>
      </c>
      <c r="J4608" s="7">
        <v>10</v>
      </c>
      <c r="K4608" s="7" t="s">
        <v>42049</v>
      </c>
      <c r="L4608" s="5" t="s">
        <v>42050</v>
      </c>
      <c r="M4608" s="7" t="s">
        <v>42051</v>
      </c>
      <c r="N4608" s="7" t="s">
        <v>42052</v>
      </c>
      <c r="O4608" s="7">
        <v>0.94599999999999995</v>
      </c>
      <c r="P4608" s="1" t="s">
        <v>42053</v>
      </c>
    </row>
    <row r="4609" spans="1:16" ht="33.4" x14ac:dyDescent="0.3">
      <c r="A4609" s="6" t="str">
        <f>HYPERLINK("https://www.ti.com/product/LM2736", "LM2736")</f>
        <v>LM2736</v>
      </c>
      <c r="B4609" s="5" t="s">
        <v>42054</v>
      </c>
      <c r="C4609" s="6" t="str">
        <f>HYPERLINK("https://www.ti.com/lit/gpn/LM2736", "PDF")</f>
        <v>PDF</v>
      </c>
      <c r="D4609" s="5" t="s">
        <v>42055</v>
      </c>
      <c r="E4609" s="5" t="s">
        <v>42056</v>
      </c>
      <c r="F4609" s="5" t="s">
        <v>42057</v>
      </c>
      <c r="G4609" s="5" t="s">
        <v>42058</v>
      </c>
      <c r="H4609" s="1" t="s">
        <v>42059</v>
      </c>
      <c r="I4609" s="5" t="s">
        <v>42060</v>
      </c>
      <c r="J4609" s="7">
        <v>6</v>
      </c>
      <c r="K4609" s="7">
        <v>8.1199999999999992</v>
      </c>
      <c r="L4609" s="5" t="s">
        <v>42061</v>
      </c>
      <c r="M4609" s="7">
        <v>1.1000000000000001</v>
      </c>
      <c r="N4609" s="7">
        <v>0.95</v>
      </c>
      <c r="O4609" s="7">
        <v>0.85799999999999998</v>
      </c>
      <c r="P4609" s="1" t="s">
        <v>42062</v>
      </c>
    </row>
    <row r="4610" spans="1:16" ht="33.4" x14ac:dyDescent="0.3">
      <c r="A4610" s="6" t="str">
        <f>HYPERLINK("https://www.ti.com/product/TPS64200", "TPS64200")</f>
        <v>TPS64200</v>
      </c>
      <c r="B4610" s="5" t="s">
        <v>42063</v>
      </c>
      <c r="C4610" s="6" t="str">
        <f>HYPERLINK("https://www.ti.com/lit/gpn/TPS64200", "PDF")</f>
        <v>PDF</v>
      </c>
      <c r="D4610" s="5" t="s">
        <v>42064</v>
      </c>
      <c r="E4610" s="5" t="s">
        <v>42065</v>
      </c>
      <c r="F4610" s="5"/>
      <c r="G4610" s="5" t="s">
        <v>42066</v>
      </c>
      <c r="H4610" s="1" t="s">
        <v>42067</v>
      </c>
      <c r="I4610" s="5" t="s">
        <v>42068</v>
      </c>
      <c r="J4610" s="7">
        <v>6</v>
      </c>
      <c r="K4610" s="7">
        <v>8.1199999999999992</v>
      </c>
      <c r="L4610" s="5" t="s">
        <v>42069</v>
      </c>
      <c r="M4610" s="7">
        <v>1.45</v>
      </c>
      <c r="N4610" s="7">
        <v>0.95</v>
      </c>
      <c r="O4610" s="7">
        <v>0.55700000000000005</v>
      </c>
      <c r="P4610" s="1" t="s">
        <v>42070</v>
      </c>
    </row>
    <row r="4611" spans="1:16" ht="33.4" x14ac:dyDescent="0.3">
      <c r="A4611" s="6" t="str">
        <f>HYPERLINK("https://www.ti.com/product/TPS64201", "TPS64201")</f>
        <v>TPS64201</v>
      </c>
      <c r="B4611" s="5" t="s">
        <v>42071</v>
      </c>
      <c r="C4611" s="6" t="str">
        <f>HYPERLINK("https://www.ti.com/lit/gpn/TPS64201", "PDF")</f>
        <v>PDF</v>
      </c>
      <c r="D4611" s="5" t="s">
        <v>42072</v>
      </c>
      <c r="E4611" s="5" t="s">
        <v>42073</v>
      </c>
      <c r="F4611" s="5"/>
      <c r="G4611" s="5" t="s">
        <v>42074</v>
      </c>
      <c r="H4611" s="1" t="s">
        <v>42075</v>
      </c>
      <c r="I4611" s="5" t="s">
        <v>42076</v>
      </c>
      <c r="J4611" s="7">
        <v>6</v>
      </c>
      <c r="K4611" s="7">
        <v>8.1199999999999992</v>
      </c>
      <c r="L4611" s="5" t="s">
        <v>42077</v>
      </c>
      <c r="M4611" s="7">
        <v>1.45</v>
      </c>
      <c r="N4611" s="7">
        <v>0.95</v>
      </c>
      <c r="O4611" s="7">
        <v>0.55700000000000005</v>
      </c>
      <c r="P4611" s="1" t="s">
        <v>42078</v>
      </c>
    </row>
    <row r="4612" spans="1:16" ht="33.4" x14ac:dyDescent="0.3">
      <c r="A4612" s="6" t="str">
        <f>HYPERLINK("https://www.ti.com/product/TPS64202", "TPS64202")</f>
        <v>TPS64202</v>
      </c>
      <c r="B4612" s="5" t="s">
        <v>42079</v>
      </c>
      <c r="C4612" s="6" t="str">
        <f>HYPERLINK("https://www.ti.com/lit/gpn/TPS64202", "PDF")</f>
        <v>PDF</v>
      </c>
      <c r="D4612" s="5" t="s">
        <v>42080</v>
      </c>
      <c r="E4612" s="5" t="s">
        <v>42081</v>
      </c>
      <c r="F4612" s="5"/>
      <c r="G4612" s="5" t="s">
        <v>42082</v>
      </c>
      <c r="H4612" s="1" t="s">
        <v>42083</v>
      </c>
      <c r="I4612" s="5" t="s">
        <v>42084</v>
      </c>
      <c r="J4612" s="7">
        <v>6</v>
      </c>
      <c r="K4612" s="7">
        <v>8.1199999999999992</v>
      </c>
      <c r="L4612" s="5" t="s">
        <v>42085</v>
      </c>
      <c r="M4612" s="7">
        <v>1.45</v>
      </c>
      <c r="N4612" s="7">
        <v>0.95</v>
      </c>
      <c r="O4612" s="7">
        <v>0.55700000000000005</v>
      </c>
      <c r="P4612" s="1" t="s">
        <v>42086</v>
      </c>
    </row>
    <row r="4613" spans="1:16" ht="33.4" x14ac:dyDescent="0.3">
      <c r="A4613" s="6" t="str">
        <f>HYPERLINK("https://www.ti.com/product/TPS64203", "TPS64203")</f>
        <v>TPS64203</v>
      </c>
      <c r="B4613" s="5" t="s">
        <v>42087</v>
      </c>
      <c r="C4613" s="6" t="str">
        <f>HYPERLINK("https://www.ti.com/lit/gpn/TPS64203", "PDF")</f>
        <v>PDF</v>
      </c>
      <c r="D4613" s="5" t="s">
        <v>42088</v>
      </c>
      <c r="E4613" s="5" t="s">
        <v>42089</v>
      </c>
      <c r="F4613" s="5"/>
      <c r="G4613" s="5" t="s">
        <v>42090</v>
      </c>
      <c r="H4613" s="1" t="s">
        <v>42091</v>
      </c>
      <c r="I4613" s="5" t="s">
        <v>42092</v>
      </c>
      <c r="J4613" s="7">
        <v>6</v>
      </c>
      <c r="K4613" s="7">
        <v>8.1199999999999992</v>
      </c>
      <c r="L4613" s="5" t="s">
        <v>42093</v>
      </c>
      <c r="M4613" s="7">
        <v>1.45</v>
      </c>
      <c r="N4613" s="7">
        <v>0.95</v>
      </c>
      <c r="O4613" s="7">
        <v>0.55700000000000005</v>
      </c>
      <c r="P4613" s="1" t="s">
        <v>42094</v>
      </c>
    </row>
    <row r="4614" spans="1:16" ht="33.4" x14ac:dyDescent="0.3">
      <c r="A4614" s="6" t="str">
        <f>HYPERLINK("https://www.ti.com/product/LP3991", "LP3991")</f>
        <v>LP3991</v>
      </c>
      <c r="B4614" s="5" t="s">
        <v>42095</v>
      </c>
      <c r="C4614" s="6" t="str">
        <f>HYPERLINK("https://www.ti.com/lit/gpn/LP3991", "PDF")</f>
        <v>PDF</v>
      </c>
      <c r="D4614" s="5" t="s">
        <v>42096</v>
      </c>
      <c r="E4614" s="5" t="s">
        <v>42097</v>
      </c>
      <c r="F4614" s="5"/>
      <c r="G4614" s="5" t="s">
        <v>42098</v>
      </c>
      <c r="H4614" s="1" t="s">
        <v>42099</v>
      </c>
      <c r="I4614" s="5" t="s">
        <v>42100</v>
      </c>
      <c r="J4614" s="7">
        <v>4</v>
      </c>
      <c r="K4614" s="7">
        <v>1.5625</v>
      </c>
      <c r="L4614" s="5" t="s">
        <v>42101</v>
      </c>
      <c r="M4614" s="7">
        <v>0.67500000000000004</v>
      </c>
      <c r="N4614" s="7">
        <v>0.5</v>
      </c>
      <c r="O4614" s="7">
        <v>0.253</v>
      </c>
      <c r="P4614" s="1" t="s">
        <v>42102</v>
      </c>
    </row>
    <row r="4615" spans="1:16" ht="33.4" x14ac:dyDescent="0.3">
      <c r="A4615" s="6" t="str">
        <f>HYPERLINK("https://www.ti.com/product/LM5030", "LM5030")</f>
        <v>LM5030</v>
      </c>
      <c r="B4615" s="5" t="s">
        <v>42103</v>
      </c>
      <c r="C4615" s="6" t="str">
        <f>HYPERLINK("https://www.ti.com/lit/gpn/LM5030", "PDF")</f>
        <v>PDF</v>
      </c>
      <c r="D4615" s="5" t="s">
        <v>42104</v>
      </c>
      <c r="E4615" s="5" t="s">
        <v>42105</v>
      </c>
      <c r="F4615" s="5" t="s">
        <v>42106</v>
      </c>
      <c r="G4615" s="5" t="s">
        <v>42107</v>
      </c>
      <c r="H4615" s="1" t="s">
        <v>42108</v>
      </c>
      <c r="I4615" s="5" t="s">
        <v>42109</v>
      </c>
      <c r="J4615" s="7">
        <v>10</v>
      </c>
      <c r="K4615" s="7" t="s">
        <v>42110</v>
      </c>
      <c r="L4615" s="5" t="s">
        <v>42111</v>
      </c>
      <c r="M4615" s="7" t="s">
        <v>42112</v>
      </c>
      <c r="N4615" s="7" t="s">
        <v>42113</v>
      </c>
      <c r="O4615" s="7">
        <v>1.052</v>
      </c>
      <c r="P4615" s="1" t="s">
        <v>42114</v>
      </c>
    </row>
    <row r="4616" spans="1:16" ht="33.4" x14ac:dyDescent="0.3">
      <c r="A4616" s="6" t="str">
        <f>HYPERLINK("https://www.ti.com/product/LP3997", "LP3997")</f>
        <v>LP3997</v>
      </c>
      <c r="B4616" s="5" t="s">
        <v>42115</v>
      </c>
      <c r="C4616" s="6" t="str">
        <f>HYPERLINK("https://www.ti.com/lit/gpn/LP3997", "PDF")</f>
        <v>PDF</v>
      </c>
      <c r="D4616" s="5" t="s">
        <v>42116</v>
      </c>
      <c r="E4616" s="5" t="s">
        <v>42117</v>
      </c>
      <c r="F4616" s="5"/>
      <c r="G4616" s="5" t="s">
        <v>42118</v>
      </c>
      <c r="H4616" s="1" t="s">
        <v>42119</v>
      </c>
      <c r="I4616" s="5" t="s">
        <v>42120</v>
      </c>
      <c r="J4616" s="7">
        <v>8</v>
      </c>
      <c r="K4616" s="7">
        <v>14.7</v>
      </c>
      <c r="L4616" s="5" t="s">
        <v>42121</v>
      </c>
      <c r="M4616" s="7">
        <v>1.1000000000000001</v>
      </c>
      <c r="N4616" s="7">
        <v>0.65</v>
      </c>
      <c r="O4616" s="7">
        <v>0.442</v>
      </c>
      <c r="P4616" s="1" t="s">
        <v>42122</v>
      </c>
    </row>
    <row r="4617" spans="1:16" ht="49.75" x14ac:dyDescent="0.3">
      <c r="A4617" s="6" t="str">
        <f>HYPERLINK("https://www.ti.com/product/TPS2350", "TPS2350")</f>
        <v>TPS2350</v>
      </c>
      <c r="B4617" s="5" t="s">
        <v>42123</v>
      </c>
      <c r="C4617" s="6" t="str">
        <f>HYPERLINK("https://www.ti.com/lit/gpn/TPS2350", "PDF")</f>
        <v>PDF</v>
      </c>
      <c r="D4617" s="5" t="s">
        <v>42124</v>
      </c>
      <c r="E4617" s="5" t="s">
        <v>42125</v>
      </c>
      <c r="F4617" s="5"/>
      <c r="G4617" s="5" t="s">
        <v>42126</v>
      </c>
      <c r="H4617" s="1" t="s">
        <v>42127</v>
      </c>
      <c r="I4617" s="5" t="s">
        <v>42128</v>
      </c>
      <c r="J4617" s="7">
        <v>14</v>
      </c>
      <c r="K4617" s="7" t="s">
        <v>42129</v>
      </c>
      <c r="L4617" s="5" t="s">
        <v>42130</v>
      </c>
      <c r="M4617" s="7" t="s">
        <v>42131</v>
      </c>
      <c r="N4617" s="7" t="s">
        <v>42132</v>
      </c>
      <c r="O4617" s="7">
        <v>2.0590000000000002</v>
      </c>
      <c r="P4617" s="1" t="s">
        <v>42133</v>
      </c>
    </row>
    <row r="4618" spans="1:16" ht="66.150000000000006" x14ac:dyDescent="0.3">
      <c r="A4618" s="6" t="str">
        <f>HYPERLINK("https://www.ti.com/product/ULN2003AI", "ULN2003AI")</f>
        <v>ULN2003AI</v>
      </c>
      <c r="B4618" s="5" t="s">
        <v>42134</v>
      </c>
      <c r="C4618" s="6" t="str">
        <f>HYPERLINK("https://www.ti.com/lit/gpn/ULN2003AI", "PDF")</f>
        <v>PDF</v>
      </c>
      <c r="D4618" s="5" t="s">
        <v>42135</v>
      </c>
      <c r="E4618" s="5" t="s">
        <v>42136</v>
      </c>
      <c r="F4618" s="5"/>
      <c r="G4618" s="5" t="s">
        <v>42137</v>
      </c>
      <c r="H4618" s="1" t="s">
        <v>42138</v>
      </c>
      <c r="I4618" s="5" t="s">
        <v>42139</v>
      </c>
      <c r="J4618" s="7">
        <v>16</v>
      </c>
      <c r="K4618" s="7" t="s">
        <v>42140</v>
      </c>
      <c r="L4618" s="5" t="s">
        <v>42141</v>
      </c>
      <c r="M4618" s="7" t="s">
        <v>42142</v>
      </c>
      <c r="N4618" s="7" t="s">
        <v>42143</v>
      </c>
      <c r="O4618" s="7">
        <v>0.20300000000000001</v>
      </c>
      <c r="P4618" s="1" t="s">
        <v>42144</v>
      </c>
    </row>
    <row r="4619" spans="1:16" ht="33.4" x14ac:dyDescent="0.3">
      <c r="A4619" s="6" t="str">
        <f>HYPERLINK("https://www.ti.com/product/TPS61090", "TPS61090")</f>
        <v>TPS61090</v>
      </c>
      <c r="B4619" s="5" t="s">
        <v>42145</v>
      </c>
      <c r="C4619" s="6" t="str">
        <f>HYPERLINK("https://www.ti.com/lit/gpn/TPS61090", "PDF")</f>
        <v>PDF</v>
      </c>
      <c r="D4619" s="5" t="s">
        <v>42146</v>
      </c>
      <c r="E4619" s="5" t="s">
        <v>42147</v>
      </c>
      <c r="F4619" s="5" t="s">
        <v>42148</v>
      </c>
      <c r="G4619" s="5" t="s">
        <v>42149</v>
      </c>
      <c r="H4619" s="1" t="s">
        <v>42150</v>
      </c>
      <c r="I4619" s="5" t="s">
        <v>42151</v>
      </c>
      <c r="J4619" s="7">
        <v>16</v>
      </c>
      <c r="K4619" s="7">
        <v>16</v>
      </c>
      <c r="L4619" s="5" t="s">
        <v>42152</v>
      </c>
      <c r="M4619" s="7">
        <v>1</v>
      </c>
      <c r="N4619" s="7">
        <v>0.65</v>
      </c>
      <c r="O4619" s="7">
        <v>1.034</v>
      </c>
      <c r="P4619" s="1" t="s">
        <v>42153</v>
      </c>
    </row>
    <row r="4620" spans="1:16" ht="33.4" x14ac:dyDescent="0.3">
      <c r="A4620" s="6" t="str">
        <f>HYPERLINK("https://www.ti.com/product/TPS61092", "TPS61092")</f>
        <v>TPS61092</v>
      </c>
      <c r="B4620" s="5" t="s">
        <v>42154</v>
      </c>
      <c r="C4620" s="6" t="str">
        <f>HYPERLINK("https://www.ti.com/lit/gpn/TPS61092", "PDF")</f>
        <v>PDF</v>
      </c>
      <c r="D4620" s="5" t="s">
        <v>42155</v>
      </c>
      <c r="E4620" s="5" t="s">
        <v>42156</v>
      </c>
      <c r="F4620" s="5" t="s">
        <v>42157</v>
      </c>
      <c r="G4620" s="5" t="s">
        <v>42158</v>
      </c>
      <c r="H4620" s="1" t="s">
        <v>42159</v>
      </c>
      <c r="I4620" s="5" t="s">
        <v>42160</v>
      </c>
      <c r="J4620" s="7">
        <v>16</v>
      </c>
      <c r="K4620" s="7">
        <v>16</v>
      </c>
      <c r="L4620" s="5" t="s">
        <v>42161</v>
      </c>
      <c r="M4620" s="7">
        <v>1</v>
      </c>
      <c r="N4620" s="7">
        <v>0.65</v>
      </c>
      <c r="O4620" s="7">
        <v>1.034</v>
      </c>
      <c r="P4620" s="1" t="s">
        <v>42162</v>
      </c>
    </row>
    <row r="4621" spans="1:16" ht="33.4" x14ac:dyDescent="0.3">
      <c r="A4621" s="6" t="str">
        <f>HYPERLINK("https://www.ti.com/product/TPS62020", "TPS62020")</f>
        <v>TPS62020</v>
      </c>
      <c r="B4621" s="5" t="s">
        <v>42163</v>
      </c>
      <c r="C4621" s="6" t="str">
        <f>HYPERLINK("https://www.ti.com/lit/gpn/TPS62020", "PDF")</f>
        <v>PDF</v>
      </c>
      <c r="D4621" s="5" t="s">
        <v>42164</v>
      </c>
      <c r="E4621" s="5" t="s">
        <v>42165</v>
      </c>
      <c r="F4621" s="5" t="s">
        <v>42166</v>
      </c>
      <c r="G4621" s="5" t="s">
        <v>42167</v>
      </c>
      <c r="H4621" s="1" t="s">
        <v>42168</v>
      </c>
      <c r="I4621" s="5" t="s">
        <v>42169</v>
      </c>
      <c r="J4621" s="7">
        <v>10</v>
      </c>
      <c r="K4621" s="7" t="s">
        <v>42170</v>
      </c>
      <c r="L4621" s="5" t="s">
        <v>42171</v>
      </c>
      <c r="M4621" s="7" t="s">
        <v>42172</v>
      </c>
      <c r="N4621" s="7">
        <v>0.5</v>
      </c>
      <c r="O4621" s="7">
        <v>0.72299999999999998</v>
      </c>
      <c r="P4621" s="1" t="s">
        <v>42173</v>
      </c>
    </row>
    <row r="4622" spans="1:16" ht="33.4" x14ac:dyDescent="0.3">
      <c r="A4622" s="6" t="str">
        <f>HYPERLINK("https://www.ti.com/product/TPS65010", "TPS65010")</f>
        <v>TPS65010</v>
      </c>
      <c r="B4622" s="5" t="s">
        <v>42174</v>
      </c>
      <c r="C4622" s="6" t="str">
        <f>HYPERLINK("https://www.ti.com/lit/gpn/TPS65010", "PDF")</f>
        <v>PDF</v>
      </c>
      <c r="D4622" s="5" t="s">
        <v>42175</v>
      </c>
      <c r="E4622" s="5" t="s">
        <v>42176</v>
      </c>
      <c r="F4622" s="5"/>
      <c r="G4622" s="5" t="s">
        <v>42177</v>
      </c>
      <c r="H4622" s="1" t="s">
        <v>42178</v>
      </c>
      <c r="I4622" s="5" t="s">
        <v>42179</v>
      </c>
      <c r="J4622" s="7">
        <v>48</v>
      </c>
      <c r="K4622" s="7">
        <v>49</v>
      </c>
      <c r="L4622" s="5" t="s">
        <v>42180</v>
      </c>
      <c r="M4622" s="7">
        <v>1</v>
      </c>
      <c r="N4622" s="7">
        <v>0.5</v>
      </c>
      <c r="O4622" s="7">
        <v>2.3239999999999998</v>
      </c>
      <c r="P4622" s="1" t="s">
        <v>42181</v>
      </c>
    </row>
    <row r="4623" spans="1:16" ht="33.4" x14ac:dyDescent="0.3">
      <c r="A4623" s="6" t="str">
        <f>HYPERLINK("https://www.ti.com/product/TPS62040", "TPS62040")</f>
        <v>TPS62040</v>
      </c>
      <c r="B4623" s="5" t="s">
        <v>42182</v>
      </c>
      <c r="C4623" s="6" t="str">
        <f>HYPERLINK("https://www.ti.com/lit/gpn/TPS62040", "PDF")</f>
        <v>PDF</v>
      </c>
      <c r="D4623" s="5" t="s">
        <v>42183</v>
      </c>
      <c r="E4623" s="5" t="s">
        <v>42184</v>
      </c>
      <c r="F4623" s="5" t="s">
        <v>42185</v>
      </c>
      <c r="G4623" s="5" t="s">
        <v>42186</v>
      </c>
      <c r="H4623" s="1" t="s">
        <v>42187</v>
      </c>
      <c r="I4623" s="5" t="s">
        <v>42188</v>
      </c>
      <c r="J4623" s="7">
        <v>10</v>
      </c>
      <c r="K4623" s="7" t="s">
        <v>42189</v>
      </c>
      <c r="L4623" s="5" t="s">
        <v>42190</v>
      </c>
      <c r="M4623" s="7" t="s">
        <v>42191</v>
      </c>
      <c r="N4623" s="7">
        <v>0.5</v>
      </c>
      <c r="O4623" s="7">
        <v>0.878</v>
      </c>
      <c r="P4623" s="1" t="s">
        <v>42192</v>
      </c>
    </row>
    <row r="4624" spans="1:16" ht="33.4" x14ac:dyDescent="0.3">
      <c r="A4624" s="6" t="str">
        <f>HYPERLINK("https://www.ti.com/product/TPS62042", "TPS62042")</f>
        <v>TPS62042</v>
      </c>
      <c r="B4624" s="5" t="s">
        <v>42193</v>
      </c>
      <c r="C4624" s="6" t="str">
        <f>HYPERLINK("https://www.ti.com/lit/gpn/TPS62042", "PDF")</f>
        <v>PDF</v>
      </c>
      <c r="D4624" s="5" t="s">
        <v>42194</v>
      </c>
      <c r="E4624" s="5" t="s">
        <v>42195</v>
      </c>
      <c r="F4624" s="5" t="s">
        <v>42196</v>
      </c>
      <c r="G4624" s="5" t="s">
        <v>42197</v>
      </c>
      <c r="H4624" s="1" t="s">
        <v>42198</v>
      </c>
      <c r="I4624" s="5" t="s">
        <v>42199</v>
      </c>
      <c r="J4624" s="7">
        <v>10</v>
      </c>
      <c r="K4624" s="7" t="s">
        <v>42200</v>
      </c>
      <c r="L4624" s="5" t="s">
        <v>42201</v>
      </c>
      <c r="M4624" s="7" t="s">
        <v>42202</v>
      </c>
      <c r="N4624" s="7">
        <v>0.5</v>
      </c>
      <c r="O4624" s="7">
        <v>0.878</v>
      </c>
      <c r="P4624" s="1" t="s">
        <v>42203</v>
      </c>
    </row>
    <row r="4625" spans="1:16" ht="33.4" x14ac:dyDescent="0.3">
      <c r="A4625" s="6" t="str">
        <f>HYPERLINK("https://www.ti.com/product/TPS62043", "TPS62043")</f>
        <v>TPS62043</v>
      </c>
      <c r="B4625" s="5" t="s">
        <v>42204</v>
      </c>
      <c r="C4625" s="6" t="str">
        <f>HYPERLINK("https://www.ti.com/lit/gpn/TPS62043", "PDF")</f>
        <v>PDF</v>
      </c>
      <c r="D4625" s="5" t="s">
        <v>42205</v>
      </c>
      <c r="E4625" s="5" t="s">
        <v>42206</v>
      </c>
      <c r="F4625" s="5" t="s">
        <v>42207</v>
      </c>
      <c r="G4625" s="5" t="s">
        <v>42208</v>
      </c>
      <c r="H4625" s="1" t="s">
        <v>42209</v>
      </c>
      <c r="I4625" s="5" t="s">
        <v>42210</v>
      </c>
      <c r="J4625" s="7">
        <v>10</v>
      </c>
      <c r="K4625" s="7" t="s">
        <v>42211</v>
      </c>
      <c r="L4625" s="5" t="s">
        <v>42212</v>
      </c>
      <c r="M4625" s="7" t="s">
        <v>42213</v>
      </c>
      <c r="N4625" s="7">
        <v>0.5</v>
      </c>
      <c r="O4625" s="7">
        <v>0.878</v>
      </c>
      <c r="P4625" s="1" t="s">
        <v>42214</v>
      </c>
    </row>
    <row r="4626" spans="1:16" ht="33.4" x14ac:dyDescent="0.3">
      <c r="A4626" s="6" t="str">
        <f>HYPERLINK("https://www.ti.com/product/TPS62044", "TPS62044")</f>
        <v>TPS62044</v>
      </c>
      <c r="B4626" s="5" t="s">
        <v>42215</v>
      </c>
      <c r="C4626" s="6" t="str">
        <f>HYPERLINK("https://www.ti.com/lit/gpn/TPS62044", "PDF")</f>
        <v>PDF</v>
      </c>
      <c r="D4626" s="5" t="s">
        <v>42216</v>
      </c>
      <c r="E4626" s="5" t="s">
        <v>42217</v>
      </c>
      <c r="F4626" s="5" t="s">
        <v>42218</v>
      </c>
      <c r="G4626" s="5" t="s">
        <v>42219</v>
      </c>
      <c r="H4626" s="1" t="s">
        <v>42220</v>
      </c>
      <c r="I4626" s="5" t="s">
        <v>42221</v>
      </c>
      <c r="J4626" s="7">
        <v>10</v>
      </c>
      <c r="K4626" s="7" t="s">
        <v>42222</v>
      </c>
      <c r="L4626" s="5" t="s">
        <v>42223</v>
      </c>
      <c r="M4626" s="7" t="s">
        <v>42224</v>
      </c>
      <c r="N4626" s="7">
        <v>0.5</v>
      </c>
      <c r="O4626" s="7">
        <v>0.878</v>
      </c>
      <c r="P4626" s="1" t="s">
        <v>42225</v>
      </c>
    </row>
    <row r="4627" spans="1:16" ht="33.4" x14ac:dyDescent="0.3">
      <c r="A4627" s="6" t="str">
        <f>HYPERLINK("https://www.ti.com/product/TPS62046", "TPS62046")</f>
        <v>TPS62046</v>
      </c>
      <c r="B4627" s="5" t="s">
        <v>42226</v>
      </c>
      <c r="C4627" s="6" t="str">
        <f>HYPERLINK("https://www.ti.com/lit/gpn/TPS62046", "PDF")</f>
        <v>PDF</v>
      </c>
      <c r="D4627" s="5" t="s">
        <v>42227</v>
      </c>
      <c r="E4627" s="5" t="s">
        <v>42228</v>
      </c>
      <c r="F4627" s="5" t="s">
        <v>42229</v>
      </c>
      <c r="G4627" s="5" t="s">
        <v>42230</v>
      </c>
      <c r="H4627" s="1" t="s">
        <v>42231</v>
      </c>
      <c r="I4627" s="5" t="s">
        <v>42232</v>
      </c>
      <c r="J4627" s="7">
        <v>10</v>
      </c>
      <c r="K4627" s="7" t="s">
        <v>42233</v>
      </c>
      <c r="L4627" s="5" t="s">
        <v>42234</v>
      </c>
      <c r="M4627" s="7" t="s">
        <v>42235</v>
      </c>
      <c r="N4627" s="7">
        <v>0.5</v>
      </c>
      <c r="O4627" s="7">
        <v>0.878</v>
      </c>
      <c r="P4627" s="1" t="s">
        <v>42236</v>
      </c>
    </row>
    <row r="4628" spans="1:16" ht="49.75" x14ac:dyDescent="0.3">
      <c r="A4628" s="6" t="str">
        <f>HYPERLINK("https://www.ti.com/product/UCC28051", "UCC28051")</f>
        <v>UCC28051</v>
      </c>
      <c r="B4628" s="5" t="s">
        <v>42237</v>
      </c>
      <c r="C4628" s="6" t="str">
        <f>HYPERLINK("https://www.ti.com/lit/gpn/UCC28051", "PDF")</f>
        <v>PDF</v>
      </c>
      <c r="D4628" s="5" t="s">
        <v>42238</v>
      </c>
      <c r="E4628" s="5" t="s">
        <v>42239</v>
      </c>
      <c r="F4628" s="5" t="s">
        <v>42240</v>
      </c>
      <c r="G4628" s="5" t="s">
        <v>42241</v>
      </c>
      <c r="H4628" s="1" t="s">
        <v>42242</v>
      </c>
      <c r="I4628" s="5" t="s">
        <v>42243</v>
      </c>
      <c r="J4628" s="7">
        <v>8</v>
      </c>
      <c r="K4628" s="7" t="s">
        <v>42244</v>
      </c>
      <c r="L4628" s="5" t="s">
        <v>42245</v>
      </c>
      <c r="M4628" s="7" t="s">
        <v>42246</v>
      </c>
      <c r="N4628" s="7" t="s">
        <v>42247</v>
      </c>
      <c r="O4628" s="7">
        <v>0.2</v>
      </c>
      <c r="P4628" s="1" t="s">
        <v>42248</v>
      </c>
    </row>
    <row r="4629" spans="1:16" ht="33.4" x14ac:dyDescent="0.3">
      <c r="A4629" s="6" t="str">
        <f>HYPERLINK("https://www.ti.com/product/LM5642", "LM5642")</f>
        <v>LM5642</v>
      </c>
      <c r="B4629" s="5" t="s">
        <v>42249</v>
      </c>
      <c r="C4629" s="6" t="str">
        <f>HYPERLINK("https://www.ti.com/lit/gpn/LM5642", "PDF")</f>
        <v>PDF</v>
      </c>
      <c r="D4629" s="5" t="s">
        <v>42250</v>
      </c>
      <c r="E4629" s="5" t="s">
        <v>42251</v>
      </c>
      <c r="F4629" s="5" t="s">
        <v>42252</v>
      </c>
      <c r="G4629" s="5" t="s">
        <v>42253</v>
      </c>
      <c r="H4629" s="1" t="s">
        <v>42254</v>
      </c>
      <c r="I4629" s="5" t="s">
        <v>42255</v>
      </c>
      <c r="J4629" s="7">
        <v>28</v>
      </c>
      <c r="K4629" s="7">
        <v>62.08</v>
      </c>
      <c r="L4629" s="5" t="s">
        <v>42256</v>
      </c>
      <c r="M4629" s="7">
        <v>1.2</v>
      </c>
      <c r="N4629" s="7">
        <v>0.65</v>
      </c>
      <c r="O4629" s="7">
        <v>1.948</v>
      </c>
      <c r="P4629" s="1" t="s">
        <v>42257</v>
      </c>
    </row>
    <row r="4630" spans="1:16" ht="33.4" x14ac:dyDescent="0.3">
      <c r="A4630" s="6" t="str">
        <f>HYPERLINK("https://www.ti.com/product/LM5105", "LM5105")</f>
        <v>LM5105</v>
      </c>
      <c r="B4630" s="5" t="s">
        <v>42258</v>
      </c>
      <c r="C4630" s="6" t="str">
        <f>HYPERLINK("https://www.ti.com/lit/gpn/LM5105", "PDF")</f>
        <v>PDF</v>
      </c>
      <c r="D4630" s="5" t="s">
        <v>42259</v>
      </c>
      <c r="E4630" s="5" t="s">
        <v>42260</v>
      </c>
      <c r="F4630" s="5"/>
      <c r="G4630" s="5" t="s">
        <v>42261</v>
      </c>
      <c r="H4630" s="1" t="s">
        <v>42262</v>
      </c>
      <c r="I4630" s="5" t="s">
        <v>42263</v>
      </c>
      <c r="J4630" s="7">
        <v>10</v>
      </c>
      <c r="K4630" s="7">
        <v>16</v>
      </c>
      <c r="L4630" s="5" t="s">
        <v>42264</v>
      </c>
      <c r="M4630" s="7">
        <v>0.8</v>
      </c>
      <c r="N4630" s="7">
        <v>0.8</v>
      </c>
      <c r="O4630" s="7">
        <v>1.2050000000000001</v>
      </c>
      <c r="P4630" s="1" t="s">
        <v>42265</v>
      </c>
    </row>
    <row r="4631" spans="1:16" ht="49.75" x14ac:dyDescent="0.3">
      <c r="A4631" s="6" t="str">
        <f>HYPERLINK("https://www.ti.com/product/TPS79133-EP", "TPS79133-EP")</f>
        <v>TPS79133-EP</v>
      </c>
      <c r="B4631" s="5" t="s">
        <v>42266</v>
      </c>
      <c r="C4631" s="6" t="str">
        <f>HYPERLINK("https://www.ti.com/lit/gpn/TPS79133-EP", "PDF")</f>
        <v>PDF</v>
      </c>
      <c r="D4631" s="5" t="s">
        <v>42267</v>
      </c>
      <c r="E4631" s="5" t="s">
        <v>42268</v>
      </c>
      <c r="F4631" s="5"/>
      <c r="G4631" s="5" t="s">
        <v>42269</v>
      </c>
      <c r="H4631" s="1" t="s">
        <v>42270</v>
      </c>
      <c r="I4631" s="5" t="s">
        <v>42271</v>
      </c>
      <c r="J4631" s="7">
        <v>5</v>
      </c>
      <c r="K4631" s="7">
        <v>8.1199999999999992</v>
      </c>
      <c r="L4631" s="5" t="s">
        <v>42272</v>
      </c>
      <c r="M4631" s="7">
        <v>1.45</v>
      </c>
      <c r="N4631" s="7">
        <v>0.95</v>
      </c>
      <c r="O4631" s="7">
        <v>1.5289999999999999</v>
      </c>
      <c r="P4631" s="1" t="s">
        <v>42273</v>
      </c>
    </row>
    <row r="4632" spans="1:16" ht="33.4" x14ac:dyDescent="0.3">
      <c r="A4632" s="6" t="str">
        <f>HYPERLINK("https://www.ti.com/product/TPS793-Q1", "TPS793-Q1")</f>
        <v>TPS793-Q1</v>
      </c>
      <c r="B4632" s="5" t="s">
        <v>42274</v>
      </c>
      <c r="C4632" s="6" t="str">
        <f>HYPERLINK("https://www.ti.com/lit/gpn/TPS793-Q1", "PDF")</f>
        <v>PDF</v>
      </c>
      <c r="D4632" s="5" t="s">
        <v>42275</v>
      </c>
      <c r="E4632" s="5" t="s">
        <v>42276</v>
      </c>
      <c r="F4632" s="5"/>
      <c r="G4632" s="5" t="s">
        <v>42277</v>
      </c>
      <c r="H4632" s="1" t="s">
        <v>42278</v>
      </c>
      <c r="I4632" s="5" t="s">
        <v>42279</v>
      </c>
      <c r="J4632" s="7" t="s">
        <v>42280</v>
      </c>
      <c r="K4632" s="7">
        <v>8.1199999999999992</v>
      </c>
      <c r="L4632" s="5" t="s">
        <v>42281</v>
      </c>
      <c r="M4632" s="7">
        <v>1.45</v>
      </c>
      <c r="N4632" s="7">
        <v>0.95</v>
      </c>
      <c r="O4632" s="7">
        <v>0.27800000000000002</v>
      </c>
      <c r="P4632" s="1" t="s">
        <v>42282</v>
      </c>
    </row>
    <row r="4633" spans="1:16" ht="49.75" x14ac:dyDescent="0.3">
      <c r="A4633" s="6" t="str">
        <f>HYPERLINK("https://www.ti.com/product/TPS79301-EP", "TPS79301-EP")</f>
        <v>TPS79301-EP</v>
      </c>
      <c r="B4633" s="5" t="s">
        <v>42283</v>
      </c>
      <c r="C4633" s="6" t="str">
        <f>HYPERLINK("https://www.ti.com/lit/gpn/TPS79301-EP", "PDF")</f>
        <v>PDF</v>
      </c>
      <c r="D4633" s="5" t="s">
        <v>42284</v>
      </c>
      <c r="E4633" s="5" t="s">
        <v>42285</v>
      </c>
      <c r="F4633" s="5"/>
      <c r="G4633" s="5" t="s">
        <v>42286</v>
      </c>
      <c r="H4633" s="1" t="s">
        <v>42287</v>
      </c>
      <c r="I4633" s="5" t="s">
        <v>42288</v>
      </c>
      <c r="J4633" s="7">
        <v>6</v>
      </c>
      <c r="K4633" s="7">
        <v>8.1199999999999992</v>
      </c>
      <c r="L4633" s="5" t="s">
        <v>42289</v>
      </c>
      <c r="M4633" s="7">
        <v>1.45</v>
      </c>
      <c r="N4633" s="7">
        <v>0.95</v>
      </c>
      <c r="O4633" s="7">
        <v>1.0329999999999999</v>
      </c>
      <c r="P4633" s="1" t="s">
        <v>42290</v>
      </c>
    </row>
    <row r="4634" spans="1:16" ht="49.75" x14ac:dyDescent="0.3">
      <c r="A4634" s="6" t="str">
        <f>HYPERLINK("https://www.ti.com/product/TPS79318-EP", "TPS79318-EP")</f>
        <v>TPS79318-EP</v>
      </c>
      <c r="B4634" s="5" t="s">
        <v>42291</v>
      </c>
      <c r="C4634" s="6" t="str">
        <f>HYPERLINK("https://www.ti.com/lit/gpn/TPS79318-EP", "PDF")</f>
        <v>PDF</v>
      </c>
      <c r="D4634" s="5" t="s">
        <v>42292</v>
      </c>
      <c r="E4634" s="5" t="s">
        <v>42293</v>
      </c>
      <c r="F4634" s="5"/>
      <c r="G4634" s="5" t="s">
        <v>42294</v>
      </c>
      <c r="H4634" s="1" t="s">
        <v>42295</v>
      </c>
      <c r="I4634" s="5" t="s">
        <v>42296</v>
      </c>
      <c r="J4634" s="7">
        <v>5</v>
      </c>
      <c r="K4634" s="7">
        <v>8.1199999999999992</v>
      </c>
      <c r="L4634" s="5" t="s">
        <v>42297</v>
      </c>
      <c r="M4634" s="7">
        <v>1.45</v>
      </c>
      <c r="N4634" s="7">
        <v>0.95</v>
      </c>
      <c r="O4634" s="7">
        <v>0.89800000000000002</v>
      </c>
      <c r="P4634" s="1" t="s">
        <v>42298</v>
      </c>
    </row>
    <row r="4635" spans="1:16" ht="49.75" x14ac:dyDescent="0.3">
      <c r="A4635" s="6" t="str">
        <f>HYPERLINK("https://www.ti.com/product/TPS79333-EP", "TPS79333-EP")</f>
        <v>TPS79333-EP</v>
      </c>
      <c r="B4635" s="5" t="s">
        <v>42299</v>
      </c>
      <c r="C4635" s="6" t="str">
        <f>HYPERLINK("https://www.ti.com/lit/gpn/TPS79333-EP", "PDF")</f>
        <v>PDF</v>
      </c>
      <c r="D4635" s="5" t="s">
        <v>42300</v>
      </c>
      <c r="E4635" s="5" t="s">
        <v>42301</v>
      </c>
      <c r="F4635" s="5"/>
      <c r="G4635" s="5" t="s">
        <v>42302</v>
      </c>
      <c r="H4635" s="1" t="s">
        <v>42303</v>
      </c>
      <c r="I4635" s="5" t="s">
        <v>42304</v>
      </c>
      <c r="J4635" s="7">
        <v>5</v>
      </c>
      <c r="K4635" s="7">
        <v>8.1199999999999992</v>
      </c>
      <c r="L4635" s="5" t="s">
        <v>42305</v>
      </c>
      <c r="M4635" s="7">
        <v>1.45</v>
      </c>
      <c r="N4635" s="7">
        <v>0.95</v>
      </c>
      <c r="O4635" s="7">
        <v>1.2170000000000001</v>
      </c>
      <c r="P4635" s="1" t="s">
        <v>42306</v>
      </c>
    </row>
    <row r="4636" spans="1:16" ht="49.75" x14ac:dyDescent="0.3">
      <c r="A4636" s="6" t="str">
        <f>HYPERLINK("https://www.ti.com/product/TPS793475-EP", "TPS793475-EP")</f>
        <v>TPS793475-EP</v>
      </c>
      <c r="B4636" s="5" t="s">
        <v>42307</v>
      </c>
      <c r="C4636" s="6" t="str">
        <f>HYPERLINK("https://www.ti.com/lit/gpn/TPS793475-EP", "PDF")</f>
        <v>PDF</v>
      </c>
      <c r="D4636" s="5" t="s">
        <v>42308</v>
      </c>
      <c r="E4636" s="5" t="s">
        <v>42309</v>
      </c>
      <c r="F4636" s="5"/>
      <c r="G4636" s="5" t="s">
        <v>42310</v>
      </c>
      <c r="H4636" s="1" t="s">
        <v>42311</v>
      </c>
      <c r="I4636" s="5" t="s">
        <v>42312</v>
      </c>
      <c r="J4636" s="7">
        <v>5</v>
      </c>
      <c r="K4636" s="7">
        <v>8.1199999999999992</v>
      </c>
      <c r="L4636" s="5" t="s">
        <v>42313</v>
      </c>
      <c r="M4636" s="7">
        <v>1.45</v>
      </c>
      <c r="N4636" s="7">
        <v>0.95</v>
      </c>
      <c r="O4636" s="7">
        <v>1.0329999999999999</v>
      </c>
      <c r="P4636" s="1" t="s">
        <v>42314</v>
      </c>
    </row>
    <row r="4637" spans="1:16" ht="33.4" x14ac:dyDescent="0.3">
      <c r="A4637" s="6" t="str">
        <f>HYPERLINK("https://www.ti.com/product/UC2842AQ", "UC2842AQ")</f>
        <v>UC2842AQ</v>
      </c>
      <c r="B4637" s="5" t="s">
        <v>42315</v>
      </c>
      <c r="C4637" s="6" t="str">
        <f>HYPERLINK("https://www.ti.com/lit/gpn/UC2842AQ", "PDF")</f>
        <v>PDF</v>
      </c>
      <c r="D4637" s="5" t="s">
        <v>42316</v>
      </c>
      <c r="E4637" s="5" t="s">
        <v>42317</v>
      </c>
      <c r="F4637" s="5" t="s">
        <v>42318</v>
      </c>
      <c r="G4637" s="5" t="s">
        <v>42319</v>
      </c>
      <c r="H4637" s="1" t="s">
        <v>42320</v>
      </c>
      <c r="I4637" s="5" t="s">
        <v>42321</v>
      </c>
      <c r="J4637" s="7" t="s">
        <v>42322</v>
      </c>
      <c r="K4637" s="7" t="s">
        <v>42323</v>
      </c>
      <c r="L4637" s="5" t="s">
        <v>42324</v>
      </c>
      <c r="M4637" s="7">
        <v>1.75</v>
      </c>
      <c r="N4637" s="7">
        <v>1.27</v>
      </c>
      <c r="O4637" s="7">
        <v>0.35099999999999998</v>
      </c>
      <c r="P4637" s="1" t="s">
        <v>42325</v>
      </c>
    </row>
    <row r="4638" spans="1:16" ht="33.4" x14ac:dyDescent="0.3">
      <c r="A4638" s="6" t="str">
        <f>HYPERLINK("https://www.ti.com/product/UC2843AQ", "UC2843AQ")</f>
        <v>UC2843AQ</v>
      </c>
      <c r="B4638" s="5" t="s">
        <v>42326</v>
      </c>
      <c r="C4638" s="6" t="str">
        <f>HYPERLINK("https://www.ti.com/lit/gpn/UC2843AQ", "PDF")</f>
        <v>PDF</v>
      </c>
      <c r="D4638" s="5" t="s">
        <v>42327</v>
      </c>
      <c r="E4638" s="5" t="s">
        <v>42328</v>
      </c>
      <c r="F4638" s="5" t="s">
        <v>42329</v>
      </c>
      <c r="G4638" s="5" t="s">
        <v>42330</v>
      </c>
      <c r="H4638" s="1" t="s">
        <v>42331</v>
      </c>
      <c r="I4638" s="5" t="s">
        <v>42332</v>
      </c>
      <c r="J4638" s="7" t="s">
        <v>42333</v>
      </c>
      <c r="K4638" s="7" t="s">
        <v>42334</v>
      </c>
      <c r="L4638" s="5" t="s">
        <v>42335</v>
      </c>
      <c r="M4638" s="7">
        <v>1.75</v>
      </c>
      <c r="N4638" s="7">
        <v>1.27</v>
      </c>
      <c r="O4638" s="7">
        <v>0.60099999999999998</v>
      </c>
      <c r="P4638" s="1" t="s">
        <v>42336</v>
      </c>
    </row>
    <row r="4639" spans="1:16" ht="33.4" x14ac:dyDescent="0.3">
      <c r="A4639" s="6" t="str">
        <f>HYPERLINK("https://www.ti.com/product/UC2845AQ", "UC2845AQ")</f>
        <v>UC2845AQ</v>
      </c>
      <c r="B4639" s="5" t="s">
        <v>42337</v>
      </c>
      <c r="C4639" s="6" t="str">
        <f>HYPERLINK("https://www.ti.com/lit/gpn/UC2845AQ", "PDF")</f>
        <v>PDF</v>
      </c>
      <c r="D4639" s="5" t="s">
        <v>42338</v>
      </c>
      <c r="E4639" s="5" t="s">
        <v>42339</v>
      </c>
      <c r="F4639" s="5" t="s">
        <v>42340</v>
      </c>
      <c r="G4639" s="5" t="s">
        <v>42341</v>
      </c>
      <c r="H4639" s="1" t="s">
        <v>42342</v>
      </c>
      <c r="I4639" s="5" t="s">
        <v>42343</v>
      </c>
      <c r="J4639" s="7" t="s">
        <v>42344</v>
      </c>
      <c r="K4639" s="7" t="s">
        <v>42345</v>
      </c>
      <c r="L4639" s="5" t="s">
        <v>42346</v>
      </c>
      <c r="M4639" s="7">
        <v>1.75</v>
      </c>
      <c r="N4639" s="7">
        <v>1.27</v>
      </c>
      <c r="O4639" s="7">
        <v>0.60099999999999998</v>
      </c>
      <c r="P4639" s="1" t="s">
        <v>42347</v>
      </c>
    </row>
    <row r="4640" spans="1:16" ht="33.4" x14ac:dyDescent="0.3">
      <c r="A4640" s="6" t="str">
        <f>HYPERLINK("https://www.ti.com/product/LM5025", "LM5025")</f>
        <v>LM5025</v>
      </c>
      <c r="B4640" s="5" t="s">
        <v>42348</v>
      </c>
      <c r="C4640" s="6" t="str">
        <f>HYPERLINK("https://www.ti.com/lit/gpn/LM5025", "PDF")</f>
        <v>PDF</v>
      </c>
      <c r="D4640" s="5" t="s">
        <v>42349</v>
      </c>
      <c r="E4640" s="5" t="s">
        <v>42350</v>
      </c>
      <c r="F4640" s="5" t="s">
        <v>42351</v>
      </c>
      <c r="G4640" s="5" t="s">
        <v>42352</v>
      </c>
      <c r="H4640" s="1" t="s">
        <v>42353</v>
      </c>
      <c r="I4640" s="5" t="s">
        <v>42354</v>
      </c>
      <c r="J4640" s="7">
        <v>16</v>
      </c>
      <c r="K4640" s="7" t="s">
        <v>42355</v>
      </c>
      <c r="L4640" s="5" t="s">
        <v>42356</v>
      </c>
      <c r="M4640" s="7" t="s">
        <v>42357</v>
      </c>
      <c r="N4640" s="7" t="s">
        <v>42358</v>
      </c>
      <c r="O4640" s="7">
        <v>1.1479999999999999</v>
      </c>
      <c r="P4640" s="1" t="s">
        <v>42359</v>
      </c>
    </row>
    <row r="4641" spans="1:16" ht="33.4" x14ac:dyDescent="0.3">
      <c r="A4641" s="6" t="str">
        <f>HYPERLINK("https://www.ti.com/product/UC1901-SP", "UC1901-SP")</f>
        <v>UC1901-SP</v>
      </c>
      <c r="B4641" s="5" t="s">
        <v>42360</v>
      </c>
      <c r="C4641" s="6" t="str">
        <f>HYPERLINK("https://www.ti.com/lit/gpn/UC1901-SP", "PDF")</f>
        <v>PDF</v>
      </c>
      <c r="D4641" s="5" t="s">
        <v>42361</v>
      </c>
      <c r="E4641" s="5" t="s">
        <v>42362</v>
      </c>
      <c r="F4641" s="5"/>
      <c r="G4641" s="5" t="s">
        <v>42363</v>
      </c>
      <c r="H4641" s="1" t="s">
        <v>42364</v>
      </c>
      <c r="I4641" s="5" t="s">
        <v>42365</v>
      </c>
      <c r="J4641" s="7">
        <v>14</v>
      </c>
      <c r="K4641" s="7">
        <v>130.46520000000001</v>
      </c>
      <c r="L4641" s="5" t="s">
        <v>42366</v>
      </c>
      <c r="M4641" s="7">
        <v>5.08</v>
      </c>
      <c r="N4641" s="7">
        <v>2.54</v>
      </c>
      <c r="O4641" s="7">
        <v>203.42599999999999</v>
      </c>
      <c r="P4641" s="1" t="s">
        <v>42367</v>
      </c>
    </row>
    <row r="4642" spans="1:16" ht="33.4" x14ac:dyDescent="0.3">
      <c r="A4642" s="6" t="str">
        <f>HYPERLINK("https://www.ti.com/product/REG71055", "REG71055")</f>
        <v>REG71055</v>
      </c>
      <c r="B4642" s="5" t="s">
        <v>42368</v>
      </c>
      <c r="C4642" s="6" t="str">
        <f>HYPERLINK("https://www.ti.com/lit/gpn/REG71055", "PDF")</f>
        <v>PDF</v>
      </c>
      <c r="D4642" s="5" t="s">
        <v>42369</v>
      </c>
      <c r="E4642" s="5" t="s">
        <v>42370</v>
      </c>
      <c r="F4642" s="5"/>
      <c r="G4642" s="5" t="s">
        <v>42371</v>
      </c>
      <c r="H4642" s="1" t="s">
        <v>42372</v>
      </c>
      <c r="I4642" s="5" t="s">
        <v>42373</v>
      </c>
      <c r="J4642" s="7">
        <v>6</v>
      </c>
      <c r="K4642" s="7">
        <v>8.1199999999999992</v>
      </c>
      <c r="L4642" s="5" t="s">
        <v>42374</v>
      </c>
      <c r="M4642" s="7">
        <v>1.1000000000000001</v>
      </c>
      <c r="N4642" s="7">
        <v>0.95</v>
      </c>
      <c r="O4642" s="7">
        <v>0.47799999999999998</v>
      </c>
      <c r="P4642" s="1" t="s">
        <v>42375</v>
      </c>
    </row>
    <row r="4643" spans="1:16" ht="33.4" x14ac:dyDescent="0.3">
      <c r="A4643" s="6" t="str">
        <f>HYPERLINK("https://www.ti.com/product/LM317MQ", "LM317MQ")</f>
        <v>LM317MQ</v>
      </c>
      <c r="B4643" s="5" t="s">
        <v>42376</v>
      </c>
      <c r="C4643" s="6" t="str">
        <f>HYPERLINK("https://www.ti.com/lit/gpn/LM317MQ", "PDF")</f>
        <v>PDF</v>
      </c>
      <c r="D4643" s="5" t="s">
        <v>42377</v>
      </c>
      <c r="E4643" s="5" t="s">
        <v>42378</v>
      </c>
      <c r="F4643" s="5"/>
      <c r="G4643" s="5" t="s">
        <v>42379</v>
      </c>
      <c r="H4643" s="1" t="s">
        <v>42380</v>
      </c>
      <c r="I4643" s="5" t="s">
        <v>42381</v>
      </c>
      <c r="J4643" s="7">
        <v>4</v>
      </c>
      <c r="K4643" s="7">
        <v>45.5</v>
      </c>
      <c r="L4643" s="5" t="s">
        <v>42382</v>
      </c>
      <c r="M4643" s="7">
        <v>1.8</v>
      </c>
      <c r="N4643" s="7">
        <v>2.2999999999999998</v>
      </c>
      <c r="O4643" s="7">
        <v>0.20200000000000001</v>
      </c>
      <c r="P4643" s="1" t="s">
        <v>42383</v>
      </c>
    </row>
    <row r="4644" spans="1:16" ht="33.4" x14ac:dyDescent="0.3">
      <c r="A4644" s="6" t="str">
        <f>HYPERLINK("https://www.ti.com/product/TPS767-Q1", "TPS767-Q1")</f>
        <v>TPS767-Q1</v>
      </c>
      <c r="B4644" s="5" t="s">
        <v>42384</v>
      </c>
      <c r="C4644" s="6" t="str">
        <f>HYPERLINK("https://www.ti.com/lit/gpn/TPS767-Q1", "PDF")</f>
        <v>PDF</v>
      </c>
      <c r="D4644" s="5" t="s">
        <v>42385</v>
      </c>
      <c r="E4644" s="5" t="s">
        <v>42386</v>
      </c>
      <c r="F4644" s="5"/>
      <c r="G4644" s="5" t="s">
        <v>42387</v>
      </c>
      <c r="H4644" s="1" t="s">
        <v>42388</v>
      </c>
      <c r="I4644" s="5" t="s">
        <v>42389</v>
      </c>
      <c r="J4644" s="7">
        <v>20</v>
      </c>
      <c r="K4644" s="7">
        <v>41.6</v>
      </c>
      <c r="L4644" s="5" t="s">
        <v>42390</v>
      </c>
      <c r="M4644" s="7">
        <v>1.2</v>
      </c>
      <c r="N4644" s="7">
        <v>0.65</v>
      </c>
      <c r="O4644" s="7">
        <v>2.0699999999999998</v>
      </c>
      <c r="P4644" s="1" t="s">
        <v>42391</v>
      </c>
    </row>
    <row r="4645" spans="1:16" ht="33.4" x14ac:dyDescent="0.3">
      <c r="A4645" s="6" t="str">
        <f>HYPERLINK("https://www.ti.com/product/TPS768-Q1", "TPS768-Q1")</f>
        <v>TPS768-Q1</v>
      </c>
      <c r="B4645" s="5" t="s">
        <v>42392</v>
      </c>
      <c r="C4645" s="6" t="str">
        <f>HYPERLINK("https://www.ti.com/lit/gpn/TPS768-Q1", "PDF")</f>
        <v>PDF</v>
      </c>
      <c r="D4645" s="5" t="s">
        <v>42393</v>
      </c>
      <c r="E4645" s="5" t="s">
        <v>42394</v>
      </c>
      <c r="F4645" s="5"/>
      <c r="G4645" s="5" t="s">
        <v>42395</v>
      </c>
      <c r="H4645" s="1" t="s">
        <v>42396</v>
      </c>
      <c r="I4645" s="5" t="s">
        <v>42397</v>
      </c>
      <c r="J4645" s="7">
        <v>20</v>
      </c>
      <c r="K4645" s="7">
        <v>41.6</v>
      </c>
      <c r="L4645" s="5" t="s">
        <v>42398</v>
      </c>
      <c r="M4645" s="7">
        <v>1.2</v>
      </c>
      <c r="N4645" s="7">
        <v>0.65</v>
      </c>
      <c r="O4645" s="7">
        <v>1.5680000000000001</v>
      </c>
      <c r="P4645" s="1" t="s">
        <v>42399</v>
      </c>
    </row>
    <row r="4646" spans="1:16" ht="33.4" x14ac:dyDescent="0.3">
      <c r="A4646" s="6" t="str">
        <f>HYPERLINK("https://www.ti.com/product/TPS775-Q1", "TPS775-Q1")</f>
        <v>TPS775-Q1</v>
      </c>
      <c r="B4646" s="5" t="s">
        <v>42400</v>
      </c>
      <c r="C4646" s="6" t="str">
        <f>HYPERLINK("https://www.ti.com/lit/gpn/TPS775-Q1", "PDF")</f>
        <v>PDF</v>
      </c>
      <c r="D4646" s="5" t="s">
        <v>42401</v>
      </c>
      <c r="E4646" s="5" t="s">
        <v>42402</v>
      </c>
      <c r="F4646" s="5"/>
      <c r="G4646" s="5" t="s">
        <v>42403</v>
      </c>
      <c r="H4646" s="1" t="s">
        <v>42404</v>
      </c>
      <c r="I4646" s="5" t="s">
        <v>42405</v>
      </c>
      <c r="J4646" s="7">
        <v>20</v>
      </c>
      <c r="K4646" s="7">
        <v>41.6</v>
      </c>
      <c r="L4646" s="5" t="s">
        <v>42406</v>
      </c>
      <c r="M4646" s="7">
        <v>1.2</v>
      </c>
      <c r="N4646" s="7">
        <v>0.65</v>
      </c>
      <c r="O4646" s="7">
        <v>1.5069999999999999</v>
      </c>
      <c r="P4646" s="1" t="s">
        <v>42407</v>
      </c>
    </row>
    <row r="4647" spans="1:16" ht="33.4" x14ac:dyDescent="0.3">
      <c r="A4647" s="6" t="str">
        <f>HYPERLINK("https://www.ti.com/product/TPS776-Q1", "TPS776-Q1")</f>
        <v>TPS776-Q1</v>
      </c>
      <c r="B4647" s="5" t="s">
        <v>42408</v>
      </c>
      <c r="C4647" s="6" t="str">
        <f>HYPERLINK("https://www.ti.com/lit/gpn/TPS776-Q1", "PDF")</f>
        <v>PDF</v>
      </c>
      <c r="D4647" s="5" t="s">
        <v>42409</v>
      </c>
      <c r="E4647" s="5" t="s">
        <v>42410</v>
      </c>
      <c r="F4647" s="5"/>
      <c r="G4647" s="5" t="s">
        <v>42411</v>
      </c>
      <c r="H4647" s="1" t="s">
        <v>42412</v>
      </c>
      <c r="I4647" s="5" t="s">
        <v>42413</v>
      </c>
      <c r="J4647" s="7">
        <v>20</v>
      </c>
      <c r="K4647" s="7">
        <v>41.6</v>
      </c>
      <c r="L4647" s="5" t="s">
        <v>42414</v>
      </c>
      <c r="M4647" s="7">
        <v>1.2</v>
      </c>
      <c r="N4647" s="7">
        <v>0.65</v>
      </c>
      <c r="O4647" s="7">
        <v>1.099</v>
      </c>
      <c r="P4647" s="1" t="s">
        <v>42415</v>
      </c>
    </row>
    <row r="4648" spans="1:16" ht="33.4" x14ac:dyDescent="0.3">
      <c r="A4648" s="6" t="str">
        <f>HYPERLINK("https://www.ti.com/product/LM5110", "LM5110")</f>
        <v>LM5110</v>
      </c>
      <c r="B4648" s="5" t="s">
        <v>42416</v>
      </c>
      <c r="C4648" s="6" t="str">
        <f>HYPERLINK("https://www.ti.com/lit/gpn/LM5110", "PDF")</f>
        <v>PDF</v>
      </c>
      <c r="D4648" s="5" t="s">
        <v>42417</v>
      </c>
      <c r="E4648" s="5" t="s">
        <v>42418</v>
      </c>
      <c r="F4648" s="5"/>
      <c r="G4648" s="5" t="s">
        <v>42419</v>
      </c>
      <c r="H4648" s="1" t="s">
        <v>42420</v>
      </c>
      <c r="I4648" s="5" t="s">
        <v>42421</v>
      </c>
      <c r="J4648" s="7" t="s">
        <v>42422</v>
      </c>
      <c r="K4648" s="7" t="s">
        <v>42423</v>
      </c>
      <c r="L4648" s="5" t="s">
        <v>42424</v>
      </c>
      <c r="M4648" s="7" t="s">
        <v>42425</v>
      </c>
      <c r="N4648" s="7" t="s">
        <v>42426</v>
      </c>
      <c r="O4648" s="7">
        <v>0.94299999999999995</v>
      </c>
      <c r="P4648" s="1" t="s">
        <v>42427</v>
      </c>
    </row>
    <row r="4649" spans="1:16" ht="33.4" x14ac:dyDescent="0.3">
      <c r="A4649" s="6" t="str">
        <f>HYPERLINK("https://www.ti.com/product/LM8364", "LM8364")</f>
        <v>LM8364</v>
      </c>
      <c r="B4649" s="5" t="s">
        <v>42428</v>
      </c>
      <c r="C4649" s="6" t="str">
        <f>HYPERLINK("https://www.ti.com/lit/gpn/LM8364", "PDF")</f>
        <v>PDF</v>
      </c>
      <c r="D4649" s="5" t="s">
        <v>42429</v>
      </c>
      <c r="E4649" s="5" t="s">
        <v>42430</v>
      </c>
      <c r="F4649" s="5"/>
      <c r="G4649" s="5" t="s">
        <v>42431</v>
      </c>
      <c r="H4649" s="1" t="s">
        <v>42432</v>
      </c>
      <c r="I4649" s="5" t="s">
        <v>42433</v>
      </c>
      <c r="J4649" s="7">
        <v>5</v>
      </c>
      <c r="K4649" s="7">
        <v>8.1199999999999992</v>
      </c>
      <c r="L4649" s="5" t="s">
        <v>42434</v>
      </c>
      <c r="M4649" s="7">
        <v>1.45</v>
      </c>
      <c r="N4649" s="7">
        <v>0.95</v>
      </c>
      <c r="O4649" s="7">
        <v>0.26300000000000001</v>
      </c>
      <c r="P4649" s="1" t="s">
        <v>42435</v>
      </c>
    </row>
    <row r="4650" spans="1:16" ht="33.4" x14ac:dyDescent="0.3">
      <c r="A4650" s="6" t="str">
        <f>HYPERLINK("https://www.ti.com/product/LM8365", "LM8365")</f>
        <v>LM8365</v>
      </c>
      <c r="B4650" s="5" t="s">
        <v>42436</v>
      </c>
      <c r="C4650" s="6" t="str">
        <f>HYPERLINK("https://www.ti.com/lit/gpn/LM8365", "PDF")</f>
        <v>PDF</v>
      </c>
      <c r="D4650" s="5" t="s">
        <v>42437</v>
      </c>
      <c r="E4650" s="5" t="s">
        <v>42438</v>
      </c>
      <c r="F4650" s="5"/>
      <c r="G4650" s="5" t="s">
        <v>42439</v>
      </c>
      <c r="H4650" s="1" t="s">
        <v>42440</v>
      </c>
      <c r="I4650" s="5" t="s">
        <v>42441</v>
      </c>
      <c r="J4650" s="7">
        <v>5</v>
      </c>
      <c r="K4650" s="7">
        <v>8.1199999999999992</v>
      </c>
      <c r="L4650" s="5" t="s">
        <v>42442</v>
      </c>
      <c r="M4650" s="7">
        <v>1.45</v>
      </c>
      <c r="N4650" s="7">
        <v>0.95</v>
      </c>
      <c r="O4650" s="7">
        <v>0.27200000000000002</v>
      </c>
      <c r="P4650" s="1" t="s">
        <v>42443</v>
      </c>
    </row>
    <row r="4651" spans="1:16" ht="49.75" x14ac:dyDescent="0.3">
      <c r="A4651" s="6" t="str">
        <f>HYPERLINK("https://www.ti.com/product/UCC2800-EP", "UCC2800-EP")</f>
        <v>UCC2800-EP</v>
      </c>
      <c r="B4651" s="5" t="s">
        <v>42444</v>
      </c>
      <c r="C4651" s="6" t="str">
        <f>HYPERLINK("https://www.ti.com/lit/gpn/UCC2800-EP", "PDF")</f>
        <v>PDF</v>
      </c>
      <c r="D4651" s="5" t="s">
        <v>42445</v>
      </c>
      <c r="E4651" s="5" t="s">
        <v>42446</v>
      </c>
      <c r="F4651" s="5" t="s">
        <v>42447</v>
      </c>
      <c r="G4651" s="5" t="s">
        <v>42448</v>
      </c>
      <c r="H4651" s="1" t="s">
        <v>42449</v>
      </c>
      <c r="I4651" s="5" t="s">
        <v>42450</v>
      </c>
      <c r="J4651" s="7">
        <v>8</v>
      </c>
      <c r="K4651" s="7">
        <v>29.4</v>
      </c>
      <c r="L4651" s="5" t="s">
        <v>42451</v>
      </c>
      <c r="M4651" s="7">
        <v>1.75</v>
      </c>
      <c r="N4651" s="7">
        <v>1.27</v>
      </c>
      <c r="O4651" s="7">
        <v>4.1890000000000001</v>
      </c>
      <c r="P4651" s="1" t="s">
        <v>42452</v>
      </c>
    </row>
    <row r="4652" spans="1:16" ht="33.4" x14ac:dyDescent="0.3">
      <c r="A4652" s="6" t="str">
        <f>HYPERLINK("https://www.ti.com/product/LM2731", "LM2731")</f>
        <v>LM2731</v>
      </c>
      <c r="B4652" s="5" t="s">
        <v>42453</v>
      </c>
      <c r="C4652" s="6" t="str">
        <f>HYPERLINK("https://www.ti.com/lit/gpn/LM2731", "PDF")</f>
        <v>PDF</v>
      </c>
      <c r="D4652" s="5" t="s">
        <v>42454</v>
      </c>
      <c r="E4652" s="5" t="s">
        <v>42455</v>
      </c>
      <c r="F4652" s="5" t="s">
        <v>42456</v>
      </c>
      <c r="G4652" s="5" t="s">
        <v>42457</v>
      </c>
      <c r="H4652" s="1" t="s">
        <v>42458</v>
      </c>
      <c r="I4652" s="5" t="s">
        <v>42459</v>
      </c>
      <c r="J4652" s="7">
        <v>5</v>
      </c>
      <c r="K4652" s="7">
        <v>8.1199999999999992</v>
      </c>
      <c r="L4652" s="5" t="s">
        <v>42460</v>
      </c>
      <c r="M4652" s="7">
        <v>1.45</v>
      </c>
      <c r="N4652" s="7">
        <v>0.95</v>
      </c>
      <c r="O4652" s="7">
        <v>0.80300000000000005</v>
      </c>
      <c r="P4652" s="1" t="s">
        <v>42461</v>
      </c>
    </row>
    <row r="4653" spans="1:16" ht="82.5" x14ac:dyDescent="0.3">
      <c r="A4653" s="6" t="str">
        <f>HYPERLINK("https://www.ti.com/product/LP3852", "LP3852")</f>
        <v>LP3852</v>
      </c>
      <c r="B4653" s="5" t="s">
        <v>42462</v>
      </c>
      <c r="C4653" s="6" t="str">
        <f>HYPERLINK("https://www.ti.com/lit/gpn/LP3852", "PDF")</f>
        <v>PDF</v>
      </c>
      <c r="D4653" s="5" t="s">
        <v>42463</v>
      </c>
      <c r="E4653" s="5" t="s">
        <v>42464</v>
      </c>
      <c r="F4653" s="5"/>
      <c r="G4653" s="5" t="s">
        <v>42465</v>
      </c>
      <c r="H4653" s="1" t="s">
        <v>42466</v>
      </c>
      <c r="I4653" s="5" t="s">
        <v>42467</v>
      </c>
      <c r="J4653" s="7">
        <v>5</v>
      </c>
      <c r="K4653" s="7" t="s">
        <v>42468</v>
      </c>
      <c r="L4653" s="5" t="s">
        <v>42469</v>
      </c>
      <c r="M4653" s="7" t="s">
        <v>42470</v>
      </c>
      <c r="N4653" s="7" t="s">
        <v>42471</v>
      </c>
      <c r="O4653" s="7">
        <v>1.0780000000000001</v>
      </c>
      <c r="P4653" s="1" t="s">
        <v>42472</v>
      </c>
    </row>
    <row r="4654" spans="1:16" ht="49.75" x14ac:dyDescent="0.3">
      <c r="A4654" s="6" t="str">
        <f>HYPERLINK("https://www.ti.com/product/LP3853", "LP3853")</f>
        <v>LP3853</v>
      </c>
      <c r="B4654" s="5" t="s">
        <v>42473</v>
      </c>
      <c r="C4654" s="6" t="str">
        <f>HYPERLINK("https://www.ti.com/lit/gpn/LP3853", "PDF")</f>
        <v>PDF</v>
      </c>
      <c r="D4654" s="5" t="s">
        <v>42474</v>
      </c>
      <c r="E4654" s="5" t="s">
        <v>42475</v>
      </c>
      <c r="F4654" s="5"/>
      <c r="G4654" s="5" t="s">
        <v>42476</v>
      </c>
      <c r="H4654" s="1" t="s">
        <v>42477</v>
      </c>
      <c r="I4654" s="5" t="s">
        <v>42478</v>
      </c>
      <c r="J4654" s="7">
        <v>5</v>
      </c>
      <c r="K4654" s="7" t="s">
        <v>42479</v>
      </c>
      <c r="L4654" s="5" t="s">
        <v>42480</v>
      </c>
      <c r="M4654" s="7" t="s">
        <v>42481</v>
      </c>
      <c r="N4654" s="7">
        <v>1.7</v>
      </c>
      <c r="O4654" s="7">
        <v>2.14</v>
      </c>
      <c r="P4654" s="1" t="s">
        <v>42482</v>
      </c>
    </row>
    <row r="4655" spans="1:16" ht="82.5" x14ac:dyDescent="0.3">
      <c r="A4655" s="6" t="str">
        <f>HYPERLINK("https://www.ti.com/product/LP3855", "LP3855")</f>
        <v>LP3855</v>
      </c>
      <c r="B4655" s="5" t="s">
        <v>42483</v>
      </c>
      <c r="C4655" s="6" t="str">
        <f>HYPERLINK("https://www.ti.com/lit/gpn/LP3855", "PDF")</f>
        <v>PDF</v>
      </c>
      <c r="D4655" s="5" t="s">
        <v>42484</v>
      </c>
      <c r="E4655" s="5" t="s">
        <v>42485</v>
      </c>
      <c r="F4655" s="5"/>
      <c r="G4655" s="5" t="s">
        <v>42486</v>
      </c>
      <c r="H4655" s="1" t="s">
        <v>42487</v>
      </c>
      <c r="I4655" s="5" t="s">
        <v>42488</v>
      </c>
      <c r="J4655" s="7">
        <v>5</v>
      </c>
      <c r="K4655" s="7" t="s">
        <v>42489</v>
      </c>
      <c r="L4655" s="5" t="s">
        <v>42490</v>
      </c>
      <c r="M4655" s="7" t="s">
        <v>42491</v>
      </c>
      <c r="N4655" s="7" t="s">
        <v>42492</v>
      </c>
      <c r="O4655" s="7">
        <v>1.0780000000000001</v>
      </c>
      <c r="P4655" s="1" t="s">
        <v>42493</v>
      </c>
    </row>
    <row r="4656" spans="1:16" ht="49.75" x14ac:dyDescent="0.3">
      <c r="A4656" s="6" t="str">
        <f>HYPERLINK("https://www.ti.com/product/LP3871", "LP3871")</f>
        <v>LP3871</v>
      </c>
      <c r="B4656" s="5" t="s">
        <v>42494</v>
      </c>
      <c r="C4656" s="6" t="str">
        <f>HYPERLINK("https://www.ti.com/lit/gpn/LP3871", "PDF")</f>
        <v>PDF</v>
      </c>
      <c r="D4656" s="5" t="s">
        <v>42495</v>
      </c>
      <c r="E4656" s="5" t="s">
        <v>42496</v>
      </c>
      <c r="F4656" s="5"/>
      <c r="G4656" s="5" t="s">
        <v>42497</v>
      </c>
      <c r="H4656" s="1" t="s">
        <v>42498</v>
      </c>
      <c r="I4656" s="5" t="s">
        <v>42499</v>
      </c>
      <c r="J4656" s="7">
        <v>5</v>
      </c>
      <c r="K4656" s="7" t="s">
        <v>42500</v>
      </c>
      <c r="L4656" s="5" t="s">
        <v>42501</v>
      </c>
      <c r="M4656" s="7" t="s">
        <v>42502</v>
      </c>
      <c r="N4656" s="7" t="s">
        <v>42503</v>
      </c>
      <c r="O4656" s="7">
        <v>1.05</v>
      </c>
      <c r="P4656" s="1" t="s">
        <v>42504</v>
      </c>
    </row>
    <row r="4657" spans="1:16" ht="49.75" x14ac:dyDescent="0.3">
      <c r="A4657" s="6" t="str">
        <f>HYPERLINK("https://www.ti.com/product/LP3872", "LP3872")</f>
        <v>LP3872</v>
      </c>
      <c r="B4657" s="5" t="s">
        <v>42505</v>
      </c>
      <c r="C4657" s="6" t="str">
        <f>HYPERLINK("https://www.ti.com/lit/gpn/LP3872", "PDF")</f>
        <v>PDF</v>
      </c>
      <c r="D4657" s="5" t="s">
        <v>42506</v>
      </c>
      <c r="E4657" s="5" t="s">
        <v>42507</v>
      </c>
      <c r="F4657" s="5"/>
      <c r="G4657" s="5" t="s">
        <v>42508</v>
      </c>
      <c r="H4657" s="1" t="s">
        <v>42509</v>
      </c>
      <c r="I4657" s="5" t="s">
        <v>42510</v>
      </c>
      <c r="J4657" s="7">
        <v>5</v>
      </c>
      <c r="K4657" s="7" t="s">
        <v>42511</v>
      </c>
      <c r="L4657" s="5" t="s">
        <v>42512</v>
      </c>
      <c r="M4657" s="7" t="s">
        <v>42513</v>
      </c>
      <c r="N4657" s="7" t="s">
        <v>42514</v>
      </c>
      <c r="O4657" s="7">
        <v>1.163</v>
      </c>
      <c r="P4657" s="1" t="s">
        <v>42515</v>
      </c>
    </row>
    <row r="4658" spans="1:16" ht="49.75" x14ac:dyDescent="0.3">
      <c r="A4658" s="6" t="str">
        <f>HYPERLINK("https://www.ti.com/product/LP3874", "LP3874")</f>
        <v>LP3874</v>
      </c>
      <c r="B4658" s="5" t="s">
        <v>42516</v>
      </c>
      <c r="C4658" s="6" t="str">
        <f>HYPERLINK("https://www.ti.com/lit/gpn/LP3874", "PDF")</f>
        <v>PDF</v>
      </c>
      <c r="D4658" s="5" t="s">
        <v>42517</v>
      </c>
      <c r="E4658" s="5" t="s">
        <v>42518</v>
      </c>
      <c r="F4658" s="5"/>
      <c r="G4658" s="5" t="s">
        <v>42519</v>
      </c>
      <c r="H4658" s="1" t="s">
        <v>42520</v>
      </c>
      <c r="I4658" s="5" t="s">
        <v>42521</v>
      </c>
      <c r="J4658" s="7">
        <v>5</v>
      </c>
      <c r="K4658" s="7" t="s">
        <v>42522</v>
      </c>
      <c r="L4658" s="5" t="s">
        <v>42523</v>
      </c>
      <c r="M4658" s="7" t="s">
        <v>42524</v>
      </c>
      <c r="N4658" s="7" t="s">
        <v>42525</v>
      </c>
      <c r="O4658" s="7">
        <v>1.1499999999999999</v>
      </c>
      <c r="P4658" s="1" t="s">
        <v>42526</v>
      </c>
    </row>
    <row r="4659" spans="1:16" ht="82.5" x14ac:dyDescent="0.3">
      <c r="A4659" s="6" t="str">
        <f>HYPERLINK("https://www.ti.com/product/LP3875", "LP3875")</f>
        <v>LP3875</v>
      </c>
      <c r="B4659" s="5" t="s">
        <v>42527</v>
      </c>
      <c r="C4659" s="6" t="str">
        <f>HYPERLINK("https://www.ti.com/lit/gpn/LP3875", "PDF")</f>
        <v>PDF</v>
      </c>
      <c r="D4659" s="5" t="s">
        <v>42528</v>
      </c>
      <c r="E4659" s="5" t="s">
        <v>42529</v>
      </c>
      <c r="F4659" s="5"/>
      <c r="G4659" s="5" t="s">
        <v>42530</v>
      </c>
      <c r="H4659" s="1" t="s">
        <v>42531</v>
      </c>
      <c r="I4659" s="5" t="s">
        <v>42532</v>
      </c>
      <c r="J4659" s="7">
        <v>5</v>
      </c>
      <c r="K4659" s="7" t="s">
        <v>42533</v>
      </c>
      <c r="L4659" s="5" t="s">
        <v>42534</v>
      </c>
      <c r="M4659" s="7" t="s">
        <v>42535</v>
      </c>
      <c r="N4659" s="7" t="s">
        <v>42536</v>
      </c>
      <c r="O4659" s="7">
        <v>1.0780000000000001</v>
      </c>
      <c r="P4659" s="1" t="s">
        <v>42537</v>
      </c>
    </row>
    <row r="4660" spans="1:16" ht="33.4" x14ac:dyDescent="0.3">
      <c r="A4660" s="6" t="str">
        <f>HYPERLINK("https://www.ti.com/product/TPS61045", "TPS61045")</f>
        <v>TPS61045</v>
      </c>
      <c r="B4660" s="5" t="s">
        <v>42538</v>
      </c>
      <c r="C4660" s="6" t="str">
        <f>HYPERLINK("https://www.ti.com/lit/gpn/TPS61045", "PDF")</f>
        <v>PDF</v>
      </c>
      <c r="D4660" s="5" t="s">
        <v>42539</v>
      </c>
      <c r="E4660" s="5" t="s">
        <v>42540</v>
      </c>
      <c r="F4660" s="5" t="s">
        <v>42541</v>
      </c>
      <c r="G4660" s="5" t="s">
        <v>42542</v>
      </c>
      <c r="H4660" s="1" t="s">
        <v>42543</v>
      </c>
      <c r="I4660" s="5" t="s">
        <v>42544</v>
      </c>
      <c r="J4660" s="7">
        <v>8</v>
      </c>
      <c r="K4660" s="7">
        <v>9</v>
      </c>
      <c r="L4660" s="5" t="s">
        <v>42545</v>
      </c>
      <c r="M4660" s="7">
        <v>1</v>
      </c>
      <c r="N4660" s="7">
        <v>0.65</v>
      </c>
      <c r="O4660" s="7">
        <v>0.63300000000000001</v>
      </c>
      <c r="P4660" s="1" t="s">
        <v>42546</v>
      </c>
    </row>
    <row r="4661" spans="1:16" ht="33.4" x14ac:dyDescent="0.3">
      <c r="A4661" s="6" t="str">
        <f>HYPERLINK("https://www.ti.com/product/TPS61030", "TPS61030")</f>
        <v>TPS61030</v>
      </c>
      <c r="B4661" s="5" t="s">
        <v>42547</v>
      </c>
      <c r="C4661" s="6" t="str">
        <f>HYPERLINK("https://www.ti.com/lit/gpn/TPS61030", "PDF")</f>
        <v>PDF</v>
      </c>
      <c r="D4661" s="5" t="s">
        <v>42548</v>
      </c>
      <c r="E4661" s="5" t="s">
        <v>42549</v>
      </c>
      <c r="F4661" s="5" t="s">
        <v>42550</v>
      </c>
      <c r="G4661" s="5" t="s">
        <v>42551</v>
      </c>
      <c r="H4661" s="1" t="s">
        <v>42552</v>
      </c>
      <c r="I4661" s="5" t="s">
        <v>42553</v>
      </c>
      <c r="J4661" s="7">
        <v>16</v>
      </c>
      <c r="K4661" s="7" t="s">
        <v>42554</v>
      </c>
      <c r="L4661" s="5" t="s">
        <v>42555</v>
      </c>
      <c r="M4661" s="7" t="s">
        <v>42556</v>
      </c>
      <c r="N4661" s="7">
        <v>0.65</v>
      </c>
      <c r="O4661" s="7">
        <v>1.28</v>
      </c>
      <c r="P4661" s="1" t="s">
        <v>42557</v>
      </c>
    </row>
    <row r="4662" spans="1:16" ht="33.4" x14ac:dyDescent="0.3">
      <c r="A4662" s="6" t="str">
        <f>HYPERLINK("https://www.ti.com/product/TPS61031", "TPS61031")</f>
        <v>TPS61031</v>
      </c>
      <c r="B4662" s="5" t="s">
        <v>42558</v>
      </c>
      <c r="C4662" s="6" t="str">
        <f>HYPERLINK("https://www.ti.com/lit/gpn/TPS61031", "PDF")</f>
        <v>PDF</v>
      </c>
      <c r="D4662" s="5" t="s">
        <v>42559</v>
      </c>
      <c r="E4662" s="5" t="s">
        <v>42560</v>
      </c>
      <c r="F4662" s="5" t="s">
        <v>42561</v>
      </c>
      <c r="G4662" s="5" t="s">
        <v>42562</v>
      </c>
      <c r="H4662" s="1" t="s">
        <v>42563</v>
      </c>
      <c r="I4662" s="5" t="s">
        <v>42564</v>
      </c>
      <c r="J4662" s="7">
        <v>16</v>
      </c>
      <c r="K4662" s="7" t="s">
        <v>42565</v>
      </c>
      <c r="L4662" s="5" t="s">
        <v>42566</v>
      </c>
      <c r="M4662" s="7" t="s">
        <v>42567</v>
      </c>
      <c r="N4662" s="7">
        <v>0.65</v>
      </c>
      <c r="O4662" s="7">
        <v>1.28</v>
      </c>
      <c r="P4662" s="1" t="s">
        <v>42568</v>
      </c>
    </row>
    <row r="4663" spans="1:16" ht="49.75" x14ac:dyDescent="0.3">
      <c r="A4663" s="6" t="str">
        <f>HYPERLINK("https://www.ti.com/product/LP3990", "LP3990")</f>
        <v>LP3990</v>
      </c>
      <c r="B4663" s="5" t="s">
        <v>42569</v>
      </c>
      <c r="C4663" s="6" t="str">
        <f>HYPERLINK("https://www.ti.com/lit/gpn/LP3990", "PDF")</f>
        <v>PDF</v>
      </c>
      <c r="D4663" s="5" t="s">
        <v>42570</v>
      </c>
      <c r="E4663" s="5" t="s">
        <v>42571</v>
      </c>
      <c r="F4663" s="5"/>
      <c r="G4663" s="5" t="s">
        <v>42572</v>
      </c>
      <c r="H4663" s="1" t="s">
        <v>42573</v>
      </c>
      <c r="I4663" s="5" t="s">
        <v>42574</v>
      </c>
      <c r="J4663" s="7" t="s">
        <v>42575</v>
      </c>
      <c r="K4663" s="7" t="s">
        <v>42576</v>
      </c>
      <c r="L4663" s="5" t="s">
        <v>42577</v>
      </c>
      <c r="M4663" s="7" t="s">
        <v>42578</v>
      </c>
      <c r="N4663" s="7" t="s">
        <v>42579</v>
      </c>
      <c r="O4663" s="7">
        <v>0.25</v>
      </c>
      <c r="P4663" s="1" t="s">
        <v>42580</v>
      </c>
    </row>
    <row r="4664" spans="1:16" ht="33.4" x14ac:dyDescent="0.3">
      <c r="A4664" s="6" t="str">
        <f>HYPERLINK("https://www.ti.com/product/LM5007", "LM5007")</f>
        <v>LM5007</v>
      </c>
      <c r="B4664" s="5" t="s">
        <v>42581</v>
      </c>
      <c r="C4664" s="6" t="str">
        <f>HYPERLINK("https://www.ti.com/lit/gpn/LM5007", "PDF")</f>
        <v>PDF</v>
      </c>
      <c r="D4664" s="5" t="s">
        <v>42582</v>
      </c>
      <c r="E4664" s="5" t="s">
        <v>42583</v>
      </c>
      <c r="F4664" s="5" t="s">
        <v>42584</v>
      </c>
      <c r="G4664" s="5" t="s">
        <v>42585</v>
      </c>
      <c r="H4664" s="1" t="s">
        <v>42586</v>
      </c>
      <c r="I4664" s="5" t="s">
        <v>42587</v>
      </c>
      <c r="J4664" s="7">
        <v>8</v>
      </c>
      <c r="K4664" s="7" t="s">
        <v>42588</v>
      </c>
      <c r="L4664" s="5" t="s">
        <v>42589</v>
      </c>
      <c r="M4664" s="7" t="s">
        <v>42590</v>
      </c>
      <c r="N4664" s="7" t="s">
        <v>42591</v>
      </c>
      <c r="O4664" s="7">
        <v>1.1220000000000001</v>
      </c>
      <c r="P4664" s="1" t="s">
        <v>42592</v>
      </c>
    </row>
    <row r="4665" spans="1:16" ht="33.4" x14ac:dyDescent="0.3">
      <c r="A4665" s="6" t="str">
        <f>HYPERLINK("https://www.ti.com/product/TPS61042", "TPS61042")</f>
        <v>TPS61042</v>
      </c>
      <c r="B4665" s="5" t="s">
        <v>42593</v>
      </c>
      <c r="C4665" s="6" t="str">
        <f>HYPERLINK("https://www.ti.com/lit/gpn/TPS61042", "PDF")</f>
        <v>PDF</v>
      </c>
      <c r="D4665" s="5" t="s">
        <v>42594</v>
      </c>
      <c r="E4665" s="5" t="s">
        <v>42595</v>
      </c>
      <c r="F4665" s="5" t="s">
        <v>42596</v>
      </c>
      <c r="G4665" s="5" t="s">
        <v>42597</v>
      </c>
      <c r="H4665" s="1" t="s">
        <v>42598</v>
      </c>
      <c r="I4665" s="5" t="s">
        <v>42599</v>
      </c>
      <c r="J4665" s="7">
        <v>8</v>
      </c>
      <c r="K4665" s="7">
        <v>9</v>
      </c>
      <c r="L4665" s="5" t="s">
        <v>42600</v>
      </c>
      <c r="M4665" s="7">
        <v>1</v>
      </c>
      <c r="N4665" s="7">
        <v>0.65</v>
      </c>
      <c r="O4665" s="7">
        <v>0.504</v>
      </c>
      <c r="P4665" s="1" t="s">
        <v>42601</v>
      </c>
    </row>
    <row r="4666" spans="1:16" ht="33.4" x14ac:dyDescent="0.3">
      <c r="A4666" s="6" t="str">
        <f>HYPERLINK("https://www.ti.com/product/UCC28512", "UCC28512")</f>
        <v>UCC28512</v>
      </c>
      <c r="B4666" s="5" t="s">
        <v>42602</v>
      </c>
      <c r="C4666" s="6" t="str">
        <f>HYPERLINK("https://www.ti.com/lit/gpn/UCC28512", "PDF")</f>
        <v>PDF</v>
      </c>
      <c r="D4666" s="5" t="s">
        <v>42603</v>
      </c>
      <c r="E4666" s="5" t="s">
        <v>42604</v>
      </c>
      <c r="F4666" s="5" t="s">
        <v>42605</v>
      </c>
      <c r="G4666" s="5" t="s">
        <v>42606</v>
      </c>
      <c r="H4666" s="1" t="s">
        <v>42607</v>
      </c>
      <c r="I4666" s="5" t="s">
        <v>42608</v>
      </c>
      <c r="J4666" s="7">
        <v>20</v>
      </c>
      <c r="K4666" s="7">
        <v>131.84</v>
      </c>
      <c r="L4666" s="5" t="s">
        <v>42609</v>
      </c>
      <c r="M4666" s="7">
        <v>2.65</v>
      </c>
      <c r="N4666" s="7">
        <v>1.27</v>
      </c>
      <c r="O4666" s="7">
        <v>2.1779999999999999</v>
      </c>
      <c r="P4666" s="1" t="s">
        <v>42610</v>
      </c>
    </row>
    <row r="4667" spans="1:16" ht="49.75" x14ac:dyDescent="0.3">
      <c r="A4667" s="6" t="str">
        <f>HYPERLINK("https://www.ti.com/product/ULQ2003A-Q1", "ULQ2003A-Q1")</f>
        <v>ULQ2003A-Q1</v>
      </c>
      <c r="B4667" s="5" t="s">
        <v>42611</v>
      </c>
      <c r="C4667" s="6" t="str">
        <f>HYPERLINK("https://www.ti.com/lit/gpn/ULQ2003A-Q1", "PDF")</f>
        <v>PDF</v>
      </c>
      <c r="D4667" s="5" t="s">
        <v>42612</v>
      </c>
      <c r="E4667" s="5" t="s">
        <v>42613</v>
      </c>
      <c r="F4667" s="5"/>
      <c r="G4667" s="5" t="s">
        <v>42614</v>
      </c>
      <c r="H4667" s="1" t="s">
        <v>42615</v>
      </c>
      <c r="I4667" s="5" t="s">
        <v>42616</v>
      </c>
      <c r="J4667" s="7">
        <v>16</v>
      </c>
      <c r="K4667" s="7" t="s">
        <v>42617</v>
      </c>
      <c r="L4667" s="5" t="s">
        <v>42618</v>
      </c>
      <c r="M4667" s="7" t="s">
        <v>42619</v>
      </c>
      <c r="N4667" s="7" t="s">
        <v>42620</v>
      </c>
      <c r="O4667" s="7">
        <v>9.6000000000000002E-2</v>
      </c>
      <c r="P4667" s="1" t="s">
        <v>42621</v>
      </c>
    </row>
    <row r="4668" spans="1:16" ht="33.4" x14ac:dyDescent="0.3">
      <c r="A4668" s="6" t="str">
        <f>HYPERLINK("https://www.ti.com/product/TPS62050", "TPS62050")</f>
        <v>TPS62050</v>
      </c>
      <c r="B4668" s="5" t="s">
        <v>42622</v>
      </c>
      <c r="C4668" s="6" t="str">
        <f>HYPERLINK("https://www.ti.com/lit/gpn/TPS62050", "PDF")</f>
        <v>PDF</v>
      </c>
      <c r="D4668" s="5" t="s">
        <v>42623</v>
      </c>
      <c r="E4668" s="5" t="s">
        <v>42624</v>
      </c>
      <c r="F4668" s="5" t="s">
        <v>42625</v>
      </c>
      <c r="G4668" s="5" t="s">
        <v>42626</v>
      </c>
      <c r="H4668" s="1" t="s">
        <v>42627</v>
      </c>
      <c r="I4668" s="5" t="s">
        <v>42628</v>
      </c>
      <c r="J4668" s="7">
        <v>10</v>
      </c>
      <c r="K4668" s="7">
        <v>14.7</v>
      </c>
      <c r="L4668" s="5" t="s">
        <v>42629</v>
      </c>
      <c r="M4668" s="7">
        <v>1.1000000000000001</v>
      </c>
      <c r="N4668" s="7">
        <v>0.5</v>
      </c>
      <c r="O4668" s="7">
        <v>0.748</v>
      </c>
      <c r="P4668" s="1" t="s">
        <v>42630</v>
      </c>
    </row>
    <row r="4669" spans="1:16" ht="33.4" x14ac:dyDescent="0.3">
      <c r="A4669" s="6" t="str">
        <f>HYPERLINK("https://www.ti.com/product/TPS62051", "TPS62051")</f>
        <v>TPS62051</v>
      </c>
      <c r="B4669" s="5" t="s">
        <v>42631</v>
      </c>
      <c r="C4669" s="6" t="str">
        <f>HYPERLINK("https://www.ti.com/lit/gpn/TPS62051", "PDF")</f>
        <v>PDF</v>
      </c>
      <c r="D4669" s="5" t="s">
        <v>42632</v>
      </c>
      <c r="E4669" s="5" t="s">
        <v>42633</v>
      </c>
      <c r="F4669" s="5" t="s">
        <v>42634</v>
      </c>
      <c r="G4669" s="5" t="s">
        <v>42635</v>
      </c>
      <c r="H4669" s="1" t="s">
        <v>42636</v>
      </c>
      <c r="I4669" s="5" t="s">
        <v>42637</v>
      </c>
      <c r="J4669" s="7">
        <v>10</v>
      </c>
      <c r="K4669" s="7">
        <v>14.7</v>
      </c>
      <c r="L4669" s="5" t="s">
        <v>42638</v>
      </c>
      <c r="M4669" s="7">
        <v>1.1000000000000001</v>
      </c>
      <c r="N4669" s="7">
        <v>0.5</v>
      </c>
      <c r="O4669" s="7">
        <v>0.748</v>
      </c>
      <c r="P4669" s="1" t="s">
        <v>42639</v>
      </c>
    </row>
    <row r="4670" spans="1:16" ht="33.4" x14ac:dyDescent="0.3">
      <c r="A4670" s="6" t="str">
        <f>HYPERLINK("https://www.ti.com/product/TPS62052", "TPS62052")</f>
        <v>TPS62052</v>
      </c>
      <c r="B4670" s="5" t="s">
        <v>42640</v>
      </c>
      <c r="C4670" s="6" t="str">
        <f>HYPERLINK("https://www.ti.com/lit/gpn/TPS62052", "PDF")</f>
        <v>PDF</v>
      </c>
      <c r="D4670" s="5" t="s">
        <v>42641</v>
      </c>
      <c r="E4670" s="5" t="s">
        <v>42642</v>
      </c>
      <c r="F4670" s="5" t="s">
        <v>42643</v>
      </c>
      <c r="G4670" s="5" t="s">
        <v>42644</v>
      </c>
      <c r="H4670" s="1" t="s">
        <v>42645</v>
      </c>
      <c r="I4670" s="5" t="s">
        <v>42646</v>
      </c>
      <c r="J4670" s="7">
        <v>10</v>
      </c>
      <c r="K4670" s="7">
        <v>14.7</v>
      </c>
      <c r="L4670" s="5" t="s">
        <v>42647</v>
      </c>
      <c r="M4670" s="7">
        <v>1.1000000000000001</v>
      </c>
      <c r="N4670" s="7">
        <v>0.5</v>
      </c>
      <c r="O4670" s="7">
        <v>0.748</v>
      </c>
      <c r="P4670" s="1" t="s">
        <v>42648</v>
      </c>
    </row>
    <row r="4671" spans="1:16" ht="33.4" x14ac:dyDescent="0.3">
      <c r="A4671" s="6" t="str">
        <f>HYPERLINK("https://www.ti.com/product/TPS62054", "TPS62054")</f>
        <v>TPS62054</v>
      </c>
      <c r="B4671" s="5" t="s">
        <v>42649</v>
      </c>
      <c r="C4671" s="6" t="str">
        <f>HYPERLINK("https://www.ti.com/lit/gpn/TPS62054", "PDF")</f>
        <v>PDF</v>
      </c>
      <c r="D4671" s="5" t="s">
        <v>42650</v>
      </c>
      <c r="E4671" s="5" t="s">
        <v>42651</v>
      </c>
      <c r="F4671" s="5" t="s">
        <v>42652</v>
      </c>
      <c r="G4671" s="5" t="s">
        <v>42653</v>
      </c>
      <c r="H4671" s="1" t="s">
        <v>42654</v>
      </c>
      <c r="I4671" s="5" t="s">
        <v>42655</v>
      </c>
      <c r="J4671" s="7">
        <v>10</v>
      </c>
      <c r="K4671" s="7">
        <v>14.7</v>
      </c>
      <c r="L4671" s="5" t="s">
        <v>42656</v>
      </c>
      <c r="M4671" s="7">
        <v>1.1000000000000001</v>
      </c>
      <c r="N4671" s="7">
        <v>0.5</v>
      </c>
      <c r="O4671" s="7">
        <v>0.748</v>
      </c>
      <c r="P4671" s="1" t="s">
        <v>42657</v>
      </c>
    </row>
    <row r="4672" spans="1:16" ht="33.4" x14ac:dyDescent="0.3">
      <c r="A4672" s="6" t="str">
        <f>HYPERLINK("https://www.ti.com/product/TPS62056", "TPS62056")</f>
        <v>TPS62056</v>
      </c>
      <c r="B4672" s="5" t="s">
        <v>42658</v>
      </c>
      <c r="C4672" s="6" t="str">
        <f>HYPERLINK("https://www.ti.com/lit/gpn/TPS62056", "PDF")</f>
        <v>PDF</v>
      </c>
      <c r="D4672" s="5" t="s">
        <v>42659</v>
      </c>
      <c r="E4672" s="5" t="s">
        <v>42660</v>
      </c>
      <c r="F4672" s="5" t="s">
        <v>42661</v>
      </c>
      <c r="G4672" s="5" t="s">
        <v>42662</v>
      </c>
      <c r="H4672" s="1" t="s">
        <v>42663</v>
      </c>
      <c r="I4672" s="5" t="s">
        <v>42664</v>
      </c>
      <c r="J4672" s="7">
        <v>10</v>
      </c>
      <c r="K4672" s="7">
        <v>14.7</v>
      </c>
      <c r="L4672" s="5" t="s">
        <v>42665</v>
      </c>
      <c r="M4672" s="7">
        <v>1.1000000000000001</v>
      </c>
      <c r="N4672" s="7">
        <v>0.5</v>
      </c>
      <c r="O4672" s="7">
        <v>0.748</v>
      </c>
      <c r="P4672" s="1" t="s">
        <v>42666</v>
      </c>
    </row>
    <row r="4673" spans="1:16" ht="49.75" x14ac:dyDescent="0.3">
      <c r="A4673" s="6" t="str">
        <f>HYPERLINK("https://www.ti.com/product/UCC2801-EP", "UCC2801-EP")</f>
        <v>UCC2801-EP</v>
      </c>
      <c r="B4673" s="5" t="s">
        <v>42667</v>
      </c>
      <c r="C4673" s="6" t="str">
        <f>HYPERLINK("https://www.ti.com/lit/gpn/UCC2801-EP", "PDF")</f>
        <v>PDF</v>
      </c>
      <c r="D4673" s="5" t="s">
        <v>42668</v>
      </c>
      <c r="E4673" s="5" t="s">
        <v>42669</v>
      </c>
      <c r="F4673" s="5" t="s">
        <v>42670</v>
      </c>
      <c r="G4673" s="5" t="s">
        <v>42671</v>
      </c>
      <c r="H4673" s="1" t="s">
        <v>42672</v>
      </c>
      <c r="I4673" s="5" t="s">
        <v>42673</v>
      </c>
      <c r="J4673" s="7">
        <v>8</v>
      </c>
      <c r="K4673" s="7">
        <v>29.4</v>
      </c>
      <c r="L4673" s="5" t="s">
        <v>42674</v>
      </c>
      <c r="M4673" s="7">
        <v>1.75</v>
      </c>
      <c r="N4673" s="7">
        <v>1.27</v>
      </c>
      <c r="O4673" s="7">
        <v>2.819</v>
      </c>
      <c r="P4673" s="1" t="s">
        <v>42675</v>
      </c>
    </row>
    <row r="4674" spans="1:16" ht="33.4" x14ac:dyDescent="0.3">
      <c r="A4674" s="6" t="str">
        <f>HYPERLINK("https://www.ti.com/product/LM2734", "LM2734")</f>
        <v>LM2734</v>
      </c>
      <c r="B4674" s="5" t="s">
        <v>42676</v>
      </c>
      <c r="C4674" s="6" t="str">
        <f>HYPERLINK("https://www.ti.com/lit/gpn/LM2734", "PDF")</f>
        <v>PDF</v>
      </c>
      <c r="D4674" s="5" t="s">
        <v>42677</v>
      </c>
      <c r="E4674" s="5" t="s">
        <v>42678</v>
      </c>
      <c r="F4674" s="5" t="s">
        <v>42679</v>
      </c>
      <c r="G4674" s="5" t="s">
        <v>42680</v>
      </c>
      <c r="H4674" s="1" t="s">
        <v>42681</v>
      </c>
      <c r="I4674" s="5" t="s">
        <v>42682</v>
      </c>
      <c r="J4674" s="7">
        <v>6</v>
      </c>
      <c r="K4674" s="7">
        <v>8.1199999999999992</v>
      </c>
      <c r="L4674" s="5" t="s">
        <v>42683</v>
      </c>
      <c r="M4674" s="7">
        <v>1.1000000000000001</v>
      </c>
      <c r="N4674" s="7">
        <v>0.95</v>
      </c>
      <c r="O4674" s="7">
        <v>1.641</v>
      </c>
      <c r="P4674" s="1" t="s">
        <v>42684</v>
      </c>
    </row>
    <row r="4675" spans="1:16" ht="33.4" x14ac:dyDescent="0.3">
      <c r="A4675" s="6" t="str">
        <f>HYPERLINK("https://www.ti.com/product/LM2734-Q1", "LM2734-Q1")</f>
        <v>LM2734-Q1</v>
      </c>
      <c r="B4675" s="5" t="s">
        <v>42685</v>
      </c>
      <c r="C4675" s="6" t="str">
        <f>HYPERLINK("https://www.ti.com/lit/gpn/LM2734-Q1", "PDF")</f>
        <v>PDF</v>
      </c>
      <c r="D4675" s="5" t="s">
        <v>42686</v>
      </c>
      <c r="E4675" s="5" t="s">
        <v>42687</v>
      </c>
      <c r="F4675" s="5" t="s">
        <v>42688</v>
      </c>
      <c r="G4675" s="5" t="s">
        <v>42689</v>
      </c>
      <c r="H4675" s="1" t="s">
        <v>42690</v>
      </c>
      <c r="I4675" s="5" t="s">
        <v>42691</v>
      </c>
      <c r="J4675" s="7">
        <v>6</v>
      </c>
      <c r="K4675" s="7">
        <v>8.1199999999999992</v>
      </c>
      <c r="L4675" s="5" t="s">
        <v>42692</v>
      </c>
      <c r="M4675" s="7">
        <v>1.1000000000000001</v>
      </c>
      <c r="N4675" s="7">
        <v>0.95</v>
      </c>
      <c r="O4675" s="7">
        <v>1.9359999999999999</v>
      </c>
      <c r="P4675" s="1" t="s">
        <v>42693</v>
      </c>
    </row>
    <row r="4676" spans="1:16" ht="17.05" x14ac:dyDescent="0.3">
      <c r="A4676" s="6" t="str">
        <f>HYPERLINK("https://www.ti.com/product/LM2724A", "LM2724A")</f>
        <v>LM2724A</v>
      </c>
      <c r="B4676" s="5" t="s">
        <v>42694</v>
      </c>
      <c r="C4676" s="6" t="str">
        <f>HYPERLINK("https://www.ti.com/lit/gpn/LM2724A", "PDF")</f>
        <v>PDF</v>
      </c>
      <c r="D4676" s="5" t="s">
        <v>42695</v>
      </c>
      <c r="E4676" s="5" t="s">
        <v>42696</v>
      </c>
      <c r="F4676" s="5"/>
      <c r="G4676" s="5" t="s">
        <v>42697</v>
      </c>
      <c r="H4676" s="1" t="s">
        <v>42698</v>
      </c>
      <c r="I4676" s="5" t="s">
        <v>42699</v>
      </c>
      <c r="J4676" s="7">
        <v>8</v>
      </c>
      <c r="K4676" s="7">
        <v>29.4</v>
      </c>
      <c r="L4676" s="5" t="s">
        <v>42700</v>
      </c>
      <c r="M4676" s="7">
        <v>1.75</v>
      </c>
      <c r="N4676" s="7">
        <v>1.27</v>
      </c>
      <c r="O4676" s="7">
        <v>1.248</v>
      </c>
      <c r="P4676" s="1" t="s">
        <v>42701</v>
      </c>
    </row>
    <row r="4677" spans="1:16" ht="33.4" x14ac:dyDescent="0.3">
      <c r="A4677" s="6" t="str">
        <f>HYPERLINK("https://www.ti.com/product/TPS2110", "TPS2110")</f>
        <v>TPS2110</v>
      </c>
      <c r="B4677" s="5" t="s">
        <v>42702</v>
      </c>
      <c r="C4677" s="6" t="str">
        <f>HYPERLINK("https://www.ti.com/lit/gpn/TPS2110", "PDF")</f>
        <v>PDF</v>
      </c>
      <c r="D4677" s="5" t="s">
        <v>42703</v>
      </c>
      <c r="E4677" s="5" t="s">
        <v>42704</v>
      </c>
      <c r="F4677" s="5"/>
      <c r="G4677" s="5" t="s">
        <v>42705</v>
      </c>
      <c r="H4677" s="1" t="s">
        <v>42706</v>
      </c>
      <c r="I4677" s="5" t="s">
        <v>42707</v>
      </c>
      <c r="J4677" s="7">
        <v>8</v>
      </c>
      <c r="K4677" s="7">
        <v>19.2</v>
      </c>
      <c r="L4677" s="5" t="s">
        <v>42708</v>
      </c>
      <c r="M4677" s="7">
        <v>1.2</v>
      </c>
      <c r="N4677" s="7">
        <v>0.65</v>
      </c>
      <c r="O4677" s="7">
        <v>1.002</v>
      </c>
      <c r="P4677" s="1" t="s">
        <v>42709</v>
      </c>
    </row>
    <row r="4678" spans="1:16" ht="33.4" x14ac:dyDescent="0.3">
      <c r="A4678" s="6" t="str">
        <f>HYPERLINK("https://www.ti.com/product/TPS2112", "TPS2112")</f>
        <v>TPS2112</v>
      </c>
      <c r="B4678" s="5" t="s">
        <v>42710</v>
      </c>
      <c r="C4678" s="6" t="str">
        <f>HYPERLINK("https://www.ti.com/lit/gpn/TPS2112", "PDF")</f>
        <v>PDF</v>
      </c>
      <c r="D4678" s="5" t="s">
        <v>42711</v>
      </c>
      <c r="E4678" s="5" t="s">
        <v>42712</v>
      </c>
      <c r="F4678" s="5"/>
      <c r="G4678" s="5" t="s">
        <v>42713</v>
      </c>
      <c r="H4678" s="1" t="s">
        <v>42714</v>
      </c>
      <c r="I4678" s="5" t="s">
        <v>42715</v>
      </c>
      <c r="J4678" s="7">
        <v>8</v>
      </c>
      <c r="K4678" s="7">
        <v>19.2</v>
      </c>
      <c r="L4678" s="5" t="s">
        <v>42716</v>
      </c>
      <c r="M4678" s="7">
        <v>1.2</v>
      </c>
      <c r="N4678" s="7">
        <v>0.65</v>
      </c>
      <c r="O4678" s="7">
        <v>1.002</v>
      </c>
      <c r="P4678" s="1" t="s">
        <v>42717</v>
      </c>
    </row>
    <row r="4679" spans="1:16" ht="33.4" x14ac:dyDescent="0.3">
      <c r="A4679" s="6" t="str">
        <f>HYPERLINK("https://www.ti.com/product/TPS2114", "TPS2114")</f>
        <v>TPS2114</v>
      </c>
      <c r="B4679" s="5" t="s">
        <v>42718</v>
      </c>
      <c r="C4679" s="6" t="str">
        <f>HYPERLINK("https://www.ti.com/lit/gpn/TPS2114", "PDF")</f>
        <v>PDF</v>
      </c>
      <c r="D4679" s="5" t="s">
        <v>42719</v>
      </c>
      <c r="E4679" s="5" t="s">
        <v>42720</v>
      </c>
      <c r="F4679" s="5"/>
      <c r="G4679" s="5" t="s">
        <v>42721</v>
      </c>
      <c r="H4679" s="1" t="s">
        <v>42722</v>
      </c>
      <c r="I4679" s="5" t="s">
        <v>42723</v>
      </c>
      <c r="J4679" s="7">
        <v>8</v>
      </c>
      <c r="K4679" s="7">
        <v>19.2</v>
      </c>
      <c r="L4679" s="5" t="s">
        <v>42724</v>
      </c>
      <c r="M4679" s="7">
        <v>1.2</v>
      </c>
      <c r="N4679" s="7">
        <v>0.65</v>
      </c>
      <c r="O4679" s="7">
        <v>1.002</v>
      </c>
      <c r="P4679" s="1" t="s">
        <v>42725</v>
      </c>
    </row>
    <row r="4680" spans="1:16" ht="33.4" x14ac:dyDescent="0.3">
      <c r="A4680" s="6" t="str">
        <f>HYPERLINK("https://www.ti.com/product/LP3881", "LP3881")</f>
        <v>LP3881</v>
      </c>
      <c r="B4680" s="5" t="s">
        <v>42726</v>
      </c>
      <c r="C4680" s="6" t="str">
        <f>HYPERLINK("https://www.ti.com/lit/gpn/LP3881", "PDF")</f>
        <v>PDF</v>
      </c>
      <c r="D4680" s="5" t="s">
        <v>42727</v>
      </c>
      <c r="E4680" s="5" t="s">
        <v>42728</v>
      </c>
      <c r="F4680" s="5"/>
      <c r="G4680" s="5" t="s">
        <v>42729</v>
      </c>
      <c r="H4680" s="1" t="s">
        <v>42730</v>
      </c>
      <c r="I4680" s="5" t="s">
        <v>42731</v>
      </c>
      <c r="J4680" s="7">
        <v>5</v>
      </c>
      <c r="K4680" s="7">
        <v>154.83840000000001</v>
      </c>
      <c r="L4680" s="5" t="s">
        <v>42732</v>
      </c>
      <c r="M4680" s="7">
        <v>4.83</v>
      </c>
      <c r="N4680" s="7">
        <v>1.7</v>
      </c>
      <c r="O4680" s="7">
        <v>1.19</v>
      </c>
      <c r="P4680" s="1" t="s">
        <v>42733</v>
      </c>
    </row>
    <row r="4681" spans="1:16" ht="49.75" x14ac:dyDescent="0.3">
      <c r="A4681" s="6" t="str">
        <f>HYPERLINK("https://www.ti.com/product/LP3882", "LP3882")</f>
        <v>LP3882</v>
      </c>
      <c r="B4681" s="5" t="s">
        <v>42734</v>
      </c>
      <c r="C4681" s="6" t="str">
        <f>HYPERLINK("https://www.ti.com/lit/gpn/LP3882", "PDF")</f>
        <v>PDF</v>
      </c>
      <c r="D4681" s="5" t="s">
        <v>42735</v>
      </c>
      <c r="E4681" s="5" t="s">
        <v>42736</v>
      </c>
      <c r="F4681" s="5"/>
      <c r="G4681" s="5" t="s">
        <v>42737</v>
      </c>
      <c r="H4681" s="1" t="s">
        <v>42738</v>
      </c>
      <c r="I4681" s="5" t="s">
        <v>42739</v>
      </c>
      <c r="J4681" s="7" t="s">
        <v>42740</v>
      </c>
      <c r="K4681" s="7" t="s">
        <v>42741</v>
      </c>
      <c r="L4681" s="5" t="s">
        <v>42742</v>
      </c>
      <c r="M4681" s="7" t="s">
        <v>42743</v>
      </c>
      <c r="N4681" s="7" t="s">
        <v>42744</v>
      </c>
      <c r="O4681" s="7">
        <v>0.97799999999999998</v>
      </c>
      <c r="P4681" s="1" t="s">
        <v>42745</v>
      </c>
    </row>
    <row r="4682" spans="1:16" ht="49.75" x14ac:dyDescent="0.3">
      <c r="A4682" s="6" t="str">
        <f>HYPERLINK("https://www.ti.com/product/TPS3307-EP", "TPS3307-EP")</f>
        <v>TPS3307-EP</v>
      </c>
      <c r="B4682" s="5" t="s">
        <v>42746</v>
      </c>
      <c r="C4682" s="6" t="str">
        <f>HYPERLINK("https://www.ti.com/lit/gpn/TPS3307-EP", "PDF")</f>
        <v>PDF</v>
      </c>
      <c r="D4682" s="5" t="s">
        <v>42747</v>
      </c>
      <c r="E4682" s="5" t="s">
        <v>42748</v>
      </c>
      <c r="F4682" s="5"/>
      <c r="G4682" s="5" t="s">
        <v>42749</v>
      </c>
      <c r="H4682" s="1" t="s">
        <v>42750</v>
      </c>
      <c r="I4682" s="5" t="s">
        <v>42751</v>
      </c>
      <c r="J4682" s="7">
        <v>8</v>
      </c>
      <c r="K4682" s="7" t="s">
        <v>42752</v>
      </c>
      <c r="L4682" s="5" t="s">
        <v>42753</v>
      </c>
      <c r="M4682" s="7" t="s">
        <v>42754</v>
      </c>
      <c r="N4682" s="7" t="s">
        <v>42755</v>
      </c>
      <c r="O4682" s="7">
        <v>3.6930000000000001</v>
      </c>
      <c r="P4682" s="1" t="s">
        <v>42756</v>
      </c>
    </row>
    <row r="4683" spans="1:16" ht="33.4" x14ac:dyDescent="0.3">
      <c r="A4683" s="6" t="str">
        <f>HYPERLINK("https://www.ti.com/product/LM2733", "LM2733")</f>
        <v>LM2733</v>
      </c>
      <c r="B4683" s="5" t="s">
        <v>42757</v>
      </c>
      <c r="C4683" s="6" t="str">
        <f>HYPERLINK("https://www.ti.com/lit/gpn/LM2733", "PDF")</f>
        <v>PDF</v>
      </c>
      <c r="D4683" s="5" t="s">
        <v>42758</v>
      </c>
      <c r="E4683" s="5" t="s">
        <v>42759</v>
      </c>
      <c r="F4683" s="5" t="s">
        <v>42760</v>
      </c>
      <c r="G4683" s="5" t="s">
        <v>42761</v>
      </c>
      <c r="H4683" s="1" t="s">
        <v>42762</v>
      </c>
      <c r="I4683" s="5" t="s">
        <v>42763</v>
      </c>
      <c r="J4683" s="7">
        <v>5</v>
      </c>
      <c r="K4683" s="7">
        <v>8.1199999999999992</v>
      </c>
      <c r="L4683" s="5" t="s">
        <v>42764</v>
      </c>
      <c r="M4683" s="7">
        <v>1.45</v>
      </c>
      <c r="N4683" s="7">
        <v>0.95</v>
      </c>
      <c r="O4683" s="7">
        <v>0.66700000000000004</v>
      </c>
      <c r="P4683" s="1" t="s">
        <v>42765</v>
      </c>
    </row>
    <row r="4684" spans="1:16" ht="33.4" x14ac:dyDescent="0.3">
      <c r="A4684" s="6" t="str">
        <f>HYPERLINK("https://www.ti.com/product/LP2996-N", "LP2996-N")</f>
        <v>LP2996-N</v>
      </c>
      <c r="B4684" s="5" t="s">
        <v>42766</v>
      </c>
      <c r="C4684" s="6" t="str">
        <f>HYPERLINK("https://www.ti.com/lit/gpn/LP2996-N", "PDF")</f>
        <v>PDF</v>
      </c>
      <c r="D4684" s="5" t="s">
        <v>42767</v>
      </c>
      <c r="E4684" s="5" t="s">
        <v>42768</v>
      </c>
      <c r="F4684" s="5"/>
      <c r="G4684" s="5" t="s">
        <v>42769</v>
      </c>
      <c r="H4684" s="1" t="s">
        <v>42770</v>
      </c>
      <c r="I4684" s="5" t="s">
        <v>42771</v>
      </c>
      <c r="J4684" s="7" t="s">
        <v>42772</v>
      </c>
      <c r="K4684" s="7" t="s">
        <v>42773</v>
      </c>
      <c r="L4684" s="5" t="s">
        <v>42774</v>
      </c>
      <c r="M4684" s="7" t="s">
        <v>42775</v>
      </c>
      <c r="N4684" s="7" t="s">
        <v>42776</v>
      </c>
      <c r="O4684" s="7">
        <v>0.58399999999999996</v>
      </c>
      <c r="P4684" s="1" t="s">
        <v>42777</v>
      </c>
    </row>
    <row r="4685" spans="1:16" ht="33.4" x14ac:dyDescent="0.3">
      <c r="A4685" s="6" t="str">
        <f>HYPERLINK("https://www.ti.com/product/LP3873", "LP3873")</f>
        <v>LP3873</v>
      </c>
      <c r="B4685" s="5" t="s">
        <v>42778</v>
      </c>
      <c r="C4685" s="6" t="str">
        <f>HYPERLINK("https://www.ti.com/lit/gpn/LP3873", "PDF")</f>
        <v>PDF</v>
      </c>
      <c r="D4685" s="5" t="s">
        <v>42779</v>
      </c>
      <c r="E4685" s="5" t="s">
        <v>42780</v>
      </c>
      <c r="F4685" s="5"/>
      <c r="G4685" s="5" t="s">
        <v>42781</v>
      </c>
      <c r="H4685" s="1" t="s">
        <v>42782</v>
      </c>
      <c r="I4685" s="5" t="s">
        <v>42783</v>
      </c>
      <c r="J4685" s="7">
        <v>5</v>
      </c>
      <c r="K4685" s="7">
        <v>154.83840000000001</v>
      </c>
      <c r="L4685" s="5" t="s">
        <v>42784</v>
      </c>
      <c r="M4685" s="7">
        <v>4.83</v>
      </c>
      <c r="N4685" s="7">
        <v>1.7</v>
      </c>
      <c r="O4685" s="7">
        <v>2.34</v>
      </c>
      <c r="P4685" s="1" t="s">
        <v>42785</v>
      </c>
    </row>
    <row r="4686" spans="1:16" ht="49.75" x14ac:dyDescent="0.3">
      <c r="A4686" s="6" t="str">
        <f>HYPERLINK("https://www.ti.com/product/LP3876", "LP3876")</f>
        <v>LP3876</v>
      </c>
      <c r="B4686" s="5" t="s">
        <v>42786</v>
      </c>
      <c r="C4686" s="6" t="str">
        <f>HYPERLINK("https://www.ti.com/lit/gpn/LP3876", "PDF")</f>
        <v>PDF</v>
      </c>
      <c r="D4686" s="5" t="s">
        <v>42787</v>
      </c>
      <c r="E4686" s="5" t="s">
        <v>42788</v>
      </c>
      <c r="F4686" s="5"/>
      <c r="G4686" s="5" t="s">
        <v>42789</v>
      </c>
      <c r="H4686" s="1" t="s">
        <v>42790</v>
      </c>
      <c r="I4686" s="5" t="s">
        <v>42791</v>
      </c>
      <c r="J4686" s="7">
        <v>5</v>
      </c>
      <c r="K4686" s="7" t="s">
        <v>42792</v>
      </c>
      <c r="L4686" s="5" t="s">
        <v>42793</v>
      </c>
      <c r="M4686" s="7" t="s">
        <v>42794</v>
      </c>
      <c r="N4686" s="7">
        <v>1.7</v>
      </c>
      <c r="O4686" s="7">
        <v>2.14</v>
      </c>
      <c r="P4686" s="1" t="s">
        <v>42795</v>
      </c>
    </row>
    <row r="4687" spans="1:16" ht="33.4" x14ac:dyDescent="0.3">
      <c r="A4687" s="6" t="str">
        <f>HYPERLINK("https://www.ti.com/product/LM2705", "LM2705")</f>
        <v>LM2705</v>
      </c>
      <c r="B4687" s="5" t="s">
        <v>42796</v>
      </c>
      <c r="C4687" s="6" t="str">
        <f>HYPERLINK("https://www.ti.com/lit/gpn/LM2705", "PDF")</f>
        <v>PDF</v>
      </c>
      <c r="D4687" s="5" t="s">
        <v>42797</v>
      </c>
      <c r="E4687" s="5" t="s">
        <v>42798</v>
      </c>
      <c r="F4687" s="5" t="s">
        <v>42799</v>
      </c>
      <c r="G4687" s="5" t="s">
        <v>42800</v>
      </c>
      <c r="H4687" s="1" t="s">
        <v>42801</v>
      </c>
      <c r="I4687" s="5" t="s">
        <v>42802</v>
      </c>
      <c r="J4687" s="7">
        <v>5</v>
      </c>
      <c r="K4687" s="7">
        <v>8.1199999999999992</v>
      </c>
      <c r="L4687" s="5" t="s">
        <v>42803</v>
      </c>
      <c r="M4687" s="7">
        <v>1.45</v>
      </c>
      <c r="N4687" s="7">
        <v>0.95</v>
      </c>
      <c r="O4687" s="7">
        <v>0.85799999999999998</v>
      </c>
      <c r="P4687" s="1" t="s">
        <v>42804</v>
      </c>
    </row>
    <row r="4688" spans="1:16" ht="33.4" x14ac:dyDescent="0.3">
      <c r="A4688" s="6" t="str">
        <f>HYPERLINK("https://www.ti.com/product/TPS3307-18-Q1", "TPS3307-18-Q1")</f>
        <v>TPS3307-18-Q1</v>
      </c>
      <c r="B4688" s="5" t="s">
        <v>42805</v>
      </c>
      <c r="C4688" s="6" t="str">
        <f>HYPERLINK("https://www.ti.com/lit/gpn/TPS3307-18-Q1", "PDF")</f>
        <v>PDF</v>
      </c>
      <c r="D4688" s="5" t="s">
        <v>42806</v>
      </c>
      <c r="E4688" s="5" t="s">
        <v>42807</v>
      </c>
      <c r="F4688" s="5"/>
      <c r="G4688" s="5" t="s">
        <v>42808</v>
      </c>
      <c r="H4688" s="1" t="s">
        <v>42809</v>
      </c>
      <c r="I4688" s="5" t="s">
        <v>42810</v>
      </c>
      <c r="J4688" s="7">
        <v>8</v>
      </c>
      <c r="K4688" s="7">
        <v>29.4</v>
      </c>
      <c r="L4688" s="5" t="s">
        <v>42811</v>
      </c>
      <c r="M4688" s="7">
        <v>1.75</v>
      </c>
      <c r="N4688" s="7">
        <v>1.27</v>
      </c>
      <c r="O4688" s="7">
        <v>1.6160000000000001</v>
      </c>
      <c r="P4688" s="1" t="s">
        <v>42812</v>
      </c>
    </row>
    <row r="4689" spans="1:16" ht="33.4" x14ac:dyDescent="0.3">
      <c r="A4689" s="6" t="str">
        <f>HYPERLINK("https://www.ti.com/product/TPS795", "TPS795")</f>
        <v>TPS795</v>
      </c>
      <c r="B4689" s="5" t="s">
        <v>42813</v>
      </c>
      <c r="C4689" s="6" t="str">
        <f>HYPERLINK("https://www.ti.com/lit/gpn/TPS795", "PDF")</f>
        <v>PDF</v>
      </c>
      <c r="D4689" s="5" t="s">
        <v>42814</v>
      </c>
      <c r="E4689" s="5" t="s">
        <v>42815</v>
      </c>
      <c r="F4689" s="5"/>
      <c r="G4689" s="5" t="s">
        <v>42816</v>
      </c>
      <c r="H4689" s="1" t="s">
        <v>42817</v>
      </c>
      <c r="I4689" s="5" t="s">
        <v>42818</v>
      </c>
      <c r="J4689" s="7" t="s">
        <v>42819</v>
      </c>
      <c r="K4689" s="7" t="s">
        <v>42820</v>
      </c>
      <c r="L4689" s="5" t="s">
        <v>42821</v>
      </c>
      <c r="M4689" s="7" t="s">
        <v>42822</v>
      </c>
      <c r="N4689" s="7" t="s">
        <v>42823</v>
      </c>
      <c r="O4689" s="7">
        <v>0.67600000000000005</v>
      </c>
      <c r="P4689" s="1" t="s">
        <v>42824</v>
      </c>
    </row>
    <row r="4690" spans="1:16" ht="66.150000000000006" x14ac:dyDescent="0.3">
      <c r="A4690" s="6" t="str">
        <f>HYPERLINK("https://www.ti.com/product/TPS786", "TPS786")</f>
        <v>TPS786</v>
      </c>
      <c r="B4690" s="5" t="s">
        <v>42825</v>
      </c>
      <c r="C4690" s="6" t="str">
        <f>HYPERLINK("https://www.ti.com/lit/gpn/TPS786", "PDF")</f>
        <v>PDF</v>
      </c>
      <c r="D4690" s="5" t="s">
        <v>42826</v>
      </c>
      <c r="E4690" s="5" t="s">
        <v>42827</v>
      </c>
      <c r="F4690" s="5"/>
      <c r="G4690" s="5" t="s">
        <v>42828</v>
      </c>
      <c r="H4690" s="1" t="s">
        <v>42829</v>
      </c>
      <c r="I4690" s="5" t="s">
        <v>42830</v>
      </c>
      <c r="J4690" s="7" t="s">
        <v>42831</v>
      </c>
      <c r="K4690" s="7" t="s">
        <v>42832</v>
      </c>
      <c r="L4690" s="5" t="s">
        <v>42833</v>
      </c>
      <c r="M4690" s="7" t="s">
        <v>42834</v>
      </c>
      <c r="N4690" s="7" t="s">
        <v>42835</v>
      </c>
      <c r="O4690" s="7">
        <v>1.028</v>
      </c>
      <c r="P4690" s="1" t="s">
        <v>42836</v>
      </c>
    </row>
    <row r="4691" spans="1:16" ht="66.150000000000006" x14ac:dyDescent="0.3">
      <c r="A4691" s="6" t="str">
        <f>HYPERLINK("https://www.ti.com/product/TPS796", "TPS796")</f>
        <v>TPS796</v>
      </c>
      <c r="B4691" s="5" t="s">
        <v>42837</v>
      </c>
      <c r="C4691" s="6" t="str">
        <f>HYPERLINK("https://www.ti.com/lit/gpn/TPS796", "PDF")</f>
        <v>PDF</v>
      </c>
      <c r="D4691" s="5" t="s">
        <v>42838</v>
      </c>
      <c r="E4691" s="5" t="s">
        <v>42839</v>
      </c>
      <c r="F4691" s="5"/>
      <c r="G4691" s="5" t="s">
        <v>42840</v>
      </c>
      <c r="H4691" s="1" t="s">
        <v>42841</v>
      </c>
      <c r="I4691" s="5" t="s">
        <v>42842</v>
      </c>
      <c r="J4691" s="7" t="s">
        <v>42843</v>
      </c>
      <c r="K4691" s="7" t="s">
        <v>42844</v>
      </c>
      <c r="L4691" s="5" t="s">
        <v>42845</v>
      </c>
      <c r="M4691" s="7" t="s">
        <v>42846</v>
      </c>
      <c r="N4691" s="7" t="s">
        <v>42847</v>
      </c>
      <c r="O4691" s="7">
        <v>0.8</v>
      </c>
      <c r="P4691" s="1" t="s">
        <v>42848</v>
      </c>
    </row>
    <row r="4692" spans="1:16" ht="33.4" x14ac:dyDescent="0.3">
      <c r="A4692" s="6" t="str">
        <f>HYPERLINK("https://www.ti.com/product/LM5041", "LM5041")</f>
        <v>LM5041</v>
      </c>
      <c r="B4692" s="5" t="s">
        <v>42849</v>
      </c>
      <c r="C4692" s="6" t="str">
        <f>HYPERLINK("https://www.ti.com/lit/gpn/LM5041", "PDF")</f>
        <v>PDF</v>
      </c>
      <c r="D4692" s="5" t="s">
        <v>42850</v>
      </c>
      <c r="E4692" s="5" t="s">
        <v>42851</v>
      </c>
      <c r="F4692" s="5" t="s">
        <v>42852</v>
      </c>
      <c r="G4692" s="5" t="s">
        <v>42853</v>
      </c>
      <c r="H4692" s="1" t="s">
        <v>42854</v>
      </c>
      <c r="I4692" s="5" t="s">
        <v>42855</v>
      </c>
      <c r="J4692" s="7">
        <v>16</v>
      </c>
      <c r="K4692" s="7" t="s">
        <v>42856</v>
      </c>
      <c r="L4692" s="5" t="s">
        <v>42857</v>
      </c>
      <c r="M4692" s="7" t="s">
        <v>42858</v>
      </c>
      <c r="N4692" s="7" t="s">
        <v>42859</v>
      </c>
      <c r="O4692" s="7">
        <v>1.381</v>
      </c>
      <c r="P4692" s="1" t="s">
        <v>42860</v>
      </c>
    </row>
    <row r="4693" spans="1:16" ht="33.4" x14ac:dyDescent="0.3">
      <c r="A4693" s="6" t="str">
        <f>HYPERLINK("https://www.ti.com/product/UCC2800-Q1", "UCC2800-Q1")</f>
        <v>UCC2800-Q1</v>
      </c>
      <c r="B4693" s="5" t="s">
        <v>42861</v>
      </c>
      <c r="C4693" s="6" t="str">
        <f>HYPERLINK("https://www.ti.com/lit/gpn/UCC2800-Q1", "PDF")</f>
        <v>PDF</v>
      </c>
      <c r="D4693" s="5" t="s">
        <v>42862</v>
      </c>
      <c r="E4693" s="5" t="s">
        <v>42863</v>
      </c>
      <c r="F4693" s="5" t="s">
        <v>42864</v>
      </c>
      <c r="G4693" s="5" t="s">
        <v>42865</v>
      </c>
      <c r="H4693" s="1" t="s">
        <v>42866</v>
      </c>
      <c r="I4693" s="5" t="s">
        <v>42867</v>
      </c>
      <c r="J4693" s="7">
        <v>8</v>
      </c>
      <c r="K4693" s="7">
        <v>29.4</v>
      </c>
      <c r="L4693" s="5" t="s">
        <v>42868</v>
      </c>
      <c r="M4693" s="7">
        <v>1.75</v>
      </c>
      <c r="N4693" s="7">
        <v>1.27</v>
      </c>
      <c r="O4693" s="7">
        <v>1.472</v>
      </c>
      <c r="P4693" s="1" t="s">
        <v>42869</v>
      </c>
    </row>
    <row r="4694" spans="1:16" ht="33.4" x14ac:dyDescent="0.3">
      <c r="A4694" s="6" t="str">
        <f>HYPERLINK("https://www.ti.com/product/UCC2801-Q1", "UCC2801-Q1")</f>
        <v>UCC2801-Q1</v>
      </c>
      <c r="B4694" s="5" t="s">
        <v>42870</v>
      </c>
      <c r="C4694" s="6" t="str">
        <f>HYPERLINK("https://www.ti.com/lit/gpn/UCC2801-Q1", "PDF")</f>
        <v>PDF</v>
      </c>
      <c r="D4694" s="5" t="s">
        <v>42871</v>
      </c>
      <c r="E4694" s="5" t="s">
        <v>42872</v>
      </c>
      <c r="F4694" s="5" t="s">
        <v>42873</v>
      </c>
      <c r="G4694" s="5" t="s">
        <v>42874</v>
      </c>
      <c r="H4694" s="1" t="s">
        <v>42875</v>
      </c>
      <c r="I4694" s="5" t="s">
        <v>42876</v>
      </c>
      <c r="J4694" s="7">
        <v>8</v>
      </c>
      <c r="K4694" s="7">
        <v>29.4</v>
      </c>
      <c r="L4694" s="5" t="s">
        <v>42877</v>
      </c>
      <c r="M4694" s="7">
        <v>1.75</v>
      </c>
      <c r="N4694" s="7">
        <v>1.27</v>
      </c>
      <c r="O4694" s="7">
        <v>1.472</v>
      </c>
      <c r="P4694" s="1" t="s">
        <v>42878</v>
      </c>
    </row>
    <row r="4695" spans="1:16" ht="33.4" x14ac:dyDescent="0.3">
      <c r="A4695" s="6" t="str">
        <f>HYPERLINK("https://www.ti.com/product/UCC2802-Q1", "UCC2802-Q1")</f>
        <v>UCC2802-Q1</v>
      </c>
      <c r="B4695" s="5" t="s">
        <v>42879</v>
      </c>
      <c r="C4695" s="6" t="str">
        <f>HYPERLINK("https://www.ti.com/lit/gpn/UCC2802-Q1", "PDF")</f>
        <v>PDF</v>
      </c>
      <c r="D4695" s="5" t="s">
        <v>42880</v>
      </c>
      <c r="E4695" s="5" t="s">
        <v>42881</v>
      </c>
      <c r="F4695" s="5" t="s">
        <v>42882</v>
      </c>
      <c r="G4695" s="5" t="s">
        <v>42883</v>
      </c>
      <c r="H4695" s="1" t="s">
        <v>42884</v>
      </c>
      <c r="I4695" s="5" t="s">
        <v>42885</v>
      </c>
      <c r="J4695" s="7">
        <v>8</v>
      </c>
      <c r="K4695" s="7">
        <v>29.4</v>
      </c>
      <c r="L4695" s="5" t="s">
        <v>42886</v>
      </c>
      <c r="M4695" s="7">
        <v>1.75</v>
      </c>
      <c r="N4695" s="7">
        <v>1.27</v>
      </c>
      <c r="O4695" s="7">
        <v>1.472</v>
      </c>
      <c r="P4695" s="1" t="s">
        <v>42887</v>
      </c>
    </row>
    <row r="4696" spans="1:16" ht="33.4" x14ac:dyDescent="0.3">
      <c r="A4696" s="6" t="str">
        <f>HYPERLINK("https://www.ti.com/product/UCC2803-Q1", "UCC2803-Q1")</f>
        <v>UCC2803-Q1</v>
      </c>
      <c r="B4696" s="5" t="s">
        <v>42888</v>
      </c>
      <c r="C4696" s="6" t="str">
        <f>HYPERLINK("https://www.ti.com/lit/gpn/UCC2803-Q1", "PDF")</f>
        <v>PDF</v>
      </c>
      <c r="D4696" s="5" t="s">
        <v>42889</v>
      </c>
      <c r="E4696" s="5" t="s">
        <v>42890</v>
      </c>
      <c r="F4696" s="5" t="s">
        <v>42891</v>
      </c>
      <c r="G4696" s="5" t="s">
        <v>42892</v>
      </c>
      <c r="H4696" s="1" t="s">
        <v>42893</v>
      </c>
      <c r="I4696" s="5" t="s">
        <v>42894</v>
      </c>
      <c r="J4696" s="7">
        <v>8</v>
      </c>
      <c r="K4696" s="7">
        <v>29.4</v>
      </c>
      <c r="L4696" s="5" t="s">
        <v>42895</v>
      </c>
      <c r="M4696" s="7">
        <v>1.75</v>
      </c>
      <c r="N4696" s="7">
        <v>1.27</v>
      </c>
      <c r="O4696" s="7">
        <v>1.472</v>
      </c>
      <c r="P4696" s="1" t="s">
        <v>42896</v>
      </c>
    </row>
    <row r="4697" spans="1:16" ht="33.4" x14ac:dyDescent="0.3">
      <c r="A4697" s="6" t="str">
        <f>HYPERLINK("https://www.ti.com/product/UCC2804-Q1", "UCC2804-Q1")</f>
        <v>UCC2804-Q1</v>
      </c>
      <c r="B4697" s="5" t="s">
        <v>42897</v>
      </c>
      <c r="C4697" s="6" t="str">
        <f>HYPERLINK("https://www.ti.com/lit/gpn/UCC2804-Q1", "PDF")</f>
        <v>PDF</v>
      </c>
      <c r="D4697" s="5" t="s">
        <v>42898</v>
      </c>
      <c r="E4697" s="5" t="s">
        <v>42899</v>
      </c>
      <c r="F4697" s="5" t="s">
        <v>42900</v>
      </c>
      <c r="G4697" s="5" t="s">
        <v>42901</v>
      </c>
      <c r="H4697" s="1" t="s">
        <v>42902</v>
      </c>
      <c r="I4697" s="5" t="s">
        <v>42903</v>
      </c>
      <c r="J4697" s="7">
        <v>8</v>
      </c>
      <c r="K4697" s="7">
        <v>29.4</v>
      </c>
      <c r="L4697" s="5" t="s">
        <v>42904</v>
      </c>
      <c r="M4697" s="7">
        <v>1.75</v>
      </c>
      <c r="N4697" s="7">
        <v>1.27</v>
      </c>
      <c r="O4697" s="7">
        <v>1.472</v>
      </c>
      <c r="P4697" s="1" t="s">
        <v>42905</v>
      </c>
    </row>
    <row r="4698" spans="1:16" ht="33.4" x14ac:dyDescent="0.3">
      <c r="A4698" s="6" t="str">
        <f>HYPERLINK("https://www.ti.com/product/UCC2805-Q1", "UCC2805-Q1")</f>
        <v>UCC2805-Q1</v>
      </c>
      <c r="B4698" s="5" t="s">
        <v>42906</v>
      </c>
      <c r="C4698" s="6" t="str">
        <f>HYPERLINK("https://www.ti.com/lit/gpn/UCC2805-Q1", "PDF")</f>
        <v>PDF</v>
      </c>
      <c r="D4698" s="5" t="s">
        <v>42907</v>
      </c>
      <c r="E4698" s="5" t="s">
        <v>42908</v>
      </c>
      <c r="F4698" s="5" t="s">
        <v>42909</v>
      </c>
      <c r="G4698" s="5" t="s">
        <v>42910</v>
      </c>
      <c r="H4698" s="1" t="s">
        <v>42911</v>
      </c>
      <c r="I4698" s="5" t="s">
        <v>42912</v>
      </c>
      <c r="J4698" s="7">
        <v>8</v>
      </c>
      <c r="K4698" s="7">
        <v>29.4</v>
      </c>
      <c r="L4698" s="5" t="s">
        <v>42913</v>
      </c>
      <c r="M4698" s="7">
        <v>1.75</v>
      </c>
      <c r="N4698" s="7">
        <v>1.27</v>
      </c>
      <c r="O4698" s="7">
        <v>1.472</v>
      </c>
      <c r="P4698" s="1" t="s">
        <v>42914</v>
      </c>
    </row>
    <row r="4699" spans="1:16" ht="49.75" x14ac:dyDescent="0.3">
      <c r="A4699" s="6" t="str">
        <f>HYPERLINK("https://www.ti.com/product/UCC2803-EP", "UCC2803-EP")</f>
        <v>UCC2803-EP</v>
      </c>
      <c r="B4699" s="5" t="s">
        <v>42915</v>
      </c>
      <c r="C4699" s="6" t="str">
        <f>HYPERLINK("https://www.ti.com/lit/gpn/UCC2803-EP", "PDF")</f>
        <v>PDF</v>
      </c>
      <c r="D4699" s="5" t="s">
        <v>42916</v>
      </c>
      <c r="E4699" s="5" t="s">
        <v>42917</v>
      </c>
      <c r="F4699" s="5" t="s">
        <v>42918</v>
      </c>
      <c r="G4699" s="5" t="s">
        <v>42919</v>
      </c>
      <c r="H4699" s="1" t="s">
        <v>42920</v>
      </c>
      <c r="I4699" s="5" t="s">
        <v>42921</v>
      </c>
      <c r="J4699" s="7">
        <v>8</v>
      </c>
      <c r="K4699" s="7">
        <v>29.4</v>
      </c>
      <c r="L4699" s="5" t="s">
        <v>42922</v>
      </c>
      <c r="M4699" s="7">
        <v>1.75</v>
      </c>
      <c r="N4699" s="7">
        <v>1.27</v>
      </c>
      <c r="O4699" s="7">
        <v>4.1890000000000001</v>
      </c>
      <c r="P4699" s="1" t="s">
        <v>42923</v>
      </c>
    </row>
    <row r="4700" spans="1:16" ht="33.4" x14ac:dyDescent="0.3">
      <c r="A4700" s="6" t="str">
        <f>HYPERLINK("https://www.ti.com/product/TPS3809-Q1", "TPS3809-Q1")</f>
        <v>TPS3809-Q1</v>
      </c>
      <c r="B4700" s="5" t="s">
        <v>42924</v>
      </c>
      <c r="C4700" s="6" t="str">
        <f>HYPERLINK("https://www.ti.com/lit/gpn/TPS3809-Q1", "PDF")</f>
        <v>PDF</v>
      </c>
      <c r="D4700" s="5" t="s">
        <v>42925</v>
      </c>
      <c r="E4700" s="5" t="s">
        <v>42926</v>
      </c>
      <c r="F4700" s="5"/>
      <c r="G4700" s="5" t="s">
        <v>42927</v>
      </c>
      <c r="H4700" s="1" t="s">
        <v>42928</v>
      </c>
      <c r="I4700" s="5" t="s">
        <v>42929</v>
      </c>
      <c r="J4700" s="7">
        <v>3</v>
      </c>
      <c r="K4700" s="7">
        <v>8.1199999999999992</v>
      </c>
      <c r="L4700" s="5" t="s">
        <v>42930</v>
      </c>
      <c r="M4700" s="7">
        <v>1.45</v>
      </c>
      <c r="N4700" s="7">
        <v>0.95</v>
      </c>
      <c r="O4700" s="7">
        <v>0.33400000000000002</v>
      </c>
      <c r="P4700" s="1" t="s">
        <v>42931</v>
      </c>
    </row>
    <row r="4701" spans="1:16" ht="33.4" x14ac:dyDescent="0.3">
      <c r="A4701" s="6" t="str">
        <f>HYPERLINK("https://www.ti.com/product/TPS3820-Q1", "TPS3820-Q1")</f>
        <v>TPS3820-Q1</v>
      </c>
      <c r="B4701" s="5" t="s">
        <v>42932</v>
      </c>
      <c r="C4701" s="6" t="str">
        <f>HYPERLINK("https://www.ti.com/lit/gpn/TPS3820-Q1", "PDF")</f>
        <v>PDF</v>
      </c>
      <c r="D4701" s="5" t="s">
        <v>42933</v>
      </c>
      <c r="E4701" s="5" t="s">
        <v>42934</v>
      </c>
      <c r="F4701" s="5"/>
      <c r="G4701" s="5" t="s">
        <v>42935</v>
      </c>
      <c r="H4701" s="1" t="s">
        <v>42936</v>
      </c>
      <c r="I4701" s="5" t="s">
        <v>42937</v>
      </c>
      <c r="J4701" s="7">
        <v>5</v>
      </c>
      <c r="K4701" s="7">
        <v>8.1199999999999992</v>
      </c>
      <c r="L4701" s="5" t="s">
        <v>42938</v>
      </c>
      <c r="M4701" s="7">
        <v>1.45</v>
      </c>
      <c r="N4701" s="7">
        <v>0.95</v>
      </c>
      <c r="O4701" s="7">
        <v>0.48599999999999999</v>
      </c>
      <c r="P4701" s="1" t="s">
        <v>42939</v>
      </c>
    </row>
    <row r="4702" spans="1:16" ht="33.4" x14ac:dyDescent="0.3">
      <c r="A4702" s="6" t="str">
        <f>HYPERLINK("https://www.ti.com/product/TPS3823-Q1", "TPS3823-Q1")</f>
        <v>TPS3823-Q1</v>
      </c>
      <c r="B4702" s="5" t="s">
        <v>42940</v>
      </c>
      <c r="C4702" s="6" t="str">
        <f>HYPERLINK("https://www.ti.com/lit/gpn/TPS3823-Q1", "PDF")</f>
        <v>PDF</v>
      </c>
      <c r="D4702" s="5" t="s">
        <v>42941</v>
      </c>
      <c r="E4702" s="5" t="s">
        <v>42942</v>
      </c>
      <c r="F4702" s="5"/>
      <c r="G4702" s="5" t="s">
        <v>42943</v>
      </c>
      <c r="H4702" s="1" t="s">
        <v>42944</v>
      </c>
      <c r="I4702" s="5" t="s">
        <v>42945</v>
      </c>
      <c r="J4702" s="7">
        <v>5</v>
      </c>
      <c r="K4702" s="7">
        <v>8.1199999999999992</v>
      </c>
      <c r="L4702" s="5" t="s">
        <v>42946</v>
      </c>
      <c r="M4702" s="7">
        <v>1.45</v>
      </c>
      <c r="N4702" s="7">
        <v>0.95</v>
      </c>
      <c r="O4702" s="7">
        <v>0.47799999999999998</v>
      </c>
      <c r="P4702" s="1" t="s">
        <v>42947</v>
      </c>
    </row>
    <row r="4703" spans="1:16" ht="33.4" x14ac:dyDescent="0.3">
      <c r="A4703" s="6" t="str">
        <f>HYPERLINK("https://www.ti.com/product/TPS3824-Q1", "TPS3824-Q1")</f>
        <v>TPS3824-Q1</v>
      </c>
      <c r="B4703" s="5" t="s">
        <v>42948</v>
      </c>
      <c r="C4703" s="6" t="str">
        <f>HYPERLINK("https://www.ti.com/lit/gpn/TPS3824-Q1", "PDF")</f>
        <v>PDF</v>
      </c>
      <c r="D4703" s="5" t="s">
        <v>42949</v>
      </c>
      <c r="E4703" s="5" t="s">
        <v>42950</v>
      </c>
      <c r="F4703" s="5"/>
      <c r="G4703" s="5" t="s">
        <v>42951</v>
      </c>
      <c r="H4703" s="1" t="s">
        <v>42952</v>
      </c>
      <c r="I4703" s="5" t="s">
        <v>42953</v>
      </c>
      <c r="J4703" s="7">
        <v>5</v>
      </c>
      <c r="K4703" s="7">
        <v>8.1199999999999992</v>
      </c>
      <c r="L4703" s="5" t="s">
        <v>42954</v>
      </c>
      <c r="M4703" s="7">
        <v>1.45</v>
      </c>
      <c r="N4703" s="7">
        <v>0.95</v>
      </c>
      <c r="O4703" s="7">
        <v>0.51800000000000002</v>
      </c>
      <c r="P4703" s="1" t="s">
        <v>42955</v>
      </c>
    </row>
    <row r="4704" spans="1:16" ht="17.05" x14ac:dyDescent="0.3">
      <c r="A4704" s="6" t="str">
        <f>HYPERLINK("https://www.ti.com/product/TPS3825-Q1", "TPS3825-Q1")</f>
        <v>TPS3825-Q1</v>
      </c>
      <c r="B4704" s="5" t="s">
        <v>42956</v>
      </c>
      <c r="C4704" s="6" t="str">
        <f>HYPERLINK("https://www.ti.com/lit/gpn/TPS3825-Q1", "PDF")</f>
        <v>PDF</v>
      </c>
      <c r="D4704" s="5" t="s">
        <v>42957</v>
      </c>
      <c r="E4704" s="5" t="s">
        <v>42958</v>
      </c>
      <c r="F4704" s="5"/>
      <c r="G4704" s="5" t="s">
        <v>42959</v>
      </c>
      <c r="H4704" s="1" t="s">
        <v>42960</v>
      </c>
      <c r="I4704" s="5" t="s">
        <v>42961</v>
      </c>
      <c r="J4704" s="7">
        <v>5</v>
      </c>
      <c r="K4704" s="7">
        <v>8.1199999999999992</v>
      </c>
      <c r="L4704" s="5" t="s">
        <v>42962</v>
      </c>
      <c r="M4704" s="7">
        <v>1.45</v>
      </c>
      <c r="N4704" s="7">
        <v>0.95</v>
      </c>
      <c r="O4704" s="7">
        <v>0.51800000000000002</v>
      </c>
      <c r="P4704" s="1" t="s">
        <v>42963</v>
      </c>
    </row>
    <row r="4705" spans="1:16" ht="17.05" x14ac:dyDescent="0.3">
      <c r="A4705" s="6" t="str">
        <f>HYPERLINK("https://www.ti.com/product/TPS3828-Q1", "TPS3828-Q1")</f>
        <v>TPS3828-Q1</v>
      </c>
      <c r="B4705" s="5" t="s">
        <v>42964</v>
      </c>
      <c r="C4705" s="6" t="str">
        <f>HYPERLINK("https://www.ti.com/lit/gpn/TPS3828-Q1", "PDF")</f>
        <v>PDF</v>
      </c>
      <c r="D4705" s="5" t="s">
        <v>42965</v>
      </c>
      <c r="E4705" s="5" t="s">
        <v>42966</v>
      </c>
      <c r="F4705" s="5"/>
      <c r="G4705" s="5" t="s">
        <v>42967</v>
      </c>
      <c r="H4705" s="1" t="s">
        <v>42968</v>
      </c>
      <c r="I4705" s="5" t="s">
        <v>42969</v>
      </c>
      <c r="J4705" s="7">
        <v>5</v>
      </c>
      <c r="K4705" s="7">
        <v>8.1199999999999992</v>
      </c>
      <c r="L4705" s="5" t="s">
        <v>42970</v>
      </c>
      <c r="M4705" s="7">
        <v>1.45</v>
      </c>
      <c r="N4705" s="7">
        <v>0.95</v>
      </c>
      <c r="O4705" s="7">
        <v>0.56399999999999995</v>
      </c>
      <c r="P4705" s="1" t="s">
        <v>42971</v>
      </c>
    </row>
    <row r="4706" spans="1:16" ht="33.4" x14ac:dyDescent="0.3">
      <c r="A4706" s="6" t="str">
        <f>HYPERLINK("https://www.ti.com/product/TPS3836-Q1", "TPS3836-Q1")</f>
        <v>TPS3836-Q1</v>
      </c>
      <c r="B4706" s="5" t="s">
        <v>42972</v>
      </c>
      <c r="C4706" s="6" t="str">
        <f>HYPERLINK("https://www.ti.com/lit/gpn/TPS3836-Q1", "PDF")</f>
        <v>PDF</v>
      </c>
      <c r="D4706" s="5" t="s">
        <v>42973</v>
      </c>
      <c r="E4706" s="5" t="s">
        <v>42974</v>
      </c>
      <c r="F4706" s="5"/>
      <c r="G4706" s="5" t="s">
        <v>42975</v>
      </c>
      <c r="H4706" s="1" t="s">
        <v>42976</v>
      </c>
      <c r="I4706" s="5" t="s">
        <v>42977</v>
      </c>
      <c r="J4706" s="7">
        <v>5</v>
      </c>
      <c r="K4706" s="7">
        <v>8.1199999999999992</v>
      </c>
      <c r="L4706" s="5" t="s">
        <v>42978</v>
      </c>
      <c r="M4706" s="7">
        <v>1.45</v>
      </c>
      <c r="N4706" s="7">
        <v>0.95</v>
      </c>
      <c r="O4706" s="7">
        <v>1.1060000000000001</v>
      </c>
      <c r="P4706" s="1" t="s">
        <v>42979</v>
      </c>
    </row>
    <row r="4707" spans="1:16" ht="33.4" x14ac:dyDescent="0.3">
      <c r="A4707" s="6" t="str">
        <f>HYPERLINK("https://www.ti.com/product/TPS3838-Q1", "TPS3838-Q1")</f>
        <v>TPS3838-Q1</v>
      </c>
      <c r="B4707" s="5" t="s">
        <v>42980</v>
      </c>
      <c r="C4707" s="6" t="str">
        <f>HYPERLINK("https://www.ti.com/lit/gpn/TPS3838-Q1", "PDF")</f>
        <v>PDF</v>
      </c>
      <c r="D4707" s="5" t="s">
        <v>42981</v>
      </c>
      <c r="E4707" s="5" t="s">
        <v>42982</v>
      </c>
      <c r="F4707" s="5"/>
      <c r="G4707" s="5" t="s">
        <v>42983</v>
      </c>
      <c r="H4707" s="1" t="s">
        <v>42984</v>
      </c>
      <c r="I4707" s="5" t="s">
        <v>42985</v>
      </c>
      <c r="J4707" s="7">
        <v>5</v>
      </c>
      <c r="K4707" s="7">
        <v>8.1199999999999992</v>
      </c>
      <c r="L4707" s="5" t="s">
        <v>42986</v>
      </c>
      <c r="M4707" s="7">
        <v>1.45</v>
      </c>
      <c r="N4707" s="7">
        <v>0.95</v>
      </c>
      <c r="O4707" s="7">
        <v>1.1060000000000001</v>
      </c>
      <c r="P4707" s="1" t="s">
        <v>42987</v>
      </c>
    </row>
    <row r="4708" spans="1:16" ht="49.75" x14ac:dyDescent="0.3">
      <c r="A4708" s="6" t="str">
        <f>HYPERLINK("https://www.ti.com/product/UCC27321", "UCC27321")</f>
        <v>UCC27321</v>
      </c>
      <c r="B4708" s="5" t="s">
        <v>42988</v>
      </c>
      <c r="C4708" s="6" t="str">
        <f>HYPERLINK("https://www.ti.com/lit/gpn/UCC27321", "PDF")</f>
        <v>PDF</v>
      </c>
      <c r="D4708" s="5" t="s">
        <v>42989</v>
      </c>
      <c r="E4708" s="5" t="s">
        <v>42990</v>
      </c>
      <c r="F4708" s="5"/>
      <c r="G4708" s="5" t="s">
        <v>42991</v>
      </c>
      <c r="H4708" s="1" t="s">
        <v>42992</v>
      </c>
      <c r="I4708" s="5" t="s">
        <v>42993</v>
      </c>
      <c r="J4708" s="7">
        <v>8</v>
      </c>
      <c r="K4708" s="7" t="s">
        <v>42994</v>
      </c>
      <c r="L4708" s="5" t="s">
        <v>42995</v>
      </c>
      <c r="M4708" s="7" t="s">
        <v>42996</v>
      </c>
      <c r="N4708" s="7" t="s">
        <v>42997</v>
      </c>
      <c r="O4708" s="7">
        <v>0.55000000000000004</v>
      </c>
      <c r="P4708" s="1" t="s">
        <v>42998</v>
      </c>
    </row>
    <row r="4709" spans="1:16" ht="49.75" x14ac:dyDescent="0.3">
      <c r="A4709" s="6" t="str">
        <f>HYPERLINK("https://www.ti.com/product/UCC27322", "UCC27322")</f>
        <v>UCC27322</v>
      </c>
      <c r="B4709" s="5" t="s">
        <v>42999</v>
      </c>
      <c r="C4709" s="6" t="str">
        <f>HYPERLINK("https://www.ti.com/lit/gpn/UCC27322", "PDF")</f>
        <v>PDF</v>
      </c>
      <c r="D4709" s="5" t="s">
        <v>43000</v>
      </c>
      <c r="E4709" s="5" t="s">
        <v>43001</v>
      </c>
      <c r="F4709" s="5"/>
      <c r="G4709" s="5" t="s">
        <v>43002</v>
      </c>
      <c r="H4709" s="1" t="s">
        <v>43003</v>
      </c>
      <c r="I4709" s="5" t="s">
        <v>43004</v>
      </c>
      <c r="J4709" s="7">
        <v>8</v>
      </c>
      <c r="K4709" s="7" t="s">
        <v>43005</v>
      </c>
      <c r="L4709" s="5" t="s">
        <v>43006</v>
      </c>
      <c r="M4709" s="7" t="s">
        <v>43007</v>
      </c>
      <c r="N4709" s="7" t="s">
        <v>43008</v>
      </c>
      <c r="O4709" s="7">
        <v>0.55000000000000004</v>
      </c>
      <c r="P4709" s="1" t="s">
        <v>43009</v>
      </c>
    </row>
    <row r="4710" spans="1:16" ht="49.75" x14ac:dyDescent="0.3">
      <c r="A4710" s="6" t="str">
        <f>HYPERLINK("https://www.ti.com/product/UCC37321", "UCC37321")</f>
        <v>UCC37321</v>
      </c>
      <c r="B4710" s="5" t="s">
        <v>43010</v>
      </c>
      <c r="C4710" s="6" t="str">
        <f>HYPERLINK("https://www.ti.com/lit/gpn/UCC37321", "PDF")</f>
        <v>PDF</v>
      </c>
      <c r="D4710" s="5" t="s">
        <v>43011</v>
      </c>
      <c r="E4710" s="5" t="s">
        <v>43012</v>
      </c>
      <c r="F4710" s="5"/>
      <c r="G4710" s="5" t="s">
        <v>43013</v>
      </c>
      <c r="H4710" s="1" t="s">
        <v>43014</v>
      </c>
      <c r="I4710" s="5" t="s">
        <v>43015</v>
      </c>
      <c r="J4710" s="7">
        <v>8</v>
      </c>
      <c r="K4710" s="7" t="s">
        <v>43016</v>
      </c>
      <c r="L4710" s="5" t="s">
        <v>43017</v>
      </c>
      <c r="M4710" s="7" t="s">
        <v>43018</v>
      </c>
      <c r="N4710" s="7" t="s">
        <v>43019</v>
      </c>
      <c r="O4710" s="7">
        <v>0.55000000000000004</v>
      </c>
      <c r="P4710" s="1" t="s">
        <v>43020</v>
      </c>
    </row>
    <row r="4711" spans="1:16" ht="49.75" x14ac:dyDescent="0.3">
      <c r="A4711" s="6" t="str">
        <f>HYPERLINK("https://www.ti.com/product/UCC37322", "UCC37322")</f>
        <v>UCC37322</v>
      </c>
      <c r="B4711" s="5" t="s">
        <v>43021</v>
      </c>
      <c r="C4711" s="6" t="str">
        <f>HYPERLINK("https://www.ti.com/lit/gpn/UCC37322", "PDF")</f>
        <v>PDF</v>
      </c>
      <c r="D4711" s="5" t="s">
        <v>43022</v>
      </c>
      <c r="E4711" s="5" t="s">
        <v>43023</v>
      </c>
      <c r="F4711" s="5"/>
      <c r="G4711" s="5" t="s">
        <v>43024</v>
      </c>
      <c r="H4711" s="1" t="s">
        <v>43025</v>
      </c>
      <c r="I4711" s="5" t="s">
        <v>43026</v>
      </c>
      <c r="J4711" s="7">
        <v>8</v>
      </c>
      <c r="K4711" s="7" t="s">
        <v>43027</v>
      </c>
      <c r="L4711" s="5" t="s">
        <v>43028</v>
      </c>
      <c r="M4711" s="7" t="s">
        <v>43029</v>
      </c>
      <c r="N4711" s="7" t="s">
        <v>43030</v>
      </c>
      <c r="O4711" s="7">
        <v>0.55000000000000004</v>
      </c>
      <c r="P4711" s="1" t="s">
        <v>43031</v>
      </c>
    </row>
    <row r="4712" spans="1:16" ht="17.05" x14ac:dyDescent="0.3">
      <c r="A4712" s="6" t="str">
        <f>HYPERLINK("https://www.ti.com/product/LM3501", "LM3501")</f>
        <v>LM3501</v>
      </c>
      <c r="B4712" s="5" t="s">
        <v>43032</v>
      </c>
      <c r="C4712" s="6" t="str">
        <f>HYPERLINK("https://www.ti.com/lit/gpn/LM3501", "PDF")</f>
        <v>PDF</v>
      </c>
      <c r="D4712" s="5" t="s">
        <v>43033</v>
      </c>
      <c r="E4712" s="5" t="s">
        <v>43034</v>
      </c>
      <c r="F4712" s="5" t="s">
        <v>43035</v>
      </c>
      <c r="G4712" s="5" t="s">
        <v>43036</v>
      </c>
      <c r="H4712" s="1" t="s">
        <v>43037</v>
      </c>
      <c r="I4712" s="5" t="s">
        <v>43038</v>
      </c>
      <c r="J4712" s="7">
        <v>8</v>
      </c>
      <c r="K4712" s="7">
        <v>3.0625</v>
      </c>
      <c r="L4712" s="5" t="s">
        <v>43039</v>
      </c>
      <c r="M4712" s="7">
        <v>0.67500000000000004</v>
      </c>
      <c r="N4712" s="7">
        <v>0.5</v>
      </c>
      <c r="O4712" s="7">
        <v>1.222</v>
      </c>
      <c r="P4712" s="1" t="s">
        <v>43040</v>
      </c>
    </row>
    <row r="4713" spans="1:16" ht="33.4" x14ac:dyDescent="0.3">
      <c r="A4713" s="6" t="str">
        <f>HYPERLINK("https://www.ti.com/product/TPS794", "TPS794")</f>
        <v>TPS794</v>
      </c>
      <c r="B4713" s="5" t="s">
        <v>43041</v>
      </c>
      <c r="C4713" s="6" t="str">
        <f>HYPERLINK("https://www.ti.com/lit/gpn/TPS794", "PDF")</f>
        <v>PDF</v>
      </c>
      <c r="D4713" s="5" t="s">
        <v>43042</v>
      </c>
      <c r="E4713" s="5" t="s">
        <v>43043</v>
      </c>
      <c r="F4713" s="5"/>
      <c r="G4713" s="5" t="s">
        <v>43044</v>
      </c>
      <c r="H4713" s="1" t="s">
        <v>43045</v>
      </c>
      <c r="I4713" s="5" t="s">
        <v>43046</v>
      </c>
      <c r="J4713" s="7" t="s">
        <v>43047</v>
      </c>
      <c r="K4713" s="7" t="s">
        <v>43048</v>
      </c>
      <c r="L4713" s="5" t="s">
        <v>43049</v>
      </c>
      <c r="M4713" s="7" t="s">
        <v>43050</v>
      </c>
      <c r="N4713" s="7" t="s">
        <v>43051</v>
      </c>
      <c r="O4713" s="7">
        <v>0.82499999999999996</v>
      </c>
      <c r="P4713" s="1" t="s">
        <v>43052</v>
      </c>
    </row>
    <row r="4714" spans="1:16" ht="33.4" x14ac:dyDescent="0.3">
      <c r="A4714" s="6" t="str">
        <f>HYPERLINK("https://www.ti.com/product/REF2912", "REF2912")</f>
        <v>REF2912</v>
      </c>
      <c r="B4714" s="5" t="s">
        <v>43053</v>
      </c>
      <c r="C4714" s="6" t="str">
        <f>HYPERLINK("https://www.ti.com/lit/gpn/REF2912", "PDF")</f>
        <v>PDF</v>
      </c>
      <c r="D4714" s="5" t="s">
        <v>43054</v>
      </c>
      <c r="E4714" s="5" t="s">
        <v>43055</v>
      </c>
      <c r="F4714" s="5"/>
      <c r="G4714" s="5" t="s">
        <v>43056</v>
      </c>
      <c r="H4714" s="1" t="s">
        <v>43057</v>
      </c>
      <c r="I4714" s="5" t="s">
        <v>43058</v>
      </c>
      <c r="J4714" s="7">
        <v>3</v>
      </c>
      <c r="K4714" s="7">
        <v>6.9203999999999999</v>
      </c>
      <c r="L4714" s="5" t="s">
        <v>43059</v>
      </c>
      <c r="M4714" s="7">
        <v>1.1200000000000001</v>
      </c>
      <c r="N4714" s="7">
        <v>0.96</v>
      </c>
      <c r="O4714" s="7">
        <v>0.36299999999999999</v>
      </c>
      <c r="P4714" s="1" t="s">
        <v>43060</v>
      </c>
    </row>
    <row r="4715" spans="1:16" ht="33.4" x14ac:dyDescent="0.3">
      <c r="A4715" s="6" t="str">
        <f>HYPERLINK("https://www.ti.com/product/REF2920", "REF2920")</f>
        <v>REF2920</v>
      </c>
      <c r="B4715" s="5" t="s">
        <v>43061</v>
      </c>
      <c r="C4715" s="6" t="str">
        <f>HYPERLINK("https://www.ti.com/lit/gpn/REF2920", "PDF")</f>
        <v>PDF</v>
      </c>
      <c r="D4715" s="5" t="s">
        <v>43062</v>
      </c>
      <c r="E4715" s="5" t="s">
        <v>43063</v>
      </c>
      <c r="F4715" s="5"/>
      <c r="G4715" s="5" t="s">
        <v>43064</v>
      </c>
      <c r="H4715" s="1" t="s">
        <v>43065</v>
      </c>
      <c r="I4715" s="5" t="s">
        <v>43066</v>
      </c>
      <c r="J4715" s="7">
        <v>3</v>
      </c>
      <c r="K4715" s="7">
        <v>6.9203999999999999</v>
      </c>
      <c r="L4715" s="5" t="s">
        <v>43067</v>
      </c>
      <c r="M4715" s="7">
        <v>1.1200000000000001</v>
      </c>
      <c r="N4715" s="7">
        <v>0.96</v>
      </c>
      <c r="O4715" s="7">
        <v>0.29899999999999999</v>
      </c>
      <c r="P4715" s="1" t="s">
        <v>43068</v>
      </c>
    </row>
    <row r="4716" spans="1:16" ht="33.4" x14ac:dyDescent="0.3">
      <c r="A4716" s="6" t="str">
        <f>HYPERLINK("https://www.ti.com/product/REF2925", "REF2925")</f>
        <v>REF2925</v>
      </c>
      <c r="B4716" s="5" t="s">
        <v>43069</v>
      </c>
      <c r="C4716" s="6" t="str">
        <f>HYPERLINK("https://www.ti.com/lit/gpn/REF2925", "PDF")</f>
        <v>PDF</v>
      </c>
      <c r="D4716" s="5" t="s">
        <v>43070</v>
      </c>
      <c r="E4716" s="5" t="s">
        <v>43071</v>
      </c>
      <c r="F4716" s="5"/>
      <c r="G4716" s="5" t="s">
        <v>43072</v>
      </c>
      <c r="H4716" s="1" t="s">
        <v>43073</v>
      </c>
      <c r="I4716" s="5" t="s">
        <v>43074</v>
      </c>
      <c r="J4716" s="7">
        <v>3</v>
      </c>
      <c r="K4716" s="7">
        <v>6.9203999999999999</v>
      </c>
      <c r="L4716" s="5" t="s">
        <v>43075</v>
      </c>
      <c r="M4716" s="7">
        <v>1.1200000000000001</v>
      </c>
      <c r="N4716" s="7">
        <v>0.96</v>
      </c>
      <c r="O4716" s="7">
        <v>0.39</v>
      </c>
      <c r="P4716" s="1" t="s">
        <v>43076</v>
      </c>
    </row>
    <row r="4717" spans="1:16" ht="33.4" x14ac:dyDescent="0.3">
      <c r="A4717" s="6" t="str">
        <f>HYPERLINK("https://www.ti.com/product/REF2930", "REF2930")</f>
        <v>REF2930</v>
      </c>
      <c r="B4717" s="5" t="s">
        <v>43077</v>
      </c>
      <c r="C4717" s="6" t="str">
        <f>HYPERLINK("https://www.ti.com/lit/gpn/REF2930", "PDF")</f>
        <v>PDF</v>
      </c>
      <c r="D4717" s="5" t="s">
        <v>43078</v>
      </c>
      <c r="E4717" s="5" t="s">
        <v>43079</v>
      </c>
      <c r="F4717" s="5"/>
      <c r="G4717" s="5" t="s">
        <v>43080</v>
      </c>
      <c r="H4717" s="1" t="s">
        <v>43081</v>
      </c>
      <c r="I4717" s="5" t="s">
        <v>43082</v>
      </c>
      <c r="J4717" s="7">
        <v>3</v>
      </c>
      <c r="K4717" s="7">
        <v>6.9203999999999999</v>
      </c>
      <c r="L4717" s="5" t="s">
        <v>43083</v>
      </c>
      <c r="M4717" s="7">
        <v>1.1200000000000001</v>
      </c>
      <c r="N4717" s="7">
        <v>0.96</v>
      </c>
      <c r="O4717" s="7">
        <v>0.39</v>
      </c>
      <c r="P4717" s="1" t="s">
        <v>43084</v>
      </c>
    </row>
    <row r="4718" spans="1:16" ht="33.4" x14ac:dyDescent="0.3">
      <c r="A4718" s="6" t="str">
        <f>HYPERLINK("https://www.ti.com/product/REF2933", "REF2933")</f>
        <v>REF2933</v>
      </c>
      <c r="B4718" s="5" t="s">
        <v>43085</v>
      </c>
      <c r="C4718" s="6" t="str">
        <f>HYPERLINK("https://www.ti.com/lit/gpn/REF2933", "PDF")</f>
        <v>PDF</v>
      </c>
      <c r="D4718" s="5" t="s">
        <v>43086</v>
      </c>
      <c r="E4718" s="5" t="s">
        <v>43087</v>
      </c>
      <c r="F4718" s="5"/>
      <c r="G4718" s="5" t="s">
        <v>43088</v>
      </c>
      <c r="H4718" s="1" t="s">
        <v>43089</v>
      </c>
      <c r="I4718" s="5" t="s">
        <v>43090</v>
      </c>
      <c r="J4718" s="7">
        <v>3</v>
      </c>
      <c r="K4718" s="7">
        <v>6.9203999999999999</v>
      </c>
      <c r="L4718" s="5" t="s">
        <v>43091</v>
      </c>
      <c r="M4718" s="7">
        <v>1.1200000000000001</v>
      </c>
      <c r="N4718" s="7">
        <v>0.96</v>
      </c>
      <c r="O4718" s="7">
        <v>0.36299999999999999</v>
      </c>
      <c r="P4718" s="1" t="s">
        <v>43092</v>
      </c>
    </row>
    <row r="4719" spans="1:16" ht="33.4" x14ac:dyDescent="0.3">
      <c r="A4719" s="6" t="str">
        <f>HYPERLINK("https://www.ti.com/product/REF2940", "REF2940")</f>
        <v>REF2940</v>
      </c>
      <c r="B4719" s="5" t="s">
        <v>43093</v>
      </c>
      <c r="C4719" s="6" t="str">
        <f>HYPERLINK("https://www.ti.com/lit/gpn/REF2940", "PDF")</f>
        <v>PDF</v>
      </c>
      <c r="D4719" s="5" t="s">
        <v>43094</v>
      </c>
      <c r="E4719" s="5" t="s">
        <v>43095</v>
      </c>
      <c r="F4719" s="5"/>
      <c r="G4719" s="5" t="s">
        <v>43096</v>
      </c>
      <c r="H4719" s="1" t="s">
        <v>43097</v>
      </c>
      <c r="I4719" s="5" t="s">
        <v>43098</v>
      </c>
      <c r="J4719" s="7">
        <v>3</v>
      </c>
      <c r="K4719" s="7">
        <v>6.9203999999999999</v>
      </c>
      <c r="L4719" s="5" t="s">
        <v>43099</v>
      </c>
      <c r="M4719" s="7">
        <v>1.1200000000000001</v>
      </c>
      <c r="N4719" s="7">
        <v>0.96</v>
      </c>
      <c r="O4719" s="7">
        <v>0.30199999999999999</v>
      </c>
      <c r="P4719" s="1" t="s">
        <v>43100</v>
      </c>
    </row>
    <row r="4720" spans="1:16" ht="49.75" x14ac:dyDescent="0.3">
      <c r="A4720" s="6" t="str">
        <f>HYPERLINK("https://www.ti.com/product/LP2953QML-SP", "LP2953QML-SP")</f>
        <v>LP2953QML-SP</v>
      </c>
      <c r="B4720" s="5" t="s">
        <v>43101</v>
      </c>
      <c r="C4720" s="6" t="str">
        <f>HYPERLINK("https://www.ti.com/lit/gpn/LP2953QML-SP", "PDF")</f>
        <v>PDF</v>
      </c>
      <c r="D4720" s="5" t="s">
        <v>43102</v>
      </c>
      <c r="E4720" s="5" t="s">
        <v>43103</v>
      </c>
      <c r="F4720" s="5"/>
      <c r="G4720" s="5" t="s">
        <v>43104</v>
      </c>
      <c r="H4720" s="1" t="s">
        <v>43105</v>
      </c>
      <c r="I4720" s="5" t="s">
        <v>43106</v>
      </c>
      <c r="J4720" s="7" t="s">
        <v>43107</v>
      </c>
      <c r="K4720" s="7" t="s">
        <v>43108</v>
      </c>
      <c r="L4720" s="5" t="s">
        <v>43109</v>
      </c>
      <c r="M4720" s="7" t="s">
        <v>43110</v>
      </c>
      <c r="N4720" s="7" t="s">
        <v>43111</v>
      </c>
      <c r="O4720" s="7">
        <v>309.05500000000001</v>
      </c>
      <c r="P4720" s="1" t="s">
        <v>43112</v>
      </c>
    </row>
    <row r="4721" spans="1:16" ht="33.4" x14ac:dyDescent="0.3">
      <c r="A4721" s="6" t="str">
        <f>HYPERLINK("https://www.ti.com/product/LP8340", "LP8340")</f>
        <v>LP8340</v>
      </c>
      <c r="B4721" s="5" t="s">
        <v>43113</v>
      </c>
      <c r="C4721" s="6" t="str">
        <f>HYPERLINK("https://www.ti.com/lit/gpn/LP8340", "PDF")</f>
        <v>PDF</v>
      </c>
      <c r="D4721" s="5" t="s">
        <v>43114</v>
      </c>
      <c r="E4721" s="5" t="s">
        <v>43115</v>
      </c>
      <c r="F4721" s="5"/>
      <c r="G4721" s="5" t="s">
        <v>43116</v>
      </c>
      <c r="H4721" s="1" t="s">
        <v>43117</v>
      </c>
      <c r="I4721" s="5" t="s">
        <v>43118</v>
      </c>
      <c r="J4721" s="7">
        <v>6</v>
      </c>
      <c r="K4721" s="7">
        <v>9.6067999999999998</v>
      </c>
      <c r="L4721" s="5" t="s">
        <v>43119</v>
      </c>
      <c r="M4721" s="7">
        <v>0.8</v>
      </c>
      <c r="N4721" s="7">
        <v>0.95</v>
      </c>
      <c r="O4721" s="7">
        <v>0.59</v>
      </c>
      <c r="P4721" s="1" t="s">
        <v>43120</v>
      </c>
    </row>
    <row r="4722" spans="1:16" ht="33.4" x14ac:dyDescent="0.3">
      <c r="A4722" s="6" t="str">
        <f>HYPERLINK("https://www.ti.com/product/LP3999", "LP3999")</f>
        <v>LP3999</v>
      </c>
      <c r="B4722" s="5" t="s">
        <v>43121</v>
      </c>
      <c r="C4722" s="6" t="str">
        <f>HYPERLINK("https://www.ti.com/lit/gpn/LP3999", "PDF")</f>
        <v>PDF</v>
      </c>
      <c r="D4722" s="5" t="s">
        <v>43122</v>
      </c>
      <c r="E4722" s="5" t="s">
        <v>43123</v>
      </c>
      <c r="F4722" s="5"/>
      <c r="G4722" s="5" t="s">
        <v>43124</v>
      </c>
      <c r="H4722" s="1" t="s">
        <v>43125</v>
      </c>
      <c r="I4722" s="5" t="s">
        <v>43126</v>
      </c>
      <c r="J4722" s="7">
        <v>5</v>
      </c>
      <c r="K4722" s="7">
        <v>2.02</v>
      </c>
      <c r="L4722" s="5" t="s">
        <v>43127</v>
      </c>
      <c r="M4722" s="7">
        <v>0.67500000000000004</v>
      </c>
      <c r="N4722" s="7">
        <v>0.5</v>
      </c>
      <c r="O4722" s="7">
        <v>0.35399999999999998</v>
      </c>
      <c r="P4722" s="1" t="s">
        <v>43128</v>
      </c>
    </row>
    <row r="4723" spans="1:16" ht="17.05" x14ac:dyDescent="0.3">
      <c r="A4723" s="6" t="str">
        <f>HYPERLINK("https://www.ti.com/product/TLC5930", "TLC5930")</f>
        <v>TLC5930</v>
      </c>
      <c r="B4723" s="5" t="s">
        <v>43129</v>
      </c>
      <c r="C4723" s="6" t="str">
        <f>HYPERLINK("https://www.ti.com/lit/gpn/TLC5930", "PDF")</f>
        <v>PDF</v>
      </c>
      <c r="D4723" s="5" t="s">
        <v>43130</v>
      </c>
      <c r="E4723" s="5" t="s">
        <v>43131</v>
      </c>
      <c r="F4723" s="5"/>
      <c r="G4723" s="5" t="s">
        <v>43132</v>
      </c>
      <c r="H4723" s="1" t="s">
        <v>43133</v>
      </c>
      <c r="I4723" s="5" t="s">
        <v>43134</v>
      </c>
      <c r="J4723" s="7">
        <v>24</v>
      </c>
      <c r="K4723" s="7">
        <v>49.92</v>
      </c>
      <c r="L4723" s="5" t="s">
        <v>43135</v>
      </c>
      <c r="M4723" s="7">
        <v>1.2</v>
      </c>
      <c r="N4723" s="7">
        <v>0.65</v>
      </c>
      <c r="O4723" s="7">
        <v>2.7829999999999999</v>
      </c>
      <c r="P4723" s="1" t="s">
        <v>43136</v>
      </c>
    </row>
    <row r="4724" spans="1:16" ht="33.4" x14ac:dyDescent="0.3">
      <c r="A4724" s="6" t="str">
        <f>HYPERLINK("https://www.ti.com/product/UC2844AQ", "UC2844AQ")</f>
        <v>UC2844AQ</v>
      </c>
      <c r="B4724" s="5" t="s">
        <v>43137</v>
      </c>
      <c r="C4724" s="6" t="str">
        <f>HYPERLINK("https://www.ti.com/lit/gpn/UC2844AQ", "PDF")</f>
        <v>PDF</v>
      </c>
      <c r="D4724" s="5" t="s">
        <v>43138</v>
      </c>
      <c r="E4724" s="5" t="s">
        <v>43139</v>
      </c>
      <c r="F4724" s="5"/>
      <c r="G4724" s="5" t="s">
        <v>43140</v>
      </c>
      <c r="H4724" s="1" t="s">
        <v>43141</v>
      </c>
      <c r="I4724" s="5" t="s">
        <v>43142</v>
      </c>
      <c r="J4724" s="7">
        <v>8</v>
      </c>
      <c r="K4724" s="7">
        <v>29.4</v>
      </c>
      <c r="L4724" s="5" t="s">
        <v>43143</v>
      </c>
      <c r="M4724" s="7">
        <v>1.75</v>
      </c>
      <c r="N4724" s="7">
        <v>1.27</v>
      </c>
      <c r="O4724" s="7">
        <v>0.60099999999999998</v>
      </c>
      <c r="P4724" s="1" t="s">
        <v>43144</v>
      </c>
    </row>
    <row r="4725" spans="1:16" ht="33.4" x14ac:dyDescent="0.3">
      <c r="A4725" s="6" t="str">
        <f>HYPERLINK("https://www.ti.com/product/TPS62008", "TPS62008")</f>
        <v>TPS62008</v>
      </c>
      <c r="B4725" s="5" t="s">
        <v>43145</v>
      </c>
      <c r="C4725" s="6" t="str">
        <f>HYPERLINK("https://www.ti.com/lit/gpn/TPS62008", "PDF")</f>
        <v>PDF</v>
      </c>
      <c r="D4725" s="5" t="s">
        <v>43146</v>
      </c>
      <c r="E4725" s="5" t="s">
        <v>43147</v>
      </c>
      <c r="F4725" s="5" t="s">
        <v>43148</v>
      </c>
      <c r="G4725" s="5" t="s">
        <v>43149</v>
      </c>
      <c r="H4725" s="1" t="s">
        <v>43150</v>
      </c>
      <c r="I4725" s="5" t="s">
        <v>43151</v>
      </c>
      <c r="J4725" s="7">
        <v>10</v>
      </c>
      <c r="K4725" s="7">
        <v>14.7</v>
      </c>
      <c r="L4725" s="5" t="s">
        <v>43152</v>
      </c>
      <c r="M4725" s="7">
        <v>1.1000000000000001</v>
      </c>
      <c r="N4725" s="7">
        <v>0.5</v>
      </c>
      <c r="O4725" s="7">
        <v>0.85199999999999998</v>
      </c>
      <c r="P4725" s="1" t="s">
        <v>43153</v>
      </c>
    </row>
    <row r="4726" spans="1:16" ht="49.75" x14ac:dyDescent="0.3">
      <c r="A4726" s="6" t="str">
        <f>HYPERLINK("https://www.ti.com/product/UCC29002", "UCC29002")</f>
        <v>UCC29002</v>
      </c>
      <c r="B4726" s="5" t="s">
        <v>43154</v>
      </c>
      <c r="C4726" s="6" t="str">
        <f>HYPERLINK("https://www.ti.com/lit/gpn/UCC29002", "PDF")</f>
        <v>PDF</v>
      </c>
      <c r="D4726" s="5" t="s">
        <v>43155</v>
      </c>
      <c r="E4726" s="5" t="s">
        <v>43156</v>
      </c>
      <c r="F4726" s="5" t="s">
        <v>43157</v>
      </c>
      <c r="G4726" s="5" t="s">
        <v>43158</v>
      </c>
      <c r="H4726" s="1" t="s">
        <v>43159</v>
      </c>
      <c r="I4726" s="5" t="s">
        <v>43160</v>
      </c>
      <c r="J4726" s="7">
        <v>8</v>
      </c>
      <c r="K4726" s="7" t="s">
        <v>43161</v>
      </c>
      <c r="L4726" s="5" t="s">
        <v>43162</v>
      </c>
      <c r="M4726" s="7" t="s">
        <v>43163</v>
      </c>
      <c r="N4726" s="7" t="s">
        <v>43164</v>
      </c>
      <c r="O4726" s="7">
        <v>1.2150000000000001</v>
      </c>
      <c r="P4726" s="1" t="s">
        <v>43165</v>
      </c>
    </row>
    <row r="4727" spans="1:16" ht="49.75" x14ac:dyDescent="0.3">
      <c r="A4727" s="6" t="str">
        <f>HYPERLINK("https://www.ti.com/product/UCC39002", "UCC39002")</f>
        <v>UCC39002</v>
      </c>
      <c r="B4727" s="5" t="s">
        <v>43166</v>
      </c>
      <c r="C4727" s="6" t="str">
        <f>HYPERLINK("https://www.ti.com/lit/gpn/UCC39002", "PDF")</f>
        <v>PDF</v>
      </c>
      <c r="D4727" s="5" t="s">
        <v>43167</v>
      </c>
      <c r="E4727" s="5" t="s">
        <v>43168</v>
      </c>
      <c r="F4727" s="5" t="s">
        <v>43169</v>
      </c>
      <c r="G4727" s="5" t="s">
        <v>43170</v>
      </c>
      <c r="H4727" s="1" t="s">
        <v>43171</v>
      </c>
      <c r="I4727" s="5" t="s">
        <v>43172</v>
      </c>
      <c r="J4727" s="7">
        <v>8</v>
      </c>
      <c r="K4727" s="7" t="s">
        <v>43173</v>
      </c>
      <c r="L4727" s="5" t="s">
        <v>43174</v>
      </c>
      <c r="M4727" s="7" t="s">
        <v>43175</v>
      </c>
      <c r="N4727" s="7" t="s">
        <v>43176</v>
      </c>
      <c r="O4727" s="7">
        <v>1.157</v>
      </c>
      <c r="P4727" s="1" t="s">
        <v>43177</v>
      </c>
    </row>
    <row r="4728" spans="1:16" ht="33.4" x14ac:dyDescent="0.3">
      <c r="A4728" s="6" t="str">
        <f>HYPERLINK("https://www.ti.com/product/LP3983", "LP3983")</f>
        <v>LP3983</v>
      </c>
      <c r="B4728" s="5" t="s">
        <v>43178</v>
      </c>
      <c r="C4728" s="6" t="str">
        <f>HYPERLINK("https://www.ti.com/lit/gpn/LP3983", "PDF")</f>
        <v>PDF</v>
      </c>
      <c r="D4728" s="5" t="s">
        <v>43179</v>
      </c>
      <c r="E4728" s="5" t="s">
        <v>43180</v>
      </c>
      <c r="F4728" s="5"/>
      <c r="G4728" s="5" t="s">
        <v>43181</v>
      </c>
      <c r="H4728" s="1" t="s">
        <v>43182</v>
      </c>
      <c r="I4728" s="5" t="s">
        <v>43183</v>
      </c>
      <c r="J4728" s="7">
        <v>5</v>
      </c>
      <c r="K4728" s="7">
        <v>2.02</v>
      </c>
      <c r="L4728" s="5" t="s">
        <v>43184</v>
      </c>
      <c r="M4728" s="7">
        <v>0.67500000000000004</v>
      </c>
      <c r="N4728" s="7">
        <v>0.5</v>
      </c>
      <c r="O4728" s="7">
        <v>0.215</v>
      </c>
      <c r="P4728" s="1" t="s">
        <v>43185</v>
      </c>
    </row>
    <row r="4729" spans="1:16" ht="33.4" x14ac:dyDescent="0.3">
      <c r="A4729" s="6" t="str">
        <f>HYPERLINK("https://www.ti.com/product/LM2642", "LM2642")</f>
        <v>LM2642</v>
      </c>
      <c r="B4729" s="5" t="s">
        <v>43186</v>
      </c>
      <c r="C4729" s="6" t="str">
        <f>HYPERLINK("https://www.ti.com/lit/gpn/LM2642", "PDF")</f>
        <v>PDF</v>
      </c>
      <c r="D4729" s="5" t="s">
        <v>43187</v>
      </c>
      <c r="E4729" s="5" t="s">
        <v>43188</v>
      </c>
      <c r="F4729" s="5" t="s">
        <v>43189</v>
      </c>
      <c r="G4729" s="5" t="s">
        <v>43190</v>
      </c>
      <c r="H4729" s="1" t="s">
        <v>43191</v>
      </c>
      <c r="I4729" s="5" t="s">
        <v>43192</v>
      </c>
      <c r="J4729" s="7">
        <v>28</v>
      </c>
      <c r="K4729" s="7">
        <v>62.08</v>
      </c>
      <c r="L4729" s="5" t="s">
        <v>43193</v>
      </c>
      <c r="M4729" s="7">
        <v>1.2</v>
      </c>
      <c r="N4729" s="7">
        <v>0.65</v>
      </c>
      <c r="O4729" s="7">
        <v>1.581</v>
      </c>
      <c r="P4729" s="1" t="s">
        <v>43194</v>
      </c>
    </row>
    <row r="4730" spans="1:16" ht="33.4" x14ac:dyDescent="0.3">
      <c r="A4730" s="6" t="str">
        <f>HYPERLINK("https://www.ti.com/product/LP3992", "LP3992")</f>
        <v>LP3992</v>
      </c>
      <c r="B4730" s="5" t="s">
        <v>43195</v>
      </c>
      <c r="C4730" s="6" t="str">
        <f>HYPERLINK("https://www.ti.com/lit/gpn/LP3992", "PDF")</f>
        <v>PDF</v>
      </c>
      <c r="D4730" s="5" t="s">
        <v>43196</v>
      </c>
      <c r="E4730" s="5" t="s">
        <v>43197</v>
      </c>
      <c r="F4730" s="5"/>
      <c r="G4730" s="5" t="s">
        <v>43198</v>
      </c>
      <c r="H4730" s="1" t="s">
        <v>43199</v>
      </c>
      <c r="I4730" s="5" t="s">
        <v>43200</v>
      </c>
      <c r="J4730" s="7">
        <v>5</v>
      </c>
      <c r="K4730" s="7">
        <v>8.1199999999999992</v>
      </c>
      <c r="L4730" s="5" t="s">
        <v>43201</v>
      </c>
      <c r="M4730" s="7">
        <v>1.45</v>
      </c>
      <c r="N4730" s="7">
        <v>0.95</v>
      </c>
      <c r="O4730" s="7">
        <v>0.44500000000000001</v>
      </c>
      <c r="P4730" s="1" t="s">
        <v>43202</v>
      </c>
    </row>
    <row r="4731" spans="1:16" ht="33.4" x14ac:dyDescent="0.3">
      <c r="A4731" s="6" t="str">
        <f>HYPERLINK("https://www.ti.com/product/LP3883", "LP3883")</f>
        <v>LP3883</v>
      </c>
      <c r="B4731" s="5" t="s">
        <v>43203</v>
      </c>
      <c r="C4731" s="6" t="str">
        <f>HYPERLINK("https://www.ti.com/lit/gpn/LP3883", "PDF")</f>
        <v>PDF</v>
      </c>
      <c r="D4731" s="5" t="s">
        <v>43204</v>
      </c>
      <c r="E4731" s="5" t="s">
        <v>43205</v>
      </c>
      <c r="F4731" s="5"/>
      <c r="G4731" s="5" t="s">
        <v>43206</v>
      </c>
      <c r="H4731" s="1" t="s">
        <v>43207</v>
      </c>
      <c r="I4731" s="5" t="s">
        <v>43208</v>
      </c>
      <c r="J4731" s="7">
        <v>5</v>
      </c>
      <c r="K4731" s="7">
        <v>154.83840000000001</v>
      </c>
      <c r="L4731" s="5" t="s">
        <v>43209</v>
      </c>
      <c r="M4731" s="7">
        <v>4.83</v>
      </c>
      <c r="N4731" s="7">
        <v>1.7</v>
      </c>
      <c r="O4731" s="7">
        <v>2.34</v>
      </c>
      <c r="P4731" s="1" t="s">
        <v>43210</v>
      </c>
    </row>
    <row r="4732" spans="1:16" ht="33.4" x14ac:dyDescent="0.3">
      <c r="A4732" s="6" t="str">
        <f>HYPERLINK("https://www.ti.com/product/LM2623", "LM2623")</f>
        <v>LM2623</v>
      </c>
      <c r="B4732" s="5" t="s">
        <v>43211</v>
      </c>
      <c r="C4732" s="6" t="str">
        <f>HYPERLINK("https://www.ti.com/lit/gpn/LM2623", "PDF")</f>
        <v>PDF</v>
      </c>
      <c r="D4732" s="5" t="s">
        <v>43212</v>
      </c>
      <c r="E4732" s="5" t="s">
        <v>43213</v>
      </c>
      <c r="F4732" s="5" t="s">
        <v>43214</v>
      </c>
      <c r="G4732" s="5" t="s">
        <v>43215</v>
      </c>
      <c r="H4732" s="1" t="s">
        <v>43216</v>
      </c>
      <c r="I4732" s="5" t="s">
        <v>43217</v>
      </c>
      <c r="J4732" s="7" t="s">
        <v>43218</v>
      </c>
      <c r="K4732" s="7" t="s">
        <v>43219</v>
      </c>
      <c r="L4732" s="5" t="s">
        <v>43220</v>
      </c>
      <c r="M4732" s="7" t="s">
        <v>43221</v>
      </c>
      <c r="N4732" s="7" t="s">
        <v>43222</v>
      </c>
      <c r="O4732" s="7">
        <v>0.61199999999999999</v>
      </c>
      <c r="P4732" s="1" t="s">
        <v>43223</v>
      </c>
    </row>
    <row r="4733" spans="1:16" ht="33.4" x14ac:dyDescent="0.3">
      <c r="A4733" s="6" t="str">
        <f>HYPERLINK("https://www.ti.com/product/LM3475", "LM3475")</f>
        <v>LM3475</v>
      </c>
      <c r="B4733" s="5" t="s">
        <v>43224</v>
      </c>
      <c r="C4733" s="6" t="str">
        <f>HYPERLINK("https://www.ti.com/lit/gpn/LM3475", "PDF")</f>
        <v>PDF</v>
      </c>
      <c r="D4733" s="5" t="s">
        <v>43225</v>
      </c>
      <c r="E4733" s="5" t="s">
        <v>43226</v>
      </c>
      <c r="F4733" s="5" t="s">
        <v>43227</v>
      </c>
      <c r="G4733" s="5" t="s">
        <v>43228</v>
      </c>
      <c r="H4733" s="1" t="s">
        <v>43229</v>
      </c>
      <c r="I4733" s="5" t="s">
        <v>43230</v>
      </c>
      <c r="J4733" s="7">
        <v>5</v>
      </c>
      <c r="K4733" s="7">
        <v>8.1199999999999992</v>
      </c>
      <c r="L4733" s="5" t="s">
        <v>43231</v>
      </c>
      <c r="M4733" s="7">
        <v>1.45</v>
      </c>
      <c r="N4733" s="7">
        <v>0.95</v>
      </c>
      <c r="O4733" s="7">
        <v>0.58699999999999997</v>
      </c>
      <c r="P4733" s="1" t="s">
        <v>43232</v>
      </c>
    </row>
    <row r="4734" spans="1:16" ht="17.05" x14ac:dyDescent="0.3">
      <c r="A4734" s="6" t="str">
        <f>HYPERLINK("https://www.ti.com/product/LM5068", "LM5068")</f>
        <v>LM5068</v>
      </c>
      <c r="B4734" s="5" t="s">
        <v>43233</v>
      </c>
      <c r="C4734" s="6" t="str">
        <f>HYPERLINK("https://www.ti.com/lit/gpn/LM5068", "PDF")</f>
        <v>PDF</v>
      </c>
      <c r="D4734" s="5" t="s">
        <v>43234</v>
      </c>
      <c r="E4734" s="5" t="s">
        <v>43235</v>
      </c>
      <c r="F4734" s="5"/>
      <c r="G4734" s="5" t="s">
        <v>43236</v>
      </c>
      <c r="H4734" s="1" t="s">
        <v>43237</v>
      </c>
      <c r="I4734" s="5" t="s">
        <v>43238</v>
      </c>
      <c r="J4734" s="7">
        <v>8</v>
      </c>
      <c r="K4734" s="7">
        <v>14.7</v>
      </c>
      <c r="L4734" s="5" t="s">
        <v>43239</v>
      </c>
      <c r="M4734" s="7">
        <v>1.1000000000000001</v>
      </c>
      <c r="N4734" s="7">
        <v>0.65</v>
      </c>
      <c r="O4734" s="7">
        <v>1.466</v>
      </c>
      <c r="P4734" s="1" t="s">
        <v>43240</v>
      </c>
    </row>
    <row r="4735" spans="1:16" ht="49.75" x14ac:dyDescent="0.3">
      <c r="A4735" s="6" t="str">
        <f>HYPERLINK("https://www.ti.com/product/TL7733B", "TL7733B")</f>
        <v>TL7733B</v>
      </c>
      <c r="B4735" s="5" t="s">
        <v>43241</v>
      </c>
      <c r="C4735" s="6" t="str">
        <f>HYPERLINK("https://www.ti.com/lit/gpn/TL7733B", "PDF")</f>
        <v>PDF</v>
      </c>
      <c r="D4735" s="5" t="s">
        <v>43242</v>
      </c>
      <c r="E4735" s="5" t="s">
        <v>43243</v>
      </c>
      <c r="F4735" s="5"/>
      <c r="G4735" s="5" t="s">
        <v>43244</v>
      </c>
      <c r="H4735" s="1" t="s">
        <v>43245</v>
      </c>
      <c r="I4735" s="5" t="s">
        <v>43246</v>
      </c>
      <c r="J4735" s="7">
        <v>8</v>
      </c>
      <c r="K4735" s="7" t="s">
        <v>43247</v>
      </c>
      <c r="L4735" s="5" t="s">
        <v>43248</v>
      </c>
      <c r="M4735" s="7" t="s">
        <v>43249</v>
      </c>
      <c r="N4735" s="7" t="s">
        <v>43250</v>
      </c>
      <c r="O4735" s="7">
        <v>0.19600000000000001</v>
      </c>
      <c r="P4735" s="1" t="s">
        <v>43251</v>
      </c>
    </row>
    <row r="4736" spans="1:16" ht="33.4" x14ac:dyDescent="0.3">
      <c r="A4736" s="6" t="str">
        <f>HYPERLINK("https://www.ti.com/product/TPS62200", "TPS62200")</f>
        <v>TPS62200</v>
      </c>
      <c r="B4736" s="5" t="s">
        <v>43252</v>
      </c>
      <c r="C4736" s="6" t="str">
        <f>HYPERLINK("https://www.ti.com/lit/gpn/TPS62200", "PDF")</f>
        <v>PDF</v>
      </c>
      <c r="D4736" s="5" t="s">
        <v>43253</v>
      </c>
      <c r="E4736" s="5" t="s">
        <v>43254</v>
      </c>
      <c r="F4736" s="5" t="s">
        <v>43255</v>
      </c>
      <c r="G4736" s="5" t="s">
        <v>43256</v>
      </c>
      <c r="H4736" s="1" t="s">
        <v>43257</v>
      </c>
      <c r="I4736" s="5" t="s">
        <v>43258</v>
      </c>
      <c r="J4736" s="7">
        <v>5</v>
      </c>
      <c r="K4736" s="7">
        <v>8.1199999999999992</v>
      </c>
      <c r="L4736" s="5" t="s">
        <v>43259</v>
      </c>
      <c r="M4736" s="7">
        <v>1.45</v>
      </c>
      <c r="N4736" s="7">
        <v>0.95</v>
      </c>
      <c r="O4736" s="7">
        <v>0.47799999999999998</v>
      </c>
      <c r="P4736" s="1" t="s">
        <v>43260</v>
      </c>
    </row>
    <row r="4737" spans="1:16" ht="33.4" x14ac:dyDescent="0.3">
      <c r="A4737" s="6" t="str">
        <f>HYPERLINK("https://www.ti.com/product/TPS62201", "TPS62201")</f>
        <v>TPS62201</v>
      </c>
      <c r="B4737" s="5" t="s">
        <v>43261</v>
      </c>
      <c r="C4737" s="6" t="str">
        <f>HYPERLINK("https://www.ti.com/lit/gpn/TPS62201", "PDF")</f>
        <v>PDF</v>
      </c>
      <c r="D4737" s="5" t="s">
        <v>43262</v>
      </c>
      <c r="E4737" s="5" t="s">
        <v>43263</v>
      </c>
      <c r="F4737" s="5" t="s">
        <v>43264</v>
      </c>
      <c r="G4737" s="5" t="s">
        <v>43265</v>
      </c>
      <c r="H4737" s="1" t="s">
        <v>43266</v>
      </c>
      <c r="I4737" s="5" t="s">
        <v>43267</v>
      </c>
      <c r="J4737" s="7">
        <v>5</v>
      </c>
      <c r="K4737" s="7">
        <v>8.1199999999999992</v>
      </c>
      <c r="L4737" s="5" t="s">
        <v>43268</v>
      </c>
      <c r="M4737" s="7">
        <v>1.45</v>
      </c>
      <c r="N4737" s="7">
        <v>0.95</v>
      </c>
      <c r="O4737" s="7">
        <v>0.47799999999999998</v>
      </c>
      <c r="P4737" s="1" t="s">
        <v>43269</v>
      </c>
    </row>
    <row r="4738" spans="1:16" ht="33.4" x14ac:dyDescent="0.3">
      <c r="A4738" s="6" t="str">
        <f>HYPERLINK("https://www.ti.com/product/TPS62202", "TPS62202")</f>
        <v>TPS62202</v>
      </c>
      <c r="B4738" s="5" t="s">
        <v>43270</v>
      </c>
      <c r="C4738" s="6" t="str">
        <f>HYPERLINK("https://www.ti.com/lit/gpn/TPS62202", "PDF")</f>
        <v>PDF</v>
      </c>
      <c r="D4738" s="5" t="s">
        <v>43271</v>
      </c>
      <c r="E4738" s="5" t="s">
        <v>43272</v>
      </c>
      <c r="F4738" s="5" t="s">
        <v>43273</v>
      </c>
      <c r="G4738" s="5" t="s">
        <v>43274</v>
      </c>
      <c r="H4738" s="1" t="s">
        <v>43275</v>
      </c>
      <c r="I4738" s="5" t="s">
        <v>43276</v>
      </c>
      <c r="J4738" s="7">
        <v>5</v>
      </c>
      <c r="K4738" s="7">
        <v>8.1199999999999992</v>
      </c>
      <c r="L4738" s="5" t="s">
        <v>43277</v>
      </c>
      <c r="M4738" s="7">
        <v>1.45</v>
      </c>
      <c r="N4738" s="7">
        <v>0.95</v>
      </c>
      <c r="O4738" s="7">
        <v>0.47799999999999998</v>
      </c>
      <c r="P4738" s="1" t="s">
        <v>43278</v>
      </c>
    </row>
    <row r="4739" spans="1:16" ht="33.4" x14ac:dyDescent="0.3">
      <c r="A4739" s="6" t="str">
        <f>HYPERLINK("https://www.ti.com/product/TPS62203", "TPS62203")</f>
        <v>TPS62203</v>
      </c>
      <c r="B4739" s="5" t="s">
        <v>43279</v>
      </c>
      <c r="C4739" s="6" t="str">
        <f>HYPERLINK("https://www.ti.com/lit/gpn/TPS62203", "PDF")</f>
        <v>PDF</v>
      </c>
      <c r="D4739" s="5" t="s">
        <v>43280</v>
      </c>
      <c r="E4739" s="5" t="s">
        <v>43281</v>
      </c>
      <c r="F4739" s="5" t="s">
        <v>43282</v>
      </c>
      <c r="G4739" s="5" t="s">
        <v>43283</v>
      </c>
      <c r="H4739" s="1" t="s">
        <v>43284</v>
      </c>
      <c r="I4739" s="5" t="s">
        <v>43285</v>
      </c>
      <c r="J4739" s="7">
        <v>5</v>
      </c>
      <c r="K4739" s="7">
        <v>8.1199999999999992</v>
      </c>
      <c r="L4739" s="5" t="s">
        <v>43286</v>
      </c>
      <c r="M4739" s="7">
        <v>1.45</v>
      </c>
      <c r="N4739" s="7">
        <v>0.95</v>
      </c>
      <c r="O4739" s="7">
        <v>0.47799999999999998</v>
      </c>
      <c r="P4739" s="1" t="s">
        <v>43287</v>
      </c>
    </row>
    <row r="4740" spans="1:16" ht="33.4" x14ac:dyDescent="0.3">
      <c r="A4740" s="6" t="str">
        <f>HYPERLINK("https://www.ti.com/product/TPS62204", "TPS62204")</f>
        <v>TPS62204</v>
      </c>
      <c r="B4740" s="5" t="s">
        <v>43288</v>
      </c>
      <c r="C4740" s="6" t="str">
        <f>HYPERLINK("https://www.ti.com/lit/gpn/TPS62204", "PDF")</f>
        <v>PDF</v>
      </c>
      <c r="D4740" s="5" t="s">
        <v>43289</v>
      </c>
      <c r="E4740" s="5" t="s">
        <v>43290</v>
      </c>
      <c r="F4740" s="5" t="s">
        <v>43291</v>
      </c>
      <c r="G4740" s="5" t="s">
        <v>43292</v>
      </c>
      <c r="H4740" s="1" t="s">
        <v>43293</v>
      </c>
      <c r="I4740" s="5" t="s">
        <v>43294</v>
      </c>
      <c r="J4740" s="7">
        <v>5</v>
      </c>
      <c r="K4740" s="7">
        <v>8.1199999999999992</v>
      </c>
      <c r="L4740" s="5" t="s">
        <v>43295</v>
      </c>
      <c r="M4740" s="7">
        <v>1.45</v>
      </c>
      <c r="N4740" s="7">
        <v>0.95</v>
      </c>
      <c r="O4740" s="7">
        <v>0.47799999999999998</v>
      </c>
      <c r="P4740" s="1" t="s">
        <v>43296</v>
      </c>
    </row>
    <row r="4741" spans="1:16" ht="33.4" x14ac:dyDescent="0.3">
      <c r="A4741" s="6" t="str">
        <f>HYPERLINK("https://www.ti.com/product/TPS62205", "TPS62205")</f>
        <v>TPS62205</v>
      </c>
      <c r="B4741" s="5" t="s">
        <v>43297</v>
      </c>
      <c r="C4741" s="6" t="str">
        <f>HYPERLINK("https://www.ti.com/lit/gpn/TPS62205", "PDF")</f>
        <v>PDF</v>
      </c>
      <c r="D4741" s="5" t="s">
        <v>43298</v>
      </c>
      <c r="E4741" s="5" t="s">
        <v>43299</v>
      </c>
      <c r="F4741" s="5" t="s">
        <v>43300</v>
      </c>
      <c r="G4741" s="5" t="s">
        <v>43301</v>
      </c>
      <c r="H4741" s="1" t="s">
        <v>43302</v>
      </c>
      <c r="I4741" s="5" t="s">
        <v>43303</v>
      </c>
      <c r="J4741" s="7">
        <v>5</v>
      </c>
      <c r="K4741" s="7">
        <v>8.1199999999999992</v>
      </c>
      <c r="L4741" s="5" t="s">
        <v>43304</v>
      </c>
      <c r="M4741" s="7">
        <v>1.45</v>
      </c>
      <c r="N4741" s="7">
        <v>0.95</v>
      </c>
      <c r="O4741" s="7">
        <v>0.47799999999999998</v>
      </c>
      <c r="P4741" s="1" t="s">
        <v>43305</v>
      </c>
    </row>
    <row r="4742" spans="1:16" ht="33.4" x14ac:dyDescent="0.3">
      <c r="A4742" s="6" t="str">
        <f>HYPERLINK("https://www.ti.com/product/REF30", "REF30")</f>
        <v>REF30</v>
      </c>
      <c r="B4742" s="5" t="s">
        <v>43306</v>
      </c>
      <c r="C4742" s="6" t="str">
        <f>HYPERLINK("https://www.ti.com/lit/gpn/REF30", "PDF")</f>
        <v>PDF</v>
      </c>
      <c r="D4742" s="5" t="s">
        <v>43307</v>
      </c>
      <c r="E4742" s="5" t="s">
        <v>43308</v>
      </c>
      <c r="F4742" s="5"/>
      <c r="G4742" s="5" t="s">
        <v>43309</v>
      </c>
      <c r="H4742" s="1" t="s">
        <v>43310</v>
      </c>
      <c r="I4742" s="5" t="s">
        <v>43311</v>
      </c>
      <c r="J4742" s="7">
        <v>3</v>
      </c>
      <c r="K4742" s="7">
        <v>6.9203999999999999</v>
      </c>
      <c r="L4742" s="5" t="s">
        <v>43312</v>
      </c>
      <c r="M4742" s="7">
        <v>1.1200000000000001</v>
      </c>
      <c r="N4742" s="7">
        <v>0.96</v>
      </c>
      <c r="O4742" s="7">
        <v>0.378</v>
      </c>
      <c r="P4742" s="1" t="s">
        <v>43313</v>
      </c>
    </row>
    <row r="4743" spans="1:16" ht="33.4" x14ac:dyDescent="0.3">
      <c r="A4743" s="6" t="str">
        <f>HYPERLINK("https://www.ti.com/product/LP2995", "LP2995")</f>
        <v>LP2995</v>
      </c>
      <c r="B4743" s="5" t="s">
        <v>43314</v>
      </c>
      <c r="C4743" s="6" t="str">
        <f>HYPERLINK("https://www.ti.com/lit/gpn/LP2995", "PDF")</f>
        <v>PDF</v>
      </c>
      <c r="D4743" s="5" t="s">
        <v>43315</v>
      </c>
      <c r="E4743" s="5" t="s">
        <v>43316</v>
      </c>
      <c r="F4743" s="5"/>
      <c r="G4743" s="5" t="s">
        <v>43317</v>
      </c>
      <c r="H4743" s="1" t="s">
        <v>43318</v>
      </c>
      <c r="I4743" s="5" t="s">
        <v>43319</v>
      </c>
      <c r="J4743" s="7" t="s">
        <v>43320</v>
      </c>
      <c r="K4743" s="7" t="s">
        <v>43321</v>
      </c>
      <c r="L4743" s="5" t="s">
        <v>43322</v>
      </c>
      <c r="M4743" s="7" t="s">
        <v>43323</v>
      </c>
      <c r="N4743" s="7" t="s">
        <v>43324</v>
      </c>
      <c r="O4743" s="7">
        <v>0.47799999999999998</v>
      </c>
      <c r="P4743" s="1" t="s">
        <v>43325</v>
      </c>
    </row>
    <row r="4744" spans="1:16" ht="33.4" x14ac:dyDescent="0.3">
      <c r="A4744" s="6" t="str">
        <f>HYPERLINK("https://www.ti.com/product/TPS61040", "TPS61040")</f>
        <v>TPS61040</v>
      </c>
      <c r="B4744" s="5" t="s">
        <v>43326</v>
      </c>
      <c r="C4744" s="6" t="str">
        <f>HYPERLINK("https://www.ti.com/lit/gpn/TPS61040", "PDF")</f>
        <v>PDF</v>
      </c>
      <c r="D4744" s="5" t="s">
        <v>43327</v>
      </c>
      <c r="E4744" s="5" t="s">
        <v>43328</v>
      </c>
      <c r="F4744" s="5" t="s">
        <v>43329</v>
      </c>
      <c r="G4744" s="5" t="s">
        <v>43330</v>
      </c>
      <c r="H4744" s="1" t="s">
        <v>43331</v>
      </c>
      <c r="I4744" s="5" t="s">
        <v>43332</v>
      </c>
      <c r="J4744" s="7" t="s">
        <v>43333</v>
      </c>
      <c r="K4744" s="7" t="s">
        <v>43334</v>
      </c>
      <c r="L4744" s="5" t="s">
        <v>43335</v>
      </c>
      <c r="M4744" s="7" t="s">
        <v>43336</v>
      </c>
      <c r="N4744" s="7" t="s">
        <v>43337</v>
      </c>
      <c r="O4744" s="7">
        <v>0.434</v>
      </c>
      <c r="P4744" s="1" t="s">
        <v>43338</v>
      </c>
    </row>
    <row r="4745" spans="1:16" ht="33.4" x14ac:dyDescent="0.3">
      <c r="A4745" s="6" t="str">
        <f>HYPERLINK("https://www.ti.com/product/TPS61041", "TPS61041")</f>
        <v>TPS61041</v>
      </c>
      <c r="B4745" s="5" t="s">
        <v>43339</v>
      </c>
      <c r="C4745" s="6" t="str">
        <f>HYPERLINK("https://www.ti.com/lit/gpn/TPS61041", "PDF")</f>
        <v>PDF</v>
      </c>
      <c r="D4745" s="5" t="s">
        <v>43340</v>
      </c>
      <c r="E4745" s="5" t="s">
        <v>43341</v>
      </c>
      <c r="F4745" s="5" t="s">
        <v>43342</v>
      </c>
      <c r="G4745" s="5" t="s">
        <v>43343</v>
      </c>
      <c r="H4745" s="1" t="s">
        <v>43344</v>
      </c>
      <c r="I4745" s="5" t="s">
        <v>43345</v>
      </c>
      <c r="J4745" s="7" t="s">
        <v>43346</v>
      </c>
      <c r="K4745" s="7" t="s">
        <v>43347</v>
      </c>
      <c r="L4745" s="5" t="s">
        <v>43348</v>
      </c>
      <c r="M4745" s="7" t="s">
        <v>43349</v>
      </c>
      <c r="N4745" s="7" t="s">
        <v>43350</v>
      </c>
      <c r="O4745" s="7">
        <v>0.40300000000000002</v>
      </c>
      <c r="P4745" s="1" t="s">
        <v>43351</v>
      </c>
    </row>
    <row r="4746" spans="1:16" ht="33.4" x14ac:dyDescent="0.3">
      <c r="A4746" s="6" t="str">
        <f>HYPERLINK("https://www.ti.com/product/LM5000", "LM5000")</f>
        <v>LM5000</v>
      </c>
      <c r="B4746" s="5" t="s">
        <v>43352</v>
      </c>
      <c r="C4746" s="6" t="str">
        <f>HYPERLINK("https://www.ti.com/lit/gpn/LM5000", "PDF")</f>
        <v>PDF</v>
      </c>
      <c r="D4746" s="5" t="s">
        <v>43353</v>
      </c>
      <c r="E4746" s="5" t="s">
        <v>43354</v>
      </c>
      <c r="F4746" s="5" t="s">
        <v>43355</v>
      </c>
      <c r="G4746" s="5" t="s">
        <v>43356</v>
      </c>
      <c r="H4746" s="1" t="s">
        <v>43357</v>
      </c>
      <c r="I4746" s="5" t="s">
        <v>43358</v>
      </c>
      <c r="J4746" s="7">
        <v>16</v>
      </c>
      <c r="K4746" s="7" t="s">
        <v>43359</v>
      </c>
      <c r="L4746" s="5" t="s">
        <v>43360</v>
      </c>
      <c r="M4746" s="7" t="s">
        <v>43361</v>
      </c>
      <c r="N4746" s="7" t="s">
        <v>43362</v>
      </c>
      <c r="O4746" s="7">
        <v>2.2029999999999998</v>
      </c>
      <c r="P4746" s="1" t="s">
        <v>43363</v>
      </c>
    </row>
    <row r="4747" spans="1:16" ht="33.4" x14ac:dyDescent="0.3">
      <c r="A4747" s="6" t="str">
        <f>HYPERLINK("https://www.ti.com/product/TPS54312", "TPS54312")</f>
        <v>TPS54312</v>
      </c>
      <c r="B4747" s="5" t="s">
        <v>43364</v>
      </c>
      <c r="C4747" s="6" t="str">
        <f>HYPERLINK("https://www.ti.com/lit/gpn/TPS54312", "PDF")</f>
        <v>PDF</v>
      </c>
      <c r="D4747" s="5" t="s">
        <v>43365</v>
      </c>
      <c r="E4747" s="5" t="s">
        <v>43366</v>
      </c>
      <c r="F4747" s="5" t="s">
        <v>43367</v>
      </c>
      <c r="G4747" s="5" t="s">
        <v>43368</v>
      </c>
      <c r="H4747" s="1" t="s">
        <v>43369</v>
      </c>
      <c r="I4747" s="5" t="s">
        <v>43370</v>
      </c>
      <c r="J4747" s="7">
        <v>20</v>
      </c>
      <c r="K4747" s="7">
        <v>41.6</v>
      </c>
      <c r="L4747" s="5" t="s">
        <v>43371</v>
      </c>
      <c r="M4747" s="7">
        <v>1.2</v>
      </c>
      <c r="N4747" s="7">
        <v>0.65</v>
      </c>
      <c r="O4747" s="7">
        <v>2.742</v>
      </c>
      <c r="P4747" s="1" t="s">
        <v>43372</v>
      </c>
    </row>
    <row r="4748" spans="1:16" ht="33.4" x14ac:dyDescent="0.3">
      <c r="A4748" s="6" t="str">
        <f>HYPERLINK("https://www.ti.com/product/TPS54313", "TPS54313")</f>
        <v>TPS54313</v>
      </c>
      <c r="B4748" s="5" t="s">
        <v>43373</v>
      </c>
      <c r="C4748" s="6" t="str">
        <f>HYPERLINK("https://www.ti.com/lit/gpn/TPS54313", "PDF")</f>
        <v>PDF</v>
      </c>
      <c r="D4748" s="5" t="s">
        <v>43374</v>
      </c>
      <c r="E4748" s="5" t="s">
        <v>43375</v>
      </c>
      <c r="F4748" s="5" t="s">
        <v>43376</v>
      </c>
      <c r="G4748" s="5" t="s">
        <v>43377</v>
      </c>
      <c r="H4748" s="1" t="s">
        <v>43378</v>
      </c>
      <c r="I4748" s="5" t="s">
        <v>43379</v>
      </c>
      <c r="J4748" s="7">
        <v>20</v>
      </c>
      <c r="K4748" s="7">
        <v>41.6</v>
      </c>
      <c r="L4748" s="5" t="s">
        <v>43380</v>
      </c>
      <c r="M4748" s="7">
        <v>1.2</v>
      </c>
      <c r="N4748" s="7">
        <v>0.65</v>
      </c>
      <c r="O4748" s="7">
        <v>2.694</v>
      </c>
      <c r="P4748" s="1" t="s">
        <v>43381</v>
      </c>
    </row>
    <row r="4749" spans="1:16" ht="33.4" x14ac:dyDescent="0.3">
      <c r="A4749" s="6" t="str">
        <f>HYPERLINK("https://www.ti.com/product/TPS54315", "TPS54315")</f>
        <v>TPS54315</v>
      </c>
      <c r="B4749" s="5" t="s">
        <v>43382</v>
      </c>
      <c r="C4749" s="6" t="str">
        <f>HYPERLINK("https://www.ti.com/lit/gpn/TPS54315", "PDF")</f>
        <v>PDF</v>
      </c>
      <c r="D4749" s="5" t="s">
        <v>43383</v>
      </c>
      <c r="E4749" s="5" t="s">
        <v>43384</v>
      </c>
      <c r="F4749" s="5" t="s">
        <v>43385</v>
      </c>
      <c r="G4749" s="5" t="s">
        <v>43386</v>
      </c>
      <c r="H4749" s="1" t="s">
        <v>43387</v>
      </c>
      <c r="I4749" s="5" t="s">
        <v>43388</v>
      </c>
      <c r="J4749" s="7">
        <v>20</v>
      </c>
      <c r="K4749" s="7">
        <v>41.6</v>
      </c>
      <c r="L4749" s="5" t="s">
        <v>43389</v>
      </c>
      <c r="M4749" s="7">
        <v>1.2</v>
      </c>
      <c r="N4749" s="7">
        <v>0.65</v>
      </c>
      <c r="O4749" s="7">
        <v>2.694</v>
      </c>
      <c r="P4749" s="1" t="s">
        <v>43390</v>
      </c>
    </row>
    <row r="4750" spans="1:16" ht="33.4" x14ac:dyDescent="0.3">
      <c r="A4750" s="6" t="str">
        <f>HYPERLINK("https://www.ti.com/product/TPS54316", "TPS54316")</f>
        <v>TPS54316</v>
      </c>
      <c r="B4750" s="5" t="s">
        <v>43391</v>
      </c>
      <c r="C4750" s="6" t="str">
        <f>HYPERLINK("https://www.ti.com/lit/gpn/TPS54316", "PDF")</f>
        <v>PDF</v>
      </c>
      <c r="D4750" s="5" t="s">
        <v>43392</v>
      </c>
      <c r="E4750" s="5" t="s">
        <v>43393</v>
      </c>
      <c r="F4750" s="5" t="s">
        <v>43394</v>
      </c>
      <c r="G4750" s="5" t="s">
        <v>43395</v>
      </c>
      <c r="H4750" s="1" t="s">
        <v>43396</v>
      </c>
      <c r="I4750" s="5" t="s">
        <v>43397</v>
      </c>
      <c r="J4750" s="7">
        <v>20</v>
      </c>
      <c r="K4750" s="7">
        <v>41.6</v>
      </c>
      <c r="L4750" s="5" t="s">
        <v>43398</v>
      </c>
      <c r="M4750" s="7">
        <v>1.2</v>
      </c>
      <c r="N4750" s="7">
        <v>0.65</v>
      </c>
      <c r="O4750" s="7">
        <v>2.7690000000000001</v>
      </c>
      <c r="P4750" s="1" t="s">
        <v>43399</v>
      </c>
    </row>
    <row r="4751" spans="1:16" ht="33.4" x14ac:dyDescent="0.3">
      <c r="A4751" s="6" t="str">
        <f>HYPERLINK("https://www.ti.com/product/LM2704", "LM2704")</f>
        <v>LM2704</v>
      </c>
      <c r="B4751" s="5" t="s">
        <v>43400</v>
      </c>
      <c r="C4751" s="6" t="str">
        <f>HYPERLINK("https://www.ti.com/lit/gpn/LM2704", "PDF")</f>
        <v>PDF</v>
      </c>
      <c r="D4751" s="5" t="s">
        <v>43401</v>
      </c>
      <c r="E4751" s="5" t="s">
        <v>43402</v>
      </c>
      <c r="F4751" s="5" t="s">
        <v>43403</v>
      </c>
      <c r="G4751" s="5" t="s">
        <v>43404</v>
      </c>
      <c r="H4751" s="1" t="s">
        <v>43405</v>
      </c>
      <c r="I4751" s="5" t="s">
        <v>43406</v>
      </c>
      <c r="J4751" s="7">
        <v>5</v>
      </c>
      <c r="K4751" s="7">
        <v>8.1199999999999992</v>
      </c>
      <c r="L4751" s="5" t="s">
        <v>43407</v>
      </c>
      <c r="M4751" s="7">
        <v>1.45</v>
      </c>
      <c r="N4751" s="7">
        <v>0.95</v>
      </c>
      <c r="O4751" s="7">
        <v>0.89500000000000002</v>
      </c>
      <c r="P4751" s="1" t="s">
        <v>43408</v>
      </c>
    </row>
    <row r="4752" spans="1:16" ht="33.4" x14ac:dyDescent="0.3">
      <c r="A4752" s="6" t="str">
        <f>HYPERLINK("https://www.ti.com/product/LP3982", "LP3982")</f>
        <v>LP3982</v>
      </c>
      <c r="B4752" s="5" t="s">
        <v>43409</v>
      </c>
      <c r="C4752" s="6" t="str">
        <f>HYPERLINK("https://www.ti.com/lit/gpn/LP3982", "PDF")</f>
        <v>PDF</v>
      </c>
      <c r="D4752" s="5" t="s">
        <v>43410</v>
      </c>
      <c r="E4752" s="5" t="s">
        <v>43411</v>
      </c>
      <c r="F4752" s="5"/>
      <c r="G4752" s="5" t="s">
        <v>43412</v>
      </c>
      <c r="H4752" s="1" t="s">
        <v>43413</v>
      </c>
      <c r="I4752" s="5" t="s">
        <v>43414</v>
      </c>
      <c r="J4752" s="7">
        <v>8</v>
      </c>
      <c r="K4752" s="7" t="s">
        <v>43415</v>
      </c>
      <c r="L4752" s="5" t="s">
        <v>43416</v>
      </c>
      <c r="M4752" s="7" t="s">
        <v>43417</v>
      </c>
      <c r="N4752" s="7" t="s">
        <v>43418</v>
      </c>
      <c r="O4752" s="7">
        <v>0.186</v>
      </c>
      <c r="P4752" s="1" t="s">
        <v>43419</v>
      </c>
    </row>
    <row r="4753" spans="1:16" ht="33.4" x14ac:dyDescent="0.3">
      <c r="A4753" s="6" t="str">
        <f>HYPERLINK("https://www.ti.com/product/TPS60243", "TPS60243")</f>
        <v>TPS60243</v>
      </c>
      <c r="B4753" s="5" t="s">
        <v>43420</v>
      </c>
      <c r="C4753" s="6" t="str">
        <f>HYPERLINK("https://www.ti.com/lit/gpn/TPS60243", "PDF")</f>
        <v>PDF</v>
      </c>
      <c r="D4753" s="5" t="s">
        <v>43421</v>
      </c>
      <c r="E4753" s="5" t="s">
        <v>43422</v>
      </c>
      <c r="F4753" s="5"/>
      <c r="G4753" s="5" t="s">
        <v>43423</v>
      </c>
      <c r="H4753" s="1" t="s">
        <v>43424</v>
      </c>
      <c r="I4753" s="5" t="s">
        <v>43425</v>
      </c>
      <c r="J4753" s="7">
        <v>8</v>
      </c>
      <c r="K4753" s="7">
        <v>14.7</v>
      </c>
      <c r="L4753" s="5" t="s">
        <v>43426</v>
      </c>
      <c r="M4753" s="7">
        <v>1.1000000000000001</v>
      </c>
      <c r="N4753" s="7">
        <v>0.65</v>
      </c>
      <c r="O4753" s="7">
        <v>0.76500000000000001</v>
      </c>
      <c r="P4753" s="1" t="s">
        <v>43427</v>
      </c>
    </row>
    <row r="4754" spans="1:16" ht="33.4" x14ac:dyDescent="0.3">
      <c r="A4754" s="6" t="str">
        <f>HYPERLINK("https://www.ti.com/product/TPS769-Q1", "TPS769-Q1")</f>
        <v>TPS769-Q1</v>
      </c>
      <c r="B4754" s="5" t="s">
        <v>43428</v>
      </c>
      <c r="C4754" s="6" t="str">
        <f>HYPERLINK("https://www.ti.com/lit/gpn/TPS769-Q1", "PDF")</f>
        <v>PDF</v>
      </c>
      <c r="D4754" s="5" t="s">
        <v>43429</v>
      </c>
      <c r="E4754" s="5" t="s">
        <v>43430</v>
      </c>
      <c r="F4754" s="5"/>
      <c r="G4754" s="5" t="s">
        <v>43431</v>
      </c>
      <c r="H4754" s="1" t="s">
        <v>43432</v>
      </c>
      <c r="I4754" s="5" t="s">
        <v>43433</v>
      </c>
      <c r="J4754" s="7">
        <v>5</v>
      </c>
      <c r="K4754" s="7">
        <v>8.1199999999999992</v>
      </c>
      <c r="L4754" s="5" t="s">
        <v>43434</v>
      </c>
      <c r="M4754" s="7">
        <v>1.45</v>
      </c>
      <c r="N4754" s="7">
        <v>0.95</v>
      </c>
      <c r="O4754" s="7">
        <v>0.38200000000000001</v>
      </c>
      <c r="P4754" s="1" t="s">
        <v>43435</v>
      </c>
    </row>
    <row r="4755" spans="1:16" ht="33.4" x14ac:dyDescent="0.3">
      <c r="A4755" s="6" t="str">
        <f>HYPERLINK("https://www.ti.com/product/TPS54310", "TPS54310")</f>
        <v>TPS54310</v>
      </c>
      <c r="B4755" s="5" t="s">
        <v>43436</v>
      </c>
      <c r="C4755" s="6" t="str">
        <f>HYPERLINK("https://www.ti.com/lit/gpn/TPS54310", "PDF")</f>
        <v>PDF</v>
      </c>
      <c r="D4755" s="5" t="s">
        <v>43437</v>
      </c>
      <c r="E4755" s="5" t="s">
        <v>43438</v>
      </c>
      <c r="F4755" s="5" t="s">
        <v>43439</v>
      </c>
      <c r="G4755" s="5" t="s">
        <v>43440</v>
      </c>
      <c r="H4755" s="1" t="s">
        <v>43441</v>
      </c>
      <c r="I4755" s="5" t="s">
        <v>43442</v>
      </c>
      <c r="J4755" s="7">
        <v>20</v>
      </c>
      <c r="K4755" s="7">
        <v>41.6</v>
      </c>
      <c r="L4755" s="5" t="s">
        <v>43443</v>
      </c>
      <c r="M4755" s="7">
        <v>1.2</v>
      </c>
      <c r="N4755" s="7">
        <v>0.65</v>
      </c>
      <c r="O4755" s="7">
        <v>1.4950000000000001</v>
      </c>
      <c r="P4755" s="1" t="s">
        <v>43444</v>
      </c>
    </row>
    <row r="4756" spans="1:16" ht="49.75" x14ac:dyDescent="0.3">
      <c r="A4756" s="6" t="str">
        <f>HYPERLINK("https://www.ti.com/product/LP3856", "LP3856")</f>
        <v>LP3856</v>
      </c>
      <c r="B4756" s="5" t="s">
        <v>43445</v>
      </c>
      <c r="C4756" s="6" t="str">
        <f>HYPERLINK("https://www.ti.com/lit/gpn/LP3856", "PDF")</f>
        <v>PDF</v>
      </c>
      <c r="D4756" s="5" t="s">
        <v>43446</v>
      </c>
      <c r="E4756" s="5" t="s">
        <v>43447</v>
      </c>
      <c r="F4756" s="5"/>
      <c r="G4756" s="5" t="s">
        <v>43448</v>
      </c>
      <c r="H4756" s="1" t="s">
        <v>43449</v>
      </c>
      <c r="I4756" s="5" t="s">
        <v>43450</v>
      </c>
      <c r="J4756" s="7">
        <v>5</v>
      </c>
      <c r="K4756" s="7" t="s">
        <v>43451</v>
      </c>
      <c r="L4756" s="5" t="s">
        <v>43452</v>
      </c>
      <c r="M4756" s="7" t="s">
        <v>43453</v>
      </c>
      <c r="N4756" s="7">
        <v>1.7</v>
      </c>
      <c r="O4756" s="7">
        <v>2.14</v>
      </c>
      <c r="P4756" s="1" t="s">
        <v>43454</v>
      </c>
    </row>
    <row r="4757" spans="1:16" ht="33.4" x14ac:dyDescent="0.3">
      <c r="A4757" s="6" t="str">
        <f>HYPERLINK("https://www.ti.com/product/TPS60500", "TPS60500")</f>
        <v>TPS60500</v>
      </c>
      <c r="B4757" s="5" t="s">
        <v>43455</v>
      </c>
      <c r="C4757" s="6" t="str">
        <f>HYPERLINK("https://www.ti.com/lit/gpn/TPS60500", "PDF")</f>
        <v>PDF</v>
      </c>
      <c r="D4757" s="5" t="s">
        <v>43456</v>
      </c>
      <c r="E4757" s="5" t="s">
        <v>43457</v>
      </c>
      <c r="F4757" s="5"/>
      <c r="G4757" s="5" t="s">
        <v>43458</v>
      </c>
      <c r="H4757" s="1" t="s">
        <v>43459</v>
      </c>
      <c r="I4757" s="5" t="s">
        <v>43460</v>
      </c>
      <c r="J4757" s="7">
        <v>10</v>
      </c>
      <c r="K4757" s="7">
        <v>14.7</v>
      </c>
      <c r="L4757" s="5" t="s">
        <v>43461</v>
      </c>
      <c r="M4757" s="7">
        <v>1.1000000000000001</v>
      </c>
      <c r="N4757" s="7">
        <v>0.5</v>
      </c>
      <c r="O4757" s="7">
        <v>0.48299999999999998</v>
      </c>
      <c r="P4757" s="1" t="s">
        <v>43462</v>
      </c>
    </row>
    <row r="4758" spans="1:16" ht="33.4" x14ac:dyDescent="0.3">
      <c r="A4758" s="6" t="str">
        <f>HYPERLINK("https://www.ti.com/product/TPS60501", "TPS60501")</f>
        <v>TPS60501</v>
      </c>
      <c r="B4758" s="5" t="s">
        <v>43463</v>
      </c>
      <c r="C4758" s="6" t="str">
        <f>HYPERLINK("https://www.ti.com/lit/gpn/TPS60501", "PDF")</f>
        <v>PDF</v>
      </c>
      <c r="D4758" s="5" t="s">
        <v>43464</v>
      </c>
      <c r="E4758" s="5" t="s">
        <v>43465</v>
      </c>
      <c r="F4758" s="5"/>
      <c r="G4758" s="5" t="s">
        <v>43466</v>
      </c>
      <c r="H4758" s="1" t="s">
        <v>43467</v>
      </c>
      <c r="I4758" s="5" t="s">
        <v>43468</v>
      </c>
      <c r="J4758" s="7">
        <v>10</v>
      </c>
      <c r="K4758" s="7">
        <v>14.7</v>
      </c>
      <c r="L4758" s="5" t="s">
        <v>43469</v>
      </c>
      <c r="M4758" s="7">
        <v>1.1000000000000001</v>
      </c>
      <c r="N4758" s="7">
        <v>0.5</v>
      </c>
      <c r="O4758" s="7">
        <v>0.48299999999999998</v>
      </c>
      <c r="P4758" s="1" t="s">
        <v>43470</v>
      </c>
    </row>
    <row r="4759" spans="1:16" ht="33.4" x14ac:dyDescent="0.3">
      <c r="A4759" s="6" t="str">
        <f>HYPERLINK("https://www.ti.com/product/TPS60503", "TPS60503")</f>
        <v>TPS60503</v>
      </c>
      <c r="B4759" s="5" t="s">
        <v>43471</v>
      </c>
      <c r="C4759" s="6" t="str">
        <f>HYPERLINK("https://www.ti.com/lit/gpn/TPS60503", "PDF")</f>
        <v>PDF</v>
      </c>
      <c r="D4759" s="5" t="s">
        <v>43472</v>
      </c>
      <c r="E4759" s="5" t="s">
        <v>43473</v>
      </c>
      <c r="F4759" s="5"/>
      <c r="G4759" s="5" t="s">
        <v>43474</v>
      </c>
      <c r="H4759" s="1" t="s">
        <v>43475</v>
      </c>
      <c r="I4759" s="5" t="s">
        <v>43476</v>
      </c>
      <c r="J4759" s="7">
        <v>10</v>
      </c>
      <c r="K4759" s="7">
        <v>14.7</v>
      </c>
      <c r="L4759" s="5" t="s">
        <v>43477</v>
      </c>
      <c r="M4759" s="7">
        <v>1.1000000000000001</v>
      </c>
      <c r="N4759" s="7">
        <v>0.5</v>
      </c>
      <c r="O4759" s="7">
        <v>0.48299999999999998</v>
      </c>
      <c r="P4759" s="1" t="s">
        <v>43478</v>
      </c>
    </row>
    <row r="4760" spans="1:16" ht="66.150000000000006" x14ac:dyDescent="0.3">
      <c r="A4760" s="6" t="str">
        <f>HYPERLINK("https://www.ti.com/product/UA78M", "UA78M")</f>
        <v>UA78M</v>
      </c>
      <c r="B4760" s="5" t="s">
        <v>43479</v>
      </c>
      <c r="C4760" s="6" t="str">
        <f>HYPERLINK("https://www.ti.com/lit/gpn/UA78M", "PDF")</f>
        <v>PDF</v>
      </c>
      <c r="D4760" s="5" t="s">
        <v>43480</v>
      </c>
      <c r="E4760" s="5" t="s">
        <v>43481</v>
      </c>
      <c r="F4760" s="5"/>
      <c r="G4760" s="5" t="s">
        <v>43482</v>
      </c>
      <c r="H4760" s="1" t="s">
        <v>43483</v>
      </c>
      <c r="I4760" s="5" t="s">
        <v>43484</v>
      </c>
      <c r="J4760" s="7" t="s">
        <v>43485</v>
      </c>
      <c r="K4760" s="7" t="s">
        <v>43486</v>
      </c>
      <c r="L4760" s="5" t="s">
        <v>43487</v>
      </c>
      <c r="M4760" s="7" t="s">
        <v>43488</v>
      </c>
      <c r="N4760" s="7" t="s">
        <v>43489</v>
      </c>
      <c r="O4760" s="7">
        <v>0.18099999999999999</v>
      </c>
      <c r="P4760" s="1" t="s">
        <v>43490</v>
      </c>
    </row>
    <row r="4761" spans="1:16" ht="33.4" x14ac:dyDescent="0.3">
      <c r="A4761" s="6" t="str">
        <f>HYPERLINK("https://www.ti.com/product/UC1709-SP", "UC1709-SP")</f>
        <v>UC1709-SP</v>
      </c>
      <c r="B4761" s="5" t="s">
        <v>43491</v>
      </c>
      <c r="C4761" s="6" t="str">
        <f>HYPERLINK("https://www.ti.com/lit/gpn/UC1709-SP", "PDF")</f>
        <v>PDF</v>
      </c>
      <c r="D4761" s="5" t="s">
        <v>43492</v>
      </c>
      <c r="E4761" s="5" t="s">
        <v>43493</v>
      </c>
      <c r="F4761" s="5"/>
      <c r="G4761" s="5" t="s">
        <v>43494</v>
      </c>
      <c r="H4761" s="1" t="s">
        <v>43495</v>
      </c>
      <c r="I4761" s="5" t="s">
        <v>43496</v>
      </c>
      <c r="J4761" s="7">
        <v>8</v>
      </c>
      <c r="K4761" s="7">
        <v>64.031999999999996</v>
      </c>
      <c r="L4761" s="5" t="s">
        <v>43497</v>
      </c>
      <c r="M4761" s="7">
        <v>5.08</v>
      </c>
      <c r="N4761" s="7">
        <v>2.54</v>
      </c>
      <c r="O4761" s="7">
        <v>245.16200000000001</v>
      </c>
      <c r="P4761" s="1" t="s">
        <v>43498</v>
      </c>
    </row>
    <row r="4762" spans="1:16" ht="49.75" x14ac:dyDescent="0.3">
      <c r="A4762" s="6" t="str">
        <f>HYPERLINK("https://www.ti.com/product/LM9076", "LM9076")</f>
        <v>LM9076</v>
      </c>
      <c r="B4762" s="5" t="s">
        <v>43499</v>
      </c>
      <c r="C4762" s="6" t="str">
        <f>HYPERLINK("https://www.ti.com/lit/gpn/LM9076", "PDF")</f>
        <v>PDF</v>
      </c>
      <c r="D4762" s="5" t="s">
        <v>43500</v>
      </c>
      <c r="E4762" s="5" t="s">
        <v>43501</v>
      </c>
      <c r="F4762" s="5"/>
      <c r="G4762" s="5" t="s">
        <v>43502</v>
      </c>
      <c r="H4762" s="1" t="s">
        <v>43503</v>
      </c>
      <c r="I4762" s="5" t="s">
        <v>43504</v>
      </c>
      <c r="J4762" s="7" t="s">
        <v>43505</v>
      </c>
      <c r="K4762" s="7" t="s">
        <v>43506</v>
      </c>
      <c r="L4762" s="5" t="s">
        <v>43507</v>
      </c>
      <c r="M4762" s="7" t="s">
        <v>43508</v>
      </c>
      <c r="N4762" s="7" t="s">
        <v>43509</v>
      </c>
      <c r="O4762" s="7">
        <v>1.0369999999999999</v>
      </c>
      <c r="P4762" s="1" t="s">
        <v>43510</v>
      </c>
    </row>
    <row r="4763" spans="1:16" ht="49.75" x14ac:dyDescent="0.3">
      <c r="A4763" s="6" t="str">
        <f>HYPERLINK("https://www.ti.com/product/LP2992", "LP2992")</f>
        <v>LP2992</v>
      </c>
      <c r="B4763" s="5" t="s">
        <v>43511</v>
      </c>
      <c r="C4763" s="6" t="str">
        <f>HYPERLINK("https://www.ti.com/lit/gpn/LP2992", "PDF")</f>
        <v>PDF</v>
      </c>
      <c r="D4763" s="5" t="s">
        <v>43512</v>
      </c>
      <c r="E4763" s="5" t="s">
        <v>43513</v>
      </c>
      <c r="F4763" s="5"/>
      <c r="G4763" s="5" t="s">
        <v>43514</v>
      </c>
      <c r="H4763" s="1" t="s">
        <v>43515</v>
      </c>
      <c r="I4763" s="5" t="s">
        <v>43516</v>
      </c>
      <c r="J4763" s="7" t="s">
        <v>43517</v>
      </c>
      <c r="K4763" s="7" t="s">
        <v>43518</v>
      </c>
      <c r="L4763" s="5" t="s">
        <v>43519</v>
      </c>
      <c r="M4763" s="7" t="s">
        <v>43520</v>
      </c>
      <c r="N4763" s="7">
        <v>0.95</v>
      </c>
      <c r="O4763" s="7">
        <v>0.38400000000000001</v>
      </c>
      <c r="P4763" s="1" t="s">
        <v>43521</v>
      </c>
    </row>
    <row r="4764" spans="1:16" ht="33.4" x14ac:dyDescent="0.3">
      <c r="A4764" s="6" t="str">
        <f>HYPERLINK("https://www.ti.com/product/LP2983", "LP2983")</f>
        <v>LP2983</v>
      </c>
      <c r="B4764" s="5" t="s">
        <v>43522</v>
      </c>
      <c r="C4764" s="6" t="str">
        <f>HYPERLINK("https://www.ti.com/lit/gpn/LP2983", "PDF")</f>
        <v>PDF</v>
      </c>
      <c r="D4764" s="5" t="s">
        <v>43523</v>
      </c>
      <c r="E4764" s="5" t="s">
        <v>43524</v>
      </c>
      <c r="F4764" s="5"/>
      <c r="G4764" s="5" t="s">
        <v>43525</v>
      </c>
      <c r="H4764" s="1" t="s">
        <v>43526</v>
      </c>
      <c r="I4764" s="5" t="s">
        <v>43527</v>
      </c>
      <c r="J4764" s="7">
        <v>5</v>
      </c>
      <c r="K4764" s="7">
        <v>8.1199999999999992</v>
      </c>
      <c r="L4764" s="5" t="s">
        <v>43528</v>
      </c>
      <c r="M4764" s="7">
        <v>1.45</v>
      </c>
      <c r="N4764" s="7">
        <v>0.95</v>
      </c>
      <c r="O4764" s="7">
        <v>0.626</v>
      </c>
      <c r="P4764" s="1" t="s">
        <v>43529</v>
      </c>
    </row>
    <row r="4765" spans="1:16" ht="49.75" x14ac:dyDescent="0.3">
      <c r="A4765" s="6" t="str">
        <f>HYPERLINK("https://www.ti.com/product/LP3995", "LP3995")</f>
        <v>LP3995</v>
      </c>
      <c r="B4765" s="5" t="s">
        <v>43530</v>
      </c>
      <c r="C4765" s="6" t="str">
        <f>HYPERLINK("https://www.ti.com/lit/gpn/LP3995", "PDF")</f>
        <v>PDF</v>
      </c>
      <c r="D4765" s="5" t="s">
        <v>43531</v>
      </c>
      <c r="E4765" s="5" t="s">
        <v>43532</v>
      </c>
      <c r="F4765" s="5"/>
      <c r="G4765" s="5" t="s">
        <v>43533</v>
      </c>
      <c r="H4765" s="1" t="s">
        <v>43534</v>
      </c>
      <c r="I4765" s="5" t="s">
        <v>43535</v>
      </c>
      <c r="J4765" s="7" t="s">
        <v>43536</v>
      </c>
      <c r="K4765" s="7" t="s">
        <v>43537</v>
      </c>
      <c r="L4765" s="5" t="s">
        <v>43538</v>
      </c>
      <c r="M4765" s="7" t="s">
        <v>43539</v>
      </c>
      <c r="N4765" s="7" t="s">
        <v>43540</v>
      </c>
      <c r="O4765" s="7">
        <v>0.217</v>
      </c>
      <c r="P4765" s="1" t="s">
        <v>43541</v>
      </c>
    </row>
    <row r="4766" spans="1:16" ht="33.4" x14ac:dyDescent="0.3">
      <c r="A4766" s="6" t="str">
        <f>HYPERLINK("https://www.ti.com/product/LP3981", "LP3981")</f>
        <v>LP3981</v>
      </c>
      <c r="B4766" s="5" t="s">
        <v>43542</v>
      </c>
      <c r="C4766" s="6" t="str">
        <f>HYPERLINK("https://www.ti.com/lit/gpn/LP3981", "PDF")</f>
        <v>PDF</v>
      </c>
      <c r="D4766" s="5" t="s">
        <v>43543</v>
      </c>
      <c r="E4766" s="5" t="s">
        <v>43544</v>
      </c>
      <c r="F4766" s="5"/>
      <c r="G4766" s="5" t="s">
        <v>43545</v>
      </c>
      <c r="H4766" s="1" t="s">
        <v>43546</v>
      </c>
      <c r="I4766" s="5" t="s">
        <v>43547</v>
      </c>
      <c r="J4766" s="7" t="s">
        <v>43548</v>
      </c>
      <c r="K4766" s="7" t="s">
        <v>43549</v>
      </c>
      <c r="L4766" s="5" t="s">
        <v>43550</v>
      </c>
      <c r="M4766" s="7" t="s">
        <v>43551</v>
      </c>
      <c r="N4766" s="7" t="s">
        <v>43552</v>
      </c>
      <c r="O4766" s="7">
        <v>0.245</v>
      </c>
      <c r="P4766" s="1" t="s">
        <v>43553</v>
      </c>
    </row>
    <row r="4767" spans="1:16" ht="49.75" x14ac:dyDescent="0.3">
      <c r="A4767" s="6" t="str">
        <f>HYPERLINK("https://www.ti.com/product/UCC27323", "UCC27323")</f>
        <v>UCC27323</v>
      </c>
      <c r="B4767" s="5" t="s">
        <v>43554</v>
      </c>
      <c r="C4767" s="6" t="str">
        <f>HYPERLINK("https://www.ti.com/lit/gpn/UCC27323", "PDF")</f>
        <v>PDF</v>
      </c>
      <c r="D4767" s="5" t="s">
        <v>43555</v>
      </c>
      <c r="E4767" s="5" t="s">
        <v>43556</v>
      </c>
      <c r="F4767" s="5"/>
      <c r="G4767" s="5" t="s">
        <v>43557</v>
      </c>
      <c r="H4767" s="1" t="s">
        <v>43558</v>
      </c>
      <c r="I4767" s="5" t="s">
        <v>43559</v>
      </c>
      <c r="J4767" s="7">
        <v>8</v>
      </c>
      <c r="K4767" s="7" t="s">
        <v>43560</v>
      </c>
      <c r="L4767" s="5" t="s">
        <v>43561</v>
      </c>
      <c r="M4767" s="7" t="s">
        <v>43562</v>
      </c>
      <c r="N4767" s="7" t="s">
        <v>43563</v>
      </c>
      <c r="O4767" s="7">
        <v>0.47599999999999998</v>
      </c>
      <c r="P4767" s="1" t="s">
        <v>43564</v>
      </c>
    </row>
    <row r="4768" spans="1:16" ht="49.75" x14ac:dyDescent="0.3">
      <c r="A4768" s="6" t="str">
        <f>HYPERLINK("https://www.ti.com/product/UCC27324", "UCC27324")</f>
        <v>UCC27324</v>
      </c>
      <c r="B4768" s="5" t="s">
        <v>43565</v>
      </c>
      <c r="C4768" s="6" t="str">
        <f>HYPERLINK("https://www.ti.com/lit/gpn/UCC27324", "PDF")</f>
        <v>PDF</v>
      </c>
      <c r="D4768" s="5" t="s">
        <v>43566</v>
      </c>
      <c r="E4768" s="5" t="s">
        <v>43567</v>
      </c>
      <c r="F4768" s="5"/>
      <c r="G4768" s="5" t="s">
        <v>43568</v>
      </c>
      <c r="H4768" s="1" t="s">
        <v>43569</v>
      </c>
      <c r="I4768" s="5" t="s">
        <v>43570</v>
      </c>
      <c r="J4768" s="7">
        <v>8</v>
      </c>
      <c r="K4768" s="7" t="s">
        <v>43571</v>
      </c>
      <c r="L4768" s="5" t="s">
        <v>43572</v>
      </c>
      <c r="M4768" s="7" t="s">
        <v>43573</v>
      </c>
      <c r="N4768" s="7" t="s">
        <v>43574</v>
      </c>
      <c r="O4768" s="7">
        <v>0.47599999999999998</v>
      </c>
      <c r="P4768" s="1" t="s">
        <v>43575</v>
      </c>
    </row>
    <row r="4769" spans="1:16" ht="49.75" x14ac:dyDescent="0.3">
      <c r="A4769" s="6" t="str">
        <f>HYPERLINK("https://www.ti.com/product/UCC27325", "UCC27325")</f>
        <v>UCC27325</v>
      </c>
      <c r="B4769" s="5" t="s">
        <v>43576</v>
      </c>
      <c r="C4769" s="6" t="str">
        <f>HYPERLINK("https://www.ti.com/lit/gpn/UCC27325", "PDF")</f>
        <v>PDF</v>
      </c>
      <c r="D4769" s="5" t="s">
        <v>43577</v>
      </c>
      <c r="E4769" s="5" t="s">
        <v>43578</v>
      </c>
      <c r="F4769" s="5"/>
      <c r="G4769" s="5" t="s">
        <v>43579</v>
      </c>
      <c r="H4769" s="1" t="s">
        <v>43580</v>
      </c>
      <c r="I4769" s="5" t="s">
        <v>43581</v>
      </c>
      <c r="J4769" s="7">
        <v>8</v>
      </c>
      <c r="K4769" s="7" t="s">
        <v>43582</v>
      </c>
      <c r="L4769" s="5" t="s">
        <v>43583</v>
      </c>
      <c r="M4769" s="7" t="s">
        <v>43584</v>
      </c>
      <c r="N4769" s="7" t="s">
        <v>43585</v>
      </c>
      <c r="O4769" s="7">
        <v>0.47599999999999998</v>
      </c>
      <c r="P4769" s="1" t="s">
        <v>43586</v>
      </c>
    </row>
    <row r="4770" spans="1:16" ht="49.75" x14ac:dyDescent="0.3">
      <c r="A4770" s="6" t="str">
        <f>HYPERLINK("https://www.ti.com/product/UCC37323", "UCC37323")</f>
        <v>UCC37323</v>
      </c>
      <c r="B4770" s="5" t="s">
        <v>43587</v>
      </c>
      <c r="C4770" s="6" t="str">
        <f>HYPERLINK("https://www.ti.com/lit/gpn/UCC37323", "PDF")</f>
        <v>PDF</v>
      </c>
      <c r="D4770" s="5" t="s">
        <v>43588</v>
      </c>
      <c r="E4770" s="5" t="s">
        <v>43589</v>
      </c>
      <c r="F4770" s="5"/>
      <c r="G4770" s="5" t="s">
        <v>43590</v>
      </c>
      <c r="H4770" s="1" t="s">
        <v>43591</v>
      </c>
      <c r="I4770" s="5" t="s">
        <v>43592</v>
      </c>
      <c r="J4770" s="7">
        <v>8</v>
      </c>
      <c r="K4770" s="7" t="s">
        <v>43593</v>
      </c>
      <c r="L4770" s="5" t="s">
        <v>43594</v>
      </c>
      <c r="M4770" s="7" t="s">
        <v>43595</v>
      </c>
      <c r="N4770" s="7" t="s">
        <v>43596</v>
      </c>
      <c r="O4770" s="7">
        <v>0.374</v>
      </c>
      <c r="P4770" s="1" t="s">
        <v>43597</v>
      </c>
    </row>
    <row r="4771" spans="1:16" ht="49.75" x14ac:dyDescent="0.3">
      <c r="A4771" s="6" t="str">
        <f>HYPERLINK("https://www.ti.com/product/UCC37324", "UCC37324")</f>
        <v>UCC37324</v>
      </c>
      <c r="B4771" s="5" t="s">
        <v>43598</v>
      </c>
      <c r="C4771" s="6" t="str">
        <f>HYPERLINK("https://www.ti.com/lit/gpn/UCC37324", "PDF")</f>
        <v>PDF</v>
      </c>
      <c r="D4771" s="5" t="s">
        <v>43599</v>
      </c>
      <c r="E4771" s="5" t="s">
        <v>43600</v>
      </c>
      <c r="F4771" s="5"/>
      <c r="G4771" s="5" t="s">
        <v>43601</v>
      </c>
      <c r="H4771" s="1" t="s">
        <v>43602</v>
      </c>
      <c r="I4771" s="5" t="s">
        <v>43603</v>
      </c>
      <c r="J4771" s="7">
        <v>8</v>
      </c>
      <c r="K4771" s="7" t="s">
        <v>43604</v>
      </c>
      <c r="L4771" s="5" t="s">
        <v>43605</v>
      </c>
      <c r="M4771" s="7" t="s">
        <v>43606</v>
      </c>
      <c r="N4771" s="7" t="s">
        <v>43607</v>
      </c>
      <c r="O4771" s="7">
        <v>0.374</v>
      </c>
      <c r="P4771" s="1" t="s">
        <v>43608</v>
      </c>
    </row>
    <row r="4772" spans="1:16" ht="49.75" x14ac:dyDescent="0.3">
      <c r="A4772" s="6" t="str">
        <f>HYPERLINK("https://www.ti.com/product/UCC37325", "UCC37325")</f>
        <v>UCC37325</v>
      </c>
      <c r="B4772" s="5" t="s">
        <v>43609</v>
      </c>
      <c r="C4772" s="6" t="str">
        <f>HYPERLINK("https://www.ti.com/lit/gpn/UCC37325", "PDF")</f>
        <v>PDF</v>
      </c>
      <c r="D4772" s="5" t="s">
        <v>43610</v>
      </c>
      <c r="E4772" s="5" t="s">
        <v>43611</v>
      </c>
      <c r="F4772" s="5"/>
      <c r="G4772" s="5" t="s">
        <v>43612</v>
      </c>
      <c r="H4772" s="1" t="s">
        <v>43613</v>
      </c>
      <c r="I4772" s="5" t="s">
        <v>43614</v>
      </c>
      <c r="J4772" s="7">
        <v>8</v>
      </c>
      <c r="K4772" s="7" t="s">
        <v>43615</v>
      </c>
      <c r="L4772" s="5" t="s">
        <v>43616</v>
      </c>
      <c r="M4772" s="7" t="s">
        <v>43617</v>
      </c>
      <c r="N4772" s="7" t="s">
        <v>43618</v>
      </c>
      <c r="O4772" s="7">
        <v>0.374</v>
      </c>
      <c r="P4772" s="1" t="s">
        <v>43619</v>
      </c>
    </row>
    <row r="4773" spans="1:16" ht="17.05" x14ac:dyDescent="0.3">
      <c r="A4773" s="6" t="str">
        <f>HYPERLINK("https://www.ti.com/product/TPS3103", "TPS3103")</f>
        <v>TPS3103</v>
      </c>
      <c r="B4773" s="5" t="s">
        <v>43620</v>
      </c>
      <c r="C4773" s="6" t="str">
        <f>HYPERLINK("https://www.ti.com/lit/gpn/TPS3103", "PDF")</f>
        <v>PDF</v>
      </c>
      <c r="D4773" s="5" t="s">
        <v>43621</v>
      </c>
      <c r="E4773" s="5" t="s">
        <v>43622</v>
      </c>
      <c r="F4773" s="5"/>
      <c r="G4773" s="5" t="s">
        <v>43623</v>
      </c>
      <c r="H4773" s="1" t="s">
        <v>43624</v>
      </c>
      <c r="I4773" s="5" t="s">
        <v>43625</v>
      </c>
      <c r="J4773" s="7">
        <v>6</v>
      </c>
      <c r="K4773" s="7">
        <v>8.1199999999999992</v>
      </c>
      <c r="L4773" s="5" t="s">
        <v>43626</v>
      </c>
      <c r="M4773" s="7">
        <v>1.45</v>
      </c>
      <c r="N4773" s="7">
        <v>0.95</v>
      </c>
      <c r="O4773" s="7">
        <v>0.97399999999999998</v>
      </c>
      <c r="P4773" s="1" t="s">
        <v>43627</v>
      </c>
    </row>
    <row r="4774" spans="1:16" ht="33.4" x14ac:dyDescent="0.3">
      <c r="A4774" s="6" t="str">
        <f>HYPERLINK("https://www.ti.com/product/TPS793", "TPS793")</f>
        <v>TPS793</v>
      </c>
      <c r="B4774" s="5" t="s">
        <v>43628</v>
      </c>
      <c r="C4774" s="6" t="str">
        <f>HYPERLINK("https://www.ti.com/lit/gpn/TPS793", "PDF")</f>
        <v>PDF</v>
      </c>
      <c r="D4774" s="5" t="s">
        <v>43629</v>
      </c>
      <c r="E4774" s="5" t="s">
        <v>43630</v>
      </c>
      <c r="F4774" s="5"/>
      <c r="G4774" s="5" t="s">
        <v>43631</v>
      </c>
      <c r="H4774" s="1" t="s">
        <v>43632</v>
      </c>
      <c r="I4774" s="5" t="s">
        <v>43633</v>
      </c>
      <c r="J4774" s="7" t="s">
        <v>43634</v>
      </c>
      <c r="K4774" s="7">
        <v>8.1199999999999992</v>
      </c>
      <c r="L4774" s="5" t="s">
        <v>43635</v>
      </c>
      <c r="M4774" s="7">
        <v>1.45</v>
      </c>
      <c r="N4774" s="7">
        <v>0.95</v>
      </c>
      <c r="O4774" s="7">
        <v>9.0999999999999998E-2</v>
      </c>
      <c r="P4774" s="1" t="s">
        <v>43636</v>
      </c>
    </row>
    <row r="4775" spans="1:16" ht="33.4" x14ac:dyDescent="0.3">
      <c r="A4775" s="6" t="str">
        <f>HYPERLINK("https://www.ti.com/product/LM2750", "LM2750")</f>
        <v>LM2750</v>
      </c>
      <c r="B4775" s="5" t="s">
        <v>43637</v>
      </c>
      <c r="C4775" s="6" t="str">
        <f>HYPERLINK("https://www.ti.com/lit/gpn/LM2750", "PDF")</f>
        <v>PDF</v>
      </c>
      <c r="D4775" s="5" t="s">
        <v>43638</v>
      </c>
      <c r="E4775" s="5" t="s">
        <v>43639</v>
      </c>
      <c r="F4775" s="5"/>
      <c r="G4775" s="5" t="s">
        <v>43640</v>
      </c>
      <c r="H4775" s="1" t="s">
        <v>43641</v>
      </c>
      <c r="I4775" s="5" t="s">
        <v>43642</v>
      </c>
      <c r="J4775" s="7">
        <v>10</v>
      </c>
      <c r="K4775" s="7">
        <v>9</v>
      </c>
      <c r="L4775" s="5" t="s">
        <v>43643</v>
      </c>
      <c r="M4775" s="7">
        <v>0.8</v>
      </c>
      <c r="N4775" s="7">
        <v>0.5</v>
      </c>
      <c r="O4775" s="7">
        <v>0.79200000000000004</v>
      </c>
      <c r="P4775" s="1" t="s">
        <v>43644</v>
      </c>
    </row>
    <row r="4776" spans="1:16" ht="33.4" x14ac:dyDescent="0.3">
      <c r="A4776" s="6" t="str">
        <f>HYPERLINK("https://www.ti.com/product/TPS60241", "TPS60241")</f>
        <v>TPS60241</v>
      </c>
      <c r="B4776" s="5" t="s">
        <v>43645</v>
      </c>
      <c r="C4776" s="6" t="str">
        <f>HYPERLINK("https://www.ti.com/lit/gpn/TPS60241", "PDF")</f>
        <v>PDF</v>
      </c>
      <c r="D4776" s="5" t="s">
        <v>43646</v>
      </c>
      <c r="E4776" s="5" t="s">
        <v>43647</v>
      </c>
      <c r="F4776" s="5"/>
      <c r="G4776" s="5" t="s">
        <v>43648</v>
      </c>
      <c r="H4776" s="1" t="s">
        <v>43649</v>
      </c>
      <c r="I4776" s="5" t="s">
        <v>43650</v>
      </c>
      <c r="J4776" s="7">
        <v>8</v>
      </c>
      <c r="K4776" s="7">
        <v>14.7</v>
      </c>
      <c r="L4776" s="5" t="s">
        <v>43651</v>
      </c>
      <c r="M4776" s="7">
        <v>1.1000000000000001</v>
      </c>
      <c r="N4776" s="7">
        <v>0.65</v>
      </c>
      <c r="O4776" s="7">
        <v>0.61199999999999999</v>
      </c>
      <c r="P4776" s="1" t="s">
        <v>43652</v>
      </c>
    </row>
    <row r="4777" spans="1:16" ht="17.05" x14ac:dyDescent="0.3">
      <c r="A4777" s="6" t="str">
        <f>HYPERLINK("https://www.ti.com/product/TPS3106", "TPS3106")</f>
        <v>TPS3106</v>
      </c>
      <c r="B4777" s="5" t="s">
        <v>43653</v>
      </c>
      <c r="C4777" s="6" t="str">
        <f>HYPERLINK("https://www.ti.com/lit/gpn/TPS3106", "PDF")</f>
        <v>PDF</v>
      </c>
      <c r="D4777" s="5" t="s">
        <v>43654</v>
      </c>
      <c r="E4777" s="5" t="s">
        <v>43655</v>
      </c>
      <c r="F4777" s="5"/>
      <c r="G4777" s="5" t="s">
        <v>43656</v>
      </c>
      <c r="H4777" s="1" t="s">
        <v>43657</v>
      </c>
      <c r="I4777" s="5" t="s">
        <v>43658</v>
      </c>
      <c r="J4777" s="7">
        <v>6</v>
      </c>
      <c r="K4777" s="7">
        <v>8.1199999999999992</v>
      </c>
      <c r="L4777" s="5" t="s">
        <v>43659</v>
      </c>
      <c r="M4777" s="7">
        <v>1.45</v>
      </c>
      <c r="N4777" s="7">
        <v>0.95</v>
      </c>
      <c r="O4777" s="7">
        <v>0.98699999999999999</v>
      </c>
      <c r="P4777" s="1" t="s">
        <v>43660</v>
      </c>
    </row>
    <row r="4778" spans="1:16" ht="17.05" x14ac:dyDescent="0.3">
      <c r="A4778" s="6" t="str">
        <f>HYPERLINK("https://www.ti.com/product/TPS3110", "TPS3110")</f>
        <v>TPS3110</v>
      </c>
      <c r="B4778" s="5" t="s">
        <v>43661</v>
      </c>
      <c r="C4778" s="6" t="str">
        <f>HYPERLINK("https://www.ti.com/lit/gpn/TPS3110", "PDF")</f>
        <v>PDF</v>
      </c>
      <c r="D4778" s="5" t="s">
        <v>43662</v>
      </c>
      <c r="E4778" s="5" t="s">
        <v>43663</v>
      </c>
      <c r="F4778" s="5"/>
      <c r="G4778" s="5" t="s">
        <v>43664</v>
      </c>
      <c r="H4778" s="1" t="s">
        <v>43665</v>
      </c>
      <c r="I4778" s="5" t="s">
        <v>43666</v>
      </c>
      <c r="J4778" s="7">
        <v>6</v>
      </c>
      <c r="K4778" s="7">
        <v>8.1199999999999992</v>
      </c>
      <c r="L4778" s="5" t="s">
        <v>43667</v>
      </c>
      <c r="M4778" s="7">
        <v>1.45</v>
      </c>
      <c r="N4778" s="7">
        <v>0.95</v>
      </c>
      <c r="O4778" s="7">
        <v>1.091</v>
      </c>
      <c r="P4778" s="1" t="s">
        <v>43668</v>
      </c>
    </row>
    <row r="4779" spans="1:16" ht="33.4" x14ac:dyDescent="0.3">
      <c r="A4779" s="6" t="str">
        <f>HYPERLINK("https://www.ti.com/product/TPS60313", "TPS60313")</f>
        <v>TPS60313</v>
      </c>
      <c r="B4779" s="5" t="s">
        <v>43669</v>
      </c>
      <c r="C4779" s="6" t="str">
        <f>HYPERLINK("https://www.ti.com/lit/gpn/TPS60313", "PDF")</f>
        <v>PDF</v>
      </c>
      <c r="D4779" s="5" t="s">
        <v>43670</v>
      </c>
      <c r="E4779" s="5" t="s">
        <v>43671</v>
      </c>
      <c r="F4779" s="5"/>
      <c r="G4779" s="5" t="s">
        <v>43672</v>
      </c>
      <c r="H4779" s="1" t="s">
        <v>43673</v>
      </c>
      <c r="I4779" s="5" t="s">
        <v>43674</v>
      </c>
      <c r="J4779" s="7">
        <v>10</v>
      </c>
      <c r="K4779" s="7">
        <v>14.7</v>
      </c>
      <c r="L4779" s="5" t="s">
        <v>43675</v>
      </c>
      <c r="M4779" s="7">
        <v>1.1000000000000001</v>
      </c>
      <c r="N4779" s="7">
        <v>0.5</v>
      </c>
      <c r="O4779" s="7">
        <v>0.875</v>
      </c>
      <c r="P4779" s="1" t="s">
        <v>43676</v>
      </c>
    </row>
    <row r="4780" spans="1:16" ht="17.05" x14ac:dyDescent="0.3">
      <c r="A4780" s="6" t="str">
        <f>HYPERLINK("https://www.ti.com/product/TPS3803", "TPS3803")</f>
        <v>TPS3803</v>
      </c>
      <c r="B4780" s="5" t="s">
        <v>43677</v>
      </c>
      <c r="C4780" s="6" t="str">
        <f>HYPERLINK("https://www.ti.com/lit/gpn/TPS3803", "PDF")</f>
        <v>PDF</v>
      </c>
      <c r="D4780" s="5" t="s">
        <v>43678</v>
      </c>
      <c r="E4780" s="5" t="s">
        <v>43679</v>
      </c>
      <c r="F4780" s="5"/>
      <c r="G4780" s="5" t="s">
        <v>43680</v>
      </c>
      <c r="H4780" s="1" t="s">
        <v>43681</v>
      </c>
      <c r="I4780" s="5" t="s">
        <v>43682</v>
      </c>
      <c r="J4780" s="7">
        <v>5</v>
      </c>
      <c r="K4780" s="7">
        <v>4.2</v>
      </c>
      <c r="L4780" s="5" t="s">
        <v>43683</v>
      </c>
      <c r="M4780" s="7">
        <v>1.1000000000000001</v>
      </c>
      <c r="N4780" s="7">
        <v>0.65</v>
      </c>
      <c r="O4780" s="7">
        <v>0.29899999999999999</v>
      </c>
      <c r="P4780" s="1" t="s">
        <v>43684</v>
      </c>
    </row>
    <row r="4781" spans="1:16" ht="17.05" x14ac:dyDescent="0.3">
      <c r="A4781" s="6" t="str">
        <f>HYPERLINK("https://www.ti.com/product/TPS3805H33", "TPS3805H33")</f>
        <v>TPS3805H33</v>
      </c>
      <c r="B4781" s="5" t="s">
        <v>43685</v>
      </c>
      <c r="C4781" s="6" t="str">
        <f>HYPERLINK("https://www.ti.com/lit/gpn/TPS3805H33", "PDF")</f>
        <v>PDF</v>
      </c>
      <c r="D4781" s="5" t="s">
        <v>43686</v>
      </c>
      <c r="E4781" s="5" t="s">
        <v>43687</v>
      </c>
      <c r="F4781" s="5"/>
      <c r="G4781" s="5" t="s">
        <v>43688</v>
      </c>
      <c r="H4781" s="1" t="s">
        <v>43689</v>
      </c>
      <c r="I4781" s="5" t="s">
        <v>43690</v>
      </c>
      <c r="J4781" s="7">
        <v>5</v>
      </c>
      <c r="K4781" s="7">
        <v>4.2</v>
      </c>
      <c r="L4781" s="5" t="s">
        <v>43691</v>
      </c>
      <c r="M4781" s="7">
        <v>1.1000000000000001</v>
      </c>
      <c r="N4781" s="7">
        <v>0.65</v>
      </c>
      <c r="O4781" s="7">
        <v>0.43</v>
      </c>
      <c r="P4781" s="1" t="s">
        <v>43692</v>
      </c>
    </row>
    <row r="4782" spans="1:16" ht="33.4" x14ac:dyDescent="0.3">
      <c r="A4782" s="6" t="str">
        <f>HYPERLINK("https://www.ti.com/product/REG710-27", "REG710-27")</f>
        <v>REG710-27</v>
      </c>
      <c r="B4782" s="5" t="s">
        <v>43693</v>
      </c>
      <c r="C4782" s="6" t="str">
        <f>HYPERLINK("https://www.ti.com/lit/gpn/REG710-27", "PDF")</f>
        <v>PDF</v>
      </c>
      <c r="D4782" s="5" t="s">
        <v>43694</v>
      </c>
      <c r="E4782" s="5" t="s">
        <v>43695</v>
      </c>
      <c r="F4782" s="5"/>
      <c r="G4782" s="5" t="s">
        <v>43696</v>
      </c>
      <c r="H4782" s="1" t="s">
        <v>43697</v>
      </c>
      <c r="I4782" s="5" t="s">
        <v>43698</v>
      </c>
      <c r="J4782" s="7">
        <v>6</v>
      </c>
      <c r="K4782" s="7">
        <v>8.1199999999999992</v>
      </c>
      <c r="L4782" s="5" t="s">
        <v>43699</v>
      </c>
      <c r="M4782" s="7">
        <v>1.45</v>
      </c>
      <c r="N4782" s="7">
        <v>0.95</v>
      </c>
      <c r="O4782" s="7">
        <v>0.52700000000000002</v>
      </c>
      <c r="P4782" s="1" t="s">
        <v>43700</v>
      </c>
    </row>
    <row r="4783" spans="1:16" ht="33.4" x14ac:dyDescent="0.3">
      <c r="A4783" s="6" t="str">
        <f>HYPERLINK("https://www.ti.com/product/REG710-3", "REG710-3")</f>
        <v>REG710-3</v>
      </c>
      <c r="B4783" s="5" t="s">
        <v>43701</v>
      </c>
      <c r="C4783" s="6" t="str">
        <f>HYPERLINK("https://www.ti.com/lit/gpn/REG710-3", "PDF")</f>
        <v>PDF</v>
      </c>
      <c r="D4783" s="5" t="s">
        <v>43702</v>
      </c>
      <c r="E4783" s="5" t="s">
        <v>43703</v>
      </c>
      <c r="F4783" s="5"/>
      <c r="G4783" s="5" t="s">
        <v>43704</v>
      </c>
      <c r="H4783" s="1" t="s">
        <v>43705</v>
      </c>
      <c r="I4783" s="5" t="s">
        <v>43706</v>
      </c>
      <c r="J4783" s="7">
        <v>6</v>
      </c>
      <c r="K4783" s="7">
        <v>8.1199999999999992</v>
      </c>
      <c r="L4783" s="5" t="s">
        <v>43707</v>
      </c>
      <c r="M4783" s="7">
        <v>1.45</v>
      </c>
      <c r="N4783" s="7">
        <v>0.95</v>
      </c>
      <c r="O4783" s="7">
        <v>0.52700000000000002</v>
      </c>
      <c r="P4783" s="1" t="s">
        <v>43708</v>
      </c>
    </row>
    <row r="4784" spans="1:16" ht="33.4" x14ac:dyDescent="0.3">
      <c r="A4784" s="6" t="str">
        <f>HYPERLINK("https://www.ti.com/product/REG710-33", "REG710-33")</f>
        <v>REG710-33</v>
      </c>
      <c r="B4784" s="5" t="s">
        <v>43709</v>
      </c>
      <c r="C4784" s="6" t="str">
        <f>HYPERLINK("https://www.ti.com/lit/gpn/REG710-33", "PDF")</f>
        <v>PDF</v>
      </c>
      <c r="D4784" s="5" t="s">
        <v>43710</v>
      </c>
      <c r="E4784" s="5" t="s">
        <v>43711</v>
      </c>
      <c r="F4784" s="5"/>
      <c r="G4784" s="5" t="s">
        <v>43712</v>
      </c>
      <c r="H4784" s="1" t="s">
        <v>43713</v>
      </c>
      <c r="I4784" s="5" t="s">
        <v>43714</v>
      </c>
      <c r="J4784" s="7">
        <v>6</v>
      </c>
      <c r="K4784" s="7">
        <v>8.1199999999999992</v>
      </c>
      <c r="L4784" s="5" t="s">
        <v>43715</v>
      </c>
      <c r="M4784" s="7">
        <v>1.45</v>
      </c>
      <c r="N4784" s="7">
        <v>0.95</v>
      </c>
      <c r="O4784" s="7">
        <v>0.52700000000000002</v>
      </c>
      <c r="P4784" s="1" t="s">
        <v>43716</v>
      </c>
    </row>
    <row r="4785" spans="1:16" ht="33.4" x14ac:dyDescent="0.3">
      <c r="A4785" s="6" t="str">
        <f>HYPERLINK("https://www.ti.com/product/REG710-5", "REG710-5")</f>
        <v>REG710-5</v>
      </c>
      <c r="B4785" s="5" t="s">
        <v>43717</v>
      </c>
      <c r="C4785" s="6" t="str">
        <f>HYPERLINK("https://www.ti.com/lit/gpn/REG710-5", "PDF")</f>
        <v>PDF</v>
      </c>
      <c r="D4785" s="5" t="s">
        <v>43718</v>
      </c>
      <c r="E4785" s="5" t="s">
        <v>43719</v>
      </c>
      <c r="F4785" s="5"/>
      <c r="G4785" s="5" t="s">
        <v>43720</v>
      </c>
      <c r="H4785" s="1" t="s">
        <v>43721</v>
      </c>
      <c r="I4785" s="5" t="s">
        <v>43722</v>
      </c>
      <c r="J4785" s="7">
        <v>6</v>
      </c>
      <c r="K4785" s="7">
        <v>8.1199999999999992</v>
      </c>
      <c r="L4785" s="5" t="s">
        <v>43723</v>
      </c>
      <c r="M4785" s="7">
        <v>1.45</v>
      </c>
      <c r="N4785" s="7">
        <v>0.95</v>
      </c>
      <c r="O4785" s="7">
        <v>0.52700000000000002</v>
      </c>
      <c r="P4785" s="1" t="s">
        <v>43724</v>
      </c>
    </row>
    <row r="4786" spans="1:16" ht="66.150000000000006" x14ac:dyDescent="0.3">
      <c r="A4786" s="6" t="str">
        <f>HYPERLINK("https://www.ti.com/product/UC1708-SP", "UC1708-SP")</f>
        <v>UC1708-SP</v>
      </c>
      <c r="B4786" s="5" t="s">
        <v>43725</v>
      </c>
      <c r="C4786" s="6" t="str">
        <f>HYPERLINK("https://www.ti.com/lit/gpn/UC1708-SP", "PDF")</f>
        <v>PDF</v>
      </c>
      <c r="D4786" s="5" t="s">
        <v>43726</v>
      </c>
      <c r="E4786" s="5" t="s">
        <v>43727</v>
      </c>
      <c r="F4786" s="5"/>
      <c r="G4786" s="5" t="s">
        <v>43728</v>
      </c>
      <c r="H4786" s="1" t="s">
        <v>43729</v>
      </c>
      <c r="I4786" s="5" t="s">
        <v>43730</v>
      </c>
      <c r="J4786" s="7" t="s">
        <v>43731</v>
      </c>
      <c r="K4786" s="7" t="s">
        <v>43732</v>
      </c>
      <c r="L4786" s="5" t="s">
        <v>43733</v>
      </c>
      <c r="M4786" s="7" t="s">
        <v>43734</v>
      </c>
      <c r="N4786" s="7" t="s">
        <v>43735</v>
      </c>
      <c r="O4786" s="7">
        <v>183.875</v>
      </c>
      <c r="P4786" s="1" t="s">
        <v>43736</v>
      </c>
    </row>
    <row r="4787" spans="1:16" ht="33.4" x14ac:dyDescent="0.3">
      <c r="A4787" s="6" t="str">
        <f>HYPERLINK("https://www.ti.com/product/TPS54613", "TPS54613")</f>
        <v>TPS54613</v>
      </c>
      <c r="B4787" s="5" t="s">
        <v>43737</v>
      </c>
      <c r="C4787" s="6" t="str">
        <f>HYPERLINK("https://www.ti.com/lit/gpn/TPS54613", "PDF")</f>
        <v>PDF</v>
      </c>
      <c r="D4787" s="5" t="s">
        <v>43738</v>
      </c>
      <c r="E4787" s="5" t="s">
        <v>43739</v>
      </c>
      <c r="F4787" s="5" t="s">
        <v>43740</v>
      </c>
      <c r="G4787" s="5" t="s">
        <v>43741</v>
      </c>
      <c r="H4787" s="1" t="s">
        <v>43742</v>
      </c>
      <c r="I4787" s="5" t="s">
        <v>43743</v>
      </c>
      <c r="J4787" s="7">
        <v>28</v>
      </c>
      <c r="K4787" s="7">
        <v>62.08</v>
      </c>
      <c r="L4787" s="5" t="s">
        <v>43744</v>
      </c>
      <c r="M4787" s="7">
        <v>1.2</v>
      </c>
      <c r="N4787" s="7">
        <v>0.65</v>
      </c>
      <c r="O4787" s="7">
        <v>1.7150000000000001</v>
      </c>
      <c r="P4787" s="1" t="s">
        <v>43745</v>
      </c>
    </row>
    <row r="4788" spans="1:16" ht="33.4" x14ac:dyDescent="0.3">
      <c r="A4788" s="6" t="str">
        <f>HYPERLINK("https://www.ti.com/product/TPS54614", "TPS54614")</f>
        <v>TPS54614</v>
      </c>
      <c r="B4788" s="5" t="s">
        <v>43746</v>
      </c>
      <c r="C4788" s="6" t="str">
        <f>HYPERLINK("https://www.ti.com/lit/gpn/TPS54614", "PDF")</f>
        <v>PDF</v>
      </c>
      <c r="D4788" s="5" t="s">
        <v>43747</v>
      </c>
      <c r="E4788" s="5" t="s">
        <v>43748</v>
      </c>
      <c r="F4788" s="5" t="s">
        <v>43749</v>
      </c>
      <c r="G4788" s="5" t="s">
        <v>43750</v>
      </c>
      <c r="H4788" s="1" t="s">
        <v>43751</v>
      </c>
      <c r="I4788" s="5" t="s">
        <v>43752</v>
      </c>
      <c r="J4788" s="7">
        <v>28</v>
      </c>
      <c r="K4788" s="7">
        <v>62.08</v>
      </c>
      <c r="L4788" s="5" t="s">
        <v>43753</v>
      </c>
      <c r="M4788" s="7">
        <v>1.2</v>
      </c>
      <c r="N4788" s="7">
        <v>0.65</v>
      </c>
      <c r="O4788" s="7">
        <v>1.7150000000000001</v>
      </c>
      <c r="P4788" s="1" t="s">
        <v>43754</v>
      </c>
    </row>
    <row r="4789" spans="1:16" ht="33.4" x14ac:dyDescent="0.3">
      <c r="A4789" s="6" t="str">
        <f>HYPERLINK("https://www.ti.com/product/TPS54616", "TPS54616")</f>
        <v>TPS54616</v>
      </c>
      <c r="B4789" s="5" t="s">
        <v>43755</v>
      </c>
      <c r="C4789" s="6" t="str">
        <f>HYPERLINK("https://www.ti.com/lit/gpn/TPS54616", "PDF")</f>
        <v>PDF</v>
      </c>
      <c r="D4789" s="5" t="s">
        <v>43756</v>
      </c>
      <c r="E4789" s="5" t="s">
        <v>43757</v>
      </c>
      <c r="F4789" s="5" t="s">
        <v>43758</v>
      </c>
      <c r="G4789" s="5" t="s">
        <v>43759</v>
      </c>
      <c r="H4789" s="1" t="s">
        <v>43760</v>
      </c>
      <c r="I4789" s="5" t="s">
        <v>43761</v>
      </c>
      <c r="J4789" s="7">
        <v>28</v>
      </c>
      <c r="K4789" s="7">
        <v>62.08</v>
      </c>
      <c r="L4789" s="5" t="s">
        <v>43762</v>
      </c>
      <c r="M4789" s="7">
        <v>1.2</v>
      </c>
      <c r="N4789" s="7">
        <v>0.65</v>
      </c>
      <c r="O4789" s="7">
        <v>1.5580000000000001</v>
      </c>
      <c r="P4789" s="1" t="s">
        <v>43763</v>
      </c>
    </row>
    <row r="4790" spans="1:16" ht="17.05" x14ac:dyDescent="0.3">
      <c r="A4790" s="6" t="str">
        <f>HYPERLINK("https://www.ti.com/product/TPS3619", "TPS3619")</f>
        <v>TPS3619</v>
      </c>
      <c r="B4790" s="5" t="s">
        <v>43764</v>
      </c>
      <c r="C4790" s="6" t="str">
        <f>HYPERLINK("https://www.ti.com/lit/gpn/TPS3619", "PDF")</f>
        <v>PDF</v>
      </c>
      <c r="D4790" s="5" t="s">
        <v>43765</v>
      </c>
      <c r="E4790" s="5" t="s">
        <v>43766</v>
      </c>
      <c r="F4790" s="5"/>
      <c r="G4790" s="5" t="s">
        <v>43767</v>
      </c>
      <c r="H4790" s="1" t="s">
        <v>43768</v>
      </c>
      <c r="I4790" s="5" t="s">
        <v>43769</v>
      </c>
      <c r="J4790" s="7">
        <v>8</v>
      </c>
      <c r="K4790" s="7">
        <v>14.7</v>
      </c>
      <c r="L4790" s="5" t="s">
        <v>43770</v>
      </c>
      <c r="M4790" s="7">
        <v>1.1000000000000001</v>
      </c>
      <c r="N4790" s="7">
        <v>0.65</v>
      </c>
      <c r="O4790" s="7">
        <v>0.97799999999999998</v>
      </c>
      <c r="P4790" s="1" t="s">
        <v>43771</v>
      </c>
    </row>
    <row r="4791" spans="1:16" ht="17.05" x14ac:dyDescent="0.3">
      <c r="A4791" s="6" t="str">
        <f>HYPERLINK("https://www.ti.com/product/TPS3806", "TPS3806")</f>
        <v>TPS3806</v>
      </c>
      <c r="B4791" s="5" t="s">
        <v>43772</v>
      </c>
      <c r="C4791" s="6" t="str">
        <f>HYPERLINK("https://www.ti.com/lit/gpn/TPS3806", "PDF")</f>
        <v>PDF</v>
      </c>
      <c r="D4791" s="5" t="s">
        <v>43773</v>
      </c>
      <c r="E4791" s="5" t="s">
        <v>43774</v>
      </c>
      <c r="F4791" s="5"/>
      <c r="G4791" s="5" t="s">
        <v>43775</v>
      </c>
      <c r="H4791" s="1" t="s">
        <v>43776</v>
      </c>
      <c r="I4791" s="5" t="s">
        <v>43777</v>
      </c>
      <c r="J4791" s="7">
        <v>6</v>
      </c>
      <c r="K4791" s="7">
        <v>8.1199999999999992</v>
      </c>
      <c r="L4791" s="5" t="s">
        <v>43778</v>
      </c>
      <c r="M4791" s="7">
        <v>1.45</v>
      </c>
      <c r="N4791" s="7">
        <v>0.95</v>
      </c>
      <c r="O4791" s="7">
        <v>0.501</v>
      </c>
      <c r="P4791" s="1" t="s">
        <v>43779</v>
      </c>
    </row>
    <row r="4792" spans="1:16" ht="33.4" x14ac:dyDescent="0.3">
      <c r="A4792" s="6" t="str">
        <f>HYPERLINK("https://www.ti.com/product/TPS60400", "TPS60400")</f>
        <v>TPS60400</v>
      </c>
      <c r="B4792" s="5" t="s">
        <v>43780</v>
      </c>
      <c r="C4792" s="6" t="str">
        <f>HYPERLINK("https://www.ti.com/lit/gpn/TPS60400", "PDF")</f>
        <v>PDF</v>
      </c>
      <c r="D4792" s="5" t="s">
        <v>43781</v>
      </c>
      <c r="E4792" s="5" t="s">
        <v>43782</v>
      </c>
      <c r="F4792" s="5"/>
      <c r="G4792" s="5" t="s">
        <v>43783</v>
      </c>
      <c r="H4792" s="1" t="s">
        <v>43784</v>
      </c>
      <c r="I4792" s="5" t="s">
        <v>43785</v>
      </c>
      <c r="J4792" s="7">
        <v>5</v>
      </c>
      <c r="K4792" s="7">
        <v>8.1199999999999992</v>
      </c>
      <c r="L4792" s="5" t="s">
        <v>43786</v>
      </c>
      <c r="M4792" s="7">
        <v>1.45</v>
      </c>
      <c r="N4792" s="7">
        <v>0.95</v>
      </c>
      <c r="O4792" s="7">
        <v>0.40799999999999997</v>
      </c>
      <c r="P4792" s="1" t="s">
        <v>43787</v>
      </c>
    </row>
    <row r="4793" spans="1:16" ht="33.4" x14ac:dyDescent="0.3">
      <c r="A4793" s="6" t="str">
        <f>HYPERLINK("https://www.ti.com/product/TPS60401", "TPS60401")</f>
        <v>TPS60401</v>
      </c>
      <c r="B4793" s="5" t="s">
        <v>43788</v>
      </c>
      <c r="C4793" s="6" t="str">
        <f>HYPERLINK("https://www.ti.com/lit/gpn/TPS60401", "PDF")</f>
        <v>PDF</v>
      </c>
      <c r="D4793" s="5" t="s">
        <v>43789</v>
      </c>
      <c r="E4793" s="5" t="s">
        <v>43790</v>
      </c>
      <c r="F4793" s="5"/>
      <c r="G4793" s="5" t="s">
        <v>43791</v>
      </c>
      <c r="H4793" s="1" t="s">
        <v>43792</v>
      </c>
      <c r="I4793" s="5" t="s">
        <v>43793</v>
      </c>
      <c r="J4793" s="7">
        <v>5</v>
      </c>
      <c r="K4793" s="7">
        <v>8.1199999999999992</v>
      </c>
      <c r="L4793" s="5" t="s">
        <v>43794</v>
      </c>
      <c r="M4793" s="7">
        <v>1.45</v>
      </c>
      <c r="N4793" s="7">
        <v>0.95</v>
      </c>
      <c r="O4793" s="7">
        <v>0.40799999999999997</v>
      </c>
      <c r="P4793" s="1" t="s">
        <v>43795</v>
      </c>
    </row>
    <row r="4794" spans="1:16" ht="33.4" x14ac:dyDescent="0.3">
      <c r="A4794" s="6" t="str">
        <f>HYPERLINK("https://www.ti.com/product/TPS60402", "TPS60402")</f>
        <v>TPS60402</v>
      </c>
      <c r="B4794" s="5" t="s">
        <v>43796</v>
      </c>
      <c r="C4794" s="6" t="str">
        <f>HYPERLINK("https://www.ti.com/lit/gpn/TPS60402", "PDF")</f>
        <v>PDF</v>
      </c>
      <c r="D4794" s="5" t="s">
        <v>43797</v>
      </c>
      <c r="E4794" s="5" t="s">
        <v>43798</v>
      </c>
      <c r="F4794" s="5"/>
      <c r="G4794" s="5" t="s">
        <v>43799</v>
      </c>
      <c r="H4794" s="1" t="s">
        <v>43800</v>
      </c>
      <c r="I4794" s="5" t="s">
        <v>43801</v>
      </c>
      <c r="J4794" s="7">
        <v>5</v>
      </c>
      <c r="K4794" s="7">
        <v>8.1199999999999992</v>
      </c>
      <c r="L4794" s="5" t="s">
        <v>43802</v>
      </c>
      <c r="M4794" s="7">
        <v>1.45</v>
      </c>
      <c r="N4794" s="7">
        <v>0.95</v>
      </c>
      <c r="O4794" s="7">
        <v>0.35</v>
      </c>
      <c r="P4794" s="1" t="s">
        <v>43803</v>
      </c>
    </row>
    <row r="4795" spans="1:16" ht="33.4" x14ac:dyDescent="0.3">
      <c r="A4795" s="6" t="str">
        <f>HYPERLINK("https://www.ti.com/product/TPS60403", "TPS60403")</f>
        <v>TPS60403</v>
      </c>
      <c r="B4795" s="5" t="s">
        <v>43804</v>
      </c>
      <c r="C4795" s="6" t="str">
        <f>HYPERLINK("https://www.ti.com/lit/gpn/TPS60403", "PDF")</f>
        <v>PDF</v>
      </c>
      <c r="D4795" s="5" t="s">
        <v>43805</v>
      </c>
      <c r="E4795" s="5" t="s">
        <v>43806</v>
      </c>
      <c r="F4795" s="5"/>
      <c r="G4795" s="5" t="s">
        <v>43807</v>
      </c>
      <c r="H4795" s="1" t="s">
        <v>43808</v>
      </c>
      <c r="I4795" s="5" t="s">
        <v>43809</v>
      </c>
      <c r="J4795" s="7">
        <v>5</v>
      </c>
      <c r="K4795" s="7">
        <v>8.1199999999999992</v>
      </c>
      <c r="L4795" s="5" t="s">
        <v>43810</v>
      </c>
      <c r="M4795" s="7">
        <v>1.45</v>
      </c>
      <c r="N4795" s="7">
        <v>0.95</v>
      </c>
      <c r="O4795" s="7">
        <v>0.35</v>
      </c>
      <c r="P4795" s="1" t="s">
        <v>43811</v>
      </c>
    </row>
    <row r="4796" spans="1:16" ht="49.75" x14ac:dyDescent="0.3">
      <c r="A4796" s="6" t="str">
        <f>HYPERLINK("https://www.ti.com/product/UC1525B-SP", "UC1525B-SP")</f>
        <v>UC1525B-SP</v>
      </c>
      <c r="B4796" s="5" t="s">
        <v>43812</v>
      </c>
      <c r="C4796" s="6" t="str">
        <f>HYPERLINK("https://www.ti.com/lit/gpn/UC1525B-SP", "PDF")</f>
        <v>PDF</v>
      </c>
      <c r="D4796" s="5" t="s">
        <v>43813</v>
      </c>
      <c r="E4796" s="5" t="s">
        <v>43814</v>
      </c>
      <c r="F4796" s="5" t="s">
        <v>43815</v>
      </c>
      <c r="G4796" s="5" t="s">
        <v>43816</v>
      </c>
      <c r="H4796" s="1" t="s">
        <v>43817</v>
      </c>
      <c r="I4796" s="5" t="s">
        <v>43818</v>
      </c>
      <c r="J4796" s="7" t="s">
        <v>43819</v>
      </c>
      <c r="K4796" s="7" t="s">
        <v>43820</v>
      </c>
      <c r="L4796" s="5" t="s">
        <v>43821</v>
      </c>
      <c r="M4796" s="7" t="s">
        <v>43822</v>
      </c>
      <c r="N4796" s="7" t="s">
        <v>43823</v>
      </c>
      <c r="O4796" s="7">
        <v>355.03699999999998</v>
      </c>
      <c r="P4796" s="1" t="s">
        <v>43824</v>
      </c>
    </row>
    <row r="4797" spans="1:16" ht="33.4" x14ac:dyDescent="0.3">
      <c r="A4797" s="6" t="str">
        <f>HYPERLINK("https://www.ti.com/product/LM3485", "LM3485")</f>
        <v>LM3485</v>
      </c>
      <c r="B4797" s="5" t="s">
        <v>43825</v>
      </c>
      <c r="C4797" s="6" t="str">
        <f>HYPERLINK("https://www.ti.com/lit/gpn/LM3485", "PDF")</f>
        <v>PDF</v>
      </c>
      <c r="D4797" s="5" t="s">
        <v>43826</v>
      </c>
      <c r="E4797" s="5" t="s">
        <v>43827</v>
      </c>
      <c r="F4797" s="5" t="s">
        <v>43828</v>
      </c>
      <c r="G4797" s="5" t="s">
        <v>43829</v>
      </c>
      <c r="H4797" s="1" t="s">
        <v>43830</v>
      </c>
      <c r="I4797" s="5" t="s">
        <v>43831</v>
      </c>
      <c r="J4797" s="7">
        <v>8</v>
      </c>
      <c r="K4797" s="7">
        <v>14.7</v>
      </c>
      <c r="L4797" s="5" t="s">
        <v>43832</v>
      </c>
      <c r="M4797" s="7">
        <v>1.1000000000000001</v>
      </c>
      <c r="N4797" s="7">
        <v>0.65</v>
      </c>
      <c r="O4797" s="7">
        <v>0.60099999999999998</v>
      </c>
      <c r="P4797" s="1" t="s">
        <v>43833</v>
      </c>
    </row>
    <row r="4798" spans="1:16" ht="33.4" x14ac:dyDescent="0.3">
      <c r="A4798" s="6" t="str">
        <f>HYPERLINK("https://www.ti.com/product/LM3485-Q1", "LM3485-Q1")</f>
        <v>LM3485-Q1</v>
      </c>
      <c r="B4798" s="5" t="s">
        <v>43834</v>
      </c>
      <c r="C4798" s="6" t="str">
        <f>HYPERLINK("https://www.ti.com/lit/gpn/LM3485-Q1", "PDF")</f>
        <v>PDF</v>
      </c>
      <c r="D4798" s="5" t="s">
        <v>43835</v>
      </c>
      <c r="E4798" s="5" t="s">
        <v>43836</v>
      </c>
      <c r="F4798" s="5" t="s">
        <v>43837</v>
      </c>
      <c r="G4798" s="5" t="s">
        <v>43838</v>
      </c>
      <c r="H4798" s="1" t="s">
        <v>43839</v>
      </c>
      <c r="I4798" s="5" t="s">
        <v>43840</v>
      </c>
      <c r="J4798" s="7">
        <v>8</v>
      </c>
      <c r="K4798" s="7">
        <v>14.7</v>
      </c>
      <c r="L4798" s="5" t="s">
        <v>43841</v>
      </c>
      <c r="M4798" s="7">
        <v>1.1000000000000001</v>
      </c>
      <c r="N4798" s="7">
        <v>0.65</v>
      </c>
      <c r="O4798" s="7">
        <v>0.70899999999999996</v>
      </c>
      <c r="P4798" s="1" t="s">
        <v>43842</v>
      </c>
    </row>
    <row r="4799" spans="1:16" ht="49.75" x14ac:dyDescent="0.3">
      <c r="A4799" s="6" t="str">
        <f>HYPERLINK("https://www.ti.com/product/UC1875-SP", "UC1875-SP")</f>
        <v>UC1875-SP</v>
      </c>
      <c r="B4799" s="5" t="s">
        <v>43843</v>
      </c>
      <c r="C4799" s="6" t="str">
        <f>HYPERLINK("https://www.ti.com/lit/gpn/UC1875-SP", "PDF")</f>
        <v>PDF</v>
      </c>
      <c r="D4799" s="5" t="s">
        <v>43844</v>
      </c>
      <c r="E4799" s="5" t="s">
        <v>43845</v>
      </c>
      <c r="F4799" s="5" t="s">
        <v>43846</v>
      </c>
      <c r="G4799" s="5" t="s">
        <v>43847</v>
      </c>
      <c r="H4799" s="1" t="s">
        <v>43848</v>
      </c>
      <c r="I4799" s="5" t="s">
        <v>43849</v>
      </c>
      <c r="J4799" s="7" t="s">
        <v>43850</v>
      </c>
      <c r="K4799" s="7" t="s">
        <v>43851</v>
      </c>
      <c r="L4799" s="5" t="s">
        <v>43852</v>
      </c>
      <c r="M4799" s="7" t="s">
        <v>43853</v>
      </c>
      <c r="N4799" s="7" t="s">
        <v>43854</v>
      </c>
      <c r="O4799" s="7">
        <v>465.68700000000001</v>
      </c>
      <c r="P4799" s="1" t="s">
        <v>43855</v>
      </c>
    </row>
    <row r="4800" spans="1:16" ht="33.4" x14ac:dyDescent="0.3">
      <c r="A4800" s="6" t="str">
        <f>HYPERLINK("https://www.ti.com/product/UCC28C40", "UCC28C40")</f>
        <v>UCC28C40</v>
      </c>
      <c r="B4800" s="5" t="s">
        <v>43856</v>
      </c>
      <c r="C4800" s="6" t="str">
        <f>HYPERLINK("https://www.ti.com/lit/gpn/UCC28C40", "PDF")</f>
        <v>PDF</v>
      </c>
      <c r="D4800" s="5" t="s">
        <v>43857</v>
      </c>
      <c r="E4800" s="5" t="s">
        <v>43858</v>
      </c>
      <c r="F4800" s="5" t="s">
        <v>43859</v>
      </c>
      <c r="G4800" s="5" t="s">
        <v>43860</v>
      </c>
      <c r="H4800" s="1" t="s">
        <v>43861</v>
      </c>
      <c r="I4800" s="5" t="s">
        <v>43862</v>
      </c>
      <c r="J4800" s="7">
        <v>8</v>
      </c>
      <c r="K4800" s="7" t="s">
        <v>43863</v>
      </c>
      <c r="L4800" s="5" t="s">
        <v>43864</v>
      </c>
      <c r="M4800" s="7" t="s">
        <v>43865</v>
      </c>
      <c r="N4800" s="7" t="s">
        <v>43866</v>
      </c>
      <c r="O4800" s="7">
        <v>0.36299999999999999</v>
      </c>
      <c r="P4800" s="1" t="s">
        <v>43867</v>
      </c>
    </row>
    <row r="4801" spans="1:16" ht="33.4" x14ac:dyDescent="0.3">
      <c r="A4801" s="6" t="str">
        <f>HYPERLINK("https://www.ti.com/product/UCC28C41", "UCC28C41")</f>
        <v>UCC28C41</v>
      </c>
      <c r="B4801" s="5" t="s">
        <v>43868</v>
      </c>
      <c r="C4801" s="6" t="str">
        <f>HYPERLINK("https://www.ti.com/lit/gpn/UCC28C41", "PDF")</f>
        <v>PDF</v>
      </c>
      <c r="D4801" s="5" t="s">
        <v>43869</v>
      </c>
      <c r="E4801" s="5" t="s">
        <v>43870</v>
      </c>
      <c r="F4801" s="5" t="s">
        <v>43871</v>
      </c>
      <c r="G4801" s="5" t="s">
        <v>43872</v>
      </c>
      <c r="H4801" s="1" t="s">
        <v>43873</v>
      </c>
      <c r="I4801" s="5" t="s">
        <v>43874</v>
      </c>
      <c r="J4801" s="7">
        <v>8</v>
      </c>
      <c r="K4801" s="7" t="s">
        <v>43875</v>
      </c>
      <c r="L4801" s="5" t="s">
        <v>43876</v>
      </c>
      <c r="M4801" s="7" t="s">
        <v>43877</v>
      </c>
      <c r="N4801" s="7" t="s">
        <v>43878</v>
      </c>
      <c r="O4801" s="7">
        <v>0.32500000000000001</v>
      </c>
      <c r="P4801" s="1" t="s">
        <v>43879</v>
      </c>
    </row>
    <row r="4802" spans="1:16" ht="33.4" x14ac:dyDescent="0.3">
      <c r="A4802" s="6" t="str">
        <f>HYPERLINK("https://www.ti.com/product/UCC28C42", "UCC28C42")</f>
        <v>UCC28C42</v>
      </c>
      <c r="B4802" s="5" t="s">
        <v>43880</v>
      </c>
      <c r="C4802" s="6" t="str">
        <f>HYPERLINK("https://www.ti.com/lit/gpn/UCC28C42", "PDF")</f>
        <v>PDF</v>
      </c>
      <c r="D4802" s="5" t="s">
        <v>43881</v>
      </c>
      <c r="E4802" s="5" t="s">
        <v>43882</v>
      </c>
      <c r="F4802" s="5" t="s">
        <v>43883</v>
      </c>
      <c r="G4802" s="5" t="s">
        <v>43884</v>
      </c>
      <c r="H4802" s="1" t="s">
        <v>43885</v>
      </c>
      <c r="I4802" s="5" t="s">
        <v>43886</v>
      </c>
      <c r="J4802" s="7">
        <v>8</v>
      </c>
      <c r="K4802" s="7" t="s">
        <v>43887</v>
      </c>
      <c r="L4802" s="5" t="s">
        <v>43888</v>
      </c>
      <c r="M4802" s="7" t="s">
        <v>43889</v>
      </c>
      <c r="N4802" s="7" t="s">
        <v>43890</v>
      </c>
      <c r="O4802" s="7">
        <v>0.36299999999999999</v>
      </c>
      <c r="P4802" s="1" t="s">
        <v>43891</v>
      </c>
    </row>
    <row r="4803" spans="1:16" ht="33.4" x14ac:dyDescent="0.3">
      <c r="A4803" s="6" t="str">
        <f>HYPERLINK("https://www.ti.com/product/UCC28C43", "UCC28C43")</f>
        <v>UCC28C43</v>
      </c>
      <c r="B4803" s="5" t="s">
        <v>43892</v>
      </c>
      <c r="C4803" s="6" t="str">
        <f>HYPERLINK("https://www.ti.com/lit/gpn/UCC28C43", "PDF")</f>
        <v>PDF</v>
      </c>
      <c r="D4803" s="5" t="s">
        <v>43893</v>
      </c>
      <c r="E4803" s="5" t="s">
        <v>43894</v>
      </c>
      <c r="F4803" s="5" t="s">
        <v>43895</v>
      </c>
      <c r="G4803" s="5" t="s">
        <v>43896</v>
      </c>
      <c r="H4803" s="1" t="s">
        <v>43897</v>
      </c>
      <c r="I4803" s="5" t="s">
        <v>43898</v>
      </c>
      <c r="J4803" s="7">
        <v>8</v>
      </c>
      <c r="K4803" s="7" t="s">
        <v>43899</v>
      </c>
      <c r="L4803" s="5" t="s">
        <v>43900</v>
      </c>
      <c r="M4803" s="7" t="s">
        <v>43901</v>
      </c>
      <c r="N4803" s="7" t="s">
        <v>43902</v>
      </c>
      <c r="O4803" s="7">
        <v>0.28799999999999998</v>
      </c>
      <c r="P4803" s="1" t="s">
        <v>43903</v>
      </c>
    </row>
    <row r="4804" spans="1:16" ht="33.4" x14ac:dyDescent="0.3">
      <c r="A4804" s="6" t="str">
        <f>HYPERLINK("https://www.ti.com/product/UCC28C44", "UCC28C44")</f>
        <v>UCC28C44</v>
      </c>
      <c r="B4804" s="5" t="s">
        <v>43904</v>
      </c>
      <c r="C4804" s="6" t="str">
        <f>HYPERLINK("https://www.ti.com/lit/gpn/UCC28C44", "PDF")</f>
        <v>PDF</v>
      </c>
      <c r="D4804" s="5" t="s">
        <v>43905</v>
      </c>
      <c r="E4804" s="5" t="s">
        <v>43906</v>
      </c>
      <c r="F4804" s="5" t="s">
        <v>43907</v>
      </c>
      <c r="G4804" s="5" t="s">
        <v>43908</v>
      </c>
      <c r="H4804" s="1" t="s">
        <v>43909</v>
      </c>
      <c r="I4804" s="5" t="s">
        <v>43910</v>
      </c>
      <c r="J4804" s="7">
        <v>8</v>
      </c>
      <c r="K4804" s="7" t="s">
        <v>43911</v>
      </c>
      <c r="L4804" s="5" t="s">
        <v>43912</v>
      </c>
      <c r="M4804" s="7" t="s">
        <v>43913</v>
      </c>
      <c r="N4804" s="7" t="s">
        <v>43914</v>
      </c>
      <c r="O4804" s="7">
        <v>0.36299999999999999</v>
      </c>
      <c r="P4804" s="1" t="s">
        <v>43915</v>
      </c>
    </row>
    <row r="4805" spans="1:16" ht="33.4" x14ac:dyDescent="0.3">
      <c r="A4805" s="6" t="str">
        <f>HYPERLINK("https://www.ti.com/product/UCC28C45", "UCC28C45")</f>
        <v>UCC28C45</v>
      </c>
      <c r="B4805" s="5" t="s">
        <v>43916</v>
      </c>
      <c r="C4805" s="6" t="str">
        <f>HYPERLINK("https://www.ti.com/lit/gpn/UCC28C45", "PDF")</f>
        <v>PDF</v>
      </c>
      <c r="D4805" s="5" t="s">
        <v>43917</v>
      </c>
      <c r="E4805" s="5" t="s">
        <v>43918</v>
      </c>
      <c r="F4805" s="5" t="s">
        <v>43919</v>
      </c>
      <c r="G4805" s="5" t="s">
        <v>43920</v>
      </c>
      <c r="H4805" s="1" t="s">
        <v>43921</v>
      </c>
      <c r="I4805" s="5" t="s">
        <v>43922</v>
      </c>
      <c r="J4805" s="7">
        <v>8</v>
      </c>
      <c r="K4805" s="7" t="s">
        <v>43923</v>
      </c>
      <c r="L4805" s="5" t="s">
        <v>43924</v>
      </c>
      <c r="M4805" s="7" t="s">
        <v>43925</v>
      </c>
      <c r="N4805" s="7" t="s">
        <v>43926</v>
      </c>
      <c r="O4805" s="7">
        <v>0.36299999999999999</v>
      </c>
      <c r="P4805" s="1" t="s">
        <v>43927</v>
      </c>
    </row>
    <row r="4806" spans="1:16" ht="33.4" x14ac:dyDescent="0.3">
      <c r="A4806" s="6" t="str">
        <f>HYPERLINK("https://www.ti.com/product/UCC38C40", "UCC38C40")</f>
        <v>UCC38C40</v>
      </c>
      <c r="B4806" s="5" t="s">
        <v>43928</v>
      </c>
      <c r="C4806" s="6" t="str">
        <f>HYPERLINK("https://www.ti.com/lit/gpn/UCC38C40", "PDF")</f>
        <v>PDF</v>
      </c>
      <c r="D4806" s="5" t="s">
        <v>43929</v>
      </c>
      <c r="E4806" s="5" t="s">
        <v>43930</v>
      </c>
      <c r="F4806" s="5" t="s">
        <v>43931</v>
      </c>
      <c r="G4806" s="5" t="s">
        <v>43932</v>
      </c>
      <c r="H4806" s="1" t="s">
        <v>43933</v>
      </c>
      <c r="I4806" s="5" t="s">
        <v>43934</v>
      </c>
      <c r="J4806" s="7">
        <v>8</v>
      </c>
      <c r="K4806" s="7" t="s">
        <v>43935</v>
      </c>
      <c r="L4806" s="5" t="s">
        <v>43936</v>
      </c>
      <c r="M4806" s="7" t="s">
        <v>43937</v>
      </c>
      <c r="N4806" s="7" t="s">
        <v>43938</v>
      </c>
      <c r="O4806" s="7">
        <v>0.3</v>
      </c>
      <c r="P4806" s="1" t="s">
        <v>43939</v>
      </c>
    </row>
    <row r="4807" spans="1:16" ht="33.4" x14ac:dyDescent="0.3">
      <c r="A4807" s="6" t="str">
        <f>HYPERLINK("https://www.ti.com/product/UCC38C41", "UCC38C41")</f>
        <v>UCC38C41</v>
      </c>
      <c r="B4807" s="5" t="s">
        <v>43940</v>
      </c>
      <c r="C4807" s="6" t="str">
        <f>HYPERLINK("https://www.ti.com/lit/gpn/UCC38C41", "PDF")</f>
        <v>PDF</v>
      </c>
      <c r="D4807" s="5" t="s">
        <v>43941</v>
      </c>
      <c r="E4807" s="5" t="s">
        <v>43942</v>
      </c>
      <c r="F4807" s="5" t="s">
        <v>43943</v>
      </c>
      <c r="G4807" s="5" t="s">
        <v>43944</v>
      </c>
      <c r="H4807" s="1" t="s">
        <v>43945</v>
      </c>
      <c r="I4807" s="5" t="s">
        <v>43946</v>
      </c>
      <c r="J4807" s="7">
        <v>8</v>
      </c>
      <c r="K4807" s="7" t="s">
        <v>43947</v>
      </c>
      <c r="L4807" s="5" t="s">
        <v>43948</v>
      </c>
      <c r="M4807" s="7" t="s">
        <v>43949</v>
      </c>
      <c r="N4807" s="7" t="s">
        <v>43950</v>
      </c>
      <c r="O4807" s="7">
        <v>0.3</v>
      </c>
      <c r="P4807" s="1" t="s">
        <v>43951</v>
      </c>
    </row>
    <row r="4808" spans="1:16" ht="33.4" x14ac:dyDescent="0.3">
      <c r="A4808" s="6" t="str">
        <f>HYPERLINK("https://www.ti.com/product/UCC38C42", "UCC38C42")</f>
        <v>UCC38C42</v>
      </c>
      <c r="B4808" s="5" t="s">
        <v>43952</v>
      </c>
      <c r="C4808" s="6" t="str">
        <f>HYPERLINK("https://www.ti.com/lit/gpn/UCC38C42", "PDF")</f>
        <v>PDF</v>
      </c>
      <c r="D4808" s="5" t="s">
        <v>43953</v>
      </c>
      <c r="E4808" s="5" t="s">
        <v>43954</v>
      </c>
      <c r="F4808" s="5" t="s">
        <v>43955</v>
      </c>
      <c r="G4808" s="5" t="s">
        <v>43956</v>
      </c>
      <c r="H4808" s="1" t="s">
        <v>43957</v>
      </c>
      <c r="I4808" s="5" t="s">
        <v>43958</v>
      </c>
      <c r="J4808" s="7">
        <v>8</v>
      </c>
      <c r="K4808" s="7" t="s">
        <v>43959</v>
      </c>
      <c r="L4808" s="5" t="s">
        <v>43960</v>
      </c>
      <c r="M4808" s="7" t="s">
        <v>43961</v>
      </c>
      <c r="N4808" s="7" t="s">
        <v>43962</v>
      </c>
      <c r="O4808" s="7">
        <v>0.3</v>
      </c>
      <c r="P4808" s="1" t="s">
        <v>43963</v>
      </c>
    </row>
    <row r="4809" spans="1:16" ht="49.75" x14ac:dyDescent="0.3">
      <c r="A4809" s="6" t="str">
        <f>HYPERLINK("https://www.ti.com/product/UCC38C43", "UCC38C43")</f>
        <v>UCC38C43</v>
      </c>
      <c r="B4809" s="5" t="s">
        <v>43964</v>
      </c>
      <c r="C4809" s="6" t="str">
        <f>HYPERLINK("https://www.ti.com/lit/gpn/UCC38C43", "PDF")</f>
        <v>PDF</v>
      </c>
      <c r="D4809" s="5" t="s">
        <v>43965</v>
      </c>
      <c r="E4809" s="5" t="s">
        <v>43966</v>
      </c>
      <c r="F4809" s="5" t="s">
        <v>43967</v>
      </c>
      <c r="G4809" s="5" t="s">
        <v>43968</v>
      </c>
      <c r="H4809" s="1" t="s">
        <v>43969</v>
      </c>
      <c r="I4809" s="5" t="s">
        <v>43970</v>
      </c>
      <c r="J4809" s="7">
        <v>8</v>
      </c>
      <c r="K4809" s="7" t="s">
        <v>43971</v>
      </c>
      <c r="L4809" s="5" t="s">
        <v>43972</v>
      </c>
      <c r="M4809" s="7" t="s">
        <v>43973</v>
      </c>
      <c r="N4809" s="7" t="s">
        <v>43974</v>
      </c>
      <c r="O4809" s="7">
        <v>0.33800000000000002</v>
      </c>
      <c r="P4809" s="1" t="s">
        <v>43975</v>
      </c>
    </row>
    <row r="4810" spans="1:16" ht="33.4" x14ac:dyDescent="0.3">
      <c r="A4810" s="6" t="str">
        <f>HYPERLINK("https://www.ti.com/product/UCC38C44", "UCC38C44")</f>
        <v>UCC38C44</v>
      </c>
      <c r="B4810" s="5" t="s">
        <v>43976</v>
      </c>
      <c r="C4810" s="6" t="str">
        <f>HYPERLINK("https://www.ti.com/lit/gpn/UCC38C44", "PDF")</f>
        <v>PDF</v>
      </c>
      <c r="D4810" s="5" t="s">
        <v>43977</v>
      </c>
      <c r="E4810" s="5" t="s">
        <v>43978</v>
      </c>
      <c r="F4810" s="5" t="s">
        <v>43979</v>
      </c>
      <c r="G4810" s="5" t="s">
        <v>43980</v>
      </c>
      <c r="H4810" s="1" t="s">
        <v>43981</v>
      </c>
      <c r="I4810" s="5" t="s">
        <v>43982</v>
      </c>
      <c r="J4810" s="7">
        <v>8</v>
      </c>
      <c r="K4810" s="7" t="s">
        <v>43983</v>
      </c>
      <c r="L4810" s="5" t="s">
        <v>43984</v>
      </c>
      <c r="M4810" s="7" t="s">
        <v>43985</v>
      </c>
      <c r="N4810" s="7" t="s">
        <v>43986</v>
      </c>
      <c r="O4810" s="7">
        <v>0.3</v>
      </c>
      <c r="P4810" s="1" t="s">
        <v>43987</v>
      </c>
    </row>
    <row r="4811" spans="1:16" ht="33.4" x14ac:dyDescent="0.3">
      <c r="A4811" s="6" t="str">
        <f>HYPERLINK("https://www.ti.com/product/UCC38C45", "UCC38C45")</f>
        <v>UCC38C45</v>
      </c>
      <c r="B4811" s="5" t="s">
        <v>43988</v>
      </c>
      <c r="C4811" s="6" t="str">
        <f>HYPERLINK("https://www.ti.com/lit/gpn/UCC38C45", "PDF")</f>
        <v>PDF</v>
      </c>
      <c r="D4811" s="5" t="s">
        <v>43989</v>
      </c>
      <c r="E4811" s="5" t="s">
        <v>43990</v>
      </c>
      <c r="F4811" s="5" t="s">
        <v>43991</v>
      </c>
      <c r="G4811" s="5" t="s">
        <v>43992</v>
      </c>
      <c r="H4811" s="1" t="s">
        <v>43993</v>
      </c>
      <c r="I4811" s="5" t="s">
        <v>43994</v>
      </c>
      <c r="J4811" s="7">
        <v>8</v>
      </c>
      <c r="K4811" s="7" t="s">
        <v>43995</v>
      </c>
      <c r="L4811" s="5" t="s">
        <v>43996</v>
      </c>
      <c r="M4811" s="7" t="s">
        <v>43997</v>
      </c>
      <c r="N4811" s="7" t="s">
        <v>43998</v>
      </c>
      <c r="O4811" s="7">
        <v>0.3</v>
      </c>
      <c r="P4811" s="1" t="s">
        <v>43999</v>
      </c>
    </row>
    <row r="4812" spans="1:16" ht="33.4" x14ac:dyDescent="0.3">
      <c r="A4812" s="6" t="str">
        <f>HYPERLINK("https://www.ti.com/product/TPS54610", "TPS54610")</f>
        <v>TPS54610</v>
      </c>
      <c r="B4812" s="5" t="s">
        <v>44000</v>
      </c>
      <c r="C4812" s="6" t="str">
        <f>HYPERLINK("https://www.ti.com/lit/gpn/TPS54610", "PDF")</f>
        <v>PDF</v>
      </c>
      <c r="D4812" s="5" t="s">
        <v>44001</v>
      </c>
      <c r="E4812" s="5" t="s">
        <v>44002</v>
      </c>
      <c r="F4812" s="5" t="s">
        <v>44003</v>
      </c>
      <c r="G4812" s="5" t="s">
        <v>44004</v>
      </c>
      <c r="H4812" s="1" t="s">
        <v>44005</v>
      </c>
      <c r="I4812" s="5" t="s">
        <v>44006</v>
      </c>
      <c r="J4812" s="7">
        <v>28</v>
      </c>
      <c r="K4812" s="7">
        <v>62.08</v>
      </c>
      <c r="L4812" s="5" t="s">
        <v>44007</v>
      </c>
      <c r="M4812" s="7">
        <v>1.2</v>
      </c>
      <c r="N4812" s="7">
        <v>0.65</v>
      </c>
      <c r="O4812" s="7">
        <v>1.7150000000000001</v>
      </c>
      <c r="P4812" s="1" t="s">
        <v>44008</v>
      </c>
    </row>
    <row r="4813" spans="1:16" ht="33.4" x14ac:dyDescent="0.3">
      <c r="A4813" s="6" t="str">
        <f>HYPERLINK("https://www.ti.com/product/TPS715", "TPS715")</f>
        <v>TPS715</v>
      </c>
      <c r="B4813" s="5" t="s">
        <v>44009</v>
      </c>
      <c r="C4813" s="6" t="str">
        <f>HYPERLINK("https://www.ti.com/lit/gpn/TPS715", "PDF")</f>
        <v>PDF</v>
      </c>
      <c r="D4813" s="5" t="s">
        <v>44010</v>
      </c>
      <c r="E4813" s="5" t="s">
        <v>44011</v>
      </c>
      <c r="F4813" s="5"/>
      <c r="G4813" s="5" t="s">
        <v>44012</v>
      </c>
      <c r="H4813" s="1" t="s">
        <v>44013</v>
      </c>
      <c r="I4813" s="5" t="s">
        <v>44014</v>
      </c>
      <c r="J4813" s="7">
        <v>5</v>
      </c>
      <c r="K4813" s="7">
        <v>4.2</v>
      </c>
      <c r="L4813" s="5" t="s">
        <v>44015</v>
      </c>
      <c r="M4813" s="7">
        <v>1.1000000000000001</v>
      </c>
      <c r="N4813" s="7">
        <v>0.65</v>
      </c>
      <c r="O4813" s="7">
        <v>0.21299999999999999</v>
      </c>
      <c r="P4813" s="1" t="s">
        <v>44016</v>
      </c>
    </row>
    <row r="4814" spans="1:16" ht="17.05" x14ac:dyDescent="0.3">
      <c r="A4814" s="6" t="str">
        <f>HYPERLINK("https://www.ti.com/product/TPS3802", "TPS3802")</f>
        <v>TPS3802</v>
      </c>
      <c r="B4814" s="5" t="s">
        <v>44017</v>
      </c>
      <c r="C4814" s="6" t="str">
        <f>HYPERLINK("https://www.ti.com/lit/gpn/TPS3802", "PDF")</f>
        <v>PDF</v>
      </c>
      <c r="D4814" s="5" t="s">
        <v>44018</v>
      </c>
      <c r="E4814" s="5" t="s">
        <v>44019</v>
      </c>
      <c r="F4814" s="5"/>
      <c r="G4814" s="5" t="s">
        <v>44020</v>
      </c>
      <c r="H4814" s="1" t="s">
        <v>44021</v>
      </c>
      <c r="I4814" s="5" t="s">
        <v>44022</v>
      </c>
      <c r="J4814" s="7">
        <v>5</v>
      </c>
      <c r="K4814" s="7">
        <v>4.2</v>
      </c>
      <c r="L4814" s="5" t="s">
        <v>44023</v>
      </c>
      <c r="M4814" s="7">
        <v>1.1000000000000001</v>
      </c>
      <c r="N4814" s="7">
        <v>0.65</v>
      </c>
      <c r="O4814" s="7">
        <v>0.44</v>
      </c>
      <c r="P4814" s="1" t="s">
        <v>44024</v>
      </c>
    </row>
    <row r="4815" spans="1:16" ht="17.05" x14ac:dyDescent="0.3">
      <c r="A4815" s="6" t="str">
        <f>HYPERLINK("https://www.ti.com/product/MCP809", "MCP809")</f>
        <v>MCP809</v>
      </c>
      <c r="B4815" s="5" t="s">
        <v>44025</v>
      </c>
      <c r="C4815" s="6" t="str">
        <f>HYPERLINK("https://www.ti.com/lit/gpn/MCP809", "PDF")</f>
        <v>PDF</v>
      </c>
      <c r="D4815" s="5" t="s">
        <v>44026</v>
      </c>
      <c r="E4815" s="5" t="s">
        <v>44027</v>
      </c>
      <c r="F4815" s="5"/>
      <c r="G4815" s="5" t="s">
        <v>44028</v>
      </c>
      <c r="H4815" s="1" t="s">
        <v>44029</v>
      </c>
      <c r="I4815" s="5" t="s">
        <v>44030</v>
      </c>
      <c r="J4815" s="7">
        <v>3</v>
      </c>
      <c r="K4815" s="7">
        <v>6.9203999999999999</v>
      </c>
      <c r="L4815" s="5" t="s">
        <v>44031</v>
      </c>
      <c r="M4815" s="7">
        <v>1.1200000000000001</v>
      </c>
      <c r="N4815" s="7">
        <v>0.96</v>
      </c>
      <c r="O4815" s="7">
        <v>0.22800000000000001</v>
      </c>
      <c r="P4815" s="1" t="s">
        <v>44032</v>
      </c>
    </row>
    <row r="4816" spans="1:16" ht="33.4" x14ac:dyDescent="0.3">
      <c r="A4816" s="6" t="str">
        <f>HYPERLINK("https://www.ti.com/product/REG710-25", "REG710-25")</f>
        <v>REG710-25</v>
      </c>
      <c r="B4816" s="5" t="s">
        <v>44033</v>
      </c>
      <c r="C4816" s="6" t="str">
        <f>HYPERLINK("https://www.ti.com/lit/gpn/REG710-25", "PDF")</f>
        <v>PDF</v>
      </c>
      <c r="D4816" s="5" t="s">
        <v>44034</v>
      </c>
      <c r="E4816" s="5" t="s">
        <v>44035</v>
      </c>
      <c r="F4816" s="5"/>
      <c r="G4816" s="5" t="s">
        <v>44036</v>
      </c>
      <c r="H4816" s="1" t="s">
        <v>44037</v>
      </c>
      <c r="I4816" s="5" t="s">
        <v>44038</v>
      </c>
      <c r="J4816" s="7">
        <v>6</v>
      </c>
      <c r="K4816" s="7">
        <v>8.1199999999999992</v>
      </c>
      <c r="L4816" s="5" t="s">
        <v>44039</v>
      </c>
      <c r="M4816" s="7">
        <v>1.45</v>
      </c>
      <c r="N4816" s="7">
        <v>0.95</v>
      </c>
      <c r="O4816" s="7">
        <v>0.52700000000000002</v>
      </c>
      <c r="P4816" s="1" t="s">
        <v>44040</v>
      </c>
    </row>
    <row r="4817" spans="1:16" ht="33.4" x14ac:dyDescent="0.3">
      <c r="A4817" s="6" t="str">
        <f>HYPERLINK("https://www.ti.com/product/TPS60502", "TPS60502")</f>
        <v>TPS60502</v>
      </c>
      <c r="B4817" s="5" t="s">
        <v>44041</v>
      </c>
      <c r="C4817" s="6" t="str">
        <f>HYPERLINK("https://www.ti.com/lit/gpn/TPS60502", "PDF")</f>
        <v>PDF</v>
      </c>
      <c r="D4817" s="5" t="s">
        <v>44042</v>
      </c>
      <c r="E4817" s="5" t="s">
        <v>44043</v>
      </c>
      <c r="F4817" s="5"/>
      <c r="G4817" s="5" t="s">
        <v>44044</v>
      </c>
      <c r="H4817" s="1" t="s">
        <v>44045</v>
      </c>
      <c r="I4817" s="5" t="s">
        <v>44046</v>
      </c>
      <c r="J4817" s="7">
        <v>10</v>
      </c>
      <c r="K4817" s="7">
        <v>14.7</v>
      </c>
      <c r="L4817" s="5" t="s">
        <v>44047</v>
      </c>
      <c r="M4817" s="7">
        <v>1.1000000000000001</v>
      </c>
      <c r="N4817" s="7">
        <v>0.5</v>
      </c>
      <c r="O4817" s="7">
        <v>0.48299999999999998</v>
      </c>
      <c r="P4817" s="1" t="s">
        <v>44048</v>
      </c>
    </row>
    <row r="4818" spans="1:16" ht="17.05" x14ac:dyDescent="0.3">
      <c r="A4818" s="6" t="str">
        <f>HYPERLINK("https://www.ti.com/product/LMS33460", "LMS33460")</f>
        <v>LMS33460</v>
      </c>
      <c r="B4818" s="5" t="s">
        <v>44049</v>
      </c>
      <c r="C4818" s="6" t="str">
        <f>HYPERLINK("https://www.ti.com/lit/gpn/LMS33460", "PDF")</f>
        <v>PDF</v>
      </c>
      <c r="D4818" s="5" t="s">
        <v>44050</v>
      </c>
      <c r="E4818" s="5" t="s">
        <v>44051</v>
      </c>
      <c r="F4818" s="5"/>
      <c r="G4818" s="5" t="s">
        <v>44052</v>
      </c>
      <c r="H4818" s="1" t="s">
        <v>44053</v>
      </c>
      <c r="I4818" s="5" t="s">
        <v>44054</v>
      </c>
      <c r="J4818" s="7">
        <v>5</v>
      </c>
      <c r="K4818" s="7">
        <v>4.2</v>
      </c>
      <c r="L4818" s="5" t="s">
        <v>44055</v>
      </c>
      <c r="M4818" s="7">
        <v>1.1000000000000001</v>
      </c>
      <c r="N4818" s="7">
        <v>0.65</v>
      </c>
      <c r="O4818" s="7">
        <v>0.189</v>
      </c>
      <c r="P4818" s="1" t="s">
        <v>44056</v>
      </c>
    </row>
    <row r="4819" spans="1:16" ht="33.4" x14ac:dyDescent="0.3">
      <c r="A4819" s="6" t="str">
        <f>HYPERLINK("https://www.ti.com/product/TPS62000", "TPS62000")</f>
        <v>TPS62000</v>
      </c>
      <c r="B4819" s="5" t="s">
        <v>44057</v>
      </c>
      <c r="C4819" s="6" t="str">
        <f>HYPERLINK("https://www.ti.com/lit/gpn/TPS62000", "PDF")</f>
        <v>PDF</v>
      </c>
      <c r="D4819" s="5" t="s">
        <v>44058</v>
      </c>
      <c r="E4819" s="5" t="s">
        <v>44059</v>
      </c>
      <c r="F4819" s="5" t="s">
        <v>44060</v>
      </c>
      <c r="G4819" s="5" t="s">
        <v>44061</v>
      </c>
      <c r="H4819" s="1" t="s">
        <v>44062</v>
      </c>
      <c r="I4819" s="5" t="s">
        <v>44063</v>
      </c>
      <c r="J4819" s="7">
        <v>10</v>
      </c>
      <c r="K4819" s="7">
        <v>14.7</v>
      </c>
      <c r="L4819" s="5" t="s">
        <v>44064</v>
      </c>
      <c r="M4819" s="7">
        <v>1.1000000000000001</v>
      </c>
      <c r="N4819" s="7">
        <v>0.5</v>
      </c>
      <c r="O4819" s="7">
        <v>0.85199999999999998</v>
      </c>
      <c r="P4819" s="1" t="s">
        <v>44065</v>
      </c>
    </row>
    <row r="4820" spans="1:16" ht="33.4" x14ac:dyDescent="0.3">
      <c r="A4820" s="6" t="str">
        <f>HYPERLINK("https://www.ti.com/product/TPS62002", "TPS62002")</f>
        <v>TPS62002</v>
      </c>
      <c r="B4820" s="5" t="s">
        <v>44066</v>
      </c>
      <c r="C4820" s="6" t="str">
        <f>HYPERLINK("https://www.ti.com/lit/gpn/TPS62002", "PDF")</f>
        <v>PDF</v>
      </c>
      <c r="D4820" s="5" t="s">
        <v>44067</v>
      </c>
      <c r="E4820" s="5" t="s">
        <v>44068</v>
      </c>
      <c r="F4820" s="5" t="s">
        <v>44069</v>
      </c>
      <c r="G4820" s="5" t="s">
        <v>44070</v>
      </c>
      <c r="H4820" s="1" t="s">
        <v>44071</v>
      </c>
      <c r="I4820" s="5" t="s">
        <v>44072</v>
      </c>
      <c r="J4820" s="7">
        <v>10</v>
      </c>
      <c r="K4820" s="7">
        <v>14.7</v>
      </c>
      <c r="L4820" s="5" t="s">
        <v>44073</v>
      </c>
      <c r="M4820" s="7">
        <v>1.1000000000000001</v>
      </c>
      <c r="N4820" s="7">
        <v>0.5</v>
      </c>
      <c r="O4820" s="7">
        <v>0.85199999999999998</v>
      </c>
      <c r="P4820" s="1" t="s">
        <v>44074</v>
      </c>
    </row>
    <row r="4821" spans="1:16" ht="33.4" x14ac:dyDescent="0.3">
      <c r="A4821" s="6" t="str">
        <f>HYPERLINK("https://www.ti.com/product/TPS62003", "TPS62003")</f>
        <v>TPS62003</v>
      </c>
      <c r="B4821" s="5" t="s">
        <v>44075</v>
      </c>
      <c r="C4821" s="6" t="str">
        <f>HYPERLINK("https://www.ti.com/lit/gpn/TPS62003", "PDF")</f>
        <v>PDF</v>
      </c>
      <c r="D4821" s="5" t="s">
        <v>44076</v>
      </c>
      <c r="E4821" s="5" t="s">
        <v>44077</v>
      </c>
      <c r="F4821" s="5" t="s">
        <v>44078</v>
      </c>
      <c r="G4821" s="5" t="s">
        <v>44079</v>
      </c>
      <c r="H4821" s="1" t="s">
        <v>44080</v>
      </c>
      <c r="I4821" s="5" t="s">
        <v>44081</v>
      </c>
      <c r="J4821" s="7">
        <v>10</v>
      </c>
      <c r="K4821" s="7">
        <v>14.7</v>
      </c>
      <c r="L4821" s="5" t="s">
        <v>44082</v>
      </c>
      <c r="M4821" s="7">
        <v>1.1000000000000001</v>
      </c>
      <c r="N4821" s="7">
        <v>0.5</v>
      </c>
      <c r="O4821" s="7">
        <v>0.85199999999999998</v>
      </c>
      <c r="P4821" s="1" t="s">
        <v>44083</v>
      </c>
    </row>
    <row r="4822" spans="1:16" ht="33.4" x14ac:dyDescent="0.3">
      <c r="A4822" s="6" t="str">
        <f>HYPERLINK("https://www.ti.com/product/TPS62004", "TPS62004")</f>
        <v>TPS62004</v>
      </c>
      <c r="B4822" s="5" t="s">
        <v>44084</v>
      </c>
      <c r="C4822" s="6" t="str">
        <f>HYPERLINK("https://www.ti.com/lit/gpn/TPS62004", "PDF")</f>
        <v>PDF</v>
      </c>
      <c r="D4822" s="5" t="s">
        <v>44085</v>
      </c>
      <c r="E4822" s="5" t="s">
        <v>44086</v>
      </c>
      <c r="F4822" s="5" t="s">
        <v>44087</v>
      </c>
      <c r="G4822" s="5" t="s">
        <v>44088</v>
      </c>
      <c r="H4822" s="1" t="s">
        <v>44089</v>
      </c>
      <c r="I4822" s="5" t="s">
        <v>44090</v>
      </c>
      <c r="J4822" s="7">
        <v>10</v>
      </c>
      <c r="K4822" s="7">
        <v>14.7</v>
      </c>
      <c r="L4822" s="5" t="s">
        <v>44091</v>
      </c>
      <c r="M4822" s="7">
        <v>1.1000000000000001</v>
      </c>
      <c r="N4822" s="7">
        <v>0.5</v>
      </c>
      <c r="O4822" s="7">
        <v>0.85199999999999998</v>
      </c>
      <c r="P4822" s="1" t="s">
        <v>44092</v>
      </c>
    </row>
    <row r="4823" spans="1:16" ht="33.4" x14ac:dyDescent="0.3">
      <c r="A4823" s="6" t="str">
        <f>HYPERLINK("https://www.ti.com/product/TPS62005", "TPS62005")</f>
        <v>TPS62005</v>
      </c>
      <c r="B4823" s="5" t="s">
        <v>44093</v>
      </c>
      <c r="C4823" s="6" t="str">
        <f>HYPERLINK("https://www.ti.com/lit/gpn/TPS62005", "PDF")</f>
        <v>PDF</v>
      </c>
      <c r="D4823" s="5" t="s">
        <v>44094</v>
      </c>
      <c r="E4823" s="5" t="s">
        <v>44095</v>
      </c>
      <c r="F4823" s="5" t="s">
        <v>44096</v>
      </c>
      <c r="G4823" s="5" t="s">
        <v>44097</v>
      </c>
      <c r="H4823" s="1" t="s">
        <v>44098</v>
      </c>
      <c r="I4823" s="5" t="s">
        <v>44099</v>
      </c>
      <c r="J4823" s="7">
        <v>10</v>
      </c>
      <c r="K4823" s="7">
        <v>14.7</v>
      </c>
      <c r="L4823" s="5" t="s">
        <v>44100</v>
      </c>
      <c r="M4823" s="7">
        <v>1.1000000000000001</v>
      </c>
      <c r="N4823" s="7">
        <v>0.5</v>
      </c>
      <c r="O4823" s="7">
        <v>0.85199999999999998</v>
      </c>
      <c r="P4823" s="1" t="s">
        <v>44101</v>
      </c>
    </row>
    <row r="4824" spans="1:16" ht="33.4" x14ac:dyDescent="0.3">
      <c r="A4824" s="6" t="str">
        <f>HYPERLINK("https://www.ti.com/product/TPS62006", "TPS62006")</f>
        <v>TPS62006</v>
      </c>
      <c r="B4824" s="5" t="s">
        <v>44102</v>
      </c>
      <c r="C4824" s="6" t="str">
        <f>HYPERLINK("https://www.ti.com/lit/gpn/TPS62006", "PDF")</f>
        <v>PDF</v>
      </c>
      <c r="D4824" s="5" t="s">
        <v>44103</v>
      </c>
      <c r="E4824" s="5" t="s">
        <v>44104</v>
      </c>
      <c r="F4824" s="5" t="s">
        <v>44105</v>
      </c>
      <c r="G4824" s="5" t="s">
        <v>44106</v>
      </c>
      <c r="H4824" s="1" t="s">
        <v>44107</v>
      </c>
      <c r="I4824" s="5" t="s">
        <v>44108</v>
      </c>
      <c r="J4824" s="7">
        <v>10</v>
      </c>
      <c r="K4824" s="7">
        <v>14.7</v>
      </c>
      <c r="L4824" s="5" t="s">
        <v>44109</v>
      </c>
      <c r="M4824" s="7">
        <v>1.1000000000000001</v>
      </c>
      <c r="N4824" s="7">
        <v>0.5</v>
      </c>
      <c r="O4824" s="7">
        <v>0.85199999999999998</v>
      </c>
      <c r="P4824" s="1" t="s">
        <v>44110</v>
      </c>
    </row>
    <row r="4825" spans="1:16" ht="33.4" x14ac:dyDescent="0.3">
      <c r="A4825" s="6" t="str">
        <f>HYPERLINK("https://www.ti.com/product/TPS62007", "TPS62007")</f>
        <v>TPS62007</v>
      </c>
      <c r="B4825" s="5" t="s">
        <v>44111</v>
      </c>
      <c r="C4825" s="6" t="str">
        <f>HYPERLINK("https://www.ti.com/lit/gpn/TPS62007", "PDF")</f>
        <v>PDF</v>
      </c>
      <c r="D4825" s="5" t="s">
        <v>44112</v>
      </c>
      <c r="E4825" s="5" t="s">
        <v>44113</v>
      </c>
      <c r="F4825" s="5" t="s">
        <v>44114</v>
      </c>
      <c r="G4825" s="5" t="s">
        <v>44115</v>
      </c>
      <c r="H4825" s="1" t="s">
        <v>44116</v>
      </c>
      <c r="I4825" s="5" t="s">
        <v>44117</v>
      </c>
      <c r="J4825" s="7">
        <v>10</v>
      </c>
      <c r="K4825" s="7">
        <v>14.7</v>
      </c>
      <c r="L4825" s="5" t="s">
        <v>44118</v>
      </c>
      <c r="M4825" s="7">
        <v>1.1000000000000001</v>
      </c>
      <c r="N4825" s="7">
        <v>0.5</v>
      </c>
      <c r="O4825" s="7">
        <v>0.85199999999999998</v>
      </c>
      <c r="P4825" s="1" t="s">
        <v>44119</v>
      </c>
    </row>
    <row r="4826" spans="1:16" ht="49.75" x14ac:dyDescent="0.3">
      <c r="A4826" s="6" t="str">
        <f>HYPERLINK("https://www.ti.com/product/LM2590HV", "LM2590HV")</f>
        <v>LM2590HV</v>
      </c>
      <c r="B4826" s="5" t="s">
        <v>44120</v>
      </c>
      <c r="C4826" s="6" t="str">
        <f>HYPERLINK("https://www.ti.com/lit/gpn/LM2590HV", "PDF")</f>
        <v>PDF</v>
      </c>
      <c r="D4826" s="5" t="s">
        <v>44121</v>
      </c>
      <c r="E4826" s="5" t="s">
        <v>44122</v>
      </c>
      <c r="F4826" s="5" t="s">
        <v>44123</v>
      </c>
      <c r="G4826" s="5" t="s">
        <v>44124</v>
      </c>
      <c r="H4826" s="1" t="s">
        <v>44125</v>
      </c>
      <c r="I4826" s="5" t="s">
        <v>44126</v>
      </c>
      <c r="J4826" s="7">
        <v>7</v>
      </c>
      <c r="K4826" s="7" t="s">
        <v>44127</v>
      </c>
      <c r="L4826" s="5" t="s">
        <v>44128</v>
      </c>
      <c r="M4826" s="7" t="s">
        <v>44129</v>
      </c>
      <c r="N4826" s="7">
        <v>1.27</v>
      </c>
      <c r="O4826" s="7">
        <v>2.72</v>
      </c>
      <c r="P4826" s="1" t="s">
        <v>44130</v>
      </c>
    </row>
    <row r="4827" spans="1:16" ht="49.75" x14ac:dyDescent="0.3">
      <c r="A4827" s="6" t="str">
        <f>HYPERLINK("https://www.ti.com/product/LM2591HV", "LM2591HV")</f>
        <v>LM2591HV</v>
      </c>
      <c r="B4827" s="5" t="s">
        <v>44131</v>
      </c>
      <c r="C4827" s="6" t="str">
        <f>HYPERLINK("https://www.ti.com/lit/gpn/LM2591HV", "PDF")</f>
        <v>PDF</v>
      </c>
      <c r="D4827" s="5" t="s">
        <v>44132</v>
      </c>
      <c r="E4827" s="5" t="s">
        <v>44133</v>
      </c>
      <c r="F4827" s="5" t="s">
        <v>44134</v>
      </c>
      <c r="G4827" s="5" t="s">
        <v>44135</v>
      </c>
      <c r="H4827" s="1" t="s">
        <v>44136</v>
      </c>
      <c r="I4827" s="5" t="s">
        <v>44137</v>
      </c>
      <c r="J4827" s="7">
        <v>5</v>
      </c>
      <c r="K4827" s="7" t="s">
        <v>44138</v>
      </c>
      <c r="L4827" s="5" t="s">
        <v>44139</v>
      </c>
      <c r="M4827" s="7" t="s">
        <v>44140</v>
      </c>
      <c r="N4827" s="7">
        <v>1.7</v>
      </c>
      <c r="O4827" s="7">
        <v>2.7829999999999999</v>
      </c>
      <c r="P4827" s="1" t="s">
        <v>44141</v>
      </c>
    </row>
    <row r="4828" spans="1:16" ht="49.75" x14ac:dyDescent="0.3">
      <c r="A4828" s="6" t="str">
        <f>HYPERLINK("https://www.ti.com/product/LM2592HV", "LM2592HV")</f>
        <v>LM2592HV</v>
      </c>
      <c r="B4828" s="5" t="s">
        <v>44142</v>
      </c>
      <c r="C4828" s="6" t="str">
        <f>HYPERLINK("https://www.ti.com/lit/gpn/LM2592HV", "PDF")</f>
        <v>PDF</v>
      </c>
      <c r="D4828" s="5" t="s">
        <v>44143</v>
      </c>
      <c r="E4828" s="5" t="s">
        <v>44144</v>
      </c>
      <c r="F4828" s="5" t="s">
        <v>44145</v>
      </c>
      <c r="G4828" s="5" t="s">
        <v>44146</v>
      </c>
      <c r="H4828" s="1" t="s">
        <v>44147</v>
      </c>
      <c r="I4828" s="5" t="s">
        <v>44148</v>
      </c>
      <c r="J4828" s="7">
        <v>5</v>
      </c>
      <c r="K4828" s="7" t="s">
        <v>44149</v>
      </c>
      <c r="L4828" s="5" t="s">
        <v>44150</v>
      </c>
      <c r="M4828" s="7" t="s">
        <v>44151</v>
      </c>
      <c r="N4828" s="7">
        <v>1.7</v>
      </c>
      <c r="O4828" s="7">
        <v>3.34</v>
      </c>
      <c r="P4828" s="1" t="s">
        <v>44152</v>
      </c>
    </row>
    <row r="4829" spans="1:16" ht="33.4" x14ac:dyDescent="0.3">
      <c r="A4829" s="6" t="str">
        <f>HYPERLINK("https://www.ti.com/product/LM2700", "LM2700")</f>
        <v>LM2700</v>
      </c>
      <c r="B4829" s="5" t="s">
        <v>44153</v>
      </c>
      <c r="C4829" s="6" t="str">
        <f>HYPERLINK("https://www.ti.com/lit/gpn/LM2700", "PDF")</f>
        <v>PDF</v>
      </c>
      <c r="D4829" s="5" t="s">
        <v>44154</v>
      </c>
      <c r="E4829" s="5" t="s">
        <v>44155</v>
      </c>
      <c r="F4829" s="5" t="s">
        <v>44156</v>
      </c>
      <c r="G4829" s="5" t="s">
        <v>44157</v>
      </c>
      <c r="H4829" s="1" t="s">
        <v>44158</v>
      </c>
      <c r="I4829" s="5" t="s">
        <v>44159</v>
      </c>
      <c r="J4829" s="7">
        <v>14</v>
      </c>
      <c r="K4829" s="7" t="s">
        <v>44160</v>
      </c>
      <c r="L4829" s="5" t="s">
        <v>44161</v>
      </c>
      <c r="M4829" s="7" t="s">
        <v>44162</v>
      </c>
      <c r="N4829" s="7" t="s">
        <v>44163</v>
      </c>
      <c r="O4829" s="7">
        <v>1.8979999999999999</v>
      </c>
      <c r="P4829" s="1" t="s">
        <v>44164</v>
      </c>
    </row>
    <row r="4830" spans="1:16" ht="49.75" x14ac:dyDescent="0.3">
      <c r="A4830" s="6" t="str">
        <f>HYPERLINK("https://www.ti.com/product/LM2593HV", "LM2593HV")</f>
        <v>LM2593HV</v>
      </c>
      <c r="B4830" s="5" t="s">
        <v>44165</v>
      </c>
      <c r="C4830" s="6" t="str">
        <f>HYPERLINK("https://www.ti.com/lit/gpn/LM2593HV", "PDF")</f>
        <v>PDF</v>
      </c>
      <c r="D4830" s="5" t="s">
        <v>44166</v>
      </c>
      <c r="E4830" s="5" t="s">
        <v>44167</v>
      </c>
      <c r="F4830" s="5" t="s">
        <v>44168</v>
      </c>
      <c r="G4830" s="5" t="s">
        <v>44169</v>
      </c>
      <c r="H4830" s="1" t="s">
        <v>44170</v>
      </c>
      <c r="I4830" s="5" t="s">
        <v>44171</v>
      </c>
      <c r="J4830" s="7">
        <v>7</v>
      </c>
      <c r="K4830" s="7" t="s">
        <v>44172</v>
      </c>
      <c r="L4830" s="5" t="s">
        <v>44173</v>
      </c>
      <c r="M4830" s="7" t="s">
        <v>44174</v>
      </c>
      <c r="N4830" s="7">
        <v>1.27</v>
      </c>
      <c r="O4830" s="7">
        <v>3.5489999999999999</v>
      </c>
      <c r="P4830" s="1" t="s">
        <v>44175</v>
      </c>
    </row>
    <row r="4831" spans="1:16" ht="33.4" x14ac:dyDescent="0.3">
      <c r="A4831" s="6" t="str">
        <f>HYPERLINK("https://www.ti.com/product/TPS721", "TPS721")</f>
        <v>TPS721</v>
      </c>
      <c r="B4831" s="5" t="s">
        <v>44176</v>
      </c>
      <c r="C4831" s="6" t="str">
        <f>HYPERLINK("https://www.ti.com/lit/gpn/TPS721", "PDF")</f>
        <v>PDF</v>
      </c>
      <c r="D4831" s="5" t="s">
        <v>44177</v>
      </c>
      <c r="E4831" s="5" t="s">
        <v>44178</v>
      </c>
      <c r="F4831" s="5"/>
      <c r="G4831" s="5" t="s">
        <v>44179</v>
      </c>
      <c r="H4831" s="1" t="s">
        <v>44180</v>
      </c>
      <c r="I4831" s="5" t="s">
        <v>44181</v>
      </c>
      <c r="J4831" s="7">
        <v>5</v>
      </c>
      <c r="K4831" s="7">
        <v>8.1199999999999992</v>
      </c>
      <c r="L4831" s="5" t="s">
        <v>44182</v>
      </c>
      <c r="M4831" s="7">
        <v>1.45</v>
      </c>
      <c r="N4831" s="7">
        <v>0.95</v>
      </c>
      <c r="O4831" s="7">
        <v>0.51900000000000002</v>
      </c>
      <c r="P4831" s="1" t="s">
        <v>44183</v>
      </c>
    </row>
    <row r="4832" spans="1:16" ht="33.4" x14ac:dyDescent="0.3">
      <c r="A4832" s="6" t="str">
        <f>HYPERLINK("https://www.ti.com/product/TPS722", "TPS722")</f>
        <v>TPS722</v>
      </c>
      <c r="B4832" s="5" t="s">
        <v>44184</v>
      </c>
      <c r="C4832" s="6" t="str">
        <f>HYPERLINK("https://www.ti.com/lit/gpn/TPS722", "PDF")</f>
        <v>PDF</v>
      </c>
      <c r="D4832" s="5" t="s">
        <v>44185</v>
      </c>
      <c r="E4832" s="5" t="s">
        <v>44186</v>
      </c>
      <c r="F4832" s="5"/>
      <c r="G4832" s="5" t="s">
        <v>44187</v>
      </c>
      <c r="H4832" s="1" t="s">
        <v>44188</v>
      </c>
      <c r="I4832" s="5" t="s">
        <v>44189</v>
      </c>
      <c r="J4832" s="7">
        <v>5</v>
      </c>
      <c r="K4832" s="7">
        <v>8.1199999999999992</v>
      </c>
      <c r="L4832" s="5" t="s">
        <v>44190</v>
      </c>
      <c r="M4832" s="7">
        <v>1.45</v>
      </c>
      <c r="N4832" s="7">
        <v>0.95</v>
      </c>
      <c r="O4832" s="7">
        <v>0.56999999999999995</v>
      </c>
      <c r="P4832" s="1" t="s">
        <v>44191</v>
      </c>
    </row>
    <row r="4833" spans="1:16" ht="33.4" x14ac:dyDescent="0.3">
      <c r="A4833" s="6" t="str">
        <f>HYPERLINK("https://www.ti.com/product/TPS792", "TPS792")</f>
        <v>TPS792</v>
      </c>
      <c r="B4833" s="5" t="s">
        <v>44192</v>
      </c>
      <c r="C4833" s="6" t="str">
        <f>HYPERLINK("https://www.ti.com/lit/gpn/TPS792", "PDF")</f>
        <v>PDF</v>
      </c>
      <c r="D4833" s="5" t="s">
        <v>44193</v>
      </c>
      <c r="E4833" s="5" t="s">
        <v>44194</v>
      </c>
      <c r="F4833" s="5"/>
      <c r="G4833" s="5" t="s">
        <v>44195</v>
      </c>
      <c r="H4833" s="1" t="s">
        <v>44196</v>
      </c>
      <c r="I4833" s="5" t="s">
        <v>44197</v>
      </c>
      <c r="J4833" s="7" t="s">
        <v>44198</v>
      </c>
      <c r="K4833" s="7">
        <v>8.1199999999999992</v>
      </c>
      <c r="L4833" s="5" t="s">
        <v>44199</v>
      </c>
      <c r="M4833" s="7">
        <v>1.45</v>
      </c>
      <c r="N4833" s="7">
        <v>0.95</v>
      </c>
      <c r="O4833" s="7">
        <v>0.38</v>
      </c>
      <c r="P4833" s="1" t="s">
        <v>44200</v>
      </c>
    </row>
    <row r="4834" spans="1:16" ht="33.4" x14ac:dyDescent="0.3">
      <c r="A4834" s="6" t="str">
        <f>HYPERLINK("https://www.ti.com/product/LM2703", "LM2703")</f>
        <v>LM2703</v>
      </c>
      <c r="B4834" s="5" t="s">
        <v>44201</v>
      </c>
      <c r="C4834" s="6" t="str">
        <f>HYPERLINK("https://www.ti.com/lit/gpn/LM2703", "PDF")</f>
        <v>PDF</v>
      </c>
      <c r="D4834" s="5" t="s">
        <v>44202</v>
      </c>
      <c r="E4834" s="5" t="s">
        <v>44203</v>
      </c>
      <c r="F4834" s="5" t="s">
        <v>44204</v>
      </c>
      <c r="G4834" s="5" t="s">
        <v>44205</v>
      </c>
      <c r="H4834" s="1" t="s">
        <v>44206</v>
      </c>
      <c r="I4834" s="5" t="s">
        <v>44207</v>
      </c>
      <c r="J4834" s="7">
        <v>5</v>
      </c>
      <c r="K4834" s="7">
        <v>8.1199999999999992</v>
      </c>
      <c r="L4834" s="5" t="s">
        <v>44208</v>
      </c>
      <c r="M4834" s="7">
        <v>1.45</v>
      </c>
      <c r="N4834" s="7">
        <v>0.95</v>
      </c>
      <c r="O4834" s="7">
        <v>0.69599999999999995</v>
      </c>
      <c r="P4834" s="1" t="s">
        <v>44209</v>
      </c>
    </row>
    <row r="4835" spans="1:16" ht="17.05" x14ac:dyDescent="0.3">
      <c r="A4835" s="6" t="str">
        <f>HYPERLINK("https://www.ti.com/product/LM3724", "LM3724")</f>
        <v>LM3724</v>
      </c>
      <c r="B4835" s="5" t="s">
        <v>44210</v>
      </c>
      <c r="C4835" s="6" t="str">
        <f>HYPERLINK("https://www.ti.com/lit/gpn/LM3724", "PDF")</f>
        <v>PDF</v>
      </c>
      <c r="D4835" s="5" t="s">
        <v>44211</v>
      </c>
      <c r="E4835" s="5" t="s">
        <v>44212</v>
      </c>
      <c r="F4835" s="5"/>
      <c r="G4835" s="5" t="s">
        <v>44213</v>
      </c>
      <c r="H4835" s="1" t="s">
        <v>44214</v>
      </c>
      <c r="I4835" s="5" t="s">
        <v>44215</v>
      </c>
      <c r="J4835" s="7">
        <v>5</v>
      </c>
      <c r="K4835" s="7">
        <v>8.1199999999999992</v>
      </c>
      <c r="L4835" s="5" t="s">
        <v>44216</v>
      </c>
      <c r="M4835" s="7">
        <v>1.45</v>
      </c>
      <c r="N4835" s="7">
        <v>0.95</v>
      </c>
      <c r="O4835" s="7">
        <v>0.82699999999999996</v>
      </c>
      <c r="P4835" s="1" t="s">
        <v>44217</v>
      </c>
    </row>
    <row r="4836" spans="1:16" ht="49.75" x14ac:dyDescent="0.3">
      <c r="A4836" s="6" t="str">
        <f>HYPERLINK("https://www.ti.com/product/DCP021212", "DCP021212")</f>
        <v>DCP021212</v>
      </c>
      <c r="B4836" s="5" t="s">
        <v>44218</v>
      </c>
      <c r="C4836" s="6" t="str">
        <f>HYPERLINK("https://www.ti.com/lit/gpn/DCP021212", "PDF")</f>
        <v>PDF</v>
      </c>
      <c r="D4836" s="5" t="s">
        <v>44219</v>
      </c>
      <c r="E4836" s="5" t="s">
        <v>44220</v>
      </c>
      <c r="F4836" s="5" t="s">
        <v>44221</v>
      </c>
      <c r="G4836" s="5" t="s">
        <v>44222</v>
      </c>
      <c r="H4836" s="1" t="s">
        <v>44223</v>
      </c>
      <c r="I4836" s="5" t="s">
        <v>44224</v>
      </c>
      <c r="J4836" s="7" t="s">
        <v>44225</v>
      </c>
      <c r="K4836" s="7" t="s">
        <v>44226</v>
      </c>
      <c r="L4836" s="5" t="s">
        <v>44227</v>
      </c>
      <c r="M4836" s="7" t="s">
        <v>44228</v>
      </c>
      <c r="N4836" s="7" t="s">
        <v>44229</v>
      </c>
      <c r="O4836" s="7">
        <v>10.121</v>
      </c>
      <c r="P4836" s="1" t="s">
        <v>44230</v>
      </c>
    </row>
    <row r="4837" spans="1:16" ht="49.75" x14ac:dyDescent="0.3">
      <c r="A4837" s="6" t="str">
        <f>HYPERLINK("https://www.ti.com/product/DCP021212D", "DCP021212D")</f>
        <v>DCP021212D</v>
      </c>
      <c r="B4837" s="5" t="s">
        <v>44231</v>
      </c>
      <c r="C4837" s="6" t="str">
        <f>HYPERLINK("https://www.ti.com/lit/gpn/DCP021212D", "PDF")</f>
        <v>PDF</v>
      </c>
      <c r="D4837" s="5" t="s">
        <v>44232</v>
      </c>
      <c r="E4837" s="5" t="s">
        <v>44233</v>
      </c>
      <c r="F4837" s="5" t="s">
        <v>44234</v>
      </c>
      <c r="G4837" s="5" t="s">
        <v>44235</v>
      </c>
      <c r="H4837" s="1" t="s">
        <v>44236</v>
      </c>
      <c r="I4837" s="5" t="s">
        <v>44237</v>
      </c>
      <c r="J4837" s="7" t="s">
        <v>44238</v>
      </c>
      <c r="K4837" s="7" t="s">
        <v>44239</v>
      </c>
      <c r="L4837" s="5" t="s">
        <v>44240</v>
      </c>
      <c r="M4837" s="7" t="s">
        <v>44241</v>
      </c>
      <c r="N4837" s="7" t="s">
        <v>44242</v>
      </c>
      <c r="O4837" s="7">
        <v>9.6029999999999998</v>
      </c>
      <c r="P4837" s="1" t="s">
        <v>44243</v>
      </c>
    </row>
    <row r="4838" spans="1:16" ht="49.75" x14ac:dyDescent="0.3">
      <c r="A4838" s="6" t="str">
        <f>HYPERLINK("https://www.ti.com/product/DCP022405", "DCP022405")</f>
        <v>DCP022405</v>
      </c>
      <c r="B4838" s="5" t="s">
        <v>44244</v>
      </c>
      <c r="C4838" s="6" t="str">
        <f>HYPERLINK("https://www.ti.com/lit/gpn/DCP022405", "PDF")</f>
        <v>PDF</v>
      </c>
      <c r="D4838" s="5" t="s">
        <v>44245</v>
      </c>
      <c r="E4838" s="5" t="s">
        <v>44246</v>
      </c>
      <c r="F4838" s="5" t="s">
        <v>44247</v>
      </c>
      <c r="G4838" s="5" t="s">
        <v>44248</v>
      </c>
      <c r="H4838" s="1" t="s">
        <v>44249</v>
      </c>
      <c r="I4838" s="5" t="s">
        <v>44250</v>
      </c>
      <c r="J4838" s="7" t="s">
        <v>44251</v>
      </c>
      <c r="K4838" s="7" t="s">
        <v>44252</v>
      </c>
      <c r="L4838" s="5" t="s">
        <v>44253</v>
      </c>
      <c r="M4838" s="7" t="s">
        <v>44254</v>
      </c>
      <c r="N4838" s="7" t="s">
        <v>44255</v>
      </c>
      <c r="O4838" s="7">
        <v>11.653</v>
      </c>
      <c r="P4838" s="1" t="s">
        <v>44256</v>
      </c>
    </row>
    <row r="4839" spans="1:16" ht="49.75" x14ac:dyDescent="0.3">
      <c r="A4839" s="6" t="str">
        <f>HYPERLINK("https://www.ti.com/product/DCP022415D", "DCP022415D")</f>
        <v>DCP022415D</v>
      </c>
      <c r="B4839" s="5" t="s">
        <v>44257</v>
      </c>
      <c r="C4839" s="6" t="str">
        <f>HYPERLINK("https://www.ti.com/lit/gpn/DCP022415D", "PDF")</f>
        <v>PDF</v>
      </c>
      <c r="D4839" s="5" t="s">
        <v>44258</v>
      </c>
      <c r="E4839" s="5" t="s">
        <v>44259</v>
      </c>
      <c r="F4839" s="5" t="s">
        <v>44260</v>
      </c>
      <c r="G4839" s="5" t="s">
        <v>44261</v>
      </c>
      <c r="H4839" s="1" t="s">
        <v>44262</v>
      </c>
      <c r="I4839" s="5" t="s">
        <v>44263</v>
      </c>
      <c r="J4839" s="7" t="s">
        <v>44264</v>
      </c>
      <c r="K4839" s="7" t="s">
        <v>44265</v>
      </c>
      <c r="L4839" s="5" t="s">
        <v>44266</v>
      </c>
      <c r="M4839" s="7" t="s">
        <v>44267</v>
      </c>
      <c r="N4839" s="7" t="s">
        <v>44268</v>
      </c>
      <c r="O4839" s="7">
        <v>11.5</v>
      </c>
      <c r="P4839" s="1" t="s">
        <v>44269</v>
      </c>
    </row>
    <row r="4840" spans="1:16" ht="49.75" x14ac:dyDescent="0.3">
      <c r="A4840" s="6" t="str">
        <f>HYPERLINK("https://www.ti.com/product/DCR010503", "DCR010503")</f>
        <v>DCR010503</v>
      </c>
      <c r="B4840" s="5" t="s">
        <v>44270</v>
      </c>
      <c r="C4840" s="6" t="str">
        <f>HYPERLINK("https://www.ti.com/lit/gpn/DCR010503", "PDF")</f>
        <v>PDF</v>
      </c>
      <c r="D4840" s="5" t="s">
        <v>44271</v>
      </c>
      <c r="E4840" s="5" t="s">
        <v>44272</v>
      </c>
      <c r="F4840" s="5" t="s">
        <v>44273</v>
      </c>
      <c r="G4840" s="5" t="s">
        <v>44274</v>
      </c>
      <c r="H4840" s="1" t="s">
        <v>44275</v>
      </c>
      <c r="I4840" s="5" t="s">
        <v>44276</v>
      </c>
      <c r="J4840" s="7" t="s">
        <v>44277</v>
      </c>
      <c r="K4840" s="7" t="s">
        <v>44278</v>
      </c>
      <c r="L4840" s="5" t="s">
        <v>44279</v>
      </c>
      <c r="M4840" s="7" t="s">
        <v>44280</v>
      </c>
      <c r="N4840" s="7" t="s">
        <v>44281</v>
      </c>
      <c r="O4840" s="7">
        <v>9.7110000000000003</v>
      </c>
      <c r="P4840" s="1" t="s">
        <v>44282</v>
      </c>
    </row>
    <row r="4841" spans="1:16" ht="49.75" x14ac:dyDescent="0.3">
      <c r="A4841" s="6" t="str">
        <f>HYPERLINK("https://www.ti.com/product/DCR010505", "DCR010505")</f>
        <v>DCR010505</v>
      </c>
      <c r="B4841" s="5" t="s">
        <v>44283</v>
      </c>
      <c r="C4841" s="6" t="str">
        <f>HYPERLINK("https://www.ti.com/lit/gpn/DCR010505", "PDF")</f>
        <v>PDF</v>
      </c>
      <c r="D4841" s="5" t="s">
        <v>44284</v>
      </c>
      <c r="E4841" s="5" t="s">
        <v>44285</v>
      </c>
      <c r="F4841" s="5" t="s">
        <v>44286</v>
      </c>
      <c r="G4841" s="5" t="s">
        <v>44287</v>
      </c>
      <c r="H4841" s="1" t="s">
        <v>44288</v>
      </c>
      <c r="I4841" s="5" t="s">
        <v>44289</v>
      </c>
      <c r="J4841" s="7" t="s">
        <v>44290</v>
      </c>
      <c r="K4841" s="7" t="s">
        <v>44291</v>
      </c>
      <c r="L4841" s="5" t="s">
        <v>44292</v>
      </c>
      <c r="M4841" s="7" t="s">
        <v>44293</v>
      </c>
      <c r="N4841" s="7" t="s">
        <v>44294</v>
      </c>
      <c r="O4841" s="7">
        <v>10.295999999999999</v>
      </c>
      <c r="P4841" s="1" t="s">
        <v>44295</v>
      </c>
    </row>
    <row r="4842" spans="1:16" ht="49.75" x14ac:dyDescent="0.3">
      <c r="A4842" s="6" t="str">
        <f>HYPERLINK("https://www.ti.com/product/DCR011203", "DCR011203")</f>
        <v>DCR011203</v>
      </c>
      <c r="B4842" s="5" t="s">
        <v>44296</v>
      </c>
      <c r="C4842" s="6" t="str">
        <f>HYPERLINK("https://www.ti.com/lit/gpn/DCR011203", "PDF")</f>
        <v>PDF</v>
      </c>
      <c r="D4842" s="5" t="s">
        <v>44297</v>
      </c>
      <c r="E4842" s="5" t="s">
        <v>44298</v>
      </c>
      <c r="F4842" s="5" t="s">
        <v>44299</v>
      </c>
      <c r="G4842" s="5" t="s">
        <v>44300</v>
      </c>
      <c r="H4842" s="1" t="s">
        <v>44301</v>
      </c>
      <c r="I4842" s="5" t="s">
        <v>44302</v>
      </c>
      <c r="J4842" s="7" t="s">
        <v>44303</v>
      </c>
      <c r="K4842" s="7" t="s">
        <v>44304</v>
      </c>
      <c r="L4842" s="5" t="s">
        <v>44305</v>
      </c>
      <c r="M4842" s="7" t="s">
        <v>44306</v>
      </c>
      <c r="N4842" s="7" t="s">
        <v>44307</v>
      </c>
      <c r="O4842" s="7">
        <v>10.523</v>
      </c>
      <c r="P4842" s="1" t="s">
        <v>44308</v>
      </c>
    </row>
    <row r="4843" spans="1:16" ht="49.75" x14ac:dyDescent="0.3">
      <c r="A4843" s="6" t="str">
        <f>HYPERLINK("https://www.ti.com/product/DCR011205", "DCR011205")</f>
        <v>DCR011205</v>
      </c>
      <c r="B4843" s="5" t="s">
        <v>44309</v>
      </c>
      <c r="C4843" s="6" t="str">
        <f>HYPERLINK("https://www.ti.com/lit/gpn/DCR011205", "PDF")</f>
        <v>PDF</v>
      </c>
      <c r="D4843" s="5" t="s">
        <v>44310</v>
      </c>
      <c r="E4843" s="5" t="s">
        <v>44311</v>
      </c>
      <c r="F4843" s="5" t="s">
        <v>44312</v>
      </c>
      <c r="G4843" s="5" t="s">
        <v>44313</v>
      </c>
      <c r="H4843" s="1" t="s">
        <v>44314</v>
      </c>
      <c r="I4843" s="5" t="s">
        <v>44315</v>
      </c>
      <c r="J4843" s="7" t="s">
        <v>44316</v>
      </c>
      <c r="K4843" s="7" t="s">
        <v>44317</v>
      </c>
      <c r="L4843" s="5" t="s">
        <v>44318</v>
      </c>
      <c r="M4843" s="7" t="s">
        <v>44319</v>
      </c>
      <c r="N4843" s="7" t="s">
        <v>44320</v>
      </c>
      <c r="O4843" s="7">
        <v>10.948</v>
      </c>
      <c r="P4843" s="1" t="s">
        <v>44321</v>
      </c>
    </row>
    <row r="4844" spans="1:16" ht="49.75" x14ac:dyDescent="0.3">
      <c r="A4844" s="6" t="str">
        <f>HYPERLINK("https://www.ti.com/product/DCR012403", "DCR012403")</f>
        <v>DCR012403</v>
      </c>
      <c r="B4844" s="5" t="s">
        <v>44322</v>
      </c>
      <c r="C4844" s="6" t="str">
        <f>HYPERLINK("https://www.ti.com/lit/gpn/DCR012403", "PDF")</f>
        <v>PDF</v>
      </c>
      <c r="D4844" s="5" t="s">
        <v>44323</v>
      </c>
      <c r="E4844" s="5" t="s">
        <v>44324</v>
      </c>
      <c r="F4844" s="5" t="s">
        <v>44325</v>
      </c>
      <c r="G4844" s="5" t="s">
        <v>44326</v>
      </c>
      <c r="H4844" s="1" t="s">
        <v>44327</v>
      </c>
      <c r="I4844" s="5" t="s">
        <v>44328</v>
      </c>
      <c r="J4844" s="7" t="s">
        <v>44329</v>
      </c>
      <c r="K4844" s="7" t="s">
        <v>44330</v>
      </c>
      <c r="L4844" s="5" t="s">
        <v>44331</v>
      </c>
      <c r="M4844" s="7" t="s">
        <v>44332</v>
      </c>
      <c r="N4844" s="7" t="s">
        <v>44333</v>
      </c>
      <c r="O4844" s="7">
        <v>14.087999999999999</v>
      </c>
      <c r="P4844" s="1" t="s">
        <v>44334</v>
      </c>
    </row>
    <row r="4845" spans="1:16" ht="49.75" x14ac:dyDescent="0.3">
      <c r="A4845" s="6" t="str">
        <f>HYPERLINK("https://www.ti.com/product/DCR012405", "DCR012405")</f>
        <v>DCR012405</v>
      </c>
      <c r="B4845" s="5" t="s">
        <v>44335</v>
      </c>
      <c r="C4845" s="6" t="str">
        <f>HYPERLINK("https://www.ti.com/lit/gpn/DCR012405", "PDF")</f>
        <v>PDF</v>
      </c>
      <c r="D4845" s="5" t="s">
        <v>44336</v>
      </c>
      <c r="E4845" s="5" t="s">
        <v>44337</v>
      </c>
      <c r="F4845" s="5" t="s">
        <v>44338</v>
      </c>
      <c r="G4845" s="5" t="s">
        <v>44339</v>
      </c>
      <c r="H4845" s="1" t="s">
        <v>44340</v>
      </c>
      <c r="I4845" s="5" t="s">
        <v>44341</v>
      </c>
      <c r="J4845" s="7" t="s">
        <v>44342</v>
      </c>
      <c r="K4845" s="7" t="s">
        <v>44343</v>
      </c>
      <c r="L4845" s="5" t="s">
        <v>44344</v>
      </c>
      <c r="M4845" s="7" t="s">
        <v>44345</v>
      </c>
      <c r="N4845" s="7" t="s">
        <v>44346</v>
      </c>
      <c r="O4845" s="7">
        <v>12.247999999999999</v>
      </c>
      <c r="P4845" s="1" t="s">
        <v>44347</v>
      </c>
    </row>
    <row r="4846" spans="1:16" ht="33.4" x14ac:dyDescent="0.3">
      <c r="A4846" s="6" t="str">
        <f>HYPERLINK("https://www.ti.com/product/REG711-25", "REG711-25")</f>
        <v>REG711-25</v>
      </c>
      <c r="B4846" s="5" t="s">
        <v>44348</v>
      </c>
      <c r="C4846" s="6" t="str">
        <f>HYPERLINK("https://www.ti.com/lit/gpn/REG711-25", "PDF")</f>
        <v>PDF</v>
      </c>
      <c r="D4846" s="5" t="s">
        <v>44349</v>
      </c>
      <c r="E4846" s="5" t="s">
        <v>44350</v>
      </c>
      <c r="F4846" s="5"/>
      <c r="G4846" s="5" t="s">
        <v>44351</v>
      </c>
      <c r="H4846" s="1" t="s">
        <v>44352</v>
      </c>
      <c r="I4846" s="5" t="s">
        <v>44353</v>
      </c>
      <c r="J4846" s="7">
        <v>8</v>
      </c>
      <c r="K4846" s="7">
        <v>14.7</v>
      </c>
      <c r="L4846" s="5" t="s">
        <v>44354</v>
      </c>
      <c r="M4846" s="7">
        <v>1.1000000000000001</v>
      </c>
      <c r="N4846" s="7">
        <v>0.65</v>
      </c>
      <c r="O4846" s="7">
        <v>0.499</v>
      </c>
      <c r="P4846" s="1" t="s">
        <v>44355</v>
      </c>
    </row>
    <row r="4847" spans="1:16" ht="33.4" x14ac:dyDescent="0.3">
      <c r="A4847" s="6" t="str">
        <f>HYPERLINK("https://www.ti.com/product/REG711-3", "REG711-3")</f>
        <v>REG711-3</v>
      </c>
      <c r="B4847" s="5" t="s">
        <v>44356</v>
      </c>
      <c r="C4847" s="6" t="str">
        <f>HYPERLINK("https://www.ti.com/lit/gpn/REG711-3", "PDF")</f>
        <v>PDF</v>
      </c>
      <c r="D4847" s="5" t="s">
        <v>44357</v>
      </c>
      <c r="E4847" s="5" t="s">
        <v>44358</v>
      </c>
      <c r="F4847" s="5"/>
      <c r="G4847" s="5" t="s">
        <v>44359</v>
      </c>
      <c r="H4847" s="1" t="s">
        <v>44360</v>
      </c>
      <c r="I4847" s="5" t="s">
        <v>44361</v>
      </c>
      <c r="J4847" s="7">
        <v>8</v>
      </c>
      <c r="K4847" s="7">
        <v>14.7</v>
      </c>
      <c r="L4847" s="5" t="s">
        <v>44362</v>
      </c>
      <c r="M4847" s="7">
        <v>1.1000000000000001</v>
      </c>
      <c r="N4847" s="7">
        <v>0.65</v>
      </c>
      <c r="O4847" s="7">
        <v>0.499</v>
      </c>
      <c r="P4847" s="1" t="s">
        <v>44363</v>
      </c>
    </row>
    <row r="4848" spans="1:16" ht="33.4" x14ac:dyDescent="0.3">
      <c r="A4848" s="6" t="str">
        <f>HYPERLINK("https://www.ti.com/product/REG711-33", "REG711-33")</f>
        <v>REG711-33</v>
      </c>
      <c r="B4848" s="5" t="s">
        <v>44364</v>
      </c>
      <c r="C4848" s="6" t="str">
        <f>HYPERLINK("https://www.ti.com/lit/gpn/REG711-33", "PDF")</f>
        <v>PDF</v>
      </c>
      <c r="D4848" s="5" t="s">
        <v>44365</v>
      </c>
      <c r="E4848" s="5" t="s">
        <v>44366</v>
      </c>
      <c r="F4848" s="5"/>
      <c r="G4848" s="5" t="s">
        <v>44367</v>
      </c>
      <c r="H4848" s="1" t="s">
        <v>44368</v>
      </c>
      <c r="I4848" s="5" t="s">
        <v>44369</v>
      </c>
      <c r="J4848" s="7">
        <v>8</v>
      </c>
      <c r="K4848" s="7">
        <v>14.7</v>
      </c>
      <c r="L4848" s="5" t="s">
        <v>44370</v>
      </c>
      <c r="M4848" s="7">
        <v>1.1000000000000001</v>
      </c>
      <c r="N4848" s="7">
        <v>0.65</v>
      </c>
      <c r="O4848" s="7">
        <v>0.499</v>
      </c>
      <c r="P4848" s="1" t="s">
        <v>44371</v>
      </c>
    </row>
    <row r="4849" spans="1:16" ht="33.4" x14ac:dyDescent="0.3">
      <c r="A4849" s="6" t="str">
        <f>HYPERLINK("https://www.ti.com/product/REG711-5", "REG711-5")</f>
        <v>REG711-5</v>
      </c>
      <c r="B4849" s="5" t="s">
        <v>44372</v>
      </c>
      <c r="C4849" s="6" t="str">
        <f>HYPERLINK("https://www.ti.com/lit/gpn/REG711-5", "PDF")</f>
        <v>PDF</v>
      </c>
      <c r="D4849" s="5" t="s">
        <v>44373</v>
      </c>
      <c r="E4849" s="5" t="s">
        <v>44374</v>
      </c>
      <c r="F4849" s="5"/>
      <c r="G4849" s="5" t="s">
        <v>44375</v>
      </c>
      <c r="H4849" s="1" t="s">
        <v>44376</v>
      </c>
      <c r="I4849" s="5" t="s">
        <v>44377</v>
      </c>
      <c r="J4849" s="7">
        <v>8</v>
      </c>
      <c r="K4849" s="7">
        <v>14.7</v>
      </c>
      <c r="L4849" s="5" t="s">
        <v>44378</v>
      </c>
      <c r="M4849" s="7">
        <v>1.1000000000000001</v>
      </c>
      <c r="N4849" s="7">
        <v>0.65</v>
      </c>
      <c r="O4849" s="7">
        <v>0.499</v>
      </c>
      <c r="P4849" s="1" t="s">
        <v>44379</v>
      </c>
    </row>
    <row r="4850" spans="1:16" ht="33.4" x14ac:dyDescent="0.3">
      <c r="A4850" s="6" t="str">
        <f>HYPERLINK("https://www.ti.com/product/LM2611", "LM2611")</f>
        <v>LM2611</v>
      </c>
      <c r="B4850" s="5" t="s">
        <v>44380</v>
      </c>
      <c r="C4850" s="6" t="str">
        <f>HYPERLINK("https://www.ti.com/lit/gpn/LM2611", "PDF")</f>
        <v>PDF</v>
      </c>
      <c r="D4850" s="5" t="s">
        <v>44381</v>
      </c>
      <c r="E4850" s="5" t="s">
        <v>44382</v>
      </c>
      <c r="F4850" s="5" t="s">
        <v>44383</v>
      </c>
      <c r="G4850" s="5" t="s">
        <v>44384</v>
      </c>
      <c r="H4850" s="1" t="s">
        <v>44385</v>
      </c>
      <c r="I4850" s="5" t="s">
        <v>44386</v>
      </c>
      <c r="J4850" s="7">
        <v>5</v>
      </c>
      <c r="K4850" s="7">
        <v>8.1199999999999992</v>
      </c>
      <c r="L4850" s="5" t="s">
        <v>44387</v>
      </c>
      <c r="M4850" s="7">
        <v>1.45</v>
      </c>
      <c r="N4850" s="7">
        <v>0.95</v>
      </c>
      <c r="O4850" s="7">
        <v>1.4390000000000001</v>
      </c>
      <c r="P4850" s="1" t="s">
        <v>44388</v>
      </c>
    </row>
    <row r="4851" spans="1:16" ht="33.4" x14ac:dyDescent="0.3">
      <c r="A4851" s="6" t="str">
        <f>HYPERLINK("https://www.ti.com/product/LM2698", "LM2698")</f>
        <v>LM2698</v>
      </c>
      <c r="B4851" s="5" t="s">
        <v>44389</v>
      </c>
      <c r="C4851" s="6" t="str">
        <f>HYPERLINK("https://www.ti.com/lit/gpn/LM2698", "PDF")</f>
        <v>PDF</v>
      </c>
      <c r="D4851" s="5" t="s">
        <v>44390</v>
      </c>
      <c r="E4851" s="5" t="s">
        <v>44391</v>
      </c>
      <c r="F4851" s="5" t="s">
        <v>44392</v>
      </c>
      <c r="G4851" s="5" t="s">
        <v>44393</v>
      </c>
      <c r="H4851" s="1" t="s">
        <v>44394</v>
      </c>
      <c r="I4851" s="5" t="s">
        <v>44395</v>
      </c>
      <c r="J4851" s="7">
        <v>8</v>
      </c>
      <c r="K4851" s="7">
        <v>14.7</v>
      </c>
      <c r="L4851" s="5" t="s">
        <v>44396</v>
      </c>
      <c r="M4851" s="7">
        <v>1.1000000000000001</v>
      </c>
      <c r="N4851" s="7">
        <v>0.65</v>
      </c>
      <c r="O4851" s="7">
        <v>1.893</v>
      </c>
      <c r="P4851" s="1" t="s">
        <v>44397</v>
      </c>
    </row>
    <row r="4852" spans="1:16" ht="49.75" x14ac:dyDescent="0.3">
      <c r="A4852" s="6" t="str">
        <f>HYPERLINK("https://www.ti.com/product/TPIC6596", "TPIC6596")</f>
        <v>TPIC6596</v>
      </c>
      <c r="B4852" s="5" t="s">
        <v>44398</v>
      </c>
      <c r="C4852" s="6" t="str">
        <f>HYPERLINK("https://www.ti.com/lit/gpn/TPIC6596", "PDF")</f>
        <v>PDF</v>
      </c>
      <c r="D4852" s="5" t="s">
        <v>44399</v>
      </c>
      <c r="E4852" s="5" t="s">
        <v>44400</v>
      </c>
      <c r="F4852" s="5" t="s">
        <v>44401</v>
      </c>
      <c r="G4852" s="5" t="s">
        <v>44402</v>
      </c>
      <c r="H4852" s="1" t="s">
        <v>44403</v>
      </c>
      <c r="I4852" s="5" t="s">
        <v>44404</v>
      </c>
      <c r="J4852" s="7">
        <v>20</v>
      </c>
      <c r="K4852" s="7" t="s">
        <v>44405</v>
      </c>
      <c r="L4852" s="5" t="s">
        <v>44406</v>
      </c>
      <c r="M4852" s="7" t="s">
        <v>44407</v>
      </c>
      <c r="N4852" s="7" t="s">
        <v>44408</v>
      </c>
      <c r="O4852" s="7">
        <v>1.4159999999999999</v>
      </c>
      <c r="P4852" s="1" t="s">
        <v>44409</v>
      </c>
    </row>
    <row r="4853" spans="1:16" ht="49.75" x14ac:dyDescent="0.3">
      <c r="A4853" s="6" t="str">
        <f>HYPERLINK("https://www.ti.com/product/TPIC6A596", "TPIC6A596")</f>
        <v>TPIC6A596</v>
      </c>
      <c r="B4853" s="5" t="s">
        <v>44410</v>
      </c>
      <c r="C4853" s="6" t="str">
        <f>HYPERLINK("https://www.ti.com/lit/gpn/TPIC6A596", "PDF")</f>
        <v>PDF</v>
      </c>
      <c r="D4853" s="5" t="s">
        <v>44411</v>
      </c>
      <c r="E4853" s="5" t="s">
        <v>44412</v>
      </c>
      <c r="F4853" s="5" t="s">
        <v>44413</v>
      </c>
      <c r="G4853" s="5" t="s">
        <v>44414</v>
      </c>
      <c r="H4853" s="1" t="s">
        <v>44415</v>
      </c>
      <c r="I4853" s="5" t="s">
        <v>44416</v>
      </c>
      <c r="J4853" s="7" t="s">
        <v>44417</v>
      </c>
      <c r="K4853" s="7" t="s">
        <v>44418</v>
      </c>
      <c r="L4853" s="5" t="s">
        <v>44419</v>
      </c>
      <c r="M4853" s="7" t="s">
        <v>44420</v>
      </c>
      <c r="N4853" s="7" t="s">
        <v>44421</v>
      </c>
      <c r="O4853" s="7">
        <v>1.5209999999999999</v>
      </c>
      <c r="P4853" s="1" t="s">
        <v>44422</v>
      </c>
    </row>
    <row r="4854" spans="1:16" ht="17.05" x14ac:dyDescent="0.3">
      <c r="A4854" s="6" t="str">
        <f>HYPERLINK("https://www.ti.com/product/TPS3600", "TPS3600")</f>
        <v>TPS3600</v>
      </c>
      <c r="B4854" s="5" t="s">
        <v>44423</v>
      </c>
      <c r="C4854" s="6" t="str">
        <f>HYPERLINK("https://www.ti.com/lit/gpn/TPS3600", "PDF")</f>
        <v>PDF</v>
      </c>
      <c r="D4854" s="5" t="s">
        <v>44424</v>
      </c>
      <c r="E4854" s="5" t="s">
        <v>44425</v>
      </c>
      <c r="F4854" s="5"/>
      <c r="G4854" s="5" t="s">
        <v>44426</v>
      </c>
      <c r="H4854" s="1" t="s">
        <v>44427</v>
      </c>
      <c r="I4854" s="5" t="s">
        <v>44428</v>
      </c>
      <c r="J4854" s="7">
        <v>14</v>
      </c>
      <c r="K4854" s="7">
        <v>32</v>
      </c>
      <c r="L4854" s="5" t="s">
        <v>44429</v>
      </c>
      <c r="M4854" s="7">
        <v>1.2</v>
      </c>
      <c r="N4854" s="7">
        <v>0.65</v>
      </c>
      <c r="O4854" s="7">
        <v>2.7549999999999999</v>
      </c>
      <c r="P4854" s="1" t="s">
        <v>44430</v>
      </c>
    </row>
    <row r="4855" spans="1:16" ht="17.05" x14ac:dyDescent="0.3">
      <c r="A4855" s="6" t="str">
        <f>HYPERLINK("https://www.ti.com/product/TPS3126", "TPS3126")</f>
        <v>TPS3126</v>
      </c>
      <c r="B4855" s="5" t="s">
        <v>44431</v>
      </c>
      <c r="C4855" s="6" t="str">
        <f>HYPERLINK("https://www.ti.com/lit/gpn/TPS3126", "PDF")</f>
        <v>PDF</v>
      </c>
      <c r="D4855" s="5" t="s">
        <v>44432</v>
      </c>
      <c r="E4855" s="5" t="s">
        <v>44433</v>
      </c>
      <c r="F4855" s="5"/>
      <c r="G4855" s="5" t="s">
        <v>44434</v>
      </c>
      <c r="H4855" s="1" t="s">
        <v>44435</v>
      </c>
      <c r="I4855" s="5" t="s">
        <v>44436</v>
      </c>
      <c r="J4855" s="7">
        <v>5</v>
      </c>
      <c r="K4855" s="7">
        <v>8.1199999999999992</v>
      </c>
      <c r="L4855" s="5" t="s">
        <v>44437</v>
      </c>
      <c r="M4855" s="7">
        <v>1.45</v>
      </c>
      <c r="N4855" s="7">
        <v>0.95</v>
      </c>
      <c r="O4855" s="7">
        <v>0.82299999999999995</v>
      </c>
      <c r="P4855" s="1" t="s">
        <v>44438</v>
      </c>
    </row>
    <row r="4856" spans="1:16" ht="33.4" x14ac:dyDescent="0.3">
      <c r="A4856" s="6" t="str">
        <f>HYPERLINK("https://www.ti.com/product/TPS3128", "TPS3128")</f>
        <v>TPS3128</v>
      </c>
      <c r="B4856" s="5" t="s">
        <v>44439</v>
      </c>
      <c r="C4856" s="6" t="str">
        <f>HYPERLINK("https://www.ti.com/lit/gpn/TPS3128", "PDF")</f>
        <v>PDF</v>
      </c>
      <c r="D4856" s="5" t="s">
        <v>44440</v>
      </c>
      <c r="E4856" s="5" t="s">
        <v>44441</v>
      </c>
      <c r="F4856" s="5"/>
      <c r="G4856" s="5" t="s">
        <v>44442</v>
      </c>
      <c r="H4856" s="1" t="s">
        <v>44443</v>
      </c>
      <c r="I4856" s="5" t="s">
        <v>44444</v>
      </c>
      <c r="J4856" s="7">
        <v>5</v>
      </c>
      <c r="K4856" s="7">
        <v>8.1199999999999992</v>
      </c>
      <c r="L4856" s="5" t="s">
        <v>44445</v>
      </c>
      <c r="M4856" s="7">
        <v>1.45</v>
      </c>
      <c r="N4856" s="7">
        <v>0.95</v>
      </c>
      <c r="O4856" s="7">
        <v>0.81499999999999995</v>
      </c>
      <c r="P4856" s="1" t="s">
        <v>44446</v>
      </c>
    </row>
    <row r="4857" spans="1:16" ht="17.05" x14ac:dyDescent="0.3">
      <c r="A4857" s="6" t="str">
        <f>HYPERLINK("https://www.ti.com/product/TPS3613-01", "TPS3613-01")</f>
        <v>TPS3613-01</v>
      </c>
      <c r="B4857" s="5" t="s">
        <v>44447</v>
      </c>
      <c r="C4857" s="6" t="str">
        <f>HYPERLINK("https://www.ti.com/lit/gpn/TPS3613-01", "PDF")</f>
        <v>PDF</v>
      </c>
      <c r="D4857" s="5" t="s">
        <v>44448</v>
      </c>
      <c r="E4857" s="5" t="s">
        <v>44449</v>
      </c>
      <c r="F4857" s="5"/>
      <c r="G4857" s="5" t="s">
        <v>44450</v>
      </c>
      <c r="H4857" s="1" t="s">
        <v>44451</v>
      </c>
      <c r="I4857" s="5" t="s">
        <v>44452</v>
      </c>
      <c r="J4857" s="7">
        <v>10</v>
      </c>
      <c r="K4857" s="7">
        <v>14.7</v>
      </c>
      <c r="L4857" s="5" t="s">
        <v>44453</v>
      </c>
      <c r="M4857" s="7">
        <v>1.1000000000000001</v>
      </c>
      <c r="N4857" s="7">
        <v>0.5</v>
      </c>
      <c r="O4857" s="7">
        <v>1.544</v>
      </c>
      <c r="P4857" s="1" t="s">
        <v>44454</v>
      </c>
    </row>
    <row r="4858" spans="1:16" ht="17.05" x14ac:dyDescent="0.3">
      <c r="A4858" s="6" t="str">
        <f>HYPERLINK("https://www.ti.com/product/TPS3813", "TPS3813")</f>
        <v>TPS3813</v>
      </c>
      <c r="B4858" s="5" t="s">
        <v>44455</v>
      </c>
      <c r="C4858" s="6" t="str">
        <f>HYPERLINK("https://www.ti.com/lit/gpn/TPS3813", "PDF")</f>
        <v>PDF</v>
      </c>
      <c r="D4858" s="5" t="s">
        <v>44456</v>
      </c>
      <c r="E4858" s="5" t="s">
        <v>44457</v>
      </c>
      <c r="F4858" s="5"/>
      <c r="G4858" s="5" t="s">
        <v>44458</v>
      </c>
      <c r="H4858" s="1" t="s">
        <v>44459</v>
      </c>
      <c r="I4858" s="5" t="s">
        <v>44460</v>
      </c>
      <c r="J4858" s="7">
        <v>6</v>
      </c>
      <c r="K4858" s="7">
        <v>8.1199999999999992</v>
      </c>
      <c r="L4858" s="5" t="s">
        <v>44461</v>
      </c>
      <c r="M4858" s="7">
        <v>1.45</v>
      </c>
      <c r="N4858" s="7">
        <v>0.95</v>
      </c>
      <c r="O4858" s="7">
        <v>0.68899999999999995</v>
      </c>
      <c r="P4858" s="1" t="s">
        <v>44462</v>
      </c>
    </row>
    <row r="4859" spans="1:16" ht="49.75" x14ac:dyDescent="0.3">
      <c r="A4859" s="6" t="str">
        <f>HYPERLINK("https://www.ti.com/product/DCR021205", "DCR021205")</f>
        <v>DCR021205</v>
      </c>
      <c r="B4859" s="5" t="s">
        <v>44463</v>
      </c>
      <c r="C4859" s="6" t="str">
        <f>HYPERLINK("https://www.ti.com/lit/gpn/DCR021205", "PDF")</f>
        <v>PDF</v>
      </c>
      <c r="D4859" s="5" t="s">
        <v>44464</v>
      </c>
      <c r="E4859" s="5" t="s">
        <v>44465</v>
      </c>
      <c r="F4859" s="5" t="s">
        <v>44466</v>
      </c>
      <c r="G4859" s="5" t="s">
        <v>44467</v>
      </c>
      <c r="H4859" s="1" t="s">
        <v>44468</v>
      </c>
      <c r="I4859" s="5" t="s">
        <v>44469</v>
      </c>
      <c r="J4859" s="7">
        <v>10</v>
      </c>
      <c r="K4859" s="7" t="s">
        <v>44470</v>
      </c>
      <c r="L4859" s="5" t="s">
        <v>44471</v>
      </c>
      <c r="M4859" s="7">
        <v>5.33</v>
      </c>
      <c r="N4859" s="7">
        <v>2.54</v>
      </c>
      <c r="O4859" s="7">
        <v>11.052</v>
      </c>
      <c r="P4859" s="1" t="s">
        <v>44472</v>
      </c>
    </row>
    <row r="4860" spans="1:16" ht="49.75" x14ac:dyDescent="0.3">
      <c r="A4860" s="6" t="str">
        <f>HYPERLINK("https://www.ti.com/product/DCR022405", "DCR022405")</f>
        <v>DCR022405</v>
      </c>
      <c r="B4860" s="5" t="s">
        <v>44473</v>
      </c>
      <c r="C4860" s="6" t="str">
        <f>HYPERLINK("https://www.ti.com/lit/gpn/DCR022405", "PDF")</f>
        <v>PDF</v>
      </c>
      <c r="D4860" s="5" t="s">
        <v>44474</v>
      </c>
      <c r="E4860" s="5" t="s">
        <v>44475</v>
      </c>
      <c r="F4860" s="5" t="s">
        <v>44476</v>
      </c>
      <c r="G4860" s="5" t="s">
        <v>44477</v>
      </c>
      <c r="H4860" s="1" t="s">
        <v>44478</v>
      </c>
      <c r="I4860" s="5" t="s">
        <v>44479</v>
      </c>
      <c r="J4860" s="7">
        <v>10</v>
      </c>
      <c r="K4860" s="7" t="s">
        <v>44480</v>
      </c>
      <c r="L4860" s="5" t="s">
        <v>44481</v>
      </c>
      <c r="M4860" s="7">
        <v>5.33</v>
      </c>
      <c r="N4860" s="7">
        <v>2.54</v>
      </c>
      <c r="O4860" s="7">
        <v>14.257</v>
      </c>
      <c r="P4860" s="1" t="s">
        <v>44482</v>
      </c>
    </row>
    <row r="4861" spans="1:16" ht="33.4" x14ac:dyDescent="0.3">
      <c r="A4861" s="6" t="str">
        <f>HYPERLINK("https://www.ti.com/product/REG101", "REG101")</f>
        <v>REG101</v>
      </c>
      <c r="B4861" s="5" t="s">
        <v>44483</v>
      </c>
      <c r="C4861" s="6" t="str">
        <f>HYPERLINK("https://www.ti.com/lit/gpn/REG101", "PDF")</f>
        <v>PDF</v>
      </c>
      <c r="D4861" s="5" t="s">
        <v>44484</v>
      </c>
      <c r="E4861" s="5" t="s">
        <v>44485</v>
      </c>
      <c r="F4861" s="5"/>
      <c r="G4861" s="5" t="s">
        <v>44486</v>
      </c>
      <c r="H4861" s="1" t="s">
        <v>44487</v>
      </c>
      <c r="I4861" s="5" t="s">
        <v>44488</v>
      </c>
      <c r="J4861" s="7" t="s">
        <v>44489</v>
      </c>
      <c r="K4861" s="7" t="s">
        <v>44490</v>
      </c>
      <c r="L4861" s="5" t="s">
        <v>44491</v>
      </c>
      <c r="M4861" s="7" t="s">
        <v>44492</v>
      </c>
      <c r="N4861" s="7" t="s">
        <v>44493</v>
      </c>
      <c r="O4861" s="7">
        <v>1.3540000000000001</v>
      </c>
      <c r="P4861" s="1" t="s">
        <v>44494</v>
      </c>
    </row>
    <row r="4862" spans="1:16" ht="33.4" x14ac:dyDescent="0.3">
      <c r="A4862" s="6" t="str">
        <f>HYPERLINK("https://www.ti.com/product/UC1705-SP", "UC1705-SP")</f>
        <v>UC1705-SP</v>
      </c>
      <c r="B4862" s="5" t="s">
        <v>44495</v>
      </c>
      <c r="C4862" s="6" t="str">
        <f>HYPERLINK("https://www.ti.com/lit/gpn/UC1705-SP", "PDF")</f>
        <v>PDF</v>
      </c>
      <c r="D4862" s="5" t="s">
        <v>44496</v>
      </c>
      <c r="E4862" s="5" t="s">
        <v>44497</v>
      </c>
      <c r="F4862" s="5"/>
      <c r="G4862" s="5" t="s">
        <v>44498</v>
      </c>
      <c r="H4862" s="1" t="s">
        <v>44499</v>
      </c>
      <c r="I4862" s="5" t="s">
        <v>44500</v>
      </c>
      <c r="J4862" s="7">
        <v>8</v>
      </c>
      <c r="K4862" s="7">
        <v>64.031999999999996</v>
      </c>
      <c r="L4862" s="5" t="s">
        <v>44501</v>
      </c>
      <c r="M4862" s="7">
        <v>5.08</v>
      </c>
      <c r="N4862" s="7">
        <v>2.54</v>
      </c>
      <c r="O4862" s="7">
        <v>245.16200000000001</v>
      </c>
      <c r="P4862" s="1" t="s">
        <v>44502</v>
      </c>
    </row>
    <row r="4863" spans="1:16" ht="33.4" x14ac:dyDescent="0.3">
      <c r="A4863" s="6" t="str">
        <f>HYPERLINK("https://www.ti.com/product/LM2794", "LM2794")</f>
        <v>LM2794</v>
      </c>
      <c r="B4863" s="5" t="s">
        <v>44503</v>
      </c>
      <c r="C4863" s="6" t="str">
        <f>HYPERLINK("https://www.ti.com/lit/gpn/LM2794", "PDF")</f>
        <v>PDF</v>
      </c>
      <c r="D4863" s="5" t="s">
        <v>44504</v>
      </c>
      <c r="E4863" s="5" t="s">
        <v>44505</v>
      </c>
      <c r="F4863" s="5" t="s">
        <v>44506</v>
      </c>
      <c r="G4863" s="5" t="s">
        <v>44507</v>
      </c>
      <c r="H4863" s="1" t="s">
        <v>44508</v>
      </c>
      <c r="I4863" s="5" t="s">
        <v>44509</v>
      </c>
      <c r="J4863" s="7">
        <v>14</v>
      </c>
      <c r="K4863" s="7">
        <v>5.5845000000000002</v>
      </c>
      <c r="L4863" s="5" t="s">
        <v>44510</v>
      </c>
      <c r="M4863" s="7">
        <v>0.67500000000000004</v>
      </c>
      <c r="N4863" s="7">
        <v>0.5</v>
      </c>
      <c r="O4863" s="7">
        <v>0.878</v>
      </c>
      <c r="P4863" s="1" t="s">
        <v>44511</v>
      </c>
    </row>
    <row r="4864" spans="1:16" ht="49.75" x14ac:dyDescent="0.3">
      <c r="A4864" s="6" t="str">
        <f>HYPERLINK("https://www.ti.com/product/LP3988", "LP3988")</f>
        <v>LP3988</v>
      </c>
      <c r="B4864" s="5" t="s">
        <v>44512</v>
      </c>
      <c r="C4864" s="6" t="str">
        <f>HYPERLINK("https://www.ti.com/lit/gpn/LP3988", "PDF")</f>
        <v>PDF</v>
      </c>
      <c r="D4864" s="5" t="s">
        <v>44513</v>
      </c>
      <c r="E4864" s="5" t="s">
        <v>44514</v>
      </c>
      <c r="F4864" s="5"/>
      <c r="G4864" s="5" t="s">
        <v>44515</v>
      </c>
      <c r="H4864" s="1" t="s">
        <v>44516</v>
      </c>
      <c r="I4864" s="5" t="s">
        <v>44517</v>
      </c>
      <c r="J4864" s="7">
        <v>5</v>
      </c>
      <c r="K4864" s="7" t="s">
        <v>44518</v>
      </c>
      <c r="L4864" s="5" t="s">
        <v>44519</v>
      </c>
      <c r="M4864" s="7" t="s">
        <v>44520</v>
      </c>
      <c r="N4864" s="7" t="s">
        <v>44521</v>
      </c>
      <c r="O4864" s="7">
        <v>0.22600000000000001</v>
      </c>
      <c r="P4864" s="1" t="s">
        <v>44522</v>
      </c>
    </row>
    <row r="4865" spans="1:16" ht="49.75" x14ac:dyDescent="0.3">
      <c r="A4865" s="6" t="str">
        <f>HYPERLINK("https://www.ti.com/product/DCV011512D", "DCV011512D")</f>
        <v>DCV011512D</v>
      </c>
      <c r="B4865" s="5" t="s">
        <v>44523</v>
      </c>
      <c r="C4865" s="6" t="str">
        <f>HYPERLINK("https://www.ti.com/lit/gpn/DCV011512D", "PDF")</f>
        <v>PDF</v>
      </c>
      <c r="D4865" s="5" t="s">
        <v>44524</v>
      </c>
      <c r="E4865" s="5" t="s">
        <v>44525</v>
      </c>
      <c r="F4865" s="5" t="s">
        <v>44526</v>
      </c>
      <c r="G4865" s="5" t="s">
        <v>44527</v>
      </c>
      <c r="H4865" s="1" t="s">
        <v>44528</v>
      </c>
      <c r="I4865" s="5" t="s">
        <v>44529</v>
      </c>
      <c r="J4865" s="7">
        <v>7</v>
      </c>
      <c r="K4865" s="7" t="s">
        <v>44530</v>
      </c>
      <c r="L4865" s="5" t="s">
        <v>44531</v>
      </c>
      <c r="M4865" s="7">
        <v>5.33</v>
      </c>
      <c r="N4865" s="7">
        <v>2.54</v>
      </c>
      <c r="O4865" s="7">
        <v>9.8330000000000002</v>
      </c>
      <c r="P4865" s="1" t="s">
        <v>44532</v>
      </c>
    </row>
    <row r="4866" spans="1:16" ht="49.75" x14ac:dyDescent="0.3">
      <c r="A4866" s="6" t="str">
        <f>HYPERLINK("https://www.ti.com/product/DCV011515D", "DCV011515D")</f>
        <v>DCV011515D</v>
      </c>
      <c r="B4866" s="5" t="s">
        <v>44533</v>
      </c>
      <c r="C4866" s="6" t="str">
        <f>HYPERLINK("https://www.ti.com/lit/gpn/DCV011515D", "PDF")</f>
        <v>PDF</v>
      </c>
      <c r="D4866" s="5" t="s">
        <v>44534</v>
      </c>
      <c r="E4866" s="5" t="s">
        <v>44535</v>
      </c>
      <c r="F4866" s="5" t="s">
        <v>44536</v>
      </c>
      <c r="G4866" s="5" t="s">
        <v>44537</v>
      </c>
      <c r="H4866" s="1" t="s">
        <v>44538</v>
      </c>
      <c r="I4866" s="5" t="s">
        <v>44539</v>
      </c>
      <c r="J4866" s="7">
        <v>7</v>
      </c>
      <c r="K4866" s="7" t="s">
        <v>44540</v>
      </c>
      <c r="L4866" s="5" t="s">
        <v>44541</v>
      </c>
      <c r="M4866" s="7">
        <v>5.33</v>
      </c>
      <c r="N4866" s="7">
        <v>2.54</v>
      </c>
      <c r="O4866" s="7">
        <v>9.4770000000000003</v>
      </c>
      <c r="P4866" s="1" t="s">
        <v>44542</v>
      </c>
    </row>
    <row r="4867" spans="1:16" ht="49.75" x14ac:dyDescent="0.3">
      <c r="A4867" s="6" t="str">
        <f>HYPERLINK("https://www.ti.com/product/DCV012405", "DCV012405")</f>
        <v>DCV012405</v>
      </c>
      <c r="B4867" s="5" t="s">
        <v>44543</v>
      </c>
      <c r="C4867" s="6" t="str">
        <f>HYPERLINK("https://www.ti.com/lit/gpn/DCV012405", "PDF")</f>
        <v>PDF</v>
      </c>
      <c r="D4867" s="5" t="s">
        <v>44544</v>
      </c>
      <c r="E4867" s="5" t="s">
        <v>44545</v>
      </c>
      <c r="F4867" s="5" t="s">
        <v>44546</v>
      </c>
      <c r="G4867" s="5" t="s">
        <v>44547</v>
      </c>
      <c r="H4867" s="1" t="s">
        <v>44548</v>
      </c>
      <c r="I4867" s="5" t="s">
        <v>44549</v>
      </c>
      <c r="J4867" s="7">
        <v>7</v>
      </c>
      <c r="K4867" s="7" t="s">
        <v>44550</v>
      </c>
      <c r="L4867" s="5" t="s">
        <v>44551</v>
      </c>
      <c r="M4867" s="7">
        <v>5.33</v>
      </c>
      <c r="N4867" s="7">
        <v>2.54</v>
      </c>
      <c r="O4867" s="7">
        <v>8.8089999999999993</v>
      </c>
      <c r="P4867" s="1" t="s">
        <v>44552</v>
      </c>
    </row>
    <row r="4868" spans="1:16" ht="49.75" x14ac:dyDescent="0.3">
      <c r="A4868" s="6" t="str">
        <f>HYPERLINK("https://www.ti.com/product/DCV012415D", "DCV012415D")</f>
        <v>DCV012415D</v>
      </c>
      <c r="B4868" s="5" t="s">
        <v>44553</v>
      </c>
      <c r="C4868" s="6" t="str">
        <f>HYPERLINK("https://www.ti.com/lit/gpn/DCV012415D", "PDF")</f>
        <v>PDF</v>
      </c>
      <c r="D4868" s="5" t="s">
        <v>44554</v>
      </c>
      <c r="E4868" s="5" t="s">
        <v>44555</v>
      </c>
      <c r="F4868" s="5" t="s">
        <v>44556</v>
      </c>
      <c r="G4868" s="5" t="s">
        <v>44557</v>
      </c>
      <c r="H4868" s="1" t="s">
        <v>44558</v>
      </c>
      <c r="I4868" s="5" t="s">
        <v>44559</v>
      </c>
      <c r="J4868" s="7">
        <v>7</v>
      </c>
      <c r="K4868" s="7" t="s">
        <v>44560</v>
      </c>
      <c r="L4868" s="5" t="s">
        <v>44561</v>
      </c>
      <c r="M4868" s="7">
        <v>5.33</v>
      </c>
      <c r="N4868" s="7">
        <v>2.54</v>
      </c>
      <c r="O4868" s="7">
        <v>14.72</v>
      </c>
      <c r="P4868" s="1" t="s">
        <v>44562</v>
      </c>
    </row>
    <row r="4869" spans="1:16" ht="98.85" x14ac:dyDescent="0.3">
      <c r="A4869" s="6" t="str">
        <f>HYPERLINK("https://www.ti.com/product/LM117QML-SP", "LM117QML-SP")</f>
        <v>LM117QML-SP</v>
      </c>
      <c r="B4869" s="5" t="s">
        <v>44563</v>
      </c>
      <c r="C4869" s="6" t="str">
        <f>HYPERLINK("https://www.ti.com/lit/gpn/LM117QML-SP", "PDF")</f>
        <v>PDF</v>
      </c>
      <c r="D4869" s="5" t="s">
        <v>44564</v>
      </c>
      <c r="E4869" s="5" t="s">
        <v>44565</v>
      </c>
      <c r="F4869" s="5"/>
      <c r="G4869" s="5" t="s">
        <v>44566</v>
      </c>
      <c r="H4869" s="1" t="s">
        <v>44567</v>
      </c>
      <c r="I4869" s="5" t="s">
        <v>44568</v>
      </c>
      <c r="J4869" s="7" t="s">
        <v>44569</v>
      </c>
      <c r="K4869" s="7" t="s">
        <v>44570</v>
      </c>
      <c r="L4869" s="5" t="s">
        <v>44571</v>
      </c>
      <c r="M4869" s="7" t="s">
        <v>44572</v>
      </c>
      <c r="N4869" s="7" t="s">
        <v>44573</v>
      </c>
      <c r="O4869" s="7">
        <v>438.96100000000001</v>
      </c>
      <c r="P4869" s="1" t="s">
        <v>44574</v>
      </c>
    </row>
    <row r="4870" spans="1:16" ht="33.4" x14ac:dyDescent="0.3">
      <c r="A4870" s="6" t="str">
        <f>HYPERLINK("https://www.ti.com/product/TPS2041A", "TPS2041A")</f>
        <v>TPS2041A</v>
      </c>
      <c r="B4870" s="5" t="s">
        <v>44575</v>
      </c>
      <c r="C4870" s="6" t="str">
        <f>HYPERLINK("https://www.ti.com/lit/gpn/TPS2041A", "PDF")</f>
        <v>PDF</v>
      </c>
      <c r="D4870" s="5" t="s">
        <v>44576</v>
      </c>
      <c r="E4870" s="5" t="s">
        <v>44577</v>
      </c>
      <c r="F4870" s="5"/>
      <c r="G4870" s="5" t="s">
        <v>44578</v>
      </c>
      <c r="H4870" s="1" t="s">
        <v>44579</v>
      </c>
      <c r="I4870" s="5" t="s">
        <v>44580</v>
      </c>
      <c r="J4870" s="7">
        <v>8</v>
      </c>
      <c r="K4870" s="7">
        <v>29.4</v>
      </c>
      <c r="L4870" s="5" t="s">
        <v>44581</v>
      </c>
      <c r="M4870" s="7">
        <v>1.75</v>
      </c>
      <c r="N4870" s="7">
        <v>1.27</v>
      </c>
      <c r="O4870" s="7">
        <v>1.0720000000000001</v>
      </c>
      <c r="P4870" s="1" t="s">
        <v>44582</v>
      </c>
    </row>
    <row r="4871" spans="1:16" ht="33.4" x14ac:dyDescent="0.3">
      <c r="A4871" s="6" t="str">
        <f>HYPERLINK("https://www.ti.com/product/TPS2042A", "TPS2042A")</f>
        <v>TPS2042A</v>
      </c>
      <c r="B4871" s="5" t="s">
        <v>44583</v>
      </c>
      <c r="C4871" s="6" t="str">
        <f>HYPERLINK("https://www.ti.com/lit/gpn/TPS2042A", "PDF")</f>
        <v>PDF</v>
      </c>
      <c r="D4871" s="5" t="s">
        <v>44584</v>
      </c>
      <c r="E4871" s="5" t="s">
        <v>44585</v>
      </c>
      <c r="F4871" s="5"/>
      <c r="G4871" s="5" t="s">
        <v>44586</v>
      </c>
      <c r="H4871" s="1" t="s">
        <v>44587</v>
      </c>
      <c r="I4871" s="5" t="s">
        <v>44588</v>
      </c>
      <c r="J4871" s="7">
        <v>8</v>
      </c>
      <c r="K4871" s="7">
        <v>29.4</v>
      </c>
      <c r="L4871" s="5" t="s">
        <v>44589</v>
      </c>
      <c r="M4871" s="7">
        <v>1.75</v>
      </c>
      <c r="N4871" s="7">
        <v>1.27</v>
      </c>
      <c r="O4871" s="7">
        <v>1.4990000000000001</v>
      </c>
      <c r="P4871" s="1" t="s">
        <v>44590</v>
      </c>
    </row>
    <row r="4872" spans="1:16" ht="33.4" x14ac:dyDescent="0.3">
      <c r="A4872" s="6" t="str">
        <f>HYPERLINK("https://www.ti.com/product/TPS2043A", "TPS2043A")</f>
        <v>TPS2043A</v>
      </c>
      <c r="B4872" s="5" t="s">
        <v>44591</v>
      </c>
      <c r="C4872" s="6" t="str">
        <f>HYPERLINK("https://www.ti.com/lit/gpn/TPS2043A", "PDF")</f>
        <v>PDF</v>
      </c>
      <c r="D4872" s="5" t="s">
        <v>44592</v>
      </c>
      <c r="E4872" s="5" t="s">
        <v>44593</v>
      </c>
      <c r="F4872" s="5"/>
      <c r="G4872" s="5" t="s">
        <v>44594</v>
      </c>
      <c r="H4872" s="1" t="s">
        <v>44595</v>
      </c>
      <c r="I4872" s="5" t="s">
        <v>44596</v>
      </c>
      <c r="J4872" s="7">
        <v>16</v>
      </c>
      <c r="K4872" s="7">
        <v>59.4</v>
      </c>
      <c r="L4872" s="5" t="s">
        <v>44597</v>
      </c>
      <c r="M4872" s="7">
        <v>1.75</v>
      </c>
      <c r="N4872" s="7">
        <v>1.27</v>
      </c>
      <c r="O4872" s="7">
        <v>1.444</v>
      </c>
      <c r="P4872" s="1" t="s">
        <v>44598</v>
      </c>
    </row>
    <row r="4873" spans="1:16" ht="33.4" x14ac:dyDescent="0.3">
      <c r="A4873" s="6" t="str">
        <f>HYPERLINK("https://www.ti.com/product/TPS2044A", "TPS2044A")</f>
        <v>TPS2044A</v>
      </c>
      <c r="B4873" s="5" t="s">
        <v>44599</v>
      </c>
      <c r="C4873" s="6" t="str">
        <f>HYPERLINK("https://www.ti.com/lit/gpn/TPS2044A", "PDF")</f>
        <v>PDF</v>
      </c>
      <c r="D4873" s="5" t="s">
        <v>44600</v>
      </c>
      <c r="E4873" s="5" t="s">
        <v>44601</v>
      </c>
      <c r="F4873" s="5"/>
      <c r="G4873" s="5" t="s">
        <v>44602</v>
      </c>
      <c r="H4873" s="1" t="s">
        <v>44603</v>
      </c>
      <c r="I4873" s="5" t="s">
        <v>44604</v>
      </c>
      <c r="J4873" s="7">
        <v>16</v>
      </c>
      <c r="K4873" s="7">
        <v>59.4</v>
      </c>
      <c r="L4873" s="5" t="s">
        <v>44605</v>
      </c>
      <c r="M4873" s="7">
        <v>1.75</v>
      </c>
      <c r="N4873" s="7">
        <v>1.27</v>
      </c>
      <c r="O4873" s="7">
        <v>2.004</v>
      </c>
      <c r="P4873" s="1" t="s">
        <v>44606</v>
      </c>
    </row>
    <row r="4874" spans="1:16" ht="33.4" x14ac:dyDescent="0.3">
      <c r="A4874" s="6" t="str">
        <f>HYPERLINK("https://www.ti.com/product/TPS2048A", "TPS2048A")</f>
        <v>TPS2048A</v>
      </c>
      <c r="B4874" s="5" t="s">
        <v>44607</v>
      </c>
      <c r="C4874" s="6" t="str">
        <f>HYPERLINK("https://www.ti.com/lit/gpn/TPS2048A", "PDF")</f>
        <v>PDF</v>
      </c>
      <c r="D4874" s="5" t="s">
        <v>44608</v>
      </c>
      <c r="E4874" s="5" t="s">
        <v>44609</v>
      </c>
      <c r="F4874" s="5"/>
      <c r="G4874" s="5" t="s">
        <v>44610</v>
      </c>
      <c r="H4874" s="1" t="s">
        <v>44611</v>
      </c>
      <c r="I4874" s="5" t="s">
        <v>44612</v>
      </c>
      <c r="J4874" s="7">
        <v>16</v>
      </c>
      <c r="K4874" s="7">
        <v>59.4</v>
      </c>
      <c r="L4874" s="5" t="s">
        <v>44613</v>
      </c>
      <c r="M4874" s="7">
        <v>1.75</v>
      </c>
      <c r="N4874" s="7">
        <v>1.27</v>
      </c>
      <c r="O4874" s="7">
        <v>1.3460000000000001</v>
      </c>
      <c r="P4874" s="1" t="s">
        <v>44614</v>
      </c>
    </row>
    <row r="4875" spans="1:16" ht="33.4" x14ac:dyDescent="0.3">
      <c r="A4875" s="6" t="str">
        <f>HYPERLINK("https://www.ti.com/product/TPS2051A", "TPS2051A")</f>
        <v>TPS2051A</v>
      </c>
      <c r="B4875" s="5" t="s">
        <v>44615</v>
      </c>
      <c r="C4875" s="6" t="str">
        <f>HYPERLINK("https://www.ti.com/lit/gpn/TPS2051A", "PDF")</f>
        <v>PDF</v>
      </c>
      <c r="D4875" s="5" t="s">
        <v>44616</v>
      </c>
      <c r="E4875" s="5" t="s">
        <v>44617</v>
      </c>
      <c r="F4875" s="5"/>
      <c r="G4875" s="5" t="s">
        <v>44618</v>
      </c>
      <c r="H4875" s="1" t="s">
        <v>44619</v>
      </c>
      <c r="I4875" s="5" t="s">
        <v>44620</v>
      </c>
      <c r="J4875" s="7">
        <v>8</v>
      </c>
      <c r="K4875" s="7">
        <v>29.4</v>
      </c>
      <c r="L4875" s="5" t="s">
        <v>44621</v>
      </c>
      <c r="M4875" s="7">
        <v>1.75</v>
      </c>
      <c r="N4875" s="7">
        <v>1.27</v>
      </c>
      <c r="O4875" s="7">
        <v>0.85599999999999998</v>
      </c>
      <c r="P4875" s="1" t="s">
        <v>44622</v>
      </c>
    </row>
    <row r="4876" spans="1:16" ht="33.4" x14ac:dyDescent="0.3">
      <c r="A4876" s="6" t="str">
        <f>HYPERLINK("https://www.ti.com/product/TPS2054A", "TPS2054A")</f>
        <v>TPS2054A</v>
      </c>
      <c r="B4876" s="5" t="s">
        <v>44623</v>
      </c>
      <c r="C4876" s="6" t="str">
        <f>HYPERLINK("https://www.ti.com/lit/gpn/TPS2054A", "PDF")</f>
        <v>PDF</v>
      </c>
      <c r="D4876" s="5" t="s">
        <v>44624</v>
      </c>
      <c r="E4876" s="5" t="s">
        <v>44625</v>
      </c>
      <c r="F4876" s="5"/>
      <c r="G4876" s="5" t="s">
        <v>44626</v>
      </c>
      <c r="H4876" s="1" t="s">
        <v>44627</v>
      </c>
      <c r="I4876" s="5" t="s">
        <v>44628</v>
      </c>
      <c r="J4876" s="7">
        <v>16</v>
      </c>
      <c r="K4876" s="7">
        <v>59.4</v>
      </c>
      <c r="L4876" s="5" t="s">
        <v>44629</v>
      </c>
      <c r="M4876" s="7">
        <v>1.75</v>
      </c>
      <c r="N4876" s="7">
        <v>1.27</v>
      </c>
      <c r="O4876" s="7">
        <v>2.3380000000000001</v>
      </c>
      <c r="P4876" s="1" t="s">
        <v>44630</v>
      </c>
    </row>
    <row r="4877" spans="1:16" ht="33.4" x14ac:dyDescent="0.3">
      <c r="A4877" s="6" t="str">
        <f>HYPERLINK("https://www.ti.com/product/TPS2057A", "TPS2057A")</f>
        <v>TPS2057A</v>
      </c>
      <c r="B4877" s="5" t="s">
        <v>44631</v>
      </c>
      <c r="C4877" s="6" t="str">
        <f>HYPERLINK("https://www.ti.com/lit/gpn/TPS2057A", "PDF")</f>
        <v>PDF</v>
      </c>
      <c r="D4877" s="5" t="s">
        <v>44632</v>
      </c>
      <c r="E4877" s="5" t="s">
        <v>44633</v>
      </c>
      <c r="F4877" s="5"/>
      <c r="G4877" s="5" t="s">
        <v>44634</v>
      </c>
      <c r="H4877" s="1" t="s">
        <v>44635</v>
      </c>
      <c r="I4877" s="5" t="s">
        <v>44636</v>
      </c>
      <c r="J4877" s="7">
        <v>16</v>
      </c>
      <c r="K4877" s="7">
        <v>59.4</v>
      </c>
      <c r="L4877" s="5" t="s">
        <v>44637</v>
      </c>
      <c r="M4877" s="7">
        <v>1.75</v>
      </c>
      <c r="N4877" s="7">
        <v>1.27</v>
      </c>
      <c r="O4877" s="7">
        <v>1.002</v>
      </c>
      <c r="P4877" s="1" t="s">
        <v>44638</v>
      </c>
    </row>
    <row r="4878" spans="1:16" ht="33.4" x14ac:dyDescent="0.3">
      <c r="A4878" s="6" t="str">
        <f>HYPERLINK("https://www.ti.com/product/TPS2058A", "TPS2058A")</f>
        <v>TPS2058A</v>
      </c>
      <c r="B4878" s="5" t="s">
        <v>44639</v>
      </c>
      <c r="C4878" s="6" t="str">
        <f>HYPERLINK("https://www.ti.com/lit/gpn/TPS2058A", "PDF")</f>
        <v>PDF</v>
      </c>
      <c r="D4878" s="5" t="s">
        <v>44640</v>
      </c>
      <c r="E4878" s="5" t="s">
        <v>44641</v>
      </c>
      <c r="F4878" s="5"/>
      <c r="G4878" s="5" t="s">
        <v>44642</v>
      </c>
      <c r="H4878" s="1" t="s">
        <v>44643</v>
      </c>
      <c r="I4878" s="5" t="s">
        <v>44644</v>
      </c>
      <c r="J4878" s="7">
        <v>16</v>
      </c>
      <c r="K4878" s="7">
        <v>59.4</v>
      </c>
      <c r="L4878" s="5" t="s">
        <v>44645</v>
      </c>
      <c r="M4878" s="7">
        <v>1.75</v>
      </c>
      <c r="N4878" s="7">
        <v>1.27</v>
      </c>
      <c r="O4878" s="7">
        <v>1.113</v>
      </c>
      <c r="P4878" s="1" t="s">
        <v>44646</v>
      </c>
    </row>
    <row r="4879" spans="1:16" ht="17.05" x14ac:dyDescent="0.3">
      <c r="A4879" s="6" t="str">
        <f>HYPERLINK("https://www.ti.com/product/TPS2085", "TPS2085")</f>
        <v>TPS2085</v>
      </c>
      <c r="B4879" s="5" t="s">
        <v>44647</v>
      </c>
      <c r="C4879" s="6" t="str">
        <f>HYPERLINK("https://www.ti.com/lit/gpn/TPS2085", "PDF")</f>
        <v>PDF</v>
      </c>
      <c r="D4879" s="5" t="s">
        <v>44648</v>
      </c>
      <c r="E4879" s="5" t="s">
        <v>44649</v>
      </c>
      <c r="F4879" s="5"/>
      <c r="G4879" s="5" t="s">
        <v>44650</v>
      </c>
      <c r="H4879" s="1" t="s">
        <v>44651</v>
      </c>
      <c r="I4879" s="5" t="s">
        <v>44652</v>
      </c>
      <c r="J4879" s="7">
        <v>16</v>
      </c>
      <c r="K4879" s="7">
        <v>59.4</v>
      </c>
      <c r="L4879" s="5" t="s">
        <v>44653</v>
      </c>
      <c r="M4879" s="7">
        <v>1.75</v>
      </c>
      <c r="N4879" s="7">
        <v>1.27</v>
      </c>
      <c r="O4879" s="7">
        <v>1.921</v>
      </c>
      <c r="P4879" s="1" t="s">
        <v>44654</v>
      </c>
    </row>
    <row r="4880" spans="1:16" ht="17.05" x14ac:dyDescent="0.3">
      <c r="A4880" s="6" t="str">
        <f>HYPERLINK("https://www.ti.com/product/TPS2087", "TPS2087")</f>
        <v>TPS2087</v>
      </c>
      <c r="B4880" s="5" t="s">
        <v>44655</v>
      </c>
      <c r="C4880" s="6" t="str">
        <f>HYPERLINK("https://www.ti.com/lit/gpn/TPS2087", "PDF")</f>
        <v>PDF</v>
      </c>
      <c r="D4880" s="5" t="s">
        <v>44656</v>
      </c>
      <c r="E4880" s="5" t="s">
        <v>44657</v>
      </c>
      <c r="F4880" s="5"/>
      <c r="G4880" s="5" t="s">
        <v>44658</v>
      </c>
      <c r="H4880" s="1" t="s">
        <v>44659</v>
      </c>
      <c r="I4880" s="5" t="s">
        <v>44660</v>
      </c>
      <c r="J4880" s="7">
        <v>16</v>
      </c>
      <c r="K4880" s="7">
        <v>59.4</v>
      </c>
      <c r="L4880" s="5" t="s">
        <v>44661</v>
      </c>
      <c r="M4880" s="7">
        <v>1.75</v>
      </c>
      <c r="N4880" s="7">
        <v>1.27</v>
      </c>
      <c r="O4880" s="7">
        <v>1.921</v>
      </c>
      <c r="P4880" s="1" t="s">
        <v>44662</v>
      </c>
    </row>
    <row r="4881" spans="1:16" ht="17.05" x14ac:dyDescent="0.3">
      <c r="A4881" s="6" t="str">
        <f>HYPERLINK("https://www.ti.com/product/TPS2095", "TPS2095")</f>
        <v>TPS2095</v>
      </c>
      <c r="B4881" s="5" t="s">
        <v>44663</v>
      </c>
      <c r="C4881" s="6" t="str">
        <f>HYPERLINK("https://www.ti.com/lit/gpn/TPS2095", "PDF")</f>
        <v>PDF</v>
      </c>
      <c r="D4881" s="5" t="s">
        <v>44664</v>
      </c>
      <c r="E4881" s="5" t="s">
        <v>44665</v>
      </c>
      <c r="F4881" s="5"/>
      <c r="G4881" s="5" t="s">
        <v>44666</v>
      </c>
      <c r="H4881" s="1" t="s">
        <v>44667</v>
      </c>
      <c r="I4881" s="5" t="s">
        <v>44668</v>
      </c>
      <c r="J4881" s="7">
        <v>16</v>
      </c>
      <c r="K4881" s="7">
        <v>59.4</v>
      </c>
      <c r="L4881" s="5" t="s">
        <v>44669</v>
      </c>
      <c r="M4881" s="7">
        <v>1.75</v>
      </c>
      <c r="N4881" s="7">
        <v>1.27</v>
      </c>
      <c r="O4881" s="7">
        <v>1.921</v>
      </c>
      <c r="P4881" s="1" t="s">
        <v>44670</v>
      </c>
    </row>
    <row r="4882" spans="1:16" ht="17.05" x14ac:dyDescent="0.3">
      <c r="A4882" s="6" t="str">
        <f>HYPERLINK("https://www.ti.com/product/TPS2097", "TPS2097")</f>
        <v>TPS2097</v>
      </c>
      <c r="B4882" s="5" t="s">
        <v>44671</v>
      </c>
      <c r="C4882" s="6" t="str">
        <f>HYPERLINK("https://www.ti.com/lit/gpn/TPS2097", "PDF")</f>
        <v>PDF</v>
      </c>
      <c r="D4882" s="5" t="s">
        <v>44672</v>
      </c>
      <c r="E4882" s="5" t="s">
        <v>44673</v>
      </c>
      <c r="F4882" s="5"/>
      <c r="G4882" s="5" t="s">
        <v>44674</v>
      </c>
      <c r="H4882" s="1" t="s">
        <v>44675</v>
      </c>
      <c r="I4882" s="5" t="s">
        <v>44676</v>
      </c>
      <c r="J4882" s="7">
        <v>16</v>
      </c>
      <c r="K4882" s="7">
        <v>59.4</v>
      </c>
      <c r="L4882" s="5" t="s">
        <v>44677</v>
      </c>
      <c r="M4882" s="7">
        <v>1.75</v>
      </c>
      <c r="N4882" s="7">
        <v>1.27</v>
      </c>
      <c r="O4882" s="7">
        <v>1.921</v>
      </c>
      <c r="P4882" s="1" t="s">
        <v>44678</v>
      </c>
    </row>
    <row r="4883" spans="1:16" ht="33.4" x14ac:dyDescent="0.3">
      <c r="A4883" s="6" t="str">
        <f>HYPERLINK("https://www.ti.com/product/LM3544", "LM3544")</f>
        <v>LM3544</v>
      </c>
      <c r="B4883" s="5" t="s">
        <v>44679</v>
      </c>
      <c r="C4883" s="6" t="str">
        <f>HYPERLINK("https://www.ti.com/lit/gpn/LM3544", "PDF")</f>
        <v>PDF</v>
      </c>
      <c r="D4883" s="5" t="s">
        <v>44680</v>
      </c>
      <c r="E4883" s="5" t="s">
        <v>44681</v>
      </c>
      <c r="F4883" s="5"/>
      <c r="G4883" s="5" t="s">
        <v>44682</v>
      </c>
      <c r="H4883" s="1" t="s">
        <v>44683</v>
      </c>
      <c r="I4883" s="5" t="s">
        <v>44684</v>
      </c>
      <c r="J4883" s="7">
        <v>16</v>
      </c>
      <c r="K4883" s="7">
        <v>59.4</v>
      </c>
      <c r="L4883" s="5" t="s">
        <v>44685</v>
      </c>
      <c r="M4883" s="7">
        <v>1.75</v>
      </c>
      <c r="N4883" s="7">
        <v>1.27</v>
      </c>
      <c r="O4883" s="7">
        <v>1.194</v>
      </c>
      <c r="P4883" s="1" t="s">
        <v>44686</v>
      </c>
    </row>
    <row r="4884" spans="1:16" ht="49.75" x14ac:dyDescent="0.3">
      <c r="A4884" s="6" t="str">
        <f>HYPERLINK("https://www.ti.com/product/TPIC6B596", "TPIC6B596")</f>
        <v>TPIC6B596</v>
      </c>
      <c r="B4884" s="5" t="s">
        <v>44687</v>
      </c>
      <c r="C4884" s="6" t="str">
        <f>HYPERLINK("https://www.ti.com/lit/gpn/TPIC6B596", "PDF")</f>
        <v>PDF</v>
      </c>
      <c r="D4884" s="5" t="s">
        <v>44688</v>
      </c>
      <c r="E4884" s="5" t="s">
        <v>44689</v>
      </c>
      <c r="F4884" s="5" t="s">
        <v>44690</v>
      </c>
      <c r="G4884" s="5" t="s">
        <v>44691</v>
      </c>
      <c r="H4884" s="1" t="s">
        <v>44692</v>
      </c>
      <c r="I4884" s="5" t="s">
        <v>44693</v>
      </c>
      <c r="J4884" s="7">
        <v>20</v>
      </c>
      <c r="K4884" s="7" t="s">
        <v>44694</v>
      </c>
      <c r="L4884" s="5" t="s">
        <v>44695</v>
      </c>
      <c r="M4884" s="7" t="s">
        <v>44696</v>
      </c>
      <c r="N4884" s="7" t="s">
        <v>44697</v>
      </c>
      <c r="O4884" s="7">
        <v>0.48199999999999998</v>
      </c>
      <c r="P4884" s="1" t="s">
        <v>44698</v>
      </c>
    </row>
    <row r="4885" spans="1:16" ht="49.75" x14ac:dyDescent="0.3">
      <c r="A4885" s="6" t="str">
        <f>HYPERLINK("https://www.ti.com/product/TPS3510", "TPS3510")</f>
        <v>TPS3510</v>
      </c>
      <c r="B4885" s="5" t="s">
        <v>44699</v>
      </c>
      <c r="C4885" s="6" t="str">
        <f>HYPERLINK("https://www.ti.com/lit/gpn/TPS3510", "PDF")</f>
        <v>PDF</v>
      </c>
      <c r="D4885" s="5" t="s">
        <v>44700</v>
      </c>
      <c r="E4885" s="5" t="s">
        <v>44701</v>
      </c>
      <c r="F4885" s="5"/>
      <c r="G4885" s="5" t="s">
        <v>44702</v>
      </c>
      <c r="H4885" s="1" t="s">
        <v>44703</v>
      </c>
      <c r="I4885" s="5" t="s">
        <v>44704</v>
      </c>
      <c r="J4885" s="7">
        <v>8</v>
      </c>
      <c r="K4885" s="7" t="s">
        <v>44705</v>
      </c>
      <c r="L4885" s="5" t="s">
        <v>44706</v>
      </c>
      <c r="M4885" s="7" t="s">
        <v>44707</v>
      </c>
      <c r="N4885" s="7" t="s">
        <v>44708</v>
      </c>
      <c r="O4885" s="7">
        <v>0.45200000000000001</v>
      </c>
      <c r="P4885" s="1" t="s">
        <v>44709</v>
      </c>
    </row>
    <row r="4886" spans="1:16" ht="33.4" x14ac:dyDescent="0.3">
      <c r="A4886" s="6" t="str">
        <f>HYPERLINK("https://www.ti.com/product/LM3704", "LM3704")</f>
        <v>LM3704</v>
      </c>
      <c r="B4886" s="5" t="s">
        <v>44710</v>
      </c>
      <c r="C4886" s="6" t="str">
        <f>HYPERLINK("https://www.ti.com/lit/gpn/LM3704", "PDF")</f>
        <v>PDF</v>
      </c>
      <c r="D4886" s="5" t="s">
        <v>44711</v>
      </c>
      <c r="E4886" s="5" t="s">
        <v>44712</v>
      </c>
      <c r="F4886" s="5"/>
      <c r="G4886" s="5" t="s">
        <v>44713</v>
      </c>
      <c r="H4886" s="1" t="s">
        <v>44714</v>
      </c>
      <c r="I4886" s="5" t="s">
        <v>44715</v>
      </c>
      <c r="J4886" s="7">
        <v>10</v>
      </c>
      <c r="K4886" s="7">
        <v>14.7</v>
      </c>
      <c r="L4886" s="5" t="s">
        <v>44716</v>
      </c>
      <c r="M4886" s="7">
        <v>1.1000000000000001</v>
      </c>
      <c r="N4886" s="7">
        <v>0.5</v>
      </c>
      <c r="O4886" s="7">
        <v>0.82699999999999996</v>
      </c>
      <c r="P4886" s="1" t="s">
        <v>44717</v>
      </c>
    </row>
    <row r="4887" spans="1:16" ht="33.4" x14ac:dyDescent="0.3">
      <c r="A4887" s="6" t="str">
        <f>HYPERLINK("https://www.ti.com/product/LM3710", "LM3710")</f>
        <v>LM3710</v>
      </c>
      <c r="B4887" s="5" t="s">
        <v>44718</v>
      </c>
      <c r="C4887" s="6" t="str">
        <f>HYPERLINK("https://www.ti.com/lit/gpn/LM3710", "PDF")</f>
        <v>PDF</v>
      </c>
      <c r="D4887" s="5" t="s">
        <v>44719</v>
      </c>
      <c r="E4887" s="5" t="s">
        <v>44720</v>
      </c>
      <c r="F4887" s="5"/>
      <c r="G4887" s="5" t="s">
        <v>44721</v>
      </c>
      <c r="H4887" s="1" t="s">
        <v>44722</v>
      </c>
      <c r="I4887" s="5" t="s">
        <v>44723</v>
      </c>
      <c r="J4887" s="7">
        <v>10</v>
      </c>
      <c r="K4887" s="7">
        <v>14.7</v>
      </c>
      <c r="L4887" s="5" t="s">
        <v>44724</v>
      </c>
      <c r="M4887" s="7">
        <v>1.1000000000000001</v>
      </c>
      <c r="N4887" s="7">
        <v>0.5</v>
      </c>
      <c r="O4887" s="7">
        <v>1.1579999999999999</v>
      </c>
      <c r="P4887" s="1" t="s">
        <v>44725</v>
      </c>
    </row>
    <row r="4888" spans="1:16" ht="33.4" x14ac:dyDescent="0.3">
      <c r="A4888" s="6" t="str">
        <f>HYPERLINK("https://www.ti.com/product/LM3488", "LM3488")</f>
        <v>LM3488</v>
      </c>
      <c r="B4888" s="5" t="s">
        <v>44726</v>
      </c>
      <c r="C4888" s="6" t="str">
        <f>HYPERLINK("https://www.ti.com/lit/gpn/LM3488", "PDF")</f>
        <v>PDF</v>
      </c>
      <c r="D4888" s="5" t="s">
        <v>44727</v>
      </c>
      <c r="E4888" s="5" t="s">
        <v>44728</v>
      </c>
      <c r="F4888" s="5" t="s">
        <v>44729</v>
      </c>
      <c r="G4888" s="5" t="s">
        <v>44730</v>
      </c>
      <c r="H4888" s="1" t="s">
        <v>44731</v>
      </c>
      <c r="I4888" s="5" t="s">
        <v>44732</v>
      </c>
      <c r="J4888" s="7">
        <v>8</v>
      </c>
      <c r="K4888" s="7">
        <v>14.7</v>
      </c>
      <c r="L4888" s="5" t="s">
        <v>44733</v>
      </c>
      <c r="M4888" s="7">
        <v>1.1000000000000001</v>
      </c>
      <c r="N4888" s="7">
        <v>0.65</v>
      </c>
      <c r="O4888" s="7">
        <v>0.98599999999999999</v>
      </c>
      <c r="P4888" s="1" t="s">
        <v>44734</v>
      </c>
    </row>
    <row r="4889" spans="1:16" ht="49.75" x14ac:dyDescent="0.3">
      <c r="A4889" s="6" t="str">
        <f>HYPERLINK("https://www.ti.com/product/LMS8117A", "LMS8117A")</f>
        <v>LMS8117A</v>
      </c>
      <c r="B4889" s="5" t="s">
        <v>44735</v>
      </c>
      <c r="C4889" s="6" t="str">
        <f>HYPERLINK("https://www.ti.com/lit/gpn/LMS8117A", "PDF")</f>
        <v>PDF</v>
      </c>
      <c r="D4889" s="5" t="s">
        <v>44736</v>
      </c>
      <c r="E4889" s="5" t="s">
        <v>44737</v>
      </c>
      <c r="F4889" s="5"/>
      <c r="G4889" s="5" t="s">
        <v>44738</v>
      </c>
      <c r="H4889" s="1" t="s">
        <v>44739</v>
      </c>
      <c r="I4889" s="5" t="s">
        <v>44740</v>
      </c>
      <c r="J4889" s="7" t="s">
        <v>44741</v>
      </c>
      <c r="K4889" s="7" t="s">
        <v>44742</v>
      </c>
      <c r="L4889" s="5" t="s">
        <v>44743</v>
      </c>
      <c r="M4889" s="7" t="s">
        <v>44744</v>
      </c>
      <c r="N4889" s="7" t="s">
        <v>44745</v>
      </c>
      <c r="O4889" s="7">
        <v>0.42</v>
      </c>
      <c r="P4889" s="1" t="s">
        <v>44746</v>
      </c>
    </row>
    <row r="4890" spans="1:16" ht="49.75" x14ac:dyDescent="0.3">
      <c r="A4890" s="6" t="str">
        <f>HYPERLINK("https://www.ti.com/product/DCP010505DB", "DCP010505DB")</f>
        <v>DCP010505DB</v>
      </c>
      <c r="B4890" s="5" t="s">
        <v>44747</v>
      </c>
      <c r="C4890" s="6" t="str">
        <f>HYPERLINK("https://www.ti.com/lit/gpn/DCP010505DB", "PDF")</f>
        <v>PDF</v>
      </c>
      <c r="D4890" s="5" t="s">
        <v>44748</v>
      </c>
      <c r="E4890" s="5" t="s">
        <v>44749</v>
      </c>
      <c r="F4890" s="5" t="s">
        <v>44750</v>
      </c>
      <c r="G4890" s="5" t="s">
        <v>44751</v>
      </c>
      <c r="H4890" s="1" t="s">
        <v>44752</v>
      </c>
      <c r="I4890" s="5" t="s">
        <v>44753</v>
      </c>
      <c r="J4890" s="7">
        <v>7</v>
      </c>
      <c r="K4890" s="7" t="s">
        <v>44754</v>
      </c>
      <c r="L4890" s="5" t="s">
        <v>44755</v>
      </c>
      <c r="M4890" s="7">
        <v>5.33</v>
      </c>
      <c r="N4890" s="7">
        <v>2.54</v>
      </c>
      <c r="O4890" s="7">
        <v>8.1669999999999998</v>
      </c>
      <c r="P4890" s="1" t="s">
        <v>44756</v>
      </c>
    </row>
    <row r="4891" spans="1:16" ht="49.75" x14ac:dyDescent="0.3">
      <c r="A4891" s="6" t="str">
        <f>HYPERLINK("https://www.ti.com/product/DCP010512B", "DCP010512B")</f>
        <v>DCP010512B</v>
      </c>
      <c r="B4891" s="5" t="s">
        <v>44757</v>
      </c>
      <c r="C4891" s="6" t="str">
        <f>HYPERLINK("https://www.ti.com/lit/gpn/DCP010512B", "PDF")</f>
        <v>PDF</v>
      </c>
      <c r="D4891" s="5" t="s">
        <v>44758</v>
      </c>
      <c r="E4891" s="5" t="s">
        <v>44759</v>
      </c>
      <c r="F4891" s="5" t="s">
        <v>44760</v>
      </c>
      <c r="G4891" s="5" t="s">
        <v>44761</v>
      </c>
      <c r="H4891" s="1" t="s">
        <v>44762</v>
      </c>
      <c r="I4891" s="5" t="s">
        <v>44763</v>
      </c>
      <c r="J4891" s="7">
        <v>7</v>
      </c>
      <c r="K4891" s="7" t="s">
        <v>44764</v>
      </c>
      <c r="L4891" s="5" t="s">
        <v>44765</v>
      </c>
      <c r="M4891" s="7">
        <v>5.33</v>
      </c>
      <c r="N4891" s="7">
        <v>2.54</v>
      </c>
      <c r="O4891" s="7">
        <v>8.1669999999999998</v>
      </c>
      <c r="P4891" s="1" t="s">
        <v>44766</v>
      </c>
    </row>
    <row r="4892" spans="1:16" ht="49.75" x14ac:dyDescent="0.3">
      <c r="A4892" s="6" t="str">
        <f>HYPERLINK("https://www.ti.com/product/DCP010515B", "DCP010515B")</f>
        <v>DCP010515B</v>
      </c>
      <c r="B4892" s="5" t="s">
        <v>44767</v>
      </c>
      <c r="C4892" s="6" t="str">
        <f>HYPERLINK("https://www.ti.com/lit/gpn/DCP010515B", "PDF")</f>
        <v>PDF</v>
      </c>
      <c r="D4892" s="5" t="s">
        <v>44768</v>
      </c>
      <c r="E4892" s="5" t="s">
        <v>44769</v>
      </c>
      <c r="F4892" s="5" t="s">
        <v>44770</v>
      </c>
      <c r="G4892" s="5" t="s">
        <v>44771</v>
      </c>
      <c r="H4892" s="1" t="s">
        <v>44772</v>
      </c>
      <c r="I4892" s="5" t="s">
        <v>44773</v>
      </c>
      <c r="J4892" s="7">
        <v>7</v>
      </c>
      <c r="K4892" s="7" t="s">
        <v>44774</v>
      </c>
      <c r="L4892" s="5" t="s">
        <v>44775</v>
      </c>
      <c r="M4892" s="7">
        <v>5.33</v>
      </c>
      <c r="N4892" s="7">
        <v>2.54</v>
      </c>
      <c r="O4892" s="7">
        <v>8.1669999999999998</v>
      </c>
      <c r="P4892" s="1" t="s">
        <v>44776</v>
      </c>
    </row>
    <row r="4893" spans="1:16" ht="49.75" x14ac:dyDescent="0.3">
      <c r="A4893" s="6" t="str">
        <f>HYPERLINK("https://www.ti.com/product/DCP011512DB", "DCP011512DB")</f>
        <v>DCP011512DB</v>
      </c>
      <c r="B4893" s="5" t="s">
        <v>44777</v>
      </c>
      <c r="C4893" s="6" t="str">
        <f>HYPERLINK("https://www.ti.com/lit/gpn/DCP011512DB", "PDF")</f>
        <v>PDF</v>
      </c>
      <c r="D4893" s="5" t="s">
        <v>44778</v>
      </c>
      <c r="E4893" s="5" t="s">
        <v>44779</v>
      </c>
      <c r="F4893" s="5" t="s">
        <v>44780</v>
      </c>
      <c r="G4893" s="5" t="s">
        <v>44781</v>
      </c>
      <c r="H4893" s="1" t="s">
        <v>44782</v>
      </c>
      <c r="I4893" s="5" t="s">
        <v>44783</v>
      </c>
      <c r="J4893" s="7">
        <v>7</v>
      </c>
      <c r="K4893" s="7" t="s">
        <v>44784</v>
      </c>
      <c r="L4893" s="5" t="s">
        <v>44785</v>
      </c>
      <c r="M4893" s="7">
        <v>5.33</v>
      </c>
      <c r="N4893" s="7">
        <v>2.54</v>
      </c>
      <c r="O4893" s="7">
        <v>9.6530000000000005</v>
      </c>
      <c r="P4893" s="1" t="s">
        <v>44786</v>
      </c>
    </row>
    <row r="4894" spans="1:16" ht="49.75" x14ac:dyDescent="0.3">
      <c r="A4894" s="6" t="str">
        <f>HYPERLINK("https://www.ti.com/product/DCP011515DB", "DCP011515DB")</f>
        <v>DCP011515DB</v>
      </c>
      <c r="B4894" s="5" t="s">
        <v>44787</v>
      </c>
      <c r="C4894" s="6" t="str">
        <f>HYPERLINK("https://www.ti.com/lit/gpn/DCP011515DB", "PDF")</f>
        <v>PDF</v>
      </c>
      <c r="D4894" s="5" t="s">
        <v>44788</v>
      </c>
      <c r="E4894" s="5" t="s">
        <v>44789</v>
      </c>
      <c r="F4894" s="5" t="s">
        <v>44790</v>
      </c>
      <c r="G4894" s="5" t="s">
        <v>44791</v>
      </c>
      <c r="H4894" s="1" t="s">
        <v>44792</v>
      </c>
      <c r="I4894" s="5" t="s">
        <v>44793</v>
      </c>
      <c r="J4894" s="7">
        <v>7</v>
      </c>
      <c r="K4894" s="7" t="s">
        <v>44794</v>
      </c>
      <c r="L4894" s="5" t="s">
        <v>44795</v>
      </c>
      <c r="M4894" s="7">
        <v>5.33</v>
      </c>
      <c r="N4894" s="7">
        <v>2.54</v>
      </c>
      <c r="O4894" s="7">
        <v>9.6530000000000005</v>
      </c>
      <c r="P4894" s="1" t="s">
        <v>44796</v>
      </c>
    </row>
    <row r="4895" spans="1:16" ht="49.75" x14ac:dyDescent="0.3">
      <c r="A4895" s="6" t="str">
        <f>HYPERLINK("https://www.ti.com/product/DCP012415DB", "DCP012415DB")</f>
        <v>DCP012415DB</v>
      </c>
      <c r="B4895" s="5" t="s">
        <v>44797</v>
      </c>
      <c r="C4895" s="6" t="str">
        <f>HYPERLINK("https://www.ti.com/lit/gpn/DCP012415DB", "PDF")</f>
        <v>PDF</v>
      </c>
      <c r="D4895" s="5" t="s">
        <v>44798</v>
      </c>
      <c r="E4895" s="5" t="s">
        <v>44799</v>
      </c>
      <c r="F4895" s="5" t="s">
        <v>44800</v>
      </c>
      <c r="G4895" s="5" t="s">
        <v>44801</v>
      </c>
      <c r="H4895" s="1" t="s">
        <v>44802</v>
      </c>
      <c r="I4895" s="5" t="s">
        <v>44803</v>
      </c>
      <c r="J4895" s="7">
        <v>7</v>
      </c>
      <c r="K4895" s="7" t="s">
        <v>44804</v>
      </c>
      <c r="L4895" s="5" t="s">
        <v>44805</v>
      </c>
      <c r="M4895" s="7">
        <v>5.33</v>
      </c>
      <c r="N4895" s="7">
        <v>2.54</v>
      </c>
      <c r="O4895" s="7">
        <v>11.385</v>
      </c>
      <c r="P4895" s="1" t="s">
        <v>44806</v>
      </c>
    </row>
    <row r="4896" spans="1:16" ht="17.05" x14ac:dyDescent="0.3">
      <c r="A4896" s="6" t="str">
        <f>HYPERLINK("https://www.ti.com/product/TPS3836", "TPS3836")</f>
        <v>TPS3836</v>
      </c>
      <c r="B4896" s="5" t="s">
        <v>44807</v>
      </c>
      <c r="C4896" s="6" t="str">
        <f>HYPERLINK("https://www.ti.com/lit/gpn/TPS3836", "PDF")</f>
        <v>PDF</v>
      </c>
      <c r="D4896" s="5" t="s">
        <v>44808</v>
      </c>
      <c r="E4896" s="5" t="s">
        <v>44809</v>
      </c>
      <c r="F4896" s="5"/>
      <c r="G4896" s="5" t="s">
        <v>44810</v>
      </c>
      <c r="H4896" s="1" t="s">
        <v>44811</v>
      </c>
      <c r="I4896" s="5" t="s">
        <v>44812</v>
      </c>
      <c r="J4896" s="7">
        <v>5</v>
      </c>
      <c r="K4896" s="7">
        <v>8.1199999999999992</v>
      </c>
      <c r="L4896" s="5" t="s">
        <v>44813</v>
      </c>
      <c r="M4896" s="7">
        <v>1.45</v>
      </c>
      <c r="N4896" s="7">
        <v>0.95</v>
      </c>
      <c r="O4896" s="7">
        <v>0.93700000000000006</v>
      </c>
      <c r="P4896" s="1" t="s">
        <v>44814</v>
      </c>
    </row>
    <row r="4897" spans="1:16" ht="17.05" x14ac:dyDescent="0.3">
      <c r="A4897" s="6" t="str">
        <f>HYPERLINK("https://www.ti.com/product/TPS3837", "TPS3837")</f>
        <v>TPS3837</v>
      </c>
      <c r="B4897" s="5" t="s">
        <v>44815</v>
      </c>
      <c r="C4897" s="6" t="str">
        <f>HYPERLINK("https://www.ti.com/lit/gpn/TPS3837", "PDF")</f>
        <v>PDF</v>
      </c>
      <c r="D4897" s="5" t="s">
        <v>44816</v>
      </c>
      <c r="E4897" s="5" t="s">
        <v>44817</v>
      </c>
      <c r="F4897" s="5"/>
      <c r="G4897" s="5" t="s">
        <v>44818</v>
      </c>
      <c r="H4897" s="1" t="s">
        <v>44819</v>
      </c>
      <c r="I4897" s="5" t="s">
        <v>44820</v>
      </c>
      <c r="J4897" s="7">
        <v>5</v>
      </c>
      <c r="K4897" s="7">
        <v>8.1199999999999992</v>
      </c>
      <c r="L4897" s="5" t="s">
        <v>44821</v>
      </c>
      <c r="M4897" s="7">
        <v>1.45</v>
      </c>
      <c r="N4897" s="7">
        <v>0.95</v>
      </c>
      <c r="O4897" s="7">
        <v>0.93700000000000006</v>
      </c>
      <c r="P4897" s="1" t="s">
        <v>44822</v>
      </c>
    </row>
    <row r="4898" spans="1:16" ht="33.4" x14ac:dyDescent="0.3">
      <c r="A4898" s="6" t="str">
        <f>HYPERLINK("https://www.ti.com/product/TPS3838", "TPS3838")</f>
        <v>TPS3838</v>
      </c>
      <c r="B4898" s="5" t="s">
        <v>44823</v>
      </c>
      <c r="C4898" s="6" t="str">
        <f>HYPERLINK("https://www.ti.com/lit/gpn/TPS3838", "PDF")</f>
        <v>PDF</v>
      </c>
      <c r="D4898" s="5" t="s">
        <v>44824</v>
      </c>
      <c r="E4898" s="5" t="s">
        <v>44825</v>
      </c>
      <c r="F4898" s="5"/>
      <c r="G4898" s="5" t="s">
        <v>44826</v>
      </c>
      <c r="H4898" s="1" t="s">
        <v>44827</v>
      </c>
      <c r="I4898" s="5" t="s">
        <v>44828</v>
      </c>
      <c r="J4898" s="7" t="s">
        <v>44829</v>
      </c>
      <c r="K4898" s="7" t="s">
        <v>44830</v>
      </c>
      <c r="L4898" s="5" t="s">
        <v>44831</v>
      </c>
      <c r="M4898" s="7" t="s">
        <v>44832</v>
      </c>
      <c r="N4898" s="7" t="s">
        <v>44833</v>
      </c>
      <c r="O4898" s="7">
        <v>0.93700000000000006</v>
      </c>
      <c r="P4898" s="1" t="s">
        <v>44834</v>
      </c>
    </row>
    <row r="4899" spans="1:16" ht="33.4" x14ac:dyDescent="0.3">
      <c r="A4899" s="6" t="str">
        <f>HYPERLINK("https://www.ti.com/product/LP3986", "LP3986")</f>
        <v>LP3986</v>
      </c>
      <c r="B4899" s="5" t="s">
        <v>44835</v>
      </c>
      <c r="C4899" s="6" t="str">
        <f>HYPERLINK("https://www.ti.com/lit/gpn/LP3986", "PDF")</f>
        <v>PDF</v>
      </c>
      <c r="D4899" s="5" t="s">
        <v>44836</v>
      </c>
      <c r="E4899" s="5" t="s">
        <v>44837</v>
      </c>
      <c r="F4899" s="5"/>
      <c r="G4899" s="5" t="s">
        <v>44838</v>
      </c>
      <c r="H4899" s="1" t="s">
        <v>44839</v>
      </c>
      <c r="I4899" s="5" t="s">
        <v>44840</v>
      </c>
      <c r="J4899" s="7">
        <v>8</v>
      </c>
      <c r="K4899" s="7">
        <v>3.0625</v>
      </c>
      <c r="L4899" s="5" t="s">
        <v>44841</v>
      </c>
      <c r="M4899" s="7">
        <v>0.67500000000000004</v>
      </c>
      <c r="N4899" s="7">
        <v>0.5</v>
      </c>
      <c r="O4899" s="7">
        <v>0.38</v>
      </c>
      <c r="P4899" s="1" t="s">
        <v>44842</v>
      </c>
    </row>
    <row r="4900" spans="1:16" ht="33.4" x14ac:dyDescent="0.3">
      <c r="A4900" s="6" t="str">
        <f>HYPERLINK("https://www.ti.com/product/TPS3306", "TPS3306")</f>
        <v>TPS3306</v>
      </c>
      <c r="B4900" s="5" t="s">
        <v>44843</v>
      </c>
      <c r="C4900" s="6" t="str">
        <f>HYPERLINK("https://www.ti.com/lit/gpn/TPS3306", "PDF")</f>
        <v>PDF</v>
      </c>
      <c r="D4900" s="5" t="s">
        <v>44844</v>
      </c>
      <c r="E4900" s="5" t="s">
        <v>44845</v>
      </c>
      <c r="F4900" s="5"/>
      <c r="G4900" s="5" t="s">
        <v>44846</v>
      </c>
      <c r="H4900" s="1" t="s">
        <v>44847</v>
      </c>
      <c r="I4900" s="5" t="s">
        <v>44848</v>
      </c>
      <c r="J4900" s="7">
        <v>8</v>
      </c>
      <c r="K4900" s="7" t="s">
        <v>44849</v>
      </c>
      <c r="L4900" s="5" t="s">
        <v>44850</v>
      </c>
      <c r="M4900" s="7" t="s">
        <v>44851</v>
      </c>
      <c r="N4900" s="7" t="s">
        <v>44852</v>
      </c>
      <c r="O4900" s="7">
        <v>1.1579999999999999</v>
      </c>
      <c r="P4900" s="1" t="s">
        <v>44853</v>
      </c>
    </row>
    <row r="4901" spans="1:16" ht="49.75" x14ac:dyDescent="0.3">
      <c r="A4901" s="6" t="str">
        <f>HYPERLINK("https://www.ti.com/product/DCV010505", "DCV010505")</f>
        <v>DCV010505</v>
      </c>
      <c r="B4901" s="5" t="s">
        <v>44854</v>
      </c>
      <c r="C4901" s="6" t="str">
        <f>HYPERLINK("https://www.ti.com/lit/gpn/DCV010505", "PDF")</f>
        <v>PDF</v>
      </c>
      <c r="D4901" s="5" t="s">
        <v>44855</v>
      </c>
      <c r="E4901" s="5" t="s">
        <v>44856</v>
      </c>
      <c r="F4901" s="5" t="s">
        <v>44857</v>
      </c>
      <c r="G4901" s="5" t="s">
        <v>44858</v>
      </c>
      <c r="H4901" s="1" t="s">
        <v>44859</v>
      </c>
      <c r="I4901" s="5" t="s">
        <v>44860</v>
      </c>
      <c r="J4901" s="7">
        <v>7</v>
      </c>
      <c r="K4901" s="7" t="s">
        <v>44861</v>
      </c>
      <c r="L4901" s="5" t="s">
        <v>44862</v>
      </c>
      <c r="M4901" s="7">
        <v>5.33</v>
      </c>
      <c r="N4901" s="7">
        <v>2.54</v>
      </c>
      <c r="O4901" s="7">
        <v>9.4529999999999994</v>
      </c>
      <c r="P4901" s="1" t="s">
        <v>44863</v>
      </c>
    </row>
    <row r="4902" spans="1:16" ht="49.75" x14ac:dyDescent="0.3">
      <c r="A4902" s="6" t="str">
        <f>HYPERLINK("https://www.ti.com/product/DCV010505D", "DCV010505D")</f>
        <v>DCV010505D</v>
      </c>
      <c r="B4902" s="5" t="s">
        <v>44864</v>
      </c>
      <c r="C4902" s="6" t="str">
        <f>HYPERLINK("https://www.ti.com/lit/gpn/DCV010505D", "PDF")</f>
        <v>PDF</v>
      </c>
      <c r="D4902" s="5" t="s">
        <v>44865</v>
      </c>
      <c r="E4902" s="5" t="s">
        <v>44866</v>
      </c>
      <c r="F4902" s="5" t="s">
        <v>44867</v>
      </c>
      <c r="G4902" s="5" t="s">
        <v>44868</v>
      </c>
      <c r="H4902" s="1" t="s">
        <v>44869</v>
      </c>
      <c r="I4902" s="5" t="s">
        <v>44870</v>
      </c>
      <c r="J4902" s="7">
        <v>7</v>
      </c>
      <c r="K4902" s="7" t="s">
        <v>44871</v>
      </c>
      <c r="L4902" s="5" t="s">
        <v>44872</v>
      </c>
      <c r="M4902" s="7">
        <v>5.33</v>
      </c>
      <c r="N4902" s="7">
        <v>2.54</v>
      </c>
      <c r="O4902" s="7">
        <v>7.9349999999999996</v>
      </c>
      <c r="P4902" s="1" t="s">
        <v>44873</v>
      </c>
    </row>
    <row r="4903" spans="1:16" ht="49.75" x14ac:dyDescent="0.3">
      <c r="A4903" s="6" t="str">
        <f>HYPERLINK("https://www.ti.com/product/DCV010512", "DCV010512")</f>
        <v>DCV010512</v>
      </c>
      <c r="B4903" s="5" t="s">
        <v>44874</v>
      </c>
      <c r="C4903" s="6" t="str">
        <f>HYPERLINK("https://www.ti.com/lit/gpn/DCV010512", "PDF")</f>
        <v>PDF</v>
      </c>
      <c r="D4903" s="5" t="s">
        <v>44875</v>
      </c>
      <c r="E4903" s="5" t="s">
        <v>44876</v>
      </c>
      <c r="F4903" s="5" t="s">
        <v>44877</v>
      </c>
      <c r="G4903" s="5" t="s">
        <v>44878</v>
      </c>
      <c r="H4903" s="1" t="s">
        <v>44879</v>
      </c>
      <c r="I4903" s="5" t="s">
        <v>44880</v>
      </c>
      <c r="J4903" s="7">
        <v>7</v>
      </c>
      <c r="K4903" s="7" t="s">
        <v>44881</v>
      </c>
      <c r="L4903" s="5" t="s">
        <v>44882</v>
      </c>
      <c r="M4903" s="7">
        <v>5.33</v>
      </c>
      <c r="N4903" s="7">
        <v>2.54</v>
      </c>
      <c r="O4903" s="7">
        <v>10.647</v>
      </c>
      <c r="P4903" s="1" t="s">
        <v>44883</v>
      </c>
    </row>
    <row r="4904" spans="1:16" ht="49.75" x14ac:dyDescent="0.3">
      <c r="A4904" s="6" t="str">
        <f>HYPERLINK("https://www.ti.com/product/DCV010512D", "DCV010512D")</f>
        <v>DCV010512D</v>
      </c>
      <c r="B4904" s="5" t="s">
        <v>44884</v>
      </c>
      <c r="C4904" s="6" t="str">
        <f>HYPERLINK("https://www.ti.com/lit/gpn/DCV010512D", "PDF")</f>
        <v>PDF</v>
      </c>
      <c r="D4904" s="5" t="s">
        <v>44885</v>
      </c>
      <c r="E4904" s="5" t="s">
        <v>44886</v>
      </c>
      <c r="F4904" s="5" t="s">
        <v>44887</v>
      </c>
      <c r="G4904" s="5" t="s">
        <v>44888</v>
      </c>
      <c r="H4904" s="1" t="s">
        <v>44889</v>
      </c>
      <c r="I4904" s="5" t="s">
        <v>44890</v>
      </c>
      <c r="J4904" s="7">
        <v>7</v>
      </c>
      <c r="K4904" s="7" t="s">
        <v>44891</v>
      </c>
      <c r="L4904" s="5" t="s">
        <v>44892</v>
      </c>
      <c r="M4904" s="7">
        <v>5.33</v>
      </c>
      <c r="N4904" s="7">
        <v>2.54</v>
      </c>
      <c r="O4904" s="7">
        <v>9.0679999999999996</v>
      </c>
      <c r="P4904" s="1" t="s">
        <v>44893</v>
      </c>
    </row>
    <row r="4905" spans="1:16" ht="49.75" x14ac:dyDescent="0.3">
      <c r="A4905" s="6" t="str">
        <f>HYPERLINK("https://www.ti.com/product/DCV010515", "DCV010515")</f>
        <v>DCV010515</v>
      </c>
      <c r="B4905" s="5" t="s">
        <v>44894</v>
      </c>
      <c r="C4905" s="6" t="str">
        <f>HYPERLINK("https://www.ti.com/lit/gpn/DCV010515", "PDF")</f>
        <v>PDF</v>
      </c>
      <c r="D4905" s="5" t="s">
        <v>44895</v>
      </c>
      <c r="E4905" s="5" t="s">
        <v>44896</v>
      </c>
      <c r="F4905" s="5" t="s">
        <v>44897</v>
      </c>
      <c r="G4905" s="5" t="s">
        <v>44898</v>
      </c>
      <c r="H4905" s="1" t="s">
        <v>44899</v>
      </c>
      <c r="I4905" s="5" t="s">
        <v>44900</v>
      </c>
      <c r="J4905" s="7">
        <v>7</v>
      </c>
      <c r="K4905" s="7" t="s">
        <v>44901</v>
      </c>
      <c r="L4905" s="5" t="s">
        <v>44902</v>
      </c>
      <c r="M4905" s="7">
        <v>5.33</v>
      </c>
      <c r="N4905" s="7">
        <v>2.54</v>
      </c>
      <c r="O4905" s="7">
        <v>9.3149999999999995</v>
      </c>
      <c r="P4905" s="1" t="s">
        <v>44903</v>
      </c>
    </row>
    <row r="4906" spans="1:16" ht="49.75" x14ac:dyDescent="0.3">
      <c r="A4906" s="6" t="str">
        <f>HYPERLINK("https://www.ti.com/product/DCV010515D", "DCV010515D")</f>
        <v>DCV010515D</v>
      </c>
      <c r="B4906" s="5" t="s">
        <v>44904</v>
      </c>
      <c r="C4906" s="6" t="str">
        <f>HYPERLINK("https://www.ti.com/lit/gpn/DCV010515D", "PDF")</f>
        <v>PDF</v>
      </c>
      <c r="D4906" s="5" t="s">
        <v>44905</v>
      </c>
      <c r="E4906" s="5" t="s">
        <v>44906</v>
      </c>
      <c r="F4906" s="5" t="s">
        <v>44907</v>
      </c>
      <c r="G4906" s="5" t="s">
        <v>44908</v>
      </c>
      <c r="H4906" s="1" t="s">
        <v>44909</v>
      </c>
      <c r="I4906" s="5" t="s">
        <v>44910</v>
      </c>
      <c r="J4906" s="7">
        <v>7</v>
      </c>
      <c r="K4906" s="7" t="s">
        <v>44911</v>
      </c>
      <c r="L4906" s="5" t="s">
        <v>44912</v>
      </c>
      <c r="M4906" s="7">
        <v>5.33</v>
      </c>
      <c r="N4906" s="7">
        <v>2.54</v>
      </c>
      <c r="O4906" s="7">
        <v>9.2430000000000003</v>
      </c>
      <c r="P4906" s="1" t="s">
        <v>44913</v>
      </c>
    </row>
    <row r="4907" spans="1:16" ht="33.4" x14ac:dyDescent="0.3">
      <c r="A4907" s="6" t="str">
        <f>HYPERLINK("https://www.ti.com/product/LP2989LV", "LP2989LV")</f>
        <v>LP2989LV</v>
      </c>
      <c r="B4907" s="5" t="s">
        <v>44914</v>
      </c>
      <c r="C4907" s="6" t="str">
        <f>HYPERLINK("https://www.ti.com/lit/gpn/LP2989LV", "PDF")</f>
        <v>PDF</v>
      </c>
      <c r="D4907" s="5" t="s">
        <v>44915</v>
      </c>
      <c r="E4907" s="5" t="s">
        <v>44916</v>
      </c>
      <c r="F4907" s="5"/>
      <c r="G4907" s="5" t="s">
        <v>44917</v>
      </c>
      <c r="H4907" s="1" t="s">
        <v>44918</v>
      </c>
      <c r="I4907" s="5" t="s">
        <v>44919</v>
      </c>
      <c r="J4907" s="7">
        <v>8</v>
      </c>
      <c r="K4907" s="7">
        <v>29.4</v>
      </c>
      <c r="L4907" s="5" t="s">
        <v>44920</v>
      </c>
      <c r="M4907" s="7">
        <v>1.75</v>
      </c>
      <c r="N4907" s="7">
        <v>1.27</v>
      </c>
      <c r="O4907" s="7">
        <v>1.1970000000000001</v>
      </c>
      <c r="P4907" s="1" t="s">
        <v>44921</v>
      </c>
    </row>
    <row r="4908" spans="1:16" ht="66.150000000000006" x14ac:dyDescent="0.3">
      <c r="A4908" s="6" t="str">
        <f>HYPERLINK("https://www.ti.com/product/LM317L", "LM317L")</f>
        <v>LM317L</v>
      </c>
      <c r="B4908" s="5" t="s">
        <v>44922</v>
      </c>
      <c r="C4908" s="6" t="str">
        <f>HYPERLINK("https://www.ti.com/lit/gpn/LM317L", "PDF")</f>
        <v>PDF</v>
      </c>
      <c r="D4908" s="5" t="s">
        <v>44923</v>
      </c>
      <c r="E4908" s="5" t="s">
        <v>44924</v>
      </c>
      <c r="F4908" s="5"/>
      <c r="G4908" s="5" t="s">
        <v>44925</v>
      </c>
      <c r="H4908" s="1" t="s">
        <v>44926</v>
      </c>
      <c r="I4908" s="5" t="s">
        <v>44927</v>
      </c>
      <c r="J4908" s="7" t="s">
        <v>44928</v>
      </c>
      <c r="K4908" s="7" t="s">
        <v>44929</v>
      </c>
      <c r="L4908" s="5" t="s">
        <v>44930</v>
      </c>
      <c r="M4908" s="7" t="s">
        <v>44931</v>
      </c>
      <c r="N4908" s="7" t="s">
        <v>44932</v>
      </c>
      <c r="O4908" s="7">
        <v>9.0999999999999998E-2</v>
      </c>
      <c r="P4908" s="1" t="s">
        <v>44933</v>
      </c>
    </row>
    <row r="4909" spans="1:16" ht="33.4" x14ac:dyDescent="0.3">
      <c r="A4909" s="6" t="str">
        <f>HYPERLINK("https://www.ti.com/product/LM317M", "LM317M")</f>
        <v>LM317M</v>
      </c>
      <c r="B4909" s="5" t="s">
        <v>44934</v>
      </c>
      <c r="C4909" s="6" t="str">
        <f>HYPERLINK("https://www.ti.com/lit/gpn/LM317M", "PDF")</f>
        <v>PDF</v>
      </c>
      <c r="D4909" s="5" t="s">
        <v>44935</v>
      </c>
      <c r="E4909" s="5" t="s">
        <v>44936</v>
      </c>
      <c r="F4909" s="5"/>
      <c r="G4909" s="5" t="s">
        <v>44937</v>
      </c>
      <c r="H4909" s="1" t="s">
        <v>44938</v>
      </c>
      <c r="I4909" s="5" t="s">
        <v>44939</v>
      </c>
      <c r="J4909" s="7" t="s">
        <v>44940</v>
      </c>
      <c r="K4909" s="7" t="s">
        <v>44941</v>
      </c>
      <c r="L4909" s="5" t="s">
        <v>44942</v>
      </c>
      <c r="M4909" s="7" t="s">
        <v>44943</v>
      </c>
      <c r="N4909" s="7" t="s">
        <v>44944</v>
      </c>
      <c r="O4909" s="7">
        <v>0.20200000000000001</v>
      </c>
      <c r="P4909" s="1" t="s">
        <v>44945</v>
      </c>
    </row>
    <row r="4910" spans="1:16" ht="33.4" x14ac:dyDescent="0.3">
      <c r="A4910" s="6" t="str">
        <f>HYPERLINK("https://www.ti.com/product/LM4121", "LM4121")</f>
        <v>LM4121</v>
      </c>
      <c r="B4910" s="5" t="s">
        <v>44946</v>
      </c>
      <c r="C4910" s="6" t="str">
        <f>HYPERLINK("https://www.ti.com/lit/gpn/LM4121", "PDF")</f>
        <v>PDF</v>
      </c>
      <c r="D4910" s="5" t="s">
        <v>44947</v>
      </c>
      <c r="E4910" s="5" t="s">
        <v>44948</v>
      </c>
      <c r="F4910" s="5"/>
      <c r="G4910" s="5" t="s">
        <v>44949</v>
      </c>
      <c r="H4910" s="1" t="s">
        <v>44950</v>
      </c>
      <c r="I4910" s="5" t="s">
        <v>44951</v>
      </c>
      <c r="J4910" s="7">
        <v>5</v>
      </c>
      <c r="K4910" s="7">
        <v>8.1199999999999992</v>
      </c>
      <c r="L4910" s="5" t="s">
        <v>44952</v>
      </c>
      <c r="M4910" s="7">
        <v>1.45</v>
      </c>
      <c r="N4910" s="7">
        <v>0.95</v>
      </c>
      <c r="O4910" s="7">
        <v>0.90600000000000003</v>
      </c>
      <c r="P4910" s="1" t="s">
        <v>44953</v>
      </c>
    </row>
    <row r="4911" spans="1:16" ht="33.4" x14ac:dyDescent="0.3">
      <c r="A4911" s="6" t="str">
        <f>HYPERLINK("https://www.ti.com/product/TPS2320", "TPS2320")</f>
        <v>TPS2320</v>
      </c>
      <c r="B4911" s="5" t="s">
        <v>44954</v>
      </c>
      <c r="C4911" s="6" t="str">
        <f>HYPERLINK("https://www.ti.com/lit/gpn/TPS2320", "PDF")</f>
        <v>PDF</v>
      </c>
      <c r="D4911" s="5" t="s">
        <v>44955</v>
      </c>
      <c r="E4911" s="5" t="s">
        <v>44956</v>
      </c>
      <c r="F4911" s="5"/>
      <c r="G4911" s="5" t="s">
        <v>44957</v>
      </c>
      <c r="H4911" s="1" t="s">
        <v>44958</v>
      </c>
      <c r="I4911" s="5" t="s">
        <v>44959</v>
      </c>
      <c r="J4911" s="7">
        <v>16</v>
      </c>
      <c r="K4911" s="7" t="s">
        <v>44960</v>
      </c>
      <c r="L4911" s="5" t="s">
        <v>44961</v>
      </c>
      <c r="M4911" s="7" t="s">
        <v>44962</v>
      </c>
      <c r="N4911" s="7" t="s">
        <v>44963</v>
      </c>
      <c r="O4911" s="7">
        <v>1.746</v>
      </c>
      <c r="P4911" s="1" t="s">
        <v>44964</v>
      </c>
    </row>
    <row r="4912" spans="1:16" ht="33.4" x14ac:dyDescent="0.3">
      <c r="A4912" s="6" t="str">
        <f>HYPERLINK("https://www.ti.com/product/TPS2321", "TPS2321")</f>
        <v>TPS2321</v>
      </c>
      <c r="B4912" s="5" t="s">
        <v>44965</v>
      </c>
      <c r="C4912" s="6" t="str">
        <f>HYPERLINK("https://www.ti.com/lit/gpn/TPS2321", "PDF")</f>
        <v>PDF</v>
      </c>
      <c r="D4912" s="5" t="s">
        <v>44966</v>
      </c>
      <c r="E4912" s="5" t="s">
        <v>44967</v>
      </c>
      <c r="F4912" s="5"/>
      <c r="G4912" s="5" t="s">
        <v>44968</v>
      </c>
      <c r="H4912" s="1" t="s">
        <v>44969</v>
      </c>
      <c r="I4912" s="5" t="s">
        <v>44970</v>
      </c>
      <c r="J4912" s="7">
        <v>16</v>
      </c>
      <c r="K4912" s="7" t="s">
        <v>44971</v>
      </c>
      <c r="L4912" s="5" t="s">
        <v>44972</v>
      </c>
      <c r="M4912" s="7" t="s">
        <v>44973</v>
      </c>
      <c r="N4912" s="7" t="s">
        <v>44974</v>
      </c>
      <c r="O4912" s="7">
        <v>1.746</v>
      </c>
      <c r="P4912" s="1" t="s">
        <v>44975</v>
      </c>
    </row>
    <row r="4913" spans="1:16" ht="49.75" x14ac:dyDescent="0.3">
      <c r="A4913" s="6" t="str">
        <f>HYPERLINK("https://www.ti.com/product/TPS2330", "TPS2330")</f>
        <v>TPS2330</v>
      </c>
      <c r="B4913" s="5" t="s">
        <v>44976</v>
      </c>
      <c r="C4913" s="6" t="str">
        <f>HYPERLINK("https://www.ti.com/lit/gpn/TPS2330", "PDF")</f>
        <v>PDF</v>
      </c>
      <c r="D4913" s="5" t="s">
        <v>44977</v>
      </c>
      <c r="E4913" s="5" t="s">
        <v>44978</v>
      </c>
      <c r="F4913" s="5"/>
      <c r="G4913" s="5" t="s">
        <v>44979</v>
      </c>
      <c r="H4913" s="1" t="s">
        <v>44980</v>
      </c>
      <c r="I4913" s="5" t="s">
        <v>44981</v>
      </c>
      <c r="J4913" s="7">
        <v>14</v>
      </c>
      <c r="K4913" s="7" t="s">
        <v>44982</v>
      </c>
      <c r="L4913" s="5" t="s">
        <v>44983</v>
      </c>
      <c r="M4913" s="7" t="s">
        <v>44984</v>
      </c>
      <c r="N4913" s="7" t="s">
        <v>44985</v>
      </c>
      <c r="O4913" s="7">
        <v>1.409</v>
      </c>
      <c r="P4913" s="1" t="s">
        <v>44986</v>
      </c>
    </row>
    <row r="4914" spans="1:16" ht="49.75" x14ac:dyDescent="0.3">
      <c r="A4914" s="6" t="str">
        <f>HYPERLINK("https://www.ti.com/product/TPS2331", "TPS2331")</f>
        <v>TPS2331</v>
      </c>
      <c r="B4914" s="5" t="s">
        <v>44987</v>
      </c>
      <c r="C4914" s="6" t="str">
        <f>HYPERLINK("https://www.ti.com/lit/gpn/TPS2331", "PDF")</f>
        <v>PDF</v>
      </c>
      <c r="D4914" s="5" t="s">
        <v>44988</v>
      </c>
      <c r="E4914" s="5" t="s">
        <v>44989</v>
      </c>
      <c r="F4914" s="5"/>
      <c r="G4914" s="5" t="s">
        <v>44990</v>
      </c>
      <c r="H4914" s="1" t="s">
        <v>44991</v>
      </c>
      <c r="I4914" s="5" t="s">
        <v>44992</v>
      </c>
      <c r="J4914" s="7">
        <v>14</v>
      </c>
      <c r="K4914" s="7" t="s">
        <v>44993</v>
      </c>
      <c r="L4914" s="5" t="s">
        <v>44994</v>
      </c>
      <c r="M4914" s="7" t="s">
        <v>44995</v>
      </c>
      <c r="N4914" s="7" t="s">
        <v>44996</v>
      </c>
      <c r="O4914" s="7">
        <v>1.409</v>
      </c>
      <c r="P4914" s="1" t="s">
        <v>44997</v>
      </c>
    </row>
    <row r="4915" spans="1:16" ht="33.4" x14ac:dyDescent="0.3">
      <c r="A4915" s="6" t="str">
        <f>HYPERLINK("https://www.ti.com/product/LM2765", "LM2765")</f>
        <v>LM2765</v>
      </c>
      <c r="B4915" s="5" t="s">
        <v>44998</v>
      </c>
      <c r="C4915" s="6" t="str">
        <f>HYPERLINK("https://www.ti.com/lit/gpn/LM2765", "PDF")</f>
        <v>PDF</v>
      </c>
      <c r="D4915" s="5" t="s">
        <v>44999</v>
      </c>
      <c r="E4915" s="5" t="s">
        <v>45000</v>
      </c>
      <c r="F4915" s="5"/>
      <c r="G4915" s="5" t="s">
        <v>45001</v>
      </c>
      <c r="H4915" s="1" t="s">
        <v>45002</v>
      </c>
      <c r="I4915" s="5" t="s">
        <v>45003</v>
      </c>
      <c r="J4915" s="7">
        <v>6</v>
      </c>
      <c r="K4915" s="7">
        <v>8.1199999999999992</v>
      </c>
      <c r="L4915" s="5" t="s">
        <v>45004</v>
      </c>
      <c r="M4915" s="7">
        <v>1.45</v>
      </c>
      <c r="N4915" s="7">
        <v>0.95</v>
      </c>
      <c r="O4915" s="7">
        <v>0.41299999999999998</v>
      </c>
      <c r="P4915" s="1" t="s">
        <v>45005</v>
      </c>
    </row>
    <row r="4916" spans="1:16" ht="33.4" x14ac:dyDescent="0.3">
      <c r="A4916" s="6" t="str">
        <f>HYPERLINK("https://www.ti.com/product/LM2766", "LM2766")</f>
        <v>LM2766</v>
      </c>
      <c r="B4916" s="5" t="s">
        <v>45006</v>
      </c>
      <c r="C4916" s="6" t="str">
        <f>HYPERLINK("https://www.ti.com/lit/gpn/LM2766", "PDF")</f>
        <v>PDF</v>
      </c>
      <c r="D4916" s="5" t="s">
        <v>45007</v>
      </c>
      <c r="E4916" s="5" t="s">
        <v>45008</v>
      </c>
      <c r="F4916" s="5"/>
      <c r="G4916" s="5" t="s">
        <v>45009</v>
      </c>
      <c r="H4916" s="1" t="s">
        <v>45010</v>
      </c>
      <c r="I4916" s="5" t="s">
        <v>45011</v>
      </c>
      <c r="J4916" s="7">
        <v>6</v>
      </c>
      <c r="K4916" s="7">
        <v>8.1199999999999992</v>
      </c>
      <c r="L4916" s="5" t="s">
        <v>45012</v>
      </c>
      <c r="M4916" s="7">
        <v>1.45</v>
      </c>
      <c r="N4916" s="7">
        <v>0.95</v>
      </c>
      <c r="O4916" s="7">
        <v>0.40300000000000002</v>
      </c>
      <c r="P4916" s="1" t="s">
        <v>45013</v>
      </c>
    </row>
    <row r="4917" spans="1:16" ht="49.75" x14ac:dyDescent="0.3">
      <c r="A4917" s="6" t="str">
        <f>HYPERLINK("https://www.ti.com/product/LP3985", "LP3985")</f>
        <v>LP3985</v>
      </c>
      <c r="B4917" s="5" t="s">
        <v>45014</v>
      </c>
      <c r="C4917" s="6" t="str">
        <f>HYPERLINK("https://www.ti.com/lit/gpn/LP3985", "PDF")</f>
        <v>PDF</v>
      </c>
      <c r="D4917" s="5" t="s">
        <v>45015</v>
      </c>
      <c r="E4917" s="5" t="s">
        <v>45016</v>
      </c>
      <c r="F4917" s="5"/>
      <c r="G4917" s="5" t="s">
        <v>45017</v>
      </c>
      <c r="H4917" s="1" t="s">
        <v>45018</v>
      </c>
      <c r="I4917" s="5" t="s">
        <v>45019</v>
      </c>
      <c r="J4917" s="7">
        <v>5</v>
      </c>
      <c r="K4917" s="7" t="s">
        <v>45020</v>
      </c>
      <c r="L4917" s="5" t="s">
        <v>45021</v>
      </c>
      <c r="M4917" s="7" t="s">
        <v>45022</v>
      </c>
      <c r="N4917" s="7" t="s">
        <v>45023</v>
      </c>
      <c r="O4917" s="7">
        <v>0.16400000000000001</v>
      </c>
      <c r="P4917" s="1" t="s">
        <v>45024</v>
      </c>
    </row>
    <row r="4918" spans="1:16" ht="33.4" x14ac:dyDescent="0.3">
      <c r="A4918" s="6" t="str">
        <f>HYPERLINK("https://www.ti.com/product/LM3477", "LM3477")</f>
        <v>LM3477</v>
      </c>
      <c r="B4918" s="5" t="s">
        <v>45025</v>
      </c>
      <c r="C4918" s="6" t="str">
        <f>HYPERLINK("https://www.ti.com/lit/gpn/LM3477", "PDF")</f>
        <v>PDF</v>
      </c>
      <c r="D4918" s="5" t="s">
        <v>45026</v>
      </c>
      <c r="E4918" s="5" t="s">
        <v>45027</v>
      </c>
      <c r="F4918" s="5" t="s">
        <v>45028</v>
      </c>
      <c r="G4918" s="5" t="s">
        <v>45029</v>
      </c>
      <c r="H4918" s="1" t="s">
        <v>45030</v>
      </c>
      <c r="I4918" s="5" t="s">
        <v>45031</v>
      </c>
      <c r="J4918" s="7">
        <v>8</v>
      </c>
      <c r="K4918" s="7">
        <v>14.7</v>
      </c>
      <c r="L4918" s="5" t="s">
        <v>45032</v>
      </c>
      <c r="M4918" s="7">
        <v>1.1000000000000001</v>
      </c>
      <c r="N4918" s="7">
        <v>0.65</v>
      </c>
      <c r="O4918" s="7">
        <v>0.94599999999999995</v>
      </c>
      <c r="P4918" s="1" t="s">
        <v>45033</v>
      </c>
    </row>
    <row r="4919" spans="1:16" ht="33.4" x14ac:dyDescent="0.3">
      <c r="A4919" s="6" t="str">
        <f>HYPERLINK("https://www.ti.com/product/LM3478", "LM3478")</f>
        <v>LM3478</v>
      </c>
      <c r="B4919" s="5" t="s">
        <v>45034</v>
      </c>
      <c r="C4919" s="6" t="str">
        <f>HYPERLINK("https://www.ti.com/lit/gpn/LM3478", "PDF")</f>
        <v>PDF</v>
      </c>
      <c r="D4919" s="5" t="s">
        <v>45035</v>
      </c>
      <c r="E4919" s="5" t="s">
        <v>45036</v>
      </c>
      <c r="F4919" s="5" t="s">
        <v>45037</v>
      </c>
      <c r="G4919" s="5" t="s">
        <v>45038</v>
      </c>
      <c r="H4919" s="1" t="s">
        <v>45039</v>
      </c>
      <c r="I4919" s="5" t="s">
        <v>45040</v>
      </c>
      <c r="J4919" s="7">
        <v>8</v>
      </c>
      <c r="K4919" s="7" t="s">
        <v>45041</v>
      </c>
      <c r="L4919" s="5" t="s">
        <v>45042</v>
      </c>
      <c r="M4919" s="7" t="s">
        <v>45043</v>
      </c>
      <c r="N4919" s="7" t="s">
        <v>45044</v>
      </c>
      <c r="O4919" s="7">
        <v>1.095</v>
      </c>
      <c r="P4919" s="1" t="s">
        <v>45045</v>
      </c>
    </row>
    <row r="4920" spans="1:16" ht="49.75" x14ac:dyDescent="0.3">
      <c r="A4920" s="6" t="str">
        <f>HYPERLINK("https://www.ti.com/product/LMV431B", "LMV431B")</f>
        <v>LMV431B</v>
      </c>
      <c r="B4920" s="5" t="s">
        <v>45046</v>
      </c>
      <c r="C4920" s="6" t="str">
        <f>HYPERLINK("https://www.ti.com/lit/gpn/LMV431B", "PDF")</f>
        <v>PDF</v>
      </c>
      <c r="D4920" s="5" t="s">
        <v>45047</v>
      </c>
      <c r="E4920" s="5" t="s">
        <v>45048</v>
      </c>
      <c r="F4920" s="5"/>
      <c r="G4920" s="5" t="s">
        <v>45049</v>
      </c>
      <c r="H4920" s="1" t="s">
        <v>45050</v>
      </c>
      <c r="I4920" s="5" t="s">
        <v>45051</v>
      </c>
      <c r="J4920" s="7" t="s">
        <v>45052</v>
      </c>
      <c r="K4920" s="7" t="s">
        <v>45053</v>
      </c>
      <c r="L4920" s="5" t="s">
        <v>45054</v>
      </c>
      <c r="M4920" s="7" t="s">
        <v>45055</v>
      </c>
      <c r="N4920" s="7" t="s">
        <v>45056</v>
      </c>
      <c r="O4920" s="7">
        <v>0.254</v>
      </c>
      <c r="P4920" s="1" t="s">
        <v>45057</v>
      </c>
    </row>
    <row r="4921" spans="1:16" ht="33.4" x14ac:dyDescent="0.3">
      <c r="A4921" s="6" t="str">
        <f>HYPERLINK("https://www.ti.com/product/LM2622", "LM2622")</f>
        <v>LM2622</v>
      </c>
      <c r="B4921" s="5" t="s">
        <v>45058</v>
      </c>
      <c r="C4921" s="6" t="str">
        <f>HYPERLINK("https://www.ti.com/lit/gpn/LM2622", "PDF")</f>
        <v>PDF</v>
      </c>
      <c r="D4921" s="5" t="s">
        <v>45059</v>
      </c>
      <c r="E4921" s="5" t="s">
        <v>45060</v>
      </c>
      <c r="F4921" s="5" t="s">
        <v>45061</v>
      </c>
      <c r="G4921" s="5" t="s">
        <v>45062</v>
      </c>
      <c r="H4921" s="1" t="s">
        <v>45063</v>
      </c>
      <c r="I4921" s="5" t="s">
        <v>45064</v>
      </c>
      <c r="J4921" s="7">
        <v>8</v>
      </c>
      <c r="K4921" s="7">
        <v>14.7</v>
      </c>
      <c r="L4921" s="5" t="s">
        <v>45065</v>
      </c>
      <c r="M4921" s="7">
        <v>1.1000000000000001</v>
      </c>
      <c r="N4921" s="7">
        <v>0.65</v>
      </c>
      <c r="O4921" s="7">
        <v>0.86799999999999999</v>
      </c>
      <c r="P4921" s="1" t="s">
        <v>45066</v>
      </c>
    </row>
    <row r="4922" spans="1:16" ht="49.75" x14ac:dyDescent="0.3">
      <c r="A4922" s="6" t="str">
        <f>HYPERLINK("https://www.ti.com/product/DCP010505B", "DCP010505B")</f>
        <v>DCP010505B</v>
      </c>
      <c r="B4922" s="5" t="s">
        <v>45067</v>
      </c>
      <c r="C4922" s="6" t="str">
        <f>HYPERLINK("https://www.ti.com/lit/gpn/DCP010505B", "PDF")</f>
        <v>PDF</v>
      </c>
      <c r="D4922" s="5" t="s">
        <v>45068</v>
      </c>
      <c r="E4922" s="5" t="s">
        <v>45069</v>
      </c>
      <c r="F4922" s="5" t="s">
        <v>45070</v>
      </c>
      <c r="G4922" s="5" t="s">
        <v>45071</v>
      </c>
      <c r="H4922" s="1" t="s">
        <v>45072</v>
      </c>
      <c r="I4922" s="5" t="s">
        <v>45073</v>
      </c>
      <c r="J4922" s="7">
        <v>7</v>
      </c>
      <c r="K4922" s="7" t="s">
        <v>45074</v>
      </c>
      <c r="L4922" s="5" t="s">
        <v>45075</v>
      </c>
      <c r="M4922" s="7">
        <v>5.33</v>
      </c>
      <c r="N4922" s="7">
        <v>2.54</v>
      </c>
      <c r="O4922" s="7">
        <v>8.1669999999999998</v>
      </c>
      <c r="P4922" s="1" t="s">
        <v>45076</v>
      </c>
    </row>
    <row r="4923" spans="1:16" ht="49.75" x14ac:dyDescent="0.3">
      <c r="A4923" s="6" t="str">
        <f>HYPERLINK("https://www.ti.com/product/DCP010512DB", "DCP010512DB")</f>
        <v>DCP010512DB</v>
      </c>
      <c r="B4923" s="5" t="s">
        <v>45077</v>
      </c>
      <c r="C4923" s="6" t="str">
        <f>HYPERLINK("https://www.ti.com/lit/gpn/DCP010512DB", "PDF")</f>
        <v>PDF</v>
      </c>
      <c r="D4923" s="5" t="s">
        <v>45078</v>
      </c>
      <c r="E4923" s="5" t="s">
        <v>45079</v>
      </c>
      <c r="F4923" s="5" t="s">
        <v>45080</v>
      </c>
      <c r="G4923" s="5" t="s">
        <v>45081</v>
      </c>
      <c r="H4923" s="1" t="s">
        <v>45082</v>
      </c>
      <c r="I4923" s="5" t="s">
        <v>45083</v>
      </c>
      <c r="J4923" s="7">
        <v>7</v>
      </c>
      <c r="K4923" s="7" t="s">
        <v>45084</v>
      </c>
      <c r="L4923" s="5" t="s">
        <v>45085</v>
      </c>
      <c r="M4923" s="7">
        <v>5.33</v>
      </c>
      <c r="N4923" s="7">
        <v>2.54</v>
      </c>
      <c r="O4923" s="7">
        <v>8.1669999999999998</v>
      </c>
      <c r="P4923" s="1" t="s">
        <v>45086</v>
      </c>
    </row>
    <row r="4924" spans="1:16" ht="49.75" x14ac:dyDescent="0.3">
      <c r="A4924" s="6" t="str">
        <f>HYPERLINK("https://www.ti.com/product/DCP010515DB", "DCP010515DB")</f>
        <v>DCP010515DB</v>
      </c>
      <c r="B4924" s="5" t="s">
        <v>45087</v>
      </c>
      <c r="C4924" s="6" t="str">
        <f>HYPERLINK("https://www.ti.com/lit/gpn/DCP010515DB", "PDF")</f>
        <v>PDF</v>
      </c>
      <c r="D4924" s="5" t="s">
        <v>45088</v>
      </c>
      <c r="E4924" s="5" t="s">
        <v>45089</v>
      </c>
      <c r="F4924" s="5" t="s">
        <v>45090</v>
      </c>
      <c r="G4924" s="5" t="s">
        <v>45091</v>
      </c>
      <c r="H4924" s="1" t="s">
        <v>45092</v>
      </c>
      <c r="I4924" s="5" t="s">
        <v>45093</v>
      </c>
      <c r="J4924" s="7">
        <v>7</v>
      </c>
      <c r="K4924" s="7" t="s">
        <v>45094</v>
      </c>
      <c r="L4924" s="5" t="s">
        <v>45095</v>
      </c>
      <c r="M4924" s="7">
        <v>5.33</v>
      </c>
      <c r="N4924" s="7">
        <v>2.54</v>
      </c>
      <c r="O4924" s="7">
        <v>8.1669999999999998</v>
      </c>
      <c r="P4924" s="1" t="s">
        <v>45096</v>
      </c>
    </row>
    <row r="4925" spans="1:16" ht="49.75" x14ac:dyDescent="0.3">
      <c r="A4925" s="6" t="str">
        <f>HYPERLINK("https://www.ti.com/product/DCP012405B", "DCP012405B")</f>
        <v>DCP012405B</v>
      </c>
      <c r="B4925" s="5" t="s">
        <v>45097</v>
      </c>
      <c r="C4925" s="6" t="str">
        <f>HYPERLINK("https://www.ti.com/lit/gpn/DCP012405B", "PDF")</f>
        <v>PDF</v>
      </c>
      <c r="D4925" s="5" t="s">
        <v>45098</v>
      </c>
      <c r="E4925" s="5" t="s">
        <v>45099</v>
      </c>
      <c r="F4925" s="5" t="s">
        <v>45100</v>
      </c>
      <c r="G4925" s="5" t="s">
        <v>45101</v>
      </c>
      <c r="H4925" s="1" t="s">
        <v>45102</v>
      </c>
      <c r="I4925" s="5" t="s">
        <v>45103</v>
      </c>
      <c r="J4925" s="7">
        <v>7</v>
      </c>
      <c r="K4925" s="7" t="s">
        <v>45104</v>
      </c>
      <c r="L4925" s="5" t="s">
        <v>45105</v>
      </c>
      <c r="M4925" s="7">
        <v>5.33</v>
      </c>
      <c r="N4925" s="7">
        <v>2.54</v>
      </c>
      <c r="O4925" s="7">
        <v>11.385</v>
      </c>
      <c r="P4925" s="1" t="s">
        <v>45106</v>
      </c>
    </row>
    <row r="4926" spans="1:16" ht="33.4" x14ac:dyDescent="0.3">
      <c r="A4926" s="6" t="str">
        <f>HYPERLINK("https://www.ti.com/product/TPS2300", "TPS2300")</f>
        <v>TPS2300</v>
      </c>
      <c r="B4926" s="5" t="s">
        <v>45107</v>
      </c>
      <c r="C4926" s="6" t="str">
        <f>HYPERLINK("https://www.ti.com/lit/gpn/TPS2300", "PDF")</f>
        <v>PDF</v>
      </c>
      <c r="D4926" s="5" t="s">
        <v>45108</v>
      </c>
      <c r="E4926" s="5" t="s">
        <v>45109</v>
      </c>
      <c r="F4926" s="5"/>
      <c r="G4926" s="5" t="s">
        <v>45110</v>
      </c>
      <c r="H4926" s="1" t="s">
        <v>45111</v>
      </c>
      <c r="I4926" s="5" t="s">
        <v>45112</v>
      </c>
      <c r="J4926" s="7">
        <v>20</v>
      </c>
      <c r="K4926" s="7">
        <v>41.6</v>
      </c>
      <c r="L4926" s="5" t="s">
        <v>45113</v>
      </c>
      <c r="M4926" s="7">
        <v>1.2</v>
      </c>
      <c r="N4926" s="7">
        <v>0.65</v>
      </c>
      <c r="O4926" s="7">
        <v>1.6579999999999999</v>
      </c>
      <c r="P4926" s="1" t="s">
        <v>45114</v>
      </c>
    </row>
    <row r="4927" spans="1:16" ht="33.4" x14ac:dyDescent="0.3">
      <c r="A4927" s="6" t="str">
        <f>HYPERLINK("https://www.ti.com/product/TPS2301", "TPS2301")</f>
        <v>TPS2301</v>
      </c>
      <c r="B4927" s="5" t="s">
        <v>45115</v>
      </c>
      <c r="C4927" s="6" t="str">
        <f>HYPERLINK("https://www.ti.com/lit/gpn/TPS2301", "PDF")</f>
        <v>PDF</v>
      </c>
      <c r="D4927" s="5" t="s">
        <v>45116</v>
      </c>
      <c r="E4927" s="5" t="s">
        <v>45117</v>
      </c>
      <c r="F4927" s="5"/>
      <c r="G4927" s="5" t="s">
        <v>45118</v>
      </c>
      <c r="H4927" s="1" t="s">
        <v>45119</v>
      </c>
      <c r="I4927" s="5" t="s">
        <v>45120</v>
      </c>
      <c r="J4927" s="7">
        <v>20</v>
      </c>
      <c r="K4927" s="7">
        <v>41.6</v>
      </c>
      <c r="L4927" s="5" t="s">
        <v>45121</v>
      </c>
      <c r="M4927" s="7">
        <v>1.2</v>
      </c>
      <c r="N4927" s="7">
        <v>0.65</v>
      </c>
      <c r="O4927" s="7">
        <v>1.6579999999999999</v>
      </c>
      <c r="P4927" s="1" t="s">
        <v>45122</v>
      </c>
    </row>
    <row r="4928" spans="1:16" ht="33.4" x14ac:dyDescent="0.3">
      <c r="A4928" s="6" t="str">
        <f>HYPERLINK("https://www.ti.com/product/LM2655", "LM2655")</f>
        <v>LM2655</v>
      </c>
      <c r="B4928" s="5" t="s">
        <v>45123</v>
      </c>
      <c r="C4928" s="6" t="str">
        <f>HYPERLINK("https://www.ti.com/lit/gpn/LM2655", "PDF")</f>
        <v>PDF</v>
      </c>
      <c r="D4928" s="5" t="s">
        <v>45124</v>
      </c>
      <c r="E4928" s="5" t="s">
        <v>45125</v>
      </c>
      <c r="F4928" s="5" t="s">
        <v>45126</v>
      </c>
      <c r="G4928" s="5" t="s">
        <v>45127</v>
      </c>
      <c r="H4928" s="1" t="s">
        <v>45128</v>
      </c>
      <c r="I4928" s="5" t="s">
        <v>45129</v>
      </c>
      <c r="J4928" s="7">
        <v>16</v>
      </c>
      <c r="K4928" s="7">
        <v>32</v>
      </c>
      <c r="L4928" s="5" t="s">
        <v>45130</v>
      </c>
      <c r="M4928" s="7">
        <v>1.2</v>
      </c>
      <c r="N4928" s="7">
        <v>0.65</v>
      </c>
      <c r="O4928" s="7">
        <v>1.9950000000000001</v>
      </c>
      <c r="P4928" s="1" t="s">
        <v>45131</v>
      </c>
    </row>
    <row r="4929" spans="1:16" ht="33.4" x14ac:dyDescent="0.3">
      <c r="A4929" s="6" t="str">
        <f>HYPERLINK("https://www.ti.com/product/LM2767", "LM2767")</f>
        <v>LM2767</v>
      </c>
      <c r="B4929" s="5" t="s">
        <v>45132</v>
      </c>
      <c r="C4929" s="6" t="str">
        <f>HYPERLINK("https://www.ti.com/lit/gpn/LM2767", "PDF")</f>
        <v>PDF</v>
      </c>
      <c r="D4929" s="5" t="s">
        <v>45133</v>
      </c>
      <c r="E4929" s="5" t="s">
        <v>45134</v>
      </c>
      <c r="F4929" s="5"/>
      <c r="G4929" s="5" t="s">
        <v>45135</v>
      </c>
      <c r="H4929" s="1" t="s">
        <v>45136</v>
      </c>
      <c r="I4929" s="5" t="s">
        <v>45137</v>
      </c>
      <c r="J4929" s="7">
        <v>5</v>
      </c>
      <c r="K4929" s="7">
        <v>8.1199999999999992</v>
      </c>
      <c r="L4929" s="5" t="s">
        <v>45138</v>
      </c>
      <c r="M4929" s="7">
        <v>1.45</v>
      </c>
      <c r="N4929" s="7">
        <v>0.95</v>
      </c>
      <c r="O4929" s="7">
        <v>0.33</v>
      </c>
      <c r="P4929" s="1" t="s">
        <v>45139</v>
      </c>
    </row>
    <row r="4930" spans="1:16" ht="66.150000000000006" x14ac:dyDescent="0.3">
      <c r="A4930" s="6" t="str">
        <f>HYPERLINK("https://www.ti.com/product/UC1707-SP", "UC1707-SP")</f>
        <v>UC1707-SP</v>
      </c>
      <c r="B4930" s="5" t="s">
        <v>45140</v>
      </c>
      <c r="C4930" s="6" t="str">
        <f>HYPERLINK("https://www.ti.com/lit/gpn/UC1707-SP", "PDF")</f>
        <v>PDF</v>
      </c>
      <c r="D4930" s="5" t="s">
        <v>45141</v>
      </c>
      <c r="E4930" s="5" t="s">
        <v>45142</v>
      </c>
      <c r="F4930" s="5"/>
      <c r="G4930" s="5" t="s">
        <v>45143</v>
      </c>
      <c r="H4930" s="1" t="s">
        <v>45144</v>
      </c>
      <c r="I4930" s="5" t="s">
        <v>45145</v>
      </c>
      <c r="J4930" s="7" t="s">
        <v>45146</v>
      </c>
      <c r="K4930" s="7" t="s">
        <v>45147</v>
      </c>
      <c r="L4930" s="5" t="s">
        <v>45148</v>
      </c>
      <c r="M4930" s="7" t="s">
        <v>45149</v>
      </c>
      <c r="N4930" s="7" t="s">
        <v>45150</v>
      </c>
      <c r="O4930" s="7">
        <v>391.82900000000001</v>
      </c>
      <c r="P4930" s="1" t="s">
        <v>45151</v>
      </c>
    </row>
    <row r="4931" spans="1:16" ht="33.4" x14ac:dyDescent="0.3">
      <c r="A4931" s="6" t="str">
        <f>HYPERLINK("https://www.ti.com/product/UC1823A-SP", "UC1823A-SP")</f>
        <v>UC1823A-SP</v>
      </c>
      <c r="B4931" s="5" t="s">
        <v>45152</v>
      </c>
      <c r="C4931" s="6" t="str">
        <f>HYPERLINK("https://www.ti.com/lit/gpn/UC1823A-SP", "PDF")</f>
        <v>PDF</v>
      </c>
      <c r="D4931" s="5" t="s">
        <v>45153</v>
      </c>
      <c r="E4931" s="5" t="s">
        <v>45154</v>
      </c>
      <c r="F4931" s="5" t="s">
        <v>45155</v>
      </c>
      <c r="G4931" s="5" t="s">
        <v>45156</v>
      </c>
      <c r="H4931" s="1" t="s">
        <v>45157</v>
      </c>
      <c r="I4931" s="5" t="s">
        <v>45158</v>
      </c>
      <c r="J4931" s="7">
        <v>16</v>
      </c>
      <c r="K4931" s="7">
        <v>135.3552</v>
      </c>
      <c r="L4931" s="5" t="s">
        <v>45159</v>
      </c>
      <c r="M4931" s="7">
        <v>5.08</v>
      </c>
      <c r="N4931" s="7">
        <v>2.54</v>
      </c>
      <c r="O4931" s="7">
        <v>311.298</v>
      </c>
      <c r="P4931" s="1" t="s">
        <v>45160</v>
      </c>
    </row>
    <row r="4932" spans="1:16" ht="49.75" x14ac:dyDescent="0.3">
      <c r="A4932" s="6" t="str">
        <f>HYPERLINK("https://www.ti.com/product/UC1825-SP", "UC1825-SP")</f>
        <v>UC1825-SP</v>
      </c>
      <c r="B4932" s="5" t="s">
        <v>45161</v>
      </c>
      <c r="C4932" s="6" t="str">
        <f>HYPERLINK("https://www.ti.com/lit/gpn/UC1825-SP", "PDF")</f>
        <v>PDF</v>
      </c>
      <c r="D4932" s="5" t="s">
        <v>45162</v>
      </c>
      <c r="E4932" s="5" t="s">
        <v>45163</v>
      </c>
      <c r="F4932" s="5" t="s">
        <v>45164</v>
      </c>
      <c r="G4932" s="5" t="s">
        <v>45165</v>
      </c>
      <c r="H4932" s="1" t="s">
        <v>45166</v>
      </c>
      <c r="I4932" s="5" t="s">
        <v>45167</v>
      </c>
      <c r="J4932" s="7" t="s">
        <v>45168</v>
      </c>
      <c r="K4932" s="7" t="s">
        <v>45169</v>
      </c>
      <c r="L4932" s="5" t="s">
        <v>45170</v>
      </c>
      <c r="M4932" s="7" t="s">
        <v>45171</v>
      </c>
      <c r="N4932" s="7" t="s">
        <v>45172</v>
      </c>
      <c r="O4932" s="7">
        <v>521.12300000000005</v>
      </c>
      <c r="P4932" s="1" t="s">
        <v>45173</v>
      </c>
    </row>
    <row r="4933" spans="1:16" ht="66.150000000000006" x14ac:dyDescent="0.3">
      <c r="A4933" s="6" t="str">
        <f>HYPERLINK("https://www.ti.com/product/UC1825A-SP", "UC1825A-SP")</f>
        <v>UC1825A-SP</v>
      </c>
      <c r="B4933" s="5" t="s">
        <v>45174</v>
      </c>
      <c r="C4933" s="6" t="str">
        <f>HYPERLINK("https://www.ti.com/lit/gpn/UC1825A-SP", "PDF")</f>
        <v>PDF</v>
      </c>
      <c r="D4933" s="5" t="s">
        <v>45175</v>
      </c>
      <c r="E4933" s="5" t="s">
        <v>45176</v>
      </c>
      <c r="F4933" s="5" t="s">
        <v>45177</v>
      </c>
      <c r="G4933" s="5" t="s">
        <v>45178</v>
      </c>
      <c r="H4933" s="1" t="s">
        <v>45179</v>
      </c>
      <c r="I4933" s="5" t="s">
        <v>45180</v>
      </c>
      <c r="J4933" s="7" t="s">
        <v>45181</v>
      </c>
      <c r="K4933" s="7" t="s">
        <v>45182</v>
      </c>
      <c r="L4933" s="5" t="s">
        <v>45183</v>
      </c>
      <c r="M4933" s="7" t="s">
        <v>45184</v>
      </c>
      <c r="N4933" s="7" t="s">
        <v>45185</v>
      </c>
      <c r="O4933" s="7">
        <v>589.62199999999996</v>
      </c>
      <c r="P4933" s="1" t="s">
        <v>45186</v>
      </c>
    </row>
    <row r="4934" spans="1:16" ht="49.75" x14ac:dyDescent="0.3">
      <c r="A4934" s="6" t="str">
        <f>HYPERLINK("https://www.ti.com/product/UC1834-SP", "UC1834-SP")</f>
        <v>UC1834-SP</v>
      </c>
      <c r="B4934" s="5" t="s">
        <v>45187</v>
      </c>
      <c r="C4934" s="6" t="str">
        <f>HYPERLINK("https://www.ti.com/lit/gpn/UC1834-SP", "PDF")</f>
        <v>PDF</v>
      </c>
      <c r="D4934" s="5" t="s">
        <v>45188</v>
      </c>
      <c r="E4934" s="5" t="s">
        <v>45189</v>
      </c>
      <c r="F4934" s="5"/>
      <c r="G4934" s="5" t="s">
        <v>45190</v>
      </c>
      <c r="H4934" s="1" t="s">
        <v>45191</v>
      </c>
      <c r="I4934" s="5" t="s">
        <v>45192</v>
      </c>
      <c r="J4934" s="7" t="s">
        <v>45193</v>
      </c>
      <c r="K4934" s="7" t="s">
        <v>45194</v>
      </c>
      <c r="L4934" s="5" t="s">
        <v>45195</v>
      </c>
      <c r="M4934" s="7" t="s">
        <v>45196</v>
      </c>
      <c r="N4934" s="7" t="s">
        <v>45197</v>
      </c>
      <c r="O4934" s="7">
        <v>144.59</v>
      </c>
      <c r="P4934" s="1" t="s">
        <v>45198</v>
      </c>
    </row>
    <row r="4935" spans="1:16" ht="66.150000000000006" x14ac:dyDescent="0.3">
      <c r="A4935" s="6" t="str">
        <f>HYPERLINK("https://www.ti.com/product/UC1843-SP", "UC1843-SP")</f>
        <v>UC1843-SP</v>
      </c>
      <c r="B4935" s="5" t="s">
        <v>45199</v>
      </c>
      <c r="C4935" s="6" t="str">
        <f>HYPERLINK("https://www.ti.com/lit/gpn/UC1843-SP", "PDF")</f>
        <v>PDF</v>
      </c>
      <c r="D4935" s="5" t="s">
        <v>45200</v>
      </c>
      <c r="E4935" s="5" t="s">
        <v>45201</v>
      </c>
      <c r="F4935" s="5" t="s">
        <v>45202</v>
      </c>
      <c r="G4935" s="5" t="s">
        <v>45203</v>
      </c>
      <c r="H4935" s="1" t="s">
        <v>45204</v>
      </c>
      <c r="I4935" s="5" t="s">
        <v>45205</v>
      </c>
      <c r="J4935" s="7" t="s">
        <v>45206</v>
      </c>
      <c r="K4935" s="7" t="s">
        <v>45207</v>
      </c>
      <c r="L4935" s="5" t="s">
        <v>45208</v>
      </c>
      <c r="M4935" s="7" t="s">
        <v>45209</v>
      </c>
      <c r="N4935" s="7" t="s">
        <v>45210</v>
      </c>
      <c r="O4935" s="7">
        <v>437.52199999999999</v>
      </c>
      <c r="P4935" s="1" t="s">
        <v>45211</v>
      </c>
    </row>
    <row r="4936" spans="1:16" ht="66.150000000000006" x14ac:dyDescent="0.3">
      <c r="A4936" s="6" t="str">
        <f>HYPERLINK("https://www.ti.com/product/UC1843A-SP", "UC1843A-SP")</f>
        <v>UC1843A-SP</v>
      </c>
      <c r="B4936" s="5" t="s">
        <v>45212</v>
      </c>
      <c r="C4936" s="6" t="str">
        <f>HYPERLINK("https://www.ti.com/lit/gpn/UC1843A-SP", "PDF")</f>
        <v>PDF</v>
      </c>
      <c r="D4936" s="5" t="s">
        <v>45213</v>
      </c>
      <c r="E4936" s="5" t="s">
        <v>45214</v>
      </c>
      <c r="F4936" s="5" t="s">
        <v>45215</v>
      </c>
      <c r="G4936" s="5" t="s">
        <v>45216</v>
      </c>
      <c r="H4936" s="1" t="s">
        <v>45217</v>
      </c>
      <c r="I4936" s="5" t="s">
        <v>45218</v>
      </c>
      <c r="J4936" s="7" t="s">
        <v>45219</v>
      </c>
      <c r="K4936" s="7" t="s">
        <v>45220</v>
      </c>
      <c r="L4936" s="5" t="s">
        <v>45221</v>
      </c>
      <c r="M4936" s="7" t="s">
        <v>45222</v>
      </c>
      <c r="N4936" s="7" t="s">
        <v>45223</v>
      </c>
      <c r="O4936" s="7">
        <v>375.053</v>
      </c>
      <c r="P4936" s="1" t="s">
        <v>45224</v>
      </c>
    </row>
    <row r="4937" spans="1:16" ht="49.75" x14ac:dyDescent="0.3">
      <c r="A4937" s="6" t="str">
        <f>HYPERLINK("https://www.ti.com/product/UC1845-SP", "UC1845-SP")</f>
        <v>UC1845-SP</v>
      </c>
      <c r="B4937" s="5" t="s">
        <v>45225</v>
      </c>
      <c r="C4937" s="6" t="str">
        <f>HYPERLINK("https://www.ti.com/lit/gpn/UC1845-SP", "PDF")</f>
        <v>PDF</v>
      </c>
      <c r="D4937" s="5" t="s">
        <v>45226</v>
      </c>
      <c r="E4937" s="5" t="s">
        <v>45227</v>
      </c>
      <c r="F4937" s="5" t="s">
        <v>45228</v>
      </c>
      <c r="G4937" s="5" t="s">
        <v>45229</v>
      </c>
      <c r="H4937" s="1" t="s">
        <v>45230</v>
      </c>
      <c r="I4937" s="5" t="s">
        <v>45231</v>
      </c>
      <c r="J4937" s="7" t="s">
        <v>45232</v>
      </c>
      <c r="K4937" s="7" t="s">
        <v>45233</v>
      </c>
      <c r="L4937" s="5" t="s">
        <v>45234</v>
      </c>
      <c r="M4937" s="7" t="s">
        <v>45235</v>
      </c>
      <c r="N4937" s="7" t="s">
        <v>45236</v>
      </c>
      <c r="O4937" s="7">
        <v>176.738</v>
      </c>
      <c r="P4937" s="1" t="s">
        <v>45237</v>
      </c>
    </row>
    <row r="4938" spans="1:16" ht="66.150000000000006" x14ac:dyDescent="0.3">
      <c r="A4938" s="6" t="str">
        <f>HYPERLINK("https://www.ti.com/product/UC1845A-SP", "UC1845A-SP")</f>
        <v>UC1845A-SP</v>
      </c>
      <c r="B4938" s="5" t="s">
        <v>45238</v>
      </c>
      <c r="C4938" s="6" t="str">
        <f>HYPERLINK("https://www.ti.com/lit/gpn/UC1845A-SP", "PDF")</f>
        <v>PDF</v>
      </c>
      <c r="D4938" s="5" t="s">
        <v>45239</v>
      </c>
      <c r="E4938" s="5" t="s">
        <v>45240</v>
      </c>
      <c r="F4938" s="5" t="s">
        <v>45241</v>
      </c>
      <c r="G4938" s="5" t="s">
        <v>45242</v>
      </c>
      <c r="H4938" s="1" t="s">
        <v>45243</v>
      </c>
      <c r="I4938" s="5" t="s">
        <v>45244</v>
      </c>
      <c r="J4938" s="7" t="s">
        <v>45245</v>
      </c>
      <c r="K4938" s="7" t="s">
        <v>45246</v>
      </c>
      <c r="L4938" s="5" t="s">
        <v>45247</v>
      </c>
      <c r="M4938" s="7" t="s">
        <v>45248</v>
      </c>
      <c r="N4938" s="7" t="s">
        <v>45249</v>
      </c>
      <c r="O4938" s="7">
        <v>334.49400000000003</v>
      </c>
      <c r="P4938" s="1" t="s">
        <v>45250</v>
      </c>
    </row>
    <row r="4939" spans="1:16" ht="82.5" x14ac:dyDescent="0.3">
      <c r="A4939" s="6" t="str">
        <f>HYPERLINK("https://www.ti.com/product/UC1846-SP", "UC1846-SP")</f>
        <v>UC1846-SP</v>
      </c>
      <c r="B4939" s="5" t="s">
        <v>45251</v>
      </c>
      <c r="C4939" s="6" t="str">
        <f>HYPERLINK("https://www.ti.com/lit/gpn/UC1846-SP", "PDF")</f>
        <v>PDF</v>
      </c>
      <c r="D4939" s="5" t="s">
        <v>45252</v>
      </c>
      <c r="E4939" s="5" t="s">
        <v>45253</v>
      </c>
      <c r="F4939" s="5" t="s">
        <v>45254</v>
      </c>
      <c r="G4939" s="5" t="s">
        <v>45255</v>
      </c>
      <c r="H4939" s="1" t="s">
        <v>45256</v>
      </c>
      <c r="I4939" s="5" t="s">
        <v>45257</v>
      </c>
      <c r="J4939" s="7" t="s">
        <v>45258</v>
      </c>
      <c r="K4939" s="7" t="s">
        <v>45259</v>
      </c>
      <c r="L4939" s="5" t="s">
        <v>45260</v>
      </c>
      <c r="M4939" s="7" t="s">
        <v>45261</v>
      </c>
      <c r="N4939" s="7" t="s">
        <v>45262</v>
      </c>
      <c r="O4939" s="7">
        <v>383.06599999999997</v>
      </c>
      <c r="P4939" s="1" t="s">
        <v>45263</v>
      </c>
    </row>
    <row r="4940" spans="1:16" ht="33.4" x14ac:dyDescent="0.3">
      <c r="A4940" s="6" t="str">
        <f>HYPERLINK("https://www.ti.com/product/LM9071", "LM9071")</f>
        <v>LM9071</v>
      </c>
      <c r="B4940" s="5" t="s">
        <v>45264</v>
      </c>
      <c r="C4940" s="6" t="str">
        <f>HYPERLINK("https://www.ti.com/lit/gpn/LM9071", "PDF")</f>
        <v>PDF</v>
      </c>
      <c r="D4940" s="5" t="s">
        <v>45265</v>
      </c>
      <c r="E4940" s="5" t="s">
        <v>45266</v>
      </c>
      <c r="F4940" s="5"/>
      <c r="G4940" s="5" t="s">
        <v>45267</v>
      </c>
      <c r="H4940" s="1" t="s">
        <v>45268</v>
      </c>
      <c r="I4940" s="5" t="s">
        <v>45269</v>
      </c>
      <c r="J4940" s="7">
        <v>5</v>
      </c>
      <c r="K4940" s="7">
        <v>154.83840000000001</v>
      </c>
      <c r="L4940" s="5" t="s">
        <v>45270</v>
      </c>
      <c r="M4940" s="7">
        <v>4.83</v>
      </c>
      <c r="N4940" s="7">
        <v>1.7</v>
      </c>
      <c r="O4940" s="7">
        <v>1.24</v>
      </c>
      <c r="P4940" s="1" t="s">
        <v>45271</v>
      </c>
    </row>
    <row r="4941" spans="1:16" ht="33.4" x14ac:dyDescent="0.3">
      <c r="A4941" s="6" t="str">
        <f>HYPERLINK("https://www.ti.com/product/LP2985LV-N", "LP2985LV-N")</f>
        <v>LP2985LV-N</v>
      </c>
      <c r="B4941" s="5" t="s">
        <v>45272</v>
      </c>
      <c r="C4941" s="6" t="str">
        <f>HYPERLINK("https://www.ti.com/lit/gpn/LP2985LV-N", "PDF")</f>
        <v>PDF</v>
      </c>
      <c r="D4941" s="5" t="s">
        <v>45273</v>
      </c>
      <c r="E4941" s="5" t="s">
        <v>45274</v>
      </c>
      <c r="F4941" s="5"/>
      <c r="G4941" s="5" t="s">
        <v>45275</v>
      </c>
      <c r="H4941" s="1" t="s">
        <v>45276</v>
      </c>
      <c r="I4941" s="5" t="s">
        <v>45277</v>
      </c>
      <c r="J4941" s="7">
        <v>5</v>
      </c>
      <c r="K4941" s="7">
        <v>8.1199999999999992</v>
      </c>
      <c r="L4941" s="5" t="s">
        <v>45278</v>
      </c>
      <c r="M4941" s="7">
        <v>1.45</v>
      </c>
      <c r="N4941" s="7">
        <v>0.95</v>
      </c>
      <c r="O4941" s="7">
        <v>0.27700000000000002</v>
      </c>
      <c r="P4941" s="1" t="s">
        <v>45279</v>
      </c>
    </row>
    <row r="4942" spans="1:16" ht="66.150000000000006" x14ac:dyDescent="0.3">
      <c r="A4942" s="6" t="str">
        <f>HYPERLINK("https://www.ti.com/product/LM2677", "LM2677")</f>
        <v>LM2677</v>
      </c>
      <c r="B4942" s="5" t="s">
        <v>45280</v>
      </c>
      <c r="C4942" s="6" t="str">
        <f>HYPERLINK("https://www.ti.com/lit/gpn/LM2677", "PDF")</f>
        <v>PDF</v>
      </c>
      <c r="D4942" s="5" t="s">
        <v>45281</v>
      </c>
      <c r="E4942" s="5" t="s">
        <v>45282</v>
      </c>
      <c r="F4942" s="5" t="s">
        <v>45283</v>
      </c>
      <c r="G4942" s="5" t="s">
        <v>45284</v>
      </c>
      <c r="H4942" s="1" t="s">
        <v>45285</v>
      </c>
      <c r="I4942" s="5" t="s">
        <v>45286</v>
      </c>
      <c r="J4942" s="7" t="s">
        <v>45287</v>
      </c>
      <c r="K4942" s="7" t="s">
        <v>45288</v>
      </c>
      <c r="L4942" s="5" t="s">
        <v>45289</v>
      </c>
      <c r="M4942" s="7" t="s">
        <v>45290</v>
      </c>
      <c r="N4942" s="7" t="s">
        <v>45291</v>
      </c>
      <c r="O4942" s="7">
        <v>3.08</v>
      </c>
      <c r="P4942" s="1" t="s">
        <v>45292</v>
      </c>
    </row>
    <row r="4943" spans="1:16" ht="49.75" x14ac:dyDescent="0.3">
      <c r="A4943" s="6" t="str">
        <f>HYPERLINK("https://www.ti.com/product/DCP020503", "DCP020503")</f>
        <v>DCP020503</v>
      </c>
      <c r="B4943" s="5" t="s">
        <v>45293</v>
      </c>
      <c r="C4943" s="6" t="str">
        <f>HYPERLINK("https://www.ti.com/lit/gpn/DCP020503", "PDF")</f>
        <v>PDF</v>
      </c>
      <c r="D4943" s="5" t="s">
        <v>45294</v>
      </c>
      <c r="E4943" s="5" t="s">
        <v>45295</v>
      </c>
      <c r="F4943" s="5" t="s">
        <v>45296</v>
      </c>
      <c r="G4943" s="5" t="s">
        <v>45297</v>
      </c>
      <c r="H4943" s="1" t="s">
        <v>45298</v>
      </c>
      <c r="I4943" s="5" t="s">
        <v>45299</v>
      </c>
      <c r="J4943" s="7" t="s">
        <v>45300</v>
      </c>
      <c r="K4943" s="7" t="s">
        <v>45301</v>
      </c>
      <c r="L4943" s="5" t="s">
        <v>45302</v>
      </c>
      <c r="M4943" s="7" t="s">
        <v>45303</v>
      </c>
      <c r="N4943" s="7" t="s">
        <v>45304</v>
      </c>
      <c r="O4943" s="7">
        <v>8.3070000000000004</v>
      </c>
      <c r="P4943" s="1" t="s">
        <v>45305</v>
      </c>
    </row>
    <row r="4944" spans="1:16" ht="49.75" x14ac:dyDescent="0.3">
      <c r="A4944" s="6" t="str">
        <f>HYPERLINK("https://www.ti.com/product/TL1431M", "TL1431M")</f>
        <v>TL1431M</v>
      </c>
      <c r="B4944" s="5" t="s">
        <v>45306</v>
      </c>
      <c r="C4944" s="6" t="str">
        <f>HYPERLINK("https://www.ti.com/lit/gpn/TL1431M", "PDF")</f>
        <v>PDF</v>
      </c>
      <c r="D4944" s="5" t="s">
        <v>45307</v>
      </c>
      <c r="E4944" s="5" t="s">
        <v>45308</v>
      </c>
      <c r="F4944" s="5"/>
      <c r="G4944" s="5" t="s">
        <v>45309</v>
      </c>
      <c r="H4944" s="1" t="s">
        <v>45310</v>
      </c>
      <c r="I4944" s="5" t="s">
        <v>45311</v>
      </c>
      <c r="J4944" s="7" t="s">
        <v>45312</v>
      </c>
      <c r="K4944" s="7" t="s">
        <v>45313</v>
      </c>
      <c r="L4944" s="5" t="s">
        <v>45314</v>
      </c>
      <c r="M4944" s="7" t="s">
        <v>45315</v>
      </c>
      <c r="N4944" s="7" t="s">
        <v>45316</v>
      </c>
      <c r="O4944" s="7">
        <v>22.029</v>
      </c>
      <c r="P4944" s="1" t="s">
        <v>45317</v>
      </c>
    </row>
    <row r="4945" spans="1:16" ht="33.4" x14ac:dyDescent="0.3">
      <c r="A4945" s="6" t="str">
        <f>HYPERLINK("https://www.ti.com/product/TPS3820", "TPS3820")</f>
        <v>TPS3820</v>
      </c>
      <c r="B4945" s="5" t="s">
        <v>45318</v>
      </c>
      <c r="C4945" s="6" t="str">
        <f>HYPERLINK("https://www.ti.com/lit/gpn/TPS3820", "PDF")</f>
        <v>PDF</v>
      </c>
      <c r="D4945" s="5" t="s">
        <v>45319</v>
      </c>
      <c r="E4945" s="5" t="s">
        <v>45320</v>
      </c>
      <c r="F4945" s="5"/>
      <c r="G4945" s="5" t="s">
        <v>45321</v>
      </c>
      <c r="H4945" s="1" t="s">
        <v>45322</v>
      </c>
      <c r="I4945" s="5" t="s">
        <v>45323</v>
      </c>
      <c r="J4945" s="7">
        <v>5</v>
      </c>
      <c r="K4945" s="7">
        <v>8.1199999999999992</v>
      </c>
      <c r="L4945" s="5" t="s">
        <v>45324</v>
      </c>
      <c r="M4945" s="7">
        <v>1.45</v>
      </c>
      <c r="N4945" s="7">
        <v>0.95</v>
      </c>
      <c r="O4945" s="7">
        <v>0.40500000000000003</v>
      </c>
      <c r="P4945" s="1" t="s">
        <v>45325</v>
      </c>
    </row>
    <row r="4946" spans="1:16" ht="17.05" x14ac:dyDescent="0.3">
      <c r="A4946" s="6" t="str">
        <f>HYPERLINK("https://www.ti.com/product/TPS3825", "TPS3825")</f>
        <v>TPS3825</v>
      </c>
      <c r="B4946" s="5" t="s">
        <v>45326</v>
      </c>
      <c r="C4946" s="6" t="str">
        <f>HYPERLINK("https://www.ti.com/lit/gpn/TPS3825", "PDF")</f>
        <v>PDF</v>
      </c>
      <c r="D4946" s="5" t="s">
        <v>45327</v>
      </c>
      <c r="E4946" s="5" t="s">
        <v>45328</v>
      </c>
      <c r="F4946" s="5"/>
      <c r="G4946" s="5" t="s">
        <v>45329</v>
      </c>
      <c r="H4946" s="1" t="s">
        <v>45330</v>
      </c>
      <c r="I4946" s="5" t="s">
        <v>45331</v>
      </c>
      <c r="J4946" s="7">
        <v>5</v>
      </c>
      <c r="K4946" s="7">
        <v>8.1199999999999992</v>
      </c>
      <c r="L4946" s="5" t="s">
        <v>45332</v>
      </c>
      <c r="M4946" s="7">
        <v>1.45</v>
      </c>
      <c r="N4946" s="7">
        <v>0.95</v>
      </c>
      <c r="O4946" s="7">
        <v>0.439</v>
      </c>
      <c r="P4946" s="1" t="s">
        <v>45333</v>
      </c>
    </row>
    <row r="4947" spans="1:16" ht="17.05" x14ac:dyDescent="0.3">
      <c r="A4947" s="6" t="str">
        <f>HYPERLINK("https://www.ti.com/product/TPS3828", "TPS3828")</f>
        <v>TPS3828</v>
      </c>
      <c r="B4947" s="5" t="s">
        <v>45334</v>
      </c>
      <c r="C4947" s="6" t="str">
        <f>HYPERLINK("https://www.ti.com/lit/gpn/TPS3828", "PDF")</f>
        <v>PDF</v>
      </c>
      <c r="D4947" s="5" t="s">
        <v>45335</v>
      </c>
      <c r="E4947" s="5" t="s">
        <v>45336</v>
      </c>
      <c r="F4947" s="5"/>
      <c r="G4947" s="5" t="s">
        <v>45337</v>
      </c>
      <c r="H4947" s="1" t="s">
        <v>45338</v>
      </c>
      <c r="I4947" s="5" t="s">
        <v>45339</v>
      </c>
      <c r="J4947" s="7">
        <v>5</v>
      </c>
      <c r="K4947" s="7">
        <v>8.1199999999999992</v>
      </c>
      <c r="L4947" s="5" t="s">
        <v>45340</v>
      </c>
      <c r="M4947" s="7">
        <v>1.45</v>
      </c>
      <c r="N4947" s="7">
        <v>0.95</v>
      </c>
      <c r="O4947" s="7">
        <v>0.21</v>
      </c>
      <c r="P4947" s="1" t="s">
        <v>45341</v>
      </c>
    </row>
    <row r="4948" spans="1:16" ht="49.75" x14ac:dyDescent="0.3">
      <c r="A4948" s="6" t="str">
        <f>HYPERLINK("https://www.ti.com/product/LM136A-2.5QML-SP", "LM136A-2.5QML-SP")</f>
        <v>LM136A-2.5QML-SP</v>
      </c>
      <c r="B4948" s="5" t="s">
        <v>45342</v>
      </c>
      <c r="C4948" s="6" t="str">
        <f>HYPERLINK("https://www.ti.com/lit/gpn/LM136A-2.5QML-SP", "PDF")</f>
        <v>PDF</v>
      </c>
      <c r="D4948" s="5" t="s">
        <v>45343</v>
      </c>
      <c r="E4948" s="5" t="s">
        <v>45344</v>
      </c>
      <c r="F4948" s="5"/>
      <c r="G4948" s="5" t="s">
        <v>45345</v>
      </c>
      <c r="H4948" s="1" t="s">
        <v>45346</v>
      </c>
      <c r="I4948" s="5" t="s">
        <v>45347</v>
      </c>
      <c r="J4948" s="7" t="s">
        <v>45348</v>
      </c>
      <c r="K4948" s="7" t="s">
        <v>45349</v>
      </c>
      <c r="L4948" s="5" t="s">
        <v>45350</v>
      </c>
      <c r="M4948" s="7" t="s">
        <v>45351</v>
      </c>
      <c r="N4948" s="7" t="s">
        <v>45352</v>
      </c>
      <c r="O4948" s="7">
        <v>460.26799999999997</v>
      </c>
      <c r="P4948" s="1" t="s">
        <v>45353</v>
      </c>
    </row>
    <row r="4949" spans="1:16" ht="33.4" x14ac:dyDescent="0.3">
      <c r="A4949" s="6" t="str">
        <f>HYPERLINK("https://www.ti.com/product/LM2695", "LM2695")</f>
        <v>LM2695</v>
      </c>
      <c r="B4949" s="5" t="s">
        <v>45354</v>
      </c>
      <c r="C4949" s="6" t="str">
        <f>HYPERLINK("https://www.ti.com/lit/gpn/LM2695", "PDF")</f>
        <v>PDF</v>
      </c>
      <c r="D4949" s="5" t="s">
        <v>45355</v>
      </c>
      <c r="E4949" s="5" t="s">
        <v>45356</v>
      </c>
      <c r="F4949" s="5" t="s">
        <v>45357</v>
      </c>
      <c r="G4949" s="5" t="s">
        <v>45358</v>
      </c>
      <c r="H4949" s="1" t="s">
        <v>45359</v>
      </c>
      <c r="I4949" s="5" t="s">
        <v>45360</v>
      </c>
      <c r="J4949" s="7" t="s">
        <v>45361</v>
      </c>
      <c r="K4949" s="7" t="s">
        <v>45362</v>
      </c>
      <c r="L4949" s="5" t="s">
        <v>45363</v>
      </c>
      <c r="M4949" s="7" t="s">
        <v>45364</v>
      </c>
      <c r="N4949" s="7" t="s">
        <v>45365</v>
      </c>
      <c r="O4949" s="7">
        <v>1.5580000000000001</v>
      </c>
      <c r="P4949" s="1" t="s">
        <v>45366</v>
      </c>
    </row>
    <row r="4950" spans="1:16" ht="49.75" x14ac:dyDescent="0.3">
      <c r="A4950" s="6" t="str">
        <f>HYPERLINK("https://www.ti.com/product/DCP020505", "DCP020505")</f>
        <v>DCP020505</v>
      </c>
      <c r="B4950" s="5" t="s">
        <v>45367</v>
      </c>
      <c r="C4950" s="6" t="str">
        <f>HYPERLINK("https://www.ti.com/lit/gpn/DCP020505", "PDF")</f>
        <v>PDF</v>
      </c>
      <c r="D4950" s="5" t="s">
        <v>45368</v>
      </c>
      <c r="E4950" s="5" t="s">
        <v>45369</v>
      </c>
      <c r="F4950" s="5" t="s">
        <v>45370</v>
      </c>
      <c r="G4950" s="5" t="s">
        <v>45371</v>
      </c>
      <c r="H4950" s="1" t="s">
        <v>45372</v>
      </c>
      <c r="I4950" s="5" t="s">
        <v>45373</v>
      </c>
      <c r="J4950" s="7" t="s">
        <v>45374</v>
      </c>
      <c r="K4950" s="7" t="s">
        <v>45375</v>
      </c>
      <c r="L4950" s="5" t="s">
        <v>45376</v>
      </c>
      <c r="M4950" s="7" t="s">
        <v>45377</v>
      </c>
      <c r="N4950" s="7" t="s">
        <v>45378</v>
      </c>
      <c r="O4950" s="7">
        <v>8.4529999999999994</v>
      </c>
      <c r="P4950" s="1" t="s">
        <v>45379</v>
      </c>
    </row>
    <row r="4951" spans="1:16" ht="49.75" x14ac:dyDescent="0.3">
      <c r="A4951" s="6" t="str">
        <f>HYPERLINK("https://www.ti.com/product/DCP020507", "DCP020507")</f>
        <v>DCP020507</v>
      </c>
      <c r="B4951" s="5" t="s">
        <v>45380</v>
      </c>
      <c r="C4951" s="6" t="str">
        <f>HYPERLINK("https://www.ti.com/lit/gpn/DCP020507", "PDF")</f>
        <v>PDF</v>
      </c>
      <c r="D4951" s="5" t="s">
        <v>45381</v>
      </c>
      <c r="E4951" s="5" t="s">
        <v>45382</v>
      </c>
      <c r="F4951" s="5" t="s">
        <v>45383</v>
      </c>
      <c r="G4951" s="5" t="s">
        <v>45384</v>
      </c>
      <c r="H4951" s="1" t="s">
        <v>45385</v>
      </c>
      <c r="I4951" s="5" t="s">
        <v>45386</v>
      </c>
      <c r="J4951" s="7" t="s">
        <v>45387</v>
      </c>
      <c r="K4951" s="7" t="s">
        <v>45388</v>
      </c>
      <c r="L4951" s="5" t="s">
        <v>45389</v>
      </c>
      <c r="M4951" s="7" t="s">
        <v>45390</v>
      </c>
      <c r="N4951" s="7" t="s">
        <v>45391</v>
      </c>
      <c r="O4951" s="7">
        <v>7.9790000000000001</v>
      </c>
      <c r="P4951" s="1" t="s">
        <v>45392</v>
      </c>
    </row>
    <row r="4952" spans="1:16" ht="49.75" x14ac:dyDescent="0.3">
      <c r="A4952" s="6" t="str">
        <f>HYPERLINK("https://www.ti.com/product/DCP020509", "DCP020509")</f>
        <v>DCP020509</v>
      </c>
      <c r="B4952" s="5" t="s">
        <v>45393</v>
      </c>
      <c r="C4952" s="6" t="str">
        <f>HYPERLINK("https://www.ti.com/lit/gpn/DCP020509", "PDF")</f>
        <v>PDF</v>
      </c>
      <c r="D4952" s="5" t="s">
        <v>45394</v>
      </c>
      <c r="E4952" s="5" t="s">
        <v>45395</v>
      </c>
      <c r="F4952" s="5" t="s">
        <v>45396</v>
      </c>
      <c r="G4952" s="5" t="s">
        <v>45397</v>
      </c>
      <c r="H4952" s="1" t="s">
        <v>45398</v>
      </c>
      <c r="I4952" s="5" t="s">
        <v>45399</v>
      </c>
      <c r="J4952" s="7" t="s">
        <v>45400</v>
      </c>
      <c r="K4952" s="7" t="s">
        <v>45401</v>
      </c>
      <c r="L4952" s="5" t="s">
        <v>45402</v>
      </c>
      <c r="M4952" s="7" t="s">
        <v>45403</v>
      </c>
      <c r="N4952" s="7" t="s">
        <v>45404</v>
      </c>
      <c r="O4952" s="7">
        <v>9.5359999999999996</v>
      </c>
      <c r="P4952" s="1" t="s">
        <v>45405</v>
      </c>
    </row>
    <row r="4953" spans="1:16" ht="49.75" x14ac:dyDescent="0.3">
      <c r="A4953" s="6" t="str">
        <f>HYPERLINK("https://www.ti.com/product/DCP020515D", "DCP020515D")</f>
        <v>DCP020515D</v>
      </c>
      <c r="B4953" s="5" t="s">
        <v>45406</v>
      </c>
      <c r="C4953" s="6" t="str">
        <f>HYPERLINK("https://www.ti.com/lit/gpn/DCP020515D", "PDF")</f>
        <v>PDF</v>
      </c>
      <c r="D4953" s="5" t="s">
        <v>45407</v>
      </c>
      <c r="E4953" s="5" t="s">
        <v>45408</v>
      </c>
      <c r="F4953" s="5" t="s">
        <v>45409</v>
      </c>
      <c r="G4953" s="5" t="s">
        <v>45410</v>
      </c>
      <c r="H4953" s="1" t="s">
        <v>45411</v>
      </c>
      <c r="I4953" s="5" t="s">
        <v>45412</v>
      </c>
      <c r="J4953" s="7" t="s">
        <v>45413</v>
      </c>
      <c r="K4953" s="7" t="s">
        <v>45414</v>
      </c>
      <c r="L4953" s="5" t="s">
        <v>45415</v>
      </c>
      <c r="M4953" s="7" t="s">
        <v>45416</v>
      </c>
      <c r="N4953" s="7" t="s">
        <v>45417</v>
      </c>
      <c r="O4953" s="7">
        <v>9.4190000000000005</v>
      </c>
      <c r="P4953" s="1" t="s">
        <v>45418</v>
      </c>
    </row>
    <row r="4954" spans="1:16" ht="49.75" x14ac:dyDescent="0.3">
      <c r="A4954" s="6" t="str">
        <f>HYPERLINK("https://www.ti.com/product/DCP021205", "DCP021205")</f>
        <v>DCP021205</v>
      </c>
      <c r="B4954" s="5" t="s">
        <v>45419</v>
      </c>
      <c r="C4954" s="6" t="str">
        <f>HYPERLINK("https://www.ti.com/lit/gpn/DCP021205", "PDF")</f>
        <v>PDF</v>
      </c>
      <c r="D4954" s="5" t="s">
        <v>45420</v>
      </c>
      <c r="E4954" s="5" t="s">
        <v>45421</v>
      </c>
      <c r="F4954" s="5" t="s">
        <v>45422</v>
      </c>
      <c r="G4954" s="5" t="s">
        <v>45423</v>
      </c>
      <c r="H4954" s="1" t="s">
        <v>45424</v>
      </c>
      <c r="I4954" s="5" t="s">
        <v>45425</v>
      </c>
      <c r="J4954" s="7" t="s">
        <v>45426</v>
      </c>
      <c r="K4954" s="7" t="s">
        <v>45427</v>
      </c>
      <c r="L4954" s="5" t="s">
        <v>45428</v>
      </c>
      <c r="M4954" s="7" t="s">
        <v>45429</v>
      </c>
      <c r="N4954" s="7" t="s">
        <v>45430</v>
      </c>
      <c r="O4954" s="7">
        <v>9.3149999999999995</v>
      </c>
      <c r="P4954" s="1" t="s">
        <v>45431</v>
      </c>
    </row>
    <row r="4955" spans="1:16" ht="49.75" x14ac:dyDescent="0.3">
      <c r="A4955" s="6" t="str">
        <f>HYPERLINK("https://www.ti.com/product/DCP021515", "DCP021515")</f>
        <v>DCP021515</v>
      </c>
      <c r="B4955" s="5" t="s">
        <v>45432</v>
      </c>
      <c r="C4955" s="6" t="str">
        <f>HYPERLINK("https://www.ti.com/lit/gpn/DCP021515", "PDF")</f>
        <v>PDF</v>
      </c>
      <c r="D4955" s="5" t="s">
        <v>45433</v>
      </c>
      <c r="E4955" s="5" t="s">
        <v>45434</v>
      </c>
      <c r="F4955" s="5" t="s">
        <v>45435</v>
      </c>
      <c r="G4955" s="5" t="s">
        <v>45436</v>
      </c>
      <c r="H4955" s="1" t="s">
        <v>45437</v>
      </c>
      <c r="I4955" s="5" t="s">
        <v>45438</v>
      </c>
      <c r="J4955" s="7" t="s">
        <v>45439</v>
      </c>
      <c r="K4955" s="7" t="s">
        <v>45440</v>
      </c>
      <c r="L4955" s="5" t="s">
        <v>45441</v>
      </c>
      <c r="M4955" s="7" t="s">
        <v>45442</v>
      </c>
      <c r="N4955" s="7" t="s">
        <v>45443</v>
      </c>
      <c r="O4955" s="7">
        <v>11.5</v>
      </c>
      <c r="P4955" s="1" t="s">
        <v>45444</v>
      </c>
    </row>
    <row r="4956" spans="1:16" ht="49.75" x14ac:dyDescent="0.3">
      <c r="A4956" s="6" t="str">
        <f>HYPERLINK("https://www.ti.com/product/DCP022405D", "DCP022405D")</f>
        <v>DCP022405D</v>
      </c>
      <c r="B4956" s="5" t="s">
        <v>45445</v>
      </c>
      <c r="C4956" s="6" t="str">
        <f>HYPERLINK("https://www.ti.com/lit/gpn/DCP022405D", "PDF")</f>
        <v>PDF</v>
      </c>
      <c r="D4956" s="5" t="s">
        <v>45446</v>
      </c>
      <c r="E4956" s="5" t="s">
        <v>45447</v>
      </c>
      <c r="F4956" s="5" t="s">
        <v>45448</v>
      </c>
      <c r="G4956" s="5" t="s">
        <v>45449</v>
      </c>
      <c r="H4956" s="1" t="s">
        <v>45450</v>
      </c>
      <c r="I4956" s="5" t="s">
        <v>45451</v>
      </c>
      <c r="J4956" s="7" t="s">
        <v>45452</v>
      </c>
      <c r="K4956" s="7" t="s">
        <v>45453</v>
      </c>
      <c r="L4956" s="5" t="s">
        <v>45454</v>
      </c>
      <c r="M4956" s="7" t="s">
        <v>45455</v>
      </c>
      <c r="N4956" s="7" t="s">
        <v>45456</v>
      </c>
      <c r="O4956" s="7">
        <v>10.53</v>
      </c>
      <c r="P4956" s="1" t="s">
        <v>45457</v>
      </c>
    </row>
    <row r="4957" spans="1:16" ht="33.4" x14ac:dyDescent="0.3">
      <c r="A4957" s="6" t="str">
        <f>HYPERLINK("https://www.ti.com/product/LM2682", "LM2682")</f>
        <v>LM2682</v>
      </c>
      <c r="B4957" s="5" t="s">
        <v>45458</v>
      </c>
      <c r="C4957" s="6" t="str">
        <f>HYPERLINK("https://www.ti.com/lit/gpn/LM2682", "PDF")</f>
        <v>PDF</v>
      </c>
      <c r="D4957" s="5" t="s">
        <v>45459</v>
      </c>
      <c r="E4957" s="5" t="s">
        <v>45460</v>
      </c>
      <c r="F4957" s="5"/>
      <c r="G4957" s="5" t="s">
        <v>45461</v>
      </c>
      <c r="H4957" s="1" t="s">
        <v>45462</v>
      </c>
      <c r="I4957" s="5" t="s">
        <v>45463</v>
      </c>
      <c r="J4957" s="7">
        <v>8</v>
      </c>
      <c r="K4957" s="7">
        <v>14.7</v>
      </c>
      <c r="L4957" s="5" t="s">
        <v>45464</v>
      </c>
      <c r="M4957" s="7">
        <v>1.1000000000000001</v>
      </c>
      <c r="N4957" s="7">
        <v>0.65</v>
      </c>
      <c r="O4957" s="7">
        <v>0.73099999999999998</v>
      </c>
      <c r="P4957" s="1" t="s">
        <v>45465</v>
      </c>
    </row>
    <row r="4958" spans="1:16" ht="33.4" x14ac:dyDescent="0.3">
      <c r="A4958" s="6" t="str">
        <f>HYPERLINK("https://www.ti.com/product/LP3963", "LP3963")</f>
        <v>LP3963</v>
      </c>
      <c r="B4958" s="5" t="s">
        <v>45466</v>
      </c>
      <c r="C4958" s="6" t="str">
        <f>HYPERLINK("https://www.ti.com/lit/gpn/LP3963", "PDF")</f>
        <v>PDF</v>
      </c>
      <c r="D4958" s="5" t="s">
        <v>45467</v>
      </c>
      <c r="E4958" s="5" t="s">
        <v>45468</v>
      </c>
      <c r="F4958" s="5"/>
      <c r="G4958" s="5" t="s">
        <v>45469</v>
      </c>
      <c r="H4958" s="1" t="s">
        <v>45470</v>
      </c>
      <c r="I4958" s="5" t="s">
        <v>45471</v>
      </c>
      <c r="J4958" s="7">
        <v>5</v>
      </c>
      <c r="K4958" s="7">
        <v>154.83840000000001</v>
      </c>
      <c r="L4958" s="5" t="s">
        <v>45472</v>
      </c>
      <c r="M4958" s="7">
        <v>4.83</v>
      </c>
      <c r="N4958" s="7">
        <v>1.7</v>
      </c>
      <c r="O4958" s="7">
        <v>2.34</v>
      </c>
      <c r="P4958" s="1" t="s">
        <v>45473</v>
      </c>
    </row>
    <row r="4959" spans="1:16" ht="49.75" x14ac:dyDescent="0.3">
      <c r="A4959" s="6" t="str">
        <f>HYPERLINK("https://www.ti.com/product/LP3966", "LP3966")</f>
        <v>LP3966</v>
      </c>
      <c r="B4959" s="5" t="s">
        <v>45474</v>
      </c>
      <c r="C4959" s="6" t="str">
        <f>HYPERLINK("https://www.ti.com/lit/gpn/LP3966", "PDF")</f>
        <v>PDF</v>
      </c>
      <c r="D4959" s="5" t="s">
        <v>45475</v>
      </c>
      <c r="E4959" s="5" t="s">
        <v>45476</v>
      </c>
      <c r="F4959" s="5"/>
      <c r="G4959" s="5" t="s">
        <v>45477</v>
      </c>
      <c r="H4959" s="1" t="s">
        <v>45478</v>
      </c>
      <c r="I4959" s="5" t="s">
        <v>45479</v>
      </c>
      <c r="J4959" s="7">
        <v>5</v>
      </c>
      <c r="K4959" s="7" t="s">
        <v>45480</v>
      </c>
      <c r="L4959" s="5" t="s">
        <v>45481</v>
      </c>
      <c r="M4959" s="7" t="s">
        <v>45482</v>
      </c>
      <c r="N4959" s="7">
        <v>1.7</v>
      </c>
      <c r="O4959" s="7">
        <v>1.98</v>
      </c>
      <c r="P4959" s="1" t="s">
        <v>45483</v>
      </c>
    </row>
    <row r="4960" spans="1:16" ht="98.85" x14ac:dyDescent="0.3">
      <c r="A4960" s="6" t="str">
        <f>HYPERLINK("https://www.ti.com/product/LP3962", "LP3962")</f>
        <v>LP3962</v>
      </c>
      <c r="B4960" s="5" t="s">
        <v>45484</v>
      </c>
      <c r="C4960" s="6" t="str">
        <f>HYPERLINK("https://www.ti.com/lit/gpn/LP3962", "PDF")</f>
        <v>PDF</v>
      </c>
      <c r="D4960" s="5" t="s">
        <v>45485</v>
      </c>
      <c r="E4960" s="5" t="s">
        <v>45486</v>
      </c>
      <c r="F4960" s="5"/>
      <c r="G4960" s="5" t="s">
        <v>45487</v>
      </c>
      <c r="H4960" s="1" t="s">
        <v>45488</v>
      </c>
      <c r="I4960" s="5" t="s">
        <v>45489</v>
      </c>
      <c r="J4960" s="7">
        <v>5</v>
      </c>
      <c r="K4960" s="7" t="s">
        <v>45490</v>
      </c>
      <c r="L4960" s="5" t="s">
        <v>45491</v>
      </c>
      <c r="M4960" s="7" t="s">
        <v>45492</v>
      </c>
      <c r="N4960" s="7" t="s">
        <v>45493</v>
      </c>
      <c r="O4960" s="7">
        <v>1.0780000000000001</v>
      </c>
      <c r="P4960" s="1" t="s">
        <v>45494</v>
      </c>
    </row>
    <row r="4961" spans="1:16" ht="82.5" x14ac:dyDescent="0.3">
      <c r="A4961" s="6" t="str">
        <f>HYPERLINK("https://www.ti.com/product/LP3965", "LP3965")</f>
        <v>LP3965</v>
      </c>
      <c r="B4961" s="5" t="s">
        <v>45495</v>
      </c>
      <c r="C4961" s="6" t="str">
        <f>HYPERLINK("https://www.ti.com/lit/gpn/LP3965", "PDF")</f>
        <v>PDF</v>
      </c>
      <c r="D4961" s="5" t="s">
        <v>45496</v>
      </c>
      <c r="E4961" s="5" t="s">
        <v>45497</v>
      </c>
      <c r="F4961" s="5"/>
      <c r="G4961" s="5" t="s">
        <v>45498</v>
      </c>
      <c r="H4961" s="1" t="s">
        <v>45499</v>
      </c>
      <c r="I4961" s="5" t="s">
        <v>45500</v>
      </c>
      <c r="J4961" s="7">
        <v>5</v>
      </c>
      <c r="K4961" s="7" t="s">
        <v>45501</v>
      </c>
      <c r="L4961" s="5" t="s">
        <v>45502</v>
      </c>
      <c r="M4961" s="7" t="s">
        <v>45503</v>
      </c>
      <c r="N4961" s="7" t="s">
        <v>45504</v>
      </c>
      <c r="O4961" s="7">
        <v>1.0349999999999999</v>
      </c>
      <c r="P4961" s="1" t="s">
        <v>45505</v>
      </c>
    </row>
    <row r="4962" spans="1:16" ht="82.5" x14ac:dyDescent="0.3">
      <c r="A4962" s="6" t="str">
        <f>HYPERLINK("https://www.ti.com/product/LP3964", "LP3964")</f>
        <v>LP3964</v>
      </c>
      <c r="B4962" s="5" t="s">
        <v>45506</v>
      </c>
      <c r="C4962" s="6" t="str">
        <f>HYPERLINK("https://www.ti.com/lit/gpn/LP3964", "PDF")</f>
        <v>PDF</v>
      </c>
      <c r="D4962" s="5" t="s">
        <v>45507</v>
      </c>
      <c r="E4962" s="5" t="s">
        <v>45508</v>
      </c>
      <c r="F4962" s="5"/>
      <c r="G4962" s="5" t="s">
        <v>45509</v>
      </c>
      <c r="H4962" s="1" t="s">
        <v>45510</v>
      </c>
      <c r="I4962" s="5" t="s">
        <v>45511</v>
      </c>
      <c r="J4962" s="7">
        <v>5</v>
      </c>
      <c r="K4962" s="7" t="s">
        <v>45512</v>
      </c>
      <c r="L4962" s="5" t="s">
        <v>45513</v>
      </c>
      <c r="M4962" s="7" t="s">
        <v>45514</v>
      </c>
      <c r="N4962" s="7" t="s">
        <v>45515</v>
      </c>
      <c r="O4962" s="7">
        <v>0.99</v>
      </c>
      <c r="P4962" s="1" t="s">
        <v>45516</v>
      </c>
    </row>
    <row r="4963" spans="1:16" ht="17.05" x14ac:dyDescent="0.3">
      <c r="A4963" s="6" t="str">
        <f>HYPERLINK("https://www.ti.com/product/LM4051-N", "LM4051-N")</f>
        <v>LM4051-N</v>
      </c>
      <c r="B4963" s="5" t="s">
        <v>45517</v>
      </c>
      <c r="C4963" s="6" t="str">
        <f>HYPERLINK("https://www.ti.com/lit/gpn/LM4051-N", "PDF")</f>
        <v>PDF</v>
      </c>
      <c r="D4963" s="5" t="s">
        <v>45518</v>
      </c>
      <c r="E4963" s="5" t="s">
        <v>45519</v>
      </c>
      <c r="F4963" s="5"/>
      <c r="G4963" s="5" t="s">
        <v>45520</v>
      </c>
      <c r="H4963" s="1" t="s">
        <v>45521</v>
      </c>
      <c r="I4963" s="5" t="s">
        <v>45522</v>
      </c>
      <c r="J4963" s="7">
        <v>3</v>
      </c>
      <c r="K4963" s="7">
        <v>6.9203999999999999</v>
      </c>
      <c r="L4963" s="5" t="s">
        <v>45523</v>
      </c>
      <c r="M4963" s="7">
        <v>1.1200000000000001</v>
      </c>
      <c r="N4963" s="7">
        <v>0.96</v>
      </c>
      <c r="O4963" s="7">
        <v>0.68300000000000005</v>
      </c>
      <c r="P4963" s="1" t="s">
        <v>45524</v>
      </c>
    </row>
    <row r="4964" spans="1:16" ht="33.4" x14ac:dyDescent="0.3">
      <c r="A4964" s="6" t="str">
        <f>HYPERLINK("https://www.ti.com/product/LM810", "LM810")</f>
        <v>LM810</v>
      </c>
      <c r="B4964" s="5" t="s">
        <v>45525</v>
      </c>
      <c r="C4964" s="6" t="str">
        <f>HYPERLINK("https://www.ti.com/lit/gpn/LM810", "PDF")</f>
        <v>PDF</v>
      </c>
      <c r="D4964" s="5" t="s">
        <v>45526</v>
      </c>
      <c r="E4964" s="5" t="s">
        <v>45527</v>
      </c>
      <c r="F4964" s="5"/>
      <c r="G4964" s="5" t="s">
        <v>45528</v>
      </c>
      <c r="H4964" s="1" t="s">
        <v>45529</v>
      </c>
      <c r="I4964" s="5" t="s">
        <v>45530</v>
      </c>
      <c r="J4964" s="7">
        <v>3</v>
      </c>
      <c r="K4964" s="7">
        <v>6.9203999999999999</v>
      </c>
      <c r="L4964" s="5" t="s">
        <v>45531</v>
      </c>
      <c r="M4964" s="7">
        <v>1.1200000000000001</v>
      </c>
      <c r="N4964" s="7">
        <v>0.96</v>
      </c>
      <c r="O4964" s="7">
        <v>0.27500000000000002</v>
      </c>
      <c r="P4964" s="1" t="s">
        <v>45532</v>
      </c>
    </row>
    <row r="4965" spans="1:16" ht="17.05" x14ac:dyDescent="0.3">
      <c r="A4965" s="6" t="str">
        <f>HYPERLINK("https://www.ti.com/product/TLC5921", "TLC5921")</f>
        <v>TLC5921</v>
      </c>
      <c r="B4965" s="5" t="s">
        <v>45533</v>
      </c>
      <c r="C4965" s="6" t="str">
        <f>HYPERLINK("https://www.ti.com/lit/gpn/TLC5921", "PDF")</f>
        <v>PDF</v>
      </c>
      <c r="D4965" s="5" t="s">
        <v>45534</v>
      </c>
      <c r="E4965" s="5" t="s">
        <v>45535</v>
      </c>
      <c r="F4965" s="5"/>
      <c r="G4965" s="5" t="s">
        <v>45536</v>
      </c>
      <c r="H4965" s="1" t="s">
        <v>45537</v>
      </c>
      <c r="I4965" s="5" t="s">
        <v>45538</v>
      </c>
      <c r="J4965" s="7">
        <v>32</v>
      </c>
      <c r="K4965" s="7">
        <v>89.1</v>
      </c>
      <c r="L4965" s="5" t="s">
        <v>45539</v>
      </c>
      <c r="M4965" s="7">
        <v>1.2</v>
      </c>
      <c r="N4965" s="7">
        <v>0.65</v>
      </c>
      <c r="O4965" s="7">
        <v>1.1160000000000001</v>
      </c>
      <c r="P4965" s="1" t="s">
        <v>45540</v>
      </c>
    </row>
    <row r="4966" spans="1:16" ht="33.4" x14ac:dyDescent="0.3">
      <c r="A4966" s="6" t="str">
        <f>HYPERLINK("https://www.ti.com/product/TPS3123", "TPS3123")</f>
        <v>TPS3123</v>
      </c>
      <c r="B4966" s="5" t="s">
        <v>45541</v>
      </c>
      <c r="C4966" s="6" t="str">
        <f>HYPERLINK("https://www.ti.com/lit/gpn/TPS3123", "PDF")</f>
        <v>PDF</v>
      </c>
      <c r="D4966" s="5" t="s">
        <v>45542</v>
      </c>
      <c r="E4966" s="5" t="s">
        <v>45543</v>
      </c>
      <c r="F4966" s="5"/>
      <c r="G4966" s="5" t="s">
        <v>45544</v>
      </c>
      <c r="H4966" s="1" t="s">
        <v>45545</v>
      </c>
      <c r="I4966" s="5" t="s">
        <v>45546</v>
      </c>
      <c r="J4966" s="7">
        <v>5</v>
      </c>
      <c r="K4966" s="7">
        <v>8.1199999999999992</v>
      </c>
      <c r="L4966" s="5" t="s">
        <v>45547</v>
      </c>
      <c r="M4966" s="7">
        <v>1.45</v>
      </c>
      <c r="N4966" s="7">
        <v>0.95</v>
      </c>
      <c r="O4966" s="7">
        <v>0.93700000000000006</v>
      </c>
      <c r="P4966" s="1" t="s">
        <v>45548</v>
      </c>
    </row>
    <row r="4967" spans="1:16" ht="17.05" x14ac:dyDescent="0.3">
      <c r="A4967" s="6" t="str">
        <f>HYPERLINK("https://www.ti.com/product/TPS3124", "TPS3124")</f>
        <v>TPS3124</v>
      </c>
      <c r="B4967" s="5" t="s">
        <v>45549</v>
      </c>
      <c r="C4967" s="6" t="str">
        <f>HYPERLINK("https://www.ti.com/lit/gpn/TPS3124", "PDF")</f>
        <v>PDF</v>
      </c>
      <c r="D4967" s="5" t="s">
        <v>45550</v>
      </c>
      <c r="E4967" s="5" t="s">
        <v>45551</v>
      </c>
      <c r="F4967" s="5"/>
      <c r="G4967" s="5" t="s">
        <v>45552</v>
      </c>
      <c r="H4967" s="1" t="s">
        <v>45553</v>
      </c>
      <c r="I4967" s="5" t="s">
        <v>45554</v>
      </c>
      <c r="J4967" s="7">
        <v>5</v>
      </c>
      <c r="K4967" s="7">
        <v>8.1199999999999992</v>
      </c>
      <c r="L4967" s="5" t="s">
        <v>45555</v>
      </c>
      <c r="M4967" s="7">
        <v>1.45</v>
      </c>
      <c r="N4967" s="7">
        <v>0.95</v>
      </c>
      <c r="O4967" s="7">
        <v>0.93700000000000006</v>
      </c>
      <c r="P4967" s="1" t="s">
        <v>45556</v>
      </c>
    </row>
    <row r="4968" spans="1:16" ht="17.05" x14ac:dyDescent="0.3">
      <c r="A4968" s="6" t="str">
        <f>HYPERLINK("https://www.ti.com/product/TPS3125", "TPS3125")</f>
        <v>TPS3125</v>
      </c>
      <c r="B4968" s="5" t="s">
        <v>45557</v>
      </c>
      <c r="C4968" s="6" t="str">
        <f>HYPERLINK("https://www.ti.com/lit/gpn/TPS3125", "PDF")</f>
        <v>PDF</v>
      </c>
      <c r="D4968" s="5" t="s">
        <v>45558</v>
      </c>
      <c r="E4968" s="5" t="s">
        <v>45559</v>
      </c>
      <c r="F4968" s="5"/>
      <c r="G4968" s="5" t="s">
        <v>45560</v>
      </c>
      <c r="H4968" s="1" t="s">
        <v>45561</v>
      </c>
      <c r="I4968" s="5" t="s">
        <v>45562</v>
      </c>
      <c r="J4968" s="7">
        <v>5</v>
      </c>
      <c r="K4968" s="7">
        <v>8.1199999999999992</v>
      </c>
      <c r="L4968" s="5" t="s">
        <v>45563</v>
      </c>
      <c r="M4968" s="7">
        <v>1.45</v>
      </c>
      <c r="N4968" s="7">
        <v>0.95</v>
      </c>
      <c r="O4968" s="7">
        <v>0.82399999999999995</v>
      </c>
      <c r="P4968" s="1" t="s">
        <v>45564</v>
      </c>
    </row>
    <row r="4969" spans="1:16" ht="17.05" x14ac:dyDescent="0.3">
      <c r="A4969" s="6" t="str">
        <f>HYPERLINK("https://www.ti.com/product/TPS3801", "TPS3801")</f>
        <v>TPS3801</v>
      </c>
      <c r="B4969" s="5" t="s">
        <v>45565</v>
      </c>
      <c r="C4969" s="6" t="str">
        <f>HYPERLINK("https://www.ti.com/lit/gpn/TPS3801", "PDF")</f>
        <v>PDF</v>
      </c>
      <c r="D4969" s="5" t="s">
        <v>45566</v>
      </c>
      <c r="E4969" s="5" t="s">
        <v>45567</v>
      </c>
      <c r="F4969" s="5"/>
      <c r="G4969" s="5" t="s">
        <v>45568</v>
      </c>
      <c r="H4969" s="1" t="s">
        <v>45569</v>
      </c>
      <c r="I4969" s="5" t="s">
        <v>45570</v>
      </c>
      <c r="J4969" s="7">
        <v>5</v>
      </c>
      <c r="K4969" s="7">
        <v>4.2</v>
      </c>
      <c r="L4969" s="5" t="s">
        <v>45571</v>
      </c>
      <c r="M4969" s="7">
        <v>1.1000000000000001</v>
      </c>
      <c r="N4969" s="7">
        <v>0.65</v>
      </c>
      <c r="O4969" s="7">
        <v>0.46200000000000002</v>
      </c>
      <c r="P4969" s="1" t="s">
        <v>45572</v>
      </c>
    </row>
    <row r="4970" spans="1:16" ht="17.05" x14ac:dyDescent="0.3">
      <c r="A4970" s="6" t="str">
        <f>HYPERLINK("https://www.ti.com/product/TPS3809", "TPS3809")</f>
        <v>TPS3809</v>
      </c>
      <c r="B4970" s="5" t="s">
        <v>45573</v>
      </c>
      <c r="C4970" s="6" t="str">
        <f>HYPERLINK("https://www.ti.com/lit/gpn/TPS3809", "PDF")</f>
        <v>PDF</v>
      </c>
      <c r="D4970" s="5" t="s">
        <v>45574</v>
      </c>
      <c r="E4970" s="5" t="s">
        <v>45575</v>
      </c>
      <c r="F4970" s="5"/>
      <c r="G4970" s="5" t="s">
        <v>45576</v>
      </c>
      <c r="H4970" s="1" t="s">
        <v>45577</v>
      </c>
      <c r="I4970" s="5" t="s">
        <v>45578</v>
      </c>
      <c r="J4970" s="7">
        <v>3</v>
      </c>
      <c r="K4970" s="7">
        <v>8.1199999999999992</v>
      </c>
      <c r="L4970" s="5" t="s">
        <v>45579</v>
      </c>
      <c r="M4970" s="7">
        <v>1.45</v>
      </c>
      <c r="N4970" s="7">
        <v>0.95</v>
      </c>
      <c r="O4970" s="7">
        <v>0.2</v>
      </c>
      <c r="P4970" s="1" t="s">
        <v>45580</v>
      </c>
    </row>
    <row r="4971" spans="1:16" ht="33.4" x14ac:dyDescent="0.3">
      <c r="A4971" s="6" t="str">
        <f>HYPERLINK("https://www.ti.com/product/TPS766", "TPS766")</f>
        <v>TPS766</v>
      </c>
      <c r="B4971" s="5" t="s">
        <v>45581</v>
      </c>
      <c r="C4971" s="6" t="str">
        <f>HYPERLINK("https://www.ti.com/lit/gpn/TPS766", "PDF")</f>
        <v>PDF</v>
      </c>
      <c r="D4971" s="5" t="s">
        <v>45582</v>
      </c>
      <c r="E4971" s="5" t="s">
        <v>45583</v>
      </c>
      <c r="F4971" s="5"/>
      <c r="G4971" s="5" t="s">
        <v>45584</v>
      </c>
      <c r="H4971" s="1" t="s">
        <v>45585</v>
      </c>
      <c r="I4971" s="5" t="s">
        <v>45586</v>
      </c>
      <c r="J4971" s="7">
        <v>8</v>
      </c>
      <c r="K4971" s="7">
        <v>29.4</v>
      </c>
      <c r="L4971" s="5" t="s">
        <v>45587</v>
      </c>
      <c r="M4971" s="7">
        <v>1.75</v>
      </c>
      <c r="N4971" s="7">
        <v>1.27</v>
      </c>
      <c r="O4971" s="7">
        <v>0.55800000000000005</v>
      </c>
      <c r="P4971" s="1" t="s">
        <v>45588</v>
      </c>
    </row>
    <row r="4972" spans="1:16" ht="33.4" x14ac:dyDescent="0.3">
      <c r="A4972" s="6" t="str">
        <f>HYPERLINK("https://www.ti.com/product/TPS775", "TPS775")</f>
        <v>TPS775</v>
      </c>
      <c r="B4972" s="5" t="s">
        <v>45589</v>
      </c>
      <c r="C4972" s="6" t="str">
        <f>HYPERLINK("https://www.ti.com/lit/gpn/TPS775", "PDF")</f>
        <v>PDF</v>
      </c>
      <c r="D4972" s="5" t="s">
        <v>45590</v>
      </c>
      <c r="E4972" s="5" t="s">
        <v>45591</v>
      </c>
      <c r="F4972" s="5"/>
      <c r="G4972" s="5" t="s">
        <v>45592</v>
      </c>
      <c r="H4972" s="1" t="s">
        <v>45593</v>
      </c>
      <c r="I4972" s="5" t="s">
        <v>45594</v>
      </c>
      <c r="J4972" s="7" t="s">
        <v>45595</v>
      </c>
      <c r="K4972" s="7" t="s">
        <v>45596</v>
      </c>
      <c r="L4972" s="5" t="s">
        <v>45597</v>
      </c>
      <c r="M4972" s="7" t="s">
        <v>45598</v>
      </c>
      <c r="N4972" s="7" t="s">
        <v>45599</v>
      </c>
      <c r="O4972" s="7">
        <v>1.2649999999999999</v>
      </c>
      <c r="P4972" s="1" t="s">
        <v>45600</v>
      </c>
    </row>
    <row r="4973" spans="1:16" ht="33.4" x14ac:dyDescent="0.3">
      <c r="A4973" s="6" t="str">
        <f>HYPERLINK("https://www.ti.com/product/TPS776", "TPS776")</f>
        <v>TPS776</v>
      </c>
      <c r="B4973" s="5" t="s">
        <v>45601</v>
      </c>
      <c r="C4973" s="6" t="str">
        <f>HYPERLINK("https://www.ti.com/lit/gpn/TPS776", "PDF")</f>
        <v>PDF</v>
      </c>
      <c r="D4973" s="5" t="s">
        <v>45602</v>
      </c>
      <c r="E4973" s="5" t="s">
        <v>45603</v>
      </c>
      <c r="F4973" s="5"/>
      <c r="G4973" s="5" t="s">
        <v>45604</v>
      </c>
      <c r="H4973" s="1" t="s">
        <v>45605</v>
      </c>
      <c r="I4973" s="5" t="s">
        <v>45606</v>
      </c>
      <c r="J4973" s="7" t="s">
        <v>45607</v>
      </c>
      <c r="K4973" s="7" t="s">
        <v>45608</v>
      </c>
      <c r="L4973" s="5" t="s">
        <v>45609</v>
      </c>
      <c r="M4973" s="7" t="s">
        <v>45610</v>
      </c>
      <c r="N4973" s="7" t="s">
        <v>45611</v>
      </c>
      <c r="O4973" s="7">
        <v>0.93899999999999995</v>
      </c>
      <c r="P4973" s="1" t="s">
        <v>45612</v>
      </c>
    </row>
    <row r="4974" spans="1:16" ht="33.4" x14ac:dyDescent="0.3">
      <c r="A4974" s="6" t="str">
        <f>HYPERLINK("https://www.ti.com/product/TPS777", "TPS777")</f>
        <v>TPS777</v>
      </c>
      <c r="B4974" s="5" t="s">
        <v>45613</v>
      </c>
      <c r="C4974" s="6" t="str">
        <f>HYPERLINK("https://www.ti.com/lit/gpn/TPS777", "PDF")</f>
        <v>PDF</v>
      </c>
      <c r="D4974" s="5" t="s">
        <v>45614</v>
      </c>
      <c r="E4974" s="5" t="s">
        <v>45615</v>
      </c>
      <c r="F4974" s="5"/>
      <c r="G4974" s="5" t="s">
        <v>45616</v>
      </c>
      <c r="H4974" s="1" t="s">
        <v>45617</v>
      </c>
      <c r="I4974" s="5" t="s">
        <v>45618</v>
      </c>
      <c r="J4974" s="7" t="s">
        <v>45619</v>
      </c>
      <c r="K4974" s="7" t="s">
        <v>45620</v>
      </c>
      <c r="L4974" s="5" t="s">
        <v>45621</v>
      </c>
      <c r="M4974" s="7" t="s">
        <v>45622</v>
      </c>
      <c r="N4974" s="7" t="s">
        <v>45623</v>
      </c>
      <c r="O4974" s="7">
        <v>1.53</v>
      </c>
      <c r="P4974" s="1" t="s">
        <v>45624</v>
      </c>
    </row>
    <row r="4975" spans="1:16" ht="33.4" x14ac:dyDescent="0.3">
      <c r="A4975" s="6" t="str">
        <f>HYPERLINK("https://www.ti.com/product/TPS778", "TPS778")</f>
        <v>TPS778</v>
      </c>
      <c r="B4975" s="5" t="s">
        <v>45625</v>
      </c>
      <c r="C4975" s="6" t="str">
        <f>HYPERLINK("https://www.ti.com/lit/gpn/TPS778", "PDF")</f>
        <v>PDF</v>
      </c>
      <c r="D4975" s="5" t="s">
        <v>45626</v>
      </c>
      <c r="E4975" s="5" t="s">
        <v>45627</v>
      </c>
      <c r="F4975" s="5"/>
      <c r="G4975" s="5" t="s">
        <v>45628</v>
      </c>
      <c r="H4975" s="1" t="s">
        <v>45629</v>
      </c>
      <c r="I4975" s="5" t="s">
        <v>45630</v>
      </c>
      <c r="J4975" s="7" t="s">
        <v>45631</v>
      </c>
      <c r="K4975" s="7" t="s">
        <v>45632</v>
      </c>
      <c r="L4975" s="5" t="s">
        <v>45633</v>
      </c>
      <c r="M4975" s="7" t="s">
        <v>45634</v>
      </c>
      <c r="N4975" s="7" t="s">
        <v>45635</v>
      </c>
      <c r="O4975" s="7">
        <v>1.4610000000000001</v>
      </c>
      <c r="P4975" s="1" t="s">
        <v>45636</v>
      </c>
    </row>
    <row r="4976" spans="1:16" ht="33.4" x14ac:dyDescent="0.3">
      <c r="A4976" s="6" t="str">
        <f>HYPERLINK("https://www.ti.com/product/LM809", "LM809")</f>
        <v>LM809</v>
      </c>
      <c r="B4976" s="5" t="s">
        <v>45637</v>
      </c>
      <c r="C4976" s="6" t="str">
        <f>HYPERLINK("https://www.ti.com/lit/gpn/LM809", "PDF")</f>
        <v>PDF</v>
      </c>
      <c r="D4976" s="5" t="s">
        <v>45638</v>
      </c>
      <c r="E4976" s="5" t="s">
        <v>45639</v>
      </c>
      <c r="F4976" s="5"/>
      <c r="G4976" s="5" t="s">
        <v>45640</v>
      </c>
      <c r="H4976" s="1" t="s">
        <v>45641</v>
      </c>
      <c r="I4976" s="5" t="s">
        <v>45642</v>
      </c>
      <c r="J4976" s="7">
        <v>3</v>
      </c>
      <c r="K4976" s="7">
        <v>6.9203999999999999</v>
      </c>
      <c r="L4976" s="5" t="s">
        <v>45643</v>
      </c>
      <c r="M4976" s="7">
        <v>1.1200000000000001</v>
      </c>
      <c r="N4976" s="7">
        <v>0.96</v>
      </c>
      <c r="O4976" s="7">
        <v>0.26200000000000001</v>
      </c>
      <c r="P4976" s="1" t="s">
        <v>45644</v>
      </c>
    </row>
    <row r="4977" spans="1:16" ht="17.05" x14ac:dyDescent="0.3">
      <c r="A4977" s="6" t="str">
        <f>HYPERLINK("https://www.ti.com/product/TLC5904", "TLC5904")</f>
        <v>TLC5904</v>
      </c>
      <c r="B4977" s="5" t="s">
        <v>45645</v>
      </c>
      <c r="C4977" s="6" t="str">
        <f>HYPERLINK("https://www.ti.com/lit/gpn/TLC5904", "PDF")</f>
        <v>PDF</v>
      </c>
      <c r="D4977" s="5" t="s">
        <v>45646</v>
      </c>
      <c r="E4977" s="5" t="s">
        <v>45647</v>
      </c>
      <c r="F4977" s="5"/>
      <c r="G4977" s="5" t="s">
        <v>45648</v>
      </c>
      <c r="H4977" s="1" t="s">
        <v>45649</v>
      </c>
      <c r="I4977" s="5" t="s">
        <v>45650</v>
      </c>
      <c r="J4977" s="7">
        <v>100</v>
      </c>
      <c r="K4977" s="7">
        <v>256</v>
      </c>
      <c r="L4977" s="5" t="s">
        <v>45651</v>
      </c>
      <c r="M4977" s="7">
        <v>1.2</v>
      </c>
      <c r="N4977" s="7">
        <v>0.5</v>
      </c>
      <c r="O4977" s="7">
        <v>4.0949999999999998</v>
      </c>
      <c r="P4977" s="1" t="s">
        <v>45652</v>
      </c>
    </row>
    <row r="4978" spans="1:16" ht="33.4" x14ac:dyDescent="0.3">
      <c r="A4978" s="6" t="str">
        <f>HYPERLINK("https://www.ti.com/product/TPS767D3", "TPS767D3")</f>
        <v>TPS767D3</v>
      </c>
      <c r="B4978" s="5" t="s">
        <v>45653</v>
      </c>
      <c r="C4978" s="6" t="str">
        <f>HYPERLINK("https://www.ti.com/lit/gpn/TPS767D3", "PDF")</f>
        <v>PDF</v>
      </c>
      <c r="D4978" s="5" t="s">
        <v>45654</v>
      </c>
      <c r="E4978" s="5" t="s">
        <v>45655</v>
      </c>
      <c r="F4978" s="5"/>
      <c r="G4978" s="5" t="s">
        <v>45656</v>
      </c>
      <c r="H4978" s="1" t="s">
        <v>45657</v>
      </c>
      <c r="I4978" s="5" t="s">
        <v>45658</v>
      </c>
      <c r="J4978" s="7">
        <v>28</v>
      </c>
      <c r="K4978" s="7">
        <v>62.08</v>
      </c>
      <c r="L4978" s="5" t="s">
        <v>45659</v>
      </c>
      <c r="M4978" s="7">
        <v>1.2</v>
      </c>
      <c r="N4978" s="7">
        <v>0.65</v>
      </c>
      <c r="O4978" s="7">
        <v>2.657</v>
      </c>
      <c r="P4978" s="1" t="s">
        <v>45660</v>
      </c>
    </row>
    <row r="4979" spans="1:16" ht="33.4" x14ac:dyDescent="0.3">
      <c r="A4979" s="6" t="str">
        <f>HYPERLINK("https://www.ti.com/product/TPS767", "TPS767")</f>
        <v>TPS767</v>
      </c>
      <c r="B4979" s="5" t="s">
        <v>45661</v>
      </c>
      <c r="C4979" s="6" t="str">
        <f>HYPERLINK("https://www.ti.com/lit/gpn/TPS767", "PDF")</f>
        <v>PDF</v>
      </c>
      <c r="D4979" s="5" t="s">
        <v>45662</v>
      </c>
      <c r="E4979" s="5" t="s">
        <v>45663</v>
      </c>
      <c r="F4979" s="5"/>
      <c r="G4979" s="5" t="s">
        <v>45664</v>
      </c>
      <c r="H4979" s="1" t="s">
        <v>45665</v>
      </c>
      <c r="I4979" s="5" t="s">
        <v>45666</v>
      </c>
      <c r="J4979" s="7" t="s">
        <v>45667</v>
      </c>
      <c r="K4979" s="7" t="s">
        <v>45668</v>
      </c>
      <c r="L4979" s="5" t="s">
        <v>45669</v>
      </c>
      <c r="M4979" s="7" t="s">
        <v>45670</v>
      </c>
      <c r="N4979" s="7" t="s">
        <v>45671</v>
      </c>
      <c r="O4979" s="7">
        <v>1.627</v>
      </c>
      <c r="P4979" s="1" t="s">
        <v>45672</v>
      </c>
    </row>
    <row r="4980" spans="1:16" ht="33.4" x14ac:dyDescent="0.3">
      <c r="A4980" s="6" t="str">
        <f>HYPERLINK("https://www.ti.com/product/TPS768", "TPS768")</f>
        <v>TPS768</v>
      </c>
      <c r="B4980" s="5" t="s">
        <v>45673</v>
      </c>
      <c r="C4980" s="6" t="str">
        <f>HYPERLINK("https://www.ti.com/lit/gpn/TPS768", "PDF")</f>
        <v>PDF</v>
      </c>
      <c r="D4980" s="5" t="s">
        <v>45674</v>
      </c>
      <c r="E4980" s="5" t="s">
        <v>45675</v>
      </c>
      <c r="F4980" s="5"/>
      <c r="G4980" s="5" t="s">
        <v>45676</v>
      </c>
      <c r="H4980" s="1" t="s">
        <v>45677</v>
      </c>
      <c r="I4980" s="5" t="s">
        <v>45678</v>
      </c>
      <c r="J4980" s="7" t="s">
        <v>45679</v>
      </c>
      <c r="K4980" s="7" t="s">
        <v>45680</v>
      </c>
      <c r="L4980" s="5" t="s">
        <v>45681</v>
      </c>
      <c r="M4980" s="7" t="s">
        <v>45682</v>
      </c>
      <c r="N4980" s="7" t="s">
        <v>45683</v>
      </c>
      <c r="O4980" s="7">
        <v>1.329</v>
      </c>
      <c r="P4980" s="1" t="s">
        <v>45684</v>
      </c>
    </row>
    <row r="4981" spans="1:16" ht="33.4" x14ac:dyDescent="0.3">
      <c r="A4981" s="6" t="str">
        <f>HYPERLINK("https://www.ti.com/product/TPS769", "TPS769")</f>
        <v>TPS769</v>
      </c>
      <c r="B4981" s="5" t="s">
        <v>45685</v>
      </c>
      <c r="C4981" s="6" t="str">
        <f>HYPERLINK("https://www.ti.com/lit/gpn/TPS769", "PDF")</f>
        <v>PDF</v>
      </c>
      <c r="D4981" s="5" t="s">
        <v>45686</v>
      </c>
      <c r="E4981" s="5" t="s">
        <v>45687</v>
      </c>
      <c r="F4981" s="5"/>
      <c r="G4981" s="5" t="s">
        <v>45688</v>
      </c>
      <c r="H4981" s="1" t="s">
        <v>45689</v>
      </c>
      <c r="I4981" s="5" t="s">
        <v>45690</v>
      </c>
      <c r="J4981" s="7">
        <v>5</v>
      </c>
      <c r="K4981" s="7">
        <v>8.1199999999999992</v>
      </c>
      <c r="L4981" s="5" t="s">
        <v>45691</v>
      </c>
      <c r="M4981" s="7">
        <v>1.45</v>
      </c>
      <c r="N4981" s="7">
        <v>0.95</v>
      </c>
      <c r="O4981" s="7">
        <v>0.27800000000000002</v>
      </c>
      <c r="P4981" s="1" t="s">
        <v>45692</v>
      </c>
    </row>
    <row r="4982" spans="1:16" ht="33.4" x14ac:dyDescent="0.3">
      <c r="A4982" s="6" t="str">
        <f>HYPERLINK("https://www.ti.com/product/TPS770", "TPS770")</f>
        <v>TPS770</v>
      </c>
      <c r="B4982" s="5" t="s">
        <v>45693</v>
      </c>
      <c r="C4982" s="6" t="str">
        <f>HYPERLINK("https://www.ti.com/lit/gpn/TPS770", "PDF")</f>
        <v>PDF</v>
      </c>
      <c r="D4982" s="5" t="s">
        <v>45694</v>
      </c>
      <c r="E4982" s="5" t="s">
        <v>45695</v>
      </c>
      <c r="F4982" s="5"/>
      <c r="G4982" s="5" t="s">
        <v>45696</v>
      </c>
      <c r="H4982" s="1" t="s">
        <v>45697</v>
      </c>
      <c r="I4982" s="5" t="s">
        <v>45698</v>
      </c>
      <c r="J4982" s="7">
        <v>5</v>
      </c>
      <c r="K4982" s="7">
        <v>8.1199999999999992</v>
      </c>
      <c r="L4982" s="5" t="s">
        <v>45699</v>
      </c>
      <c r="M4982" s="7">
        <v>1.45</v>
      </c>
      <c r="N4982" s="7">
        <v>0.95</v>
      </c>
      <c r="O4982" s="7">
        <v>0.47699999999999998</v>
      </c>
      <c r="P4982" s="1" t="s">
        <v>45700</v>
      </c>
    </row>
    <row r="4983" spans="1:16" ht="33.4" x14ac:dyDescent="0.3">
      <c r="A4983" s="6" t="str">
        <f>HYPERLINK("https://www.ti.com/product/LM3526", "LM3526")</f>
        <v>LM3526</v>
      </c>
      <c r="B4983" s="5" t="s">
        <v>45701</v>
      </c>
      <c r="C4983" s="6" t="str">
        <f>HYPERLINK("https://www.ti.com/lit/gpn/LM3526", "PDF")</f>
        <v>PDF</v>
      </c>
      <c r="D4983" s="5" t="s">
        <v>45702</v>
      </c>
      <c r="E4983" s="5" t="s">
        <v>45703</v>
      </c>
      <c r="F4983" s="5"/>
      <c r="G4983" s="5" t="s">
        <v>45704</v>
      </c>
      <c r="H4983" s="1" t="s">
        <v>45705</v>
      </c>
      <c r="I4983" s="5" t="s">
        <v>45706</v>
      </c>
      <c r="J4983" s="7">
        <v>8</v>
      </c>
      <c r="K4983" s="7">
        <v>29.4</v>
      </c>
      <c r="L4983" s="5" t="s">
        <v>45707</v>
      </c>
      <c r="M4983" s="7">
        <v>1.75</v>
      </c>
      <c r="N4983" s="7">
        <v>1.27</v>
      </c>
      <c r="O4983" s="7">
        <v>0.55700000000000005</v>
      </c>
      <c r="P4983" s="1" t="s">
        <v>45708</v>
      </c>
    </row>
    <row r="4984" spans="1:16" ht="33.4" x14ac:dyDescent="0.3">
      <c r="A4984" s="6" t="str">
        <f>HYPERLINK("https://www.ti.com/product/LM4140", "LM4140")</f>
        <v>LM4140</v>
      </c>
      <c r="B4984" s="5" t="s">
        <v>45709</v>
      </c>
      <c r="C4984" s="6" t="str">
        <f>HYPERLINK("https://www.ti.com/lit/gpn/LM4140", "PDF")</f>
        <v>PDF</v>
      </c>
      <c r="D4984" s="5" t="s">
        <v>45710</v>
      </c>
      <c r="E4984" s="5" t="s">
        <v>45711</v>
      </c>
      <c r="F4984" s="5"/>
      <c r="G4984" s="5" t="s">
        <v>45712</v>
      </c>
      <c r="H4984" s="1" t="s">
        <v>45713</v>
      </c>
      <c r="I4984" s="5" t="s">
        <v>45714</v>
      </c>
      <c r="J4984" s="7">
        <v>8</v>
      </c>
      <c r="K4984" s="7">
        <v>29.4</v>
      </c>
      <c r="L4984" s="5" t="s">
        <v>45715</v>
      </c>
      <c r="M4984" s="7">
        <v>1.75</v>
      </c>
      <c r="N4984" s="7">
        <v>1.27</v>
      </c>
      <c r="O4984" s="7">
        <v>1.6379999999999999</v>
      </c>
      <c r="P4984" s="1" t="s">
        <v>45716</v>
      </c>
    </row>
    <row r="4985" spans="1:16" ht="49.75" x14ac:dyDescent="0.3">
      <c r="A4985" s="6" t="str">
        <f>HYPERLINK("https://www.ti.com/product/LM1084", "LM1084")</f>
        <v>LM1084</v>
      </c>
      <c r="B4985" s="5" t="s">
        <v>45717</v>
      </c>
      <c r="C4985" s="6" t="str">
        <f>HYPERLINK("https://www.ti.com/lit/gpn/LM1084", "PDF")</f>
        <v>PDF</v>
      </c>
      <c r="D4985" s="5" t="s">
        <v>45718</v>
      </c>
      <c r="E4985" s="5" t="s">
        <v>45719</v>
      </c>
      <c r="F4985" s="5"/>
      <c r="G4985" s="5" t="s">
        <v>45720</v>
      </c>
      <c r="H4985" s="1" t="s">
        <v>45721</v>
      </c>
      <c r="I4985" s="5" t="s">
        <v>45722</v>
      </c>
      <c r="J4985" s="7">
        <v>3</v>
      </c>
      <c r="K4985" s="7" t="s">
        <v>45723</v>
      </c>
      <c r="L4985" s="5" t="s">
        <v>45724</v>
      </c>
      <c r="M4985" s="7" t="s">
        <v>45725</v>
      </c>
      <c r="N4985" s="7">
        <v>2.54</v>
      </c>
      <c r="O4985" s="7">
        <v>1.083</v>
      </c>
      <c r="P4985" s="1" t="s">
        <v>45726</v>
      </c>
    </row>
    <row r="4986" spans="1:16" ht="49.75" x14ac:dyDescent="0.3">
      <c r="A4986" s="6" t="str">
        <f>HYPERLINK("https://www.ti.com/product/LM1085", "LM1085")</f>
        <v>LM1085</v>
      </c>
      <c r="B4986" s="5" t="s">
        <v>45727</v>
      </c>
      <c r="C4986" s="6" t="str">
        <f>HYPERLINK("https://www.ti.com/lit/gpn/LM1085", "PDF")</f>
        <v>PDF</v>
      </c>
      <c r="D4986" s="5" t="s">
        <v>45728</v>
      </c>
      <c r="E4986" s="5" t="s">
        <v>45729</v>
      </c>
      <c r="F4986" s="5"/>
      <c r="G4986" s="5" t="s">
        <v>45730</v>
      </c>
      <c r="H4986" s="1" t="s">
        <v>45731</v>
      </c>
      <c r="I4986" s="5" t="s">
        <v>45732</v>
      </c>
      <c r="J4986" s="7">
        <v>3</v>
      </c>
      <c r="K4986" s="7" t="s">
        <v>45733</v>
      </c>
      <c r="L4986" s="5" t="s">
        <v>45734</v>
      </c>
      <c r="M4986" s="7" t="s">
        <v>45735</v>
      </c>
      <c r="N4986" s="7">
        <v>2.54</v>
      </c>
      <c r="O4986" s="7">
        <v>0.78700000000000003</v>
      </c>
      <c r="P4986" s="1" t="s">
        <v>45736</v>
      </c>
    </row>
    <row r="4987" spans="1:16" ht="66.150000000000006" x14ac:dyDescent="0.3">
      <c r="A4987" s="6" t="str">
        <f>HYPERLINK("https://www.ti.com/product/LM1086", "LM1086")</f>
        <v>LM1086</v>
      </c>
      <c r="B4987" s="5" t="s">
        <v>45737</v>
      </c>
      <c r="C4987" s="6" t="str">
        <f>HYPERLINK("https://www.ti.com/lit/gpn/LM1086", "PDF")</f>
        <v>PDF</v>
      </c>
      <c r="D4987" s="5" t="s">
        <v>45738</v>
      </c>
      <c r="E4987" s="5" t="s">
        <v>45739</v>
      </c>
      <c r="F4987" s="5"/>
      <c r="G4987" s="5" t="s">
        <v>45740</v>
      </c>
      <c r="H4987" s="1" t="s">
        <v>45741</v>
      </c>
      <c r="I4987" s="5" t="s">
        <v>45742</v>
      </c>
      <c r="J4987" s="7" t="s">
        <v>45743</v>
      </c>
      <c r="K4987" s="7" t="s">
        <v>45744</v>
      </c>
      <c r="L4987" s="5" t="s">
        <v>45745</v>
      </c>
      <c r="M4987" s="7" t="s">
        <v>45746</v>
      </c>
      <c r="N4987" s="7" t="s">
        <v>45747</v>
      </c>
      <c r="O4987" s="7">
        <v>0.72299999999999998</v>
      </c>
      <c r="P4987" s="1" t="s">
        <v>45748</v>
      </c>
    </row>
    <row r="4988" spans="1:16" ht="33.4" x14ac:dyDescent="0.3">
      <c r="A4988" s="6" t="str">
        <f>HYPERLINK("https://www.ti.com/product/TPS2057", "TPS2057")</f>
        <v>TPS2057</v>
      </c>
      <c r="B4988" s="5" t="s">
        <v>45749</v>
      </c>
      <c r="C4988" s="6" t="str">
        <f>HYPERLINK("https://www.ti.com/lit/gpn/TPS2057", "PDF")</f>
        <v>PDF</v>
      </c>
      <c r="D4988" s="5" t="s">
        <v>45750</v>
      </c>
      <c r="E4988" s="5" t="s">
        <v>45751</v>
      </c>
      <c r="F4988" s="5"/>
      <c r="G4988" s="5" t="s">
        <v>45752</v>
      </c>
      <c r="H4988" s="1" t="s">
        <v>45753</v>
      </c>
      <c r="I4988" s="5" t="s">
        <v>45754</v>
      </c>
      <c r="J4988" s="7">
        <v>16</v>
      </c>
      <c r="K4988" s="7">
        <v>59.4</v>
      </c>
      <c r="L4988" s="5" t="s">
        <v>45755</v>
      </c>
      <c r="M4988" s="7">
        <v>1.75</v>
      </c>
      <c r="N4988" s="7">
        <v>1.27</v>
      </c>
      <c r="O4988" s="7">
        <v>2.6389999999999998</v>
      </c>
      <c r="P4988" s="1" t="s">
        <v>45756</v>
      </c>
    </row>
    <row r="4989" spans="1:16" ht="33.4" x14ac:dyDescent="0.3">
      <c r="A4989" s="6" t="str">
        <f>HYPERLINK("https://www.ti.com/product/LM2653", "LM2653")</f>
        <v>LM2653</v>
      </c>
      <c r="B4989" s="5" t="s">
        <v>45757</v>
      </c>
      <c r="C4989" s="6" t="str">
        <f>HYPERLINK("https://www.ti.com/lit/gpn/LM2653", "PDF")</f>
        <v>PDF</v>
      </c>
      <c r="D4989" s="5" t="s">
        <v>45758</v>
      </c>
      <c r="E4989" s="5" t="s">
        <v>45759</v>
      </c>
      <c r="F4989" s="5" t="s">
        <v>45760</v>
      </c>
      <c r="G4989" s="5" t="s">
        <v>45761</v>
      </c>
      <c r="H4989" s="1" t="s">
        <v>45762</v>
      </c>
      <c r="I4989" s="5" t="s">
        <v>45763</v>
      </c>
      <c r="J4989" s="7">
        <v>16</v>
      </c>
      <c r="K4989" s="7">
        <v>32</v>
      </c>
      <c r="L4989" s="5" t="s">
        <v>45764</v>
      </c>
      <c r="M4989" s="7">
        <v>1.2</v>
      </c>
      <c r="N4989" s="7">
        <v>0.65</v>
      </c>
      <c r="O4989" s="7">
        <v>1.93</v>
      </c>
      <c r="P4989" s="1" t="s">
        <v>45765</v>
      </c>
    </row>
    <row r="4990" spans="1:16" ht="33.4" x14ac:dyDescent="0.3">
      <c r="A4990" s="6" t="str">
        <f>HYPERLINK("https://www.ti.com/product/TPS73HD3", "TPS73HD3")</f>
        <v>TPS73HD3</v>
      </c>
      <c r="B4990" s="5" t="s">
        <v>45766</v>
      </c>
      <c r="C4990" s="6" t="str">
        <f>HYPERLINK("https://www.ti.com/lit/gpn/TPS73HD3", "PDF")</f>
        <v>PDF</v>
      </c>
      <c r="D4990" s="5" t="s">
        <v>45767</v>
      </c>
      <c r="E4990" s="5" t="s">
        <v>45768</v>
      </c>
      <c r="F4990" s="5"/>
      <c r="G4990" s="5" t="s">
        <v>45769</v>
      </c>
      <c r="H4990" s="1" t="s">
        <v>45770</v>
      </c>
      <c r="I4990" s="5" t="s">
        <v>45771</v>
      </c>
      <c r="J4990" s="7">
        <v>28</v>
      </c>
      <c r="K4990" s="7">
        <v>62.08</v>
      </c>
      <c r="L4990" s="5" t="s">
        <v>45772</v>
      </c>
      <c r="M4990" s="7">
        <v>1.2</v>
      </c>
      <c r="N4990" s="7">
        <v>0.65</v>
      </c>
      <c r="O4990" s="7">
        <v>5.8819999999999997</v>
      </c>
      <c r="P4990" s="1" t="s">
        <v>45773</v>
      </c>
    </row>
    <row r="4991" spans="1:16" ht="49.75" x14ac:dyDescent="0.3">
      <c r="A4991" s="6" t="str">
        <f>HYPERLINK("https://www.ti.com/product/LMS1585A", "LMS1585A")</f>
        <v>LMS1585A</v>
      </c>
      <c r="B4991" s="5" t="s">
        <v>45774</v>
      </c>
      <c r="C4991" s="6" t="str">
        <f>HYPERLINK("https://www.ti.com/lit/gpn/LMS1585A", "PDF")</f>
        <v>PDF</v>
      </c>
      <c r="D4991" s="5" t="s">
        <v>45775</v>
      </c>
      <c r="E4991" s="5" t="s">
        <v>45776</v>
      </c>
      <c r="F4991" s="5"/>
      <c r="G4991" s="5" t="s">
        <v>45777</v>
      </c>
      <c r="H4991" s="1" t="s">
        <v>45778</v>
      </c>
      <c r="I4991" s="5" t="s">
        <v>45779</v>
      </c>
      <c r="J4991" s="7">
        <v>3</v>
      </c>
      <c r="K4991" s="7" t="s">
        <v>45780</v>
      </c>
      <c r="L4991" s="5" t="s">
        <v>45781</v>
      </c>
      <c r="M4991" s="7" t="s">
        <v>45782</v>
      </c>
      <c r="N4991" s="7">
        <v>2.54</v>
      </c>
      <c r="O4991" s="7">
        <v>1.1459999999999999</v>
      </c>
      <c r="P4991" s="1" t="s">
        <v>45783</v>
      </c>
    </row>
    <row r="4992" spans="1:16" ht="49.75" x14ac:dyDescent="0.3">
      <c r="A4992" s="6" t="str">
        <f>HYPERLINK("https://www.ti.com/product/LMS1587", "LMS1587")</f>
        <v>LMS1587</v>
      </c>
      <c r="B4992" s="5" t="s">
        <v>45784</v>
      </c>
      <c r="C4992" s="6" t="str">
        <f>HYPERLINK("https://www.ti.com/lit/gpn/LMS1587", "PDF")</f>
        <v>PDF</v>
      </c>
      <c r="D4992" s="5" t="s">
        <v>45785</v>
      </c>
      <c r="E4992" s="5" t="s">
        <v>45786</v>
      </c>
      <c r="F4992" s="5"/>
      <c r="G4992" s="5" t="s">
        <v>45787</v>
      </c>
      <c r="H4992" s="1" t="s">
        <v>45788</v>
      </c>
      <c r="I4992" s="5" t="s">
        <v>45789</v>
      </c>
      <c r="J4992" s="7">
        <v>3</v>
      </c>
      <c r="K4992" s="7" t="s">
        <v>45790</v>
      </c>
      <c r="L4992" s="5" t="s">
        <v>45791</v>
      </c>
      <c r="M4992" s="7" t="s">
        <v>45792</v>
      </c>
      <c r="N4992" s="7">
        <v>2.54</v>
      </c>
      <c r="O4992" s="7">
        <v>1.0980000000000001</v>
      </c>
      <c r="P4992" s="1" t="s">
        <v>45793</v>
      </c>
    </row>
    <row r="4993" spans="1:16" ht="33.4" x14ac:dyDescent="0.3">
      <c r="A4993" s="6" t="str">
        <f>HYPERLINK("https://www.ti.com/product/LM828", "LM828")</f>
        <v>LM828</v>
      </c>
      <c r="B4993" s="5" t="s">
        <v>45794</v>
      </c>
      <c r="C4993" s="6" t="str">
        <f>HYPERLINK("https://www.ti.com/lit/gpn/LM828", "PDF")</f>
        <v>PDF</v>
      </c>
      <c r="D4993" s="5" t="s">
        <v>45795</v>
      </c>
      <c r="E4993" s="5" t="s">
        <v>45796</v>
      </c>
      <c r="F4993" s="5"/>
      <c r="G4993" s="5" t="s">
        <v>45797</v>
      </c>
      <c r="H4993" s="1" t="s">
        <v>45798</v>
      </c>
      <c r="I4993" s="5" t="s">
        <v>45799</v>
      </c>
      <c r="J4993" s="7">
        <v>5</v>
      </c>
      <c r="K4993" s="7">
        <v>8.1199999999999992</v>
      </c>
      <c r="L4993" s="5" t="s">
        <v>45800</v>
      </c>
      <c r="M4993" s="7">
        <v>1.45</v>
      </c>
      <c r="N4993" s="7">
        <v>0.95</v>
      </c>
      <c r="O4993" s="7">
        <v>0.32200000000000001</v>
      </c>
      <c r="P4993" s="1" t="s">
        <v>45801</v>
      </c>
    </row>
    <row r="4994" spans="1:16" ht="33.4" x14ac:dyDescent="0.3">
      <c r="A4994" s="6" t="str">
        <f>HYPERLINK("https://www.ti.com/product/MAX660", "MAX660")</f>
        <v>MAX660</v>
      </c>
      <c r="B4994" s="5" t="s">
        <v>45802</v>
      </c>
      <c r="C4994" s="6" t="str">
        <f>HYPERLINK("https://www.ti.com/lit/gpn/MAX660", "PDF")</f>
        <v>PDF</v>
      </c>
      <c r="D4994" s="5" t="s">
        <v>45803</v>
      </c>
      <c r="E4994" s="5" t="s">
        <v>45804</v>
      </c>
      <c r="F4994" s="5"/>
      <c r="G4994" s="5" t="s">
        <v>45805</v>
      </c>
      <c r="H4994" s="1" t="s">
        <v>45806</v>
      </c>
      <c r="I4994" s="5" t="s">
        <v>45807</v>
      </c>
      <c r="J4994" s="7">
        <v>8</v>
      </c>
      <c r="K4994" s="7">
        <v>29.4</v>
      </c>
      <c r="L4994" s="5" t="s">
        <v>45808</v>
      </c>
      <c r="M4994" s="7">
        <v>1.75</v>
      </c>
      <c r="N4994" s="7">
        <v>1.27</v>
      </c>
      <c r="O4994" s="7">
        <v>0.56899999999999995</v>
      </c>
      <c r="P4994" s="1" t="s">
        <v>45809</v>
      </c>
    </row>
    <row r="4995" spans="1:16" ht="17.05" x14ac:dyDescent="0.3">
      <c r="A4995" s="6" t="str">
        <f>HYPERLINK("https://www.ti.com/product/TLC5905", "TLC5905")</f>
        <v>TLC5905</v>
      </c>
      <c r="B4995" s="5" t="s">
        <v>45810</v>
      </c>
      <c r="C4995" s="6" t="str">
        <f>HYPERLINK("https://www.ti.com/lit/gpn/TLC5905", "PDF")</f>
        <v>PDF</v>
      </c>
      <c r="D4995" s="5" t="s">
        <v>45811</v>
      </c>
      <c r="E4995" s="5" t="s">
        <v>45812</v>
      </c>
      <c r="F4995" s="5"/>
      <c r="G4995" s="5" t="s">
        <v>45813</v>
      </c>
      <c r="H4995" s="1" t="s">
        <v>45814</v>
      </c>
      <c r="I4995" s="5" t="s">
        <v>45815</v>
      </c>
      <c r="J4995" s="7">
        <v>64</v>
      </c>
      <c r="K4995" s="7">
        <v>144</v>
      </c>
      <c r="L4995" s="5" t="s">
        <v>45816</v>
      </c>
      <c r="M4995" s="7">
        <v>1.2</v>
      </c>
      <c r="N4995" s="7">
        <v>0.5</v>
      </c>
      <c r="O4995" s="7">
        <v>2.5070000000000001</v>
      </c>
      <c r="P4995" s="1" t="s">
        <v>45817</v>
      </c>
    </row>
    <row r="4996" spans="1:16" ht="33.4" x14ac:dyDescent="0.3">
      <c r="A4996" s="6" t="str">
        <f>HYPERLINK("https://www.ti.com/product/TPS2043", "TPS2043")</f>
        <v>TPS2043</v>
      </c>
      <c r="B4996" s="5" t="s">
        <v>45818</v>
      </c>
      <c r="C4996" s="6" t="str">
        <f>HYPERLINK("https://www.ti.com/lit/gpn/TPS2043", "PDF")</f>
        <v>PDF</v>
      </c>
      <c r="D4996" s="5" t="s">
        <v>45819</v>
      </c>
      <c r="E4996" s="5" t="s">
        <v>45820</v>
      </c>
      <c r="F4996" s="5"/>
      <c r="G4996" s="5" t="s">
        <v>45821</v>
      </c>
      <c r="H4996" s="1" t="s">
        <v>45822</v>
      </c>
      <c r="I4996" s="5" t="s">
        <v>45823</v>
      </c>
      <c r="J4996" s="7">
        <v>16</v>
      </c>
      <c r="K4996" s="7">
        <v>59.4</v>
      </c>
      <c r="L4996" s="5" t="s">
        <v>45824</v>
      </c>
      <c r="M4996" s="7">
        <v>1.75</v>
      </c>
      <c r="N4996" s="7">
        <v>1.27</v>
      </c>
      <c r="O4996" s="7">
        <v>2.5720000000000001</v>
      </c>
      <c r="P4996" s="1" t="s">
        <v>45825</v>
      </c>
    </row>
    <row r="4997" spans="1:16" ht="33.4" x14ac:dyDescent="0.3">
      <c r="A4997" s="6" t="str">
        <f>HYPERLINK("https://www.ti.com/product/TPS3705", "TPS3705")</f>
        <v>TPS3705</v>
      </c>
      <c r="B4997" s="5" t="s">
        <v>45826</v>
      </c>
      <c r="C4997" s="6" t="str">
        <f>HYPERLINK("https://www.ti.com/lit/gpn/TPS3705", "PDF")</f>
        <v>PDF</v>
      </c>
      <c r="D4997" s="5" t="s">
        <v>45827</v>
      </c>
      <c r="E4997" s="5" t="s">
        <v>45828</v>
      </c>
      <c r="F4997" s="5"/>
      <c r="G4997" s="5" t="s">
        <v>45829</v>
      </c>
      <c r="H4997" s="1" t="s">
        <v>45830</v>
      </c>
      <c r="I4997" s="5" t="s">
        <v>45831</v>
      </c>
      <c r="J4997" s="7">
        <v>8</v>
      </c>
      <c r="K4997" s="7" t="s">
        <v>45832</v>
      </c>
      <c r="L4997" s="5" t="s">
        <v>45833</v>
      </c>
      <c r="M4997" s="7" t="s">
        <v>45834</v>
      </c>
      <c r="N4997" s="7" t="s">
        <v>45835</v>
      </c>
      <c r="O4997" s="7">
        <v>0.82799999999999996</v>
      </c>
      <c r="P4997" s="1" t="s">
        <v>45836</v>
      </c>
    </row>
    <row r="4998" spans="1:16" ht="33.4" x14ac:dyDescent="0.3">
      <c r="A4998" s="6" t="str">
        <f>HYPERLINK("https://www.ti.com/product/TPS3707", "TPS3707")</f>
        <v>TPS3707</v>
      </c>
      <c r="B4998" s="5" t="s">
        <v>45837</v>
      </c>
      <c r="C4998" s="6" t="str">
        <f>HYPERLINK("https://www.ti.com/lit/gpn/TPS3707", "PDF")</f>
        <v>PDF</v>
      </c>
      <c r="D4998" s="5" t="s">
        <v>45838</v>
      </c>
      <c r="E4998" s="5" t="s">
        <v>45839</v>
      </c>
      <c r="F4998" s="5"/>
      <c r="G4998" s="5" t="s">
        <v>45840</v>
      </c>
      <c r="H4998" s="1" t="s">
        <v>45841</v>
      </c>
      <c r="I4998" s="5" t="s">
        <v>45842</v>
      </c>
      <c r="J4998" s="7">
        <v>8</v>
      </c>
      <c r="K4998" s="7" t="s">
        <v>45843</v>
      </c>
      <c r="L4998" s="5" t="s">
        <v>45844</v>
      </c>
      <c r="M4998" s="7" t="s">
        <v>45845</v>
      </c>
      <c r="N4998" s="7" t="s">
        <v>45846</v>
      </c>
      <c r="O4998" s="7">
        <v>0.92500000000000004</v>
      </c>
      <c r="P4998" s="1" t="s">
        <v>45847</v>
      </c>
    </row>
    <row r="4999" spans="1:16" ht="33.4" x14ac:dyDescent="0.3">
      <c r="A4999" s="6" t="str">
        <f>HYPERLINK("https://www.ti.com/product/TPS3305", "TPS3305")</f>
        <v>TPS3305</v>
      </c>
      <c r="B4999" s="5" t="s">
        <v>45848</v>
      </c>
      <c r="C4999" s="6" t="str">
        <f>HYPERLINK("https://www.ti.com/lit/gpn/TPS3305", "PDF")</f>
        <v>PDF</v>
      </c>
      <c r="D4999" s="5" t="s">
        <v>45849</v>
      </c>
      <c r="E4999" s="5" t="s">
        <v>45850</v>
      </c>
      <c r="F4999" s="5"/>
      <c r="G4999" s="5" t="s">
        <v>45851</v>
      </c>
      <c r="H4999" s="1" t="s">
        <v>45852</v>
      </c>
      <c r="I4999" s="5" t="s">
        <v>45853</v>
      </c>
      <c r="J4999" s="7">
        <v>8</v>
      </c>
      <c r="K4999" s="7" t="s">
        <v>45854</v>
      </c>
      <c r="L4999" s="5" t="s">
        <v>45855</v>
      </c>
      <c r="M4999" s="7" t="s">
        <v>45856</v>
      </c>
      <c r="N4999" s="7" t="s">
        <v>45857</v>
      </c>
      <c r="O4999" s="7">
        <v>1.1579999999999999</v>
      </c>
      <c r="P4999" s="1" t="s">
        <v>45858</v>
      </c>
    </row>
    <row r="5000" spans="1:16" ht="33.4" x14ac:dyDescent="0.3">
      <c r="A5000" s="6" t="str">
        <f>HYPERLINK("https://www.ti.com/product/TPS3307", "TPS3307")</f>
        <v>TPS3307</v>
      </c>
      <c r="B5000" s="5" t="s">
        <v>45859</v>
      </c>
      <c r="C5000" s="6" t="str">
        <f>HYPERLINK("https://www.ti.com/lit/gpn/TPS3307", "PDF")</f>
        <v>PDF</v>
      </c>
      <c r="D5000" s="5" t="s">
        <v>45860</v>
      </c>
      <c r="E5000" s="5" t="s">
        <v>45861</v>
      </c>
      <c r="F5000" s="5"/>
      <c r="G5000" s="5" t="s">
        <v>45862</v>
      </c>
      <c r="H5000" s="1" t="s">
        <v>45863</v>
      </c>
      <c r="I5000" s="5" t="s">
        <v>45864</v>
      </c>
      <c r="J5000" s="7">
        <v>8</v>
      </c>
      <c r="K5000" s="7" t="s">
        <v>45865</v>
      </c>
      <c r="L5000" s="5" t="s">
        <v>45866</v>
      </c>
      <c r="M5000" s="7" t="s">
        <v>45867</v>
      </c>
      <c r="N5000" s="7" t="s">
        <v>45868</v>
      </c>
      <c r="O5000" s="7">
        <v>1.38</v>
      </c>
      <c r="P5000" s="1" t="s">
        <v>45869</v>
      </c>
    </row>
    <row r="5001" spans="1:16" ht="49.75" x14ac:dyDescent="0.3">
      <c r="A5001" s="6" t="str">
        <f>HYPERLINK("https://www.ti.com/product/LM2941QML", "LM2941QML")</f>
        <v>LM2941QML</v>
      </c>
      <c r="B5001" s="5" t="s">
        <v>45870</v>
      </c>
      <c r="C5001" s="6" t="str">
        <f>HYPERLINK("https://www.ti.com/lit/gpn/LM2941QML", "PDF")</f>
        <v>PDF</v>
      </c>
      <c r="D5001" s="5" t="s">
        <v>45871</v>
      </c>
      <c r="E5001" s="5" t="s">
        <v>45872</v>
      </c>
      <c r="F5001" s="5"/>
      <c r="G5001" s="5" t="s">
        <v>45873</v>
      </c>
      <c r="H5001" s="1" t="s">
        <v>45874</v>
      </c>
      <c r="I5001" s="5" t="s">
        <v>45875</v>
      </c>
      <c r="J5001" s="7" t="s">
        <v>45876</v>
      </c>
      <c r="K5001" s="7" t="s">
        <v>45877</v>
      </c>
      <c r="L5001" s="5" t="s">
        <v>45878</v>
      </c>
      <c r="M5001" s="7" t="s">
        <v>45879</v>
      </c>
      <c r="N5001" s="7" t="s">
        <v>45880</v>
      </c>
      <c r="O5001" s="7">
        <v>10.057</v>
      </c>
      <c r="P5001" s="1" t="s">
        <v>45881</v>
      </c>
    </row>
    <row r="5002" spans="1:16" ht="49.75" x14ac:dyDescent="0.3">
      <c r="A5002" s="6" t="str">
        <f>HYPERLINK("https://www.ti.com/product/LM2941QML-SP", "LM2941QML-SP")</f>
        <v>LM2941QML-SP</v>
      </c>
      <c r="B5002" s="5" t="s">
        <v>45882</v>
      </c>
      <c r="C5002" s="6" t="str">
        <f>HYPERLINK("https://www.ti.com/lit/gpn/LM2941QML-SP", "PDF")</f>
        <v>PDF</v>
      </c>
      <c r="D5002" s="5" t="s">
        <v>45883</v>
      </c>
      <c r="E5002" s="5" t="s">
        <v>45884</v>
      </c>
      <c r="F5002" s="5"/>
      <c r="G5002" s="5" t="s">
        <v>45885</v>
      </c>
      <c r="H5002" s="1" t="s">
        <v>45886</v>
      </c>
      <c r="I5002" s="5" t="s">
        <v>45887</v>
      </c>
      <c r="J5002" s="7" t="s">
        <v>45888</v>
      </c>
      <c r="K5002" s="7" t="s">
        <v>45889</v>
      </c>
      <c r="L5002" s="5" t="s">
        <v>45890</v>
      </c>
      <c r="M5002" s="7" t="s">
        <v>45891</v>
      </c>
      <c r="N5002" s="7" t="s">
        <v>45892</v>
      </c>
      <c r="O5002" s="7">
        <v>384.44099999999997</v>
      </c>
      <c r="P5002" s="1" t="s">
        <v>45893</v>
      </c>
    </row>
    <row r="5003" spans="1:16" ht="33.4" x14ac:dyDescent="0.3">
      <c r="A5003" s="6" t="str">
        <f>HYPERLINK("https://www.ti.com/product/TPS761", "TPS761")</f>
        <v>TPS761</v>
      </c>
      <c r="B5003" s="5" t="s">
        <v>45894</v>
      </c>
      <c r="C5003" s="6" t="str">
        <f>HYPERLINK("https://www.ti.com/lit/gpn/TPS761", "PDF")</f>
        <v>PDF</v>
      </c>
      <c r="D5003" s="5" t="s">
        <v>45895</v>
      </c>
      <c r="E5003" s="5" t="s">
        <v>45896</v>
      </c>
      <c r="F5003" s="5"/>
      <c r="G5003" s="5" t="s">
        <v>45897</v>
      </c>
      <c r="H5003" s="1" t="s">
        <v>45898</v>
      </c>
      <c r="I5003" s="5" t="s">
        <v>45899</v>
      </c>
      <c r="J5003" s="7">
        <v>5</v>
      </c>
      <c r="K5003" s="7">
        <v>8.1199999999999992</v>
      </c>
      <c r="L5003" s="5" t="s">
        <v>45900</v>
      </c>
      <c r="M5003" s="7">
        <v>1.45</v>
      </c>
      <c r="N5003" s="7">
        <v>0.95</v>
      </c>
      <c r="O5003" s="7">
        <v>0.50700000000000001</v>
      </c>
      <c r="P5003" s="1" t="s">
        <v>45901</v>
      </c>
    </row>
    <row r="5004" spans="1:16" ht="33.4" x14ac:dyDescent="0.3">
      <c r="A5004" s="6" t="str">
        <f>HYPERLINK("https://www.ti.com/product/LM2681", "LM2681")</f>
        <v>LM2681</v>
      </c>
      <c r="B5004" s="5" t="s">
        <v>45902</v>
      </c>
      <c r="C5004" s="6" t="str">
        <f>HYPERLINK("https://www.ti.com/lit/gpn/LM2681", "PDF")</f>
        <v>PDF</v>
      </c>
      <c r="D5004" s="5" t="s">
        <v>45903</v>
      </c>
      <c r="E5004" s="5" t="s">
        <v>45904</v>
      </c>
      <c r="F5004" s="5"/>
      <c r="G5004" s="5" t="s">
        <v>45905</v>
      </c>
      <c r="H5004" s="1" t="s">
        <v>45906</v>
      </c>
      <c r="I5004" s="5" t="s">
        <v>45907</v>
      </c>
      <c r="J5004" s="7">
        <v>6</v>
      </c>
      <c r="K5004" s="7">
        <v>8.1199999999999992</v>
      </c>
      <c r="L5004" s="5" t="s">
        <v>45908</v>
      </c>
      <c r="M5004" s="7">
        <v>1.45</v>
      </c>
      <c r="N5004" s="7">
        <v>0.95</v>
      </c>
      <c r="O5004" s="7">
        <v>0.38</v>
      </c>
      <c r="P5004" s="1" t="s">
        <v>45909</v>
      </c>
    </row>
    <row r="5005" spans="1:16" ht="33.4" x14ac:dyDescent="0.3">
      <c r="A5005" s="6" t="str">
        <f>HYPERLINK("https://www.ti.com/product/UCC29421", "UCC29421")</f>
        <v>UCC29421</v>
      </c>
      <c r="B5005" s="5" t="s">
        <v>45910</v>
      </c>
      <c r="C5005" s="6" t="str">
        <f>HYPERLINK("https://www.ti.com/lit/gpn/UCC29421", "PDF")</f>
        <v>PDF</v>
      </c>
      <c r="D5005" s="5" t="s">
        <v>45911</v>
      </c>
      <c r="E5005" s="5" t="s">
        <v>45912</v>
      </c>
      <c r="F5005" s="5" t="s">
        <v>45913</v>
      </c>
      <c r="G5005" s="5" t="s">
        <v>45914</v>
      </c>
      <c r="H5005" s="1" t="s">
        <v>45915</v>
      </c>
      <c r="I5005" s="5" t="s">
        <v>45916</v>
      </c>
      <c r="J5005" s="7">
        <v>16</v>
      </c>
      <c r="K5005" s="7">
        <v>32</v>
      </c>
      <c r="L5005" s="5" t="s">
        <v>45917</v>
      </c>
      <c r="M5005" s="7">
        <v>1.2</v>
      </c>
      <c r="N5005" s="7">
        <v>0.65</v>
      </c>
      <c r="O5005" s="7">
        <v>8.2159999999999993</v>
      </c>
      <c r="P5005" s="1" t="s">
        <v>45918</v>
      </c>
    </row>
    <row r="5006" spans="1:16" ht="33.4" x14ac:dyDescent="0.3">
      <c r="A5006" s="6" t="str">
        <f>HYPERLINK("https://www.ti.com/product/UCC39421", "UCC39421")</f>
        <v>UCC39421</v>
      </c>
      <c r="B5006" s="5" t="s">
        <v>45919</v>
      </c>
      <c r="C5006" s="6" t="str">
        <f>HYPERLINK("https://www.ti.com/lit/gpn/UCC39421", "PDF")</f>
        <v>PDF</v>
      </c>
      <c r="D5006" s="5" t="s">
        <v>45920</v>
      </c>
      <c r="E5006" s="5" t="s">
        <v>45921</v>
      </c>
      <c r="F5006" s="5" t="s">
        <v>45922</v>
      </c>
      <c r="G5006" s="5" t="s">
        <v>45923</v>
      </c>
      <c r="H5006" s="1" t="s">
        <v>45924</v>
      </c>
      <c r="I5006" s="5" t="s">
        <v>45925</v>
      </c>
      <c r="J5006" s="7">
        <v>16</v>
      </c>
      <c r="K5006" s="7">
        <v>32</v>
      </c>
      <c r="L5006" s="5" t="s">
        <v>45926</v>
      </c>
      <c r="M5006" s="7">
        <v>1.2</v>
      </c>
      <c r="N5006" s="7">
        <v>0.65</v>
      </c>
      <c r="O5006" s="7">
        <v>8.0549999999999997</v>
      </c>
      <c r="P5006" s="1" t="s">
        <v>45927</v>
      </c>
    </row>
    <row r="5007" spans="1:16" ht="33.4" x14ac:dyDescent="0.3">
      <c r="A5007" s="6" t="str">
        <f>HYPERLINK("https://www.ti.com/product/TPS2020", "TPS2020")</f>
        <v>TPS2020</v>
      </c>
      <c r="B5007" s="5" t="s">
        <v>45928</v>
      </c>
      <c r="C5007" s="6" t="str">
        <f>HYPERLINK("https://www.ti.com/lit/gpn/TPS2020", "PDF")</f>
        <v>PDF</v>
      </c>
      <c r="D5007" s="5" t="s">
        <v>45929</v>
      </c>
      <c r="E5007" s="5" t="s">
        <v>45930</v>
      </c>
      <c r="F5007" s="5"/>
      <c r="G5007" s="5" t="s">
        <v>45931</v>
      </c>
      <c r="H5007" s="1" t="s">
        <v>45932</v>
      </c>
      <c r="I5007" s="5" t="s">
        <v>45933</v>
      </c>
      <c r="J5007" s="7">
        <v>8</v>
      </c>
      <c r="K5007" s="7">
        <v>29.4</v>
      </c>
      <c r="L5007" s="5" t="s">
        <v>45934</v>
      </c>
      <c r="M5007" s="7">
        <v>1.75</v>
      </c>
      <c r="N5007" s="7">
        <v>1.27</v>
      </c>
      <c r="O5007" s="7">
        <v>0.98899999999999999</v>
      </c>
      <c r="P5007" s="1" t="s">
        <v>45935</v>
      </c>
    </row>
    <row r="5008" spans="1:16" ht="49.75" x14ac:dyDescent="0.3">
      <c r="A5008" s="6" t="str">
        <f>HYPERLINK("https://www.ti.com/product/TPS2021", "TPS2021")</f>
        <v>TPS2021</v>
      </c>
      <c r="B5008" s="5" t="s">
        <v>45936</v>
      </c>
      <c r="C5008" s="6" t="str">
        <f>HYPERLINK("https://www.ti.com/lit/gpn/TPS2021", "PDF")</f>
        <v>PDF</v>
      </c>
      <c r="D5008" s="5" t="s">
        <v>45937</v>
      </c>
      <c r="E5008" s="5" t="s">
        <v>45938</v>
      </c>
      <c r="F5008" s="5"/>
      <c r="G5008" s="5" t="s">
        <v>45939</v>
      </c>
      <c r="H5008" s="1" t="s">
        <v>45940</v>
      </c>
      <c r="I5008" s="5" t="s">
        <v>45941</v>
      </c>
      <c r="J5008" s="7">
        <v>8</v>
      </c>
      <c r="K5008" s="7" t="s">
        <v>45942</v>
      </c>
      <c r="L5008" s="5" t="s">
        <v>45943</v>
      </c>
      <c r="M5008" s="7" t="s">
        <v>45944</v>
      </c>
      <c r="N5008" s="7" t="s">
        <v>45945</v>
      </c>
      <c r="O5008" s="7">
        <v>0.98899999999999999</v>
      </c>
      <c r="P5008" s="1" t="s">
        <v>45946</v>
      </c>
    </row>
    <row r="5009" spans="1:16" ht="33.4" x14ac:dyDescent="0.3">
      <c r="A5009" s="6" t="str">
        <f>HYPERLINK("https://www.ti.com/product/TPS2022", "TPS2022")</f>
        <v>TPS2022</v>
      </c>
      <c r="B5009" s="5" t="s">
        <v>45947</v>
      </c>
      <c r="C5009" s="6" t="str">
        <f>HYPERLINK("https://www.ti.com/lit/gpn/TPS2022", "PDF")</f>
        <v>PDF</v>
      </c>
      <c r="D5009" s="5" t="s">
        <v>45948</v>
      </c>
      <c r="E5009" s="5" t="s">
        <v>45949</v>
      </c>
      <c r="F5009" s="5"/>
      <c r="G5009" s="5" t="s">
        <v>45950</v>
      </c>
      <c r="H5009" s="1" t="s">
        <v>45951</v>
      </c>
      <c r="I5009" s="5" t="s">
        <v>45952</v>
      </c>
      <c r="J5009" s="7">
        <v>8</v>
      </c>
      <c r="K5009" s="7">
        <v>29.4</v>
      </c>
      <c r="L5009" s="5" t="s">
        <v>45953</v>
      </c>
      <c r="M5009" s="7">
        <v>1.75</v>
      </c>
      <c r="N5009" s="7">
        <v>1.27</v>
      </c>
      <c r="O5009" s="7">
        <v>0.98899999999999999</v>
      </c>
      <c r="P5009" s="1" t="s">
        <v>45954</v>
      </c>
    </row>
    <row r="5010" spans="1:16" ht="49.75" x14ac:dyDescent="0.3">
      <c r="A5010" s="6" t="str">
        <f>HYPERLINK("https://www.ti.com/product/TPS2023", "TPS2023")</f>
        <v>TPS2023</v>
      </c>
      <c r="B5010" s="5" t="s">
        <v>45955</v>
      </c>
      <c r="C5010" s="6" t="str">
        <f>HYPERLINK("https://www.ti.com/lit/gpn/TPS2023", "PDF")</f>
        <v>PDF</v>
      </c>
      <c r="D5010" s="5" t="s">
        <v>45956</v>
      </c>
      <c r="E5010" s="5" t="s">
        <v>45957</v>
      </c>
      <c r="F5010" s="5"/>
      <c r="G5010" s="5" t="s">
        <v>45958</v>
      </c>
      <c r="H5010" s="1" t="s">
        <v>45959</v>
      </c>
      <c r="I5010" s="5" t="s">
        <v>45960</v>
      </c>
      <c r="J5010" s="7">
        <v>8</v>
      </c>
      <c r="K5010" s="7" t="s">
        <v>45961</v>
      </c>
      <c r="L5010" s="5" t="s">
        <v>45962</v>
      </c>
      <c r="M5010" s="7" t="s">
        <v>45963</v>
      </c>
      <c r="N5010" s="7" t="s">
        <v>45964</v>
      </c>
      <c r="O5010" s="7">
        <v>0.98899999999999999</v>
      </c>
      <c r="P5010" s="1" t="s">
        <v>45965</v>
      </c>
    </row>
    <row r="5011" spans="1:16" ht="49.75" x14ac:dyDescent="0.3">
      <c r="A5011" s="6" t="str">
        <f>HYPERLINK("https://www.ti.com/product/TPS2024", "TPS2024")</f>
        <v>TPS2024</v>
      </c>
      <c r="B5011" s="5" t="s">
        <v>45966</v>
      </c>
      <c r="C5011" s="6" t="str">
        <f>HYPERLINK("https://www.ti.com/lit/gpn/TPS2024", "PDF")</f>
        <v>PDF</v>
      </c>
      <c r="D5011" s="5" t="s">
        <v>45967</v>
      </c>
      <c r="E5011" s="5" t="s">
        <v>45968</v>
      </c>
      <c r="F5011" s="5"/>
      <c r="G5011" s="5" t="s">
        <v>45969</v>
      </c>
      <c r="H5011" s="1" t="s">
        <v>45970</v>
      </c>
      <c r="I5011" s="5" t="s">
        <v>45971</v>
      </c>
      <c r="J5011" s="7">
        <v>8</v>
      </c>
      <c r="K5011" s="7" t="s">
        <v>45972</v>
      </c>
      <c r="L5011" s="5" t="s">
        <v>45973</v>
      </c>
      <c r="M5011" s="7" t="s">
        <v>45974</v>
      </c>
      <c r="N5011" s="7" t="s">
        <v>45975</v>
      </c>
      <c r="O5011" s="7">
        <v>0.98899999999999999</v>
      </c>
      <c r="P5011" s="1" t="s">
        <v>45976</v>
      </c>
    </row>
    <row r="5012" spans="1:16" ht="49.75" x14ac:dyDescent="0.3">
      <c r="A5012" s="6" t="str">
        <f>HYPERLINK("https://www.ti.com/product/TPS2030", "TPS2030")</f>
        <v>TPS2030</v>
      </c>
      <c r="B5012" s="5" t="s">
        <v>45977</v>
      </c>
      <c r="C5012" s="6" t="str">
        <f>HYPERLINK("https://www.ti.com/lit/gpn/TPS2030", "PDF")</f>
        <v>PDF</v>
      </c>
      <c r="D5012" s="5" t="s">
        <v>45978</v>
      </c>
      <c r="E5012" s="5" t="s">
        <v>45979</v>
      </c>
      <c r="F5012" s="5"/>
      <c r="G5012" s="5" t="s">
        <v>45980</v>
      </c>
      <c r="H5012" s="1" t="s">
        <v>45981</v>
      </c>
      <c r="I5012" s="5" t="s">
        <v>45982</v>
      </c>
      <c r="J5012" s="7">
        <v>8</v>
      </c>
      <c r="K5012" s="7" t="s">
        <v>45983</v>
      </c>
      <c r="L5012" s="5" t="s">
        <v>45984</v>
      </c>
      <c r="M5012" s="7" t="s">
        <v>45985</v>
      </c>
      <c r="N5012" s="7" t="s">
        <v>45986</v>
      </c>
      <c r="O5012" s="7">
        <v>0.98899999999999999</v>
      </c>
      <c r="P5012" s="1" t="s">
        <v>45987</v>
      </c>
    </row>
    <row r="5013" spans="1:16" ht="49.75" x14ac:dyDescent="0.3">
      <c r="A5013" s="6" t="str">
        <f>HYPERLINK("https://www.ti.com/product/TPS2031", "TPS2031")</f>
        <v>TPS2031</v>
      </c>
      <c r="B5013" s="5" t="s">
        <v>45988</v>
      </c>
      <c r="C5013" s="6" t="str">
        <f>HYPERLINK("https://www.ti.com/lit/gpn/TPS2031", "PDF")</f>
        <v>PDF</v>
      </c>
      <c r="D5013" s="5" t="s">
        <v>45989</v>
      </c>
      <c r="E5013" s="5" t="s">
        <v>45990</v>
      </c>
      <c r="F5013" s="5"/>
      <c r="G5013" s="5" t="s">
        <v>45991</v>
      </c>
      <c r="H5013" s="1" t="s">
        <v>45992</v>
      </c>
      <c r="I5013" s="5" t="s">
        <v>45993</v>
      </c>
      <c r="J5013" s="7">
        <v>8</v>
      </c>
      <c r="K5013" s="7" t="s">
        <v>45994</v>
      </c>
      <c r="L5013" s="5" t="s">
        <v>45995</v>
      </c>
      <c r="M5013" s="7" t="s">
        <v>45996</v>
      </c>
      <c r="N5013" s="7" t="s">
        <v>45997</v>
      </c>
      <c r="O5013" s="7">
        <v>0.98899999999999999</v>
      </c>
      <c r="P5013" s="1" t="s">
        <v>45998</v>
      </c>
    </row>
    <row r="5014" spans="1:16" ht="33.4" x14ac:dyDescent="0.3">
      <c r="A5014" s="6" t="str">
        <f>HYPERLINK("https://www.ti.com/product/TPS2032", "TPS2032")</f>
        <v>TPS2032</v>
      </c>
      <c r="B5014" s="5" t="s">
        <v>45999</v>
      </c>
      <c r="C5014" s="6" t="str">
        <f>HYPERLINK("https://www.ti.com/lit/gpn/TPS2032", "PDF")</f>
        <v>PDF</v>
      </c>
      <c r="D5014" s="5" t="s">
        <v>46000</v>
      </c>
      <c r="E5014" s="5" t="s">
        <v>46001</v>
      </c>
      <c r="F5014" s="5"/>
      <c r="G5014" s="5" t="s">
        <v>46002</v>
      </c>
      <c r="H5014" s="1" t="s">
        <v>46003</v>
      </c>
      <c r="I5014" s="5" t="s">
        <v>46004</v>
      </c>
      <c r="J5014" s="7">
        <v>8</v>
      </c>
      <c r="K5014" s="7">
        <v>29.4</v>
      </c>
      <c r="L5014" s="5" t="s">
        <v>46005</v>
      </c>
      <c r="M5014" s="7">
        <v>1.75</v>
      </c>
      <c r="N5014" s="7">
        <v>1.27</v>
      </c>
      <c r="O5014" s="7">
        <v>0.98899999999999999</v>
      </c>
      <c r="P5014" s="1" t="s">
        <v>46006</v>
      </c>
    </row>
    <row r="5015" spans="1:16" ht="33.4" x14ac:dyDescent="0.3">
      <c r="A5015" s="6" t="str">
        <f>HYPERLINK("https://www.ti.com/product/TPS2033", "TPS2033")</f>
        <v>TPS2033</v>
      </c>
      <c r="B5015" s="5" t="s">
        <v>46007</v>
      </c>
      <c r="C5015" s="6" t="str">
        <f>HYPERLINK("https://www.ti.com/lit/gpn/TPS2033", "PDF")</f>
        <v>PDF</v>
      </c>
      <c r="D5015" s="5" t="s">
        <v>46008</v>
      </c>
      <c r="E5015" s="5" t="s">
        <v>46009</v>
      </c>
      <c r="F5015" s="5"/>
      <c r="G5015" s="5" t="s">
        <v>46010</v>
      </c>
      <c r="H5015" s="1" t="s">
        <v>46011</v>
      </c>
      <c r="I5015" s="5" t="s">
        <v>46012</v>
      </c>
      <c r="J5015" s="7">
        <v>8</v>
      </c>
      <c r="K5015" s="7">
        <v>29.4</v>
      </c>
      <c r="L5015" s="5" t="s">
        <v>46013</v>
      </c>
      <c r="M5015" s="7">
        <v>1.75</v>
      </c>
      <c r="N5015" s="7">
        <v>1.27</v>
      </c>
      <c r="O5015" s="7">
        <v>0.98899999999999999</v>
      </c>
      <c r="P5015" s="1" t="s">
        <v>46014</v>
      </c>
    </row>
    <row r="5016" spans="1:16" ht="49.75" x14ac:dyDescent="0.3">
      <c r="A5016" s="6" t="str">
        <f>HYPERLINK("https://www.ti.com/product/TPS2034", "TPS2034")</f>
        <v>TPS2034</v>
      </c>
      <c r="B5016" s="5" t="s">
        <v>46015</v>
      </c>
      <c r="C5016" s="6" t="str">
        <f>HYPERLINK("https://www.ti.com/lit/gpn/TPS2034", "PDF")</f>
        <v>PDF</v>
      </c>
      <c r="D5016" s="5" t="s">
        <v>46016</v>
      </c>
      <c r="E5016" s="5" t="s">
        <v>46017</v>
      </c>
      <c r="F5016" s="5"/>
      <c r="G5016" s="5" t="s">
        <v>46018</v>
      </c>
      <c r="H5016" s="1" t="s">
        <v>46019</v>
      </c>
      <c r="I5016" s="5" t="s">
        <v>46020</v>
      </c>
      <c r="J5016" s="7">
        <v>8</v>
      </c>
      <c r="K5016" s="7" t="s">
        <v>46021</v>
      </c>
      <c r="L5016" s="5" t="s">
        <v>46022</v>
      </c>
      <c r="M5016" s="7" t="s">
        <v>46023</v>
      </c>
      <c r="N5016" s="7" t="s">
        <v>46024</v>
      </c>
      <c r="O5016" s="7">
        <v>0.98899999999999999</v>
      </c>
      <c r="P5016" s="1" t="s">
        <v>46025</v>
      </c>
    </row>
    <row r="5017" spans="1:16" ht="33.4" x14ac:dyDescent="0.3">
      <c r="A5017" s="6" t="str">
        <f>HYPERLINK("https://www.ti.com/product/TPS763", "TPS763")</f>
        <v>TPS763</v>
      </c>
      <c r="B5017" s="5" t="s">
        <v>46026</v>
      </c>
      <c r="C5017" s="6" t="str">
        <f>HYPERLINK("https://www.ti.com/lit/gpn/TPS763", "PDF")</f>
        <v>PDF</v>
      </c>
      <c r="D5017" s="5" t="s">
        <v>46027</v>
      </c>
      <c r="E5017" s="5" t="s">
        <v>46028</v>
      </c>
      <c r="F5017" s="5"/>
      <c r="G5017" s="5" t="s">
        <v>46029</v>
      </c>
      <c r="H5017" s="1" t="s">
        <v>46030</v>
      </c>
      <c r="I5017" s="5" t="s">
        <v>46031</v>
      </c>
      <c r="J5017" s="7">
        <v>5</v>
      </c>
      <c r="K5017" s="7">
        <v>8.1199999999999992</v>
      </c>
      <c r="L5017" s="5" t="s">
        <v>46032</v>
      </c>
      <c r="M5017" s="7">
        <v>1.45</v>
      </c>
      <c r="N5017" s="7">
        <v>0.95</v>
      </c>
      <c r="O5017" s="7">
        <v>0.193</v>
      </c>
      <c r="P5017" s="1" t="s">
        <v>46033</v>
      </c>
    </row>
    <row r="5018" spans="1:16" ht="66.150000000000006" x14ac:dyDescent="0.3">
      <c r="A5018" s="6" t="str">
        <f>HYPERLINK("https://www.ti.com/product/LMV431A", "LMV431A")</f>
        <v>LMV431A</v>
      </c>
      <c r="B5018" s="5" t="s">
        <v>46034</v>
      </c>
      <c r="C5018" s="6" t="str">
        <f>HYPERLINK("https://www.ti.com/lit/gpn/LMV431A", "PDF")</f>
        <v>PDF</v>
      </c>
      <c r="D5018" s="5" t="s">
        <v>46035</v>
      </c>
      <c r="E5018" s="5" t="s">
        <v>46036</v>
      </c>
      <c r="F5018" s="5"/>
      <c r="G5018" s="5" t="s">
        <v>46037</v>
      </c>
      <c r="H5018" s="1" t="s">
        <v>46038</v>
      </c>
      <c r="I5018" s="5" t="s">
        <v>46039</v>
      </c>
      <c r="J5018" s="7" t="s">
        <v>46040</v>
      </c>
      <c r="K5018" s="7" t="s">
        <v>46041</v>
      </c>
      <c r="L5018" s="5" t="s">
        <v>46042</v>
      </c>
      <c r="M5018" s="7" t="s">
        <v>46043</v>
      </c>
      <c r="N5018" s="7" t="s">
        <v>46044</v>
      </c>
      <c r="O5018" s="7">
        <v>0.19</v>
      </c>
      <c r="P5018" s="1" t="s">
        <v>46045</v>
      </c>
    </row>
    <row r="5019" spans="1:16" ht="33.4" x14ac:dyDescent="0.3">
      <c r="A5019" s="6" t="str">
        <f>HYPERLINK("https://www.ti.com/product/LM3525", "LM3525")</f>
        <v>LM3525</v>
      </c>
      <c r="B5019" s="5" t="s">
        <v>46046</v>
      </c>
      <c r="C5019" s="6" t="str">
        <f>HYPERLINK("https://www.ti.com/lit/gpn/LM3525", "PDF")</f>
        <v>PDF</v>
      </c>
      <c r="D5019" s="5" t="s">
        <v>46047</v>
      </c>
      <c r="E5019" s="5" t="s">
        <v>46048</v>
      </c>
      <c r="F5019" s="5"/>
      <c r="G5019" s="5" t="s">
        <v>46049</v>
      </c>
      <c r="H5019" s="1" t="s">
        <v>46050</v>
      </c>
      <c r="I5019" s="5" t="s">
        <v>46051</v>
      </c>
      <c r="J5019" s="7">
        <v>8</v>
      </c>
      <c r="K5019" s="7">
        <v>29.4</v>
      </c>
      <c r="L5019" s="5" t="s">
        <v>46052</v>
      </c>
      <c r="M5019" s="7">
        <v>1.75</v>
      </c>
      <c r="N5019" s="7">
        <v>1.27</v>
      </c>
      <c r="O5019" s="7">
        <v>0.42899999999999999</v>
      </c>
      <c r="P5019" s="1" t="s">
        <v>46053</v>
      </c>
    </row>
    <row r="5020" spans="1:16" ht="33.4" x14ac:dyDescent="0.3">
      <c r="A5020" s="6" t="str">
        <f>HYPERLINK("https://www.ti.com/product/TPS2044", "TPS2044")</f>
        <v>TPS2044</v>
      </c>
      <c r="B5020" s="5" t="s">
        <v>46054</v>
      </c>
      <c r="C5020" s="6" t="str">
        <f>HYPERLINK("https://www.ti.com/lit/gpn/TPS2044", "PDF")</f>
        <v>PDF</v>
      </c>
      <c r="D5020" s="5" t="s">
        <v>46055</v>
      </c>
      <c r="E5020" s="5" t="s">
        <v>46056</v>
      </c>
      <c r="F5020" s="5"/>
      <c r="G5020" s="5" t="s">
        <v>46057</v>
      </c>
      <c r="H5020" s="1" t="s">
        <v>46058</v>
      </c>
      <c r="I5020" s="5" t="s">
        <v>46059</v>
      </c>
      <c r="J5020" s="7">
        <v>16</v>
      </c>
      <c r="K5020" s="7">
        <v>59.4</v>
      </c>
      <c r="L5020" s="5" t="s">
        <v>46060</v>
      </c>
      <c r="M5020" s="7">
        <v>1.75</v>
      </c>
      <c r="N5020" s="7">
        <v>1.27</v>
      </c>
      <c r="O5020" s="7">
        <v>3.1160000000000001</v>
      </c>
      <c r="P5020" s="1" t="s">
        <v>46061</v>
      </c>
    </row>
    <row r="5021" spans="1:16" ht="33.4" x14ac:dyDescent="0.3">
      <c r="A5021" s="6" t="str">
        <f>HYPERLINK("https://www.ti.com/product/TPS2054", "TPS2054")</f>
        <v>TPS2054</v>
      </c>
      <c r="B5021" s="5" t="s">
        <v>46062</v>
      </c>
      <c r="C5021" s="6" t="str">
        <f>HYPERLINK("https://www.ti.com/lit/gpn/TPS2054", "PDF")</f>
        <v>PDF</v>
      </c>
      <c r="D5021" s="5" t="s">
        <v>46063</v>
      </c>
      <c r="E5021" s="5" t="s">
        <v>46064</v>
      </c>
      <c r="F5021" s="5"/>
      <c r="G5021" s="5" t="s">
        <v>46065</v>
      </c>
      <c r="H5021" s="1" t="s">
        <v>46066</v>
      </c>
      <c r="I5021" s="5" t="s">
        <v>46067</v>
      </c>
      <c r="J5021" s="7">
        <v>16</v>
      </c>
      <c r="K5021" s="7">
        <v>59.4</v>
      </c>
      <c r="L5021" s="5" t="s">
        <v>46068</v>
      </c>
      <c r="M5021" s="7">
        <v>1.75</v>
      </c>
      <c r="N5021" s="7">
        <v>1.27</v>
      </c>
      <c r="O5021" s="7">
        <v>3.9380000000000002</v>
      </c>
      <c r="P5021" s="1" t="s">
        <v>46069</v>
      </c>
    </row>
    <row r="5022" spans="1:16" ht="33.4" x14ac:dyDescent="0.3">
      <c r="A5022" s="6" t="str">
        <f>HYPERLINK("https://www.ti.com/product/UCC2808-1", "UCC2808-1")</f>
        <v>UCC2808-1</v>
      </c>
      <c r="B5022" s="5" t="s">
        <v>46070</v>
      </c>
      <c r="C5022" s="6" t="str">
        <f>HYPERLINK("https://www.ti.com/lit/gpn/UCC2808-1", "PDF")</f>
        <v>PDF</v>
      </c>
      <c r="D5022" s="5" t="s">
        <v>46071</v>
      </c>
      <c r="E5022" s="5" t="s">
        <v>46072</v>
      </c>
      <c r="F5022" s="5" t="s">
        <v>46073</v>
      </c>
      <c r="G5022" s="5" t="s">
        <v>46074</v>
      </c>
      <c r="H5022" s="1" t="s">
        <v>46075</v>
      </c>
      <c r="I5022" s="5" t="s">
        <v>46076</v>
      </c>
      <c r="J5022" s="7">
        <v>8</v>
      </c>
      <c r="K5022" s="7">
        <v>29.4</v>
      </c>
      <c r="L5022" s="5" t="s">
        <v>46077</v>
      </c>
      <c r="M5022" s="7">
        <v>1.75</v>
      </c>
      <c r="N5022" s="7">
        <v>1.27</v>
      </c>
      <c r="O5022" s="7">
        <v>1.155</v>
      </c>
      <c r="P5022" s="1" t="s">
        <v>46078</v>
      </c>
    </row>
    <row r="5023" spans="1:16" ht="33.4" x14ac:dyDescent="0.3">
      <c r="A5023" s="6" t="str">
        <f>HYPERLINK("https://www.ti.com/product/UCC2808-2", "UCC2808-2")</f>
        <v>UCC2808-2</v>
      </c>
      <c r="B5023" s="5" t="s">
        <v>46079</v>
      </c>
      <c r="C5023" s="6" t="str">
        <f>HYPERLINK("https://www.ti.com/lit/gpn/UCC2808-2", "PDF")</f>
        <v>PDF</v>
      </c>
      <c r="D5023" s="5" t="s">
        <v>46080</v>
      </c>
      <c r="E5023" s="5" t="s">
        <v>46081</v>
      </c>
      <c r="F5023" s="5" t="s">
        <v>46082</v>
      </c>
      <c r="G5023" s="5" t="s">
        <v>46083</v>
      </c>
      <c r="H5023" s="1" t="s">
        <v>46084</v>
      </c>
      <c r="I5023" s="5" t="s">
        <v>46085</v>
      </c>
      <c r="J5023" s="7">
        <v>8</v>
      </c>
      <c r="K5023" s="7">
        <v>29.4</v>
      </c>
      <c r="L5023" s="5" t="s">
        <v>46086</v>
      </c>
      <c r="M5023" s="7">
        <v>1.75</v>
      </c>
      <c r="N5023" s="7">
        <v>1.27</v>
      </c>
      <c r="O5023" s="7">
        <v>1.5009999999999999</v>
      </c>
      <c r="P5023" s="1" t="s">
        <v>46087</v>
      </c>
    </row>
    <row r="5024" spans="1:16" ht="33.4" x14ac:dyDescent="0.3">
      <c r="A5024" s="6" t="str">
        <f>HYPERLINK("https://www.ti.com/product/UCC2808A-1", "UCC2808A-1")</f>
        <v>UCC2808A-1</v>
      </c>
      <c r="B5024" s="5" t="s">
        <v>46088</v>
      </c>
      <c r="C5024" s="6" t="str">
        <f>HYPERLINK("https://www.ti.com/lit/gpn/UCC2808A-1", "PDF")</f>
        <v>PDF</v>
      </c>
      <c r="D5024" s="5" t="s">
        <v>46089</v>
      </c>
      <c r="E5024" s="5" t="s">
        <v>46090</v>
      </c>
      <c r="F5024" s="5" t="s">
        <v>46091</v>
      </c>
      <c r="G5024" s="5" t="s">
        <v>46092</v>
      </c>
      <c r="H5024" s="1" t="s">
        <v>46093</v>
      </c>
      <c r="I5024" s="5" t="s">
        <v>46094</v>
      </c>
      <c r="J5024" s="7">
        <v>8</v>
      </c>
      <c r="K5024" s="7" t="s">
        <v>46095</v>
      </c>
      <c r="L5024" s="5" t="s">
        <v>46096</v>
      </c>
      <c r="M5024" s="7" t="s">
        <v>46097</v>
      </c>
      <c r="N5024" s="7" t="s">
        <v>46098</v>
      </c>
      <c r="O5024" s="7">
        <v>0.89700000000000002</v>
      </c>
      <c r="P5024" s="1" t="s">
        <v>46099</v>
      </c>
    </row>
    <row r="5025" spans="1:16" ht="33.4" x14ac:dyDescent="0.3">
      <c r="A5025" s="6" t="str">
        <f>HYPERLINK("https://www.ti.com/product/UCC2808A-2", "UCC2808A-2")</f>
        <v>UCC2808A-2</v>
      </c>
      <c r="B5025" s="5" t="s">
        <v>46100</v>
      </c>
      <c r="C5025" s="6" t="str">
        <f>HYPERLINK("https://www.ti.com/lit/gpn/UCC2808A-2", "PDF")</f>
        <v>PDF</v>
      </c>
      <c r="D5025" s="5" t="s">
        <v>46101</v>
      </c>
      <c r="E5025" s="5" t="s">
        <v>46102</v>
      </c>
      <c r="F5025" s="5" t="s">
        <v>46103</v>
      </c>
      <c r="G5025" s="5" t="s">
        <v>46104</v>
      </c>
      <c r="H5025" s="1" t="s">
        <v>46105</v>
      </c>
      <c r="I5025" s="5" t="s">
        <v>46106</v>
      </c>
      <c r="J5025" s="7">
        <v>8</v>
      </c>
      <c r="K5025" s="7" t="s">
        <v>46107</v>
      </c>
      <c r="L5025" s="5" t="s">
        <v>46108</v>
      </c>
      <c r="M5025" s="7" t="s">
        <v>46109</v>
      </c>
      <c r="N5025" s="7" t="s">
        <v>46110</v>
      </c>
      <c r="O5025" s="7">
        <v>1.4650000000000001</v>
      </c>
      <c r="P5025" s="1" t="s">
        <v>46111</v>
      </c>
    </row>
    <row r="5026" spans="1:16" ht="49.75" x14ac:dyDescent="0.3">
      <c r="A5026" s="6" t="str">
        <f>HYPERLINK("https://www.ti.com/product/UCC3808-1", "UCC3808-1")</f>
        <v>UCC3808-1</v>
      </c>
      <c r="B5026" s="5" t="s">
        <v>46112</v>
      </c>
      <c r="C5026" s="6" t="str">
        <f>HYPERLINK("https://www.ti.com/lit/gpn/UCC3808-1", "PDF")</f>
        <v>PDF</v>
      </c>
      <c r="D5026" s="5" t="s">
        <v>46113</v>
      </c>
      <c r="E5026" s="5" t="s">
        <v>46114</v>
      </c>
      <c r="F5026" s="5" t="s">
        <v>46115</v>
      </c>
      <c r="G5026" s="5" t="s">
        <v>46116</v>
      </c>
      <c r="H5026" s="1" t="s">
        <v>46117</v>
      </c>
      <c r="I5026" s="5" t="s">
        <v>46118</v>
      </c>
      <c r="J5026" s="7">
        <v>8</v>
      </c>
      <c r="K5026" s="7" t="s">
        <v>46119</v>
      </c>
      <c r="L5026" s="5" t="s">
        <v>46120</v>
      </c>
      <c r="M5026" s="7" t="s">
        <v>46121</v>
      </c>
      <c r="N5026" s="7" t="s">
        <v>46122</v>
      </c>
      <c r="O5026" s="7">
        <v>1.155</v>
      </c>
      <c r="P5026" s="1" t="s">
        <v>46123</v>
      </c>
    </row>
    <row r="5027" spans="1:16" ht="33.4" x14ac:dyDescent="0.3">
      <c r="A5027" s="6" t="str">
        <f>HYPERLINK("https://www.ti.com/product/UCC3808-2", "UCC3808-2")</f>
        <v>UCC3808-2</v>
      </c>
      <c r="B5027" s="5" t="s">
        <v>46124</v>
      </c>
      <c r="C5027" s="6" t="str">
        <f>HYPERLINK("https://www.ti.com/lit/gpn/UCC3808-2", "PDF")</f>
        <v>PDF</v>
      </c>
      <c r="D5027" s="5" t="s">
        <v>46125</v>
      </c>
      <c r="E5027" s="5" t="s">
        <v>46126</v>
      </c>
      <c r="F5027" s="5" t="s">
        <v>46127</v>
      </c>
      <c r="G5027" s="5" t="s">
        <v>46128</v>
      </c>
      <c r="H5027" s="1" t="s">
        <v>46129</v>
      </c>
      <c r="I5027" s="5" t="s">
        <v>46130</v>
      </c>
      <c r="J5027" s="7">
        <v>8</v>
      </c>
      <c r="K5027" s="7">
        <v>29.4</v>
      </c>
      <c r="L5027" s="5" t="s">
        <v>46131</v>
      </c>
      <c r="M5027" s="7">
        <v>1.75</v>
      </c>
      <c r="N5027" s="7">
        <v>1.27</v>
      </c>
      <c r="O5027" s="7">
        <v>1.5009999999999999</v>
      </c>
      <c r="P5027" s="1" t="s">
        <v>46132</v>
      </c>
    </row>
    <row r="5028" spans="1:16" ht="33.4" x14ac:dyDescent="0.3">
      <c r="A5028" s="6" t="str">
        <f>HYPERLINK("https://www.ti.com/product/UCC3808A-1", "UCC3808A-1")</f>
        <v>UCC3808A-1</v>
      </c>
      <c r="B5028" s="5" t="s">
        <v>46133</v>
      </c>
      <c r="C5028" s="6" t="str">
        <f>HYPERLINK("https://www.ti.com/lit/gpn/UCC3808A-1", "PDF")</f>
        <v>PDF</v>
      </c>
      <c r="D5028" s="5" t="s">
        <v>46134</v>
      </c>
      <c r="E5028" s="5" t="s">
        <v>46135</v>
      </c>
      <c r="F5028" s="5" t="s">
        <v>46136</v>
      </c>
      <c r="G5028" s="5" t="s">
        <v>46137</v>
      </c>
      <c r="H5028" s="1" t="s">
        <v>46138</v>
      </c>
      <c r="I5028" s="5" t="s">
        <v>46139</v>
      </c>
      <c r="J5028" s="7">
        <v>8</v>
      </c>
      <c r="K5028" s="7">
        <v>29.4</v>
      </c>
      <c r="L5028" s="5" t="s">
        <v>46140</v>
      </c>
      <c r="M5028" s="7">
        <v>1.75</v>
      </c>
      <c r="N5028" s="7">
        <v>1.27</v>
      </c>
      <c r="O5028" s="7">
        <v>0.89700000000000002</v>
      </c>
      <c r="P5028" s="1" t="s">
        <v>46141</v>
      </c>
    </row>
    <row r="5029" spans="1:16" ht="33.4" x14ac:dyDescent="0.3">
      <c r="A5029" s="6" t="str">
        <f>HYPERLINK("https://www.ti.com/product/UCC3808A-2", "UCC3808A-2")</f>
        <v>UCC3808A-2</v>
      </c>
      <c r="B5029" s="5" t="s">
        <v>46142</v>
      </c>
      <c r="C5029" s="6" t="str">
        <f>HYPERLINK("https://www.ti.com/lit/gpn/UCC3808A-2", "PDF")</f>
        <v>PDF</v>
      </c>
      <c r="D5029" s="5" t="s">
        <v>46143</v>
      </c>
      <c r="E5029" s="5" t="s">
        <v>46144</v>
      </c>
      <c r="F5029" s="5" t="s">
        <v>46145</v>
      </c>
      <c r="G5029" s="5" t="s">
        <v>46146</v>
      </c>
      <c r="H5029" s="1" t="s">
        <v>46147</v>
      </c>
      <c r="I5029" s="5" t="s">
        <v>46148</v>
      </c>
      <c r="J5029" s="7">
        <v>8</v>
      </c>
      <c r="K5029" s="7" t="s">
        <v>46149</v>
      </c>
      <c r="L5029" s="5" t="s">
        <v>46150</v>
      </c>
      <c r="M5029" s="7" t="s">
        <v>46151</v>
      </c>
      <c r="N5029" s="7" t="s">
        <v>46152</v>
      </c>
      <c r="O5029" s="7">
        <v>1.4650000000000001</v>
      </c>
      <c r="P5029" s="1" t="s">
        <v>46153</v>
      </c>
    </row>
    <row r="5030" spans="1:16" ht="49.75" x14ac:dyDescent="0.3">
      <c r="A5030" s="6" t="str">
        <f>HYPERLINK("https://www.ti.com/product/LP3961", "LP3961")</f>
        <v>LP3961</v>
      </c>
      <c r="B5030" s="5" t="s">
        <v>46154</v>
      </c>
      <c r="C5030" s="6" t="str">
        <f>HYPERLINK("https://www.ti.com/lit/gpn/LP3961", "PDF")</f>
        <v>PDF</v>
      </c>
      <c r="D5030" s="5" t="s">
        <v>46155</v>
      </c>
      <c r="E5030" s="5" t="s">
        <v>46156</v>
      </c>
      <c r="F5030" s="5"/>
      <c r="G5030" s="5" t="s">
        <v>46157</v>
      </c>
      <c r="H5030" s="1" t="s">
        <v>46158</v>
      </c>
      <c r="I5030" s="5" t="s">
        <v>46159</v>
      </c>
      <c r="J5030" s="7">
        <v>5</v>
      </c>
      <c r="K5030" s="7" t="s">
        <v>46160</v>
      </c>
      <c r="L5030" s="5" t="s">
        <v>46161</v>
      </c>
      <c r="M5030" s="7" t="s">
        <v>46162</v>
      </c>
      <c r="N5030" s="7" t="s">
        <v>46163</v>
      </c>
      <c r="O5030" s="7">
        <v>1.19</v>
      </c>
      <c r="P5030" s="1" t="s">
        <v>46164</v>
      </c>
    </row>
    <row r="5031" spans="1:16" ht="49.75" x14ac:dyDescent="0.3">
      <c r="A5031" s="6" t="str">
        <f>HYPERLINK("https://www.ti.com/product/LP2989", "LP2989")</f>
        <v>LP2989</v>
      </c>
      <c r="B5031" s="5" t="s">
        <v>46165</v>
      </c>
      <c r="C5031" s="6" t="str">
        <f>HYPERLINK("https://www.ti.com/lit/gpn/LP2989", "PDF")</f>
        <v>PDF</v>
      </c>
      <c r="D5031" s="5" t="s">
        <v>46166</v>
      </c>
      <c r="E5031" s="5" t="s">
        <v>46167</v>
      </c>
      <c r="F5031" s="5"/>
      <c r="G5031" s="5" t="s">
        <v>46168</v>
      </c>
      <c r="H5031" s="1" t="s">
        <v>46169</v>
      </c>
      <c r="I5031" s="5" t="s">
        <v>46170</v>
      </c>
      <c r="J5031" s="7">
        <v>8</v>
      </c>
      <c r="K5031" s="7" t="s">
        <v>46171</v>
      </c>
      <c r="L5031" s="5" t="s">
        <v>46172</v>
      </c>
      <c r="M5031" s="7" t="s">
        <v>46173</v>
      </c>
      <c r="N5031" s="7" t="s">
        <v>46174</v>
      </c>
      <c r="O5031" s="7">
        <v>1.359</v>
      </c>
      <c r="P5031" s="1" t="s">
        <v>46175</v>
      </c>
    </row>
    <row r="5032" spans="1:16" ht="49.75" x14ac:dyDescent="0.3">
      <c r="A5032" s="6" t="str">
        <f>HYPERLINK("https://www.ti.com/product/LMV431", "LMV431")</f>
        <v>LMV431</v>
      </c>
      <c r="B5032" s="5" t="s">
        <v>46176</v>
      </c>
      <c r="C5032" s="6" t="str">
        <f>HYPERLINK("https://www.ti.com/lit/gpn/LMV431", "PDF")</f>
        <v>PDF</v>
      </c>
      <c r="D5032" s="5" t="s">
        <v>46177</v>
      </c>
      <c r="E5032" s="5" t="s">
        <v>46178</v>
      </c>
      <c r="F5032" s="5"/>
      <c r="G5032" s="5" t="s">
        <v>46179</v>
      </c>
      <c r="H5032" s="1" t="s">
        <v>46180</v>
      </c>
      <c r="I5032" s="5" t="s">
        <v>46181</v>
      </c>
      <c r="J5032" s="7" t="s">
        <v>46182</v>
      </c>
      <c r="K5032" s="7" t="s">
        <v>46183</v>
      </c>
      <c r="L5032" s="5" t="s">
        <v>46184</v>
      </c>
      <c r="M5032" s="7" t="s">
        <v>46185</v>
      </c>
      <c r="N5032" s="7" t="s">
        <v>46186</v>
      </c>
      <c r="O5032" s="7">
        <v>0.14099999999999999</v>
      </c>
      <c r="P5032" s="1" t="s">
        <v>46187</v>
      </c>
    </row>
    <row r="5033" spans="1:16" ht="66.150000000000006" x14ac:dyDescent="0.3">
      <c r="A5033" s="6" t="str">
        <f>HYPERLINK("https://www.ti.com/product/LM2670", "LM2670")</f>
        <v>LM2670</v>
      </c>
      <c r="B5033" s="5" t="s">
        <v>46188</v>
      </c>
      <c r="C5033" s="6" t="str">
        <f>HYPERLINK("https://www.ti.com/lit/gpn/LM2670", "PDF")</f>
        <v>PDF</v>
      </c>
      <c r="D5033" s="5" t="s">
        <v>46189</v>
      </c>
      <c r="E5033" s="5" t="s">
        <v>46190</v>
      </c>
      <c r="F5033" s="5" t="s">
        <v>46191</v>
      </c>
      <c r="G5033" s="5" t="s">
        <v>46192</v>
      </c>
      <c r="H5033" s="1" t="s">
        <v>46193</v>
      </c>
      <c r="I5033" s="5" t="s">
        <v>46194</v>
      </c>
      <c r="J5033" s="7" t="s">
        <v>46195</v>
      </c>
      <c r="K5033" s="7" t="s">
        <v>46196</v>
      </c>
      <c r="L5033" s="5" t="s">
        <v>46197</v>
      </c>
      <c r="M5033" s="7" t="s">
        <v>46198</v>
      </c>
      <c r="N5033" s="7" t="s">
        <v>46199</v>
      </c>
      <c r="O5033" s="7">
        <v>2.2879999999999998</v>
      </c>
      <c r="P5033" s="1" t="s">
        <v>46200</v>
      </c>
    </row>
    <row r="5034" spans="1:16" ht="49.75" x14ac:dyDescent="0.3">
      <c r="A5034" s="6" t="str">
        <f>HYPERLINK("https://www.ti.com/product/LM2594HV", "LM2594HV")</f>
        <v>LM2594HV</v>
      </c>
      <c r="B5034" s="5" t="s">
        <v>46201</v>
      </c>
      <c r="C5034" s="6" t="str">
        <f>HYPERLINK("https://www.ti.com/lit/gpn/LM2594HV", "PDF")</f>
        <v>PDF</v>
      </c>
      <c r="D5034" s="5" t="s">
        <v>46202</v>
      </c>
      <c r="E5034" s="5" t="s">
        <v>46203</v>
      </c>
      <c r="F5034" s="5" t="s">
        <v>46204</v>
      </c>
      <c r="G5034" s="5" t="s">
        <v>46205</v>
      </c>
      <c r="H5034" s="1" t="s">
        <v>46206</v>
      </c>
      <c r="I5034" s="5" t="s">
        <v>46207</v>
      </c>
      <c r="J5034" s="7">
        <v>8</v>
      </c>
      <c r="K5034" s="7" t="s">
        <v>46208</v>
      </c>
      <c r="L5034" s="5" t="s">
        <v>46209</v>
      </c>
      <c r="M5034" s="7" t="s">
        <v>46210</v>
      </c>
      <c r="N5034" s="7" t="s">
        <v>46211</v>
      </c>
      <c r="O5034" s="7">
        <v>2.2709999999999999</v>
      </c>
      <c r="P5034" s="1" t="s">
        <v>46212</v>
      </c>
    </row>
    <row r="5035" spans="1:16" ht="98.85" x14ac:dyDescent="0.3">
      <c r="A5035" s="6" t="str">
        <f>HYPERLINK("https://www.ti.com/product/LM1117", "LM1117")</f>
        <v>LM1117</v>
      </c>
      <c r="B5035" s="5" t="s">
        <v>46213</v>
      </c>
      <c r="C5035" s="6" t="str">
        <f>HYPERLINK("https://www.ti.com/lit/gpn/LM1117", "PDF")</f>
        <v>PDF</v>
      </c>
      <c r="D5035" s="5" t="s">
        <v>46214</v>
      </c>
      <c r="E5035" s="5" t="s">
        <v>46215</v>
      </c>
      <c r="F5035" s="5"/>
      <c r="G5035" s="5" t="s">
        <v>46216</v>
      </c>
      <c r="H5035" s="1" t="s">
        <v>46217</v>
      </c>
      <c r="I5035" s="5" t="s">
        <v>46218</v>
      </c>
      <c r="J5035" s="7" t="s">
        <v>46219</v>
      </c>
      <c r="K5035" s="7" t="s">
        <v>46220</v>
      </c>
      <c r="L5035" s="5" t="s">
        <v>46221</v>
      </c>
      <c r="M5035" s="7" t="s">
        <v>46222</v>
      </c>
      <c r="N5035" s="7" t="s">
        <v>46223</v>
      </c>
      <c r="O5035" s="7">
        <v>0.35</v>
      </c>
      <c r="P5035" s="1" t="s">
        <v>46224</v>
      </c>
    </row>
    <row r="5036" spans="1:16" ht="33.4" x14ac:dyDescent="0.3">
      <c r="A5036" s="6" t="str">
        <f>HYPERLINK("https://www.ti.com/product/TPS3823", "TPS3823")</f>
        <v>TPS3823</v>
      </c>
      <c r="B5036" s="5" t="s">
        <v>46225</v>
      </c>
      <c r="C5036" s="6" t="str">
        <f>HYPERLINK("https://www.ti.com/lit/gpn/TPS3823", "PDF")</f>
        <v>PDF</v>
      </c>
      <c r="D5036" s="5" t="s">
        <v>46226</v>
      </c>
      <c r="E5036" s="5" t="s">
        <v>46227</v>
      </c>
      <c r="F5036" s="5"/>
      <c r="G5036" s="5" t="s">
        <v>46228</v>
      </c>
      <c r="H5036" s="1" t="s">
        <v>46229</v>
      </c>
      <c r="I5036" s="5" t="s">
        <v>46230</v>
      </c>
      <c r="J5036" s="7">
        <v>5</v>
      </c>
      <c r="K5036" s="7">
        <v>8.1199999999999992</v>
      </c>
      <c r="L5036" s="5" t="s">
        <v>46231</v>
      </c>
      <c r="M5036" s="7">
        <v>1.45</v>
      </c>
      <c r="N5036" s="7">
        <v>0.95</v>
      </c>
      <c r="O5036" s="7">
        <v>0.26800000000000002</v>
      </c>
      <c r="P5036" s="1" t="s">
        <v>46232</v>
      </c>
    </row>
    <row r="5037" spans="1:16" ht="33.4" x14ac:dyDescent="0.3">
      <c r="A5037" s="6" t="str">
        <f>HYPERLINK("https://www.ti.com/product/TPS3824", "TPS3824")</f>
        <v>TPS3824</v>
      </c>
      <c r="B5037" s="5" t="s">
        <v>46233</v>
      </c>
      <c r="C5037" s="6" t="str">
        <f>HYPERLINK("https://www.ti.com/lit/gpn/TPS3824", "PDF")</f>
        <v>PDF</v>
      </c>
      <c r="D5037" s="5" t="s">
        <v>46234</v>
      </c>
      <c r="E5037" s="5" t="s">
        <v>46235</v>
      </c>
      <c r="F5037" s="5"/>
      <c r="G5037" s="5" t="s">
        <v>46236</v>
      </c>
      <c r="H5037" s="1" t="s">
        <v>46237</v>
      </c>
      <c r="I5037" s="5" t="s">
        <v>46238</v>
      </c>
      <c r="J5037" s="7">
        <v>5</v>
      </c>
      <c r="K5037" s="7">
        <v>8.1199999999999992</v>
      </c>
      <c r="L5037" s="5" t="s">
        <v>46239</v>
      </c>
      <c r="M5037" s="7">
        <v>1.45</v>
      </c>
      <c r="N5037" s="7">
        <v>0.95</v>
      </c>
      <c r="O5037" s="7">
        <v>0.439</v>
      </c>
      <c r="P5037" s="1" t="s">
        <v>46240</v>
      </c>
    </row>
    <row r="5038" spans="1:16" ht="33.4" x14ac:dyDescent="0.3">
      <c r="A5038" s="6" t="str">
        <f>HYPERLINK("https://www.ti.com/product/LP2985", "LP2985")</f>
        <v>LP2985</v>
      </c>
      <c r="B5038" s="5" t="s">
        <v>46241</v>
      </c>
      <c r="C5038" s="6" t="str">
        <f>HYPERLINK("https://www.ti.com/lit/gpn/LP2985", "PDF")</f>
        <v>PDF</v>
      </c>
      <c r="D5038" s="5" t="s">
        <v>46242</v>
      </c>
      <c r="E5038" s="5" t="s">
        <v>46243</v>
      </c>
      <c r="F5038" s="5"/>
      <c r="G5038" s="5" t="s">
        <v>46244</v>
      </c>
      <c r="H5038" s="1" t="s">
        <v>46245</v>
      </c>
      <c r="I5038" s="5" t="s">
        <v>46246</v>
      </c>
      <c r="J5038" s="7">
        <v>5</v>
      </c>
      <c r="K5038" s="7">
        <v>8.1199999999999992</v>
      </c>
      <c r="L5038" s="5" t="s">
        <v>46247</v>
      </c>
      <c r="M5038" s="7">
        <v>1.45</v>
      </c>
      <c r="N5038" s="7">
        <v>0.95</v>
      </c>
      <c r="O5038" s="7">
        <v>0.105</v>
      </c>
      <c r="P5038" s="1" t="s">
        <v>46248</v>
      </c>
    </row>
    <row r="5039" spans="1:16" ht="33.4" x14ac:dyDescent="0.3">
      <c r="A5039" s="6" t="str">
        <f>HYPERLINK("https://www.ti.com/product/LP2985-N", "LP2985-N")</f>
        <v>LP2985-N</v>
      </c>
      <c r="B5039" s="5" t="s">
        <v>46249</v>
      </c>
      <c r="C5039" s="6" t="str">
        <f>HYPERLINK("https://www.ti.com/lit/gpn/LP2985-N", "PDF")</f>
        <v>PDF</v>
      </c>
      <c r="D5039" s="5" t="s">
        <v>46250</v>
      </c>
      <c r="E5039" s="5" t="s">
        <v>46251</v>
      </c>
      <c r="F5039" s="5"/>
      <c r="G5039" s="5" t="s">
        <v>46252</v>
      </c>
      <c r="H5039" s="1" t="s">
        <v>46253</v>
      </c>
      <c r="I5039" s="5" t="s">
        <v>46254</v>
      </c>
      <c r="J5039" s="7">
        <v>5</v>
      </c>
      <c r="K5039" s="7">
        <v>8.1199999999999992</v>
      </c>
      <c r="L5039" s="5" t="s">
        <v>46255</v>
      </c>
      <c r="M5039" s="7">
        <v>1.45</v>
      </c>
      <c r="N5039" s="7">
        <v>0.95</v>
      </c>
      <c r="O5039" s="7">
        <v>0.17899999999999999</v>
      </c>
      <c r="P5039" s="1" t="s">
        <v>46256</v>
      </c>
    </row>
    <row r="5040" spans="1:16" ht="66.150000000000006" x14ac:dyDescent="0.3">
      <c r="A5040" s="6" t="str">
        <f>HYPERLINK("https://www.ti.com/product/LM2678", "LM2678")</f>
        <v>LM2678</v>
      </c>
      <c r="B5040" s="5" t="s">
        <v>46257</v>
      </c>
      <c r="C5040" s="6" t="str">
        <f>HYPERLINK("https://www.ti.com/lit/gpn/LM2678", "PDF")</f>
        <v>PDF</v>
      </c>
      <c r="D5040" s="5" t="s">
        <v>46258</v>
      </c>
      <c r="E5040" s="5" t="s">
        <v>46259</v>
      </c>
      <c r="F5040" s="5" t="s">
        <v>46260</v>
      </c>
      <c r="G5040" s="5" t="s">
        <v>46261</v>
      </c>
      <c r="H5040" s="1" t="s">
        <v>46262</v>
      </c>
      <c r="I5040" s="5" t="s">
        <v>46263</v>
      </c>
      <c r="J5040" s="7" t="s">
        <v>46264</v>
      </c>
      <c r="K5040" s="7" t="s">
        <v>46265</v>
      </c>
      <c r="L5040" s="5" t="s">
        <v>46266</v>
      </c>
      <c r="M5040" s="7" t="s">
        <v>46267</v>
      </c>
      <c r="N5040" s="7" t="s">
        <v>46268</v>
      </c>
      <c r="O5040" s="7">
        <v>2.97</v>
      </c>
      <c r="P5040" s="1" t="s">
        <v>46269</v>
      </c>
    </row>
    <row r="5041" spans="1:16" ht="66.150000000000006" x14ac:dyDescent="0.3">
      <c r="A5041" s="6" t="str">
        <f>HYPERLINK("https://www.ti.com/product/LM2679", "LM2679")</f>
        <v>LM2679</v>
      </c>
      <c r="B5041" s="5" t="s">
        <v>46270</v>
      </c>
      <c r="C5041" s="6" t="str">
        <f>HYPERLINK("https://www.ti.com/lit/gpn/LM2679", "PDF")</f>
        <v>PDF</v>
      </c>
      <c r="D5041" s="5" t="s">
        <v>46271</v>
      </c>
      <c r="E5041" s="5" t="s">
        <v>46272</v>
      </c>
      <c r="F5041" s="5" t="s">
        <v>46273</v>
      </c>
      <c r="G5041" s="5" t="s">
        <v>46274</v>
      </c>
      <c r="H5041" s="1" t="s">
        <v>46275</v>
      </c>
      <c r="I5041" s="5" t="s">
        <v>46276</v>
      </c>
      <c r="J5041" s="7" t="s">
        <v>46277</v>
      </c>
      <c r="K5041" s="7" t="s">
        <v>46278</v>
      </c>
      <c r="L5041" s="5" t="s">
        <v>46279</v>
      </c>
      <c r="M5041" s="7" t="s">
        <v>46280</v>
      </c>
      <c r="N5041" s="7" t="s">
        <v>46281</v>
      </c>
      <c r="O5041" s="7">
        <v>3.1739999999999999</v>
      </c>
      <c r="P5041" s="1" t="s">
        <v>46282</v>
      </c>
    </row>
    <row r="5042" spans="1:16" ht="33.4" x14ac:dyDescent="0.3">
      <c r="A5042" s="6" t="str">
        <f>HYPERLINK("https://www.ti.com/product/LM2640", "LM2640")</f>
        <v>LM2640</v>
      </c>
      <c r="B5042" s="5" t="s">
        <v>46283</v>
      </c>
      <c r="C5042" s="6" t="str">
        <f>HYPERLINK("https://www.ti.com/lit/gpn/LM2640", "PDF")</f>
        <v>PDF</v>
      </c>
      <c r="D5042" s="5" t="s">
        <v>46284</v>
      </c>
      <c r="E5042" s="5" t="s">
        <v>46285</v>
      </c>
      <c r="F5042" s="5" t="s">
        <v>46286</v>
      </c>
      <c r="G5042" s="5" t="s">
        <v>46287</v>
      </c>
      <c r="H5042" s="1" t="s">
        <v>46288</v>
      </c>
      <c r="I5042" s="5" t="s">
        <v>46289</v>
      </c>
      <c r="J5042" s="7">
        <v>28</v>
      </c>
      <c r="K5042" s="7">
        <v>62.08</v>
      </c>
      <c r="L5042" s="5" t="s">
        <v>46290</v>
      </c>
      <c r="M5042" s="7">
        <v>1.2</v>
      </c>
      <c r="N5042" s="7">
        <v>0.65</v>
      </c>
      <c r="O5042" s="7">
        <v>3.673</v>
      </c>
      <c r="P5042" s="1" t="s">
        <v>46291</v>
      </c>
    </row>
    <row r="5043" spans="1:16" ht="33.4" x14ac:dyDescent="0.3">
      <c r="A5043" s="6" t="str">
        <f>HYPERLINK("https://www.ti.com/product/LM2621", "LM2621")</f>
        <v>LM2621</v>
      </c>
      <c r="B5043" s="5" t="s">
        <v>46292</v>
      </c>
      <c r="C5043" s="6" t="str">
        <f>HYPERLINK("https://www.ti.com/lit/gpn/LM2621", "PDF")</f>
        <v>PDF</v>
      </c>
      <c r="D5043" s="5" t="s">
        <v>46293</v>
      </c>
      <c r="E5043" s="5" t="s">
        <v>46294</v>
      </c>
      <c r="F5043" s="5" t="s">
        <v>46295</v>
      </c>
      <c r="G5043" s="5" t="s">
        <v>46296</v>
      </c>
      <c r="H5043" s="1" t="s">
        <v>46297</v>
      </c>
      <c r="I5043" s="5" t="s">
        <v>46298</v>
      </c>
      <c r="J5043" s="7">
        <v>8</v>
      </c>
      <c r="K5043" s="7">
        <v>14.7</v>
      </c>
      <c r="L5043" s="5" t="s">
        <v>46299</v>
      </c>
      <c r="M5043" s="7">
        <v>1.1000000000000001</v>
      </c>
      <c r="N5043" s="7">
        <v>0.65</v>
      </c>
      <c r="O5043" s="7">
        <v>0.89500000000000002</v>
      </c>
      <c r="P5043" s="1" t="s">
        <v>46300</v>
      </c>
    </row>
    <row r="5044" spans="1:16" ht="33.4" x14ac:dyDescent="0.3">
      <c r="A5044" s="6" t="str">
        <f>HYPERLINK("https://www.ti.com/product/LM2664", "LM2664")</f>
        <v>LM2664</v>
      </c>
      <c r="B5044" s="5" t="s">
        <v>46301</v>
      </c>
      <c r="C5044" s="6" t="str">
        <f>HYPERLINK("https://www.ti.com/lit/gpn/LM2664", "PDF")</f>
        <v>PDF</v>
      </c>
      <c r="D5044" s="5" t="s">
        <v>46302</v>
      </c>
      <c r="E5044" s="5" t="s">
        <v>46303</v>
      </c>
      <c r="F5044" s="5"/>
      <c r="G5044" s="5" t="s">
        <v>46304</v>
      </c>
      <c r="H5044" s="1" t="s">
        <v>46305</v>
      </c>
      <c r="I5044" s="5" t="s">
        <v>46306</v>
      </c>
      <c r="J5044" s="7">
        <v>6</v>
      </c>
      <c r="K5044" s="7">
        <v>8.1199999999999992</v>
      </c>
      <c r="L5044" s="5" t="s">
        <v>46307</v>
      </c>
      <c r="M5044" s="7">
        <v>1.45</v>
      </c>
      <c r="N5044" s="7">
        <v>0.95</v>
      </c>
      <c r="O5044" s="7">
        <v>0.30399999999999999</v>
      </c>
      <c r="P5044" s="1" t="s">
        <v>46308</v>
      </c>
    </row>
    <row r="5045" spans="1:16" ht="33.4" x14ac:dyDescent="0.3">
      <c r="A5045" s="6" t="str">
        <f>HYPERLINK("https://www.ti.com/product/LM2665", "LM2665")</f>
        <v>LM2665</v>
      </c>
      <c r="B5045" s="5" t="s">
        <v>46309</v>
      </c>
      <c r="C5045" s="6" t="str">
        <f>HYPERLINK("https://www.ti.com/lit/gpn/LM2665", "PDF")</f>
        <v>PDF</v>
      </c>
      <c r="D5045" s="5" t="s">
        <v>46310</v>
      </c>
      <c r="E5045" s="5" t="s">
        <v>46311</v>
      </c>
      <c r="F5045" s="5"/>
      <c r="G5045" s="5" t="s">
        <v>46312</v>
      </c>
      <c r="H5045" s="1" t="s">
        <v>46313</v>
      </c>
      <c r="I5045" s="5" t="s">
        <v>46314</v>
      </c>
      <c r="J5045" s="7">
        <v>6</v>
      </c>
      <c r="K5045" s="7">
        <v>8.1199999999999992</v>
      </c>
      <c r="L5045" s="5" t="s">
        <v>46315</v>
      </c>
      <c r="M5045" s="7">
        <v>1.45</v>
      </c>
      <c r="N5045" s="7">
        <v>0.95</v>
      </c>
      <c r="O5045" s="7">
        <v>0.19</v>
      </c>
      <c r="P5045" s="1" t="s">
        <v>46316</v>
      </c>
    </row>
    <row r="5046" spans="1:16" ht="49.75" x14ac:dyDescent="0.3">
      <c r="A5046" s="6" t="str">
        <f>HYPERLINK("https://www.ti.com/product/LM2597HV", "LM2597HV")</f>
        <v>LM2597HV</v>
      </c>
      <c r="B5046" s="5" t="s">
        <v>46317</v>
      </c>
      <c r="C5046" s="6" t="str">
        <f>HYPERLINK("https://www.ti.com/lit/gpn/LM2597HV", "PDF")</f>
        <v>PDF</v>
      </c>
      <c r="D5046" s="5" t="s">
        <v>46318</v>
      </c>
      <c r="E5046" s="5" t="s">
        <v>46319</v>
      </c>
      <c r="F5046" s="5" t="s">
        <v>46320</v>
      </c>
      <c r="G5046" s="5" t="s">
        <v>46321</v>
      </c>
      <c r="H5046" s="1" t="s">
        <v>46322</v>
      </c>
      <c r="I5046" s="5" t="s">
        <v>46323</v>
      </c>
      <c r="J5046" s="7">
        <v>8</v>
      </c>
      <c r="K5046" s="7" t="s">
        <v>46324</v>
      </c>
      <c r="L5046" s="5" t="s">
        <v>46325</v>
      </c>
      <c r="M5046" s="7" t="s">
        <v>46326</v>
      </c>
      <c r="N5046" s="7" t="s">
        <v>46327</v>
      </c>
      <c r="O5046" s="7">
        <v>2.4830000000000001</v>
      </c>
      <c r="P5046" s="1" t="s">
        <v>46328</v>
      </c>
    </row>
    <row r="5047" spans="1:16" ht="33.4" x14ac:dyDescent="0.3">
      <c r="A5047" s="6" t="str">
        <f>HYPERLINK("https://www.ti.com/product/LM3480", "LM3480")</f>
        <v>LM3480</v>
      </c>
      <c r="B5047" s="5" t="s">
        <v>46329</v>
      </c>
      <c r="C5047" s="6" t="str">
        <f>HYPERLINK("https://www.ti.com/lit/gpn/LM3480", "PDF")</f>
        <v>PDF</v>
      </c>
      <c r="D5047" s="5" t="s">
        <v>46330</v>
      </c>
      <c r="E5047" s="5" t="s">
        <v>46331</v>
      </c>
      <c r="F5047" s="5"/>
      <c r="G5047" s="5" t="s">
        <v>46332</v>
      </c>
      <c r="H5047" s="1" t="s">
        <v>46333</v>
      </c>
      <c r="I5047" s="5" t="s">
        <v>46334</v>
      </c>
      <c r="J5047" s="7">
        <v>3</v>
      </c>
      <c r="K5047" s="7">
        <v>6.9203999999999999</v>
      </c>
      <c r="L5047" s="5" t="s">
        <v>46335</v>
      </c>
      <c r="M5047" s="7">
        <v>1.1200000000000001</v>
      </c>
      <c r="N5047" s="7">
        <v>0.96</v>
      </c>
      <c r="O5047" s="7">
        <v>0.41399999999999998</v>
      </c>
      <c r="P5047" s="1" t="s">
        <v>46336</v>
      </c>
    </row>
    <row r="5048" spans="1:16" ht="49.75" x14ac:dyDescent="0.3">
      <c r="A5048" s="6" t="str">
        <f>HYPERLINK("https://www.ti.com/product/LM2671", "LM2671")</f>
        <v>LM2671</v>
      </c>
      <c r="B5048" s="5" t="s">
        <v>46337</v>
      </c>
      <c r="C5048" s="6" t="str">
        <f>HYPERLINK("https://www.ti.com/lit/gpn/LM2671", "PDF")</f>
        <v>PDF</v>
      </c>
      <c r="D5048" s="5" t="s">
        <v>46338</v>
      </c>
      <c r="E5048" s="5" t="s">
        <v>46339</v>
      </c>
      <c r="F5048" s="5" t="s">
        <v>46340</v>
      </c>
      <c r="G5048" s="5" t="s">
        <v>46341</v>
      </c>
      <c r="H5048" s="1" t="s">
        <v>46342</v>
      </c>
      <c r="I5048" s="5" t="s">
        <v>46343</v>
      </c>
      <c r="J5048" s="7" t="s">
        <v>46344</v>
      </c>
      <c r="K5048" s="7" t="s">
        <v>46345</v>
      </c>
      <c r="L5048" s="5" t="s">
        <v>46346</v>
      </c>
      <c r="M5048" s="7" t="s">
        <v>46347</v>
      </c>
      <c r="N5048" s="7" t="s">
        <v>46348</v>
      </c>
      <c r="O5048" s="7">
        <v>1.903</v>
      </c>
      <c r="P5048" s="1" t="s">
        <v>46349</v>
      </c>
    </row>
    <row r="5049" spans="1:16" ht="49.75" x14ac:dyDescent="0.3">
      <c r="A5049" s="6" t="str">
        <f>HYPERLINK("https://www.ti.com/product/LM2674", "LM2674")</f>
        <v>LM2674</v>
      </c>
      <c r="B5049" s="5" t="s">
        <v>46350</v>
      </c>
      <c r="C5049" s="6" t="str">
        <f>HYPERLINK("https://www.ti.com/lit/gpn/LM2674", "PDF")</f>
        <v>PDF</v>
      </c>
      <c r="D5049" s="5" t="s">
        <v>46351</v>
      </c>
      <c r="E5049" s="5" t="s">
        <v>46352</v>
      </c>
      <c r="F5049" s="5" t="s">
        <v>46353</v>
      </c>
      <c r="G5049" s="5" t="s">
        <v>46354</v>
      </c>
      <c r="H5049" s="1" t="s">
        <v>46355</v>
      </c>
      <c r="I5049" s="5" t="s">
        <v>46356</v>
      </c>
      <c r="J5049" s="7" t="s">
        <v>46357</v>
      </c>
      <c r="K5049" s="7" t="s">
        <v>46358</v>
      </c>
      <c r="L5049" s="5" t="s">
        <v>46359</v>
      </c>
      <c r="M5049" s="7" t="s">
        <v>46360</v>
      </c>
      <c r="N5049" s="7" t="s">
        <v>46361</v>
      </c>
      <c r="O5049" s="7">
        <v>1.8</v>
      </c>
      <c r="P5049" s="1" t="s">
        <v>46362</v>
      </c>
    </row>
    <row r="5050" spans="1:16" ht="33.4" x14ac:dyDescent="0.3">
      <c r="A5050" s="6" t="str">
        <f>HYPERLINK("https://www.ti.com/product/LP2966", "LP2966")</f>
        <v>LP2966</v>
      </c>
      <c r="B5050" s="5" t="s">
        <v>46363</v>
      </c>
      <c r="C5050" s="6" t="str">
        <f>HYPERLINK("https://www.ti.com/lit/gpn/LP2966", "PDF")</f>
        <v>PDF</v>
      </c>
      <c r="D5050" s="5" t="s">
        <v>46364</v>
      </c>
      <c r="E5050" s="5" t="s">
        <v>46365</v>
      </c>
      <c r="F5050" s="5"/>
      <c r="G5050" s="5" t="s">
        <v>46366</v>
      </c>
      <c r="H5050" s="1" t="s">
        <v>46367</v>
      </c>
      <c r="I5050" s="5" t="s">
        <v>46368</v>
      </c>
      <c r="J5050" s="7">
        <v>8</v>
      </c>
      <c r="K5050" s="7">
        <v>14.7</v>
      </c>
      <c r="L5050" s="5" t="s">
        <v>46369</v>
      </c>
      <c r="M5050" s="7">
        <v>1.1000000000000001</v>
      </c>
      <c r="N5050" s="7">
        <v>0.65</v>
      </c>
      <c r="O5050" s="7">
        <v>0.88600000000000001</v>
      </c>
      <c r="P5050" s="1" t="s">
        <v>46370</v>
      </c>
    </row>
    <row r="5051" spans="1:16" ht="33.4" x14ac:dyDescent="0.3">
      <c r="A5051" s="6" t="str">
        <f>HYPERLINK("https://www.ti.com/product/LM2663", "LM2663")</f>
        <v>LM2663</v>
      </c>
      <c r="B5051" s="5" t="s">
        <v>46371</v>
      </c>
      <c r="C5051" s="6" t="str">
        <f>HYPERLINK("https://www.ti.com/lit/gpn/LM2663", "PDF")</f>
        <v>PDF</v>
      </c>
      <c r="D5051" s="5" t="s">
        <v>46372</v>
      </c>
      <c r="E5051" s="5" t="s">
        <v>46373</v>
      </c>
      <c r="F5051" s="5"/>
      <c r="G5051" s="5" t="s">
        <v>46374</v>
      </c>
      <c r="H5051" s="1" t="s">
        <v>46375</v>
      </c>
      <c r="I5051" s="5" t="s">
        <v>46376</v>
      </c>
      <c r="J5051" s="7">
        <v>8</v>
      </c>
      <c r="K5051" s="7">
        <v>29.4</v>
      </c>
      <c r="L5051" s="5" t="s">
        <v>46377</v>
      </c>
      <c r="M5051" s="7">
        <v>1.75</v>
      </c>
      <c r="N5051" s="7">
        <v>1.27</v>
      </c>
      <c r="O5051" s="7">
        <v>0.91900000000000004</v>
      </c>
      <c r="P5051" s="1" t="s">
        <v>46378</v>
      </c>
    </row>
    <row r="5052" spans="1:16" ht="33.4" x14ac:dyDescent="0.3">
      <c r="A5052" s="6" t="str">
        <f>HYPERLINK("https://www.ti.com/product/LM2662", "LM2662")</f>
        <v>LM2662</v>
      </c>
      <c r="B5052" s="5" t="s">
        <v>46379</v>
      </c>
      <c r="C5052" s="6" t="str">
        <f>HYPERLINK("https://www.ti.com/lit/gpn/LM2662", "PDF")</f>
        <v>PDF</v>
      </c>
      <c r="D5052" s="5" t="s">
        <v>46380</v>
      </c>
      <c r="E5052" s="5" t="s">
        <v>46381</v>
      </c>
      <c r="F5052" s="5"/>
      <c r="G5052" s="5" t="s">
        <v>46382</v>
      </c>
      <c r="H5052" s="1" t="s">
        <v>46383</v>
      </c>
      <c r="I5052" s="5" t="s">
        <v>46384</v>
      </c>
      <c r="J5052" s="7">
        <v>8</v>
      </c>
      <c r="K5052" s="7">
        <v>29.4</v>
      </c>
      <c r="L5052" s="5" t="s">
        <v>46385</v>
      </c>
      <c r="M5052" s="7">
        <v>1.75</v>
      </c>
      <c r="N5052" s="7">
        <v>1.27</v>
      </c>
      <c r="O5052" s="7">
        <v>0.69599999999999995</v>
      </c>
      <c r="P5052" s="1" t="s">
        <v>46386</v>
      </c>
    </row>
    <row r="5053" spans="1:16" ht="49.75" x14ac:dyDescent="0.3">
      <c r="A5053" s="6" t="str">
        <f>HYPERLINK("https://www.ti.com/product/LM2675", "LM2675")</f>
        <v>LM2675</v>
      </c>
      <c r="B5053" s="5" t="s">
        <v>46387</v>
      </c>
      <c r="C5053" s="6" t="str">
        <f>HYPERLINK("https://www.ti.com/lit/gpn/LM2675", "PDF")</f>
        <v>PDF</v>
      </c>
      <c r="D5053" s="5" t="s">
        <v>46388</v>
      </c>
      <c r="E5053" s="5" t="s">
        <v>46389</v>
      </c>
      <c r="F5053" s="5" t="s">
        <v>46390</v>
      </c>
      <c r="G5053" s="5" t="s">
        <v>46391</v>
      </c>
      <c r="H5053" s="1" t="s">
        <v>46392</v>
      </c>
      <c r="I5053" s="5" t="s">
        <v>46393</v>
      </c>
      <c r="J5053" s="7" t="s">
        <v>46394</v>
      </c>
      <c r="K5053" s="7" t="s">
        <v>46395</v>
      </c>
      <c r="L5053" s="5" t="s">
        <v>46396</v>
      </c>
      <c r="M5053" s="7" t="s">
        <v>46397</v>
      </c>
      <c r="N5053" s="7" t="s">
        <v>46398</v>
      </c>
      <c r="O5053" s="7">
        <v>1.958</v>
      </c>
      <c r="P5053" s="1" t="s">
        <v>46399</v>
      </c>
    </row>
    <row r="5054" spans="1:16" ht="49.75" x14ac:dyDescent="0.3">
      <c r="A5054" s="6" t="str">
        <f>HYPERLINK("https://www.ti.com/product/LP2988", "LP2988")</f>
        <v>LP2988</v>
      </c>
      <c r="B5054" s="5" t="s">
        <v>46400</v>
      </c>
      <c r="C5054" s="6" t="str">
        <f>HYPERLINK("https://www.ti.com/lit/gpn/LP2988", "PDF")</f>
        <v>PDF</v>
      </c>
      <c r="D5054" s="5" t="s">
        <v>46401</v>
      </c>
      <c r="E5054" s="5" t="s">
        <v>46402</v>
      </c>
      <c r="F5054" s="5"/>
      <c r="G5054" s="5" t="s">
        <v>46403</v>
      </c>
      <c r="H5054" s="1" t="s">
        <v>46404</v>
      </c>
      <c r="I5054" s="5" t="s">
        <v>46405</v>
      </c>
      <c r="J5054" s="7">
        <v>8</v>
      </c>
      <c r="K5054" s="7" t="s">
        <v>46406</v>
      </c>
      <c r="L5054" s="5" t="s">
        <v>46407</v>
      </c>
      <c r="M5054" s="7" t="s">
        <v>46408</v>
      </c>
      <c r="N5054" s="7" t="s">
        <v>46409</v>
      </c>
      <c r="O5054" s="7">
        <v>1.1020000000000001</v>
      </c>
      <c r="P5054" s="1" t="s">
        <v>46410</v>
      </c>
    </row>
    <row r="5055" spans="1:16" ht="49.75" x14ac:dyDescent="0.3">
      <c r="A5055" s="6" t="str">
        <f>HYPERLINK("https://www.ti.com/product/LP2987", "LP2987")</f>
        <v>LP2987</v>
      </c>
      <c r="B5055" s="5" t="s">
        <v>46411</v>
      </c>
      <c r="C5055" s="6" t="str">
        <f>HYPERLINK("https://www.ti.com/lit/gpn/LP2987", "PDF")</f>
        <v>PDF</v>
      </c>
      <c r="D5055" s="5" t="s">
        <v>46412</v>
      </c>
      <c r="E5055" s="5" t="s">
        <v>46413</v>
      </c>
      <c r="F5055" s="5"/>
      <c r="G5055" s="5" t="s">
        <v>46414</v>
      </c>
      <c r="H5055" s="1" t="s">
        <v>46415</v>
      </c>
      <c r="I5055" s="5" t="s">
        <v>46416</v>
      </c>
      <c r="J5055" s="7">
        <v>8</v>
      </c>
      <c r="K5055" s="7" t="s">
        <v>46417</v>
      </c>
      <c r="L5055" s="5" t="s">
        <v>46418</v>
      </c>
      <c r="M5055" s="7" t="s">
        <v>46419</v>
      </c>
      <c r="N5055" s="7" t="s">
        <v>46420</v>
      </c>
      <c r="O5055" s="7">
        <v>0.93600000000000005</v>
      </c>
      <c r="P5055" s="1" t="s">
        <v>46421</v>
      </c>
    </row>
    <row r="5056" spans="1:16" ht="49.75" x14ac:dyDescent="0.3">
      <c r="A5056" s="6" t="str">
        <f>HYPERLINK("https://www.ti.com/product/LP2986", "LP2986")</f>
        <v>LP2986</v>
      </c>
      <c r="B5056" s="5" t="s">
        <v>46422</v>
      </c>
      <c r="C5056" s="6" t="str">
        <f>HYPERLINK("https://www.ti.com/lit/gpn/LP2986", "PDF")</f>
        <v>PDF</v>
      </c>
      <c r="D5056" s="5" t="s">
        <v>46423</v>
      </c>
      <c r="E5056" s="5" t="s">
        <v>46424</v>
      </c>
      <c r="F5056" s="5"/>
      <c r="G5056" s="5" t="s">
        <v>46425</v>
      </c>
      <c r="H5056" s="1" t="s">
        <v>46426</v>
      </c>
      <c r="I5056" s="5" t="s">
        <v>46427</v>
      </c>
      <c r="J5056" s="7">
        <v>8</v>
      </c>
      <c r="K5056" s="7" t="s">
        <v>46428</v>
      </c>
      <c r="L5056" s="5" t="s">
        <v>46429</v>
      </c>
      <c r="M5056" s="7" t="s">
        <v>46430</v>
      </c>
      <c r="N5056" s="7" t="s">
        <v>46431</v>
      </c>
      <c r="O5056" s="7">
        <v>0.95199999999999996</v>
      </c>
      <c r="P5056" s="1" t="s">
        <v>46432</v>
      </c>
    </row>
    <row r="5057" spans="1:16" ht="66.150000000000006" x14ac:dyDescent="0.3">
      <c r="A5057" s="6" t="str">
        <f>HYPERLINK("https://www.ti.com/product/LM2660", "LM2660")</f>
        <v>LM2660</v>
      </c>
      <c r="B5057" s="5" t="s">
        <v>46433</v>
      </c>
      <c r="C5057" s="6" t="str">
        <f>HYPERLINK("https://www.ti.com/lit/gpn/LM2660", "PDF")</f>
        <v>PDF</v>
      </c>
      <c r="D5057" s="5" t="s">
        <v>46434</v>
      </c>
      <c r="E5057" s="5" t="s">
        <v>46435</v>
      </c>
      <c r="F5057" s="5"/>
      <c r="G5057" s="5" t="s">
        <v>46436</v>
      </c>
      <c r="H5057" s="1" t="s">
        <v>46437</v>
      </c>
      <c r="I5057" s="5" t="s">
        <v>46438</v>
      </c>
      <c r="J5057" s="7" t="s">
        <v>46439</v>
      </c>
      <c r="K5057" s="7" t="s">
        <v>46440</v>
      </c>
      <c r="L5057" s="5" t="s">
        <v>46441</v>
      </c>
      <c r="M5057" s="7" t="s">
        <v>46442</v>
      </c>
      <c r="N5057" s="7" t="s">
        <v>46443</v>
      </c>
      <c r="O5057" s="7">
        <v>0.56399999999999995</v>
      </c>
      <c r="P5057" s="1" t="s">
        <v>46444</v>
      </c>
    </row>
    <row r="5058" spans="1:16" ht="49.75" x14ac:dyDescent="0.3">
      <c r="A5058" s="6" t="str">
        <f>HYPERLINK("https://www.ti.com/product/REG1117A", "REG1117A")</f>
        <v>REG1117A</v>
      </c>
      <c r="B5058" s="5" t="s">
        <v>46445</v>
      </c>
      <c r="C5058" s="6" t="str">
        <f>HYPERLINK("https://www.ti.com/lit/gpn/REG1117A", "PDF")</f>
        <v>PDF</v>
      </c>
      <c r="D5058" s="5" t="s">
        <v>46446</v>
      </c>
      <c r="E5058" s="5" t="s">
        <v>46447</v>
      </c>
      <c r="F5058" s="5"/>
      <c r="G5058" s="5" t="s">
        <v>46448</v>
      </c>
      <c r="H5058" s="1" t="s">
        <v>46449</v>
      </c>
      <c r="I5058" s="5" t="s">
        <v>46450</v>
      </c>
      <c r="J5058" s="7" t="s">
        <v>46451</v>
      </c>
      <c r="K5058" s="7" t="s">
        <v>46452</v>
      </c>
      <c r="L5058" s="5" t="s">
        <v>46453</v>
      </c>
      <c r="M5058" s="7" t="s">
        <v>46454</v>
      </c>
      <c r="N5058" s="7" t="s">
        <v>46455</v>
      </c>
      <c r="O5058" s="7">
        <v>1.1830000000000001</v>
      </c>
      <c r="P5058" s="1" t="s">
        <v>46456</v>
      </c>
    </row>
    <row r="5059" spans="1:16" ht="33.4" x14ac:dyDescent="0.3">
      <c r="A5059" s="6" t="str">
        <f>HYPERLINK("https://www.ti.com/product/LM2650", "LM2650")</f>
        <v>LM2650</v>
      </c>
      <c r="B5059" s="5" t="s">
        <v>46457</v>
      </c>
      <c r="C5059" s="6" t="str">
        <f>HYPERLINK("https://www.ti.com/lit/gpn/LM2650", "PDF")</f>
        <v>PDF</v>
      </c>
      <c r="D5059" s="5" t="s">
        <v>46458</v>
      </c>
      <c r="E5059" s="5" t="s">
        <v>46459</v>
      </c>
      <c r="F5059" s="5" t="s">
        <v>46460</v>
      </c>
      <c r="G5059" s="5" t="s">
        <v>46461</v>
      </c>
      <c r="H5059" s="1" t="s">
        <v>46462</v>
      </c>
      <c r="I5059" s="5" t="s">
        <v>46463</v>
      </c>
      <c r="J5059" s="7">
        <v>24</v>
      </c>
      <c r="K5059" s="7">
        <v>159.65</v>
      </c>
      <c r="L5059" s="5" t="s">
        <v>46464</v>
      </c>
      <c r="M5059" s="7">
        <v>2.65</v>
      </c>
      <c r="N5059" s="7">
        <v>1.27</v>
      </c>
      <c r="O5059" s="7">
        <v>4.633</v>
      </c>
      <c r="P5059" s="1" t="s">
        <v>46465</v>
      </c>
    </row>
    <row r="5060" spans="1:16" ht="33.4" x14ac:dyDescent="0.3">
      <c r="A5060" s="6" t="str">
        <f>HYPERLINK("https://www.ti.com/product/LM2651", "LM2651")</f>
        <v>LM2651</v>
      </c>
      <c r="B5060" s="5" t="s">
        <v>46466</v>
      </c>
      <c r="C5060" s="6" t="str">
        <f>HYPERLINK("https://www.ti.com/lit/gpn/LM2651", "PDF")</f>
        <v>PDF</v>
      </c>
      <c r="D5060" s="5" t="s">
        <v>46467</v>
      </c>
      <c r="E5060" s="5" t="s">
        <v>46468</v>
      </c>
      <c r="F5060" s="5" t="s">
        <v>46469</v>
      </c>
      <c r="G5060" s="5" t="s">
        <v>46470</v>
      </c>
      <c r="H5060" s="1" t="s">
        <v>46471</v>
      </c>
      <c r="I5060" s="5" t="s">
        <v>46472</v>
      </c>
      <c r="J5060" s="7">
        <v>16</v>
      </c>
      <c r="K5060" s="7">
        <v>32</v>
      </c>
      <c r="L5060" s="5" t="s">
        <v>46473</v>
      </c>
      <c r="M5060" s="7">
        <v>1.2</v>
      </c>
      <c r="N5060" s="7">
        <v>0.65</v>
      </c>
      <c r="O5060" s="7">
        <v>1.79</v>
      </c>
      <c r="P5060" s="1" t="s">
        <v>46474</v>
      </c>
    </row>
    <row r="5061" spans="1:16" ht="66.150000000000006" x14ac:dyDescent="0.3">
      <c r="A5061" s="6" t="str">
        <f>HYPERLINK("https://www.ti.com/product/LM2673", "LM2673")</f>
        <v>LM2673</v>
      </c>
      <c r="B5061" s="5" t="s">
        <v>46475</v>
      </c>
      <c r="C5061" s="6" t="str">
        <f>HYPERLINK("https://www.ti.com/lit/gpn/LM2673", "PDF")</f>
        <v>PDF</v>
      </c>
      <c r="D5061" s="5" t="s">
        <v>46476</v>
      </c>
      <c r="E5061" s="5" t="s">
        <v>46477</v>
      </c>
      <c r="F5061" s="5" t="s">
        <v>46478</v>
      </c>
      <c r="G5061" s="5" t="s">
        <v>46479</v>
      </c>
      <c r="H5061" s="1" t="s">
        <v>46480</v>
      </c>
      <c r="I5061" s="5" t="s">
        <v>46481</v>
      </c>
      <c r="J5061" s="7" t="s">
        <v>46482</v>
      </c>
      <c r="K5061" s="7" t="s">
        <v>46483</v>
      </c>
      <c r="L5061" s="5" t="s">
        <v>46484</v>
      </c>
      <c r="M5061" s="7" t="s">
        <v>46485</v>
      </c>
      <c r="N5061" s="7" t="s">
        <v>46486</v>
      </c>
      <c r="O5061" s="7">
        <v>2.2669999999999999</v>
      </c>
      <c r="P5061" s="1" t="s">
        <v>46487</v>
      </c>
    </row>
    <row r="5062" spans="1:16" ht="49.75" x14ac:dyDescent="0.3">
      <c r="A5062" s="6" t="str">
        <f>HYPERLINK("https://www.ti.com/product/LM2672", "LM2672")</f>
        <v>LM2672</v>
      </c>
      <c r="B5062" s="5" t="s">
        <v>46488</v>
      </c>
      <c r="C5062" s="6" t="str">
        <f>HYPERLINK("https://www.ti.com/lit/gpn/LM2672", "PDF")</f>
        <v>PDF</v>
      </c>
      <c r="D5062" s="5" t="s">
        <v>46489</v>
      </c>
      <c r="E5062" s="5" t="s">
        <v>46490</v>
      </c>
      <c r="F5062" s="5" t="s">
        <v>46491</v>
      </c>
      <c r="G5062" s="5" t="s">
        <v>46492</v>
      </c>
      <c r="H5062" s="1" t="s">
        <v>46493</v>
      </c>
      <c r="I5062" s="5" t="s">
        <v>46494</v>
      </c>
      <c r="J5062" s="7" t="s">
        <v>46495</v>
      </c>
      <c r="K5062" s="7" t="s">
        <v>46496</v>
      </c>
      <c r="L5062" s="5" t="s">
        <v>46497</v>
      </c>
      <c r="M5062" s="7" t="s">
        <v>46498</v>
      </c>
      <c r="N5062" s="7" t="s">
        <v>46499</v>
      </c>
      <c r="O5062" s="7">
        <v>2.2370000000000001</v>
      </c>
      <c r="P5062" s="1" t="s">
        <v>46500</v>
      </c>
    </row>
    <row r="5063" spans="1:16" ht="33.4" x14ac:dyDescent="0.3">
      <c r="A5063" s="6" t="str">
        <f>HYPERLINK("https://www.ti.com/product/LP2982", "LP2982")</f>
        <v>LP2982</v>
      </c>
      <c r="B5063" s="5" t="s">
        <v>46501</v>
      </c>
      <c r="C5063" s="6" t="str">
        <f>HYPERLINK("https://www.ti.com/lit/gpn/LP2982", "PDF")</f>
        <v>PDF</v>
      </c>
      <c r="D5063" s="5" t="s">
        <v>46502</v>
      </c>
      <c r="E5063" s="5" t="s">
        <v>46503</v>
      </c>
      <c r="F5063" s="5"/>
      <c r="G5063" s="5" t="s">
        <v>46504</v>
      </c>
      <c r="H5063" s="1" t="s">
        <v>46505</v>
      </c>
      <c r="I5063" s="5" t="s">
        <v>46506</v>
      </c>
      <c r="J5063" s="7">
        <v>5</v>
      </c>
      <c r="K5063" s="7">
        <v>8.1199999999999992</v>
      </c>
      <c r="L5063" s="5" t="s">
        <v>46507</v>
      </c>
      <c r="M5063" s="7">
        <v>1.45</v>
      </c>
      <c r="N5063" s="7">
        <v>0.95</v>
      </c>
      <c r="O5063" s="7">
        <v>0.315</v>
      </c>
      <c r="P5063" s="1" t="s">
        <v>46508</v>
      </c>
    </row>
    <row r="5064" spans="1:16" ht="49.75" x14ac:dyDescent="0.3">
      <c r="A5064" s="6" t="str">
        <f>HYPERLINK("https://www.ti.com/product/LM2586", "LM2586")</f>
        <v>LM2586</v>
      </c>
      <c r="B5064" s="5" t="s">
        <v>46509</v>
      </c>
      <c r="C5064" s="6" t="str">
        <f>HYPERLINK("https://www.ti.com/lit/gpn/LM2586", "PDF")</f>
        <v>PDF</v>
      </c>
      <c r="D5064" s="5" t="s">
        <v>46510</v>
      </c>
      <c r="E5064" s="5" t="s">
        <v>46511</v>
      </c>
      <c r="F5064" s="5" t="s">
        <v>46512</v>
      </c>
      <c r="G5064" s="5" t="s">
        <v>46513</v>
      </c>
      <c r="H5064" s="1" t="s">
        <v>46514</v>
      </c>
      <c r="I5064" s="5" t="s">
        <v>46515</v>
      </c>
      <c r="J5064" s="7">
        <v>7</v>
      </c>
      <c r="K5064" s="7" t="s">
        <v>46516</v>
      </c>
      <c r="L5064" s="5" t="s">
        <v>46517</v>
      </c>
      <c r="M5064" s="7" t="s">
        <v>46518</v>
      </c>
      <c r="N5064" s="7">
        <v>1.27</v>
      </c>
      <c r="O5064" s="7">
        <v>3.7959999999999998</v>
      </c>
      <c r="P5064" s="1" t="s">
        <v>46519</v>
      </c>
    </row>
    <row r="5065" spans="1:16" ht="49.75" x14ac:dyDescent="0.3">
      <c r="A5065" s="6" t="str">
        <f>HYPERLINK("https://www.ti.com/product/LM2585", "LM2585")</f>
        <v>LM2585</v>
      </c>
      <c r="B5065" s="5" t="s">
        <v>46520</v>
      </c>
      <c r="C5065" s="6" t="str">
        <f>HYPERLINK("https://www.ti.com/lit/gpn/LM2585", "PDF")</f>
        <v>PDF</v>
      </c>
      <c r="D5065" s="5" t="s">
        <v>46521</v>
      </c>
      <c r="E5065" s="5" t="s">
        <v>46522</v>
      </c>
      <c r="F5065" s="5" t="s">
        <v>46523</v>
      </c>
      <c r="G5065" s="5" t="s">
        <v>46524</v>
      </c>
      <c r="H5065" s="1" t="s">
        <v>46525</v>
      </c>
      <c r="I5065" s="5" t="s">
        <v>46526</v>
      </c>
      <c r="J5065" s="7">
        <v>5</v>
      </c>
      <c r="K5065" s="7" t="s">
        <v>46527</v>
      </c>
      <c r="L5065" s="5" t="s">
        <v>46528</v>
      </c>
      <c r="M5065" s="7" t="s">
        <v>46529</v>
      </c>
      <c r="N5065" s="7">
        <v>1.7</v>
      </c>
      <c r="O5065" s="7">
        <v>3.7890000000000001</v>
      </c>
      <c r="P5065" s="1" t="s">
        <v>46530</v>
      </c>
    </row>
    <row r="5066" spans="1:16" ht="49.75" x14ac:dyDescent="0.3">
      <c r="A5066" s="6" t="str">
        <f>HYPERLINK("https://www.ti.com/product/LM2598", "LM2598")</f>
        <v>LM2598</v>
      </c>
      <c r="B5066" s="5" t="s">
        <v>46531</v>
      </c>
      <c r="C5066" s="6" t="str">
        <f>HYPERLINK("https://www.ti.com/lit/gpn/LM2598", "PDF")</f>
        <v>PDF</v>
      </c>
      <c r="D5066" s="5" t="s">
        <v>46532</v>
      </c>
      <c r="E5066" s="5" t="s">
        <v>46533</v>
      </c>
      <c r="F5066" s="5" t="s">
        <v>46534</v>
      </c>
      <c r="G5066" s="5" t="s">
        <v>46535</v>
      </c>
      <c r="H5066" s="1" t="s">
        <v>46536</v>
      </c>
      <c r="I5066" s="5" t="s">
        <v>46537</v>
      </c>
      <c r="J5066" s="7">
        <v>7</v>
      </c>
      <c r="K5066" s="7" t="s">
        <v>46538</v>
      </c>
      <c r="L5066" s="5" t="s">
        <v>46539</v>
      </c>
      <c r="M5066" s="7" t="s">
        <v>46540</v>
      </c>
      <c r="N5066" s="7">
        <v>1.27</v>
      </c>
      <c r="O5066" s="7">
        <v>1.742</v>
      </c>
      <c r="P5066" s="1" t="s">
        <v>46541</v>
      </c>
    </row>
    <row r="5067" spans="1:16" ht="49.75" x14ac:dyDescent="0.3">
      <c r="A5067" s="6" t="str">
        <f>HYPERLINK("https://www.ti.com/product/LM2595", "LM2595")</f>
        <v>LM2595</v>
      </c>
      <c r="B5067" s="5" t="s">
        <v>46542</v>
      </c>
      <c r="C5067" s="6" t="str">
        <f>HYPERLINK("https://www.ti.com/lit/gpn/LM2595", "PDF")</f>
        <v>PDF</v>
      </c>
      <c r="D5067" s="5" t="s">
        <v>46543</v>
      </c>
      <c r="E5067" s="5" t="s">
        <v>46544</v>
      </c>
      <c r="F5067" s="5" t="s">
        <v>46545</v>
      </c>
      <c r="G5067" s="5" t="s">
        <v>46546</v>
      </c>
      <c r="H5067" s="1" t="s">
        <v>46547</v>
      </c>
      <c r="I5067" s="5" t="s">
        <v>46548</v>
      </c>
      <c r="J5067" s="7">
        <v>5</v>
      </c>
      <c r="K5067" s="7" t="s">
        <v>46549</v>
      </c>
      <c r="L5067" s="5" t="s">
        <v>46550</v>
      </c>
      <c r="M5067" s="7" t="s">
        <v>46551</v>
      </c>
      <c r="N5067" s="7">
        <v>1.7</v>
      </c>
      <c r="O5067" s="7">
        <v>1.8380000000000001</v>
      </c>
      <c r="P5067" s="1" t="s">
        <v>46552</v>
      </c>
    </row>
    <row r="5068" spans="1:16" ht="66.150000000000006" x14ac:dyDescent="0.3">
      <c r="A5068" s="6" t="str">
        <f>HYPERLINK("https://www.ti.com/product/LM2676", "LM2676")</f>
        <v>LM2676</v>
      </c>
      <c r="B5068" s="5" t="s">
        <v>46553</v>
      </c>
      <c r="C5068" s="6" t="str">
        <f>HYPERLINK("https://www.ti.com/lit/gpn/LM2676", "PDF")</f>
        <v>PDF</v>
      </c>
      <c r="D5068" s="5" t="s">
        <v>46554</v>
      </c>
      <c r="E5068" s="5" t="s">
        <v>46555</v>
      </c>
      <c r="F5068" s="5" t="s">
        <v>46556</v>
      </c>
      <c r="G5068" s="5" t="s">
        <v>46557</v>
      </c>
      <c r="H5068" s="1" t="s">
        <v>46558</v>
      </c>
      <c r="I5068" s="5" t="s">
        <v>46559</v>
      </c>
      <c r="J5068" s="7" t="s">
        <v>46560</v>
      </c>
      <c r="K5068" s="7" t="s">
        <v>46561</v>
      </c>
      <c r="L5068" s="5" t="s">
        <v>46562</v>
      </c>
      <c r="M5068" s="7" t="s">
        <v>46563</v>
      </c>
      <c r="N5068" s="7" t="s">
        <v>46564</v>
      </c>
      <c r="O5068" s="7">
        <v>2.226</v>
      </c>
      <c r="P5068" s="1" t="s">
        <v>46565</v>
      </c>
    </row>
    <row r="5069" spans="1:16" ht="33.4" x14ac:dyDescent="0.3">
      <c r="A5069" s="6" t="str">
        <f>HYPERLINK("https://www.ti.com/product/LP2980-ADJ", "LP2980-ADJ")</f>
        <v>LP2980-ADJ</v>
      </c>
      <c r="B5069" s="5" t="s">
        <v>46566</v>
      </c>
      <c r="C5069" s="6" t="str">
        <f>HYPERLINK("https://www.ti.com/lit/gpn/LP2980-ADJ", "PDF")</f>
        <v>PDF</v>
      </c>
      <c r="D5069" s="5" t="s">
        <v>46567</v>
      </c>
      <c r="E5069" s="5" t="s">
        <v>46568</v>
      </c>
      <c r="F5069" s="5"/>
      <c r="G5069" s="5" t="s">
        <v>46569</v>
      </c>
      <c r="H5069" s="1" t="s">
        <v>46570</v>
      </c>
      <c r="I5069" s="5" t="s">
        <v>46571</v>
      </c>
      <c r="J5069" s="7">
        <v>5</v>
      </c>
      <c r="K5069" s="7">
        <v>8.1199999999999992</v>
      </c>
      <c r="L5069" s="5" t="s">
        <v>46572</v>
      </c>
      <c r="M5069" s="7">
        <v>1.45</v>
      </c>
      <c r="N5069" s="7">
        <v>0.95</v>
      </c>
      <c r="O5069" s="7">
        <v>0.245</v>
      </c>
      <c r="P5069" s="1" t="s">
        <v>46573</v>
      </c>
    </row>
    <row r="5070" spans="1:16" ht="17.05" x14ac:dyDescent="0.3">
      <c r="A5070" s="6" t="str">
        <f>HYPERLINK("https://www.ti.com/product/LM4050-N", "LM4050-N")</f>
        <v>LM4050-N</v>
      </c>
      <c r="B5070" s="5" t="s">
        <v>46574</v>
      </c>
      <c r="C5070" s="6" t="str">
        <f>HYPERLINK("https://www.ti.com/lit/gpn/LM4050-N", "PDF")</f>
        <v>PDF</v>
      </c>
      <c r="D5070" s="5" t="s">
        <v>46575</v>
      </c>
      <c r="E5070" s="5" t="s">
        <v>46576</v>
      </c>
      <c r="F5070" s="5"/>
      <c r="G5070" s="5" t="s">
        <v>46577</v>
      </c>
      <c r="H5070" s="1" t="s">
        <v>46578</v>
      </c>
      <c r="I5070" s="5" t="s">
        <v>46579</v>
      </c>
      <c r="J5070" s="7">
        <v>3</v>
      </c>
      <c r="K5070" s="7">
        <v>6.9203999999999999</v>
      </c>
      <c r="L5070" s="5" t="s">
        <v>46580</v>
      </c>
      <c r="M5070" s="7">
        <v>1.1200000000000001</v>
      </c>
      <c r="N5070" s="7">
        <v>0.96</v>
      </c>
      <c r="O5070" s="7">
        <v>0.629</v>
      </c>
      <c r="P5070" s="1" t="s">
        <v>46581</v>
      </c>
    </row>
    <row r="5071" spans="1:16" ht="33.4" x14ac:dyDescent="0.3">
      <c r="A5071" s="6" t="str">
        <f>HYPERLINK("https://www.ti.com/product/LM4050-N-Q1", "LM4050-N-Q1")</f>
        <v>LM4050-N-Q1</v>
      </c>
      <c r="B5071" s="5" t="s">
        <v>46582</v>
      </c>
      <c r="C5071" s="6" t="str">
        <f>HYPERLINK("https://www.ti.com/lit/gpn/LM4050-N-Q1", "PDF")</f>
        <v>PDF</v>
      </c>
      <c r="D5071" s="5" t="s">
        <v>46583</v>
      </c>
      <c r="E5071" s="5" t="s">
        <v>46584</v>
      </c>
      <c r="F5071" s="5"/>
      <c r="G5071" s="5" t="s">
        <v>46585</v>
      </c>
      <c r="H5071" s="1" t="s">
        <v>46586</v>
      </c>
      <c r="I5071" s="5" t="s">
        <v>46587</v>
      </c>
      <c r="J5071" s="7">
        <v>3</v>
      </c>
      <c r="K5071" s="7">
        <v>6.9203999999999999</v>
      </c>
      <c r="L5071" s="5" t="s">
        <v>46588</v>
      </c>
      <c r="M5071" s="7">
        <v>1.1200000000000001</v>
      </c>
      <c r="N5071" s="7">
        <v>0.96</v>
      </c>
      <c r="O5071" s="7">
        <v>1.006</v>
      </c>
      <c r="P5071" s="1" t="s">
        <v>46589</v>
      </c>
    </row>
    <row r="5072" spans="1:16" ht="82.5" x14ac:dyDescent="0.3">
      <c r="A5072" s="6" t="str">
        <f>HYPERLINK("https://www.ti.com/product/LM2596", "LM2596")</f>
        <v>LM2596</v>
      </c>
      <c r="B5072" s="5" t="s">
        <v>46590</v>
      </c>
      <c r="C5072" s="6" t="str">
        <f>HYPERLINK("https://www.ti.com/lit/gpn/LM2596", "PDF")</f>
        <v>PDF</v>
      </c>
      <c r="D5072" s="5" t="s">
        <v>46591</v>
      </c>
      <c r="E5072" s="5" t="s">
        <v>46592</v>
      </c>
      <c r="F5072" s="5" t="s">
        <v>46593</v>
      </c>
      <c r="G5072" s="5" t="s">
        <v>46594</v>
      </c>
      <c r="H5072" s="1" t="s">
        <v>46595</v>
      </c>
      <c r="I5072" s="5" t="s">
        <v>46596</v>
      </c>
      <c r="J5072" s="7">
        <v>5</v>
      </c>
      <c r="K5072" s="7" t="s">
        <v>46597</v>
      </c>
      <c r="L5072" s="5" t="s">
        <v>46598</v>
      </c>
      <c r="M5072" s="7" t="s">
        <v>46599</v>
      </c>
      <c r="N5072" s="7">
        <v>1.7</v>
      </c>
      <c r="O5072" s="7">
        <v>2.278</v>
      </c>
      <c r="P5072" s="1" t="s">
        <v>46600</v>
      </c>
    </row>
    <row r="5073" spans="1:16" ht="49.75" x14ac:dyDescent="0.3">
      <c r="A5073" s="6" t="str">
        <f>HYPERLINK("https://www.ti.com/product/LM2599", "LM2599")</f>
        <v>LM2599</v>
      </c>
      <c r="B5073" s="5" t="s">
        <v>46601</v>
      </c>
      <c r="C5073" s="6" t="str">
        <f>HYPERLINK("https://www.ti.com/lit/gpn/LM2599", "PDF")</f>
        <v>PDF</v>
      </c>
      <c r="D5073" s="5" t="s">
        <v>46602</v>
      </c>
      <c r="E5073" s="5" t="s">
        <v>46603</v>
      </c>
      <c r="F5073" s="5" t="s">
        <v>46604</v>
      </c>
      <c r="G5073" s="5" t="s">
        <v>46605</v>
      </c>
      <c r="H5073" s="1" t="s">
        <v>46606</v>
      </c>
      <c r="I5073" s="5" t="s">
        <v>46607</v>
      </c>
      <c r="J5073" s="7">
        <v>7</v>
      </c>
      <c r="K5073" s="7" t="s">
        <v>46608</v>
      </c>
      <c r="L5073" s="5" t="s">
        <v>46609</v>
      </c>
      <c r="M5073" s="7" t="s">
        <v>46610</v>
      </c>
      <c r="N5073" s="7">
        <v>1.27</v>
      </c>
      <c r="O5073" s="7">
        <v>2.8530000000000002</v>
      </c>
      <c r="P5073" s="1" t="s">
        <v>46611</v>
      </c>
    </row>
    <row r="5074" spans="1:16" ht="49.75" x14ac:dyDescent="0.3">
      <c r="A5074" s="6" t="str">
        <f>HYPERLINK("https://www.ti.com/product/LM2597", "LM2597")</f>
        <v>LM2597</v>
      </c>
      <c r="B5074" s="5" t="s">
        <v>46612</v>
      </c>
      <c r="C5074" s="6" t="str">
        <f>HYPERLINK("https://www.ti.com/lit/gpn/LM2597", "PDF")</f>
        <v>PDF</v>
      </c>
      <c r="D5074" s="5" t="s">
        <v>46613</v>
      </c>
      <c r="E5074" s="5" t="s">
        <v>46614</v>
      </c>
      <c r="F5074" s="5" t="s">
        <v>46615</v>
      </c>
      <c r="G5074" s="5" t="s">
        <v>46616</v>
      </c>
      <c r="H5074" s="1" t="s">
        <v>46617</v>
      </c>
      <c r="I5074" s="5" t="s">
        <v>46618</v>
      </c>
      <c r="J5074" s="7">
        <v>8</v>
      </c>
      <c r="K5074" s="7" t="s">
        <v>46619</v>
      </c>
      <c r="L5074" s="5" t="s">
        <v>46620</v>
      </c>
      <c r="M5074" s="7" t="s">
        <v>46621</v>
      </c>
      <c r="N5074" s="7" t="s">
        <v>46622</v>
      </c>
      <c r="O5074" s="7">
        <v>2.0870000000000002</v>
      </c>
      <c r="P5074" s="1" t="s">
        <v>46623</v>
      </c>
    </row>
    <row r="5075" spans="1:16" ht="49.75" x14ac:dyDescent="0.3">
      <c r="A5075" s="6" t="str">
        <f>HYPERLINK("https://www.ti.com/product/LM2594", "LM2594")</f>
        <v>LM2594</v>
      </c>
      <c r="B5075" s="5" t="s">
        <v>46624</v>
      </c>
      <c r="C5075" s="6" t="str">
        <f>HYPERLINK("https://www.ti.com/lit/gpn/LM2594", "PDF")</f>
        <v>PDF</v>
      </c>
      <c r="D5075" s="5" t="s">
        <v>46625</v>
      </c>
      <c r="E5075" s="5" t="s">
        <v>46626</v>
      </c>
      <c r="F5075" s="5" t="s">
        <v>46627</v>
      </c>
      <c r="G5075" s="5" t="s">
        <v>46628</v>
      </c>
      <c r="H5075" s="1" t="s">
        <v>46629</v>
      </c>
      <c r="I5075" s="5" t="s">
        <v>46630</v>
      </c>
      <c r="J5075" s="7">
        <v>8</v>
      </c>
      <c r="K5075" s="7" t="s">
        <v>46631</v>
      </c>
      <c r="L5075" s="5" t="s">
        <v>46632</v>
      </c>
      <c r="M5075" s="7" t="s">
        <v>46633</v>
      </c>
      <c r="N5075" s="7" t="s">
        <v>46634</v>
      </c>
      <c r="O5075" s="7">
        <v>1.583</v>
      </c>
      <c r="P5075" s="1" t="s">
        <v>46635</v>
      </c>
    </row>
    <row r="5076" spans="1:16" ht="33.4" x14ac:dyDescent="0.3">
      <c r="A5076" s="6" t="str">
        <f>HYPERLINK("https://www.ti.com/product/LP2960", "LP2960")</f>
        <v>LP2960</v>
      </c>
      <c r="B5076" s="5" t="s">
        <v>46636</v>
      </c>
      <c r="C5076" s="6" t="str">
        <f>HYPERLINK("https://www.ti.com/lit/gpn/LP2960", "PDF")</f>
        <v>PDF</v>
      </c>
      <c r="D5076" s="5" t="s">
        <v>46637</v>
      </c>
      <c r="E5076" s="5" t="s">
        <v>46638</v>
      </c>
      <c r="F5076" s="5"/>
      <c r="G5076" s="5" t="s">
        <v>46639</v>
      </c>
      <c r="H5076" s="1" t="s">
        <v>46640</v>
      </c>
      <c r="I5076" s="5" t="s">
        <v>46641</v>
      </c>
      <c r="J5076" s="7">
        <v>16</v>
      </c>
      <c r="K5076" s="7">
        <v>59.4</v>
      </c>
      <c r="L5076" s="5" t="s">
        <v>46642</v>
      </c>
      <c r="M5076" s="7">
        <v>1.75</v>
      </c>
      <c r="N5076" s="7">
        <v>1.27</v>
      </c>
      <c r="O5076" s="7">
        <v>1.196</v>
      </c>
      <c r="P5076" s="1" t="s">
        <v>46643</v>
      </c>
    </row>
    <row r="5077" spans="1:16" ht="49.75" x14ac:dyDescent="0.3">
      <c r="A5077" s="6" t="str">
        <f>HYPERLINK("https://www.ti.com/product/LM2588", "LM2588")</f>
        <v>LM2588</v>
      </c>
      <c r="B5077" s="5" t="s">
        <v>46644</v>
      </c>
      <c r="C5077" s="6" t="str">
        <f>HYPERLINK("https://www.ti.com/lit/gpn/LM2588", "PDF")</f>
        <v>PDF</v>
      </c>
      <c r="D5077" s="5" t="s">
        <v>46645</v>
      </c>
      <c r="E5077" s="5" t="s">
        <v>46646</v>
      </c>
      <c r="F5077" s="5" t="s">
        <v>46647</v>
      </c>
      <c r="G5077" s="5" t="s">
        <v>46648</v>
      </c>
      <c r="H5077" s="1" t="s">
        <v>46649</v>
      </c>
      <c r="I5077" s="5" t="s">
        <v>46650</v>
      </c>
      <c r="J5077" s="7">
        <v>7</v>
      </c>
      <c r="K5077" s="7" t="s">
        <v>46651</v>
      </c>
      <c r="L5077" s="5" t="s">
        <v>46652</v>
      </c>
      <c r="M5077" s="7" t="s">
        <v>46653</v>
      </c>
      <c r="N5077" s="7">
        <v>1.27</v>
      </c>
      <c r="O5077" s="7">
        <v>5.2039999999999997</v>
      </c>
      <c r="P5077" s="1" t="s">
        <v>46654</v>
      </c>
    </row>
    <row r="5078" spans="1:16" ht="33.4" x14ac:dyDescent="0.3">
      <c r="A5078" s="6" t="str">
        <f>HYPERLINK("https://www.ti.com/product/LM9070", "LM9070")</f>
        <v>LM9070</v>
      </c>
      <c r="B5078" s="5" t="s">
        <v>46655</v>
      </c>
      <c r="C5078" s="6" t="str">
        <f>HYPERLINK("https://www.ti.com/lit/gpn/LM9070", "PDF")</f>
        <v>PDF</v>
      </c>
      <c r="D5078" s="5" t="s">
        <v>46656</v>
      </c>
      <c r="E5078" s="5" t="s">
        <v>46657</v>
      </c>
      <c r="F5078" s="5"/>
      <c r="G5078" s="5" t="s">
        <v>46658</v>
      </c>
      <c r="H5078" s="1" t="s">
        <v>46659</v>
      </c>
      <c r="I5078" s="5" t="s">
        <v>46660</v>
      </c>
      <c r="J5078" s="7">
        <v>7</v>
      </c>
      <c r="K5078" s="7">
        <v>153.92400000000001</v>
      </c>
      <c r="L5078" s="5" t="s">
        <v>46661</v>
      </c>
      <c r="M5078" s="7">
        <v>5</v>
      </c>
      <c r="N5078" s="7">
        <v>1.27</v>
      </c>
      <c r="O5078" s="7">
        <v>1.4410000000000001</v>
      </c>
      <c r="P5078" s="1" t="s">
        <v>46662</v>
      </c>
    </row>
    <row r="5079" spans="1:16" ht="33.4" x14ac:dyDescent="0.3">
      <c r="A5079" s="6" t="str">
        <f>HYPERLINK("https://www.ti.com/product/LP2981-N", "LP2981-N")</f>
        <v>LP2981-N</v>
      </c>
      <c r="B5079" s="5" t="s">
        <v>46663</v>
      </c>
      <c r="C5079" s="6" t="str">
        <f>HYPERLINK("https://www.ti.com/lit/gpn/LP2981-N", "PDF")</f>
        <v>PDF</v>
      </c>
      <c r="D5079" s="5" t="s">
        <v>46664</v>
      </c>
      <c r="E5079" s="5" t="s">
        <v>46665</v>
      </c>
      <c r="F5079" s="5"/>
      <c r="G5079" s="5" t="s">
        <v>46666</v>
      </c>
      <c r="H5079" s="1" t="s">
        <v>46667</v>
      </c>
      <c r="I5079" s="5" t="s">
        <v>46668</v>
      </c>
      <c r="J5079" s="7">
        <v>5</v>
      </c>
      <c r="K5079" s="7">
        <v>8.1199999999999992</v>
      </c>
      <c r="L5079" s="5" t="s">
        <v>46669</v>
      </c>
      <c r="M5079" s="7">
        <v>1.45</v>
      </c>
      <c r="N5079" s="7">
        <v>0.95</v>
      </c>
      <c r="O5079" s="7">
        <v>0.36</v>
      </c>
      <c r="P5079" s="1" t="s">
        <v>46670</v>
      </c>
    </row>
    <row r="5080" spans="1:16" ht="49.75" x14ac:dyDescent="0.3">
      <c r="A5080" s="6" t="str">
        <f>HYPERLINK("https://www.ti.com/product/LM2587", "LM2587")</f>
        <v>LM2587</v>
      </c>
      <c r="B5080" s="5" t="s">
        <v>46671</v>
      </c>
      <c r="C5080" s="6" t="str">
        <f>HYPERLINK("https://www.ti.com/lit/gpn/LM2587", "PDF")</f>
        <v>PDF</v>
      </c>
      <c r="D5080" s="5" t="s">
        <v>46672</v>
      </c>
      <c r="E5080" s="5" t="s">
        <v>46673</v>
      </c>
      <c r="F5080" s="5" t="s">
        <v>46674</v>
      </c>
      <c r="G5080" s="5" t="s">
        <v>46675</v>
      </c>
      <c r="H5080" s="1" t="s">
        <v>46676</v>
      </c>
      <c r="I5080" s="5" t="s">
        <v>46677</v>
      </c>
      <c r="J5080" s="7">
        <v>5</v>
      </c>
      <c r="K5080" s="7" t="s">
        <v>46678</v>
      </c>
      <c r="L5080" s="5" t="s">
        <v>46679</v>
      </c>
      <c r="M5080" s="7" t="s">
        <v>46680</v>
      </c>
      <c r="N5080" s="7">
        <v>1.7</v>
      </c>
      <c r="O5080" s="7">
        <v>5.6879999999999997</v>
      </c>
      <c r="P5080" s="1" t="s">
        <v>46681</v>
      </c>
    </row>
    <row r="5081" spans="1:16" ht="82.5" x14ac:dyDescent="0.3">
      <c r="A5081" s="6" t="str">
        <f>HYPERLINK("https://www.ti.com/product/LM3940", "LM3940")</f>
        <v>LM3940</v>
      </c>
      <c r="B5081" s="5" t="s">
        <v>46682</v>
      </c>
      <c r="C5081" s="6" t="str">
        <f>HYPERLINK("https://www.ti.com/lit/gpn/LM3940", "PDF")</f>
        <v>PDF</v>
      </c>
      <c r="D5081" s="5" t="s">
        <v>46683</v>
      </c>
      <c r="E5081" s="5" t="s">
        <v>46684</v>
      </c>
      <c r="F5081" s="5"/>
      <c r="G5081" s="5" t="s">
        <v>46685</v>
      </c>
      <c r="H5081" s="1" t="s">
        <v>46686</v>
      </c>
      <c r="I5081" s="5" t="s">
        <v>46687</v>
      </c>
      <c r="J5081" s="7" t="s">
        <v>46688</v>
      </c>
      <c r="K5081" s="7" t="s">
        <v>46689</v>
      </c>
      <c r="L5081" s="5" t="s">
        <v>46690</v>
      </c>
      <c r="M5081" s="7" t="s">
        <v>46691</v>
      </c>
      <c r="N5081" s="7" t="s">
        <v>46692</v>
      </c>
      <c r="O5081" s="7">
        <v>0.60399999999999998</v>
      </c>
      <c r="P5081" s="1" t="s">
        <v>46693</v>
      </c>
    </row>
    <row r="5082" spans="1:16" ht="33.4" x14ac:dyDescent="0.3">
      <c r="A5082" s="6" t="str">
        <f>HYPERLINK("https://www.ti.com/product/LP2980-N", "LP2980-N")</f>
        <v>LP2980-N</v>
      </c>
      <c r="B5082" s="5" t="s">
        <v>46694</v>
      </c>
      <c r="C5082" s="6" t="str">
        <f>HYPERLINK("https://www.ti.com/lit/gpn/LP2980-N", "PDF")</f>
        <v>PDF</v>
      </c>
      <c r="D5082" s="5" t="s">
        <v>46695</v>
      </c>
      <c r="E5082" s="5" t="s">
        <v>46696</v>
      </c>
      <c r="F5082" s="5"/>
      <c r="G5082" s="5" t="s">
        <v>46697</v>
      </c>
      <c r="H5082" s="1" t="s">
        <v>46698</v>
      </c>
      <c r="I5082" s="5" t="s">
        <v>46699</v>
      </c>
      <c r="J5082" s="7">
        <v>5</v>
      </c>
      <c r="K5082" s="7">
        <v>8.1199999999999992</v>
      </c>
      <c r="L5082" s="5" t="s">
        <v>46700</v>
      </c>
      <c r="M5082" s="7">
        <v>1.45</v>
      </c>
      <c r="N5082" s="7">
        <v>0.95</v>
      </c>
      <c r="O5082" s="7">
        <v>0.185</v>
      </c>
      <c r="P5082" s="1" t="s">
        <v>46701</v>
      </c>
    </row>
    <row r="5083" spans="1:16" ht="17.05" x14ac:dyDescent="0.3">
      <c r="A5083" s="6" t="str">
        <f>HYPERLINK("https://www.ti.com/product/LM9061", "LM9061")</f>
        <v>LM9061</v>
      </c>
      <c r="B5083" s="5" t="s">
        <v>46702</v>
      </c>
      <c r="C5083" s="6" t="str">
        <f>HYPERLINK("https://www.ti.com/lit/gpn/LM9061", "PDF")</f>
        <v>PDF</v>
      </c>
      <c r="D5083" s="5" t="s">
        <v>46703</v>
      </c>
      <c r="E5083" s="5" t="s">
        <v>46704</v>
      </c>
      <c r="F5083" s="5"/>
      <c r="G5083" s="5" t="s">
        <v>46705</v>
      </c>
      <c r="H5083" s="1" t="s">
        <v>46706</v>
      </c>
      <c r="I5083" s="5" t="s">
        <v>46707</v>
      </c>
      <c r="J5083" s="7">
        <v>8</v>
      </c>
      <c r="K5083" s="7">
        <v>29.4</v>
      </c>
      <c r="L5083" s="5" t="s">
        <v>46708</v>
      </c>
      <c r="M5083" s="7">
        <v>1.75</v>
      </c>
      <c r="N5083" s="7">
        <v>1.27</v>
      </c>
      <c r="O5083" s="7">
        <v>1.242</v>
      </c>
      <c r="P5083" s="1" t="s">
        <v>46709</v>
      </c>
    </row>
    <row r="5084" spans="1:16" ht="33.4" x14ac:dyDescent="0.3">
      <c r="A5084" s="6" t="str">
        <f>HYPERLINK("https://www.ti.com/product/LP2957", "LP2957")</f>
        <v>LP2957</v>
      </c>
      <c r="B5084" s="5" t="s">
        <v>46710</v>
      </c>
      <c r="C5084" s="6" t="str">
        <f>HYPERLINK("https://www.ti.com/lit/gpn/LP2957", "PDF")</f>
        <v>PDF</v>
      </c>
      <c r="D5084" s="5" t="s">
        <v>46711</v>
      </c>
      <c r="E5084" s="5" t="s">
        <v>46712</v>
      </c>
      <c r="F5084" s="5"/>
      <c r="G5084" s="5" t="s">
        <v>46713</v>
      </c>
      <c r="H5084" s="1" t="s">
        <v>46714</v>
      </c>
      <c r="I5084" s="5" t="s">
        <v>46715</v>
      </c>
      <c r="J5084" s="7">
        <v>5</v>
      </c>
      <c r="K5084" s="7">
        <v>154.83840000000001</v>
      </c>
      <c r="L5084" s="5" t="s">
        <v>46716</v>
      </c>
      <c r="M5084" s="7">
        <v>4.83</v>
      </c>
      <c r="N5084" s="7">
        <v>1.7</v>
      </c>
      <c r="O5084" s="7">
        <v>1.4590000000000001</v>
      </c>
      <c r="P5084" s="1" t="s">
        <v>46717</v>
      </c>
    </row>
    <row r="5085" spans="1:16" ht="17.05" x14ac:dyDescent="0.3">
      <c r="A5085" s="6" t="str">
        <f>HYPERLINK("https://www.ti.com/product/LM3411", "LM3411")</f>
        <v>LM3411</v>
      </c>
      <c r="B5085" s="5" t="s">
        <v>46718</v>
      </c>
      <c r="C5085" s="6" t="str">
        <f>HYPERLINK("https://www.ti.com/lit/gpn/LM3411", "PDF")</f>
        <v>PDF</v>
      </c>
      <c r="D5085" s="5" t="s">
        <v>46719</v>
      </c>
      <c r="E5085" s="5" t="s">
        <v>46720</v>
      </c>
      <c r="F5085" s="5"/>
      <c r="G5085" s="5" t="s">
        <v>46721</v>
      </c>
      <c r="H5085" s="1" t="s">
        <v>46722</v>
      </c>
      <c r="I5085" s="5" t="s">
        <v>46723</v>
      </c>
      <c r="J5085" s="7">
        <v>5</v>
      </c>
      <c r="K5085" s="7">
        <v>8.1199999999999992</v>
      </c>
      <c r="L5085" s="5" t="s">
        <v>46724</v>
      </c>
      <c r="M5085" s="7">
        <v>1.45</v>
      </c>
      <c r="N5085" s="7">
        <v>0.95</v>
      </c>
      <c r="O5085" s="7">
        <v>0.67200000000000004</v>
      </c>
      <c r="P5085" s="1" t="s">
        <v>46725</v>
      </c>
    </row>
    <row r="5086" spans="1:16" ht="49.75" x14ac:dyDescent="0.3">
      <c r="A5086" s="6" t="str">
        <f>HYPERLINK("https://www.ti.com/product/TPIC6B595", "TPIC6B595")</f>
        <v>TPIC6B595</v>
      </c>
      <c r="B5086" s="5" t="s">
        <v>46726</v>
      </c>
      <c r="C5086" s="6" t="str">
        <f>HYPERLINK("https://www.ti.com/lit/gpn/TPIC6B595", "PDF")</f>
        <v>PDF</v>
      </c>
      <c r="D5086" s="5" t="s">
        <v>46727</v>
      </c>
      <c r="E5086" s="5" t="s">
        <v>46728</v>
      </c>
      <c r="F5086" s="5" t="s">
        <v>46729</v>
      </c>
      <c r="G5086" s="5" t="s">
        <v>46730</v>
      </c>
      <c r="H5086" s="1" t="s">
        <v>46731</v>
      </c>
      <c r="I5086" s="5" t="s">
        <v>46732</v>
      </c>
      <c r="J5086" s="7">
        <v>20</v>
      </c>
      <c r="K5086" s="7" t="s">
        <v>46733</v>
      </c>
      <c r="L5086" s="5" t="s">
        <v>46734</v>
      </c>
      <c r="M5086" s="7" t="s">
        <v>46735</v>
      </c>
      <c r="N5086" s="7" t="s">
        <v>46736</v>
      </c>
      <c r="O5086" s="7">
        <v>0.51900000000000002</v>
      </c>
      <c r="P5086" s="1" t="s">
        <v>46737</v>
      </c>
    </row>
    <row r="5087" spans="1:16" ht="33.4" x14ac:dyDescent="0.3">
      <c r="A5087" s="6" t="str">
        <f>HYPERLINK("https://www.ti.com/product/LP2951JAN", "LP2951JAN")</f>
        <v>LP2951JAN</v>
      </c>
      <c r="B5087" s="5" t="s">
        <v>46738</v>
      </c>
      <c r="C5087" s="6" t="str">
        <f>HYPERLINK("https://www.ti.com/lit/gpn/LP2951JAN", "PDF")</f>
        <v>PDF</v>
      </c>
      <c r="D5087" s="5" t="s">
        <v>46739</v>
      </c>
      <c r="E5087" s="5" t="s">
        <v>46740</v>
      </c>
      <c r="F5087" s="5"/>
      <c r="G5087" s="5" t="s">
        <v>46741</v>
      </c>
      <c r="H5087" s="1" t="s">
        <v>46742</v>
      </c>
      <c r="I5087" s="5" t="s">
        <v>46743</v>
      </c>
      <c r="J5087" s="7">
        <v>8</v>
      </c>
      <c r="K5087" s="7">
        <v>79.959199999999996</v>
      </c>
      <c r="L5087" s="5" t="s">
        <v>46744</v>
      </c>
      <c r="M5087" s="7">
        <v>5.08</v>
      </c>
      <c r="N5087" s="7">
        <v>2.54</v>
      </c>
      <c r="O5087" s="7">
        <v>44.612000000000002</v>
      </c>
      <c r="P5087" s="1" t="s">
        <v>46745</v>
      </c>
    </row>
    <row r="5088" spans="1:16" ht="33.4" x14ac:dyDescent="0.3">
      <c r="A5088" s="6" t="str">
        <f>HYPERLINK("https://www.ti.com/product/TL1453CNS", "TL1453CNS")</f>
        <v>TL1453CNS</v>
      </c>
      <c r="B5088" s="5" t="s">
        <v>46746</v>
      </c>
      <c r="C5088" s="6" t="s">
        <v>183</v>
      </c>
      <c r="D5088" s="5" t="s">
        <v>46747</v>
      </c>
      <c r="E5088" s="5" t="s">
        <v>46748</v>
      </c>
      <c r="F5088" s="5"/>
      <c r="G5088" s="5" t="s">
        <v>46749</v>
      </c>
      <c r="H5088" s="1" t="s">
        <v>46750</v>
      </c>
      <c r="I5088" s="5" t="s">
        <v>46751</v>
      </c>
      <c r="J5088" s="7">
        <v>16</v>
      </c>
      <c r="K5088" s="7">
        <v>79.56</v>
      </c>
      <c r="L5088" s="5" t="s">
        <v>46752</v>
      </c>
      <c r="M5088" s="7">
        <v>2</v>
      </c>
      <c r="N5088" s="7">
        <v>1.27</v>
      </c>
      <c r="O5088" s="7">
        <v>3.5760000000000001</v>
      </c>
      <c r="P5088" s="1" t="s">
        <v>46753</v>
      </c>
    </row>
    <row r="5089" spans="1:16" ht="49.75" x14ac:dyDescent="0.3">
      <c r="A5089" s="6" t="str">
        <f>HYPERLINK("https://www.ti.com/product/LP2957A", "LP2957A")</f>
        <v>LP2957A</v>
      </c>
      <c r="B5089" s="5" t="s">
        <v>46754</v>
      </c>
      <c r="C5089" s="6" t="str">
        <f>HYPERLINK("https://www.ti.com/lit/gpn/LP2957A", "PDF")</f>
        <v>PDF</v>
      </c>
      <c r="D5089" s="5" t="s">
        <v>46755</v>
      </c>
      <c r="E5089" s="5" t="s">
        <v>46756</v>
      </c>
      <c r="F5089" s="5"/>
      <c r="G5089" s="5" t="s">
        <v>46757</v>
      </c>
      <c r="H5089" s="1" t="s">
        <v>46758</v>
      </c>
      <c r="I5089" s="5" t="s">
        <v>46759</v>
      </c>
      <c r="J5089" s="7">
        <v>5</v>
      </c>
      <c r="K5089" s="7" t="s">
        <v>46760</v>
      </c>
      <c r="L5089" s="5" t="s">
        <v>46761</v>
      </c>
      <c r="M5089" s="7" t="s">
        <v>46762</v>
      </c>
      <c r="N5089" s="7">
        <v>1.7</v>
      </c>
      <c r="O5089" s="7">
        <v>1.7989999999999999</v>
      </c>
      <c r="P5089" s="1" t="s">
        <v>46763</v>
      </c>
    </row>
    <row r="5090" spans="1:16" ht="49.75" x14ac:dyDescent="0.3">
      <c r="A5090" s="6" t="str">
        <f>HYPERLINK("https://www.ti.com/product/TPIC6A595", "TPIC6A595")</f>
        <v>TPIC6A595</v>
      </c>
      <c r="B5090" s="5" t="s">
        <v>46764</v>
      </c>
      <c r="C5090" s="6" t="str">
        <f>HYPERLINK("https://www.ti.com/lit/gpn/TPIC6A595", "PDF")</f>
        <v>PDF</v>
      </c>
      <c r="D5090" s="5" t="s">
        <v>46765</v>
      </c>
      <c r="E5090" s="5" t="s">
        <v>46766</v>
      </c>
      <c r="F5090" s="5" t="s">
        <v>46767</v>
      </c>
      <c r="G5090" s="5" t="s">
        <v>46768</v>
      </c>
      <c r="H5090" s="1" t="s">
        <v>46769</v>
      </c>
      <c r="I5090" s="5" t="s">
        <v>46770</v>
      </c>
      <c r="J5090" s="7" t="s">
        <v>46771</v>
      </c>
      <c r="K5090" s="7" t="s">
        <v>46772</v>
      </c>
      <c r="L5090" s="5" t="s">
        <v>46773</v>
      </c>
      <c r="M5090" s="7" t="s">
        <v>46774</v>
      </c>
      <c r="N5090" s="7" t="s">
        <v>46775</v>
      </c>
      <c r="O5090" s="7">
        <v>1.323</v>
      </c>
      <c r="P5090" s="1" t="s">
        <v>46776</v>
      </c>
    </row>
    <row r="5091" spans="1:16" ht="17.05" x14ac:dyDescent="0.3">
      <c r="A5091" s="6" t="str">
        <f>HYPERLINK("https://www.ti.com/product/REF02", "REF02")</f>
        <v>REF02</v>
      </c>
      <c r="B5091" s="5" t="s">
        <v>46777</v>
      </c>
      <c r="C5091" s="6" t="str">
        <f>HYPERLINK("https://www.ti.com/lit/gpn/REF02", "PDF")</f>
        <v>PDF</v>
      </c>
      <c r="D5091" s="5" t="s">
        <v>46778</v>
      </c>
      <c r="E5091" s="5" t="s">
        <v>46779</v>
      </c>
      <c r="F5091" s="5"/>
      <c r="G5091" s="5" t="s">
        <v>46780</v>
      </c>
      <c r="H5091" s="1" t="s">
        <v>46781</v>
      </c>
      <c r="I5091" s="5" t="s">
        <v>46782</v>
      </c>
      <c r="J5091" s="7">
        <v>8</v>
      </c>
      <c r="K5091" s="7">
        <v>29.4</v>
      </c>
      <c r="L5091" s="5" t="s">
        <v>46783</v>
      </c>
      <c r="M5091" s="7">
        <v>1.75</v>
      </c>
      <c r="N5091" s="7">
        <v>1.27</v>
      </c>
      <c r="O5091" s="7">
        <v>1.929</v>
      </c>
      <c r="P5091" s="1" t="s">
        <v>46784</v>
      </c>
    </row>
    <row r="5092" spans="1:16" ht="49.75" x14ac:dyDescent="0.3">
      <c r="A5092" s="6" t="str">
        <f>HYPERLINK("https://www.ti.com/product/REG1117", "REG1117")</f>
        <v>REG1117</v>
      </c>
      <c r="B5092" s="5" t="s">
        <v>46785</v>
      </c>
      <c r="C5092" s="6" t="str">
        <f>HYPERLINK("https://www.ti.com/lit/gpn/REG1117", "PDF")</f>
        <v>PDF</v>
      </c>
      <c r="D5092" s="5" t="s">
        <v>46786</v>
      </c>
      <c r="E5092" s="5" t="s">
        <v>46787</v>
      </c>
      <c r="F5092" s="5"/>
      <c r="G5092" s="5" t="s">
        <v>46788</v>
      </c>
      <c r="H5092" s="1" t="s">
        <v>46789</v>
      </c>
      <c r="I5092" s="5" t="s">
        <v>46790</v>
      </c>
      <c r="J5092" s="7" t="s">
        <v>46791</v>
      </c>
      <c r="K5092" s="7" t="s">
        <v>46792</v>
      </c>
      <c r="L5092" s="5" t="s">
        <v>46793</v>
      </c>
      <c r="M5092" s="7" t="s">
        <v>46794</v>
      </c>
      <c r="N5092" s="7" t="s">
        <v>46795</v>
      </c>
      <c r="O5092" s="7">
        <v>0.88700000000000001</v>
      </c>
      <c r="P5092" s="1" t="s">
        <v>46796</v>
      </c>
    </row>
    <row r="5093" spans="1:16" ht="33.4" x14ac:dyDescent="0.3">
      <c r="A5093" s="6" t="str">
        <f>HYPERLINK("https://www.ti.com/product/UCC2800", "UCC2800")</f>
        <v>UCC2800</v>
      </c>
      <c r="B5093" s="5" t="s">
        <v>46797</v>
      </c>
      <c r="C5093" s="6" t="str">
        <f>HYPERLINK("https://www.ti.com/lit/gpn/UCC2800", "PDF")</f>
        <v>PDF</v>
      </c>
      <c r="D5093" s="5" t="s">
        <v>46798</v>
      </c>
      <c r="E5093" s="5" t="s">
        <v>46799</v>
      </c>
      <c r="F5093" s="5" t="s">
        <v>46800</v>
      </c>
      <c r="G5093" s="5" t="s">
        <v>46801</v>
      </c>
      <c r="H5093" s="1" t="s">
        <v>46802</v>
      </c>
      <c r="I5093" s="5" t="s">
        <v>46803</v>
      </c>
      <c r="J5093" s="7">
        <v>8</v>
      </c>
      <c r="K5093" s="7" t="s">
        <v>46804</v>
      </c>
      <c r="L5093" s="5" t="s">
        <v>46805</v>
      </c>
      <c r="M5093" s="7" t="s">
        <v>46806</v>
      </c>
      <c r="N5093" s="7" t="s">
        <v>46807</v>
      </c>
      <c r="O5093" s="7">
        <v>0.92</v>
      </c>
      <c r="P5093" s="1" t="s">
        <v>46808</v>
      </c>
    </row>
    <row r="5094" spans="1:16" ht="33.4" x14ac:dyDescent="0.3">
      <c r="A5094" s="6" t="str">
        <f>HYPERLINK("https://www.ti.com/product/UCC2801", "UCC2801")</f>
        <v>UCC2801</v>
      </c>
      <c r="B5094" s="5" t="s">
        <v>46809</v>
      </c>
      <c r="C5094" s="6" t="str">
        <f>HYPERLINK("https://www.ti.com/lit/gpn/UCC2801", "PDF")</f>
        <v>PDF</v>
      </c>
      <c r="D5094" s="5" t="s">
        <v>46810</v>
      </c>
      <c r="E5094" s="5" t="s">
        <v>46811</v>
      </c>
      <c r="F5094" s="5" t="s">
        <v>46812</v>
      </c>
      <c r="G5094" s="5" t="s">
        <v>46813</v>
      </c>
      <c r="H5094" s="1" t="s">
        <v>46814</v>
      </c>
      <c r="I5094" s="5" t="s">
        <v>46815</v>
      </c>
      <c r="J5094" s="7">
        <v>8</v>
      </c>
      <c r="K5094" s="7" t="s">
        <v>46816</v>
      </c>
      <c r="L5094" s="5" t="s">
        <v>46817</v>
      </c>
      <c r="M5094" s="7" t="s">
        <v>46818</v>
      </c>
      <c r="N5094" s="7" t="s">
        <v>46819</v>
      </c>
      <c r="O5094" s="7">
        <v>0.82799999999999996</v>
      </c>
      <c r="P5094" s="1" t="s">
        <v>46820</v>
      </c>
    </row>
    <row r="5095" spans="1:16" ht="33.4" x14ac:dyDescent="0.3">
      <c r="A5095" s="6" t="str">
        <f>HYPERLINK("https://www.ti.com/product/UCC2802", "UCC2802")</f>
        <v>UCC2802</v>
      </c>
      <c r="B5095" s="5" t="s">
        <v>46821</v>
      </c>
      <c r="C5095" s="6" t="str">
        <f>HYPERLINK("https://www.ti.com/lit/gpn/UCC2802", "PDF")</f>
        <v>PDF</v>
      </c>
      <c r="D5095" s="5" t="s">
        <v>46822</v>
      </c>
      <c r="E5095" s="5" t="s">
        <v>46823</v>
      </c>
      <c r="F5095" s="5" t="s">
        <v>46824</v>
      </c>
      <c r="G5095" s="5" t="s">
        <v>46825</v>
      </c>
      <c r="H5095" s="1" t="s">
        <v>46826</v>
      </c>
      <c r="I5095" s="5" t="s">
        <v>46827</v>
      </c>
      <c r="J5095" s="7">
        <v>8</v>
      </c>
      <c r="K5095" s="7" t="s">
        <v>46828</v>
      </c>
      <c r="L5095" s="5" t="s">
        <v>46829</v>
      </c>
      <c r="M5095" s="7" t="s">
        <v>46830</v>
      </c>
      <c r="N5095" s="7" t="s">
        <v>46831</v>
      </c>
      <c r="O5095" s="7">
        <v>0.82799999999999996</v>
      </c>
      <c r="P5095" s="1" t="s">
        <v>46832</v>
      </c>
    </row>
    <row r="5096" spans="1:16" ht="33.4" x14ac:dyDescent="0.3">
      <c r="A5096" s="6" t="str">
        <f>HYPERLINK("https://www.ti.com/product/UCC2803", "UCC2803")</f>
        <v>UCC2803</v>
      </c>
      <c r="B5096" s="5" t="s">
        <v>46833</v>
      </c>
      <c r="C5096" s="6" t="str">
        <f>HYPERLINK("https://www.ti.com/lit/gpn/UCC2803", "PDF")</f>
        <v>PDF</v>
      </c>
      <c r="D5096" s="5" t="s">
        <v>46834</v>
      </c>
      <c r="E5096" s="5" t="s">
        <v>46835</v>
      </c>
      <c r="F5096" s="5" t="s">
        <v>46836</v>
      </c>
      <c r="G5096" s="5" t="s">
        <v>46837</v>
      </c>
      <c r="H5096" s="1" t="s">
        <v>46838</v>
      </c>
      <c r="I5096" s="5" t="s">
        <v>46839</v>
      </c>
      <c r="J5096" s="7">
        <v>8</v>
      </c>
      <c r="K5096" s="7" t="s">
        <v>46840</v>
      </c>
      <c r="L5096" s="5" t="s">
        <v>46841</v>
      </c>
      <c r="M5096" s="7" t="s">
        <v>46842</v>
      </c>
      <c r="N5096" s="7" t="s">
        <v>46843</v>
      </c>
      <c r="O5096" s="7">
        <v>0.82799999999999996</v>
      </c>
      <c r="P5096" s="1" t="s">
        <v>46844</v>
      </c>
    </row>
    <row r="5097" spans="1:16" ht="33.4" x14ac:dyDescent="0.3">
      <c r="A5097" s="6" t="str">
        <f>HYPERLINK("https://www.ti.com/product/UCC2804", "UCC2804")</f>
        <v>UCC2804</v>
      </c>
      <c r="B5097" s="5" t="s">
        <v>46845</v>
      </c>
      <c r="C5097" s="6" t="str">
        <f>HYPERLINK("https://www.ti.com/lit/gpn/UCC2804", "PDF")</f>
        <v>PDF</v>
      </c>
      <c r="D5097" s="5" t="s">
        <v>46846</v>
      </c>
      <c r="E5097" s="5" t="s">
        <v>46847</v>
      </c>
      <c r="F5097" s="5" t="s">
        <v>46848</v>
      </c>
      <c r="G5097" s="5" t="s">
        <v>46849</v>
      </c>
      <c r="H5097" s="1" t="s">
        <v>46850</v>
      </c>
      <c r="I5097" s="5" t="s">
        <v>46851</v>
      </c>
      <c r="J5097" s="7">
        <v>8</v>
      </c>
      <c r="K5097" s="7" t="s">
        <v>46852</v>
      </c>
      <c r="L5097" s="5" t="s">
        <v>46853</v>
      </c>
      <c r="M5097" s="7" t="s">
        <v>46854</v>
      </c>
      <c r="N5097" s="7" t="s">
        <v>46855</v>
      </c>
      <c r="O5097" s="7">
        <v>0.92</v>
      </c>
      <c r="P5097" s="1" t="s">
        <v>46856</v>
      </c>
    </row>
    <row r="5098" spans="1:16" ht="33.4" x14ac:dyDescent="0.3">
      <c r="A5098" s="6" t="str">
        <f>HYPERLINK("https://www.ti.com/product/UCC2805", "UCC2805")</f>
        <v>UCC2805</v>
      </c>
      <c r="B5098" s="5" t="s">
        <v>46857</v>
      </c>
      <c r="C5098" s="6" t="str">
        <f>HYPERLINK("https://www.ti.com/lit/gpn/UCC2805", "PDF")</f>
        <v>PDF</v>
      </c>
      <c r="D5098" s="5" t="s">
        <v>46858</v>
      </c>
      <c r="E5098" s="5" t="s">
        <v>46859</v>
      </c>
      <c r="F5098" s="5" t="s">
        <v>46860</v>
      </c>
      <c r="G5098" s="5" t="s">
        <v>46861</v>
      </c>
      <c r="H5098" s="1" t="s">
        <v>46862</v>
      </c>
      <c r="I5098" s="5" t="s">
        <v>46863</v>
      </c>
      <c r="J5098" s="7">
        <v>8</v>
      </c>
      <c r="K5098" s="7" t="s">
        <v>46864</v>
      </c>
      <c r="L5098" s="5" t="s">
        <v>46865</v>
      </c>
      <c r="M5098" s="7" t="s">
        <v>46866</v>
      </c>
      <c r="N5098" s="7" t="s">
        <v>46867</v>
      </c>
      <c r="O5098" s="7">
        <v>0.92</v>
      </c>
      <c r="P5098" s="1" t="s">
        <v>46868</v>
      </c>
    </row>
    <row r="5099" spans="1:16" ht="33.4" x14ac:dyDescent="0.3">
      <c r="A5099" s="6" t="str">
        <f>HYPERLINK("https://www.ti.com/product/UCC2813-0", "UCC2813-0")</f>
        <v>UCC2813-0</v>
      </c>
      <c r="B5099" s="5" t="s">
        <v>46869</v>
      </c>
      <c r="C5099" s="6" t="str">
        <f>HYPERLINK("https://www.ti.com/lit/gpn/UCC2813-0", "PDF")</f>
        <v>PDF</v>
      </c>
      <c r="D5099" s="5" t="s">
        <v>46870</v>
      </c>
      <c r="E5099" s="5" t="s">
        <v>46871</v>
      </c>
      <c r="F5099" s="5" t="s">
        <v>46872</v>
      </c>
      <c r="G5099" s="5" t="s">
        <v>46873</v>
      </c>
      <c r="H5099" s="1" t="s">
        <v>46874</v>
      </c>
      <c r="I5099" s="5" t="s">
        <v>46875</v>
      </c>
      <c r="J5099" s="7">
        <v>8</v>
      </c>
      <c r="K5099" s="7" t="s">
        <v>46876</v>
      </c>
      <c r="L5099" s="5" t="s">
        <v>46877</v>
      </c>
      <c r="M5099" s="7" t="s">
        <v>46878</v>
      </c>
      <c r="N5099" s="7" t="s">
        <v>46879</v>
      </c>
      <c r="O5099" s="7">
        <v>0.79500000000000004</v>
      </c>
      <c r="P5099" s="1" t="s">
        <v>46880</v>
      </c>
    </row>
    <row r="5100" spans="1:16" ht="33.4" x14ac:dyDescent="0.3">
      <c r="A5100" s="6" t="str">
        <f>HYPERLINK("https://www.ti.com/product/UCC2813-1", "UCC2813-1")</f>
        <v>UCC2813-1</v>
      </c>
      <c r="B5100" s="5" t="s">
        <v>46881</v>
      </c>
      <c r="C5100" s="6" t="str">
        <f>HYPERLINK("https://www.ti.com/lit/gpn/UCC2813-1", "PDF")</f>
        <v>PDF</v>
      </c>
      <c r="D5100" s="5" t="s">
        <v>46882</v>
      </c>
      <c r="E5100" s="5" t="s">
        <v>46883</v>
      </c>
      <c r="F5100" s="5" t="s">
        <v>46884</v>
      </c>
      <c r="G5100" s="5" t="s">
        <v>46885</v>
      </c>
      <c r="H5100" s="1" t="s">
        <v>46886</v>
      </c>
      <c r="I5100" s="5" t="s">
        <v>46887</v>
      </c>
      <c r="J5100" s="7">
        <v>8</v>
      </c>
      <c r="K5100" s="7" t="s">
        <v>46888</v>
      </c>
      <c r="L5100" s="5" t="s">
        <v>46889</v>
      </c>
      <c r="M5100" s="7" t="s">
        <v>46890</v>
      </c>
      <c r="N5100" s="7" t="s">
        <v>46891</v>
      </c>
      <c r="O5100" s="7">
        <v>0.79500000000000004</v>
      </c>
      <c r="P5100" s="1" t="s">
        <v>46892</v>
      </c>
    </row>
    <row r="5101" spans="1:16" ht="33.4" x14ac:dyDescent="0.3">
      <c r="A5101" s="6" t="str">
        <f>HYPERLINK("https://www.ti.com/product/UCC2813-2", "UCC2813-2")</f>
        <v>UCC2813-2</v>
      </c>
      <c r="B5101" s="5" t="s">
        <v>46893</v>
      </c>
      <c r="C5101" s="6" t="str">
        <f>HYPERLINK("https://www.ti.com/lit/gpn/UCC2813-2", "PDF")</f>
        <v>PDF</v>
      </c>
      <c r="D5101" s="5" t="s">
        <v>46894</v>
      </c>
      <c r="E5101" s="5" t="s">
        <v>46895</v>
      </c>
      <c r="F5101" s="5" t="s">
        <v>46896</v>
      </c>
      <c r="G5101" s="5" t="s">
        <v>46897</v>
      </c>
      <c r="H5101" s="1" t="s">
        <v>46898</v>
      </c>
      <c r="I5101" s="5" t="s">
        <v>46899</v>
      </c>
      <c r="J5101" s="7">
        <v>8</v>
      </c>
      <c r="K5101" s="7" t="s">
        <v>46900</v>
      </c>
      <c r="L5101" s="5" t="s">
        <v>46901</v>
      </c>
      <c r="M5101" s="7" t="s">
        <v>46902</v>
      </c>
      <c r="N5101" s="7" t="s">
        <v>46903</v>
      </c>
      <c r="O5101" s="7">
        <v>0.79500000000000004</v>
      </c>
      <c r="P5101" s="1" t="s">
        <v>46904</v>
      </c>
    </row>
    <row r="5102" spans="1:16" ht="33.4" x14ac:dyDescent="0.3">
      <c r="A5102" s="6" t="str">
        <f>HYPERLINK("https://www.ti.com/product/UCC2813-3", "UCC2813-3")</f>
        <v>UCC2813-3</v>
      </c>
      <c r="B5102" s="5" t="s">
        <v>46905</v>
      </c>
      <c r="C5102" s="6" t="str">
        <f>HYPERLINK("https://www.ti.com/lit/gpn/UCC2813-3", "PDF")</f>
        <v>PDF</v>
      </c>
      <c r="D5102" s="5" t="s">
        <v>46906</v>
      </c>
      <c r="E5102" s="5" t="s">
        <v>46907</v>
      </c>
      <c r="F5102" s="5" t="s">
        <v>46908</v>
      </c>
      <c r="G5102" s="5" t="s">
        <v>46909</v>
      </c>
      <c r="H5102" s="1" t="s">
        <v>46910</v>
      </c>
      <c r="I5102" s="5" t="s">
        <v>46911</v>
      </c>
      <c r="J5102" s="7">
        <v>8</v>
      </c>
      <c r="K5102" s="7" t="s">
        <v>46912</v>
      </c>
      <c r="L5102" s="5" t="s">
        <v>46913</v>
      </c>
      <c r="M5102" s="7" t="s">
        <v>46914</v>
      </c>
      <c r="N5102" s="7" t="s">
        <v>46915</v>
      </c>
      <c r="O5102" s="7">
        <v>0.68899999999999995</v>
      </c>
      <c r="P5102" s="1" t="s">
        <v>46916</v>
      </c>
    </row>
    <row r="5103" spans="1:16" ht="33.4" x14ac:dyDescent="0.3">
      <c r="A5103" s="6" t="str">
        <f>HYPERLINK("https://www.ti.com/product/UCC2813-4", "UCC2813-4")</f>
        <v>UCC2813-4</v>
      </c>
      <c r="B5103" s="5" t="s">
        <v>46917</v>
      </c>
      <c r="C5103" s="6" t="str">
        <f>HYPERLINK("https://www.ti.com/lit/gpn/UCC2813-4", "PDF")</f>
        <v>PDF</v>
      </c>
      <c r="D5103" s="5" t="s">
        <v>46918</v>
      </c>
      <c r="E5103" s="5" t="s">
        <v>46919</v>
      </c>
      <c r="F5103" s="5" t="s">
        <v>46920</v>
      </c>
      <c r="G5103" s="5" t="s">
        <v>46921</v>
      </c>
      <c r="H5103" s="1" t="s">
        <v>46922</v>
      </c>
      <c r="I5103" s="5" t="s">
        <v>46923</v>
      </c>
      <c r="J5103" s="7">
        <v>8</v>
      </c>
      <c r="K5103" s="7" t="s">
        <v>46924</v>
      </c>
      <c r="L5103" s="5" t="s">
        <v>46925</v>
      </c>
      <c r="M5103" s="7" t="s">
        <v>46926</v>
      </c>
      <c r="N5103" s="7" t="s">
        <v>46927</v>
      </c>
      <c r="O5103" s="7">
        <v>0.79500000000000004</v>
      </c>
      <c r="P5103" s="1" t="s">
        <v>46928</v>
      </c>
    </row>
    <row r="5104" spans="1:16" ht="33.4" x14ac:dyDescent="0.3">
      <c r="A5104" s="6" t="str">
        <f>HYPERLINK("https://www.ti.com/product/UCC2813-5", "UCC2813-5")</f>
        <v>UCC2813-5</v>
      </c>
      <c r="B5104" s="5" t="s">
        <v>46929</v>
      </c>
      <c r="C5104" s="6" t="str">
        <f>HYPERLINK("https://www.ti.com/lit/gpn/UCC2813-5", "PDF")</f>
        <v>PDF</v>
      </c>
      <c r="D5104" s="5" t="s">
        <v>46930</v>
      </c>
      <c r="E5104" s="5" t="s">
        <v>46931</v>
      </c>
      <c r="F5104" s="5" t="s">
        <v>46932</v>
      </c>
      <c r="G5104" s="5" t="s">
        <v>46933</v>
      </c>
      <c r="H5104" s="1" t="s">
        <v>46934</v>
      </c>
      <c r="I5104" s="5" t="s">
        <v>46935</v>
      </c>
      <c r="J5104" s="7">
        <v>8</v>
      </c>
      <c r="K5104" s="7" t="s">
        <v>46936</v>
      </c>
      <c r="L5104" s="5" t="s">
        <v>46937</v>
      </c>
      <c r="M5104" s="7" t="s">
        <v>46938</v>
      </c>
      <c r="N5104" s="7" t="s">
        <v>46939</v>
      </c>
      <c r="O5104" s="7">
        <v>0.68899999999999995</v>
      </c>
      <c r="P5104" s="1" t="s">
        <v>46940</v>
      </c>
    </row>
    <row r="5105" spans="1:16" ht="33.4" x14ac:dyDescent="0.3">
      <c r="A5105" s="6" t="str">
        <f>HYPERLINK("https://www.ti.com/product/UCC3800", "UCC3800")</f>
        <v>UCC3800</v>
      </c>
      <c r="B5105" s="5" t="s">
        <v>46941</v>
      </c>
      <c r="C5105" s="6" t="str">
        <f>HYPERLINK("https://www.ti.com/lit/gpn/UCC3800", "PDF")</f>
        <v>PDF</v>
      </c>
      <c r="D5105" s="5" t="s">
        <v>46942</v>
      </c>
      <c r="E5105" s="5" t="s">
        <v>46943</v>
      </c>
      <c r="F5105" s="5" t="s">
        <v>46944</v>
      </c>
      <c r="G5105" s="5" t="s">
        <v>46945</v>
      </c>
      <c r="H5105" s="1" t="s">
        <v>46946</v>
      </c>
      <c r="I5105" s="5" t="s">
        <v>46947</v>
      </c>
      <c r="J5105" s="7">
        <v>8</v>
      </c>
      <c r="K5105" s="7" t="s">
        <v>46948</v>
      </c>
      <c r="L5105" s="5" t="s">
        <v>46949</v>
      </c>
      <c r="M5105" s="7" t="s">
        <v>46950</v>
      </c>
      <c r="N5105" s="7" t="s">
        <v>46951</v>
      </c>
      <c r="O5105" s="7">
        <v>0.92</v>
      </c>
      <c r="P5105" s="1" t="s">
        <v>46952</v>
      </c>
    </row>
    <row r="5106" spans="1:16" ht="33.4" x14ac:dyDescent="0.3">
      <c r="A5106" s="6" t="str">
        <f>HYPERLINK("https://www.ti.com/product/UCC3801", "UCC3801")</f>
        <v>UCC3801</v>
      </c>
      <c r="B5106" s="5" t="s">
        <v>46953</v>
      </c>
      <c r="C5106" s="6" t="str">
        <f>HYPERLINK("https://www.ti.com/lit/gpn/UCC3801", "PDF")</f>
        <v>PDF</v>
      </c>
      <c r="D5106" s="5" t="s">
        <v>46954</v>
      </c>
      <c r="E5106" s="5" t="s">
        <v>46955</v>
      </c>
      <c r="F5106" s="5" t="s">
        <v>46956</v>
      </c>
      <c r="G5106" s="5" t="s">
        <v>46957</v>
      </c>
      <c r="H5106" s="1" t="s">
        <v>46958</v>
      </c>
      <c r="I5106" s="5" t="s">
        <v>46959</v>
      </c>
      <c r="J5106" s="7">
        <v>8</v>
      </c>
      <c r="K5106" s="7" t="s">
        <v>46960</v>
      </c>
      <c r="L5106" s="5" t="s">
        <v>46961</v>
      </c>
      <c r="M5106" s="7" t="s">
        <v>46962</v>
      </c>
      <c r="N5106" s="7" t="s">
        <v>46963</v>
      </c>
      <c r="O5106" s="7">
        <v>0.92</v>
      </c>
      <c r="P5106" s="1" t="s">
        <v>46964</v>
      </c>
    </row>
    <row r="5107" spans="1:16" ht="33.4" x14ac:dyDescent="0.3">
      <c r="A5107" s="6" t="str">
        <f>HYPERLINK("https://www.ti.com/product/UCC3802", "UCC3802")</f>
        <v>UCC3802</v>
      </c>
      <c r="B5107" s="5" t="s">
        <v>46965</v>
      </c>
      <c r="C5107" s="6" t="str">
        <f>HYPERLINK("https://www.ti.com/lit/gpn/UCC3802", "PDF")</f>
        <v>PDF</v>
      </c>
      <c r="D5107" s="5" t="s">
        <v>46966</v>
      </c>
      <c r="E5107" s="5" t="s">
        <v>46967</v>
      </c>
      <c r="F5107" s="5" t="s">
        <v>46968</v>
      </c>
      <c r="G5107" s="5" t="s">
        <v>46969</v>
      </c>
      <c r="H5107" s="1" t="s">
        <v>46970</v>
      </c>
      <c r="I5107" s="5" t="s">
        <v>46971</v>
      </c>
      <c r="J5107" s="7">
        <v>8</v>
      </c>
      <c r="K5107" s="7" t="s">
        <v>46972</v>
      </c>
      <c r="L5107" s="5" t="s">
        <v>46973</v>
      </c>
      <c r="M5107" s="7" t="s">
        <v>46974</v>
      </c>
      <c r="N5107" s="7" t="s">
        <v>46975</v>
      </c>
      <c r="O5107" s="7">
        <v>0.92</v>
      </c>
      <c r="P5107" s="1" t="s">
        <v>46976</v>
      </c>
    </row>
    <row r="5108" spans="1:16" ht="33.4" x14ac:dyDescent="0.3">
      <c r="A5108" s="6" t="str">
        <f>HYPERLINK("https://www.ti.com/product/UCC3803", "UCC3803")</f>
        <v>UCC3803</v>
      </c>
      <c r="B5108" s="5" t="s">
        <v>46977</v>
      </c>
      <c r="C5108" s="6" t="str">
        <f>HYPERLINK("https://www.ti.com/lit/gpn/UCC3803", "PDF")</f>
        <v>PDF</v>
      </c>
      <c r="D5108" s="5" t="s">
        <v>46978</v>
      </c>
      <c r="E5108" s="5" t="s">
        <v>46979</v>
      </c>
      <c r="F5108" s="5" t="s">
        <v>46980</v>
      </c>
      <c r="G5108" s="5" t="s">
        <v>46981</v>
      </c>
      <c r="H5108" s="1" t="s">
        <v>46982</v>
      </c>
      <c r="I5108" s="5" t="s">
        <v>46983</v>
      </c>
      <c r="J5108" s="7">
        <v>8</v>
      </c>
      <c r="K5108" s="7">
        <v>29.4</v>
      </c>
      <c r="L5108" s="5" t="s">
        <v>46984</v>
      </c>
      <c r="M5108" s="7">
        <v>1.75</v>
      </c>
      <c r="N5108" s="7">
        <v>1.27</v>
      </c>
      <c r="O5108" s="7">
        <v>0.92</v>
      </c>
      <c r="P5108" s="1" t="s">
        <v>46985</v>
      </c>
    </row>
    <row r="5109" spans="1:16" ht="49.75" x14ac:dyDescent="0.3">
      <c r="A5109" s="6" t="str">
        <f>HYPERLINK("https://www.ti.com/product/UCC3804", "UCC3804")</f>
        <v>UCC3804</v>
      </c>
      <c r="B5109" s="5" t="s">
        <v>46986</v>
      </c>
      <c r="C5109" s="6" t="str">
        <f>HYPERLINK("https://www.ti.com/lit/gpn/UCC3804", "PDF")</f>
        <v>PDF</v>
      </c>
      <c r="D5109" s="5" t="s">
        <v>46987</v>
      </c>
      <c r="E5109" s="5" t="s">
        <v>46988</v>
      </c>
      <c r="F5109" s="5" t="s">
        <v>46989</v>
      </c>
      <c r="G5109" s="5" t="s">
        <v>46990</v>
      </c>
      <c r="H5109" s="1" t="s">
        <v>46991</v>
      </c>
      <c r="I5109" s="5" t="s">
        <v>46992</v>
      </c>
      <c r="J5109" s="7">
        <v>8</v>
      </c>
      <c r="K5109" s="7" t="s">
        <v>46993</v>
      </c>
      <c r="L5109" s="5" t="s">
        <v>46994</v>
      </c>
      <c r="M5109" s="7" t="s">
        <v>46995</v>
      </c>
      <c r="N5109" s="7" t="s">
        <v>46996</v>
      </c>
      <c r="O5109" s="7">
        <v>0.92</v>
      </c>
      <c r="P5109" s="1" t="s">
        <v>46997</v>
      </c>
    </row>
    <row r="5110" spans="1:16" ht="33.4" x14ac:dyDescent="0.3">
      <c r="A5110" s="6" t="str">
        <f>HYPERLINK("https://www.ti.com/product/UCC3805", "UCC3805")</f>
        <v>UCC3805</v>
      </c>
      <c r="B5110" s="5" t="s">
        <v>46998</v>
      </c>
      <c r="C5110" s="6" t="str">
        <f>HYPERLINK("https://www.ti.com/lit/gpn/UCC3805", "PDF")</f>
        <v>PDF</v>
      </c>
      <c r="D5110" s="5" t="s">
        <v>46999</v>
      </c>
      <c r="E5110" s="5" t="s">
        <v>47000</v>
      </c>
      <c r="F5110" s="5" t="s">
        <v>47001</v>
      </c>
      <c r="G5110" s="5" t="s">
        <v>47002</v>
      </c>
      <c r="H5110" s="1" t="s">
        <v>47003</v>
      </c>
      <c r="I5110" s="5" t="s">
        <v>47004</v>
      </c>
      <c r="J5110" s="7">
        <v>8</v>
      </c>
      <c r="K5110" s="7" t="s">
        <v>47005</v>
      </c>
      <c r="L5110" s="5" t="s">
        <v>47006</v>
      </c>
      <c r="M5110" s="7" t="s">
        <v>47007</v>
      </c>
      <c r="N5110" s="7" t="s">
        <v>47008</v>
      </c>
      <c r="O5110" s="7">
        <v>0.92</v>
      </c>
      <c r="P5110" s="1" t="s">
        <v>47009</v>
      </c>
    </row>
    <row r="5111" spans="1:16" ht="33.4" x14ac:dyDescent="0.3">
      <c r="A5111" s="6" t="str">
        <f>HYPERLINK("https://www.ti.com/product/UCC3813-0", "UCC3813-0")</f>
        <v>UCC3813-0</v>
      </c>
      <c r="B5111" s="5" t="s">
        <v>47010</v>
      </c>
      <c r="C5111" s="6" t="str">
        <f>HYPERLINK("https://www.ti.com/lit/gpn/UCC3813-0", "PDF")</f>
        <v>PDF</v>
      </c>
      <c r="D5111" s="5" t="s">
        <v>47011</v>
      </c>
      <c r="E5111" s="5" t="s">
        <v>47012</v>
      </c>
      <c r="F5111" s="5" t="s">
        <v>47013</v>
      </c>
      <c r="G5111" s="5" t="s">
        <v>47014</v>
      </c>
      <c r="H5111" s="1" t="s">
        <v>47015</v>
      </c>
      <c r="I5111" s="5" t="s">
        <v>47016</v>
      </c>
      <c r="J5111" s="7">
        <v>8</v>
      </c>
      <c r="K5111" s="7" t="s">
        <v>47017</v>
      </c>
      <c r="L5111" s="5" t="s">
        <v>47018</v>
      </c>
      <c r="M5111" s="7" t="s">
        <v>47019</v>
      </c>
      <c r="N5111" s="7" t="s">
        <v>47020</v>
      </c>
      <c r="O5111" s="7">
        <v>0.68899999999999995</v>
      </c>
      <c r="P5111" s="1" t="s">
        <v>47021</v>
      </c>
    </row>
    <row r="5112" spans="1:16" ht="33.4" x14ac:dyDescent="0.3">
      <c r="A5112" s="6" t="str">
        <f>HYPERLINK("https://www.ti.com/product/UCC3813-1", "UCC3813-1")</f>
        <v>UCC3813-1</v>
      </c>
      <c r="B5112" s="5" t="s">
        <v>47022</v>
      </c>
      <c r="C5112" s="6" t="str">
        <f>HYPERLINK("https://www.ti.com/lit/gpn/UCC3813-1", "PDF")</f>
        <v>PDF</v>
      </c>
      <c r="D5112" s="5" t="s">
        <v>47023</v>
      </c>
      <c r="E5112" s="5" t="s">
        <v>47024</v>
      </c>
      <c r="F5112" s="5" t="s">
        <v>47025</v>
      </c>
      <c r="G5112" s="5" t="s">
        <v>47026</v>
      </c>
      <c r="H5112" s="1" t="s">
        <v>47027</v>
      </c>
      <c r="I5112" s="5" t="s">
        <v>47028</v>
      </c>
      <c r="J5112" s="7">
        <v>8</v>
      </c>
      <c r="K5112" s="7" t="s">
        <v>47029</v>
      </c>
      <c r="L5112" s="5" t="s">
        <v>47030</v>
      </c>
      <c r="M5112" s="7" t="s">
        <v>47031</v>
      </c>
      <c r="N5112" s="7" t="s">
        <v>47032</v>
      </c>
      <c r="O5112" s="7">
        <v>0.79500000000000004</v>
      </c>
      <c r="P5112" s="1" t="s">
        <v>47033</v>
      </c>
    </row>
    <row r="5113" spans="1:16" ht="33.4" x14ac:dyDescent="0.3">
      <c r="A5113" s="6" t="str">
        <f>HYPERLINK("https://www.ti.com/product/UCC3813-2", "UCC3813-2")</f>
        <v>UCC3813-2</v>
      </c>
      <c r="B5113" s="5" t="s">
        <v>47034</v>
      </c>
      <c r="C5113" s="6" t="str">
        <f>HYPERLINK("https://www.ti.com/lit/gpn/UCC3813-2", "PDF")</f>
        <v>PDF</v>
      </c>
      <c r="D5113" s="5" t="s">
        <v>47035</v>
      </c>
      <c r="E5113" s="5" t="s">
        <v>47036</v>
      </c>
      <c r="F5113" s="5" t="s">
        <v>47037</v>
      </c>
      <c r="G5113" s="5" t="s">
        <v>47038</v>
      </c>
      <c r="H5113" s="1" t="s">
        <v>47039</v>
      </c>
      <c r="I5113" s="5" t="s">
        <v>47040</v>
      </c>
      <c r="J5113" s="7">
        <v>8</v>
      </c>
      <c r="K5113" s="7" t="s">
        <v>47041</v>
      </c>
      <c r="L5113" s="5" t="s">
        <v>47042</v>
      </c>
      <c r="M5113" s="7" t="s">
        <v>47043</v>
      </c>
      <c r="N5113" s="7" t="s">
        <v>47044</v>
      </c>
      <c r="O5113" s="7">
        <v>0.79500000000000004</v>
      </c>
      <c r="P5113" s="1" t="s">
        <v>47045</v>
      </c>
    </row>
    <row r="5114" spans="1:16" ht="33.4" x14ac:dyDescent="0.3">
      <c r="A5114" s="6" t="str">
        <f>HYPERLINK("https://www.ti.com/product/UCC3813-3", "UCC3813-3")</f>
        <v>UCC3813-3</v>
      </c>
      <c r="B5114" s="5" t="s">
        <v>47046</v>
      </c>
      <c r="C5114" s="6" t="str">
        <f>HYPERLINK("https://www.ti.com/lit/gpn/UCC3813-3", "PDF")</f>
        <v>PDF</v>
      </c>
      <c r="D5114" s="5" t="s">
        <v>47047</v>
      </c>
      <c r="E5114" s="5" t="s">
        <v>47048</v>
      </c>
      <c r="F5114" s="5" t="s">
        <v>47049</v>
      </c>
      <c r="G5114" s="5" t="s">
        <v>47050</v>
      </c>
      <c r="H5114" s="1" t="s">
        <v>47051</v>
      </c>
      <c r="I5114" s="5" t="s">
        <v>47052</v>
      </c>
      <c r="J5114" s="7">
        <v>8</v>
      </c>
      <c r="K5114" s="7" t="s">
        <v>47053</v>
      </c>
      <c r="L5114" s="5" t="s">
        <v>47054</v>
      </c>
      <c r="M5114" s="7" t="s">
        <v>47055</v>
      </c>
      <c r="N5114" s="7" t="s">
        <v>47056</v>
      </c>
      <c r="O5114" s="7">
        <v>0.79500000000000004</v>
      </c>
      <c r="P5114" s="1" t="s">
        <v>47057</v>
      </c>
    </row>
    <row r="5115" spans="1:16" ht="33.4" x14ac:dyDescent="0.3">
      <c r="A5115" s="6" t="str">
        <f>HYPERLINK("https://www.ti.com/product/UCC3813-4", "UCC3813-4")</f>
        <v>UCC3813-4</v>
      </c>
      <c r="B5115" s="5" t="s">
        <v>47058</v>
      </c>
      <c r="C5115" s="6" t="str">
        <f>HYPERLINK("https://www.ti.com/lit/gpn/UCC3813-4", "PDF")</f>
        <v>PDF</v>
      </c>
      <c r="D5115" s="5" t="s">
        <v>47059</v>
      </c>
      <c r="E5115" s="5" t="s">
        <v>47060</v>
      </c>
      <c r="F5115" s="5" t="s">
        <v>47061</v>
      </c>
      <c r="G5115" s="5" t="s">
        <v>47062</v>
      </c>
      <c r="H5115" s="1" t="s">
        <v>47063</v>
      </c>
      <c r="I5115" s="5" t="s">
        <v>47064</v>
      </c>
      <c r="J5115" s="7">
        <v>8</v>
      </c>
      <c r="K5115" s="7" t="s">
        <v>47065</v>
      </c>
      <c r="L5115" s="5" t="s">
        <v>47066</v>
      </c>
      <c r="M5115" s="7" t="s">
        <v>47067</v>
      </c>
      <c r="N5115" s="7" t="s">
        <v>47068</v>
      </c>
      <c r="O5115" s="7">
        <v>0.79500000000000004</v>
      </c>
      <c r="P5115" s="1" t="s">
        <v>47069</v>
      </c>
    </row>
    <row r="5116" spans="1:16" ht="49.75" x14ac:dyDescent="0.3">
      <c r="A5116" s="6" t="str">
        <f>HYPERLINK("https://www.ti.com/product/UCC3813-5", "UCC3813-5")</f>
        <v>UCC3813-5</v>
      </c>
      <c r="B5116" s="5" t="s">
        <v>47070</v>
      </c>
      <c r="C5116" s="6" t="str">
        <f>HYPERLINK("https://www.ti.com/lit/gpn/UCC3813-5", "PDF")</f>
        <v>PDF</v>
      </c>
      <c r="D5116" s="5" t="s">
        <v>47071</v>
      </c>
      <c r="E5116" s="5" t="s">
        <v>47072</v>
      </c>
      <c r="F5116" s="5" t="s">
        <v>47073</v>
      </c>
      <c r="G5116" s="5" t="s">
        <v>47074</v>
      </c>
      <c r="H5116" s="1" t="s">
        <v>47075</v>
      </c>
      <c r="I5116" s="5" t="s">
        <v>47076</v>
      </c>
      <c r="J5116" s="7">
        <v>8</v>
      </c>
      <c r="K5116" s="7" t="s">
        <v>47077</v>
      </c>
      <c r="L5116" s="5" t="s">
        <v>47078</v>
      </c>
      <c r="M5116" s="7" t="s">
        <v>47079</v>
      </c>
      <c r="N5116" s="7" t="s">
        <v>47080</v>
      </c>
      <c r="O5116" s="7">
        <v>0.79500000000000004</v>
      </c>
      <c r="P5116" s="1" t="s">
        <v>47081</v>
      </c>
    </row>
    <row r="5117" spans="1:16" ht="49.75" x14ac:dyDescent="0.3">
      <c r="A5117" s="6" t="str">
        <f>HYPERLINK("https://www.ti.com/product/LM137JAN-SP", "LM137JAN-SP")</f>
        <v>LM137JAN-SP</v>
      </c>
      <c r="B5117" s="5" t="s">
        <v>47082</v>
      </c>
      <c r="C5117" s="6" t="str">
        <f>HYPERLINK("https://www.ti.com/lit/gpn/LM137JAN-SP", "PDF")</f>
        <v>PDF</v>
      </c>
      <c r="D5117" s="5" t="s">
        <v>47083</v>
      </c>
      <c r="E5117" s="5" t="s">
        <v>47084</v>
      </c>
      <c r="F5117" s="5"/>
      <c r="G5117" s="5" t="s">
        <v>47085</v>
      </c>
      <c r="H5117" s="1" t="s">
        <v>47086</v>
      </c>
      <c r="I5117" s="5" t="s">
        <v>47087</v>
      </c>
      <c r="J5117" s="7" t="s">
        <v>47088</v>
      </c>
      <c r="K5117" s="7" t="s">
        <v>47089</v>
      </c>
      <c r="L5117" s="5" t="s">
        <v>47090</v>
      </c>
      <c r="M5117" s="7" t="s">
        <v>47091</v>
      </c>
      <c r="N5117" s="7" t="s">
        <v>47092</v>
      </c>
      <c r="O5117" s="7">
        <v>718.69500000000005</v>
      </c>
      <c r="P5117" s="1" t="s">
        <v>47093</v>
      </c>
    </row>
    <row r="5118" spans="1:16" ht="49.75" x14ac:dyDescent="0.3">
      <c r="A5118" s="6" t="str">
        <f>HYPERLINK("https://www.ti.com/product/LM2574", "LM2574")</f>
        <v>LM2574</v>
      </c>
      <c r="B5118" s="5" t="s">
        <v>47094</v>
      </c>
      <c r="C5118" s="6" t="str">
        <f>HYPERLINK("https://www.ti.com/lit/gpn/LM2574", "PDF")</f>
        <v>PDF</v>
      </c>
      <c r="D5118" s="5" t="s">
        <v>47095</v>
      </c>
      <c r="E5118" s="5" t="s">
        <v>47096</v>
      </c>
      <c r="F5118" s="5" t="s">
        <v>47097</v>
      </c>
      <c r="G5118" s="5" t="s">
        <v>47098</v>
      </c>
      <c r="H5118" s="1" t="s">
        <v>47099</v>
      </c>
      <c r="I5118" s="5" t="s">
        <v>47100</v>
      </c>
      <c r="J5118" s="7" t="s">
        <v>47101</v>
      </c>
      <c r="K5118" s="7" t="s">
        <v>47102</v>
      </c>
      <c r="L5118" s="5" t="s">
        <v>47103</v>
      </c>
      <c r="M5118" s="7" t="s">
        <v>47104</v>
      </c>
      <c r="N5118" s="7" t="s">
        <v>47105</v>
      </c>
      <c r="O5118" s="7">
        <v>1.0169999999999999</v>
      </c>
      <c r="P5118" s="1" t="s">
        <v>47106</v>
      </c>
    </row>
    <row r="5119" spans="1:16" ht="49.75" x14ac:dyDescent="0.3">
      <c r="A5119" s="6" t="str">
        <f>HYPERLINK("https://www.ti.com/product/LM2574HV", "LM2574HV")</f>
        <v>LM2574HV</v>
      </c>
      <c r="B5119" s="5" t="s">
        <v>47107</v>
      </c>
      <c r="C5119" s="6" t="str">
        <f>HYPERLINK("https://www.ti.com/lit/gpn/LM2574HV", "PDF")</f>
        <v>PDF</v>
      </c>
      <c r="D5119" s="5" t="s">
        <v>47108</v>
      </c>
      <c r="E5119" s="5" t="s">
        <v>47109</v>
      </c>
      <c r="F5119" s="5" t="s">
        <v>47110</v>
      </c>
      <c r="G5119" s="5" t="s">
        <v>47111</v>
      </c>
      <c r="H5119" s="1" t="s">
        <v>47112</v>
      </c>
      <c r="I5119" s="5" t="s">
        <v>47113</v>
      </c>
      <c r="J5119" s="7" t="s">
        <v>47114</v>
      </c>
      <c r="K5119" s="7" t="s">
        <v>47115</v>
      </c>
      <c r="L5119" s="5" t="s">
        <v>47116</v>
      </c>
      <c r="M5119" s="7" t="s">
        <v>47117</v>
      </c>
      <c r="N5119" s="7" t="s">
        <v>47118</v>
      </c>
      <c r="O5119" s="7">
        <v>1.825</v>
      </c>
      <c r="P5119" s="1" t="s">
        <v>47119</v>
      </c>
    </row>
    <row r="5120" spans="1:16" ht="17.05" x14ac:dyDescent="0.3">
      <c r="A5120" s="6" t="str">
        <f>HYPERLINK("https://www.ti.com/product/LM4431", "LM4431")</f>
        <v>LM4431</v>
      </c>
      <c r="B5120" s="5" t="s">
        <v>47120</v>
      </c>
      <c r="C5120" s="6" t="str">
        <f>HYPERLINK("https://www.ti.com/lit/gpn/LM4431", "PDF")</f>
        <v>PDF</v>
      </c>
      <c r="D5120" s="5" t="s">
        <v>47121</v>
      </c>
      <c r="E5120" s="5" t="s">
        <v>47122</v>
      </c>
      <c r="F5120" s="5"/>
      <c r="G5120" s="5" t="s">
        <v>47123</v>
      </c>
      <c r="H5120" s="1" t="s">
        <v>47124</v>
      </c>
      <c r="I5120" s="5" t="s">
        <v>47125</v>
      </c>
      <c r="J5120" s="7">
        <v>3</v>
      </c>
      <c r="K5120" s="7">
        <v>6.9203999999999999</v>
      </c>
      <c r="L5120" s="5" t="s">
        <v>47126</v>
      </c>
      <c r="M5120" s="7">
        <v>1.1200000000000001</v>
      </c>
      <c r="N5120" s="7">
        <v>0.96</v>
      </c>
      <c r="O5120" s="7">
        <v>0.35699999999999998</v>
      </c>
      <c r="P5120" s="1" t="s">
        <v>47127</v>
      </c>
    </row>
    <row r="5121" spans="1:16" ht="82.5" x14ac:dyDescent="0.3">
      <c r="A5121" s="6" t="str">
        <f>HYPERLINK("https://www.ti.com/product/LM2937", "LM2937")</f>
        <v>LM2937</v>
      </c>
      <c r="B5121" s="5" t="s">
        <v>47128</v>
      </c>
      <c r="C5121" s="6" t="str">
        <f>HYPERLINK("https://www.ti.com/lit/gpn/LM2937", "PDF")</f>
        <v>PDF</v>
      </c>
      <c r="D5121" s="5" t="s">
        <v>47129</v>
      </c>
      <c r="E5121" s="5" t="s">
        <v>47130</v>
      </c>
      <c r="F5121" s="5"/>
      <c r="G5121" s="5" t="s">
        <v>47131</v>
      </c>
      <c r="H5121" s="1" t="s">
        <v>47132</v>
      </c>
      <c r="I5121" s="5" t="s">
        <v>47133</v>
      </c>
      <c r="J5121" s="7" t="s">
        <v>47134</v>
      </c>
      <c r="K5121" s="7" t="s">
        <v>47135</v>
      </c>
      <c r="L5121" s="5" t="s">
        <v>47136</v>
      </c>
      <c r="M5121" s="7" t="s">
        <v>47137</v>
      </c>
      <c r="N5121" s="7" t="s">
        <v>47138</v>
      </c>
      <c r="O5121" s="7">
        <v>0.69099999999999995</v>
      </c>
      <c r="P5121" s="1" t="s">
        <v>47139</v>
      </c>
    </row>
    <row r="5122" spans="1:16" ht="49.75" x14ac:dyDescent="0.3">
      <c r="A5122" s="6" t="str">
        <f>HYPERLINK("https://www.ti.com/product/TPIC6595", "TPIC6595")</f>
        <v>TPIC6595</v>
      </c>
      <c r="B5122" s="5" t="s">
        <v>47140</v>
      </c>
      <c r="C5122" s="6" t="str">
        <f>HYPERLINK("https://www.ti.com/lit/gpn/TPIC6595", "PDF")</f>
        <v>PDF</v>
      </c>
      <c r="D5122" s="5" t="s">
        <v>47141</v>
      </c>
      <c r="E5122" s="5" t="s">
        <v>47142</v>
      </c>
      <c r="F5122" s="5" t="s">
        <v>47143</v>
      </c>
      <c r="G5122" s="5" t="s">
        <v>47144</v>
      </c>
      <c r="H5122" s="1" t="s">
        <v>47145</v>
      </c>
      <c r="I5122" s="5" t="s">
        <v>47146</v>
      </c>
      <c r="J5122" s="7">
        <v>20</v>
      </c>
      <c r="K5122" s="7" t="s">
        <v>47147</v>
      </c>
      <c r="L5122" s="5" t="s">
        <v>47148</v>
      </c>
      <c r="M5122" s="7" t="s">
        <v>47149</v>
      </c>
      <c r="N5122" s="7" t="s">
        <v>47150</v>
      </c>
      <c r="O5122" s="7">
        <v>1.2929999999999999</v>
      </c>
      <c r="P5122" s="1" t="s">
        <v>47151</v>
      </c>
    </row>
    <row r="5123" spans="1:16" ht="66.150000000000006" x14ac:dyDescent="0.3">
      <c r="A5123" s="6" t="str">
        <f>HYPERLINK("https://www.ti.com/product/LM4040-N", "LM4040-N")</f>
        <v>LM4040-N</v>
      </c>
      <c r="B5123" s="5" t="s">
        <v>47152</v>
      </c>
      <c r="C5123" s="6" t="str">
        <f>HYPERLINK("https://www.ti.com/lit/gpn/LM4040-N", "PDF")</f>
        <v>PDF</v>
      </c>
      <c r="D5123" s="5" t="s">
        <v>47153</v>
      </c>
      <c r="E5123" s="5" t="s">
        <v>47154</v>
      </c>
      <c r="F5123" s="5"/>
      <c r="G5123" s="5" t="s">
        <v>47155</v>
      </c>
      <c r="H5123" s="1" t="s">
        <v>47156</v>
      </c>
      <c r="I5123" s="5" t="s">
        <v>47157</v>
      </c>
      <c r="J5123" s="7" t="s">
        <v>47158</v>
      </c>
      <c r="K5123" s="7" t="s">
        <v>47159</v>
      </c>
      <c r="L5123" s="5" t="s">
        <v>47160</v>
      </c>
      <c r="M5123" s="7" t="s">
        <v>47161</v>
      </c>
      <c r="N5123" s="7" t="s">
        <v>47162</v>
      </c>
      <c r="O5123" s="7">
        <v>0.13800000000000001</v>
      </c>
      <c r="P5123" s="1" t="s">
        <v>47163</v>
      </c>
    </row>
    <row r="5124" spans="1:16" ht="49.75" x14ac:dyDescent="0.3">
      <c r="A5124" s="6" t="str">
        <f>HYPERLINK("https://www.ti.com/product/LM2990", "LM2990")</f>
        <v>LM2990</v>
      </c>
      <c r="B5124" s="5" t="s">
        <v>47164</v>
      </c>
      <c r="C5124" s="6" t="str">
        <f>HYPERLINK("https://www.ti.com/lit/gpn/LM2990", "PDF")</f>
        <v>PDF</v>
      </c>
      <c r="D5124" s="5" t="s">
        <v>47165</v>
      </c>
      <c r="E5124" s="5" t="s">
        <v>47166</v>
      </c>
      <c r="F5124" s="5"/>
      <c r="G5124" s="5" t="s">
        <v>47167</v>
      </c>
      <c r="H5124" s="1" t="s">
        <v>47168</v>
      </c>
      <c r="I5124" s="5" t="s">
        <v>47169</v>
      </c>
      <c r="J5124" s="7">
        <v>3</v>
      </c>
      <c r="K5124" s="7" t="s">
        <v>47170</v>
      </c>
      <c r="L5124" s="5" t="s">
        <v>47171</v>
      </c>
      <c r="M5124" s="7" t="s">
        <v>47172</v>
      </c>
      <c r="N5124" s="7">
        <v>2.54</v>
      </c>
      <c r="O5124" s="7">
        <v>1.258</v>
      </c>
      <c r="P5124" s="1" t="s">
        <v>47173</v>
      </c>
    </row>
    <row r="5125" spans="1:16" ht="82.5" x14ac:dyDescent="0.3">
      <c r="A5125" s="6" t="str">
        <f>HYPERLINK("https://www.ti.com/product/LM2991", "LM2991")</f>
        <v>LM2991</v>
      </c>
      <c r="B5125" s="5" t="s">
        <v>47174</v>
      </c>
      <c r="C5125" s="6" t="str">
        <f>HYPERLINK("https://www.ti.com/lit/gpn/LM2991", "PDF")</f>
        <v>PDF</v>
      </c>
      <c r="D5125" s="5" t="s">
        <v>47175</v>
      </c>
      <c r="E5125" s="5" t="s">
        <v>47176</v>
      </c>
      <c r="F5125" s="5"/>
      <c r="G5125" s="5" t="s">
        <v>47177</v>
      </c>
      <c r="H5125" s="1" t="s">
        <v>47178</v>
      </c>
      <c r="I5125" s="5" t="s">
        <v>47179</v>
      </c>
      <c r="J5125" s="7">
        <v>5</v>
      </c>
      <c r="K5125" s="7" t="s">
        <v>47180</v>
      </c>
      <c r="L5125" s="5" t="s">
        <v>47181</v>
      </c>
      <c r="M5125" s="7" t="s">
        <v>47182</v>
      </c>
      <c r="N5125" s="7">
        <v>1.7</v>
      </c>
      <c r="O5125" s="7">
        <v>1.425</v>
      </c>
      <c r="P5125" s="1" t="s">
        <v>47183</v>
      </c>
    </row>
    <row r="5126" spans="1:16" ht="49.75" x14ac:dyDescent="0.3">
      <c r="A5126" s="6" t="str">
        <f>HYPERLINK("https://www.ti.com/product/LM2991QML", "LM2991QML")</f>
        <v>LM2991QML</v>
      </c>
      <c r="B5126" s="5" t="s">
        <v>47184</v>
      </c>
      <c r="C5126" s="6" t="str">
        <f>HYPERLINK("https://www.ti.com/lit/gpn/LM2991QML", "PDF")</f>
        <v>PDF</v>
      </c>
      <c r="D5126" s="5" t="s">
        <v>47185</v>
      </c>
      <c r="E5126" s="5" t="s">
        <v>47186</v>
      </c>
      <c r="F5126" s="5"/>
      <c r="G5126" s="5" t="s">
        <v>47187</v>
      </c>
      <c r="H5126" s="1" t="s">
        <v>47188</v>
      </c>
      <c r="I5126" s="5" t="s">
        <v>47189</v>
      </c>
      <c r="J5126" s="7" t="s">
        <v>47190</v>
      </c>
      <c r="K5126" s="7" t="s">
        <v>47191</v>
      </c>
      <c r="L5126" s="5" t="s">
        <v>47192</v>
      </c>
      <c r="M5126" s="7" t="s">
        <v>47193</v>
      </c>
      <c r="N5126" s="7" t="s">
        <v>47194</v>
      </c>
      <c r="O5126" s="7">
        <v>1.911</v>
      </c>
      <c r="P5126" s="1" t="s">
        <v>47195</v>
      </c>
    </row>
    <row r="5127" spans="1:16" ht="66.150000000000006" x14ac:dyDescent="0.3">
      <c r="A5127" s="6" t="str">
        <f>HYPERLINK("https://www.ti.com/product/LM4041-N", "LM4041-N")</f>
        <v>LM4041-N</v>
      </c>
      <c r="B5127" s="5" t="s">
        <v>47196</v>
      </c>
      <c r="C5127" s="6" t="str">
        <f>HYPERLINK("https://www.ti.com/lit/gpn/LM4041-N", "PDF")</f>
        <v>PDF</v>
      </c>
      <c r="D5127" s="5" t="s">
        <v>47197</v>
      </c>
      <c r="E5127" s="5" t="s">
        <v>47198</v>
      </c>
      <c r="F5127" s="5"/>
      <c r="G5127" s="5" t="s">
        <v>47199</v>
      </c>
      <c r="H5127" s="1" t="s">
        <v>47200</v>
      </c>
      <c r="I5127" s="5" t="s">
        <v>47201</v>
      </c>
      <c r="J5127" s="7" t="s">
        <v>47202</v>
      </c>
      <c r="K5127" s="7" t="s">
        <v>47203</v>
      </c>
      <c r="L5127" s="5" t="s">
        <v>47204</v>
      </c>
      <c r="M5127" s="7" t="s">
        <v>47205</v>
      </c>
      <c r="N5127" s="7" t="s">
        <v>47206</v>
      </c>
      <c r="O5127" s="7">
        <v>0.14699999999999999</v>
      </c>
      <c r="P5127" s="1" t="s">
        <v>47207</v>
      </c>
    </row>
    <row r="5128" spans="1:16" ht="66.150000000000006" x14ac:dyDescent="0.3">
      <c r="A5128" s="6" t="str">
        <f>HYPERLINK("https://www.ti.com/product/LM4041D", "LM4041D")</f>
        <v>LM4041D</v>
      </c>
      <c r="B5128" s="5" t="s">
        <v>47208</v>
      </c>
      <c r="C5128" s="6" t="str">
        <f>HYPERLINK("https://www.ti.com/lit/gpn/LM4041D", "PDF")</f>
        <v>PDF</v>
      </c>
      <c r="D5128" s="5" t="s">
        <v>47209</v>
      </c>
      <c r="E5128" s="5" t="s">
        <v>47210</v>
      </c>
      <c r="F5128" s="5"/>
      <c r="G5128" s="5" t="s">
        <v>47211</v>
      </c>
      <c r="H5128" s="1" t="s">
        <v>47212</v>
      </c>
      <c r="I5128" s="5" t="s">
        <v>47213</v>
      </c>
      <c r="J5128" s="7" t="s">
        <v>47214</v>
      </c>
      <c r="K5128" s="7" t="s">
        <v>47215</v>
      </c>
      <c r="L5128" s="5" t="s">
        <v>47216</v>
      </c>
      <c r="M5128" s="7" t="s">
        <v>47217</v>
      </c>
      <c r="N5128" s="7" t="s">
        <v>47218</v>
      </c>
      <c r="O5128" s="7">
        <v>0.192</v>
      </c>
      <c r="P5128" s="1" t="s">
        <v>47219</v>
      </c>
    </row>
    <row r="5129" spans="1:16" ht="33.4" x14ac:dyDescent="0.3">
      <c r="A5129" s="6" t="str">
        <f>HYPERLINK("https://www.ti.com/product/LP2952-N", "LP2952-N")</f>
        <v>LP2952-N</v>
      </c>
      <c r="B5129" s="5" t="s">
        <v>47220</v>
      </c>
      <c r="C5129" s="6" t="str">
        <f>HYPERLINK("https://www.ti.com/lit/gpn/LP2952-N", "PDF")</f>
        <v>PDF</v>
      </c>
      <c r="D5129" s="5" t="s">
        <v>47221</v>
      </c>
      <c r="E5129" s="5" t="s">
        <v>47222</v>
      </c>
      <c r="F5129" s="5"/>
      <c r="G5129" s="5" t="s">
        <v>47223</v>
      </c>
      <c r="H5129" s="1" t="s">
        <v>47224</v>
      </c>
      <c r="I5129" s="5" t="s">
        <v>47225</v>
      </c>
      <c r="J5129" s="7">
        <v>16</v>
      </c>
      <c r="K5129" s="7">
        <v>59.4</v>
      </c>
      <c r="L5129" s="5" t="s">
        <v>47226</v>
      </c>
      <c r="M5129" s="7">
        <v>1.75</v>
      </c>
      <c r="N5129" s="7">
        <v>1.27</v>
      </c>
      <c r="O5129" s="7">
        <v>1.012</v>
      </c>
      <c r="P5129" s="1" t="s">
        <v>47227</v>
      </c>
    </row>
    <row r="5130" spans="1:16" ht="33.4" x14ac:dyDescent="0.3">
      <c r="A5130" s="6" t="str">
        <f>HYPERLINK("https://www.ti.com/product/LP2953", "LP2953")</f>
        <v>LP2953</v>
      </c>
      <c r="B5130" s="5" t="s">
        <v>47228</v>
      </c>
      <c r="C5130" s="6" t="str">
        <f>HYPERLINK("https://www.ti.com/lit/gpn/LP2953", "PDF")</f>
        <v>PDF</v>
      </c>
      <c r="D5130" s="5" t="s">
        <v>47229</v>
      </c>
      <c r="E5130" s="5" t="s">
        <v>47230</v>
      </c>
      <c r="F5130" s="5"/>
      <c r="G5130" s="5" t="s">
        <v>47231</v>
      </c>
      <c r="H5130" s="1" t="s">
        <v>47232</v>
      </c>
      <c r="I5130" s="5" t="s">
        <v>47233</v>
      </c>
      <c r="J5130" s="7">
        <v>16</v>
      </c>
      <c r="K5130" s="7">
        <v>59.4</v>
      </c>
      <c r="L5130" s="5" t="s">
        <v>47234</v>
      </c>
      <c r="M5130" s="7">
        <v>1.75</v>
      </c>
      <c r="N5130" s="7">
        <v>1.27</v>
      </c>
      <c r="O5130" s="7">
        <v>1.278</v>
      </c>
      <c r="P5130" s="1" t="s">
        <v>47235</v>
      </c>
    </row>
    <row r="5131" spans="1:16" ht="82.5" x14ac:dyDescent="0.3">
      <c r="A5131" s="6" t="str">
        <f>HYPERLINK("https://www.ti.com/product/LP2954", "LP2954")</f>
        <v>LP2954</v>
      </c>
      <c r="B5131" s="5" t="s">
        <v>47236</v>
      </c>
      <c r="C5131" s="6" t="str">
        <f>HYPERLINK("https://www.ti.com/lit/gpn/LP2954", "PDF")</f>
        <v>PDF</v>
      </c>
      <c r="D5131" s="5" t="s">
        <v>47237</v>
      </c>
      <c r="E5131" s="5" t="s">
        <v>47238</v>
      </c>
      <c r="F5131" s="5"/>
      <c r="G5131" s="5" t="s">
        <v>47239</v>
      </c>
      <c r="H5131" s="1" t="s">
        <v>47240</v>
      </c>
      <c r="I5131" s="5" t="s">
        <v>47241</v>
      </c>
      <c r="J5131" s="7" t="s">
        <v>47242</v>
      </c>
      <c r="K5131" s="7" t="s">
        <v>47243</v>
      </c>
      <c r="L5131" s="5" t="s">
        <v>47244</v>
      </c>
      <c r="M5131" s="7" t="s">
        <v>47245</v>
      </c>
      <c r="N5131" s="7" t="s">
        <v>47246</v>
      </c>
      <c r="O5131" s="7">
        <v>0.60099999999999998</v>
      </c>
      <c r="P5131" s="1" t="s">
        <v>47247</v>
      </c>
    </row>
    <row r="5132" spans="1:16" ht="82.5" x14ac:dyDescent="0.3">
      <c r="A5132" s="6" t="str">
        <f>HYPERLINK("https://www.ti.com/product/LP2954A", "LP2954A")</f>
        <v>LP2954A</v>
      </c>
      <c r="B5132" s="5" t="s">
        <v>47248</v>
      </c>
      <c r="C5132" s="6" t="str">
        <f>HYPERLINK("https://www.ti.com/lit/gpn/LP2954A", "PDF")</f>
        <v>PDF</v>
      </c>
      <c r="D5132" s="5" t="s">
        <v>47249</v>
      </c>
      <c r="E5132" s="5" t="s">
        <v>47250</v>
      </c>
      <c r="F5132" s="5"/>
      <c r="G5132" s="5" t="s">
        <v>47251</v>
      </c>
      <c r="H5132" s="1" t="s">
        <v>47252</v>
      </c>
      <c r="I5132" s="5" t="s">
        <v>47253</v>
      </c>
      <c r="J5132" s="7" t="s">
        <v>47254</v>
      </c>
      <c r="K5132" s="7" t="s">
        <v>47255</v>
      </c>
      <c r="L5132" s="5" t="s">
        <v>47256</v>
      </c>
      <c r="M5132" s="7" t="s">
        <v>47257</v>
      </c>
      <c r="N5132" s="7" t="s">
        <v>47258</v>
      </c>
      <c r="O5132" s="7">
        <v>1.1479999999999999</v>
      </c>
      <c r="P5132" s="1" t="s">
        <v>47259</v>
      </c>
    </row>
    <row r="5133" spans="1:16" ht="115.2" x14ac:dyDescent="0.3">
      <c r="A5133" s="6" t="str">
        <f>HYPERLINK("https://www.ti.com/product/LM2576", "LM2576")</f>
        <v>LM2576</v>
      </c>
      <c r="B5133" s="5" t="s">
        <v>47260</v>
      </c>
      <c r="C5133" s="6" t="str">
        <f>HYPERLINK("https://www.ti.com/lit/gpn/LM2576", "PDF")</f>
        <v>PDF</v>
      </c>
      <c r="D5133" s="5" t="s">
        <v>47261</v>
      </c>
      <c r="E5133" s="5" t="s">
        <v>47262</v>
      </c>
      <c r="F5133" s="5" t="s">
        <v>47263</v>
      </c>
      <c r="G5133" s="5" t="s">
        <v>47264</v>
      </c>
      <c r="H5133" s="1" t="s">
        <v>47265</v>
      </c>
      <c r="I5133" s="5" t="s">
        <v>47266</v>
      </c>
      <c r="J5133" s="7">
        <v>5</v>
      </c>
      <c r="K5133" s="7" t="s">
        <v>47267</v>
      </c>
      <c r="L5133" s="5" t="s">
        <v>47268</v>
      </c>
      <c r="M5133" s="7" t="s">
        <v>47269</v>
      </c>
      <c r="N5133" s="7">
        <v>1.7</v>
      </c>
      <c r="O5133" s="7">
        <v>1.395</v>
      </c>
      <c r="P5133" s="1" t="s">
        <v>47270</v>
      </c>
    </row>
    <row r="5134" spans="1:16" ht="115.2" x14ac:dyDescent="0.3">
      <c r="A5134" s="6" t="str">
        <f>HYPERLINK("https://www.ti.com/product/LM2576HV", "LM2576HV")</f>
        <v>LM2576HV</v>
      </c>
      <c r="B5134" s="5" t="s">
        <v>47271</v>
      </c>
      <c r="C5134" s="6" t="str">
        <f>HYPERLINK("https://www.ti.com/lit/gpn/LM2576HV", "PDF")</f>
        <v>PDF</v>
      </c>
      <c r="D5134" s="5" t="s">
        <v>47272</v>
      </c>
      <c r="E5134" s="5" t="s">
        <v>47273</v>
      </c>
      <c r="F5134" s="5" t="s">
        <v>47274</v>
      </c>
      <c r="G5134" s="5" t="s">
        <v>47275</v>
      </c>
      <c r="H5134" s="1" t="s">
        <v>47276</v>
      </c>
      <c r="I5134" s="5" t="s">
        <v>47277</v>
      </c>
      <c r="J5134" s="7">
        <v>5</v>
      </c>
      <c r="K5134" s="7" t="s">
        <v>47278</v>
      </c>
      <c r="L5134" s="5" t="s">
        <v>47279</v>
      </c>
      <c r="M5134" s="7" t="s">
        <v>47280</v>
      </c>
      <c r="N5134" s="7">
        <v>1.7</v>
      </c>
      <c r="O5134" s="7">
        <v>2.827</v>
      </c>
      <c r="P5134" s="1" t="s">
        <v>47281</v>
      </c>
    </row>
    <row r="5135" spans="1:16" ht="82.5" x14ac:dyDescent="0.3">
      <c r="A5135" s="6" t="str">
        <f>HYPERLINK("https://www.ti.com/product/LM2577", "LM2577")</f>
        <v>LM2577</v>
      </c>
      <c r="B5135" s="5" t="s">
        <v>47282</v>
      </c>
      <c r="C5135" s="6" t="str">
        <f>HYPERLINK("https://www.ti.com/lit/gpn/LM2577", "PDF")</f>
        <v>PDF</v>
      </c>
      <c r="D5135" s="5" t="s">
        <v>47283</v>
      </c>
      <c r="E5135" s="5" t="s">
        <v>47284</v>
      </c>
      <c r="F5135" s="5" t="s">
        <v>47285</v>
      </c>
      <c r="G5135" s="5" t="s">
        <v>47286</v>
      </c>
      <c r="H5135" s="1" t="s">
        <v>47287</v>
      </c>
      <c r="I5135" s="5" t="s">
        <v>47288</v>
      </c>
      <c r="J5135" s="7">
        <v>5</v>
      </c>
      <c r="K5135" s="7" t="s">
        <v>47289</v>
      </c>
      <c r="L5135" s="5" t="s">
        <v>47290</v>
      </c>
      <c r="M5135" s="7" t="s">
        <v>47291</v>
      </c>
      <c r="N5135" s="7">
        <v>1.7</v>
      </c>
      <c r="O5135" s="7">
        <v>3.6349999999999998</v>
      </c>
      <c r="P5135" s="1" t="s">
        <v>47292</v>
      </c>
    </row>
    <row r="5136" spans="1:16" ht="17.05" x14ac:dyDescent="0.3">
      <c r="A5136" s="6" t="str">
        <f>HYPERLINK("https://www.ti.com/product/LM236-2.5", "LM236-2.5")</f>
        <v>LM236-2.5</v>
      </c>
      <c r="B5136" s="5" t="s">
        <v>47293</v>
      </c>
      <c r="C5136" s="6" t="str">
        <f>HYPERLINK("https://www.ti.com/lit/gpn/LM236-2.5", "PDF")</f>
        <v>PDF</v>
      </c>
      <c r="D5136" s="5" t="s">
        <v>47294</v>
      </c>
      <c r="E5136" s="5" t="s">
        <v>47295</v>
      </c>
      <c r="F5136" s="5"/>
      <c r="G5136" s="5" t="s">
        <v>47296</v>
      </c>
      <c r="H5136" s="1" t="s">
        <v>47297</v>
      </c>
      <c r="I5136" s="5" t="s">
        <v>47298</v>
      </c>
      <c r="J5136" s="7">
        <v>8</v>
      </c>
      <c r="K5136" s="7">
        <v>29.4</v>
      </c>
      <c r="L5136" s="5" t="s">
        <v>47299</v>
      </c>
      <c r="M5136" s="7">
        <v>1.75</v>
      </c>
      <c r="N5136" s="7">
        <v>1.27</v>
      </c>
      <c r="O5136" s="7">
        <v>0.66600000000000004</v>
      </c>
      <c r="P5136" s="1" t="s">
        <v>47300</v>
      </c>
    </row>
    <row r="5137" spans="1:16" ht="33.4" x14ac:dyDescent="0.3">
      <c r="A5137" s="6" t="str">
        <f>HYPERLINK("https://www.ti.com/product/LM285-1.2", "LM285-1.2")</f>
        <v>LM285-1.2</v>
      </c>
      <c r="B5137" s="5" t="s">
        <v>47301</v>
      </c>
      <c r="C5137" s="6" t="str">
        <f>HYPERLINK("https://www.ti.com/lit/gpn/LM285-1.2", "PDF")</f>
        <v>PDF</v>
      </c>
      <c r="D5137" s="5" t="s">
        <v>47302</v>
      </c>
      <c r="E5137" s="5" t="s">
        <v>47303</v>
      </c>
      <c r="F5137" s="5"/>
      <c r="G5137" s="5" t="s">
        <v>47304</v>
      </c>
      <c r="H5137" s="1" t="s">
        <v>47305</v>
      </c>
      <c r="I5137" s="5" t="s">
        <v>47306</v>
      </c>
      <c r="J5137" s="7" t="s">
        <v>47307</v>
      </c>
      <c r="K5137" s="7" t="s">
        <v>47308</v>
      </c>
      <c r="L5137" s="5" t="s">
        <v>47309</v>
      </c>
      <c r="M5137" s="7" t="s">
        <v>47310</v>
      </c>
      <c r="N5137" s="7">
        <v>1.27</v>
      </c>
      <c r="O5137" s="7">
        <v>0.16300000000000001</v>
      </c>
      <c r="P5137" s="1" t="s">
        <v>47311</v>
      </c>
    </row>
    <row r="5138" spans="1:16" ht="33.4" x14ac:dyDescent="0.3">
      <c r="A5138" s="6" t="str">
        <f>HYPERLINK("https://www.ti.com/product/LM285-2.5", "LM285-2.5")</f>
        <v>LM285-2.5</v>
      </c>
      <c r="B5138" s="5" t="s">
        <v>47312</v>
      </c>
      <c r="C5138" s="6" t="str">
        <f>HYPERLINK("https://www.ti.com/lit/gpn/LM285-2.5", "PDF")</f>
        <v>PDF</v>
      </c>
      <c r="D5138" s="5" t="s">
        <v>47313</v>
      </c>
      <c r="E5138" s="5" t="s">
        <v>47314</v>
      </c>
      <c r="F5138" s="5"/>
      <c r="G5138" s="5" t="s">
        <v>47315</v>
      </c>
      <c r="H5138" s="1" t="s">
        <v>47316</v>
      </c>
      <c r="I5138" s="5" t="s">
        <v>47317</v>
      </c>
      <c r="J5138" s="7" t="s">
        <v>47318</v>
      </c>
      <c r="K5138" s="7" t="s">
        <v>47319</v>
      </c>
      <c r="L5138" s="5" t="s">
        <v>47320</v>
      </c>
      <c r="M5138" s="7" t="s">
        <v>47321</v>
      </c>
      <c r="N5138" s="7">
        <v>1.27</v>
      </c>
      <c r="O5138" s="7">
        <v>0.16</v>
      </c>
      <c r="P5138" s="1" t="s">
        <v>47322</v>
      </c>
    </row>
    <row r="5139" spans="1:16" ht="33.4" x14ac:dyDescent="0.3">
      <c r="A5139" s="6" t="str">
        <f>HYPERLINK("https://www.ti.com/product/LM336-2.5", "LM336-2.5")</f>
        <v>LM336-2.5</v>
      </c>
      <c r="B5139" s="5" t="s">
        <v>47323</v>
      </c>
      <c r="C5139" s="6" t="str">
        <f>HYPERLINK("https://www.ti.com/lit/gpn/LM336-2.5", "PDF")</f>
        <v>PDF</v>
      </c>
      <c r="D5139" s="5" t="s">
        <v>47324</v>
      </c>
      <c r="E5139" s="5" t="s">
        <v>47325</v>
      </c>
      <c r="F5139" s="5"/>
      <c r="G5139" s="5" t="s">
        <v>47326</v>
      </c>
      <c r="H5139" s="1" t="s">
        <v>47327</v>
      </c>
      <c r="I5139" s="5" t="s">
        <v>47328</v>
      </c>
      <c r="J5139" s="7" t="s">
        <v>47329</v>
      </c>
      <c r="K5139" s="7" t="s">
        <v>47330</v>
      </c>
      <c r="L5139" s="5" t="s">
        <v>47331</v>
      </c>
      <c r="M5139" s="7" t="s">
        <v>47332</v>
      </c>
      <c r="N5139" s="7">
        <v>1.27</v>
      </c>
      <c r="O5139" s="7">
        <v>0.66600000000000004</v>
      </c>
      <c r="P5139" s="1" t="s">
        <v>47333</v>
      </c>
    </row>
    <row r="5140" spans="1:16" ht="33.4" x14ac:dyDescent="0.3">
      <c r="A5140" s="6" t="str">
        <f>HYPERLINK("https://www.ti.com/product/LM336B-2.5", "LM336B-2.5")</f>
        <v>LM336B-2.5</v>
      </c>
      <c r="B5140" s="5" t="s">
        <v>47334</v>
      </c>
      <c r="C5140" s="6" t="str">
        <f>HYPERLINK("https://www.ti.com/lit/gpn/LM336B-2.5", "PDF")</f>
        <v>PDF</v>
      </c>
      <c r="D5140" s="5" t="s">
        <v>47335</v>
      </c>
      <c r="E5140" s="5" t="s">
        <v>47336</v>
      </c>
      <c r="F5140" s="5"/>
      <c r="G5140" s="5" t="s">
        <v>47337</v>
      </c>
      <c r="H5140" s="1" t="s">
        <v>47338</v>
      </c>
      <c r="I5140" s="5" t="s">
        <v>47339</v>
      </c>
      <c r="J5140" s="7" t="s">
        <v>47340</v>
      </c>
      <c r="K5140" s="7" t="s">
        <v>47341</v>
      </c>
      <c r="L5140" s="5" t="s">
        <v>47342</v>
      </c>
      <c r="M5140" s="7" t="s">
        <v>47343</v>
      </c>
      <c r="N5140" s="7">
        <v>1.27</v>
      </c>
      <c r="O5140" s="7">
        <v>0.26700000000000002</v>
      </c>
      <c r="P5140" s="1" t="s">
        <v>47344</v>
      </c>
    </row>
    <row r="5141" spans="1:16" ht="49.75" x14ac:dyDescent="0.3">
      <c r="A5141" s="6" t="str">
        <f>HYPERLINK("https://www.ti.com/product/LM385-1.2", "LM385-1.2")</f>
        <v>LM385-1.2</v>
      </c>
      <c r="B5141" s="5" t="s">
        <v>47345</v>
      </c>
      <c r="C5141" s="6" t="str">
        <f>HYPERLINK("https://www.ti.com/lit/gpn/LM385-1.2", "PDF")</f>
        <v>PDF</v>
      </c>
      <c r="D5141" s="5" t="s">
        <v>47346</v>
      </c>
      <c r="E5141" s="5" t="s">
        <v>47347</v>
      </c>
      <c r="F5141" s="5"/>
      <c r="G5141" s="5" t="s">
        <v>47348</v>
      </c>
      <c r="H5141" s="1" t="s">
        <v>47349</v>
      </c>
      <c r="I5141" s="5" t="s">
        <v>47350</v>
      </c>
      <c r="J5141" s="7" t="s">
        <v>47351</v>
      </c>
      <c r="K5141" s="7" t="s">
        <v>47352</v>
      </c>
      <c r="L5141" s="5" t="s">
        <v>47353</v>
      </c>
      <c r="M5141" s="7" t="s">
        <v>47354</v>
      </c>
      <c r="N5141" s="7" t="s">
        <v>47355</v>
      </c>
      <c r="O5141" s="7">
        <v>0.14799999999999999</v>
      </c>
      <c r="P5141" s="1" t="s">
        <v>47356</v>
      </c>
    </row>
    <row r="5142" spans="1:16" ht="49.75" x14ac:dyDescent="0.3">
      <c r="A5142" s="6" t="str">
        <f>HYPERLINK("https://www.ti.com/product/LM385-2.5", "LM385-2.5")</f>
        <v>LM385-2.5</v>
      </c>
      <c r="B5142" s="5" t="s">
        <v>47357</v>
      </c>
      <c r="C5142" s="6" t="str">
        <f>HYPERLINK("https://www.ti.com/lit/gpn/LM385-2.5", "PDF")</f>
        <v>PDF</v>
      </c>
      <c r="D5142" s="5" t="s">
        <v>47358</v>
      </c>
      <c r="E5142" s="5" t="s">
        <v>47359</v>
      </c>
      <c r="F5142" s="5"/>
      <c r="G5142" s="5" t="s">
        <v>47360</v>
      </c>
      <c r="H5142" s="1" t="s">
        <v>47361</v>
      </c>
      <c r="I5142" s="5" t="s">
        <v>47362</v>
      </c>
      <c r="J5142" s="7" t="s">
        <v>47363</v>
      </c>
      <c r="K5142" s="7" t="s">
        <v>47364</v>
      </c>
      <c r="L5142" s="5" t="s">
        <v>47365</v>
      </c>
      <c r="M5142" s="7" t="s">
        <v>47366</v>
      </c>
      <c r="N5142" s="7" t="s">
        <v>47367</v>
      </c>
      <c r="O5142" s="7">
        <v>0.14599999999999999</v>
      </c>
      <c r="P5142" s="1" t="s">
        <v>47368</v>
      </c>
    </row>
    <row r="5143" spans="1:16" ht="49.75" x14ac:dyDescent="0.3">
      <c r="A5143" s="6" t="str">
        <f>HYPERLINK("https://www.ti.com/product/LM385B-1.2", "LM385B-1.2")</f>
        <v>LM385B-1.2</v>
      </c>
      <c r="B5143" s="5" t="s">
        <v>47369</v>
      </c>
      <c r="C5143" s="6" t="str">
        <f>HYPERLINK("https://www.ti.com/lit/gpn/LM385B-1.2", "PDF")</f>
        <v>PDF</v>
      </c>
      <c r="D5143" s="5" t="s">
        <v>47370</v>
      </c>
      <c r="E5143" s="5" t="s">
        <v>47371</v>
      </c>
      <c r="F5143" s="5"/>
      <c r="G5143" s="5" t="s">
        <v>47372</v>
      </c>
      <c r="H5143" s="1" t="s">
        <v>47373</v>
      </c>
      <c r="I5143" s="5" t="s">
        <v>47374</v>
      </c>
      <c r="J5143" s="7" t="s">
        <v>47375</v>
      </c>
      <c r="K5143" s="7" t="s">
        <v>47376</v>
      </c>
      <c r="L5143" s="5" t="s">
        <v>47377</v>
      </c>
      <c r="M5143" s="7" t="s">
        <v>47378</v>
      </c>
      <c r="N5143" s="7" t="s">
        <v>47379</v>
      </c>
      <c r="O5143" s="7">
        <v>0.159</v>
      </c>
      <c r="P5143" s="1" t="s">
        <v>47380</v>
      </c>
    </row>
    <row r="5144" spans="1:16" ht="49.75" x14ac:dyDescent="0.3">
      <c r="A5144" s="6" t="str">
        <f>HYPERLINK("https://www.ti.com/product/LM385B-2.5", "LM385B-2.5")</f>
        <v>LM385B-2.5</v>
      </c>
      <c r="B5144" s="5" t="s">
        <v>47381</v>
      </c>
      <c r="C5144" s="6" t="str">
        <f>HYPERLINK("https://www.ti.com/lit/gpn/LM385B-2.5", "PDF")</f>
        <v>PDF</v>
      </c>
      <c r="D5144" s="5" t="s">
        <v>47382</v>
      </c>
      <c r="E5144" s="5" t="s">
        <v>47383</v>
      </c>
      <c r="F5144" s="5"/>
      <c r="G5144" s="5" t="s">
        <v>47384</v>
      </c>
      <c r="H5144" s="1" t="s">
        <v>47385</v>
      </c>
      <c r="I5144" s="5" t="s">
        <v>47386</v>
      </c>
      <c r="J5144" s="7" t="s">
        <v>47387</v>
      </c>
      <c r="K5144" s="7" t="s">
        <v>47388</v>
      </c>
      <c r="L5144" s="5" t="s">
        <v>47389</v>
      </c>
      <c r="M5144" s="7" t="s">
        <v>47390</v>
      </c>
      <c r="N5144" s="7" t="s">
        <v>47391</v>
      </c>
      <c r="O5144" s="7">
        <v>0.191</v>
      </c>
      <c r="P5144" s="1" t="s">
        <v>47392</v>
      </c>
    </row>
    <row r="5145" spans="1:16" ht="49.75" x14ac:dyDescent="0.3">
      <c r="A5145" s="6" t="str">
        <f>HYPERLINK("https://www.ti.com/product/LT1009", "LT1009")</f>
        <v>LT1009</v>
      </c>
      <c r="B5145" s="5" t="s">
        <v>47393</v>
      </c>
      <c r="C5145" s="6" t="str">
        <f>HYPERLINK("https://www.ti.com/lit/gpn/LT1009", "PDF")</f>
        <v>PDF</v>
      </c>
      <c r="D5145" s="5" t="s">
        <v>47394</v>
      </c>
      <c r="E5145" s="5" t="s">
        <v>47395</v>
      </c>
      <c r="F5145" s="5"/>
      <c r="G5145" s="5" t="s">
        <v>47396</v>
      </c>
      <c r="H5145" s="1" t="s">
        <v>47397</v>
      </c>
      <c r="I5145" s="5" t="s">
        <v>47398</v>
      </c>
      <c r="J5145" s="7" t="s">
        <v>47399</v>
      </c>
      <c r="K5145" s="7" t="s">
        <v>47400</v>
      </c>
      <c r="L5145" s="5" t="s">
        <v>47401</v>
      </c>
      <c r="M5145" s="7" t="s">
        <v>47402</v>
      </c>
      <c r="N5145" s="7" t="s">
        <v>47403</v>
      </c>
      <c r="O5145" s="7">
        <v>0.26500000000000001</v>
      </c>
      <c r="P5145" s="1" t="s">
        <v>47404</v>
      </c>
    </row>
    <row r="5146" spans="1:16" ht="49.75" x14ac:dyDescent="0.3">
      <c r="A5146" s="6" t="str">
        <f>HYPERLINK("https://www.ti.com/product/SN75468", "SN75468")</f>
        <v>SN75468</v>
      </c>
      <c r="B5146" s="5" t="s">
        <v>47405</v>
      </c>
      <c r="C5146" s="6" t="str">
        <f>HYPERLINK("https://www.ti.com/lit/gpn/SN75468", "PDF")</f>
        <v>PDF</v>
      </c>
      <c r="D5146" s="5" t="s">
        <v>47406</v>
      </c>
      <c r="E5146" s="5" t="s">
        <v>47407</v>
      </c>
      <c r="F5146" s="5"/>
      <c r="G5146" s="5" t="s">
        <v>47408</v>
      </c>
      <c r="H5146" s="1" t="s">
        <v>47409</v>
      </c>
      <c r="I5146" s="5" t="s">
        <v>47410</v>
      </c>
      <c r="J5146" s="7">
        <v>16</v>
      </c>
      <c r="K5146" s="7" t="s">
        <v>47411</v>
      </c>
      <c r="L5146" s="5" t="s">
        <v>47412</v>
      </c>
      <c r="M5146" s="7" t="s">
        <v>47413</v>
      </c>
      <c r="N5146" s="7" t="s">
        <v>47414</v>
      </c>
      <c r="O5146" s="7">
        <v>0.29799999999999999</v>
      </c>
      <c r="P5146" s="1" t="s">
        <v>47415</v>
      </c>
    </row>
    <row r="5147" spans="1:16" ht="49.75" x14ac:dyDescent="0.3">
      <c r="A5147" s="6" t="str">
        <f>HYPERLINK("https://www.ti.com/product/TL1431", "TL1431")</f>
        <v>TL1431</v>
      </c>
      <c r="B5147" s="5" t="s">
        <v>47416</v>
      </c>
      <c r="C5147" s="6" t="str">
        <f>HYPERLINK("https://www.ti.com/lit/gpn/TL1431", "PDF")</f>
        <v>PDF</v>
      </c>
      <c r="D5147" s="5" t="s">
        <v>47417</v>
      </c>
      <c r="E5147" s="5" t="s">
        <v>47418</v>
      </c>
      <c r="F5147" s="5"/>
      <c r="G5147" s="5" t="s">
        <v>47419</v>
      </c>
      <c r="H5147" s="1" t="s">
        <v>47420</v>
      </c>
      <c r="I5147" s="5" t="s">
        <v>47421</v>
      </c>
      <c r="J5147" s="7" t="s">
        <v>47422</v>
      </c>
      <c r="K5147" s="7" t="s">
        <v>47423</v>
      </c>
      <c r="L5147" s="5" t="s">
        <v>47424</v>
      </c>
      <c r="M5147" s="7" t="s">
        <v>47425</v>
      </c>
      <c r="N5147" s="7" t="s">
        <v>47426</v>
      </c>
      <c r="O5147" s="7">
        <v>9.7000000000000003E-2</v>
      </c>
      <c r="P5147" s="1" t="s">
        <v>47427</v>
      </c>
    </row>
    <row r="5148" spans="1:16" ht="66.150000000000006" x14ac:dyDescent="0.3">
      <c r="A5148" s="6" t="str">
        <f>HYPERLINK("https://www.ti.com/product/TL2842", "TL2842")</f>
        <v>TL2842</v>
      </c>
      <c r="B5148" s="5" t="s">
        <v>47428</v>
      </c>
      <c r="C5148" s="6" t="str">
        <f>HYPERLINK("https://www.ti.com/lit/gpn/TL2842", "PDF")</f>
        <v>PDF</v>
      </c>
      <c r="D5148" s="5" t="s">
        <v>47429</v>
      </c>
      <c r="E5148" s="5" t="s">
        <v>47430</v>
      </c>
      <c r="F5148" s="5" t="s">
        <v>47431</v>
      </c>
      <c r="G5148" s="5" t="s">
        <v>47432</v>
      </c>
      <c r="H5148" s="1" t="s">
        <v>47433</v>
      </c>
      <c r="I5148" s="5" t="s">
        <v>47434</v>
      </c>
      <c r="J5148" s="7" t="s">
        <v>47435</v>
      </c>
      <c r="K5148" s="7" t="s">
        <v>47436</v>
      </c>
      <c r="L5148" s="5" t="s">
        <v>47437</v>
      </c>
      <c r="M5148" s="7" t="s">
        <v>47438</v>
      </c>
      <c r="N5148" s="7" t="s">
        <v>47439</v>
      </c>
      <c r="O5148" s="7">
        <v>0.22900000000000001</v>
      </c>
      <c r="P5148" s="1" t="s">
        <v>47440</v>
      </c>
    </row>
    <row r="5149" spans="1:16" ht="66.150000000000006" x14ac:dyDescent="0.3">
      <c r="A5149" s="6" t="str">
        <f>HYPERLINK("https://www.ti.com/product/TL2843", "TL2843")</f>
        <v>TL2843</v>
      </c>
      <c r="B5149" s="5" t="s">
        <v>47441</v>
      </c>
      <c r="C5149" s="6" t="str">
        <f>HYPERLINK("https://www.ti.com/lit/gpn/TL2843", "PDF")</f>
        <v>PDF</v>
      </c>
      <c r="D5149" s="5" t="s">
        <v>47442</v>
      </c>
      <c r="E5149" s="5" t="s">
        <v>47443</v>
      </c>
      <c r="F5149" s="5" t="s">
        <v>47444</v>
      </c>
      <c r="G5149" s="5" t="s">
        <v>47445</v>
      </c>
      <c r="H5149" s="1" t="s">
        <v>47446</v>
      </c>
      <c r="I5149" s="5" t="s">
        <v>47447</v>
      </c>
      <c r="J5149" s="7" t="s">
        <v>47448</v>
      </c>
      <c r="K5149" s="7" t="s">
        <v>47449</v>
      </c>
      <c r="L5149" s="5" t="s">
        <v>47450</v>
      </c>
      <c r="M5149" s="7" t="s">
        <v>47451</v>
      </c>
      <c r="N5149" s="7" t="s">
        <v>47452</v>
      </c>
      <c r="O5149" s="7">
        <v>0.22900000000000001</v>
      </c>
      <c r="P5149" s="1" t="s">
        <v>47453</v>
      </c>
    </row>
    <row r="5150" spans="1:16" ht="66.150000000000006" x14ac:dyDescent="0.3">
      <c r="A5150" s="6" t="str">
        <f>HYPERLINK("https://www.ti.com/product/TL2844", "TL2844")</f>
        <v>TL2844</v>
      </c>
      <c r="B5150" s="5" t="s">
        <v>47454</v>
      </c>
      <c r="C5150" s="6" t="str">
        <f>HYPERLINK("https://www.ti.com/lit/gpn/TL2844", "PDF")</f>
        <v>PDF</v>
      </c>
      <c r="D5150" s="5" t="s">
        <v>47455</v>
      </c>
      <c r="E5150" s="5" t="s">
        <v>47456</v>
      </c>
      <c r="F5150" s="5" t="s">
        <v>47457</v>
      </c>
      <c r="G5150" s="5" t="s">
        <v>47458</v>
      </c>
      <c r="H5150" s="1" t="s">
        <v>47459</v>
      </c>
      <c r="I5150" s="5" t="s">
        <v>47460</v>
      </c>
      <c r="J5150" s="7" t="s">
        <v>47461</v>
      </c>
      <c r="K5150" s="7" t="s">
        <v>47462</v>
      </c>
      <c r="L5150" s="5" t="s">
        <v>47463</v>
      </c>
      <c r="M5150" s="7" t="s">
        <v>47464</v>
      </c>
      <c r="N5150" s="7" t="s">
        <v>47465</v>
      </c>
      <c r="O5150" s="7">
        <v>0.22900000000000001</v>
      </c>
      <c r="P5150" s="1" t="s">
        <v>47466</v>
      </c>
    </row>
    <row r="5151" spans="1:16" ht="66.150000000000006" x14ac:dyDescent="0.3">
      <c r="A5151" s="6" t="str">
        <f>HYPERLINK("https://www.ti.com/product/TL2845", "TL2845")</f>
        <v>TL2845</v>
      </c>
      <c r="B5151" s="5" t="s">
        <v>47467</v>
      </c>
      <c r="C5151" s="6" t="str">
        <f>HYPERLINK("https://www.ti.com/lit/gpn/TL2845", "PDF")</f>
        <v>PDF</v>
      </c>
      <c r="D5151" s="5" t="s">
        <v>47468</v>
      </c>
      <c r="E5151" s="5" t="s">
        <v>47469</v>
      </c>
      <c r="F5151" s="5" t="s">
        <v>47470</v>
      </c>
      <c r="G5151" s="5" t="s">
        <v>47471</v>
      </c>
      <c r="H5151" s="1" t="s">
        <v>47472</v>
      </c>
      <c r="I5151" s="5" t="s">
        <v>47473</v>
      </c>
      <c r="J5151" s="7" t="s">
        <v>47474</v>
      </c>
      <c r="K5151" s="7" t="s">
        <v>47475</v>
      </c>
      <c r="L5151" s="5" t="s">
        <v>47476</v>
      </c>
      <c r="M5151" s="7" t="s">
        <v>47477</v>
      </c>
      <c r="N5151" s="7" t="s">
        <v>47478</v>
      </c>
      <c r="O5151" s="7">
        <v>0.16</v>
      </c>
      <c r="P5151" s="1" t="s">
        <v>47479</v>
      </c>
    </row>
    <row r="5152" spans="1:16" ht="66.150000000000006" x14ac:dyDescent="0.3">
      <c r="A5152" s="6" t="str">
        <f>HYPERLINK("https://www.ti.com/product/TL3842", "TL3842")</f>
        <v>TL3842</v>
      </c>
      <c r="B5152" s="5" t="s">
        <v>47480</v>
      </c>
      <c r="C5152" s="6" t="str">
        <f>HYPERLINK("https://www.ti.com/lit/gpn/TL3842", "PDF")</f>
        <v>PDF</v>
      </c>
      <c r="D5152" s="5" t="s">
        <v>47481</v>
      </c>
      <c r="E5152" s="5" t="s">
        <v>47482</v>
      </c>
      <c r="F5152" s="5" t="s">
        <v>47483</v>
      </c>
      <c r="G5152" s="5" t="s">
        <v>47484</v>
      </c>
      <c r="H5152" s="1" t="s">
        <v>47485</v>
      </c>
      <c r="I5152" s="5" t="s">
        <v>47486</v>
      </c>
      <c r="J5152" s="7" t="s">
        <v>47487</v>
      </c>
      <c r="K5152" s="7" t="s">
        <v>47488</v>
      </c>
      <c r="L5152" s="5" t="s">
        <v>47489</v>
      </c>
      <c r="M5152" s="7" t="s">
        <v>47490</v>
      </c>
      <c r="N5152" s="7" t="s">
        <v>47491</v>
      </c>
      <c r="O5152" s="7">
        <v>0.22900000000000001</v>
      </c>
      <c r="P5152" s="1" t="s">
        <v>47492</v>
      </c>
    </row>
    <row r="5153" spans="1:16" ht="66.150000000000006" x14ac:dyDescent="0.3">
      <c r="A5153" s="6" t="str">
        <f>HYPERLINK("https://www.ti.com/product/TL3843", "TL3843")</f>
        <v>TL3843</v>
      </c>
      <c r="B5153" s="5" t="s">
        <v>47493</v>
      </c>
      <c r="C5153" s="6" t="str">
        <f>HYPERLINK("https://www.ti.com/lit/gpn/TL3843", "PDF")</f>
        <v>PDF</v>
      </c>
      <c r="D5153" s="5" t="s">
        <v>47494</v>
      </c>
      <c r="E5153" s="5" t="s">
        <v>47495</v>
      </c>
      <c r="F5153" s="5" t="s">
        <v>47496</v>
      </c>
      <c r="G5153" s="5" t="s">
        <v>47497</v>
      </c>
      <c r="H5153" s="1" t="s">
        <v>47498</v>
      </c>
      <c r="I5153" s="5" t="s">
        <v>47499</v>
      </c>
      <c r="J5153" s="7" t="s">
        <v>47500</v>
      </c>
      <c r="K5153" s="7" t="s">
        <v>47501</v>
      </c>
      <c r="L5153" s="5" t="s">
        <v>47502</v>
      </c>
      <c r="M5153" s="7" t="s">
        <v>47503</v>
      </c>
      <c r="N5153" s="7" t="s">
        <v>47504</v>
      </c>
      <c r="O5153" s="7">
        <v>0.22900000000000001</v>
      </c>
      <c r="P5153" s="1" t="s">
        <v>47505</v>
      </c>
    </row>
    <row r="5154" spans="1:16" ht="66.150000000000006" x14ac:dyDescent="0.3">
      <c r="A5154" s="6" t="str">
        <f>HYPERLINK("https://www.ti.com/product/TL3844", "TL3844")</f>
        <v>TL3844</v>
      </c>
      <c r="B5154" s="5" t="s">
        <v>47506</v>
      </c>
      <c r="C5154" s="6" t="str">
        <f>HYPERLINK("https://www.ti.com/lit/gpn/TL3844", "PDF")</f>
        <v>PDF</v>
      </c>
      <c r="D5154" s="5" t="s">
        <v>47507</v>
      </c>
      <c r="E5154" s="5" t="s">
        <v>47508</v>
      </c>
      <c r="F5154" s="5" t="s">
        <v>47509</v>
      </c>
      <c r="G5154" s="5" t="s">
        <v>47510</v>
      </c>
      <c r="H5154" s="1" t="s">
        <v>47511</v>
      </c>
      <c r="I5154" s="5" t="s">
        <v>47512</v>
      </c>
      <c r="J5154" s="7" t="s">
        <v>47513</v>
      </c>
      <c r="K5154" s="7" t="s">
        <v>47514</v>
      </c>
      <c r="L5154" s="5" t="s">
        <v>47515</v>
      </c>
      <c r="M5154" s="7" t="s">
        <v>47516</v>
      </c>
      <c r="N5154" s="7" t="s">
        <v>47517</v>
      </c>
      <c r="O5154" s="7">
        <v>0.20599999999999999</v>
      </c>
      <c r="P5154" s="1" t="s">
        <v>47518</v>
      </c>
    </row>
    <row r="5155" spans="1:16" ht="66.150000000000006" x14ac:dyDescent="0.3">
      <c r="A5155" s="6" t="str">
        <f>HYPERLINK("https://www.ti.com/product/TL3845", "TL3845")</f>
        <v>TL3845</v>
      </c>
      <c r="B5155" s="5" t="s">
        <v>47519</v>
      </c>
      <c r="C5155" s="6" t="str">
        <f>HYPERLINK("https://www.ti.com/lit/gpn/TL3845", "PDF")</f>
        <v>PDF</v>
      </c>
      <c r="D5155" s="5" t="s">
        <v>47520</v>
      </c>
      <c r="E5155" s="5" t="s">
        <v>47521</v>
      </c>
      <c r="F5155" s="5" t="s">
        <v>47522</v>
      </c>
      <c r="G5155" s="5" t="s">
        <v>47523</v>
      </c>
      <c r="H5155" s="1" t="s">
        <v>47524</v>
      </c>
      <c r="I5155" s="5" t="s">
        <v>47525</v>
      </c>
      <c r="J5155" s="7" t="s">
        <v>47526</v>
      </c>
      <c r="K5155" s="7" t="s">
        <v>47527</v>
      </c>
      <c r="L5155" s="5" t="s">
        <v>47528</v>
      </c>
      <c r="M5155" s="7" t="s">
        <v>47529</v>
      </c>
      <c r="N5155" s="7" t="s">
        <v>47530</v>
      </c>
      <c r="O5155" s="7">
        <v>0.22900000000000001</v>
      </c>
      <c r="P5155" s="1" t="s">
        <v>47531</v>
      </c>
    </row>
    <row r="5156" spans="1:16" ht="147.94999999999999" x14ac:dyDescent="0.3">
      <c r="A5156" s="6" t="str">
        <f>HYPERLINK("https://www.ti.com/product/TL431", "TL431")</f>
        <v>TL431</v>
      </c>
      <c r="B5156" s="5" t="s">
        <v>47532</v>
      </c>
      <c r="C5156" s="6" t="str">
        <f>HYPERLINK("https://www.ti.com/lit/gpn/TL431", "PDF")</f>
        <v>PDF</v>
      </c>
      <c r="D5156" s="5" t="s">
        <v>47533</v>
      </c>
      <c r="E5156" s="5" t="s">
        <v>47534</v>
      </c>
      <c r="F5156" s="5"/>
      <c r="G5156" s="5" t="s">
        <v>47535</v>
      </c>
      <c r="H5156" s="1" t="s">
        <v>47536</v>
      </c>
      <c r="I5156" s="5" t="s">
        <v>47537</v>
      </c>
      <c r="J5156" s="7" t="s">
        <v>47538</v>
      </c>
      <c r="K5156" s="7" t="s">
        <v>47539</v>
      </c>
      <c r="L5156" s="5" t="s">
        <v>47540</v>
      </c>
      <c r="M5156" s="7" t="s">
        <v>47541</v>
      </c>
      <c r="N5156" s="7" t="s">
        <v>47542</v>
      </c>
      <c r="O5156" s="7">
        <v>4.4999999999999998E-2</v>
      </c>
      <c r="P5156" s="1" t="s">
        <v>47543</v>
      </c>
    </row>
    <row r="5157" spans="1:16" ht="66.150000000000006" x14ac:dyDescent="0.3">
      <c r="A5157" s="6" t="str">
        <f>HYPERLINK("https://www.ti.com/product/TL494", "TL494")</f>
        <v>TL494</v>
      </c>
      <c r="B5157" s="5" t="s">
        <v>47544</v>
      </c>
      <c r="C5157" s="6" t="str">
        <f>HYPERLINK("https://www.ti.com/lit/gpn/TL494", "PDF")</f>
        <v>PDF</v>
      </c>
      <c r="D5157" s="5" t="s">
        <v>47545</v>
      </c>
      <c r="E5157" s="5" t="s">
        <v>47546</v>
      </c>
      <c r="F5157" s="5" t="s">
        <v>47547</v>
      </c>
      <c r="G5157" s="5" t="s">
        <v>47548</v>
      </c>
      <c r="H5157" s="1" t="s">
        <v>47549</v>
      </c>
      <c r="I5157" s="5" t="s">
        <v>47550</v>
      </c>
      <c r="J5157" s="7">
        <v>16</v>
      </c>
      <c r="K5157" s="7" t="s">
        <v>47551</v>
      </c>
      <c r="L5157" s="5" t="s">
        <v>47552</v>
      </c>
      <c r="M5157" s="7" t="s">
        <v>47553</v>
      </c>
      <c r="N5157" s="7" t="s">
        <v>47554</v>
      </c>
      <c r="O5157" s="7">
        <v>0.112</v>
      </c>
      <c r="P5157" s="1" t="s">
        <v>47555</v>
      </c>
    </row>
    <row r="5158" spans="1:16" ht="66.150000000000006" x14ac:dyDescent="0.3">
      <c r="A5158" s="6" t="str">
        <f>HYPERLINK("https://www.ti.com/product/TL594", "TL594")</f>
        <v>TL594</v>
      </c>
      <c r="B5158" s="5" t="s">
        <v>47556</v>
      </c>
      <c r="C5158" s="6" t="str">
        <f>HYPERLINK("https://www.ti.com/lit/gpn/TL594", "PDF")</f>
        <v>PDF</v>
      </c>
      <c r="D5158" s="5" t="s">
        <v>47557</v>
      </c>
      <c r="E5158" s="5" t="s">
        <v>47558</v>
      </c>
      <c r="F5158" s="5" t="s">
        <v>47559</v>
      </c>
      <c r="G5158" s="5" t="s">
        <v>47560</v>
      </c>
      <c r="H5158" s="1" t="s">
        <v>47561</v>
      </c>
      <c r="I5158" s="5" t="s">
        <v>47562</v>
      </c>
      <c r="J5158" s="7">
        <v>16</v>
      </c>
      <c r="K5158" s="7" t="s">
        <v>47563</v>
      </c>
      <c r="L5158" s="5" t="s">
        <v>47564</v>
      </c>
      <c r="M5158" s="7" t="s">
        <v>47565</v>
      </c>
      <c r="N5158" s="7" t="s">
        <v>47566</v>
      </c>
      <c r="O5158" s="7">
        <v>0.3</v>
      </c>
      <c r="P5158" s="1" t="s">
        <v>47567</v>
      </c>
    </row>
    <row r="5159" spans="1:16" ht="66.150000000000006" x14ac:dyDescent="0.3">
      <c r="A5159" s="6" t="str">
        <f>HYPERLINK("https://www.ti.com/product/TL7700", "TL7700")</f>
        <v>TL7700</v>
      </c>
      <c r="B5159" s="5" t="s">
        <v>47568</v>
      </c>
      <c r="C5159" s="6" t="str">
        <f>HYPERLINK("https://www.ti.com/lit/gpn/TL7700", "PDF")</f>
        <v>PDF</v>
      </c>
      <c r="D5159" s="5" t="s">
        <v>47569</v>
      </c>
      <c r="E5159" s="5" t="s">
        <v>47570</v>
      </c>
      <c r="F5159" s="5"/>
      <c r="G5159" s="5" t="s">
        <v>47571</v>
      </c>
      <c r="H5159" s="1" t="s">
        <v>47572</v>
      </c>
      <c r="I5159" s="5" t="s">
        <v>47573</v>
      </c>
      <c r="J5159" s="7">
        <v>8</v>
      </c>
      <c r="K5159" s="7" t="s">
        <v>47574</v>
      </c>
      <c r="L5159" s="5" t="s">
        <v>47575</v>
      </c>
      <c r="M5159" s="7" t="s">
        <v>47576</v>
      </c>
      <c r="N5159" s="7" t="s">
        <v>47577</v>
      </c>
      <c r="O5159" s="7">
        <v>1.54</v>
      </c>
      <c r="P5159" s="1" t="s">
        <v>47578</v>
      </c>
    </row>
    <row r="5160" spans="1:16" ht="49.75" x14ac:dyDescent="0.3">
      <c r="A5160" s="6" t="str">
        <f>HYPERLINK("https://www.ti.com/product/TL7702A", "TL7702A")</f>
        <v>TL7702A</v>
      </c>
      <c r="B5160" s="5" t="s">
        <v>47579</v>
      </c>
      <c r="C5160" s="6" t="str">
        <f>HYPERLINK("https://www.ti.com/lit/gpn/TL7702A", "PDF")</f>
        <v>PDF</v>
      </c>
      <c r="D5160" s="5" t="s">
        <v>47580</v>
      </c>
      <c r="E5160" s="5" t="s">
        <v>47581</v>
      </c>
      <c r="F5160" s="5"/>
      <c r="G5160" s="5" t="s">
        <v>47582</v>
      </c>
      <c r="H5160" s="1" t="s">
        <v>47583</v>
      </c>
      <c r="I5160" s="5" t="s">
        <v>47584</v>
      </c>
      <c r="J5160" s="7">
        <v>8</v>
      </c>
      <c r="K5160" s="7" t="s">
        <v>47585</v>
      </c>
      <c r="L5160" s="5" t="s">
        <v>47586</v>
      </c>
      <c r="M5160" s="7" t="s">
        <v>47587</v>
      </c>
      <c r="N5160" s="7" t="s">
        <v>47588</v>
      </c>
      <c r="O5160" s="7">
        <v>1.47</v>
      </c>
      <c r="P5160" s="1" t="s">
        <v>47589</v>
      </c>
    </row>
    <row r="5161" spans="1:16" ht="49.75" x14ac:dyDescent="0.3">
      <c r="A5161" s="6" t="str">
        <f>HYPERLINK("https://www.ti.com/product/TL7702B", "TL7702B")</f>
        <v>TL7702B</v>
      </c>
      <c r="B5161" s="5" t="s">
        <v>47590</v>
      </c>
      <c r="C5161" s="6" t="str">
        <f>HYPERLINK("https://www.ti.com/lit/gpn/TL7702B", "PDF")</f>
        <v>PDF</v>
      </c>
      <c r="D5161" s="5" t="s">
        <v>47591</v>
      </c>
      <c r="E5161" s="5" t="s">
        <v>47592</v>
      </c>
      <c r="F5161" s="5"/>
      <c r="G5161" s="5" t="s">
        <v>47593</v>
      </c>
      <c r="H5161" s="1" t="s">
        <v>47594</v>
      </c>
      <c r="I5161" s="5" t="s">
        <v>47595</v>
      </c>
      <c r="J5161" s="7">
        <v>8</v>
      </c>
      <c r="K5161" s="7" t="s">
        <v>47596</v>
      </c>
      <c r="L5161" s="5" t="s">
        <v>47597</v>
      </c>
      <c r="M5161" s="7" t="s">
        <v>47598</v>
      </c>
      <c r="N5161" s="7" t="s">
        <v>47599</v>
      </c>
      <c r="O5161" s="7">
        <v>1.47</v>
      </c>
      <c r="P5161" s="1" t="s">
        <v>47600</v>
      </c>
    </row>
    <row r="5162" spans="1:16" ht="49.75" x14ac:dyDescent="0.3">
      <c r="A5162" s="6" t="str">
        <f>HYPERLINK("https://www.ti.com/product/TL7705", "TL7705")</f>
        <v>TL7705</v>
      </c>
      <c r="B5162" s="5" t="s">
        <v>47601</v>
      </c>
      <c r="C5162" s="6" t="s">
        <v>183</v>
      </c>
      <c r="D5162" s="5" t="s">
        <v>47602</v>
      </c>
      <c r="E5162" s="5" t="s">
        <v>47603</v>
      </c>
      <c r="F5162" s="5"/>
      <c r="G5162" s="5" t="s">
        <v>47604</v>
      </c>
      <c r="H5162" s="1" t="s">
        <v>47605</v>
      </c>
      <c r="I5162" s="5" t="s">
        <v>47606</v>
      </c>
      <c r="J5162" s="7">
        <v>8</v>
      </c>
      <c r="K5162" s="7" t="s">
        <v>47607</v>
      </c>
      <c r="L5162" s="5" t="s">
        <v>47608</v>
      </c>
      <c r="M5162" s="7" t="s">
        <v>47609</v>
      </c>
      <c r="N5162" s="7" t="s">
        <v>47610</v>
      </c>
      <c r="O5162" s="7">
        <v>2.367</v>
      </c>
      <c r="P5162" s="1" t="s">
        <v>47611</v>
      </c>
    </row>
    <row r="5163" spans="1:16" ht="49.75" x14ac:dyDescent="0.3">
      <c r="A5163" s="6" t="str">
        <f>HYPERLINK("https://www.ti.com/product/TL7705A", "TL7705A")</f>
        <v>TL7705A</v>
      </c>
      <c r="B5163" s="5" t="s">
        <v>47612</v>
      </c>
      <c r="C5163" s="6" t="str">
        <f>HYPERLINK("https://www.ti.com/lit/gpn/TL7705A", "PDF")</f>
        <v>PDF</v>
      </c>
      <c r="D5163" s="5" t="s">
        <v>47613</v>
      </c>
      <c r="E5163" s="5" t="s">
        <v>47614</v>
      </c>
      <c r="F5163" s="5"/>
      <c r="G5163" s="5" t="s">
        <v>47615</v>
      </c>
      <c r="H5163" s="1" t="s">
        <v>47616</v>
      </c>
      <c r="I5163" s="5" t="s">
        <v>47617</v>
      </c>
      <c r="J5163" s="7">
        <v>8</v>
      </c>
      <c r="K5163" s="7" t="s">
        <v>47618</v>
      </c>
      <c r="L5163" s="5" t="s">
        <v>47619</v>
      </c>
      <c r="M5163" s="7" t="s">
        <v>47620</v>
      </c>
      <c r="N5163" s="7" t="s">
        <v>47621</v>
      </c>
      <c r="O5163" s="7">
        <v>1.4490000000000001</v>
      </c>
      <c r="P5163" s="1" t="s">
        <v>47622</v>
      </c>
    </row>
    <row r="5164" spans="1:16" ht="49.75" x14ac:dyDescent="0.3">
      <c r="A5164" s="6" t="str">
        <f>HYPERLINK("https://www.ti.com/product/TL7705B", "TL7705B")</f>
        <v>TL7705B</v>
      </c>
      <c r="B5164" s="5" t="s">
        <v>47623</v>
      </c>
      <c r="C5164" s="6" t="str">
        <f>HYPERLINK("https://www.ti.com/lit/gpn/TL7705B", "PDF")</f>
        <v>PDF</v>
      </c>
      <c r="D5164" s="5" t="s">
        <v>47624</v>
      </c>
      <c r="E5164" s="5" t="s">
        <v>47625</v>
      </c>
      <c r="F5164" s="5"/>
      <c r="G5164" s="5" t="s">
        <v>47626</v>
      </c>
      <c r="H5164" s="1" t="s">
        <v>47627</v>
      </c>
      <c r="I5164" s="5" t="s">
        <v>47628</v>
      </c>
      <c r="J5164" s="7">
        <v>8</v>
      </c>
      <c r="K5164" s="7" t="s">
        <v>47629</v>
      </c>
      <c r="L5164" s="5" t="s">
        <v>47630</v>
      </c>
      <c r="M5164" s="7" t="s">
        <v>47631</v>
      </c>
      <c r="N5164" s="7" t="s">
        <v>47632</v>
      </c>
      <c r="O5164" s="7">
        <v>1.492</v>
      </c>
      <c r="P5164" s="1" t="s">
        <v>47633</v>
      </c>
    </row>
    <row r="5165" spans="1:16" ht="49.75" x14ac:dyDescent="0.3">
      <c r="A5165" s="6" t="str">
        <f>HYPERLINK("https://www.ti.com/product/TL7709A", "TL7709A")</f>
        <v>TL7709A</v>
      </c>
      <c r="B5165" s="5" t="s">
        <v>47634</v>
      </c>
      <c r="C5165" s="6" t="str">
        <f>HYPERLINK("https://www.ti.com/lit/gpn/TL7709A", "PDF")</f>
        <v>PDF</v>
      </c>
      <c r="D5165" s="5" t="s">
        <v>47635</v>
      </c>
      <c r="E5165" s="5" t="s">
        <v>47636</v>
      </c>
      <c r="F5165" s="5"/>
      <c r="G5165" s="5" t="s">
        <v>47637</v>
      </c>
      <c r="H5165" s="1" t="s">
        <v>47638</v>
      </c>
      <c r="I5165" s="5" t="s">
        <v>47639</v>
      </c>
      <c r="J5165" s="7">
        <v>8</v>
      </c>
      <c r="K5165" s="7" t="s">
        <v>47640</v>
      </c>
      <c r="L5165" s="5" t="s">
        <v>47641</v>
      </c>
      <c r="M5165" s="7" t="s">
        <v>47642</v>
      </c>
      <c r="N5165" s="7" t="s">
        <v>47643</v>
      </c>
      <c r="O5165" s="7">
        <v>1.8759999999999999</v>
      </c>
      <c r="P5165" s="1" t="s">
        <v>47644</v>
      </c>
    </row>
    <row r="5166" spans="1:16" ht="49.75" x14ac:dyDescent="0.3">
      <c r="A5166" s="6" t="str">
        <f>HYPERLINK("https://www.ti.com/product/TL7712A", "TL7712A")</f>
        <v>TL7712A</v>
      </c>
      <c r="B5166" s="5" t="s">
        <v>47645</v>
      </c>
      <c r="C5166" s="6" t="str">
        <f>HYPERLINK("https://www.ti.com/lit/gpn/TL7712A", "PDF")</f>
        <v>PDF</v>
      </c>
      <c r="D5166" s="5" t="s">
        <v>47646</v>
      </c>
      <c r="E5166" s="5" t="s">
        <v>47647</v>
      </c>
      <c r="F5166" s="5"/>
      <c r="G5166" s="5" t="s">
        <v>47648</v>
      </c>
      <c r="H5166" s="1" t="s">
        <v>47649</v>
      </c>
      <c r="I5166" s="5" t="s">
        <v>47650</v>
      </c>
      <c r="J5166" s="7">
        <v>8</v>
      </c>
      <c r="K5166" s="7" t="s">
        <v>47651</v>
      </c>
      <c r="L5166" s="5" t="s">
        <v>47652</v>
      </c>
      <c r="M5166" s="7" t="s">
        <v>47653</v>
      </c>
      <c r="N5166" s="7" t="s">
        <v>47654</v>
      </c>
      <c r="O5166" s="7">
        <v>0.32700000000000001</v>
      </c>
      <c r="P5166" s="1" t="s">
        <v>47655</v>
      </c>
    </row>
    <row r="5167" spans="1:16" ht="49.75" x14ac:dyDescent="0.3">
      <c r="A5167" s="6" t="str">
        <f>HYPERLINK("https://www.ti.com/product/TL7715A", "TL7715A")</f>
        <v>TL7715A</v>
      </c>
      <c r="B5167" s="5" t="s">
        <v>47656</v>
      </c>
      <c r="C5167" s="6" t="str">
        <f>HYPERLINK("https://www.ti.com/lit/gpn/TL7715A", "PDF")</f>
        <v>PDF</v>
      </c>
      <c r="D5167" s="5" t="s">
        <v>47657</v>
      </c>
      <c r="E5167" s="5" t="s">
        <v>47658</v>
      </c>
      <c r="F5167" s="5"/>
      <c r="G5167" s="5" t="s">
        <v>47659</v>
      </c>
      <c r="H5167" s="1" t="s">
        <v>47660</v>
      </c>
      <c r="I5167" s="5" t="s">
        <v>47661</v>
      </c>
      <c r="J5167" s="7">
        <v>8</v>
      </c>
      <c r="K5167" s="7" t="s">
        <v>47662</v>
      </c>
      <c r="L5167" s="5" t="s">
        <v>47663</v>
      </c>
      <c r="M5167" s="7" t="s">
        <v>47664</v>
      </c>
      <c r="N5167" s="7" t="s">
        <v>47665</v>
      </c>
      <c r="O5167" s="7">
        <v>0.61099999999999999</v>
      </c>
      <c r="P5167" s="1" t="s">
        <v>47666</v>
      </c>
    </row>
    <row r="5168" spans="1:16" ht="49.75" x14ac:dyDescent="0.3">
      <c r="A5168" s="6" t="str">
        <f>HYPERLINK("https://www.ti.com/product/TL7726", "TL7726")</f>
        <v>TL7726</v>
      </c>
      <c r="B5168" s="5" t="s">
        <v>47667</v>
      </c>
      <c r="C5168" s="6" t="str">
        <f>HYPERLINK("https://www.ti.com/lit/gpn/TL7726", "PDF")</f>
        <v>PDF</v>
      </c>
      <c r="D5168" s="5" t="s">
        <v>47668</v>
      </c>
      <c r="E5168" s="5" t="s">
        <v>47669</v>
      </c>
      <c r="F5168" s="5"/>
      <c r="G5168" s="5" t="s">
        <v>47670</v>
      </c>
      <c r="H5168" s="1" t="s">
        <v>47671</v>
      </c>
      <c r="I5168" s="5" t="s">
        <v>47672</v>
      </c>
      <c r="J5168" s="7">
        <v>8</v>
      </c>
      <c r="K5168" s="7" t="s">
        <v>47673</v>
      </c>
      <c r="L5168" s="5" t="s">
        <v>47674</v>
      </c>
      <c r="M5168" s="7" t="s">
        <v>47675</v>
      </c>
      <c r="N5168" s="7" t="s">
        <v>47676</v>
      </c>
      <c r="O5168" s="7">
        <v>0.99</v>
      </c>
      <c r="P5168" s="1" t="s">
        <v>47677</v>
      </c>
    </row>
    <row r="5169" spans="1:16" ht="82.5" x14ac:dyDescent="0.3">
      <c r="A5169" s="6" t="str">
        <f>HYPERLINK("https://www.ti.com/product/TLV431", "TLV431")</f>
        <v>TLV431</v>
      </c>
      <c r="B5169" s="5" t="s">
        <v>47678</v>
      </c>
      <c r="C5169" s="6" t="str">
        <f>HYPERLINK("https://www.ti.com/lit/gpn/TLV431", "PDF")</f>
        <v>PDF</v>
      </c>
      <c r="D5169" s="5" t="s">
        <v>47679</v>
      </c>
      <c r="E5169" s="5" t="s">
        <v>47680</v>
      </c>
      <c r="F5169" s="5"/>
      <c r="G5169" s="5" t="s">
        <v>47681</v>
      </c>
      <c r="H5169" s="1" t="s">
        <v>47682</v>
      </c>
      <c r="I5169" s="5" t="s">
        <v>47683</v>
      </c>
      <c r="J5169" s="7" t="s">
        <v>47684</v>
      </c>
      <c r="K5169" s="7" t="s">
        <v>47685</v>
      </c>
      <c r="L5169" s="5" t="s">
        <v>47686</v>
      </c>
      <c r="M5169" s="7" t="s">
        <v>47687</v>
      </c>
      <c r="N5169" s="7" t="s">
        <v>47688</v>
      </c>
      <c r="O5169" s="7">
        <v>0.15</v>
      </c>
      <c r="P5169" s="1" t="s">
        <v>47689</v>
      </c>
    </row>
    <row r="5170" spans="1:16" ht="98.85" x14ac:dyDescent="0.3">
      <c r="A5170" s="6" t="str">
        <f>HYPERLINK("https://www.ti.com/product/TLV431A", "TLV431A")</f>
        <v>TLV431A</v>
      </c>
      <c r="B5170" s="5" t="s">
        <v>47690</v>
      </c>
      <c r="C5170" s="6" t="str">
        <f>HYPERLINK("https://www.ti.com/lit/gpn/TLV431A", "PDF")</f>
        <v>PDF</v>
      </c>
      <c r="D5170" s="5" t="s">
        <v>47691</v>
      </c>
      <c r="E5170" s="5" t="s">
        <v>47692</v>
      </c>
      <c r="F5170" s="5"/>
      <c r="G5170" s="5" t="s">
        <v>47693</v>
      </c>
      <c r="H5170" s="1" t="s">
        <v>47694</v>
      </c>
      <c r="I5170" s="5" t="s">
        <v>47695</v>
      </c>
      <c r="J5170" s="7" t="s">
        <v>47696</v>
      </c>
      <c r="K5170" s="7" t="s">
        <v>47697</v>
      </c>
      <c r="L5170" s="5" t="s">
        <v>47698</v>
      </c>
      <c r="M5170" s="7" t="s">
        <v>47699</v>
      </c>
      <c r="N5170" s="7" t="s">
        <v>47700</v>
      </c>
      <c r="O5170" s="7">
        <v>0.14399999999999999</v>
      </c>
      <c r="P5170" s="1" t="s">
        <v>47701</v>
      </c>
    </row>
    <row r="5171" spans="1:16" ht="66.150000000000006" x14ac:dyDescent="0.3">
      <c r="A5171" s="6" t="str">
        <f>HYPERLINK("https://www.ti.com/product/UA78L", "UA78L")</f>
        <v>UA78L</v>
      </c>
      <c r="B5171" s="5" t="s">
        <v>47702</v>
      </c>
      <c r="C5171" s="6" t="str">
        <f>HYPERLINK("https://www.ti.com/lit/gpn/UA78L", "PDF")</f>
        <v>PDF</v>
      </c>
      <c r="D5171" s="5" t="s">
        <v>47703</v>
      </c>
      <c r="E5171" s="5" t="s">
        <v>47704</v>
      </c>
      <c r="F5171" s="5"/>
      <c r="G5171" s="5" t="s">
        <v>47705</v>
      </c>
      <c r="H5171" s="1" t="s">
        <v>47706</v>
      </c>
      <c r="I5171" s="5" t="s">
        <v>47707</v>
      </c>
      <c r="J5171" s="7" t="s">
        <v>47708</v>
      </c>
      <c r="K5171" s="7" t="s">
        <v>47709</v>
      </c>
      <c r="L5171" s="5" t="s">
        <v>47710</v>
      </c>
      <c r="M5171" s="7" t="s">
        <v>47711</v>
      </c>
      <c r="N5171" s="7" t="s">
        <v>47712</v>
      </c>
      <c r="O5171" s="7">
        <v>8.8999999999999996E-2</v>
      </c>
      <c r="P5171" s="1" t="s">
        <v>47713</v>
      </c>
    </row>
    <row r="5172" spans="1:16" ht="82.5" x14ac:dyDescent="0.3">
      <c r="A5172" s="6" t="str">
        <f>HYPERLINK("https://www.ti.com/product/ULN2003A", "ULN2003A")</f>
        <v>ULN2003A</v>
      </c>
      <c r="B5172" s="5" t="s">
        <v>47714</v>
      </c>
      <c r="C5172" s="6" t="str">
        <f>HYPERLINK("https://www.ti.com/lit/gpn/ULN2003A", "PDF")</f>
        <v>PDF</v>
      </c>
      <c r="D5172" s="5" t="s">
        <v>47715</v>
      </c>
      <c r="E5172" s="5" t="s">
        <v>47716</v>
      </c>
      <c r="F5172" s="5"/>
      <c r="G5172" s="5" t="s">
        <v>47717</v>
      </c>
      <c r="H5172" s="1" t="s">
        <v>47718</v>
      </c>
      <c r="I5172" s="5" t="s">
        <v>47719</v>
      </c>
      <c r="J5172" s="7">
        <v>16</v>
      </c>
      <c r="K5172" s="7" t="s">
        <v>47720</v>
      </c>
      <c r="L5172" s="5" t="s">
        <v>47721</v>
      </c>
      <c r="M5172" s="7" t="s">
        <v>47722</v>
      </c>
      <c r="N5172" s="7" t="s">
        <v>47723</v>
      </c>
      <c r="O5172" s="7">
        <v>8.1000000000000003E-2</v>
      </c>
      <c r="P5172" s="1" t="s">
        <v>47724</v>
      </c>
    </row>
    <row r="5173" spans="1:16" ht="66.150000000000006" x14ac:dyDescent="0.3">
      <c r="A5173" s="6" t="str">
        <f>HYPERLINK("https://www.ti.com/product/ULN2004A", "ULN2004A")</f>
        <v>ULN2004A</v>
      </c>
      <c r="B5173" s="5" t="s">
        <v>47725</v>
      </c>
      <c r="C5173" s="6" t="str">
        <f>HYPERLINK("https://www.ti.com/lit/gpn/ULN2004A", "PDF")</f>
        <v>PDF</v>
      </c>
      <c r="D5173" s="5" t="s">
        <v>47726</v>
      </c>
      <c r="E5173" s="5" t="s">
        <v>47727</v>
      </c>
      <c r="F5173" s="5"/>
      <c r="G5173" s="5" t="s">
        <v>47728</v>
      </c>
      <c r="H5173" s="1" t="s">
        <v>47729</v>
      </c>
      <c r="I5173" s="5" t="s">
        <v>47730</v>
      </c>
      <c r="J5173" s="7">
        <v>16</v>
      </c>
      <c r="K5173" s="7" t="s">
        <v>47731</v>
      </c>
      <c r="L5173" s="5" t="s">
        <v>47732</v>
      </c>
      <c r="M5173" s="7" t="s">
        <v>47733</v>
      </c>
      <c r="N5173" s="7" t="s">
        <v>47734</v>
      </c>
      <c r="O5173" s="7">
        <v>0.114</v>
      </c>
      <c r="P5173" s="1" t="s">
        <v>47735</v>
      </c>
    </row>
    <row r="5174" spans="1:16" ht="131.6" x14ac:dyDescent="0.3">
      <c r="A5174" s="6" t="str">
        <f>HYPERLINK("https://www.ti.com/product/LM2575-N", "LM2575-N")</f>
        <v>LM2575-N</v>
      </c>
      <c r="B5174" s="5" t="s">
        <v>47736</v>
      </c>
      <c r="C5174" s="6" t="str">
        <f>HYPERLINK("https://www.ti.com/lit/gpn/LM2575-N", "PDF")</f>
        <v>PDF</v>
      </c>
      <c r="D5174" s="5" t="s">
        <v>47737</v>
      </c>
      <c r="E5174" s="5" t="s">
        <v>47738</v>
      </c>
      <c r="F5174" s="5" t="s">
        <v>47739</v>
      </c>
      <c r="G5174" s="5" t="s">
        <v>47740</v>
      </c>
      <c r="H5174" s="1" t="s">
        <v>47741</v>
      </c>
      <c r="I5174" s="5" t="s">
        <v>47742</v>
      </c>
      <c r="J5174" s="7" t="s">
        <v>47743</v>
      </c>
      <c r="K5174" s="7" t="s">
        <v>47744</v>
      </c>
      <c r="L5174" s="5" t="s">
        <v>47745</v>
      </c>
      <c r="M5174" s="7" t="s">
        <v>47746</v>
      </c>
      <c r="N5174" s="7" t="s">
        <v>47747</v>
      </c>
      <c r="O5174" s="7">
        <v>1.1579999999999999</v>
      </c>
      <c r="P5174" s="1" t="s">
        <v>47748</v>
      </c>
    </row>
    <row r="5175" spans="1:16" ht="131.6" x14ac:dyDescent="0.3">
      <c r="A5175" s="6" t="str">
        <f>HYPERLINK("https://www.ti.com/product/LM2575HV", "LM2575HV")</f>
        <v>LM2575HV</v>
      </c>
      <c r="B5175" s="5" t="s">
        <v>47749</v>
      </c>
      <c r="C5175" s="6" t="str">
        <f>HYPERLINK("https://www.ti.com/lit/gpn/LM2575HV", "PDF")</f>
        <v>PDF</v>
      </c>
      <c r="D5175" s="5" t="s">
        <v>47750</v>
      </c>
      <c r="E5175" s="5" t="s">
        <v>47751</v>
      </c>
      <c r="F5175" s="5" t="s">
        <v>47752</v>
      </c>
      <c r="G5175" s="5" t="s">
        <v>47753</v>
      </c>
      <c r="H5175" s="1" t="s">
        <v>47754</v>
      </c>
      <c r="I5175" s="5" t="s">
        <v>47755</v>
      </c>
      <c r="J5175" s="7" t="s">
        <v>47756</v>
      </c>
      <c r="K5175" s="7" t="s">
        <v>47757</v>
      </c>
      <c r="L5175" s="5" t="s">
        <v>47758</v>
      </c>
      <c r="M5175" s="7" t="s">
        <v>47759</v>
      </c>
      <c r="N5175" s="7" t="s">
        <v>47760</v>
      </c>
      <c r="O5175" s="7">
        <v>1.9670000000000001</v>
      </c>
      <c r="P5175" s="1" t="s">
        <v>47761</v>
      </c>
    </row>
    <row r="5176" spans="1:16" ht="17.05" x14ac:dyDescent="0.3">
      <c r="A5176" s="6" t="str">
        <f>HYPERLINK("https://www.ti.com/product/REF200", "REF200")</f>
        <v>REF200</v>
      </c>
      <c r="B5176" s="5" t="s">
        <v>47762</v>
      </c>
      <c r="C5176" s="6" t="str">
        <f>HYPERLINK("https://www.ti.com/lit/gpn/REF200", "PDF")</f>
        <v>PDF</v>
      </c>
      <c r="D5176" s="5" t="s">
        <v>47763</v>
      </c>
      <c r="E5176" s="5" t="s">
        <v>47764</v>
      </c>
      <c r="F5176" s="5"/>
      <c r="G5176" s="5" t="s">
        <v>47765</v>
      </c>
      <c r="H5176" s="1" t="s">
        <v>47766</v>
      </c>
      <c r="I5176" s="5" t="s">
        <v>47767</v>
      </c>
      <c r="J5176" s="7">
        <v>8</v>
      </c>
      <c r="K5176" s="7">
        <v>29.4</v>
      </c>
      <c r="L5176" s="5" t="s">
        <v>47768</v>
      </c>
      <c r="M5176" s="7">
        <v>1.75</v>
      </c>
      <c r="N5176" s="7">
        <v>1.27</v>
      </c>
      <c r="O5176" s="7">
        <v>3.6469999999999998</v>
      </c>
      <c r="P5176" s="1" t="s">
        <v>47769</v>
      </c>
    </row>
    <row r="5177" spans="1:16" ht="17.05" x14ac:dyDescent="0.3">
      <c r="A5177" s="6" t="str">
        <f>HYPERLINK("https://www.ti.com/product/REF102", "REF102")</f>
        <v>REF102</v>
      </c>
      <c r="B5177" s="5" t="s">
        <v>47770</v>
      </c>
      <c r="C5177" s="6" t="str">
        <f>HYPERLINK("https://www.ti.com/lit/gpn/REF102", "PDF")</f>
        <v>PDF</v>
      </c>
      <c r="D5177" s="5" t="s">
        <v>47771</v>
      </c>
      <c r="E5177" s="5" t="s">
        <v>47772</v>
      </c>
      <c r="F5177" s="5"/>
      <c r="G5177" s="5" t="s">
        <v>47773</v>
      </c>
      <c r="H5177" s="1" t="s">
        <v>47774</v>
      </c>
      <c r="I5177" s="5" t="s">
        <v>47775</v>
      </c>
      <c r="J5177" s="7">
        <v>8</v>
      </c>
      <c r="K5177" s="7">
        <v>29.4</v>
      </c>
      <c r="L5177" s="5" t="s">
        <v>47776</v>
      </c>
      <c r="M5177" s="7">
        <v>1.75</v>
      </c>
      <c r="N5177" s="7">
        <v>1.27</v>
      </c>
      <c r="O5177" s="7">
        <v>1.9350000000000001</v>
      </c>
      <c r="P5177" s="1" t="s">
        <v>47777</v>
      </c>
    </row>
    <row r="5178" spans="1:16" ht="33.4" x14ac:dyDescent="0.3">
      <c r="A5178" s="6" t="str">
        <f>HYPERLINK("https://www.ti.com/product/UC2832M", "UC2832M")</f>
        <v>UC2832M</v>
      </c>
      <c r="B5178" s="5" t="s">
        <v>47778</v>
      </c>
      <c r="C5178" s="6" t="s">
        <v>183</v>
      </c>
      <c r="D5178" s="5" t="s">
        <v>47779</v>
      </c>
      <c r="E5178" s="5" t="s">
        <v>47780</v>
      </c>
      <c r="F5178" s="5"/>
      <c r="G5178" s="5" t="s">
        <v>47781</v>
      </c>
      <c r="H5178" s="1" t="s">
        <v>47782</v>
      </c>
      <c r="I5178" s="5" t="s">
        <v>47783</v>
      </c>
      <c r="J5178" s="7">
        <v>14</v>
      </c>
      <c r="K5178" s="7">
        <v>130.46520000000001</v>
      </c>
      <c r="L5178" s="5" t="s">
        <v>47784</v>
      </c>
      <c r="M5178" s="7">
        <v>5.08</v>
      </c>
      <c r="N5178" s="7">
        <v>2.54</v>
      </c>
      <c r="O5178" s="7">
        <v>46.08</v>
      </c>
      <c r="P5178" s="1" t="s">
        <v>47785</v>
      </c>
    </row>
    <row r="5179" spans="1:16" ht="82.5" x14ac:dyDescent="0.3">
      <c r="A5179" s="6" t="str">
        <f>HYPERLINK("https://www.ti.com/product/UC2842A", "UC2842A")</f>
        <v>UC2842A</v>
      </c>
      <c r="B5179" s="5" t="s">
        <v>47786</v>
      </c>
      <c r="C5179" s="6" t="str">
        <f>HYPERLINK("https://www.ti.com/lit/gpn/UC2842A", "PDF")</f>
        <v>PDF</v>
      </c>
      <c r="D5179" s="5" t="s">
        <v>47787</v>
      </c>
      <c r="E5179" s="5" t="s">
        <v>47788</v>
      </c>
      <c r="F5179" s="5" t="s">
        <v>47789</v>
      </c>
      <c r="G5179" s="5" t="s">
        <v>47790</v>
      </c>
      <c r="H5179" s="1" t="s">
        <v>47791</v>
      </c>
      <c r="I5179" s="5" t="s">
        <v>47792</v>
      </c>
      <c r="J5179" s="7" t="s">
        <v>47793</v>
      </c>
      <c r="K5179" s="7" t="s">
        <v>47794</v>
      </c>
      <c r="L5179" s="5" t="s">
        <v>47795</v>
      </c>
      <c r="M5179" s="7" t="s">
        <v>47796</v>
      </c>
      <c r="N5179" s="7" t="s">
        <v>47797</v>
      </c>
      <c r="O5179" s="7">
        <v>0.34300000000000003</v>
      </c>
      <c r="P5179" s="1" t="s">
        <v>47798</v>
      </c>
    </row>
    <row r="5180" spans="1:16" ht="66.150000000000006" x14ac:dyDescent="0.3">
      <c r="A5180" s="6" t="str">
        <f>HYPERLINK("https://www.ti.com/product/UC2843A", "UC2843A")</f>
        <v>UC2843A</v>
      </c>
      <c r="B5180" s="5" t="s">
        <v>47799</v>
      </c>
      <c r="C5180" s="6" t="str">
        <f>HYPERLINK("https://www.ti.com/lit/gpn/UC2843A", "PDF")</f>
        <v>PDF</v>
      </c>
      <c r="D5180" s="5" t="s">
        <v>47800</v>
      </c>
      <c r="E5180" s="5" t="s">
        <v>47801</v>
      </c>
      <c r="F5180" s="5" t="s">
        <v>47802</v>
      </c>
      <c r="G5180" s="5" t="s">
        <v>47803</v>
      </c>
      <c r="H5180" s="1" t="s">
        <v>47804</v>
      </c>
      <c r="I5180" s="5" t="s">
        <v>47805</v>
      </c>
      <c r="J5180" s="7" t="s">
        <v>47806</v>
      </c>
      <c r="K5180" s="7" t="s">
        <v>47807</v>
      </c>
      <c r="L5180" s="5" t="s">
        <v>47808</v>
      </c>
      <c r="M5180" s="7" t="s">
        <v>47809</v>
      </c>
      <c r="N5180" s="7" t="s">
        <v>47810</v>
      </c>
      <c r="O5180" s="7">
        <v>0.34300000000000003</v>
      </c>
      <c r="P5180" s="1" t="s">
        <v>47811</v>
      </c>
    </row>
    <row r="5181" spans="1:16" ht="66.150000000000006" x14ac:dyDescent="0.3">
      <c r="A5181" s="6" t="str">
        <f>HYPERLINK("https://www.ti.com/product/UC2844A", "UC2844A")</f>
        <v>UC2844A</v>
      </c>
      <c r="B5181" s="5" t="s">
        <v>47812</v>
      </c>
      <c r="C5181" s="6" t="str">
        <f>HYPERLINK("https://www.ti.com/lit/gpn/UC2844A", "PDF")</f>
        <v>PDF</v>
      </c>
      <c r="D5181" s="5" t="s">
        <v>47813</v>
      </c>
      <c r="E5181" s="5" t="s">
        <v>47814</v>
      </c>
      <c r="F5181" s="5" t="s">
        <v>47815</v>
      </c>
      <c r="G5181" s="5" t="s">
        <v>47816</v>
      </c>
      <c r="H5181" s="1" t="s">
        <v>47817</v>
      </c>
      <c r="I5181" s="5" t="s">
        <v>47818</v>
      </c>
      <c r="J5181" s="7" t="s">
        <v>47819</v>
      </c>
      <c r="K5181" s="7" t="s">
        <v>47820</v>
      </c>
      <c r="L5181" s="5" t="s">
        <v>47821</v>
      </c>
      <c r="M5181" s="7" t="s">
        <v>47822</v>
      </c>
      <c r="N5181" s="7" t="s">
        <v>47823</v>
      </c>
      <c r="O5181" s="7">
        <v>0.34100000000000003</v>
      </c>
      <c r="P5181" s="1" t="s">
        <v>47824</v>
      </c>
    </row>
    <row r="5182" spans="1:16" ht="82.5" x14ac:dyDescent="0.3">
      <c r="A5182" s="6" t="str">
        <f>HYPERLINK("https://www.ti.com/product/UC2845A", "UC2845A")</f>
        <v>UC2845A</v>
      </c>
      <c r="B5182" s="5" t="s">
        <v>47825</v>
      </c>
      <c r="C5182" s="6" t="str">
        <f>HYPERLINK("https://www.ti.com/lit/gpn/UC2845A", "PDF")</f>
        <v>PDF</v>
      </c>
      <c r="D5182" s="5" t="s">
        <v>47826</v>
      </c>
      <c r="E5182" s="5" t="s">
        <v>47827</v>
      </c>
      <c r="F5182" s="5" t="s">
        <v>47828</v>
      </c>
      <c r="G5182" s="5" t="s">
        <v>47829</v>
      </c>
      <c r="H5182" s="1" t="s">
        <v>47830</v>
      </c>
      <c r="I5182" s="5" t="s">
        <v>47831</v>
      </c>
      <c r="J5182" s="7" t="s">
        <v>47832</v>
      </c>
      <c r="K5182" s="7" t="s">
        <v>47833</v>
      </c>
      <c r="L5182" s="5" t="s">
        <v>47834</v>
      </c>
      <c r="M5182" s="7" t="s">
        <v>47835</v>
      </c>
      <c r="N5182" s="7" t="s">
        <v>47836</v>
      </c>
      <c r="O5182" s="7">
        <v>0.34300000000000003</v>
      </c>
      <c r="P5182" s="1" t="s">
        <v>47837</v>
      </c>
    </row>
    <row r="5183" spans="1:16" ht="82.5" x14ac:dyDescent="0.3">
      <c r="A5183" s="6" t="str">
        <f>HYPERLINK("https://www.ti.com/product/UC3842A", "UC3842A")</f>
        <v>UC3842A</v>
      </c>
      <c r="B5183" s="5" t="s">
        <v>47838</v>
      </c>
      <c r="C5183" s="6" t="str">
        <f>HYPERLINK("https://www.ti.com/lit/gpn/UC3842A", "PDF")</f>
        <v>PDF</v>
      </c>
      <c r="D5183" s="5" t="s">
        <v>47839</v>
      </c>
      <c r="E5183" s="5" t="s">
        <v>47840</v>
      </c>
      <c r="F5183" s="5" t="s">
        <v>47841</v>
      </c>
      <c r="G5183" s="5" t="s">
        <v>47842</v>
      </c>
      <c r="H5183" s="1" t="s">
        <v>47843</v>
      </c>
      <c r="I5183" s="5" t="s">
        <v>47844</v>
      </c>
      <c r="J5183" s="7" t="s">
        <v>47845</v>
      </c>
      <c r="K5183" s="7" t="s">
        <v>47846</v>
      </c>
      <c r="L5183" s="5" t="s">
        <v>47847</v>
      </c>
      <c r="M5183" s="7" t="s">
        <v>47848</v>
      </c>
      <c r="N5183" s="7" t="s">
        <v>47849</v>
      </c>
      <c r="O5183" s="7">
        <v>0.313</v>
      </c>
      <c r="P5183" s="1" t="s">
        <v>47850</v>
      </c>
    </row>
    <row r="5184" spans="1:16" ht="66.150000000000006" x14ac:dyDescent="0.3">
      <c r="A5184" s="6" t="str">
        <f>HYPERLINK("https://www.ti.com/product/UC3843A", "UC3843A")</f>
        <v>UC3843A</v>
      </c>
      <c r="B5184" s="5" t="s">
        <v>47851</v>
      </c>
      <c r="C5184" s="6" t="str">
        <f>HYPERLINK("https://www.ti.com/lit/gpn/UC3843A", "PDF")</f>
        <v>PDF</v>
      </c>
      <c r="D5184" s="5" t="s">
        <v>47852</v>
      </c>
      <c r="E5184" s="5" t="s">
        <v>47853</v>
      </c>
      <c r="F5184" s="5" t="s">
        <v>47854</v>
      </c>
      <c r="G5184" s="5" t="s">
        <v>47855</v>
      </c>
      <c r="H5184" s="1" t="s">
        <v>47856</v>
      </c>
      <c r="I5184" s="5" t="s">
        <v>47857</v>
      </c>
      <c r="J5184" s="7" t="s">
        <v>47858</v>
      </c>
      <c r="K5184" s="7" t="s">
        <v>47859</v>
      </c>
      <c r="L5184" s="5" t="s">
        <v>47860</v>
      </c>
      <c r="M5184" s="7" t="s">
        <v>47861</v>
      </c>
      <c r="N5184" s="7" t="s">
        <v>47862</v>
      </c>
      <c r="O5184" s="7">
        <v>0.313</v>
      </c>
      <c r="P5184" s="1" t="s">
        <v>47863</v>
      </c>
    </row>
    <row r="5185" spans="1:16" ht="66.150000000000006" x14ac:dyDescent="0.3">
      <c r="A5185" s="6" t="str">
        <f>HYPERLINK("https://www.ti.com/product/UC3844A", "UC3844A")</f>
        <v>UC3844A</v>
      </c>
      <c r="B5185" s="5" t="s">
        <v>47864</v>
      </c>
      <c r="C5185" s="6" t="str">
        <f>HYPERLINK("https://www.ti.com/lit/gpn/UC3844A", "PDF")</f>
        <v>PDF</v>
      </c>
      <c r="D5185" s="5" t="s">
        <v>47865</v>
      </c>
      <c r="E5185" s="5" t="s">
        <v>47866</v>
      </c>
      <c r="F5185" s="5" t="s">
        <v>47867</v>
      </c>
      <c r="G5185" s="5" t="s">
        <v>47868</v>
      </c>
      <c r="H5185" s="1" t="s">
        <v>47869</v>
      </c>
      <c r="I5185" s="5" t="s">
        <v>47870</v>
      </c>
      <c r="J5185" s="7" t="s">
        <v>47871</v>
      </c>
      <c r="K5185" s="7" t="s">
        <v>47872</v>
      </c>
      <c r="L5185" s="5" t="s">
        <v>47873</v>
      </c>
      <c r="M5185" s="7" t="s">
        <v>47874</v>
      </c>
      <c r="N5185" s="7" t="s">
        <v>47875</v>
      </c>
      <c r="O5185" s="7">
        <v>0.313</v>
      </c>
      <c r="P5185" s="1" t="s">
        <v>47876</v>
      </c>
    </row>
    <row r="5186" spans="1:16" ht="66.150000000000006" x14ac:dyDescent="0.3">
      <c r="A5186" s="6" t="str">
        <f>HYPERLINK("https://www.ti.com/product/UC3845A", "UC3845A")</f>
        <v>UC3845A</v>
      </c>
      <c r="B5186" s="5" t="s">
        <v>47877</v>
      </c>
      <c r="C5186" s="6" t="str">
        <f>HYPERLINK("https://www.ti.com/lit/gpn/UC3845A", "PDF")</f>
        <v>PDF</v>
      </c>
      <c r="D5186" s="5" t="s">
        <v>47878</v>
      </c>
      <c r="E5186" s="5" t="s">
        <v>47879</v>
      </c>
      <c r="F5186" s="5" t="s">
        <v>47880</v>
      </c>
      <c r="G5186" s="5" t="s">
        <v>47881</v>
      </c>
      <c r="H5186" s="1" t="s">
        <v>47882</v>
      </c>
      <c r="I5186" s="5" t="s">
        <v>47883</v>
      </c>
      <c r="J5186" s="7" t="s">
        <v>47884</v>
      </c>
      <c r="K5186" s="7" t="s">
        <v>47885</v>
      </c>
      <c r="L5186" s="5" t="s">
        <v>47886</v>
      </c>
      <c r="M5186" s="7" t="s">
        <v>47887</v>
      </c>
      <c r="N5186" s="7" t="s">
        <v>47888</v>
      </c>
      <c r="O5186" s="7">
        <v>0.313</v>
      </c>
      <c r="P5186" s="1" t="s">
        <v>47889</v>
      </c>
    </row>
    <row r="5187" spans="1:16" ht="82.5" x14ac:dyDescent="0.3">
      <c r="A5187" s="6" t="str">
        <f>HYPERLINK("https://www.ti.com/product/LM2936", "LM2936")</f>
        <v>LM2936</v>
      </c>
      <c r="B5187" s="5" t="s">
        <v>47890</v>
      </c>
      <c r="C5187" s="6" t="str">
        <f>HYPERLINK("https://www.ti.com/lit/gpn/LM2936", "PDF")</f>
        <v>PDF</v>
      </c>
      <c r="D5187" s="5" t="s">
        <v>47891</v>
      </c>
      <c r="E5187" s="5" t="s">
        <v>47892</v>
      </c>
      <c r="F5187" s="5"/>
      <c r="G5187" s="5" t="s">
        <v>47893</v>
      </c>
      <c r="H5187" s="1" t="s">
        <v>47894</v>
      </c>
      <c r="I5187" s="5" t="s">
        <v>47895</v>
      </c>
      <c r="J5187" s="7" t="s">
        <v>47896</v>
      </c>
      <c r="K5187" s="7" t="s">
        <v>47897</v>
      </c>
      <c r="L5187" s="5" t="s">
        <v>47898</v>
      </c>
      <c r="M5187" s="7" t="s">
        <v>47899</v>
      </c>
      <c r="N5187" s="7" t="s">
        <v>47900</v>
      </c>
      <c r="O5187" s="7">
        <v>0.64200000000000002</v>
      </c>
      <c r="P5187" s="1" t="s">
        <v>47901</v>
      </c>
    </row>
    <row r="5188" spans="1:16" ht="49.75" x14ac:dyDescent="0.3">
      <c r="A5188" s="6" t="str">
        <f>HYPERLINK("https://www.ti.com/product/LM9036", "LM9036")</f>
        <v>LM9036</v>
      </c>
      <c r="B5188" s="5" t="s">
        <v>47902</v>
      </c>
      <c r="C5188" s="6" t="str">
        <f>HYPERLINK("https://www.ti.com/lit/gpn/LM9036", "PDF")</f>
        <v>PDF</v>
      </c>
      <c r="D5188" s="5" t="s">
        <v>47903</v>
      </c>
      <c r="E5188" s="5" t="s">
        <v>47904</v>
      </c>
      <c r="F5188" s="5"/>
      <c r="G5188" s="5" t="s">
        <v>47905</v>
      </c>
      <c r="H5188" s="1" t="s">
        <v>47906</v>
      </c>
      <c r="I5188" s="5" t="s">
        <v>47907</v>
      </c>
      <c r="J5188" s="7" t="s">
        <v>47908</v>
      </c>
      <c r="K5188" s="7" t="s">
        <v>47909</v>
      </c>
      <c r="L5188" s="5" t="s">
        <v>47910</v>
      </c>
      <c r="M5188" s="7" t="s">
        <v>47911</v>
      </c>
      <c r="N5188" s="7" t="s">
        <v>47912</v>
      </c>
      <c r="O5188" s="7">
        <v>0.28499999999999998</v>
      </c>
      <c r="P5188" s="1" t="s">
        <v>47913</v>
      </c>
    </row>
    <row r="5189" spans="1:16" ht="115.2" x14ac:dyDescent="0.3">
      <c r="A5189" s="6" t="str">
        <f>HYPERLINK("https://www.ti.com/product/LM2941C", "LM2941C")</f>
        <v>LM2941C</v>
      </c>
      <c r="B5189" s="5" t="s">
        <v>47914</v>
      </c>
      <c r="C5189" s="6" t="str">
        <f>HYPERLINK("https://www.ti.com/lit/gpn/LM2941C", "PDF")</f>
        <v>PDF</v>
      </c>
      <c r="D5189" s="5" t="s">
        <v>47915</v>
      </c>
      <c r="E5189" s="5" t="s">
        <v>47916</v>
      </c>
      <c r="F5189" s="5"/>
      <c r="G5189" s="5" t="s">
        <v>47917</v>
      </c>
      <c r="H5189" s="1" t="s">
        <v>47918</v>
      </c>
      <c r="I5189" s="5" t="s">
        <v>47919</v>
      </c>
      <c r="J5189" s="7">
        <v>5</v>
      </c>
      <c r="K5189" s="7" t="s">
        <v>47920</v>
      </c>
      <c r="L5189" s="5" t="s">
        <v>47921</v>
      </c>
      <c r="M5189" s="7" t="s">
        <v>47922</v>
      </c>
      <c r="N5189" s="7">
        <v>1.7</v>
      </c>
      <c r="O5189" s="7">
        <v>0.68</v>
      </c>
      <c r="P5189" s="1" t="s">
        <v>47923</v>
      </c>
    </row>
    <row r="5190" spans="1:16" ht="49.75" x14ac:dyDescent="0.3">
      <c r="A5190" s="6" t="str">
        <f>HYPERLINK("https://www.ti.com/product/LMC7660", "LMC7660")</f>
        <v>LMC7660</v>
      </c>
      <c r="B5190" s="5" t="s">
        <v>47924</v>
      </c>
      <c r="C5190" s="6" t="str">
        <f>HYPERLINK("https://www.ti.com/lit/gpn/LMC7660", "PDF")</f>
        <v>PDF</v>
      </c>
      <c r="D5190" s="5" t="s">
        <v>47925</v>
      </c>
      <c r="E5190" s="5" t="s">
        <v>47926</v>
      </c>
      <c r="F5190" s="5"/>
      <c r="G5190" s="5" t="s">
        <v>47927</v>
      </c>
      <c r="H5190" s="1" t="s">
        <v>47928</v>
      </c>
      <c r="I5190" s="5" t="s">
        <v>47929</v>
      </c>
      <c r="J5190" s="7">
        <v>8</v>
      </c>
      <c r="K5190" s="7" t="s">
        <v>47930</v>
      </c>
      <c r="L5190" s="5" t="s">
        <v>47931</v>
      </c>
      <c r="M5190" s="7" t="s">
        <v>47932</v>
      </c>
      <c r="N5190" s="7" t="s">
        <v>47933</v>
      </c>
      <c r="O5190" s="7">
        <v>0.70699999999999996</v>
      </c>
      <c r="P5190" s="1" t="s">
        <v>47934</v>
      </c>
    </row>
    <row r="5191" spans="1:16" ht="98.85" x14ac:dyDescent="0.3">
      <c r="A5191" s="6" t="str">
        <f>HYPERLINK("https://www.ti.com/product/LM2940-N", "LM2940-N")</f>
        <v>LM2940-N</v>
      </c>
      <c r="B5191" s="5" t="s">
        <v>47935</v>
      </c>
      <c r="C5191" s="6" t="str">
        <f>HYPERLINK("https://www.ti.com/lit/gpn/LM2940-N", "PDF")</f>
        <v>PDF</v>
      </c>
      <c r="D5191" s="5" t="s">
        <v>47936</v>
      </c>
      <c r="E5191" s="5" t="s">
        <v>47937</v>
      </c>
      <c r="F5191" s="5"/>
      <c r="G5191" s="5" t="s">
        <v>47938</v>
      </c>
      <c r="H5191" s="1" t="s">
        <v>47939</v>
      </c>
      <c r="I5191" s="5" t="s">
        <v>47940</v>
      </c>
      <c r="J5191" s="7" t="s">
        <v>47941</v>
      </c>
      <c r="K5191" s="7" t="s">
        <v>47942</v>
      </c>
      <c r="L5191" s="5" t="s">
        <v>47943</v>
      </c>
      <c r="M5191" s="7" t="s">
        <v>47944</v>
      </c>
      <c r="N5191" s="7" t="s">
        <v>47945</v>
      </c>
      <c r="O5191" s="7">
        <v>0.66200000000000003</v>
      </c>
      <c r="P5191" s="1" t="s">
        <v>47946</v>
      </c>
    </row>
    <row r="5192" spans="1:16" ht="82.5" x14ac:dyDescent="0.3">
      <c r="A5192" s="6" t="str">
        <f>HYPERLINK("https://www.ti.com/product/LM2940C", "LM2940C")</f>
        <v>LM2940C</v>
      </c>
      <c r="B5192" s="5" t="s">
        <v>47947</v>
      </c>
      <c r="C5192" s="6" t="str">
        <f>HYPERLINK("https://www.ti.com/lit/gpn/LM2940C", "PDF")</f>
        <v>PDF</v>
      </c>
      <c r="D5192" s="5" t="s">
        <v>47948</v>
      </c>
      <c r="E5192" s="5" t="s">
        <v>47949</v>
      </c>
      <c r="F5192" s="5"/>
      <c r="G5192" s="5" t="s">
        <v>47950</v>
      </c>
      <c r="H5192" s="1" t="s">
        <v>47951</v>
      </c>
      <c r="I5192" s="5" t="s">
        <v>47952</v>
      </c>
      <c r="J5192" s="7">
        <v>3</v>
      </c>
      <c r="K5192" s="7" t="s">
        <v>47953</v>
      </c>
      <c r="L5192" s="5" t="s">
        <v>47954</v>
      </c>
      <c r="M5192" s="7" t="s">
        <v>47955</v>
      </c>
      <c r="N5192" s="7">
        <v>2.54</v>
      </c>
      <c r="O5192" s="7">
        <v>0.71</v>
      </c>
      <c r="P5192" s="1" t="s">
        <v>47956</v>
      </c>
    </row>
    <row r="5193" spans="1:16" ht="33.4" x14ac:dyDescent="0.3">
      <c r="A5193" s="6" t="str">
        <f>HYPERLINK("https://www.ti.com/product/LM338", "LM338")</f>
        <v>LM338</v>
      </c>
      <c r="B5193" s="5" t="s">
        <v>47957</v>
      </c>
      <c r="C5193" s="6" t="str">
        <f>HYPERLINK("https://www.ti.com/lit/gpn/LM338", "PDF")</f>
        <v>PDF</v>
      </c>
      <c r="D5193" s="5" t="s">
        <v>47958</v>
      </c>
      <c r="E5193" s="5" t="s">
        <v>47959</v>
      </c>
      <c r="F5193" s="5"/>
      <c r="G5193" s="5" t="s">
        <v>47960</v>
      </c>
      <c r="H5193" s="1" t="s">
        <v>47961</v>
      </c>
      <c r="I5193" s="5" t="s">
        <v>47962</v>
      </c>
      <c r="J5193" s="7">
        <v>3</v>
      </c>
      <c r="K5193" s="7">
        <v>46.532800000000002</v>
      </c>
      <c r="L5193" s="5" t="s">
        <v>47963</v>
      </c>
      <c r="M5193" s="7">
        <v>19.55</v>
      </c>
      <c r="N5193" s="7">
        <v>2.54</v>
      </c>
      <c r="O5193" s="7">
        <v>0.90200000000000002</v>
      </c>
      <c r="P5193" s="1" t="s">
        <v>47964</v>
      </c>
    </row>
    <row r="5194" spans="1:16" ht="66.150000000000006" x14ac:dyDescent="0.3">
      <c r="A5194" s="6" t="str">
        <f>HYPERLINK("https://www.ti.com/product/UC2843", "UC2843")</f>
        <v>UC2843</v>
      </c>
      <c r="B5194" s="5" t="s">
        <v>47965</v>
      </c>
      <c r="C5194" s="6" t="str">
        <f>HYPERLINK("https://www.ti.com/lit/gpn/UC2843", "PDF")</f>
        <v>PDF</v>
      </c>
      <c r="D5194" s="5" t="s">
        <v>47966</v>
      </c>
      <c r="E5194" s="5" t="s">
        <v>47967</v>
      </c>
      <c r="F5194" s="5" t="s">
        <v>47968</v>
      </c>
      <c r="G5194" s="5" t="s">
        <v>47969</v>
      </c>
      <c r="H5194" s="1" t="s">
        <v>47970</v>
      </c>
      <c r="I5194" s="5" t="s">
        <v>47971</v>
      </c>
      <c r="J5194" s="7" t="s">
        <v>47972</v>
      </c>
      <c r="K5194" s="7" t="s">
        <v>47973</v>
      </c>
      <c r="L5194" s="5" t="s">
        <v>47974</v>
      </c>
      <c r="M5194" s="7" t="s">
        <v>47975</v>
      </c>
      <c r="N5194" s="7" t="s">
        <v>47976</v>
      </c>
      <c r="O5194" s="7">
        <v>0.26500000000000001</v>
      </c>
      <c r="P5194" s="1" t="s">
        <v>47977</v>
      </c>
    </row>
    <row r="5195" spans="1:16" ht="66.150000000000006" x14ac:dyDescent="0.3">
      <c r="A5195" s="6" t="str">
        <f>HYPERLINK("https://www.ti.com/product/UC2844", "UC2844")</f>
        <v>UC2844</v>
      </c>
      <c r="B5195" s="5" t="s">
        <v>47978</v>
      </c>
      <c r="C5195" s="6" t="str">
        <f>HYPERLINK("https://www.ti.com/lit/gpn/UC2844", "PDF")</f>
        <v>PDF</v>
      </c>
      <c r="D5195" s="5" t="s">
        <v>47979</v>
      </c>
      <c r="E5195" s="5" t="s">
        <v>47980</v>
      </c>
      <c r="F5195" s="5" t="s">
        <v>47981</v>
      </c>
      <c r="G5195" s="5" t="s">
        <v>47982</v>
      </c>
      <c r="H5195" s="1" t="s">
        <v>47983</v>
      </c>
      <c r="I5195" s="5" t="s">
        <v>47984</v>
      </c>
      <c r="J5195" s="7" t="s">
        <v>47985</v>
      </c>
      <c r="K5195" s="7" t="s">
        <v>47986</v>
      </c>
      <c r="L5195" s="5" t="s">
        <v>47987</v>
      </c>
      <c r="M5195" s="7" t="s">
        <v>47988</v>
      </c>
      <c r="N5195" s="7" t="s">
        <v>47989</v>
      </c>
      <c r="O5195" s="7">
        <v>0.26500000000000001</v>
      </c>
      <c r="P5195" s="1" t="s">
        <v>47990</v>
      </c>
    </row>
    <row r="5196" spans="1:16" ht="66.150000000000006" x14ac:dyDescent="0.3">
      <c r="A5196" s="6" t="str">
        <f>HYPERLINK("https://www.ti.com/product/UC2845", "UC2845")</f>
        <v>UC2845</v>
      </c>
      <c r="B5196" s="5" t="s">
        <v>47991</v>
      </c>
      <c r="C5196" s="6" t="str">
        <f>HYPERLINK("https://www.ti.com/lit/gpn/UC2845", "PDF")</f>
        <v>PDF</v>
      </c>
      <c r="D5196" s="5" t="s">
        <v>47992</v>
      </c>
      <c r="E5196" s="5" t="s">
        <v>47993</v>
      </c>
      <c r="F5196" s="5" t="s">
        <v>47994</v>
      </c>
      <c r="G5196" s="5" t="s">
        <v>47995</v>
      </c>
      <c r="H5196" s="1" t="s">
        <v>47996</v>
      </c>
      <c r="I5196" s="5" t="s">
        <v>47997</v>
      </c>
      <c r="J5196" s="7" t="s">
        <v>47998</v>
      </c>
      <c r="K5196" s="7" t="s">
        <v>47999</v>
      </c>
      <c r="L5196" s="5" t="s">
        <v>48000</v>
      </c>
      <c r="M5196" s="7" t="s">
        <v>48001</v>
      </c>
      <c r="N5196" s="7" t="s">
        <v>48002</v>
      </c>
      <c r="O5196" s="7">
        <v>0.26500000000000001</v>
      </c>
      <c r="P5196" s="1" t="s">
        <v>48003</v>
      </c>
    </row>
    <row r="5197" spans="1:16" ht="66.150000000000006" x14ac:dyDescent="0.3">
      <c r="A5197" s="6" t="str">
        <f>HYPERLINK("https://www.ti.com/product/UC3843", "UC3843")</f>
        <v>UC3843</v>
      </c>
      <c r="B5197" s="5" t="s">
        <v>48004</v>
      </c>
      <c r="C5197" s="6" t="str">
        <f>HYPERLINK("https://www.ti.com/lit/gpn/UC3843", "PDF")</f>
        <v>PDF</v>
      </c>
      <c r="D5197" s="5" t="s">
        <v>48005</v>
      </c>
      <c r="E5197" s="5" t="s">
        <v>48006</v>
      </c>
      <c r="F5197" s="5" t="s">
        <v>48007</v>
      </c>
      <c r="G5197" s="5" t="s">
        <v>48008</v>
      </c>
      <c r="H5197" s="1" t="s">
        <v>48009</v>
      </c>
      <c r="I5197" s="5" t="s">
        <v>48010</v>
      </c>
      <c r="J5197" s="7" t="s">
        <v>48011</v>
      </c>
      <c r="K5197" s="7" t="s">
        <v>48012</v>
      </c>
      <c r="L5197" s="5" t="s">
        <v>48013</v>
      </c>
      <c r="M5197" s="7" t="s">
        <v>48014</v>
      </c>
      <c r="N5197" s="7" t="s">
        <v>48015</v>
      </c>
      <c r="O5197" s="7">
        <v>0.26500000000000001</v>
      </c>
      <c r="P5197" s="1" t="s">
        <v>48016</v>
      </c>
    </row>
    <row r="5198" spans="1:16" ht="66.150000000000006" x14ac:dyDescent="0.3">
      <c r="A5198" s="6" t="str">
        <f>HYPERLINK("https://www.ti.com/product/UC3844", "UC3844")</f>
        <v>UC3844</v>
      </c>
      <c r="B5198" s="5" t="s">
        <v>48017</v>
      </c>
      <c r="C5198" s="6" t="str">
        <f>HYPERLINK("https://www.ti.com/lit/gpn/UC3844", "PDF")</f>
        <v>PDF</v>
      </c>
      <c r="D5198" s="5" t="s">
        <v>48018</v>
      </c>
      <c r="E5198" s="5" t="s">
        <v>48019</v>
      </c>
      <c r="F5198" s="5" t="s">
        <v>48020</v>
      </c>
      <c r="G5198" s="5" t="s">
        <v>48021</v>
      </c>
      <c r="H5198" s="1" t="s">
        <v>48022</v>
      </c>
      <c r="I5198" s="5" t="s">
        <v>48023</v>
      </c>
      <c r="J5198" s="7" t="s">
        <v>48024</v>
      </c>
      <c r="K5198" s="7" t="s">
        <v>48025</v>
      </c>
      <c r="L5198" s="5" t="s">
        <v>48026</v>
      </c>
      <c r="M5198" s="7" t="s">
        <v>48027</v>
      </c>
      <c r="N5198" s="7" t="s">
        <v>48028</v>
      </c>
      <c r="O5198" s="7">
        <v>0.26500000000000001</v>
      </c>
      <c r="P5198" s="1" t="s">
        <v>48029</v>
      </c>
    </row>
    <row r="5199" spans="1:16" ht="66.150000000000006" x14ac:dyDescent="0.3">
      <c r="A5199" s="6" t="str">
        <f>HYPERLINK("https://www.ti.com/product/UC3845", "UC3845")</f>
        <v>UC3845</v>
      </c>
      <c r="B5199" s="5" t="s">
        <v>48030</v>
      </c>
      <c r="C5199" s="6" t="str">
        <f>HYPERLINK("https://www.ti.com/lit/gpn/UC3845", "PDF")</f>
        <v>PDF</v>
      </c>
      <c r="D5199" s="5" t="s">
        <v>48031</v>
      </c>
      <c r="E5199" s="5" t="s">
        <v>48032</v>
      </c>
      <c r="F5199" s="5" t="s">
        <v>48033</v>
      </c>
      <c r="G5199" s="5" t="s">
        <v>48034</v>
      </c>
      <c r="H5199" s="1" t="s">
        <v>48035</v>
      </c>
      <c r="I5199" s="5" t="s">
        <v>48036</v>
      </c>
      <c r="J5199" s="7" t="s">
        <v>48037</v>
      </c>
      <c r="K5199" s="7" t="s">
        <v>48038</v>
      </c>
      <c r="L5199" s="5" t="s">
        <v>48039</v>
      </c>
      <c r="M5199" s="7" t="s">
        <v>48040</v>
      </c>
      <c r="N5199" s="7" t="s">
        <v>48041</v>
      </c>
      <c r="O5199" s="7">
        <v>0.26500000000000001</v>
      </c>
      <c r="P5199" s="1" t="s">
        <v>48042</v>
      </c>
    </row>
    <row r="5200" spans="1:16" ht="17.05" x14ac:dyDescent="0.3">
      <c r="A5200" s="6" t="str">
        <f>HYPERLINK("https://www.ti.com/product/DS3668", "DS3668")</f>
        <v>DS3668</v>
      </c>
      <c r="B5200" s="5" t="s">
        <v>48043</v>
      </c>
      <c r="C5200" s="6" t="str">
        <f>HYPERLINK("https://www.ti.com/lit/gpn/DS3668", "PDF")</f>
        <v>PDF</v>
      </c>
      <c r="D5200" s="5" t="s">
        <v>48044</v>
      </c>
      <c r="E5200" s="5" t="s">
        <v>48045</v>
      </c>
      <c r="F5200" s="5"/>
      <c r="G5200" s="5" t="s">
        <v>48046</v>
      </c>
      <c r="H5200" s="1" t="s">
        <v>48047</v>
      </c>
      <c r="I5200" s="5" t="s">
        <v>48048</v>
      </c>
      <c r="J5200" s="7">
        <v>16</v>
      </c>
      <c r="K5200" s="7">
        <v>181.42</v>
      </c>
      <c r="L5200" s="5" t="s">
        <v>48049</v>
      </c>
      <c r="M5200" s="7">
        <v>5.08</v>
      </c>
      <c r="N5200" s="7">
        <v>2.54</v>
      </c>
      <c r="O5200" s="7">
        <v>1.508</v>
      </c>
      <c r="P5200" s="1" t="s">
        <v>48050</v>
      </c>
    </row>
    <row r="5201" spans="1:16" ht="49.75" x14ac:dyDescent="0.3">
      <c r="A5201" s="6" t="str">
        <f>HYPERLINK("https://www.ti.com/product/LM109", "LM109")</f>
        <v>LM109</v>
      </c>
      <c r="B5201" s="5" t="s">
        <v>48051</v>
      </c>
      <c r="C5201" s="6" t="str">
        <f>HYPERLINK("https://www.ti.com/lit/gpn/LM109", "PDF")</f>
        <v>PDF</v>
      </c>
      <c r="D5201" s="5" t="s">
        <v>48052</v>
      </c>
      <c r="E5201" s="5" t="s">
        <v>48053</v>
      </c>
      <c r="F5201" s="5"/>
      <c r="G5201" s="5" t="s">
        <v>48054</v>
      </c>
      <c r="H5201" s="1" t="s">
        <v>48055</v>
      </c>
      <c r="I5201" s="5" t="s">
        <v>48056</v>
      </c>
      <c r="J5201" s="7" t="s">
        <v>48057</v>
      </c>
      <c r="K5201" s="7" t="s">
        <v>48058</v>
      </c>
      <c r="L5201" s="5" t="s">
        <v>48059</v>
      </c>
      <c r="M5201" s="7" t="s">
        <v>48060</v>
      </c>
      <c r="N5201" s="7" t="s">
        <v>48061</v>
      </c>
      <c r="O5201" s="7">
        <v>11.504</v>
      </c>
      <c r="P5201" s="1" t="s">
        <v>48062</v>
      </c>
    </row>
    <row r="5202" spans="1:16" ht="49.75" x14ac:dyDescent="0.3">
      <c r="A5202" s="6" t="str">
        <f>HYPERLINK("https://www.ti.com/product/LM117", "LM117")</f>
        <v>LM117</v>
      </c>
      <c r="B5202" s="5" t="s">
        <v>48063</v>
      </c>
      <c r="C5202" s="6" t="str">
        <f>HYPERLINK("https://www.ti.com/lit/gpn/LM117", "PDF")</f>
        <v>PDF</v>
      </c>
      <c r="D5202" s="5" t="s">
        <v>48064</v>
      </c>
      <c r="E5202" s="5" t="s">
        <v>48065</v>
      </c>
      <c r="F5202" s="5"/>
      <c r="G5202" s="5" t="s">
        <v>48066</v>
      </c>
      <c r="H5202" s="1" t="s">
        <v>48067</v>
      </c>
      <c r="I5202" s="5" t="s">
        <v>48068</v>
      </c>
      <c r="J5202" s="7" t="s">
        <v>48069</v>
      </c>
      <c r="K5202" s="7" t="s">
        <v>48070</v>
      </c>
      <c r="L5202" s="5" t="s">
        <v>48071</v>
      </c>
      <c r="M5202" s="7" t="s">
        <v>48072</v>
      </c>
      <c r="N5202" s="7" t="s">
        <v>48073</v>
      </c>
      <c r="O5202" s="7">
        <v>55.445</v>
      </c>
      <c r="P5202" s="1" t="s">
        <v>48074</v>
      </c>
    </row>
    <row r="5203" spans="1:16" ht="115.2" x14ac:dyDescent="0.3">
      <c r="A5203" s="6" t="str">
        <f>HYPERLINK("https://www.ti.com/product/LM117QML", "LM117QML")</f>
        <v>LM117QML</v>
      </c>
      <c r="B5203" s="5" t="s">
        <v>48075</v>
      </c>
      <c r="C5203" s="6" t="str">
        <f>HYPERLINK("https://www.ti.com/lit/gpn/LM117QML", "PDF")</f>
        <v>PDF</v>
      </c>
      <c r="D5203" s="5" t="s">
        <v>48076</v>
      </c>
      <c r="E5203" s="5" t="s">
        <v>48077</v>
      </c>
      <c r="F5203" s="5"/>
      <c r="G5203" s="5" t="s">
        <v>48078</v>
      </c>
      <c r="H5203" s="1" t="s">
        <v>48079</v>
      </c>
      <c r="I5203" s="5" t="s">
        <v>48080</v>
      </c>
      <c r="J5203" s="7" t="s">
        <v>48081</v>
      </c>
      <c r="K5203" s="7" t="s">
        <v>48082</v>
      </c>
      <c r="L5203" s="5" t="s">
        <v>48083</v>
      </c>
      <c r="M5203" s="7" t="s">
        <v>48084</v>
      </c>
      <c r="N5203" s="7" t="s">
        <v>48085</v>
      </c>
      <c r="O5203" s="7">
        <v>9.7279999999999998</v>
      </c>
      <c r="P5203" s="1" t="s">
        <v>48086</v>
      </c>
    </row>
    <row r="5204" spans="1:16" ht="33.4" x14ac:dyDescent="0.3">
      <c r="A5204" s="6" t="str">
        <f>HYPERLINK("https://www.ti.com/product/LM120", "LM120")</f>
        <v>LM120</v>
      </c>
      <c r="B5204" s="5" t="s">
        <v>48087</v>
      </c>
      <c r="C5204" s="6" t="str">
        <f>HYPERLINK("https://www.ti.com/lit/gpn/LM120", "PDF")</f>
        <v>PDF</v>
      </c>
      <c r="D5204" s="5" t="s">
        <v>48088</v>
      </c>
      <c r="E5204" s="5" t="s">
        <v>48089</v>
      </c>
      <c r="F5204" s="5"/>
      <c r="G5204" s="5" t="s">
        <v>48090</v>
      </c>
      <c r="H5204" s="1" t="s">
        <v>48091</v>
      </c>
      <c r="I5204" s="5" t="s">
        <v>48092</v>
      </c>
      <c r="J5204" s="7">
        <v>3</v>
      </c>
      <c r="K5204" s="7">
        <v>91.674199999999999</v>
      </c>
      <c r="L5204" s="5" t="s">
        <v>48093</v>
      </c>
      <c r="M5204" s="7">
        <v>4.7</v>
      </c>
      <c r="N5204" s="7">
        <v>5.08</v>
      </c>
      <c r="O5204" s="7">
        <v>10.802</v>
      </c>
      <c r="P5204" s="1" t="s">
        <v>48094</v>
      </c>
    </row>
    <row r="5205" spans="1:16" ht="82.5" x14ac:dyDescent="0.3">
      <c r="A5205" s="6" t="str">
        <f>HYPERLINK("https://www.ti.com/product/LM120QML", "LM120QML")</f>
        <v>LM120QML</v>
      </c>
      <c r="B5205" s="5" t="s">
        <v>48095</v>
      </c>
      <c r="C5205" s="6" t="str">
        <f>HYPERLINK("https://www.ti.com/lit/gpn/LM120QML", "PDF")</f>
        <v>PDF</v>
      </c>
      <c r="D5205" s="5" t="s">
        <v>48096</v>
      </c>
      <c r="E5205" s="5" t="s">
        <v>48097</v>
      </c>
      <c r="F5205" s="5"/>
      <c r="G5205" s="5" t="s">
        <v>48098</v>
      </c>
      <c r="H5205" s="1" t="s">
        <v>48099</v>
      </c>
      <c r="I5205" s="5" t="s">
        <v>48100</v>
      </c>
      <c r="J5205" s="7" t="s">
        <v>48101</v>
      </c>
      <c r="K5205" s="7" t="s">
        <v>48102</v>
      </c>
      <c r="L5205" s="5" t="s">
        <v>48103</v>
      </c>
      <c r="M5205" s="7" t="s">
        <v>48104</v>
      </c>
      <c r="N5205" s="7" t="s">
        <v>48105</v>
      </c>
      <c r="O5205" s="7">
        <v>12.499000000000001</v>
      </c>
      <c r="P5205" s="1" t="s">
        <v>48106</v>
      </c>
    </row>
    <row r="5206" spans="1:16" ht="49.75" x14ac:dyDescent="0.3">
      <c r="A5206" s="6" t="str">
        <f>HYPERLINK("https://www.ti.com/product/LM134", "LM134")</f>
        <v>LM134</v>
      </c>
      <c r="B5206" s="5" t="s">
        <v>48107</v>
      </c>
      <c r="C5206" s="6" t="str">
        <f>HYPERLINK("https://www.ti.com/lit/gpn/LM134", "PDF")</f>
        <v>PDF</v>
      </c>
      <c r="D5206" s="5" t="s">
        <v>48108</v>
      </c>
      <c r="E5206" s="5" t="s">
        <v>48109</v>
      </c>
      <c r="F5206" s="5"/>
      <c r="G5206" s="5" t="s">
        <v>48110</v>
      </c>
      <c r="H5206" s="1" t="s">
        <v>48111</v>
      </c>
      <c r="I5206" s="5" t="s">
        <v>48112</v>
      </c>
      <c r="J5206" s="7" t="s">
        <v>48113</v>
      </c>
      <c r="K5206" s="7" t="s">
        <v>48114</v>
      </c>
      <c r="L5206" s="5" t="s">
        <v>48115</v>
      </c>
      <c r="M5206" s="7" t="s">
        <v>48116</v>
      </c>
      <c r="N5206" s="7" t="s">
        <v>48117</v>
      </c>
      <c r="O5206" s="7">
        <v>4.649</v>
      </c>
      <c r="P5206" s="1" t="s">
        <v>48118</v>
      </c>
    </row>
    <row r="5207" spans="1:16" ht="17.05" x14ac:dyDescent="0.3">
      <c r="A5207" s="6" t="str">
        <f>HYPERLINK("https://www.ti.com/product/LM136-2.5-N", "LM136-2.5-N")</f>
        <v>LM136-2.5-N</v>
      </c>
      <c r="B5207" s="5" t="s">
        <v>48119</v>
      </c>
      <c r="C5207" s="6" t="str">
        <f>HYPERLINK("https://www.ti.com/lit/gpn/LM136-2.5-N", "PDF")</f>
        <v>PDF</v>
      </c>
      <c r="D5207" s="5" t="s">
        <v>48120</v>
      </c>
      <c r="E5207" s="5" t="s">
        <v>48121</v>
      </c>
      <c r="F5207" s="5"/>
      <c r="G5207" s="5" t="s">
        <v>48122</v>
      </c>
      <c r="H5207" s="1" t="s">
        <v>48123</v>
      </c>
      <c r="I5207" s="5" t="s">
        <v>48124</v>
      </c>
      <c r="J5207" s="7">
        <v>3</v>
      </c>
      <c r="K5207" s="7">
        <v>34.870399999999997</v>
      </c>
      <c r="L5207" s="5" t="s">
        <v>48125</v>
      </c>
      <c r="M5207" s="7">
        <v>2.67</v>
      </c>
      <c r="N5207" s="7">
        <v>2.54</v>
      </c>
      <c r="O5207" s="7">
        <v>7.5170000000000003</v>
      </c>
      <c r="P5207" s="1" t="s">
        <v>48126</v>
      </c>
    </row>
    <row r="5208" spans="1:16" ht="49.75" x14ac:dyDescent="0.3">
      <c r="A5208" s="6" t="str">
        <f>HYPERLINK("https://www.ti.com/product/LM136-5.0", "LM136-5.0")</f>
        <v>LM136-5.0</v>
      </c>
      <c r="B5208" s="5" t="s">
        <v>48127</v>
      </c>
      <c r="C5208" s="6" t="str">
        <f>HYPERLINK("https://www.ti.com/lit/gpn/LM136-5.0", "PDF")</f>
        <v>PDF</v>
      </c>
      <c r="D5208" s="5" t="s">
        <v>48128</v>
      </c>
      <c r="E5208" s="5" t="s">
        <v>48129</v>
      </c>
      <c r="F5208" s="5"/>
      <c r="G5208" s="5" t="s">
        <v>48130</v>
      </c>
      <c r="H5208" s="1" t="s">
        <v>48131</v>
      </c>
      <c r="I5208" s="5" t="s">
        <v>48132</v>
      </c>
      <c r="J5208" s="7" t="s">
        <v>48133</v>
      </c>
      <c r="K5208" s="7" t="s">
        <v>48134</v>
      </c>
      <c r="L5208" s="5" t="s">
        <v>48135</v>
      </c>
      <c r="M5208" s="7" t="s">
        <v>48136</v>
      </c>
      <c r="N5208" s="7" t="s">
        <v>48137</v>
      </c>
      <c r="O5208" s="7">
        <v>7.3840000000000003</v>
      </c>
      <c r="P5208" s="1" t="s">
        <v>48138</v>
      </c>
    </row>
    <row r="5209" spans="1:16" ht="17.05" x14ac:dyDescent="0.3">
      <c r="A5209" s="6" t="str">
        <f>HYPERLINK("https://www.ti.com/product/LM136-5.0QML", "LM136-5.0QML")</f>
        <v>LM136-5.0QML</v>
      </c>
      <c r="B5209" s="5" t="s">
        <v>48139</v>
      </c>
      <c r="C5209" s="6" t="str">
        <f>HYPERLINK("https://www.ti.com/lit/gpn/LM136-5.0QML", "PDF")</f>
        <v>PDF</v>
      </c>
      <c r="D5209" s="5" t="s">
        <v>48140</v>
      </c>
      <c r="E5209" s="5" t="s">
        <v>48141</v>
      </c>
      <c r="F5209" s="5"/>
      <c r="G5209" s="5" t="s">
        <v>48142</v>
      </c>
      <c r="H5209" s="1" t="s">
        <v>48143</v>
      </c>
      <c r="I5209" s="5" t="s">
        <v>48144</v>
      </c>
      <c r="J5209" s="7">
        <v>3</v>
      </c>
      <c r="K5209" s="7">
        <v>34.870399999999997</v>
      </c>
      <c r="L5209" s="5" t="s">
        <v>48145</v>
      </c>
      <c r="M5209" s="7">
        <v>2.67</v>
      </c>
      <c r="N5209" s="7">
        <v>2.54</v>
      </c>
      <c r="O5209" s="7">
        <v>46.423999999999999</v>
      </c>
      <c r="P5209" s="1" t="s">
        <v>48146</v>
      </c>
    </row>
    <row r="5210" spans="1:16" ht="49.75" x14ac:dyDescent="0.3">
      <c r="A5210" s="6" t="str">
        <f>HYPERLINK("https://www.ti.com/product/LM136A-2.5QML", "LM136A-2.5QML")</f>
        <v>LM136A-2.5QML</v>
      </c>
      <c r="B5210" s="5" t="s">
        <v>48147</v>
      </c>
      <c r="C5210" s="6" t="str">
        <f>HYPERLINK("https://www.ti.com/lit/gpn/LM136A-2.5QML", "PDF")</f>
        <v>PDF</v>
      </c>
      <c r="D5210" s="5" t="s">
        <v>48148</v>
      </c>
      <c r="E5210" s="5" t="s">
        <v>48149</v>
      </c>
      <c r="F5210" s="5"/>
      <c r="G5210" s="5" t="s">
        <v>48150</v>
      </c>
      <c r="H5210" s="1" t="s">
        <v>48151</v>
      </c>
      <c r="I5210" s="5" t="s">
        <v>48152</v>
      </c>
      <c r="J5210" s="7" t="s">
        <v>48153</v>
      </c>
      <c r="K5210" s="7" t="s">
        <v>48154</v>
      </c>
      <c r="L5210" s="5" t="s">
        <v>48155</v>
      </c>
      <c r="M5210" s="7" t="s">
        <v>48156</v>
      </c>
      <c r="N5210" s="7" t="s">
        <v>48157</v>
      </c>
      <c r="O5210" s="7">
        <v>12.22</v>
      </c>
      <c r="P5210" s="1" t="s">
        <v>48158</v>
      </c>
    </row>
    <row r="5211" spans="1:16" ht="17.05" x14ac:dyDescent="0.3">
      <c r="A5211" s="6" t="str">
        <f>HYPERLINK("https://www.ti.com/product/LM136A-5.0QML", "LM136A-5.0QML")</f>
        <v>LM136A-5.0QML</v>
      </c>
      <c r="B5211" s="5" t="s">
        <v>48159</v>
      </c>
      <c r="C5211" s="6" t="str">
        <f>HYPERLINK("https://www.ti.com/lit/gpn/LM136A-5.0QML", "PDF")</f>
        <v>PDF</v>
      </c>
      <c r="D5211" s="5" t="s">
        <v>48160</v>
      </c>
      <c r="E5211" s="5" t="s">
        <v>48161</v>
      </c>
      <c r="F5211" s="5"/>
      <c r="G5211" s="5" t="s">
        <v>48162</v>
      </c>
      <c r="H5211" s="1" t="s">
        <v>48163</v>
      </c>
      <c r="I5211" s="5" t="s">
        <v>48164</v>
      </c>
      <c r="J5211" s="7">
        <v>3</v>
      </c>
      <c r="K5211" s="7">
        <v>34.870399999999997</v>
      </c>
      <c r="L5211" s="5" t="s">
        <v>48165</v>
      </c>
      <c r="M5211" s="7">
        <v>2.67</v>
      </c>
      <c r="N5211" s="7">
        <v>2.54</v>
      </c>
      <c r="O5211" s="7">
        <v>47.533999999999999</v>
      </c>
      <c r="P5211" s="1" t="s">
        <v>48166</v>
      </c>
    </row>
    <row r="5212" spans="1:16" ht="33.4" x14ac:dyDescent="0.3">
      <c r="A5212" s="6" t="str">
        <f>HYPERLINK("https://www.ti.com/product/LM137", "LM137")</f>
        <v>LM137</v>
      </c>
      <c r="B5212" s="5" t="s">
        <v>48167</v>
      </c>
      <c r="C5212" s="6" t="str">
        <f>HYPERLINK("https://www.ti.com/lit/gpn/LM137", "PDF")</f>
        <v>PDF</v>
      </c>
      <c r="D5212" s="5" t="s">
        <v>48168</v>
      </c>
      <c r="E5212" s="5" t="s">
        <v>48169</v>
      </c>
      <c r="F5212" s="5"/>
      <c r="G5212" s="5" t="s">
        <v>48170</v>
      </c>
      <c r="H5212" s="1" t="s">
        <v>48171</v>
      </c>
      <c r="I5212" s="5" t="s">
        <v>48172</v>
      </c>
      <c r="J5212" s="7">
        <v>3</v>
      </c>
      <c r="K5212" s="7">
        <v>91.674199999999999</v>
      </c>
      <c r="L5212" s="5" t="s">
        <v>48173</v>
      </c>
      <c r="M5212" s="7">
        <v>4.7</v>
      </c>
      <c r="N5212" s="7">
        <v>5.08</v>
      </c>
      <c r="O5212" s="7">
        <v>12.159000000000001</v>
      </c>
      <c r="P5212" s="1" t="s">
        <v>48174</v>
      </c>
    </row>
    <row r="5213" spans="1:16" ht="33.4" x14ac:dyDescent="0.3">
      <c r="A5213" s="6" t="str">
        <f>HYPERLINK("https://www.ti.com/product/LM138", "LM138")</f>
        <v>LM138</v>
      </c>
      <c r="B5213" s="5" t="s">
        <v>48175</v>
      </c>
      <c r="C5213" s="6" t="str">
        <f>HYPERLINK("https://www.ti.com/lit/gpn/LM138", "PDF")</f>
        <v>PDF</v>
      </c>
      <c r="D5213" s="5" t="s">
        <v>48176</v>
      </c>
      <c r="E5213" s="5" t="s">
        <v>48177</v>
      </c>
      <c r="F5213" s="5"/>
      <c r="G5213" s="5" t="s">
        <v>48178</v>
      </c>
      <c r="H5213" s="1" t="s">
        <v>48179</v>
      </c>
      <c r="I5213" s="5" t="s">
        <v>48180</v>
      </c>
      <c r="J5213" s="7">
        <v>2</v>
      </c>
      <c r="K5213" s="7">
        <v>969.21659999999997</v>
      </c>
      <c r="L5213" s="5" t="s">
        <v>48181</v>
      </c>
      <c r="M5213" s="7">
        <v>8.94</v>
      </c>
      <c r="N5213" s="7">
        <v>10.93</v>
      </c>
      <c r="O5213" s="7">
        <v>80.462000000000003</v>
      </c>
      <c r="P5213" s="1" t="s">
        <v>48182</v>
      </c>
    </row>
    <row r="5214" spans="1:16" ht="33.4" x14ac:dyDescent="0.3">
      <c r="A5214" s="6" t="str">
        <f>HYPERLINK("https://www.ti.com/product/LM140K", "LM140K")</f>
        <v>LM140K</v>
      </c>
      <c r="B5214" s="5" t="s">
        <v>48183</v>
      </c>
      <c r="C5214" s="6" t="str">
        <f>HYPERLINK("https://www.ti.com/lit/gpn/LM140K", "PDF")</f>
        <v>PDF</v>
      </c>
      <c r="D5214" s="5" t="s">
        <v>48184</v>
      </c>
      <c r="E5214" s="5" t="s">
        <v>48185</v>
      </c>
      <c r="F5214" s="5"/>
      <c r="G5214" s="5" t="s">
        <v>48186</v>
      </c>
      <c r="H5214" s="1" t="s">
        <v>48187</v>
      </c>
      <c r="I5214" s="5" t="s">
        <v>48188</v>
      </c>
      <c r="J5214" s="7">
        <v>2</v>
      </c>
      <c r="K5214" s="7">
        <v>969.21659999999997</v>
      </c>
      <c r="L5214" s="5" t="s">
        <v>48189</v>
      </c>
      <c r="M5214" s="7">
        <v>8.94</v>
      </c>
      <c r="N5214" s="7">
        <v>10.93</v>
      </c>
      <c r="O5214" s="7">
        <v>61.695999999999998</v>
      </c>
      <c r="P5214" s="1" t="s">
        <v>48190</v>
      </c>
    </row>
    <row r="5215" spans="1:16" ht="33.4" x14ac:dyDescent="0.3">
      <c r="A5215" s="6" t="str">
        <f>HYPERLINK("https://www.ti.com/product/LM140L", "LM140L")</f>
        <v>LM140L</v>
      </c>
      <c r="B5215" s="5" t="s">
        <v>48191</v>
      </c>
      <c r="C5215" s="6" t="str">
        <f>HYPERLINK("https://www.ti.com/lit/gpn/LM140L", "PDF")</f>
        <v>PDF</v>
      </c>
      <c r="D5215" s="5" t="s">
        <v>48192</v>
      </c>
      <c r="E5215" s="5" t="s">
        <v>48193</v>
      </c>
      <c r="F5215" s="5"/>
      <c r="G5215" s="5" t="s">
        <v>48194</v>
      </c>
      <c r="H5215" s="1" t="s">
        <v>48195</v>
      </c>
      <c r="I5215" s="5" t="s">
        <v>48196</v>
      </c>
      <c r="J5215" s="7">
        <v>3</v>
      </c>
      <c r="K5215" s="7">
        <v>91.674199999999999</v>
      </c>
      <c r="L5215" s="5" t="s">
        <v>48197</v>
      </c>
      <c r="M5215" s="7">
        <v>4.7</v>
      </c>
      <c r="N5215" s="7">
        <v>5.08</v>
      </c>
      <c r="O5215" s="7">
        <v>13.776</v>
      </c>
      <c r="P5215" s="1" t="s">
        <v>48198</v>
      </c>
    </row>
    <row r="5216" spans="1:16" ht="33.4" x14ac:dyDescent="0.3">
      <c r="A5216" s="6" t="str">
        <f>HYPERLINK("https://www.ti.com/product/LM140LQML", "LM140LQML")</f>
        <v>LM140LQML</v>
      </c>
      <c r="B5216" s="5" t="s">
        <v>48199</v>
      </c>
      <c r="C5216" s="6" t="str">
        <f>HYPERLINK("https://www.ti.com/lit/gpn/LM140LQML", "PDF")</f>
        <v>PDF</v>
      </c>
      <c r="D5216" s="5" t="s">
        <v>48200</v>
      </c>
      <c r="E5216" s="5" t="s">
        <v>48201</v>
      </c>
      <c r="F5216" s="5"/>
      <c r="G5216" s="5" t="s">
        <v>48202</v>
      </c>
      <c r="H5216" s="1" t="s">
        <v>48203</v>
      </c>
      <c r="I5216" s="5" t="s">
        <v>48204</v>
      </c>
      <c r="J5216" s="7">
        <v>3</v>
      </c>
      <c r="K5216" s="7">
        <v>91.674199999999999</v>
      </c>
      <c r="L5216" s="5" t="s">
        <v>48205</v>
      </c>
      <c r="M5216" s="7">
        <v>4.7</v>
      </c>
      <c r="N5216" s="7">
        <v>5.08</v>
      </c>
      <c r="O5216" s="7">
        <v>38.970999999999997</v>
      </c>
      <c r="P5216" s="1" t="s">
        <v>48206</v>
      </c>
    </row>
    <row r="5217" spans="1:16" ht="82.5" x14ac:dyDescent="0.3">
      <c r="A5217" s="6" t="str">
        <f>HYPERLINK("https://www.ti.com/product/LM140QML", "LM140QML")</f>
        <v>LM140QML</v>
      </c>
      <c r="B5217" s="5" t="s">
        <v>48207</v>
      </c>
      <c r="C5217" s="6" t="str">
        <f>HYPERLINK("https://www.ti.com/lit/gpn/LM140QML", "PDF")</f>
        <v>PDF</v>
      </c>
      <c r="D5217" s="5" t="s">
        <v>48208</v>
      </c>
      <c r="E5217" s="5" t="s">
        <v>48209</v>
      </c>
      <c r="F5217" s="5"/>
      <c r="G5217" s="5" t="s">
        <v>48210</v>
      </c>
      <c r="H5217" s="1" t="s">
        <v>48211</v>
      </c>
      <c r="I5217" s="5" t="s">
        <v>48212</v>
      </c>
      <c r="J5217" s="7" t="s">
        <v>48213</v>
      </c>
      <c r="K5217" s="7" t="s">
        <v>48214</v>
      </c>
      <c r="L5217" s="5" t="s">
        <v>48215</v>
      </c>
      <c r="M5217" s="7" t="s">
        <v>48216</v>
      </c>
      <c r="N5217" s="7" t="s">
        <v>48217</v>
      </c>
      <c r="O5217" s="7">
        <v>8.5259999999999998</v>
      </c>
      <c r="P5217" s="1" t="s">
        <v>48218</v>
      </c>
    </row>
    <row r="5218" spans="1:16" ht="17.05" x14ac:dyDescent="0.3">
      <c r="A5218" s="6" t="str">
        <f>HYPERLINK("https://www.ti.com/product/LM185-1.2-N", "LM185-1.2-N")</f>
        <v>LM185-1.2-N</v>
      </c>
      <c r="B5218" s="5" t="s">
        <v>48219</v>
      </c>
      <c r="C5218" s="6" t="str">
        <f>HYPERLINK("https://www.ti.com/lit/gpn/LM185-1.2-N", "PDF")</f>
        <v>PDF</v>
      </c>
      <c r="D5218" s="5" t="s">
        <v>48220</v>
      </c>
      <c r="E5218" s="5" t="s">
        <v>48221</v>
      </c>
      <c r="F5218" s="5"/>
      <c r="G5218" s="5" t="s">
        <v>48222</v>
      </c>
      <c r="H5218" s="1" t="s">
        <v>48223</v>
      </c>
      <c r="I5218" s="5" t="s">
        <v>48224</v>
      </c>
      <c r="J5218" s="7">
        <v>2</v>
      </c>
      <c r="K5218" s="7">
        <v>34.870399999999997</v>
      </c>
      <c r="L5218" s="5" t="s">
        <v>48225</v>
      </c>
      <c r="M5218" s="7">
        <v>2.67</v>
      </c>
      <c r="N5218" s="7">
        <v>2.54</v>
      </c>
      <c r="O5218" s="7">
        <v>8.2929999999999993</v>
      </c>
      <c r="P5218" s="1" t="s">
        <v>48226</v>
      </c>
    </row>
    <row r="5219" spans="1:16" ht="49.75" x14ac:dyDescent="0.3">
      <c r="A5219" s="6" t="str">
        <f>HYPERLINK("https://www.ti.com/product/LM185-1.2QML", "LM185-1.2QML")</f>
        <v>LM185-1.2QML</v>
      </c>
      <c r="B5219" s="5" t="s">
        <v>48227</v>
      </c>
      <c r="C5219" s="6" t="str">
        <f>HYPERLINK("https://www.ti.com/lit/gpn/LM185-1.2QML", "PDF")</f>
        <v>PDF</v>
      </c>
      <c r="D5219" s="5" t="s">
        <v>48228</v>
      </c>
      <c r="E5219" s="5" t="s">
        <v>48229</v>
      </c>
      <c r="F5219" s="5"/>
      <c r="G5219" s="5" t="s">
        <v>48230</v>
      </c>
      <c r="H5219" s="1" t="s">
        <v>48231</v>
      </c>
      <c r="I5219" s="5" t="s">
        <v>48232</v>
      </c>
      <c r="J5219" s="7" t="s">
        <v>48233</v>
      </c>
      <c r="K5219" s="7" t="s">
        <v>48234</v>
      </c>
      <c r="L5219" s="5" t="s">
        <v>48235</v>
      </c>
      <c r="M5219" s="7" t="s">
        <v>48236</v>
      </c>
      <c r="N5219" s="7" t="s">
        <v>48237</v>
      </c>
      <c r="O5219" s="7">
        <v>31.186</v>
      </c>
      <c r="P5219" s="1" t="s">
        <v>48238</v>
      </c>
    </row>
    <row r="5220" spans="1:16" ht="17.05" x14ac:dyDescent="0.3">
      <c r="A5220" s="6" t="str">
        <f>HYPERLINK("https://www.ti.com/product/LM185-2.5-N", "LM185-2.5-N")</f>
        <v>LM185-2.5-N</v>
      </c>
      <c r="B5220" s="5" t="s">
        <v>48239</v>
      </c>
      <c r="C5220" s="6" t="str">
        <f>HYPERLINK("https://www.ti.com/lit/gpn/LM185-2.5-N", "PDF")</f>
        <v>PDF</v>
      </c>
      <c r="D5220" s="5" t="s">
        <v>48240</v>
      </c>
      <c r="E5220" s="5" t="s">
        <v>48241</v>
      </c>
      <c r="F5220" s="5"/>
      <c r="G5220" s="5" t="s">
        <v>48242</v>
      </c>
      <c r="H5220" s="1" t="s">
        <v>48243</v>
      </c>
      <c r="I5220" s="5" t="s">
        <v>48244</v>
      </c>
      <c r="J5220" s="7">
        <v>2</v>
      </c>
      <c r="K5220" s="7">
        <v>34.870399999999997</v>
      </c>
      <c r="L5220" s="5" t="s">
        <v>48245</v>
      </c>
      <c r="M5220" s="7">
        <v>2.67</v>
      </c>
      <c r="N5220" s="7">
        <v>2.54</v>
      </c>
      <c r="O5220" s="7">
        <v>9.4589999999999996</v>
      </c>
      <c r="P5220" s="1" t="s">
        <v>48246</v>
      </c>
    </row>
    <row r="5221" spans="1:16" ht="66.150000000000006" x14ac:dyDescent="0.3">
      <c r="A5221" s="6" t="str">
        <f>HYPERLINK("https://www.ti.com/product/LM185-2.5QML", "LM185-2.5QML")</f>
        <v>LM185-2.5QML</v>
      </c>
      <c r="B5221" s="5" t="s">
        <v>48247</v>
      </c>
      <c r="C5221" s="6" t="str">
        <f>HYPERLINK("https://www.ti.com/lit/gpn/LM185-2.5QML", "PDF")</f>
        <v>PDF</v>
      </c>
      <c r="D5221" s="5" t="s">
        <v>48248</v>
      </c>
      <c r="E5221" s="5" t="s">
        <v>48249</v>
      </c>
      <c r="F5221" s="5"/>
      <c r="G5221" s="5" t="s">
        <v>48250</v>
      </c>
      <c r="H5221" s="1" t="s">
        <v>48251</v>
      </c>
      <c r="I5221" s="5" t="s">
        <v>48252</v>
      </c>
      <c r="J5221" s="7" t="s">
        <v>48253</v>
      </c>
      <c r="K5221" s="7" t="s">
        <v>48254</v>
      </c>
      <c r="L5221" s="5" t="s">
        <v>48255</v>
      </c>
      <c r="M5221" s="7" t="s">
        <v>48256</v>
      </c>
      <c r="N5221" s="7" t="s">
        <v>48257</v>
      </c>
      <c r="O5221" s="7">
        <v>12.551</v>
      </c>
      <c r="P5221" s="1" t="s">
        <v>48258</v>
      </c>
    </row>
    <row r="5222" spans="1:16" ht="17.05" x14ac:dyDescent="0.3">
      <c r="A5222" s="6" t="str">
        <f>HYPERLINK("https://www.ti.com/product/LM185-ADJ", "LM185-ADJ")</f>
        <v>LM185-ADJ</v>
      </c>
      <c r="B5222" s="5" t="s">
        <v>48259</v>
      </c>
      <c r="C5222" s="6" t="str">
        <f>HYPERLINK("https://www.ti.com/lit/gpn/LM185-ADJ", "PDF")</f>
        <v>PDF</v>
      </c>
      <c r="D5222" s="5" t="s">
        <v>48260</v>
      </c>
      <c r="E5222" s="5" t="s">
        <v>48261</v>
      </c>
      <c r="F5222" s="5"/>
      <c r="G5222" s="5" t="s">
        <v>48262</v>
      </c>
      <c r="H5222" s="1" t="s">
        <v>48263</v>
      </c>
      <c r="I5222" s="5" t="s">
        <v>48264</v>
      </c>
      <c r="J5222" s="7">
        <v>3</v>
      </c>
      <c r="K5222" s="7">
        <v>34.870399999999997</v>
      </c>
      <c r="L5222" s="5" t="s">
        <v>48265</v>
      </c>
      <c r="M5222" s="7">
        <v>2.67</v>
      </c>
      <c r="N5222" s="7">
        <v>2.54</v>
      </c>
      <c r="O5222" s="7">
        <v>12.048</v>
      </c>
      <c r="P5222" s="1" t="s">
        <v>48266</v>
      </c>
    </row>
    <row r="5223" spans="1:16" ht="33.4" x14ac:dyDescent="0.3">
      <c r="A5223" s="6" t="str">
        <f>HYPERLINK("https://www.ti.com/product/LM195QML", "LM195QML")</f>
        <v>LM195QML</v>
      </c>
      <c r="B5223" s="5" t="s">
        <v>48267</v>
      </c>
      <c r="C5223" s="6" t="str">
        <f>HYPERLINK("https://www.ti.com/lit/gpn/LM195QML", "PDF")</f>
        <v>PDF</v>
      </c>
      <c r="D5223" s="5" t="s">
        <v>48268</v>
      </c>
      <c r="E5223" s="5" t="s">
        <v>48269</v>
      </c>
      <c r="F5223" s="5"/>
      <c r="G5223" s="5" t="s">
        <v>48270</v>
      </c>
      <c r="H5223" s="1" t="s">
        <v>48271</v>
      </c>
      <c r="I5223" s="5" t="s">
        <v>48272</v>
      </c>
      <c r="J5223" s="7">
        <v>3</v>
      </c>
      <c r="K5223" s="7">
        <v>91.674199999999999</v>
      </c>
      <c r="L5223" s="5" t="s">
        <v>48273</v>
      </c>
      <c r="M5223" s="7">
        <v>4.7</v>
      </c>
      <c r="N5223" s="7">
        <v>5.08</v>
      </c>
      <c r="O5223" s="7">
        <v>30.113</v>
      </c>
      <c r="P5223" s="1" t="s">
        <v>48274</v>
      </c>
    </row>
    <row r="5224" spans="1:16" ht="17.05" x14ac:dyDescent="0.3">
      <c r="A5224" s="6" t="str">
        <f>HYPERLINK("https://www.ti.com/product/LM234", "LM234")</f>
        <v>LM234</v>
      </c>
      <c r="B5224" s="5" t="s">
        <v>48275</v>
      </c>
      <c r="C5224" s="6" t="str">
        <f>HYPERLINK("https://www.ti.com/lit/gpn/LM234", "PDF")</f>
        <v>PDF</v>
      </c>
      <c r="D5224" s="5" t="s">
        <v>48276</v>
      </c>
      <c r="E5224" s="5" t="s">
        <v>48277</v>
      </c>
      <c r="F5224" s="5"/>
      <c r="G5224" s="5" t="s">
        <v>48278</v>
      </c>
      <c r="H5224" s="1" t="s">
        <v>48279</v>
      </c>
      <c r="I5224" s="5" t="s">
        <v>48280</v>
      </c>
      <c r="J5224" s="7">
        <v>3</v>
      </c>
      <c r="K5224" s="7">
        <v>19.135999999999999</v>
      </c>
      <c r="L5224" s="5" t="s">
        <v>48281</v>
      </c>
      <c r="M5224" s="7">
        <v>5.34</v>
      </c>
      <c r="N5224" s="7">
        <v>1.27</v>
      </c>
      <c r="O5224" s="7">
        <v>0.47399999999999998</v>
      </c>
      <c r="P5224" s="1" t="s">
        <v>48282</v>
      </c>
    </row>
    <row r="5225" spans="1:16" ht="49.75" x14ac:dyDescent="0.3">
      <c r="A5225" s="6" t="str">
        <f>HYPERLINK("https://www.ti.com/product/LM2578A", "LM2578A")</f>
        <v>LM2578A</v>
      </c>
      <c r="B5225" s="5" t="s">
        <v>48283</v>
      </c>
      <c r="C5225" s="6" t="str">
        <f>HYPERLINK("https://www.ti.com/lit/gpn/LM2578A", "PDF")</f>
        <v>PDF</v>
      </c>
      <c r="D5225" s="5" t="s">
        <v>48284</v>
      </c>
      <c r="E5225" s="5" t="s">
        <v>48285</v>
      </c>
      <c r="F5225" s="5" t="s">
        <v>48286</v>
      </c>
      <c r="G5225" s="5" t="s">
        <v>48287</v>
      </c>
      <c r="H5225" s="1" t="s">
        <v>48288</v>
      </c>
      <c r="I5225" s="5" t="s">
        <v>48289</v>
      </c>
      <c r="J5225" s="7">
        <v>8</v>
      </c>
      <c r="K5225" s="7" t="s">
        <v>48290</v>
      </c>
      <c r="L5225" s="5" t="s">
        <v>48291</v>
      </c>
      <c r="M5225" s="7" t="s">
        <v>48292</v>
      </c>
      <c r="N5225" s="7" t="s">
        <v>48293</v>
      </c>
      <c r="O5225" s="7">
        <v>1.74</v>
      </c>
      <c r="P5225" s="1" t="s">
        <v>48294</v>
      </c>
    </row>
    <row r="5226" spans="1:16" ht="33.4" x14ac:dyDescent="0.3">
      <c r="A5226" s="6" t="str">
        <f>HYPERLINK("https://www.ti.com/product/LM285-1.2-N", "LM285-1.2-N")</f>
        <v>LM285-1.2-N</v>
      </c>
      <c r="B5226" s="5" t="s">
        <v>48295</v>
      </c>
      <c r="C5226" s="6" t="str">
        <f>HYPERLINK("https://www.ti.com/lit/gpn/LM285-1.2-N", "PDF")</f>
        <v>PDF</v>
      </c>
      <c r="D5226" s="5" t="s">
        <v>48296</v>
      </c>
      <c r="E5226" s="5" t="s">
        <v>48297</v>
      </c>
      <c r="F5226" s="5"/>
      <c r="G5226" s="5" t="s">
        <v>48298</v>
      </c>
      <c r="H5226" s="1" t="s">
        <v>48299</v>
      </c>
      <c r="I5226" s="5" t="s">
        <v>48300</v>
      </c>
      <c r="J5226" s="7" t="s">
        <v>48301</v>
      </c>
      <c r="K5226" s="7" t="s">
        <v>48302</v>
      </c>
      <c r="L5226" s="5" t="s">
        <v>48303</v>
      </c>
      <c r="M5226" s="7" t="s">
        <v>48304</v>
      </c>
      <c r="N5226" s="7">
        <v>1.27</v>
      </c>
      <c r="O5226" s="7">
        <v>0.27100000000000002</v>
      </c>
      <c r="P5226" s="1" t="s">
        <v>48305</v>
      </c>
    </row>
    <row r="5227" spans="1:16" ht="33.4" x14ac:dyDescent="0.3">
      <c r="A5227" s="6" t="str">
        <f>HYPERLINK("https://www.ti.com/product/LM285-2.5-N", "LM285-2.5-N")</f>
        <v>LM285-2.5-N</v>
      </c>
      <c r="B5227" s="5" t="s">
        <v>48306</v>
      </c>
      <c r="C5227" s="6" t="str">
        <f>HYPERLINK("https://www.ti.com/lit/gpn/LM285-2.5-N", "PDF")</f>
        <v>PDF</v>
      </c>
      <c r="D5227" s="5" t="s">
        <v>48307</v>
      </c>
      <c r="E5227" s="5" t="s">
        <v>48308</v>
      </c>
      <c r="F5227" s="5"/>
      <c r="G5227" s="5" t="s">
        <v>48309</v>
      </c>
      <c r="H5227" s="1" t="s">
        <v>48310</v>
      </c>
      <c r="I5227" s="5" t="s">
        <v>48311</v>
      </c>
      <c r="J5227" s="7" t="s">
        <v>48312</v>
      </c>
      <c r="K5227" s="7" t="s">
        <v>48313</v>
      </c>
      <c r="L5227" s="5" t="s">
        <v>48314</v>
      </c>
      <c r="M5227" s="7" t="s">
        <v>48315</v>
      </c>
      <c r="N5227" s="7">
        <v>1.27</v>
      </c>
      <c r="O5227" s="7">
        <v>0.26500000000000001</v>
      </c>
      <c r="P5227" s="1" t="s">
        <v>48316</v>
      </c>
    </row>
    <row r="5228" spans="1:16" ht="33.4" x14ac:dyDescent="0.3">
      <c r="A5228" s="6" t="str">
        <f>HYPERLINK("https://www.ti.com/product/LM285-ADJ", "LM285-ADJ")</f>
        <v>LM285-ADJ</v>
      </c>
      <c r="B5228" s="5" t="s">
        <v>48317</v>
      </c>
      <c r="C5228" s="6" t="str">
        <f>HYPERLINK("https://www.ti.com/lit/gpn/LM285-ADJ", "PDF")</f>
        <v>PDF</v>
      </c>
      <c r="D5228" s="5" t="s">
        <v>48318</v>
      </c>
      <c r="E5228" s="5" t="s">
        <v>48319</v>
      </c>
      <c r="F5228" s="5"/>
      <c r="G5228" s="5" t="s">
        <v>48320</v>
      </c>
      <c r="H5228" s="1" t="s">
        <v>48321</v>
      </c>
      <c r="I5228" s="5" t="s">
        <v>48322</v>
      </c>
      <c r="J5228" s="7" t="s">
        <v>48323</v>
      </c>
      <c r="K5228" s="7" t="s">
        <v>48324</v>
      </c>
      <c r="L5228" s="5" t="s">
        <v>48325</v>
      </c>
      <c r="M5228" s="7" t="s">
        <v>48326</v>
      </c>
      <c r="N5228" s="7">
        <v>1.27</v>
      </c>
      <c r="O5228" s="7">
        <v>0.28299999999999997</v>
      </c>
      <c r="P5228" s="1" t="s">
        <v>48327</v>
      </c>
    </row>
    <row r="5229" spans="1:16" ht="33.4" x14ac:dyDescent="0.3">
      <c r="A5229" s="6" t="str">
        <f>HYPERLINK("https://www.ti.com/product/LM2930", "LM2930")</f>
        <v>LM2930</v>
      </c>
      <c r="B5229" s="5" t="s">
        <v>48328</v>
      </c>
      <c r="C5229" s="6" t="str">
        <f>HYPERLINK("https://www.ti.com/lit/gpn/LM2930", "PDF")</f>
        <v>PDF</v>
      </c>
      <c r="D5229" s="5" t="s">
        <v>48329</v>
      </c>
      <c r="E5229" s="5" t="s">
        <v>48330</v>
      </c>
      <c r="F5229" s="5"/>
      <c r="G5229" s="5" t="s">
        <v>48331</v>
      </c>
      <c r="H5229" s="1" t="s">
        <v>48332</v>
      </c>
      <c r="I5229" s="5" t="s">
        <v>48333</v>
      </c>
      <c r="J5229" s="7">
        <v>3</v>
      </c>
      <c r="K5229" s="7">
        <v>46.532800000000002</v>
      </c>
      <c r="L5229" s="5" t="s">
        <v>48334</v>
      </c>
      <c r="M5229" s="7">
        <v>19.55</v>
      </c>
      <c r="N5229" s="7">
        <v>2.54</v>
      </c>
      <c r="O5229" s="7">
        <v>0.49099999999999999</v>
      </c>
      <c r="P5229" s="1" t="s">
        <v>48335</v>
      </c>
    </row>
    <row r="5230" spans="1:16" ht="115.2" x14ac:dyDescent="0.3">
      <c r="A5230" s="6" t="str">
        <f>HYPERLINK("https://www.ti.com/product/LM2931-N", "LM2931-N")</f>
        <v>LM2931-N</v>
      </c>
      <c r="B5230" s="5" t="s">
        <v>48336</v>
      </c>
      <c r="C5230" s="6" t="str">
        <f>HYPERLINK("https://www.ti.com/lit/gpn/LM2931-N", "PDF")</f>
        <v>PDF</v>
      </c>
      <c r="D5230" s="5" t="s">
        <v>48337</v>
      </c>
      <c r="E5230" s="5" t="s">
        <v>48338</v>
      </c>
      <c r="F5230" s="5"/>
      <c r="G5230" s="5" t="s">
        <v>48339</v>
      </c>
      <c r="H5230" s="1" t="s">
        <v>48340</v>
      </c>
      <c r="I5230" s="5" t="s">
        <v>48341</v>
      </c>
      <c r="J5230" s="7" t="s">
        <v>48342</v>
      </c>
      <c r="K5230" s="7" t="s">
        <v>48343</v>
      </c>
      <c r="L5230" s="5" t="s">
        <v>48344</v>
      </c>
      <c r="M5230" s="7" t="s">
        <v>48345</v>
      </c>
      <c r="N5230" s="7" t="s">
        <v>48346</v>
      </c>
      <c r="O5230" s="7">
        <v>0.28399999999999997</v>
      </c>
      <c r="P5230" s="1" t="s">
        <v>48347</v>
      </c>
    </row>
    <row r="5231" spans="1:16" ht="98.85" x14ac:dyDescent="0.3">
      <c r="A5231" s="6" t="str">
        <f>HYPERLINK("https://www.ti.com/product/LM2941", "LM2941")</f>
        <v>LM2941</v>
      </c>
      <c r="B5231" s="5" t="s">
        <v>48348</v>
      </c>
      <c r="C5231" s="6" t="str">
        <f>HYPERLINK("https://www.ti.com/lit/gpn/LM2941", "PDF")</f>
        <v>PDF</v>
      </c>
      <c r="D5231" s="5" t="s">
        <v>48349</v>
      </c>
      <c r="E5231" s="5" t="s">
        <v>48350</v>
      </c>
      <c r="F5231" s="5"/>
      <c r="G5231" s="5" t="s">
        <v>48351</v>
      </c>
      <c r="H5231" s="1" t="s">
        <v>48352</v>
      </c>
      <c r="I5231" s="5" t="s">
        <v>48353</v>
      </c>
      <c r="J5231" s="7" t="s">
        <v>48354</v>
      </c>
      <c r="K5231" s="7" t="s">
        <v>48355</v>
      </c>
      <c r="L5231" s="5" t="s">
        <v>48356</v>
      </c>
      <c r="M5231" s="7" t="s">
        <v>48357</v>
      </c>
      <c r="N5231" s="7" t="s">
        <v>48358</v>
      </c>
      <c r="O5231" s="7">
        <v>0.621</v>
      </c>
      <c r="P5231" s="1" t="s">
        <v>48359</v>
      </c>
    </row>
    <row r="5232" spans="1:16" ht="49.75" x14ac:dyDescent="0.3">
      <c r="A5232" s="6" t="str">
        <f>HYPERLINK("https://www.ti.com/product/LM309", "LM309")</f>
        <v>LM309</v>
      </c>
      <c r="B5232" s="5" t="s">
        <v>48360</v>
      </c>
      <c r="C5232" s="6" t="str">
        <f>HYPERLINK("https://www.ti.com/lit/gpn/LM309", "PDF")</f>
        <v>PDF</v>
      </c>
      <c r="D5232" s="5" t="s">
        <v>48361</v>
      </c>
      <c r="E5232" s="5" t="s">
        <v>48362</v>
      </c>
      <c r="F5232" s="5"/>
      <c r="G5232" s="5" t="s">
        <v>48363</v>
      </c>
      <c r="H5232" s="1" t="s">
        <v>48364</v>
      </c>
      <c r="I5232" s="5" t="s">
        <v>48365</v>
      </c>
      <c r="J5232" s="7" t="s">
        <v>48366</v>
      </c>
      <c r="K5232" s="7" t="s">
        <v>48367</v>
      </c>
      <c r="L5232" s="5" t="s">
        <v>48368</v>
      </c>
      <c r="M5232" s="7" t="s">
        <v>48369</v>
      </c>
      <c r="N5232" s="7" t="s">
        <v>48370</v>
      </c>
      <c r="O5232" s="7">
        <v>11.053000000000001</v>
      </c>
      <c r="P5232" s="1" t="s">
        <v>48371</v>
      </c>
    </row>
    <row r="5233" spans="1:16" ht="82.5" x14ac:dyDescent="0.3">
      <c r="A5233" s="6" t="str">
        <f>HYPERLINK("https://www.ti.com/product/LM317", "LM317")</f>
        <v>LM317</v>
      </c>
      <c r="B5233" s="5" t="s">
        <v>48372</v>
      </c>
      <c r="C5233" s="6" t="str">
        <f>HYPERLINK("https://www.ti.com/lit/gpn/LM317", "PDF")</f>
        <v>PDF</v>
      </c>
      <c r="D5233" s="5" t="s">
        <v>48373</v>
      </c>
      <c r="E5233" s="5" t="s">
        <v>48374</v>
      </c>
      <c r="F5233" s="5"/>
      <c r="G5233" s="5" t="s">
        <v>48375</v>
      </c>
      <c r="H5233" s="1" t="s">
        <v>48376</v>
      </c>
      <c r="I5233" s="5" t="s">
        <v>48377</v>
      </c>
      <c r="J5233" s="7" t="s">
        <v>48378</v>
      </c>
      <c r="K5233" s="7" t="s">
        <v>48379</v>
      </c>
      <c r="L5233" s="5" t="s">
        <v>48380</v>
      </c>
      <c r="M5233" s="7" t="s">
        <v>48381</v>
      </c>
      <c r="N5233" s="7" t="s">
        <v>48382</v>
      </c>
      <c r="O5233" s="7">
        <v>0.24299999999999999</v>
      </c>
      <c r="P5233" s="1" t="s">
        <v>48383</v>
      </c>
    </row>
    <row r="5234" spans="1:16" ht="164.3" x14ac:dyDescent="0.3">
      <c r="A5234" s="6" t="str">
        <f>HYPERLINK("https://www.ti.com/product/LM317-N", "LM317-N")</f>
        <v>LM317-N</v>
      </c>
      <c r="B5234" s="5" t="s">
        <v>48384</v>
      </c>
      <c r="C5234" s="6" t="str">
        <f>HYPERLINK("https://www.ti.com/lit/gpn/LM317-N", "PDF")</f>
        <v>PDF</v>
      </c>
      <c r="D5234" s="5" t="s">
        <v>48385</v>
      </c>
      <c r="E5234" s="5" t="s">
        <v>48386</v>
      </c>
      <c r="F5234" s="5"/>
      <c r="G5234" s="5" t="s">
        <v>48387</v>
      </c>
      <c r="H5234" s="1" t="s">
        <v>48388</v>
      </c>
      <c r="I5234" s="5" t="s">
        <v>48389</v>
      </c>
      <c r="J5234" s="7" t="s">
        <v>48390</v>
      </c>
      <c r="K5234" s="7" t="s">
        <v>48391</v>
      </c>
      <c r="L5234" s="5" t="s">
        <v>48392</v>
      </c>
      <c r="M5234" s="7" t="s">
        <v>48393</v>
      </c>
      <c r="N5234" s="7" t="s">
        <v>48394</v>
      </c>
      <c r="O5234" s="7">
        <v>0.54300000000000004</v>
      </c>
      <c r="P5234" s="1" t="s">
        <v>48395</v>
      </c>
    </row>
    <row r="5235" spans="1:16" ht="82.5" x14ac:dyDescent="0.3">
      <c r="A5235" s="6" t="str">
        <f>HYPERLINK("https://www.ti.com/product/LM317A", "LM317A")</f>
        <v>LM317A</v>
      </c>
      <c r="B5235" s="5" t="s">
        <v>48396</v>
      </c>
      <c r="C5235" s="6" t="str">
        <f>HYPERLINK("https://www.ti.com/lit/gpn/LM317A", "PDF")</f>
        <v>PDF</v>
      </c>
      <c r="D5235" s="5" t="s">
        <v>48397</v>
      </c>
      <c r="E5235" s="5" t="s">
        <v>48398</v>
      </c>
      <c r="F5235" s="5"/>
      <c r="G5235" s="5" t="s">
        <v>48399</v>
      </c>
      <c r="H5235" s="1" t="s">
        <v>48400</v>
      </c>
      <c r="I5235" s="5" t="s">
        <v>48401</v>
      </c>
      <c r="J5235" s="7" t="s">
        <v>48402</v>
      </c>
      <c r="K5235" s="7" t="s">
        <v>48403</v>
      </c>
      <c r="L5235" s="5" t="s">
        <v>48404</v>
      </c>
      <c r="M5235" s="7" t="s">
        <v>48405</v>
      </c>
      <c r="N5235" s="7" t="s">
        <v>48406</v>
      </c>
      <c r="O5235" s="7">
        <v>0.92</v>
      </c>
      <c r="P5235" s="1" t="s">
        <v>48407</v>
      </c>
    </row>
    <row r="5236" spans="1:16" ht="33.4" x14ac:dyDescent="0.3">
      <c r="A5236" s="6" t="str">
        <f>HYPERLINK("https://www.ti.com/product/LM317HV", "LM317HV")</f>
        <v>LM317HV</v>
      </c>
      <c r="B5236" s="5" t="s">
        <v>48408</v>
      </c>
      <c r="C5236" s="6" t="str">
        <f>HYPERLINK("https://www.ti.com/lit/gpn/LM317HV", "PDF")</f>
        <v>PDF</v>
      </c>
      <c r="D5236" s="5" t="s">
        <v>48409</v>
      </c>
      <c r="E5236" s="5" t="s">
        <v>48410</v>
      </c>
      <c r="F5236" s="5"/>
      <c r="G5236" s="5" t="s">
        <v>48411</v>
      </c>
      <c r="H5236" s="1" t="s">
        <v>48412</v>
      </c>
      <c r="I5236" s="5" t="s">
        <v>48413</v>
      </c>
      <c r="J5236" s="7">
        <v>3</v>
      </c>
      <c r="K5236" s="7">
        <v>46.532800000000002</v>
      </c>
      <c r="L5236" s="5" t="s">
        <v>48414</v>
      </c>
      <c r="M5236" s="7">
        <v>19.55</v>
      </c>
      <c r="N5236" s="7">
        <v>2.54</v>
      </c>
      <c r="O5236" s="7">
        <v>0.92</v>
      </c>
      <c r="P5236" s="1" t="s">
        <v>48415</v>
      </c>
    </row>
    <row r="5237" spans="1:16" ht="66.150000000000006" x14ac:dyDescent="0.3">
      <c r="A5237" s="6" t="str">
        <f>HYPERLINK("https://www.ti.com/product/LM317L-N", "LM317L-N")</f>
        <v>LM317L-N</v>
      </c>
      <c r="B5237" s="5" t="s">
        <v>48416</v>
      </c>
      <c r="C5237" s="6" t="str">
        <f>HYPERLINK("https://www.ti.com/lit/gpn/LM317L-N", "PDF")</f>
        <v>PDF</v>
      </c>
      <c r="D5237" s="5" t="s">
        <v>48417</v>
      </c>
      <c r="E5237" s="5" t="s">
        <v>48418</v>
      </c>
      <c r="F5237" s="5"/>
      <c r="G5237" s="5" t="s">
        <v>48419</v>
      </c>
      <c r="H5237" s="1" t="s">
        <v>48420</v>
      </c>
      <c r="I5237" s="5" t="s">
        <v>48421</v>
      </c>
      <c r="J5237" s="7" t="s">
        <v>48422</v>
      </c>
      <c r="K5237" s="7" t="s">
        <v>48423</v>
      </c>
      <c r="L5237" s="5" t="s">
        <v>48424</v>
      </c>
      <c r="M5237" s="7" t="s">
        <v>48425</v>
      </c>
      <c r="N5237" s="7" t="s">
        <v>48426</v>
      </c>
      <c r="O5237" s="7">
        <v>0.251</v>
      </c>
      <c r="P5237" s="1" t="s">
        <v>48427</v>
      </c>
    </row>
    <row r="5238" spans="1:16" ht="33.4" x14ac:dyDescent="0.3">
      <c r="A5238" s="6" t="str">
        <f>HYPERLINK("https://www.ti.com/product/LM320-N", "LM320-N")</f>
        <v>LM320-N</v>
      </c>
      <c r="B5238" s="5" t="s">
        <v>48428</v>
      </c>
      <c r="C5238" s="6" t="str">
        <f>HYPERLINK("https://www.ti.com/lit/gpn/LM320-N", "PDF")</f>
        <v>PDF</v>
      </c>
      <c r="D5238" s="5" t="s">
        <v>48429</v>
      </c>
      <c r="E5238" s="5" t="s">
        <v>48430</v>
      </c>
      <c r="F5238" s="5"/>
      <c r="G5238" s="5" t="s">
        <v>48431</v>
      </c>
      <c r="H5238" s="1" t="s">
        <v>48432</v>
      </c>
      <c r="I5238" s="5" t="s">
        <v>48433</v>
      </c>
      <c r="J5238" s="7">
        <v>3</v>
      </c>
      <c r="K5238" s="7">
        <v>46.532800000000002</v>
      </c>
      <c r="L5238" s="5" t="s">
        <v>48434</v>
      </c>
      <c r="M5238" s="7">
        <v>19.55</v>
      </c>
      <c r="N5238" s="7">
        <v>2.54</v>
      </c>
      <c r="O5238" s="7">
        <v>0.623</v>
      </c>
      <c r="P5238" s="1" t="s">
        <v>48435</v>
      </c>
    </row>
    <row r="5239" spans="1:16" ht="33.4" x14ac:dyDescent="0.3">
      <c r="A5239" s="6" t="str">
        <f>HYPERLINK("https://www.ti.com/product/LM323-N", "LM323-N")</f>
        <v>LM323-N</v>
      </c>
      <c r="B5239" s="5" t="s">
        <v>48436</v>
      </c>
      <c r="C5239" s="6" t="str">
        <f>HYPERLINK("https://www.ti.com/lit/gpn/LM323-N", "PDF")</f>
        <v>PDF</v>
      </c>
      <c r="D5239" s="5" t="s">
        <v>48437</v>
      </c>
      <c r="E5239" s="5" t="s">
        <v>48438</v>
      </c>
      <c r="F5239" s="5"/>
      <c r="G5239" s="5" t="s">
        <v>48439</v>
      </c>
      <c r="H5239" s="1" t="s">
        <v>48440</v>
      </c>
      <c r="I5239" s="5" t="s">
        <v>48441</v>
      </c>
      <c r="J5239" s="7">
        <v>2</v>
      </c>
      <c r="K5239" s="7">
        <v>969.21659999999997</v>
      </c>
      <c r="L5239" s="5" t="s">
        <v>48442</v>
      </c>
      <c r="M5239" s="7">
        <v>8.94</v>
      </c>
      <c r="N5239" s="7">
        <v>10.93</v>
      </c>
      <c r="O5239" s="7">
        <v>51.442999999999998</v>
      </c>
      <c r="P5239" s="1" t="s">
        <v>48443</v>
      </c>
    </row>
    <row r="5240" spans="1:16" ht="33.4" x14ac:dyDescent="0.3">
      <c r="A5240" s="6" t="str">
        <f>HYPERLINK("https://www.ti.com/product/LM330-N", "LM330-N")</f>
        <v>LM330-N</v>
      </c>
      <c r="B5240" s="5" t="s">
        <v>48444</v>
      </c>
      <c r="C5240" s="6" t="str">
        <f>HYPERLINK("https://www.ti.com/lit/gpn/LM330-N", "PDF")</f>
        <v>PDF</v>
      </c>
      <c r="D5240" s="5" t="s">
        <v>48445</v>
      </c>
      <c r="E5240" s="5" t="s">
        <v>48446</v>
      </c>
      <c r="F5240" s="5"/>
      <c r="G5240" s="5" t="s">
        <v>48447</v>
      </c>
      <c r="H5240" s="1" t="s">
        <v>48448</v>
      </c>
      <c r="I5240" s="5" t="s">
        <v>48449</v>
      </c>
      <c r="J5240" s="7">
        <v>3</v>
      </c>
      <c r="K5240" s="7">
        <v>46.532800000000002</v>
      </c>
      <c r="L5240" s="5" t="s">
        <v>48450</v>
      </c>
      <c r="M5240" s="7">
        <v>19.55</v>
      </c>
      <c r="N5240" s="7">
        <v>2.54</v>
      </c>
      <c r="O5240" s="7">
        <v>0.35299999999999998</v>
      </c>
      <c r="P5240" s="1" t="s">
        <v>48451</v>
      </c>
    </row>
    <row r="5241" spans="1:16" ht="66.150000000000006" x14ac:dyDescent="0.3">
      <c r="A5241" s="6" t="str">
        <f>HYPERLINK("https://www.ti.com/product/LM334", "LM334")</f>
        <v>LM334</v>
      </c>
      <c r="B5241" s="5" t="s">
        <v>48452</v>
      </c>
      <c r="C5241" s="6" t="str">
        <f>HYPERLINK("https://www.ti.com/lit/gpn/LM334", "PDF")</f>
        <v>PDF</v>
      </c>
      <c r="D5241" s="5" t="s">
        <v>48453</v>
      </c>
      <c r="E5241" s="5" t="s">
        <v>48454</v>
      </c>
      <c r="F5241" s="5"/>
      <c r="G5241" s="5" t="s">
        <v>48455</v>
      </c>
      <c r="H5241" s="1" t="s">
        <v>48456</v>
      </c>
      <c r="I5241" s="5" t="s">
        <v>48457</v>
      </c>
      <c r="J5241" s="7" t="s">
        <v>48458</v>
      </c>
      <c r="K5241" s="7" t="s">
        <v>48459</v>
      </c>
      <c r="L5241" s="5" t="s">
        <v>48460</v>
      </c>
      <c r="M5241" s="7" t="s">
        <v>48461</v>
      </c>
      <c r="N5241" s="7" t="s">
        <v>48462</v>
      </c>
      <c r="O5241" s="7">
        <v>0.29399999999999998</v>
      </c>
      <c r="P5241" s="1" t="s">
        <v>48463</v>
      </c>
    </row>
    <row r="5242" spans="1:16" ht="33.4" x14ac:dyDescent="0.3">
      <c r="A5242" s="6" t="str">
        <f>HYPERLINK("https://www.ti.com/product/LM336-2.5-N", "LM336-2.5-N")</f>
        <v>LM336-2.5-N</v>
      </c>
      <c r="B5242" s="5" t="s">
        <v>48464</v>
      </c>
      <c r="C5242" s="6" t="str">
        <f>HYPERLINK("https://www.ti.com/lit/gpn/LM336-2.5-N", "PDF")</f>
        <v>PDF</v>
      </c>
      <c r="D5242" s="5" t="s">
        <v>48465</v>
      </c>
      <c r="E5242" s="5" t="s">
        <v>48466</v>
      </c>
      <c r="F5242" s="5"/>
      <c r="G5242" s="5" t="s">
        <v>48467</v>
      </c>
      <c r="H5242" s="1" t="s">
        <v>48468</v>
      </c>
      <c r="I5242" s="5" t="s">
        <v>48469</v>
      </c>
      <c r="J5242" s="7" t="s">
        <v>48470</v>
      </c>
      <c r="K5242" s="7" t="s">
        <v>48471</v>
      </c>
      <c r="L5242" s="5" t="s">
        <v>48472</v>
      </c>
      <c r="M5242" s="7" t="s">
        <v>48473</v>
      </c>
      <c r="N5242" s="7">
        <v>1.27</v>
      </c>
      <c r="O5242" s="7">
        <v>0.191</v>
      </c>
      <c r="P5242" s="1" t="s">
        <v>48474</v>
      </c>
    </row>
    <row r="5243" spans="1:16" ht="66.150000000000006" x14ac:dyDescent="0.3">
      <c r="A5243" s="6" t="str">
        <f>HYPERLINK("https://www.ti.com/product/LM336-5.0", "LM336-5.0")</f>
        <v>LM336-5.0</v>
      </c>
      <c r="B5243" s="5" t="s">
        <v>48475</v>
      </c>
      <c r="C5243" s="6" t="str">
        <f>HYPERLINK("https://www.ti.com/lit/gpn/LM336-5.0", "PDF")</f>
        <v>PDF</v>
      </c>
      <c r="D5243" s="5" t="s">
        <v>48476</v>
      </c>
      <c r="E5243" s="5" t="s">
        <v>48477</v>
      </c>
      <c r="F5243" s="5"/>
      <c r="G5243" s="5" t="s">
        <v>48478</v>
      </c>
      <c r="H5243" s="1" t="s">
        <v>48479</v>
      </c>
      <c r="I5243" s="5" t="s">
        <v>48480</v>
      </c>
      <c r="J5243" s="7" t="s">
        <v>48481</v>
      </c>
      <c r="K5243" s="7" t="s">
        <v>48482</v>
      </c>
      <c r="L5243" s="5" t="s">
        <v>48483</v>
      </c>
      <c r="M5243" s="7" t="s">
        <v>48484</v>
      </c>
      <c r="N5243" s="7" t="s">
        <v>48485</v>
      </c>
      <c r="O5243" s="7">
        <v>0.161</v>
      </c>
      <c r="P5243" s="1" t="s">
        <v>48486</v>
      </c>
    </row>
    <row r="5244" spans="1:16" ht="82.5" x14ac:dyDescent="0.3">
      <c r="A5244" s="6" t="str">
        <f>HYPERLINK("https://www.ti.com/product/LM337-N", "LM337-N")</f>
        <v>LM337-N</v>
      </c>
      <c r="B5244" s="5" t="s">
        <v>48487</v>
      </c>
      <c r="C5244" s="6" t="str">
        <f>HYPERLINK("https://www.ti.com/lit/gpn/LM337-N", "PDF")</f>
        <v>PDF</v>
      </c>
      <c r="D5244" s="5" t="s">
        <v>48488</v>
      </c>
      <c r="E5244" s="5" t="s">
        <v>48489</v>
      </c>
      <c r="F5244" s="5"/>
      <c r="G5244" s="5" t="s">
        <v>48490</v>
      </c>
      <c r="H5244" s="1" t="s">
        <v>48491</v>
      </c>
      <c r="I5244" s="5" t="s">
        <v>48492</v>
      </c>
      <c r="J5244" s="7" t="s">
        <v>48493</v>
      </c>
      <c r="K5244" s="7" t="s">
        <v>48494</v>
      </c>
      <c r="L5244" s="5" t="s">
        <v>48495</v>
      </c>
      <c r="M5244" s="7" t="s">
        <v>48496</v>
      </c>
      <c r="N5244" s="7" t="s">
        <v>48497</v>
      </c>
      <c r="O5244" s="7">
        <v>0.74099999999999999</v>
      </c>
      <c r="P5244" s="1" t="s">
        <v>48498</v>
      </c>
    </row>
    <row r="5245" spans="1:16" ht="33.4" x14ac:dyDescent="0.3">
      <c r="A5245" s="6" t="str">
        <f>HYPERLINK("https://www.ti.com/product/LM337L", "LM337L")</f>
        <v>LM337L</v>
      </c>
      <c r="B5245" s="5" t="s">
        <v>48499</v>
      </c>
      <c r="C5245" s="6" t="str">
        <f>HYPERLINK("https://www.ti.com/lit/gpn/LM337L", "PDF")</f>
        <v>PDF</v>
      </c>
      <c r="D5245" s="5" t="s">
        <v>48500</v>
      </c>
      <c r="E5245" s="5" t="s">
        <v>48501</v>
      </c>
      <c r="F5245" s="5"/>
      <c r="G5245" s="5" t="s">
        <v>48502</v>
      </c>
      <c r="H5245" s="1" t="s">
        <v>48503</v>
      </c>
      <c r="I5245" s="5" t="s">
        <v>48504</v>
      </c>
      <c r="J5245" s="7" t="s">
        <v>48505</v>
      </c>
      <c r="K5245" s="7" t="s">
        <v>48506</v>
      </c>
      <c r="L5245" s="5" t="s">
        <v>48507</v>
      </c>
      <c r="M5245" s="7" t="s">
        <v>48508</v>
      </c>
      <c r="N5245" s="7">
        <v>1.27</v>
      </c>
      <c r="O5245" s="7">
        <v>0.31900000000000001</v>
      </c>
      <c r="P5245" s="1" t="s">
        <v>48509</v>
      </c>
    </row>
    <row r="5246" spans="1:16" ht="115.2" x14ac:dyDescent="0.3">
      <c r="A5246" s="6" t="str">
        <f>HYPERLINK("https://www.ti.com/product/LM340", "LM340")</f>
        <v>LM340</v>
      </c>
      <c r="B5246" s="5" t="s">
        <v>48510</v>
      </c>
      <c r="C5246" s="6" t="str">
        <f>HYPERLINK("https://www.ti.com/lit/gpn/LM340", "PDF")</f>
        <v>PDF</v>
      </c>
      <c r="D5246" s="5" t="s">
        <v>48511</v>
      </c>
      <c r="E5246" s="5" t="s">
        <v>48512</v>
      </c>
      <c r="F5246" s="5"/>
      <c r="G5246" s="5" t="s">
        <v>48513</v>
      </c>
      <c r="H5246" s="1" t="s">
        <v>48514</v>
      </c>
      <c r="I5246" s="5" t="s">
        <v>48515</v>
      </c>
      <c r="J5246" s="7" t="s">
        <v>48516</v>
      </c>
      <c r="K5246" s="7" t="s">
        <v>48517</v>
      </c>
      <c r="L5246" s="5" t="s">
        <v>48518</v>
      </c>
      <c r="M5246" s="7" t="s">
        <v>48519</v>
      </c>
      <c r="N5246" s="7" t="s">
        <v>48520</v>
      </c>
      <c r="O5246" s="7">
        <v>0.503</v>
      </c>
      <c r="P5246" s="1" t="s">
        <v>48521</v>
      </c>
    </row>
    <row r="5247" spans="1:16" ht="33.4" x14ac:dyDescent="0.3">
      <c r="A5247" s="6" t="str">
        <f>HYPERLINK("https://www.ti.com/product/LM340L", "LM340L")</f>
        <v>LM340L</v>
      </c>
      <c r="B5247" s="5" t="s">
        <v>48522</v>
      </c>
      <c r="C5247" s="6" t="str">
        <f>HYPERLINK("https://www.ti.com/lit/gpn/LM340L", "PDF")</f>
        <v>PDF</v>
      </c>
      <c r="D5247" s="5" t="s">
        <v>48523</v>
      </c>
      <c r="E5247" s="5" t="s">
        <v>48524</v>
      </c>
      <c r="F5247" s="5"/>
      <c r="G5247" s="5" t="s">
        <v>48525</v>
      </c>
      <c r="H5247" s="1" t="s">
        <v>48526</v>
      </c>
      <c r="I5247" s="5" t="s">
        <v>48527</v>
      </c>
      <c r="J5247" s="7">
        <v>3</v>
      </c>
      <c r="K5247" s="7">
        <v>19.135999999999999</v>
      </c>
      <c r="L5247" s="5" t="s">
        <v>48528</v>
      </c>
      <c r="M5247" s="7">
        <v>5.34</v>
      </c>
      <c r="N5247" s="7">
        <v>1.27</v>
      </c>
      <c r="O5247" s="7">
        <v>0.29899999999999999</v>
      </c>
      <c r="P5247" s="1" t="s">
        <v>48529</v>
      </c>
    </row>
    <row r="5248" spans="1:16" ht="33.4" x14ac:dyDescent="0.3">
      <c r="A5248" s="6" t="str">
        <f>HYPERLINK("https://www.ti.com/product/LM341", "LM341")</f>
        <v>LM341</v>
      </c>
      <c r="B5248" s="5" t="s">
        <v>48530</v>
      </c>
      <c r="C5248" s="6" t="str">
        <f>HYPERLINK("https://www.ti.com/lit/gpn/LM341", "PDF")</f>
        <v>PDF</v>
      </c>
      <c r="D5248" s="5" t="s">
        <v>48531</v>
      </c>
      <c r="E5248" s="5" t="s">
        <v>48532</v>
      </c>
      <c r="F5248" s="5"/>
      <c r="G5248" s="5" t="s">
        <v>48533</v>
      </c>
      <c r="H5248" s="1" t="s">
        <v>48534</v>
      </c>
      <c r="I5248" s="5" t="s">
        <v>48535</v>
      </c>
      <c r="J5248" s="7">
        <v>3</v>
      </c>
      <c r="K5248" s="7">
        <v>46.532800000000002</v>
      </c>
      <c r="L5248" s="5" t="s">
        <v>48536</v>
      </c>
      <c r="M5248" s="7">
        <v>19.55</v>
      </c>
      <c r="N5248" s="7">
        <v>2.54</v>
      </c>
      <c r="O5248" s="7">
        <v>0.499</v>
      </c>
      <c r="P5248" s="1" t="s">
        <v>48537</v>
      </c>
    </row>
    <row r="5249" spans="1:16" ht="33.4" x14ac:dyDescent="0.3">
      <c r="A5249" s="6" t="str">
        <f>HYPERLINK("https://www.ti.com/product/LM350-N", "LM350-N")</f>
        <v>LM350-N</v>
      </c>
      <c r="B5249" s="5" t="s">
        <v>48538</v>
      </c>
      <c r="C5249" s="6" t="str">
        <f>HYPERLINK("https://www.ti.com/lit/gpn/LM350-N", "PDF")</f>
        <v>PDF</v>
      </c>
      <c r="D5249" s="5" t="s">
        <v>48539</v>
      </c>
      <c r="E5249" s="5" t="s">
        <v>48540</v>
      </c>
      <c r="F5249" s="5"/>
      <c r="G5249" s="5" t="s">
        <v>48541</v>
      </c>
      <c r="H5249" s="1" t="s">
        <v>48542</v>
      </c>
      <c r="I5249" s="5" t="s">
        <v>48543</v>
      </c>
      <c r="J5249" s="7">
        <v>3</v>
      </c>
      <c r="K5249" s="7">
        <v>46.532800000000002</v>
      </c>
      <c r="L5249" s="5" t="s">
        <v>48544</v>
      </c>
      <c r="M5249" s="7">
        <v>19.55</v>
      </c>
      <c r="N5249" s="7">
        <v>2.54</v>
      </c>
      <c r="O5249" s="7">
        <v>0.78</v>
      </c>
      <c r="P5249" s="1" t="s">
        <v>48545</v>
      </c>
    </row>
    <row r="5250" spans="1:16" ht="33.4" x14ac:dyDescent="0.3">
      <c r="A5250" s="6" t="str">
        <f>HYPERLINK("https://www.ti.com/product/LM350A", "LM350A")</f>
        <v>LM350A</v>
      </c>
      <c r="B5250" s="5" t="s">
        <v>48546</v>
      </c>
      <c r="C5250" s="6" t="str">
        <f>HYPERLINK("https://www.ti.com/lit/gpn/LM350A", "PDF")</f>
        <v>PDF</v>
      </c>
      <c r="D5250" s="5" t="s">
        <v>48547</v>
      </c>
      <c r="E5250" s="5" t="s">
        <v>48548</v>
      </c>
      <c r="F5250" s="5"/>
      <c r="G5250" s="5" t="s">
        <v>48549</v>
      </c>
      <c r="H5250" s="1" t="s">
        <v>48550</v>
      </c>
      <c r="I5250" s="5" t="s">
        <v>48551</v>
      </c>
      <c r="J5250" s="7">
        <v>3</v>
      </c>
      <c r="K5250" s="7">
        <v>46.532800000000002</v>
      </c>
      <c r="L5250" s="5" t="s">
        <v>48552</v>
      </c>
      <c r="M5250" s="7">
        <v>19.55</v>
      </c>
      <c r="N5250" s="7">
        <v>2.54</v>
      </c>
      <c r="O5250" s="7">
        <v>1.48</v>
      </c>
      <c r="P5250" s="1" t="s">
        <v>48553</v>
      </c>
    </row>
    <row r="5251" spans="1:16" ht="33.4" x14ac:dyDescent="0.3">
      <c r="A5251" s="6" t="str">
        <f>HYPERLINK("https://www.ti.com/product/LM3524D", "LM3524D")</f>
        <v>LM3524D</v>
      </c>
      <c r="B5251" s="5" t="s">
        <v>48554</v>
      </c>
      <c r="C5251" s="6" t="str">
        <f>HYPERLINK("https://www.ti.com/lit/gpn/LM3524D", "PDF")</f>
        <v>PDF</v>
      </c>
      <c r="D5251" s="5" t="s">
        <v>48555</v>
      </c>
      <c r="E5251" s="5" t="s">
        <v>48556</v>
      </c>
      <c r="F5251" s="5" t="s">
        <v>48557</v>
      </c>
      <c r="G5251" s="5" t="s">
        <v>48558</v>
      </c>
      <c r="H5251" s="1" t="s">
        <v>48559</v>
      </c>
      <c r="I5251" s="5" t="s">
        <v>48560</v>
      </c>
      <c r="J5251" s="7">
        <v>16</v>
      </c>
      <c r="K5251" s="7">
        <v>59.4</v>
      </c>
      <c r="L5251" s="5" t="s">
        <v>48561</v>
      </c>
      <c r="M5251" s="7">
        <v>1.75</v>
      </c>
      <c r="N5251" s="7">
        <v>1.27</v>
      </c>
      <c r="O5251" s="7">
        <v>0.61099999999999999</v>
      </c>
      <c r="P5251" s="1" t="s">
        <v>48562</v>
      </c>
    </row>
    <row r="5252" spans="1:16" ht="49.75" x14ac:dyDescent="0.3">
      <c r="A5252" s="6" t="str">
        <f>HYPERLINK("https://www.ti.com/product/LM3578A", "LM3578A")</f>
        <v>LM3578A</v>
      </c>
      <c r="B5252" s="5" t="s">
        <v>48563</v>
      </c>
      <c r="C5252" s="6" t="str">
        <f>HYPERLINK("https://www.ti.com/lit/gpn/LM3578A", "PDF")</f>
        <v>PDF</v>
      </c>
      <c r="D5252" s="5" t="s">
        <v>48564</v>
      </c>
      <c r="E5252" s="5" t="s">
        <v>48565</v>
      </c>
      <c r="F5252" s="5" t="s">
        <v>48566</v>
      </c>
      <c r="G5252" s="5" t="s">
        <v>48567</v>
      </c>
      <c r="H5252" s="1" t="s">
        <v>48568</v>
      </c>
      <c r="I5252" s="5" t="s">
        <v>48569</v>
      </c>
      <c r="J5252" s="7">
        <v>8</v>
      </c>
      <c r="K5252" s="7" t="s">
        <v>48570</v>
      </c>
      <c r="L5252" s="5" t="s">
        <v>48571</v>
      </c>
      <c r="M5252" s="7" t="s">
        <v>48572</v>
      </c>
      <c r="N5252" s="7" t="s">
        <v>48573</v>
      </c>
      <c r="O5252" s="7">
        <v>0.84799999999999998</v>
      </c>
      <c r="P5252" s="1" t="s">
        <v>48574</v>
      </c>
    </row>
    <row r="5253" spans="1:16" ht="66.150000000000006" x14ac:dyDescent="0.3">
      <c r="A5253" s="6" t="str">
        <f>HYPERLINK("https://www.ti.com/product/LM385-1.2-N", "LM385-1.2-N")</f>
        <v>LM385-1.2-N</v>
      </c>
      <c r="B5253" s="5" t="s">
        <v>48575</v>
      </c>
      <c r="C5253" s="6" t="str">
        <f>HYPERLINK("https://www.ti.com/lit/gpn/LM385-1.2-N", "PDF")</f>
        <v>PDF</v>
      </c>
      <c r="D5253" s="5" t="s">
        <v>48576</v>
      </c>
      <c r="E5253" s="5" t="s">
        <v>48577</v>
      </c>
      <c r="F5253" s="5"/>
      <c r="G5253" s="5" t="s">
        <v>48578</v>
      </c>
      <c r="H5253" s="1" t="s">
        <v>48579</v>
      </c>
      <c r="I5253" s="5" t="s">
        <v>48580</v>
      </c>
      <c r="J5253" s="7" t="s">
        <v>48581</v>
      </c>
      <c r="K5253" s="7" t="s">
        <v>48582</v>
      </c>
      <c r="L5253" s="5" t="s">
        <v>48583</v>
      </c>
      <c r="M5253" s="7" t="s">
        <v>48584</v>
      </c>
      <c r="N5253" s="7" t="s">
        <v>48585</v>
      </c>
      <c r="O5253" s="7">
        <v>0.23400000000000001</v>
      </c>
      <c r="P5253" s="1" t="s">
        <v>48586</v>
      </c>
    </row>
    <row r="5254" spans="1:16" ht="66.150000000000006" x14ac:dyDescent="0.3">
      <c r="A5254" s="6" t="str">
        <f>HYPERLINK("https://www.ti.com/product/LM385-2.5-N", "LM385-2.5-N")</f>
        <v>LM385-2.5-N</v>
      </c>
      <c r="B5254" s="5" t="s">
        <v>48587</v>
      </c>
      <c r="C5254" s="6" t="str">
        <f>HYPERLINK("https://www.ti.com/lit/gpn/LM385-2.5-N", "PDF")</f>
        <v>PDF</v>
      </c>
      <c r="D5254" s="5" t="s">
        <v>48588</v>
      </c>
      <c r="E5254" s="5" t="s">
        <v>48589</v>
      </c>
      <c r="F5254" s="5"/>
      <c r="G5254" s="5" t="s">
        <v>48590</v>
      </c>
      <c r="H5254" s="1" t="s">
        <v>48591</v>
      </c>
      <c r="I5254" s="5" t="s">
        <v>48592</v>
      </c>
      <c r="J5254" s="7" t="s">
        <v>48593</v>
      </c>
      <c r="K5254" s="7" t="s">
        <v>48594</v>
      </c>
      <c r="L5254" s="5" t="s">
        <v>48595</v>
      </c>
      <c r="M5254" s="7" t="s">
        <v>48596</v>
      </c>
      <c r="N5254" s="7" t="s">
        <v>48597</v>
      </c>
      <c r="O5254" s="7">
        <v>0.17499999999999999</v>
      </c>
      <c r="P5254" s="1" t="s">
        <v>48598</v>
      </c>
    </row>
    <row r="5255" spans="1:16" ht="33.4" x14ac:dyDescent="0.3">
      <c r="A5255" s="6" t="str">
        <f>HYPERLINK("https://www.ti.com/product/LM385-ADJ", "LM385-ADJ")</f>
        <v>LM385-ADJ</v>
      </c>
      <c r="B5255" s="5" t="s">
        <v>48599</v>
      </c>
      <c r="C5255" s="6" t="str">
        <f>HYPERLINK("https://www.ti.com/lit/gpn/LM385-ADJ", "PDF")</f>
        <v>PDF</v>
      </c>
      <c r="D5255" s="5" t="s">
        <v>48600</v>
      </c>
      <c r="E5255" s="5" t="s">
        <v>48601</v>
      </c>
      <c r="F5255" s="5"/>
      <c r="G5255" s="5" t="s">
        <v>48602</v>
      </c>
      <c r="H5255" s="1" t="s">
        <v>48603</v>
      </c>
      <c r="I5255" s="5" t="s">
        <v>48604</v>
      </c>
      <c r="J5255" s="7" t="s">
        <v>48605</v>
      </c>
      <c r="K5255" s="7" t="s">
        <v>48606</v>
      </c>
      <c r="L5255" s="5" t="s">
        <v>48607</v>
      </c>
      <c r="M5255" s="7" t="s">
        <v>48608</v>
      </c>
      <c r="N5255" s="7">
        <v>1.27</v>
      </c>
      <c r="O5255" s="7">
        <v>0.28399999999999997</v>
      </c>
      <c r="P5255" s="1" t="s">
        <v>48609</v>
      </c>
    </row>
    <row r="5256" spans="1:16" ht="66.150000000000006" x14ac:dyDescent="0.3">
      <c r="A5256" s="6" t="str">
        <f>HYPERLINK("https://www.ti.com/product/LM431", "LM431")</f>
        <v>LM431</v>
      </c>
      <c r="B5256" s="5" t="s">
        <v>48610</v>
      </c>
      <c r="C5256" s="6" t="str">
        <f>HYPERLINK("https://www.ti.com/lit/gpn/LM431", "PDF")</f>
        <v>PDF</v>
      </c>
      <c r="D5256" s="5" t="s">
        <v>48611</v>
      </c>
      <c r="E5256" s="5" t="s">
        <v>48612</v>
      </c>
      <c r="F5256" s="5"/>
      <c r="G5256" s="5" t="s">
        <v>48613</v>
      </c>
      <c r="H5256" s="1" t="s">
        <v>48614</v>
      </c>
      <c r="I5256" s="5" t="s">
        <v>48615</v>
      </c>
      <c r="J5256" s="7" t="s">
        <v>48616</v>
      </c>
      <c r="K5256" s="7" t="s">
        <v>48617</v>
      </c>
      <c r="L5256" s="5" t="s">
        <v>48618</v>
      </c>
      <c r="M5256" s="7" t="s">
        <v>48619</v>
      </c>
      <c r="N5256" s="7" t="s">
        <v>48620</v>
      </c>
      <c r="O5256" s="7">
        <v>0.16300000000000001</v>
      </c>
      <c r="P5256" s="1" t="s">
        <v>48621</v>
      </c>
    </row>
    <row r="5257" spans="1:16" ht="33.4" x14ac:dyDescent="0.3">
      <c r="A5257" s="6" t="str">
        <f>HYPERLINK("https://www.ti.com/product/LM723", "LM723")</f>
        <v>LM723</v>
      </c>
      <c r="B5257" s="5" t="s">
        <v>48622</v>
      </c>
      <c r="C5257" s="6" t="str">
        <f>HYPERLINK("https://www.ti.com/lit/gpn/LM723", "PDF")</f>
        <v>PDF</v>
      </c>
      <c r="D5257" s="5" t="s">
        <v>48623</v>
      </c>
      <c r="E5257" s="5" t="s">
        <v>48624</v>
      </c>
      <c r="F5257" s="5"/>
      <c r="G5257" s="5" t="s">
        <v>48625</v>
      </c>
      <c r="H5257" s="1" t="s">
        <v>48626</v>
      </c>
      <c r="I5257" s="5" t="s">
        <v>48627</v>
      </c>
      <c r="J5257" s="7">
        <v>10</v>
      </c>
      <c r="K5257" s="7">
        <v>80.281599999999997</v>
      </c>
      <c r="L5257" s="5" t="s">
        <v>48628</v>
      </c>
      <c r="M5257" s="7">
        <v>5.72</v>
      </c>
      <c r="N5257" s="7">
        <v>2.92</v>
      </c>
      <c r="O5257" s="7">
        <v>9.6449999999999996</v>
      </c>
      <c r="P5257" s="1" t="s">
        <v>48629</v>
      </c>
    </row>
    <row r="5258" spans="1:16" ht="49.75" x14ac:dyDescent="0.3">
      <c r="A5258" s="6" t="str">
        <f>HYPERLINK("https://www.ti.com/product/LM723JAN-SP", "LM723JAN-SP")</f>
        <v>LM723JAN-SP</v>
      </c>
      <c r="B5258" s="5" t="s">
        <v>48630</v>
      </c>
      <c r="C5258" s="6" t="str">
        <f>HYPERLINK("https://www.ti.com/lit/gpn/LM723JAN-SP", "PDF")</f>
        <v>PDF</v>
      </c>
      <c r="D5258" s="5" t="s">
        <v>48631</v>
      </c>
      <c r="E5258" s="5" t="s">
        <v>48632</v>
      </c>
      <c r="F5258" s="5"/>
      <c r="G5258" s="5" t="s">
        <v>48633</v>
      </c>
      <c r="H5258" s="1" t="s">
        <v>48634</v>
      </c>
      <c r="I5258" s="5" t="s">
        <v>48635</v>
      </c>
      <c r="J5258" s="7" t="s">
        <v>48636</v>
      </c>
      <c r="K5258" s="7" t="s">
        <v>48637</v>
      </c>
      <c r="L5258" s="5" t="s">
        <v>48638</v>
      </c>
      <c r="M5258" s="7" t="s">
        <v>48639</v>
      </c>
      <c r="N5258" s="7" t="s">
        <v>48640</v>
      </c>
      <c r="O5258" s="7">
        <v>260.38499999999999</v>
      </c>
      <c r="P5258" s="1" t="s">
        <v>48641</v>
      </c>
    </row>
    <row r="5259" spans="1:16" ht="66.150000000000006" x14ac:dyDescent="0.3">
      <c r="A5259" s="6" t="str">
        <f>HYPERLINK("https://www.ti.com/product/LM78L", "LM78L")</f>
        <v>LM78L</v>
      </c>
      <c r="B5259" s="5" t="s">
        <v>48642</v>
      </c>
      <c r="C5259" s="6" t="str">
        <f>HYPERLINK("https://www.ti.com/lit/gpn/LM78L", "PDF")</f>
        <v>PDF</v>
      </c>
      <c r="D5259" s="5" t="s">
        <v>48643</v>
      </c>
      <c r="E5259" s="5" t="s">
        <v>48644</v>
      </c>
      <c r="F5259" s="5"/>
      <c r="G5259" s="5" t="s">
        <v>48645</v>
      </c>
      <c r="H5259" s="1" t="s">
        <v>48646</v>
      </c>
      <c r="I5259" s="5" t="s">
        <v>48647</v>
      </c>
      <c r="J5259" s="7" t="s">
        <v>48648</v>
      </c>
      <c r="K5259" s="7" t="s">
        <v>48649</v>
      </c>
      <c r="L5259" s="5" t="s">
        <v>48650</v>
      </c>
      <c r="M5259" s="7" t="s">
        <v>48651</v>
      </c>
      <c r="N5259" s="7" t="s">
        <v>48652</v>
      </c>
      <c r="O5259" s="7">
        <v>0.154</v>
      </c>
      <c r="P5259" s="1" t="s">
        <v>48653</v>
      </c>
    </row>
    <row r="5260" spans="1:16" ht="49.75" x14ac:dyDescent="0.3">
      <c r="A5260" s="6" t="str">
        <f>HYPERLINK("https://www.ti.com/product/LM78M", "LM78M")</f>
        <v>LM78M</v>
      </c>
      <c r="B5260" s="5" t="s">
        <v>48654</v>
      </c>
      <c r="C5260" s="6" t="str">
        <f>HYPERLINK("https://www.ti.com/lit/gpn/LM78M", "PDF")</f>
        <v>PDF</v>
      </c>
      <c r="D5260" s="5" t="s">
        <v>48655</v>
      </c>
      <c r="E5260" s="5" t="s">
        <v>48656</v>
      </c>
      <c r="F5260" s="5"/>
      <c r="G5260" s="5" t="s">
        <v>48657</v>
      </c>
      <c r="H5260" s="1" t="s">
        <v>48658</v>
      </c>
      <c r="I5260" s="5" t="s">
        <v>48659</v>
      </c>
      <c r="J5260" s="7">
        <v>3</v>
      </c>
      <c r="K5260" s="7" t="s">
        <v>48660</v>
      </c>
      <c r="L5260" s="5" t="s">
        <v>48661</v>
      </c>
      <c r="M5260" s="7" t="s">
        <v>48662</v>
      </c>
      <c r="N5260" s="7" t="s">
        <v>48663</v>
      </c>
      <c r="O5260" s="7">
        <v>0.504</v>
      </c>
      <c r="P5260" s="1" t="s">
        <v>48664</v>
      </c>
    </row>
    <row r="5261" spans="1:16" ht="33.4" x14ac:dyDescent="0.3">
      <c r="A5261" s="6" t="str">
        <f>HYPERLINK("https://www.ti.com/product/LM78S40", "LM78S40")</f>
        <v>LM78S40</v>
      </c>
      <c r="B5261" s="5" t="s">
        <v>48665</v>
      </c>
      <c r="C5261" s="6" t="str">
        <f>HYPERLINK("https://www.ti.com/lit/gpn/LM78S40", "PDF")</f>
        <v>PDF</v>
      </c>
      <c r="D5261" s="5" t="s">
        <v>48666</v>
      </c>
      <c r="E5261" s="5" t="s">
        <v>48667</v>
      </c>
      <c r="F5261" s="5" t="s">
        <v>48668</v>
      </c>
      <c r="G5261" s="5" t="s">
        <v>48669</v>
      </c>
      <c r="H5261" s="1" t="s">
        <v>48670</v>
      </c>
      <c r="I5261" s="5" t="s">
        <v>48671</v>
      </c>
      <c r="J5261" s="7">
        <v>16</v>
      </c>
      <c r="K5261" s="7">
        <v>52.451000000000001</v>
      </c>
      <c r="L5261" s="5" t="s">
        <v>48672</v>
      </c>
      <c r="M5261" s="7">
        <v>4.3199812</v>
      </c>
      <c r="N5261" s="7">
        <v>2.54</v>
      </c>
      <c r="O5261" s="7">
        <v>0.89300000000000002</v>
      </c>
      <c r="P5261" s="1" t="s">
        <v>48673</v>
      </c>
    </row>
    <row r="5262" spans="1:16" ht="33.4" x14ac:dyDescent="0.3">
      <c r="A5262" s="6" t="str">
        <f>HYPERLINK("https://www.ti.com/product/LM79", "LM79")</f>
        <v>LM79</v>
      </c>
      <c r="B5262" s="5" t="s">
        <v>48674</v>
      </c>
      <c r="C5262" s="6" t="str">
        <f>HYPERLINK("https://www.ti.com/lit/gpn/LM79", "PDF")</f>
        <v>PDF</v>
      </c>
      <c r="D5262" s="5" t="s">
        <v>48675</v>
      </c>
      <c r="E5262" s="5" t="s">
        <v>48676</v>
      </c>
      <c r="F5262" s="5"/>
      <c r="G5262" s="5" t="s">
        <v>48677</v>
      </c>
      <c r="H5262" s="1" t="s">
        <v>48678</v>
      </c>
      <c r="I5262" s="5" t="s">
        <v>48679</v>
      </c>
      <c r="J5262" s="7">
        <v>3</v>
      </c>
      <c r="K5262" s="7">
        <v>46.532800000000002</v>
      </c>
      <c r="L5262" s="5" t="s">
        <v>48680</v>
      </c>
      <c r="M5262" s="7">
        <v>19.55</v>
      </c>
      <c r="N5262" s="7">
        <v>2.54</v>
      </c>
      <c r="O5262" s="7">
        <v>0.52300000000000002</v>
      </c>
      <c r="P5262" s="1" t="s">
        <v>48681</v>
      </c>
    </row>
    <row r="5263" spans="1:16" ht="66.150000000000006" x14ac:dyDescent="0.3">
      <c r="A5263" s="6" t="str">
        <f>HYPERLINK("https://www.ti.com/product/LM79L", "LM79L")</f>
        <v>LM79L</v>
      </c>
      <c r="B5263" s="5" t="s">
        <v>48682</v>
      </c>
      <c r="C5263" s="6" t="str">
        <f>HYPERLINK("https://www.ti.com/lit/gpn/LM79L", "PDF")</f>
        <v>PDF</v>
      </c>
      <c r="D5263" s="5" t="s">
        <v>48683</v>
      </c>
      <c r="E5263" s="5" t="s">
        <v>48684</v>
      </c>
      <c r="F5263" s="5"/>
      <c r="G5263" s="5" t="s">
        <v>48685</v>
      </c>
      <c r="H5263" s="1" t="s">
        <v>48686</v>
      </c>
      <c r="I5263" s="5" t="s">
        <v>48687</v>
      </c>
      <c r="J5263" s="7" t="s">
        <v>48688</v>
      </c>
      <c r="K5263" s="7" t="s">
        <v>48689</v>
      </c>
      <c r="L5263" s="5" t="s">
        <v>48690</v>
      </c>
      <c r="M5263" s="7" t="s">
        <v>48691</v>
      </c>
      <c r="N5263" s="7" t="s">
        <v>48692</v>
      </c>
      <c r="O5263" s="7">
        <v>0.129</v>
      </c>
      <c r="P5263" s="1" t="s">
        <v>48693</v>
      </c>
    </row>
    <row r="5264" spans="1:16" ht="49.75" x14ac:dyDescent="0.3">
      <c r="A5264" s="6" t="str">
        <f>HYPERLINK("https://www.ti.com/product/LP2950-N", "LP2950-N")</f>
        <v>LP2950-N</v>
      </c>
      <c r="B5264" s="5" t="s">
        <v>48694</v>
      </c>
      <c r="C5264" s="6" t="str">
        <f>HYPERLINK("https://www.ti.com/lit/gpn/LP2950-N", "PDF")</f>
        <v>PDF</v>
      </c>
      <c r="D5264" s="5" t="s">
        <v>48695</v>
      </c>
      <c r="E5264" s="5" t="s">
        <v>48696</v>
      </c>
      <c r="F5264" s="5"/>
      <c r="G5264" s="5" t="s">
        <v>48697</v>
      </c>
      <c r="H5264" s="1" t="s">
        <v>48698</v>
      </c>
      <c r="I5264" s="5" t="s">
        <v>48699</v>
      </c>
      <c r="J5264" s="7">
        <v>3</v>
      </c>
      <c r="K5264" s="7" t="s">
        <v>48700</v>
      </c>
      <c r="L5264" s="5" t="s">
        <v>48701</v>
      </c>
      <c r="M5264" s="7" t="s">
        <v>48702</v>
      </c>
      <c r="N5264" s="7" t="s">
        <v>48703</v>
      </c>
      <c r="O5264" s="7">
        <v>0.33900000000000002</v>
      </c>
      <c r="P5264" s="1" t="s">
        <v>48704</v>
      </c>
    </row>
    <row r="5265" spans="1:16" ht="66.150000000000006" x14ac:dyDescent="0.3">
      <c r="A5265" s="6" t="str">
        <f>HYPERLINK("https://www.ti.com/product/LP2951-N", "LP2951-N")</f>
        <v>LP2951-N</v>
      </c>
      <c r="B5265" s="5" t="s">
        <v>48705</v>
      </c>
      <c r="C5265" s="6" t="str">
        <f>HYPERLINK("https://www.ti.com/lit/gpn/LP2951-N", "PDF")</f>
        <v>PDF</v>
      </c>
      <c r="D5265" s="5" t="s">
        <v>48706</v>
      </c>
      <c r="E5265" s="5" t="s">
        <v>48707</v>
      </c>
      <c r="F5265" s="5"/>
      <c r="G5265" s="5" t="s">
        <v>48708</v>
      </c>
      <c r="H5265" s="1" t="s">
        <v>48709</v>
      </c>
      <c r="I5265" s="5" t="s">
        <v>48710</v>
      </c>
      <c r="J5265" s="7">
        <v>8</v>
      </c>
      <c r="K5265" s="7" t="s">
        <v>48711</v>
      </c>
      <c r="L5265" s="5" t="s">
        <v>48712</v>
      </c>
      <c r="M5265" s="7" t="s">
        <v>48713</v>
      </c>
      <c r="N5265" s="7" t="s">
        <v>48714</v>
      </c>
      <c r="O5265" s="7">
        <v>0.23300000000000001</v>
      </c>
      <c r="P5265" s="1" t="s">
        <v>48715</v>
      </c>
    </row>
    <row r="5266" spans="1:16" ht="33.4" x14ac:dyDescent="0.3">
      <c r="A5266" s="6" t="str">
        <f>HYPERLINK("https://www.ti.com/product/LP4951C", "LP4951C")</f>
        <v>LP4951C</v>
      </c>
      <c r="B5266" s="5" t="s">
        <v>48716</v>
      </c>
      <c r="C5266" s="6" t="str">
        <f>HYPERLINK("https://www.ti.com/lit/gpn/LP4951C", "PDF")</f>
        <v>PDF</v>
      </c>
      <c r="D5266" s="5" t="s">
        <v>48717</v>
      </c>
      <c r="E5266" s="5" t="s">
        <v>48718</v>
      </c>
      <c r="F5266" s="5"/>
      <c r="G5266" s="5" t="s">
        <v>48719</v>
      </c>
      <c r="H5266" s="1" t="s">
        <v>48720</v>
      </c>
      <c r="I5266" s="5" t="s">
        <v>48721</v>
      </c>
      <c r="J5266" s="7">
        <v>8</v>
      </c>
      <c r="K5266" s="7">
        <v>29.4</v>
      </c>
      <c r="L5266" s="5" t="s">
        <v>48722</v>
      </c>
      <c r="M5266" s="7">
        <v>1.75</v>
      </c>
      <c r="N5266" s="7">
        <v>1.27</v>
      </c>
      <c r="O5266" s="7">
        <v>0.36</v>
      </c>
      <c r="P5266" s="1" t="s">
        <v>48723</v>
      </c>
    </row>
    <row r="5267" spans="1:16" ht="33.4" x14ac:dyDescent="0.3">
      <c r="A5267" s="6" t="str">
        <f>HYPERLINK("https://www.ti.com/product/CSDM65295", "CSDM65295")</f>
        <v>CSDM65295</v>
      </c>
      <c r="B5267" s="5" t="s">
        <v>48724</v>
      </c>
      <c r="C5267" s="6" t="s">
        <v>183</v>
      </c>
      <c r="D5267" s="5" t="s">
        <v>48725</v>
      </c>
      <c r="E5267" s="5" t="s">
        <v>48726</v>
      </c>
      <c r="F5267" s="5"/>
      <c r="G5267" s="5" t="s">
        <v>48727</v>
      </c>
      <c r="H5267" s="1" t="s">
        <v>48728</v>
      </c>
      <c r="I5267" s="5" t="s">
        <v>48729</v>
      </c>
      <c r="J5267" s="7">
        <v>72</v>
      </c>
      <c r="K5267" s="7" t="s">
        <v>48730</v>
      </c>
      <c r="L5267" s="5" t="s">
        <v>48731</v>
      </c>
      <c r="M5267" s="7" t="s">
        <v>48732</v>
      </c>
      <c r="N5267" s="7" t="s">
        <v>48733</v>
      </c>
      <c r="O5267" s="7"/>
      <c r="P5267" s="1" t="s">
        <v>48734</v>
      </c>
    </row>
    <row r="5268" spans="1:16" ht="33.4" x14ac:dyDescent="0.3">
      <c r="A5268" s="6" t="str">
        <f>HYPERLINK("https://www.ti.com/product/CSDM65295T", "CSDM65295T")</f>
        <v>CSDM65295T</v>
      </c>
      <c r="B5268" s="5" t="s">
        <v>48735</v>
      </c>
      <c r="C5268" s="6" t="s">
        <v>183</v>
      </c>
      <c r="D5268" s="5" t="s">
        <v>48736</v>
      </c>
      <c r="E5268" s="5" t="s">
        <v>48737</v>
      </c>
      <c r="F5268" s="5"/>
      <c r="G5268" s="5" t="s">
        <v>48738</v>
      </c>
      <c r="H5268" s="1" t="s">
        <v>48739</v>
      </c>
      <c r="I5268" s="5" t="s">
        <v>48740</v>
      </c>
      <c r="J5268" s="7">
        <v>72</v>
      </c>
      <c r="K5268" s="7" t="s">
        <v>48741</v>
      </c>
      <c r="L5268" s="5" t="s">
        <v>48742</v>
      </c>
      <c r="M5268" s="7" t="s">
        <v>48743</v>
      </c>
      <c r="N5268" s="7" t="s">
        <v>48744</v>
      </c>
      <c r="O5268" s="7"/>
      <c r="P5268" s="1" t="s">
        <v>48745</v>
      </c>
    </row>
    <row r="5269" spans="1:16" ht="33.4" x14ac:dyDescent="0.3">
      <c r="A5269" s="6" t="str">
        <f>HYPERLINK("https://www.ti.com/product/LMM104RM0", "LMM104RM0")</f>
        <v>LMM104RM0</v>
      </c>
      <c r="B5269" s="5" t="s">
        <v>48746</v>
      </c>
      <c r="C5269" s="6" t="str">
        <f>HYPERLINK("https://www.ti.com/lit/gpn/LMM104RM0", "PDF")</f>
        <v>PDF</v>
      </c>
      <c r="D5269" s="5" t="s">
        <v>48747</v>
      </c>
      <c r="E5269" s="5" t="s">
        <v>48748</v>
      </c>
      <c r="F5269" s="5" t="s">
        <v>48749</v>
      </c>
      <c r="G5269" s="5" t="s">
        <v>48750</v>
      </c>
      <c r="H5269" s="1" t="s">
        <v>48751</v>
      </c>
      <c r="I5269" s="5" t="s">
        <v>48752</v>
      </c>
      <c r="J5269" s="7">
        <v>14</v>
      </c>
      <c r="K5269" s="7" t="s">
        <v>48753</v>
      </c>
      <c r="L5269" s="5" t="s">
        <v>48754</v>
      </c>
      <c r="M5269" s="7" t="s">
        <v>48755</v>
      </c>
      <c r="N5269" s="7" t="s">
        <v>48756</v>
      </c>
      <c r="O5269" s="7"/>
      <c r="P5269" s="1" t="s">
        <v>48757</v>
      </c>
    </row>
    <row r="5270" spans="1:16" ht="33.4" x14ac:dyDescent="0.3">
      <c r="A5270" s="6" t="str">
        <f>HYPERLINK("https://www.ti.com/product/TPS537G2", "TPS537G2")</f>
        <v>TPS537G2</v>
      </c>
      <c r="B5270" s="5" t="s">
        <v>48758</v>
      </c>
      <c r="C5270" s="6" t="str">
        <f>HYPERLINK("https://www.ti.com/lit/gpn/TPS537G2", "PDF")</f>
        <v>PDF</v>
      </c>
      <c r="D5270" s="5" t="s">
        <v>48759</v>
      </c>
      <c r="E5270" s="5" t="s">
        <v>48760</v>
      </c>
      <c r="F5270" s="5"/>
      <c r="G5270" s="5" t="s">
        <v>48761</v>
      </c>
      <c r="H5270" s="1" t="s">
        <v>48762</v>
      </c>
      <c r="I5270" s="5" t="s">
        <v>48763</v>
      </c>
      <c r="J5270" s="7">
        <v>56</v>
      </c>
      <c r="K5270" s="7">
        <v>49</v>
      </c>
      <c r="L5270" s="5" t="s">
        <v>48764</v>
      </c>
      <c r="M5270" s="7">
        <v>0.65</v>
      </c>
      <c r="N5270" s="7">
        <v>0.4</v>
      </c>
      <c r="O5270" s="7"/>
      <c r="P5270" s="1" t="s">
        <v>48765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discovery</cp:lastModifiedBy>
  <dcterms:created xsi:type="dcterms:W3CDTF">2025-12-15T10:54:42Z</dcterms:created>
  <dcterms:modified xsi:type="dcterms:W3CDTF">2025-12-15T11:05:00Z</dcterms:modified>
</cp:coreProperties>
</file>